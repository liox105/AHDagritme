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8120" windowWidth="29040" windowHeight="17640" tabRatio="916" firstSheet="8" activeTab="8" autoFilterDateGrouping="1"/>
  </bookViews>
  <sheets>
    <sheet xmlns:r="http://schemas.openxmlformats.org/officeDocument/2006/relationships" name="Werkschema - Instelling" sheetId="1" state="hidden" r:id="rId1"/>
    <sheet xmlns:r="http://schemas.openxmlformats.org/officeDocument/2006/relationships" name="Werkschema - Rekening" sheetId="2" state="hidden" r:id="rId2"/>
    <sheet xmlns:r="http://schemas.openxmlformats.org/officeDocument/2006/relationships" name="Instellingen HIDE" sheetId="3" state="hidden" r:id="rId3"/>
    <sheet xmlns:r="http://schemas.openxmlformats.org/officeDocument/2006/relationships" name="Ma" sheetId="4" state="visible" r:id="rId4"/>
    <sheet xmlns:r="http://schemas.openxmlformats.org/officeDocument/2006/relationships" name="Di" sheetId="5" state="visible" r:id="rId5"/>
    <sheet xmlns:r="http://schemas.openxmlformats.org/officeDocument/2006/relationships" name="Wo" sheetId="6" state="visible" r:id="rId6"/>
    <sheet xmlns:r="http://schemas.openxmlformats.org/officeDocument/2006/relationships" name="Do" sheetId="7" state="visible" r:id="rId7"/>
    <sheet xmlns:r="http://schemas.openxmlformats.org/officeDocument/2006/relationships" name="Vr" sheetId="8" state="visible" r:id="rId8"/>
    <sheet xmlns:r="http://schemas.openxmlformats.org/officeDocument/2006/relationships" name="Za" sheetId="9" state="visible" r:id="rId9"/>
    <sheet xmlns:r="http://schemas.openxmlformats.org/officeDocument/2006/relationships" name="Zo" sheetId="10" state="visible" r:id="rId10"/>
    <sheet xmlns:r="http://schemas.openxmlformats.org/officeDocument/2006/relationships" name="Planning" sheetId="11" state="visible" r:id="rId11"/>
    <sheet xmlns:r="http://schemas.openxmlformats.org/officeDocument/2006/relationships" name="Medewerker" sheetId="12" state="visible" r:id="rId12"/>
    <sheet xmlns:r="http://schemas.openxmlformats.org/officeDocument/2006/relationships" name="Instellingen" sheetId="13" state="visible" r:id="rId13"/>
    <sheet xmlns:r="http://schemas.openxmlformats.org/officeDocument/2006/relationships" name="Begroting" sheetId="14" state="visible" r:id="rId14"/>
    <sheet xmlns:r="http://schemas.openxmlformats.org/officeDocument/2006/relationships" name="Werkschema" sheetId="15" state="visible" r:id="rId15"/>
    <sheet xmlns:r="http://schemas.openxmlformats.org/officeDocument/2006/relationships" name="Aanpassen Werkschema" sheetId="16" state="visible" r:id="rId16"/>
    <sheet xmlns:r="http://schemas.openxmlformats.org/officeDocument/2006/relationships" name="Access" sheetId="17" state="hidden" r:id="rId17"/>
  </sheets>
  <definedNames>
    <definedName name="_A65555">#REF!</definedName>
    <definedName name="namenlijst">Medewerker!$C$8:$C$107</definedName>
    <definedName name="TKWS">#REF!</definedName>
    <definedName name="_A65555" localSheetId="0">#REF!</definedName>
    <definedName name="_A65555" localSheetId="1">#REF!</definedName>
    <definedName name="_A65555" localSheetId="3">#REF!</definedName>
    <definedName name="TKWS" localSheetId="3">Ma!$B$13</definedName>
    <definedName name="_A65555" localSheetId="4">#REF!</definedName>
    <definedName name="TKWS" localSheetId="4">Di!$B$13</definedName>
    <definedName name="_A65555" localSheetId="5">#REF!</definedName>
    <definedName name="TKWS" localSheetId="5">Wo!$B$13</definedName>
    <definedName name="_A65555" localSheetId="6">#REF!</definedName>
    <definedName name="TKWS" localSheetId="6">Do!$B$13</definedName>
    <definedName name="_A65555" localSheetId="7">#REF!</definedName>
    <definedName name="TKWS" localSheetId="7">Vr!$B$13</definedName>
    <definedName name="_A65555" localSheetId="8">#REF!</definedName>
    <definedName name="TKWS" localSheetId="8">Za!$B$13</definedName>
    <definedName name="_A65555" localSheetId="9">#REF!</definedName>
    <definedName name="TKWS" localSheetId="9">Zo!$B$13</definedName>
    <definedName name="_A65555" localSheetId="14">#REF!</definedName>
    <definedName name="_A65555" localSheetId="15">#REF!</definedName>
  </definedNames>
  <calcPr calcId="191028" fullCalcOnLoad="1"/>
</workbook>
</file>

<file path=xl/styles.xml><?xml version="1.0" encoding="utf-8"?>
<styleSheet xmlns="http://schemas.openxmlformats.org/spreadsheetml/2006/main">
  <numFmts count="14">
    <numFmt numFmtId="164" formatCode="h&quot;:&quot;mm"/>
    <numFmt numFmtId="165" formatCode="[h]:mm;@"/>
    <numFmt numFmtId="166" formatCode="0.0"/>
    <numFmt numFmtId="167" formatCode="0.00_ ;[Red]\-0.00\ "/>
    <numFmt numFmtId="168" formatCode="&quot;€&quot;\ #,##0;&quot;€&quot;\ \-#,##0"/>
    <numFmt numFmtId="169" formatCode="[$€-2]\ #,##0"/>
    <numFmt numFmtId="170" formatCode="h:mm;@"/>
    <numFmt numFmtId="171" formatCode="[h]&quot;:&quot;mm"/>
    <numFmt numFmtId="172" formatCode="h:mm:ss;@"/>
    <numFmt numFmtId="173" formatCode="#,##0.0000000000"/>
    <numFmt numFmtId="174" formatCode="0.0000000000"/>
    <numFmt numFmtId="175" formatCode="[h]:mm:ss;@"/>
    <numFmt numFmtId="176" formatCode="0_ ;[Red]\-0\ "/>
    <numFmt numFmtId="177" formatCode="[$-F800]dddd\,\ mmmm\ dd"/>
  </numFmts>
  <fonts count="58">
    <font>
      <name val="Arial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rgb="FFFFFFFF"/>
      <sz val="8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b val="1"/>
      <sz val="8"/>
    </font>
    <font>
      <name val="Arial"/>
      <family val="2"/>
      <b val="1"/>
      <color rgb="FFFFFFFF"/>
      <sz val="8"/>
    </font>
    <font>
      <name val="Arial"/>
      <family val="2"/>
      <color rgb="FFFFFFFF"/>
      <sz val="6"/>
    </font>
    <font>
      <name val="Arial"/>
      <family val="2"/>
      <color rgb="FFFFFFFF"/>
      <sz val="7"/>
    </font>
    <font>
      <name val="Arial"/>
      <family val="2"/>
      <sz val="9"/>
    </font>
    <font>
      <name val="Arial"/>
      <family val="2"/>
      <color rgb="FF000000"/>
      <sz val="8"/>
    </font>
    <font>
      <name val="Arial"/>
      <family val="2"/>
      <b val="1"/>
      <sz val="7"/>
    </font>
    <font>
      <name val="Arial"/>
      <family val="2"/>
      <sz val="6"/>
    </font>
    <font>
      <name val="Arial"/>
      <family val="2"/>
      <sz val="7"/>
    </font>
    <font>
      <name val="Arial"/>
      <family val="2"/>
      <color rgb="FFFFFFFF"/>
      <sz val="10"/>
    </font>
    <font>
      <name val="Arial"/>
      <family val="2"/>
      <b val="1"/>
      <color rgb="FFFFFFFF"/>
      <sz val="10"/>
    </font>
    <font>
      <name val="Arial"/>
      <family val="2"/>
      <color rgb="FFFFFFFF"/>
      <sz val="20"/>
    </font>
    <font>
      <name val="Arial"/>
      <family val="2"/>
      <b val="1"/>
      <color rgb="FFFFFFFF"/>
      <sz val="9"/>
    </font>
    <font>
      <name val="Arial"/>
      <family val="2"/>
      <b val="1"/>
      <sz val="10"/>
    </font>
    <font>
      <name val="Arial"/>
      <family val="2"/>
      <color rgb="FF000000"/>
      <sz val="10"/>
    </font>
    <font>
      <name val="Arial"/>
      <family val="2"/>
      <i val="1"/>
      <sz val="8"/>
    </font>
    <font>
      <name val="Arial"/>
      <family val="2"/>
      <b val="1"/>
      <color rgb="FFFFFFFF"/>
      <sz val="14"/>
    </font>
    <font>
      <name val="Inconsolata"/>
      <color rgb="FF008000"/>
      <sz val="11"/>
      <u val="single"/>
    </font>
    <font>
      <name val="Arial"/>
      <family val="2"/>
      <color theme="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sz val="5"/>
    </font>
    <font>
      <name val="Arial"/>
      <family val="2"/>
      <color theme="0"/>
      <sz val="7"/>
    </font>
    <font>
      <name val="Arial"/>
      <family val="2"/>
      <b val="1"/>
      <color theme="0"/>
      <sz val="8"/>
    </font>
    <font>
      <name val="Arial"/>
      <family val="2"/>
      <b val="1"/>
      <sz val="12"/>
    </font>
    <font>
      <name val="Arial"/>
      <family val="2"/>
      <b val="1"/>
      <sz val="20"/>
    </font>
    <font>
      <name val="Arial"/>
      <family val="2"/>
      <b val="1"/>
      <sz val="22"/>
    </font>
    <font>
      <name val="Arial"/>
      <family val="2"/>
      <color rgb="FFFF0000"/>
      <sz val="10"/>
    </font>
    <font>
      <name val="Arial"/>
      <family val="2"/>
      <b val="1"/>
      <sz val="14"/>
    </font>
    <font>
      <name val="Arial"/>
      <family val="2"/>
      <b val="1"/>
      <color rgb="FFFF0000"/>
      <sz val="12"/>
    </font>
    <font>
      <name val="Arial"/>
      <family val="2"/>
      <b val="1"/>
      <color rgb="FF002060"/>
      <sz val="22"/>
    </font>
    <font>
      <name val="Arial"/>
      <family val="2"/>
      <b val="1"/>
      <color theme="0"/>
      <sz val="10"/>
    </font>
    <font>
      <name val="Arial"/>
      <family val="2"/>
      <color rgb="FFFFFFFF"/>
      <sz val="5"/>
    </font>
    <font>
      <name val="Arial"/>
      <family val="2"/>
      <color rgb="FF000000"/>
      <sz val="5"/>
    </font>
    <font>
      <name val="Arial"/>
      <family val="2"/>
      <color theme="0"/>
      <sz val="9"/>
    </font>
    <font>
      <name val="Arial"/>
      <family val="2"/>
      <b val="1"/>
      <color theme="0"/>
      <sz val="9"/>
    </font>
    <font>
      <name val="Arial"/>
      <family val="2"/>
      <b val="1"/>
      <color rgb="FF000000"/>
      <sz val="9"/>
    </font>
    <font>
      <name val="Arial"/>
      <family val="2"/>
      <color rgb="FFFFFFFF"/>
      <sz val="9"/>
    </font>
    <font>
      <name val="Arial"/>
      <family val="2"/>
      <color rgb="FF00B050"/>
      <sz val="7"/>
    </font>
    <font>
      <name val="Arial"/>
      <family val="2"/>
      <b val="1"/>
      <color rgb="FF00B050"/>
      <sz val="7"/>
    </font>
    <font>
      <name val="Arial"/>
      <family val="2"/>
      <color rgb="FF000000"/>
      <sz val="6"/>
    </font>
    <font>
      <name val="Arial"/>
      <family val="2"/>
      <color rgb="FF000000"/>
      <sz val="10"/>
    </font>
    <font>
      <name val="Arial"/>
      <family val="2"/>
      <color theme="0"/>
      <sz val="8"/>
    </font>
    <font>
      <name val="Arial"/>
      <family val="2"/>
      <color rgb="FFFF0000"/>
      <sz val="8"/>
    </font>
    <font>
      <name val="Inconsolata"/>
      <color rgb="FFFF0000"/>
      <sz val="11"/>
    </font>
    <font>
      <name val="Arial"/>
      <family val="2"/>
      <color theme="2"/>
      <sz val="8"/>
    </font>
    <font>
      <name val="Arial"/>
      <family val="2"/>
      <b val="1"/>
      <color rgb="FF002060"/>
      <sz val="16"/>
    </font>
  </fonts>
  <fills count="5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366FF"/>
        <bgColor rgb="FF3366FF"/>
      </patternFill>
    </fill>
    <fill>
      <patternFill patternType="solid">
        <fgColor rgb="FF00FF00"/>
        <bgColor rgb="FF00FF00"/>
      </patternFill>
    </fill>
    <fill>
      <patternFill patternType="solid">
        <fgColor rgb="FF006411"/>
        <bgColor rgb="FF006411"/>
      </patternFill>
    </fill>
    <fill>
      <patternFill patternType="solid">
        <fgColor rgb="FF4A86E8"/>
        <bgColor rgb="FF4A86E8"/>
      </patternFill>
    </fill>
    <fill>
      <patternFill patternType="solid">
        <fgColor rgb="FF1155CC"/>
        <bgColor rgb="FF1155CC"/>
      </patternFill>
    </fill>
    <fill>
      <patternFill patternType="solid">
        <fgColor rgb="FF38761D"/>
        <bgColor rgb="FF38761D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1C4587"/>
        <bgColor rgb="FF1C4587"/>
      </patternFill>
    </fill>
    <fill>
      <patternFill patternType="solid">
        <fgColor theme="0" tint="-0.249977111117893"/>
        <bgColor rgb="FFE5E5E5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2060"/>
        <bgColor rgb="FF3366FF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073763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2060"/>
        <bgColor rgb="FF1155CC"/>
      </patternFill>
    </fill>
    <fill>
      <patternFill patternType="solid">
        <fgColor theme="0"/>
        <bgColor rgb="FF1155CC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2CC"/>
      </patternFill>
    </fill>
    <fill>
      <patternFill patternType="solid">
        <fgColor theme="7"/>
        <bgColor rgb="FF1155CC"/>
      </patternFill>
    </fill>
    <fill>
      <patternFill patternType="solid">
        <fgColor rgb="FF002060"/>
        <bgColor rgb="FFFF9900"/>
      </patternFill>
    </fill>
    <fill>
      <patternFill patternType="solid">
        <fgColor rgb="FF002060"/>
        <bgColor rgb="FFFFFFFF"/>
      </patternFill>
    </fill>
    <fill>
      <patternFill patternType="solid">
        <fgColor theme="1"/>
        <bgColor rgb="FF1155CC"/>
      </patternFill>
    </fill>
    <fill>
      <patternFill patternType="solid">
        <fgColor theme="0"/>
        <bgColor rgb="FFF1C232"/>
      </patternFill>
    </fill>
    <fill>
      <patternFill patternType="solid">
        <fgColor theme="2"/>
        <bgColor rgb="FFCFE2F3"/>
      </patternFill>
    </fill>
    <fill>
      <patternFill patternType="solid">
        <fgColor theme="2"/>
        <bgColor rgb="FFFF9900"/>
      </patternFill>
    </fill>
    <fill>
      <patternFill patternType="solid">
        <fgColor theme="2"/>
        <bgColor rgb="FF1155CC"/>
      </patternFill>
    </fill>
    <fill>
      <patternFill patternType="solid">
        <fgColor theme="2"/>
        <bgColor rgb="FF6AA84F"/>
      </patternFill>
    </fill>
    <fill>
      <patternFill patternType="solid">
        <fgColor theme="2" tint="-0.749992370372631"/>
        <bgColor rgb="FF1155CC"/>
      </patternFill>
    </fill>
    <fill>
      <patternFill patternType="solid">
        <fgColor theme="2"/>
        <bgColor rgb="FF000000"/>
      </patternFill>
    </fill>
    <fill>
      <patternFill patternType="solid">
        <fgColor theme="7"/>
        <bgColor rgb="FFFFFF00"/>
      </patternFill>
    </fill>
    <fill>
      <patternFill patternType="solid">
        <fgColor theme="2" tint="-0.09997863704336681"/>
        <bgColor rgb="FFFFF2CC"/>
      </patternFill>
    </fill>
    <fill>
      <patternFill patternType="solid">
        <fgColor rgb="FF002060"/>
        <bgColor rgb="FF1C4587"/>
      </patternFill>
    </fill>
    <fill>
      <patternFill patternType="solid">
        <fgColor rgb="FF002060"/>
        <bgColor rgb="FF000000"/>
      </patternFill>
    </fill>
    <fill>
      <patternFill patternType="solid">
        <fgColor theme="0"/>
        <bgColor rgb="FFCCCCCC"/>
      </patternFill>
    </fill>
    <fill>
      <patternFill patternType="solid">
        <fgColor theme="0"/>
        <bgColor rgb="FF1C4587"/>
      </patternFill>
    </fill>
    <fill>
      <patternFill patternType="solid">
        <fgColor theme="7"/>
        <bgColor rgb="FF1C4587"/>
      </patternFill>
    </fill>
    <fill>
      <patternFill patternType="solid">
        <fgColor theme="2"/>
        <bgColor rgb="FFFFFF0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1499984740745262"/>
        <bgColor rgb="FFFFFFFF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179EDA"/>
        <bgColor indexed="64"/>
      </patternFill>
    </fill>
    <fill>
      <patternFill patternType="solid">
        <fgColor rgb="FF179EDA"/>
        <bgColor rgb="FF6AA84F"/>
      </patternFill>
    </fill>
    <fill>
      <patternFill patternType="solid">
        <fgColor rgb="FF179EDA"/>
        <bgColor rgb="FFFFFF00"/>
      </patternFill>
    </fill>
    <fill>
      <patternFill patternType="solid">
        <fgColor rgb="FF179EDA"/>
        <bgColor rgb="FF1C4587"/>
      </patternFill>
    </fill>
    <fill>
      <patternFill patternType="solid">
        <fgColor rgb="FF179EDA"/>
        <bgColor rgb="FF1155CC"/>
      </patternFill>
    </fill>
    <fill>
      <patternFill patternType="solid">
        <fgColor rgb="FF179EDA"/>
        <bgColor rgb="FF38761D"/>
      </patternFill>
    </fill>
    <fill>
      <patternFill patternType="solid">
        <fgColor rgb="FF179EDA"/>
        <bgColor rgb="FFFFFFFF"/>
      </patternFill>
    </fill>
  </fills>
  <borders count="30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999999"/>
      </right>
      <top style="thin">
        <color rgb="FF000000"/>
      </top>
      <bottom style="thin">
        <color rgb="FF999999"/>
      </bottom>
      <diagonal/>
    </border>
    <border>
      <left style="thin">
        <color rgb="FF999999"/>
      </left>
      <right/>
      <top style="thin">
        <color rgb="FF000000"/>
      </top>
      <bottom style="thin">
        <color rgb="FF999999"/>
      </bottom>
      <diagonal/>
    </border>
    <border>
      <left style="thin">
        <color rgb="FF999999"/>
      </left>
      <right style="thin">
        <color rgb="FF000000"/>
      </right>
      <top style="thin">
        <color rgb="FF000000"/>
      </top>
      <bottom style="thin">
        <color rgb="FF999999"/>
      </bottom>
      <diagonal/>
    </border>
    <border>
      <left style="thin">
        <color rgb="FF434343"/>
      </left>
      <right style="thin">
        <color rgb="FF434343"/>
      </right>
      <top style="thin">
        <color rgb="FF434343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434343"/>
      </left>
      <right style="thin">
        <color rgb="FF434343"/>
      </right>
      <top/>
      <bottom/>
      <diagonal/>
    </border>
    <border>
      <left style="thin">
        <color rgb="FF434343"/>
      </left>
      <right/>
      <top/>
      <bottom/>
      <diagonal/>
    </border>
    <border>
      <left style="thin">
        <color rgb="FF073763"/>
      </left>
      <right style="thin">
        <color rgb="FF073763"/>
      </right>
      <top style="thin">
        <color rgb="FF073763"/>
      </top>
      <bottom style="thin">
        <color rgb="FF073763"/>
      </bottom>
      <diagonal/>
    </border>
    <border>
      <left/>
      <right style="thin">
        <color rgb="FF073763"/>
      </right>
      <top style="thin">
        <color rgb="FF073763"/>
      </top>
      <bottom style="thin">
        <color rgb="FF073763"/>
      </bottom>
      <diagonal/>
    </border>
    <border>
      <left/>
      <right style="thin">
        <color rgb="FF073763"/>
      </right>
      <top style="thin">
        <color rgb="FF073763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000000"/>
      </right>
      <top style="thin">
        <color rgb="FFB7B7B7"/>
      </top>
      <bottom style="thin">
        <color rgb="FFB7B7B7"/>
      </bottom>
      <diagonal/>
    </border>
    <border>
      <left style="thin">
        <color rgb="FF000000"/>
      </left>
      <right/>
      <top style="thin">
        <color rgb="FFB7B7B7"/>
      </top>
      <bottom style="thin">
        <color rgb="FF000000"/>
      </bottom>
      <diagonal/>
    </border>
    <border>
      <left/>
      <right/>
      <top style="thin">
        <color rgb="FFB7B7B7"/>
      </top>
      <bottom style="thin">
        <color rgb="FF000000"/>
      </bottom>
      <diagonal/>
    </border>
    <border>
      <left/>
      <right style="thin">
        <color rgb="FF000000"/>
      </right>
      <top style="thin">
        <color rgb="FFB7B7B7"/>
      </top>
      <bottom style="thin">
        <color rgb="FF000000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73763"/>
      </left>
      <right/>
      <top style="thin">
        <color rgb="FF073763"/>
      </top>
      <bottom style="thin">
        <color rgb="FF073763"/>
      </bottom>
      <diagonal/>
    </border>
    <border>
      <left/>
      <right/>
      <top style="thin">
        <color rgb="FF073763"/>
      </top>
      <bottom style="thin">
        <color rgb="FF0737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1C4587"/>
      </left>
      <right style="thin">
        <color rgb="FF1C4587"/>
      </right>
      <top style="thin">
        <color rgb="FF1C4587"/>
      </top>
      <bottom style="thin">
        <color rgb="FF1C4587"/>
      </bottom>
      <diagonal/>
    </border>
    <border>
      <left style="thin">
        <color rgb="FF1C4587"/>
      </left>
      <right style="thin">
        <color rgb="FF1C4587"/>
      </right>
      <top style="thin">
        <color rgb="FF1C4587"/>
      </top>
      <bottom/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1C4587"/>
      </left>
      <right/>
      <top style="thin">
        <color rgb="FF1C4587"/>
      </top>
      <bottom style="thin">
        <color rgb="FF1C458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C4587"/>
      </left>
      <right/>
      <top style="thin">
        <color rgb="FF1C4587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indexed="64"/>
      </bottom>
      <diagonal/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dotted">
        <color theme="0" tint="-0.499984740745262"/>
      </left>
      <right/>
      <top style="dotted">
        <color theme="0" tint="-0.499984740745262"/>
      </top>
      <bottom/>
      <diagonal/>
    </border>
    <border>
      <left/>
      <right/>
      <top style="dotted">
        <color theme="0" tint="-0.499984740745262"/>
      </top>
      <bottom/>
      <diagonal/>
    </border>
    <border>
      <left/>
      <right style="dotted">
        <color theme="0" tint="-0.499984740745262"/>
      </right>
      <top style="dotted">
        <color theme="0" tint="-0.499984740745262"/>
      </top>
      <bottom/>
      <diagonal/>
    </border>
    <border>
      <left style="dotted">
        <color theme="0" tint="-0.499984740745262"/>
      </left>
      <right/>
      <top/>
      <bottom/>
      <diagonal/>
    </border>
    <border>
      <left/>
      <right style="dotted">
        <color theme="0" tint="-0.499984740745262"/>
      </right>
      <top/>
      <bottom/>
      <diagonal/>
    </border>
    <border>
      <left style="dotted">
        <color theme="0" tint="-0.499984740745262"/>
      </left>
      <right/>
      <top/>
      <bottom style="dotted">
        <color theme="0" tint="-0.499984740745262"/>
      </bottom>
      <diagonal/>
    </border>
    <border>
      <left/>
      <right/>
      <top/>
      <bottom style="dotted">
        <color theme="0" tint="-0.499984740745262"/>
      </bottom>
      <diagonal/>
    </border>
    <border>
      <left/>
      <right style="dotted">
        <color theme="0" tint="-0.499984740745262"/>
      </right>
      <top/>
      <bottom style="dotted">
        <color theme="0" tint="-0.499984740745262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999999"/>
      </right>
      <top style="thin">
        <color rgb="FF999999"/>
      </top>
      <bottom style="thin">
        <color indexed="64"/>
      </bottom>
      <diagonal/>
    </border>
    <border>
      <left style="thin">
        <color rgb="FF434343"/>
      </left>
      <right style="thin">
        <color rgb="FF434343"/>
      </right>
      <top/>
      <bottom style="thin">
        <color indexed="64"/>
      </bottom>
      <diagonal/>
    </border>
    <border>
      <left style="thin">
        <color rgb="FF434343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theme="7"/>
      </left>
      <right style="thin">
        <color theme="7"/>
      </right>
      <top/>
      <bottom style="thin">
        <color theme="7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999999"/>
      </bottom>
      <diagonal/>
    </border>
    <border>
      <left style="thin">
        <color rgb="FF000000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thin">
        <color indexed="64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indexed="64"/>
      </top>
      <bottom style="medium">
        <color indexed="64"/>
      </bottom>
      <diagonal/>
    </border>
    <border>
      <left style="thin">
        <color theme="0" tint="-0.3499862666707358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999999"/>
      </bottom>
      <diagonal/>
    </border>
    <border>
      <left/>
      <right style="medium">
        <color indexed="64"/>
      </right>
      <top style="thin">
        <color indexed="64"/>
      </top>
      <bottom style="thin">
        <color rgb="FF999999"/>
      </bottom>
      <diagonal/>
    </border>
    <border>
      <left style="medium">
        <color indexed="64"/>
      </left>
      <right style="thin">
        <color rgb="FF000000"/>
      </right>
      <top/>
      <bottom style="thin">
        <color rgb="FF999999"/>
      </bottom>
      <diagonal/>
    </border>
    <border>
      <left/>
      <right style="medium">
        <color indexed="64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indexed="64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indexed="64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/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indexed="64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indexed="64"/>
      </top>
      <bottom style="thin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indexed="64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rgb="FF0033CC"/>
      </right>
      <top style="thin">
        <color indexed="64"/>
      </top>
      <bottom style="thin">
        <color indexed="64"/>
      </bottom>
      <diagonal/>
    </border>
    <border>
      <left style="thin">
        <color rgb="FF0033CC"/>
      </left>
      <right style="thin">
        <color rgb="FF0033CC"/>
      </right>
      <top style="thin">
        <color indexed="64"/>
      </top>
      <bottom style="thin">
        <color indexed="64"/>
      </bottom>
      <diagonal/>
    </border>
    <border>
      <left style="thin">
        <color rgb="FF0033CC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rgb="FF999999"/>
      </right>
      <top style="thin">
        <color rgb="FF000000"/>
      </top>
      <bottom style="thin">
        <color rgb="FF999999"/>
      </bottom>
      <diagonal/>
    </border>
    <border>
      <left style="thin">
        <color indexed="64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rgb="FF999999"/>
      </right>
      <top style="thin">
        <color rgb="FF999999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B7B7B7"/>
      </bottom>
      <diagonal/>
    </border>
    <border>
      <left style="thin">
        <color indexed="64"/>
      </left>
      <right/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indexed="64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rgb="FFB7B7B7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B7B7B7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B7B7B7"/>
      </top>
      <bottom style="thin">
        <color indexed="64"/>
      </bottom>
      <diagonal/>
    </border>
    <border>
      <left/>
      <right/>
      <top style="thin">
        <color rgb="FFB7B7B7"/>
      </top>
      <bottom style="thin">
        <color indexed="64"/>
      </bottom>
      <diagonal/>
    </border>
    <border>
      <left/>
      <right style="thin">
        <color rgb="FF000000"/>
      </right>
      <top style="thin">
        <color rgb="FFB7B7B7"/>
      </top>
      <bottom style="thin">
        <color indexed="64"/>
      </bottom>
      <diagonal/>
    </border>
    <border>
      <left style="thin">
        <color rgb="FF000000"/>
      </left>
      <right/>
      <top style="thin">
        <color rgb="FFB7B7B7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B7B7B7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000000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rgb="FF000000"/>
      </top>
      <bottom style="thin">
        <color rgb="FFB7B7B7"/>
      </bottom>
      <diagonal/>
    </border>
    <border>
      <left/>
      <right/>
      <top style="thin">
        <color rgb="FF000000"/>
      </top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B7B7B7"/>
      </bottom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/>
      <right style="thin">
        <color indexed="64"/>
      </right>
      <top style="thin">
        <color rgb="FFB7B7B7"/>
      </top>
      <bottom style="thin">
        <color rgb="FFB7B7B7"/>
      </bottom>
      <diagonal/>
    </border>
    <border>
      <left/>
      <right style="thin">
        <color indexed="64"/>
      </right>
      <top style="thin">
        <color rgb="FFB7B7B7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B7B7B7"/>
      </bottom>
      <diagonal/>
    </border>
    <border>
      <left/>
      <right style="thin">
        <color indexed="64"/>
      </right>
      <top style="thin">
        <color rgb="FFB7B7B7"/>
      </top>
      <bottom style="thin">
        <color indexed="64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999999"/>
      </top>
      <bottom style="thin">
        <color indexed="64"/>
      </bottom>
      <diagonal/>
    </border>
    <border>
      <left/>
      <right style="medium">
        <color indexed="64"/>
      </right>
      <top style="thin">
        <color rgb="FF999999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999999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0" tint="-0.3499862666707358"/>
      </bottom>
      <diagonal/>
    </border>
    <border>
      <left style="medium">
        <color indexed="64"/>
      </left>
      <right style="thin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indexed="64"/>
      </right>
      <top style="thin">
        <color theme="0" tint="-0.349986266670735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theme="0" tint="-0.249977111117893"/>
      </top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indexed="64"/>
      </bottom>
      <diagonal/>
    </border>
    <border>
      <left style="thin">
        <color rgb="FF179EDA"/>
      </left>
      <right style="thin">
        <color rgb="FF179EDA"/>
      </right>
      <top style="thin">
        <color rgb="FF179EDA"/>
      </top>
      <bottom style="thin">
        <color rgb="FF179EDA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/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rgb="FF073763"/>
      </top>
      <bottom/>
      <diagonal/>
    </border>
    <border>
      <left/>
      <right style="thin">
        <color rgb="FF073763"/>
      </right>
      <top style="thin">
        <color rgb="FF073763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B7B7B7"/>
      </top>
      <bottom style="thin">
        <color indexed="64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indexed="64"/>
      </right>
      <top style="thin">
        <color rgb="FFB7B7B7"/>
      </top>
      <bottom/>
      <diagonal/>
    </border>
    <border>
      <left style="thin">
        <color indexed="64"/>
      </left>
      <right style="thin">
        <color rgb="FF000000"/>
      </right>
      <top style="thin">
        <color rgb="FFB7B7B7"/>
      </top>
      <bottom style="thin">
        <color indexed="64"/>
      </bottom>
      <diagonal/>
    </border>
    <border>
      <left/>
      <right style="thin">
        <color rgb="FF000000"/>
      </right>
      <top style="thin">
        <color rgb="FFB7B7B7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rgb="FFB7B7B7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B7B7B7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B7B7B7"/>
      </bottom>
      <diagonal/>
    </border>
    <border>
      <left style="thin">
        <color indexed="64"/>
      </left>
      <right style="thin">
        <color rgb="FF000000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 style="thin">
        <color rgb="FF000000"/>
      </right>
      <top style="thin">
        <color rgb="FFB7B7B7"/>
      </top>
      <bottom style="thin">
        <color rgb="FF000000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indexed="64"/>
      </right>
      <top style="thin">
        <color theme="0" tint="-0.249977111117893"/>
      </top>
      <bottom/>
      <diagonal/>
    </border>
    <border>
      <left/>
      <right style="thin">
        <color rgb="FF0033CC"/>
      </right>
      <top style="thin">
        <color indexed="64"/>
      </top>
      <bottom/>
      <diagonal/>
    </border>
    <border>
      <left/>
      <right style="thin">
        <color rgb="FF0033CC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28"/>
    <xf numFmtId="0" fontId="52" fillId="0" borderId="28"/>
    <xf numFmtId="0" fontId="52" fillId="0" borderId="28"/>
    <xf numFmtId="0" fontId="4" fillId="0" borderId="28"/>
    <xf numFmtId="0" fontId="52" fillId="0" borderId="28"/>
    <xf numFmtId="0" fontId="52" fillId="0" borderId="28"/>
    <xf numFmtId="0" fontId="4" fillId="0" borderId="28"/>
    <xf numFmtId="0" fontId="4" fillId="0" borderId="28"/>
    <xf numFmtId="0" fontId="52" fillId="0" borderId="28"/>
    <xf numFmtId="0" fontId="4" fillId="0" borderId="28"/>
    <xf numFmtId="0" fontId="4" fillId="0" borderId="28"/>
    <xf numFmtId="0" fontId="4" fillId="0" borderId="28"/>
    <xf numFmtId="0" fontId="4" fillId="0" borderId="28"/>
    <xf numFmtId="0" fontId="4" fillId="0" borderId="28"/>
  </cellStyleXfs>
  <cellXfs count="1078">
    <xf numFmtId="0" fontId="0" fillId="0" borderId="0" pivotButton="0" quotePrefix="0" xfId="0"/>
    <xf numFmtId="0" fontId="28" fillId="0" borderId="28" applyProtection="1" pivotButton="0" quotePrefix="0" xfId="2">
      <protection locked="1" hidden="1"/>
    </xf>
    <xf numFmtId="164" fontId="22" fillId="0" borderId="37" applyAlignment="1" applyProtection="1" pivotButton="0" quotePrefix="0" xfId="0">
      <alignment horizontal="center"/>
      <protection locked="1" hidden="1"/>
    </xf>
    <xf numFmtId="0" fontId="7" fillId="0" borderId="37" applyProtection="1" pivotButton="0" quotePrefix="0" xfId="0">
      <protection locked="1" hidden="1"/>
    </xf>
    <xf numFmtId="164" fontId="22" fillId="0" borderId="38" applyAlignment="1" applyProtection="1" pivotButton="0" quotePrefix="0" xfId="0">
      <alignment horizontal="center"/>
      <protection locked="1" hidden="1"/>
    </xf>
    <xf numFmtId="0" fontId="7" fillId="0" borderId="38" applyProtection="1" pivotButton="0" quotePrefix="0" xfId="0">
      <protection locked="1" hidden="1"/>
    </xf>
    <xf numFmtId="0" fontId="29" fillId="0" borderId="28" applyAlignment="1" applyProtection="1" pivotButton="0" quotePrefix="0" xfId="2">
      <alignment horizontal="center"/>
      <protection locked="1" hidden="1"/>
    </xf>
    <xf numFmtId="0" fontId="29" fillId="0" borderId="28" applyProtection="1" pivotButton="0" quotePrefix="0" xfId="2">
      <protection locked="1" hidden="1"/>
    </xf>
    <xf numFmtId="164" fontId="29" fillId="0" borderId="28" applyAlignment="1" applyProtection="1" pivotButton="0" quotePrefix="0" xfId="2">
      <alignment horizontal="center"/>
      <protection locked="1" hidden="1"/>
    </xf>
    <xf numFmtId="0" fontId="29" fillId="0" borderId="6" applyAlignment="1" applyProtection="1" pivotButton="0" quotePrefix="0" xfId="2">
      <alignment horizontal="center"/>
      <protection locked="1" hidden="1"/>
    </xf>
    <xf numFmtId="0" fontId="29" fillId="0" borderId="6" applyProtection="1" pivotButton="0" quotePrefix="0" xfId="2">
      <protection locked="1" hidden="1"/>
    </xf>
    <xf numFmtId="164" fontId="7" fillId="0" borderId="38" applyAlignment="1" applyProtection="1" pivotButton="0" quotePrefix="0" xfId="0">
      <alignment shrinkToFit="1"/>
      <protection locked="1" hidden="1"/>
    </xf>
    <xf numFmtId="164" fontId="7" fillId="0" borderId="38" applyAlignment="1" applyProtection="1" pivotButton="0" quotePrefix="0" xfId="0">
      <alignment horizontal="center" shrinkToFit="1"/>
      <protection locked="1" hidden="1"/>
    </xf>
    <xf numFmtId="164" fontId="7" fillId="0" borderId="37" applyAlignment="1" applyProtection="1" pivotButton="0" quotePrefix="0" xfId="0">
      <alignment shrinkToFit="1"/>
      <protection locked="1" hidden="1"/>
    </xf>
    <xf numFmtId="164" fontId="7" fillId="0" borderId="37" applyAlignment="1" applyProtection="1" pivotButton="0" quotePrefix="0" xfId="0">
      <alignment horizontal="center" shrinkToFit="1"/>
      <protection locked="1" hidden="1"/>
    </xf>
    <xf numFmtId="0" fontId="7" fillId="0" borderId="37" applyAlignment="1" applyProtection="1" pivotButton="0" quotePrefix="0" xfId="0">
      <alignment shrinkToFit="1"/>
      <protection locked="1" hidden="1"/>
    </xf>
    <xf numFmtId="0" fontId="7" fillId="0" borderId="37" applyAlignment="1" applyProtection="1" pivotButton="0" quotePrefix="0" xfId="0">
      <alignment horizontal="center" shrinkToFit="1"/>
      <protection locked="1" hidden="1"/>
    </xf>
    <xf numFmtId="0" fontId="6" fillId="0" borderId="0" applyAlignment="1" applyProtection="1" pivotButton="0" quotePrefix="0" xfId="0">
      <alignment horizontal="left" shrinkToFit="1"/>
      <protection locked="1" hidden="1"/>
    </xf>
    <xf numFmtId="0" fontId="5" fillId="0" borderId="0" applyAlignment="1" applyProtection="1" pivotButton="0" quotePrefix="0" xfId="0">
      <alignment shrinkToFit="1"/>
      <protection locked="1" hidden="1"/>
    </xf>
    <xf numFmtId="0" fontId="5" fillId="0" borderId="0" applyAlignment="1" applyProtection="1" pivotButton="0" quotePrefix="0" xfId="0">
      <alignment horizontal="right"/>
      <protection locked="1" hidden="1"/>
    </xf>
    <xf numFmtId="0" fontId="6" fillId="0" borderId="0" applyProtection="1" pivotButton="0" quotePrefix="0" xfId="0">
      <protection locked="1" hidden="1"/>
    </xf>
    <xf numFmtId="0" fontId="6" fillId="2" borderId="0" applyProtection="1" pivotButton="0" quotePrefix="0" xfId="0">
      <protection locked="1" hidden="1"/>
    </xf>
    <xf numFmtId="0" fontId="6" fillId="2" borderId="28" applyProtection="1" pivotButton="0" quotePrefix="0" xfId="0">
      <protection locked="1" hidden="1"/>
    </xf>
    <xf numFmtId="20" fontId="5" fillId="3" borderId="1" applyProtection="1" pivotButton="0" quotePrefix="0" xfId="0">
      <protection locked="1" hidden="1"/>
    </xf>
    <xf numFmtId="20" fontId="5" fillId="3" borderId="8" applyProtection="1" pivotButton="0" quotePrefix="0" xfId="0">
      <protection locked="1" hidden="1"/>
    </xf>
    <xf numFmtId="20" fontId="5" fillId="3" borderId="9" applyProtection="1" pivotButton="0" quotePrefix="0" xfId="0">
      <protection locked="1" hidden="1"/>
    </xf>
    <xf numFmtId="20" fontId="5" fillId="3" borderId="9" applyAlignment="1" applyProtection="1" pivotButton="0" quotePrefix="0" xfId="0">
      <alignment horizontal="right"/>
      <protection locked="1" hidden="1"/>
    </xf>
    <xf numFmtId="20" fontId="5" fillId="3" borderId="10" applyAlignment="1" applyProtection="1" pivotButton="0" quotePrefix="0" xfId="0">
      <alignment horizontal="right"/>
      <protection locked="1" hidden="1"/>
    </xf>
    <xf numFmtId="0" fontId="6" fillId="0" borderId="0" applyAlignment="1" applyProtection="1" pivotButton="0" quotePrefix="0" xfId="0">
      <alignment shrinkToFit="1"/>
      <protection locked="1" hidden="1"/>
    </xf>
    <xf numFmtId="2" fontId="6" fillId="0" borderId="0" applyProtection="1" pivotButton="0" quotePrefix="0" xfId="0">
      <protection locked="1" hidden="1"/>
    </xf>
    <xf numFmtId="4" fontId="14" fillId="2" borderId="21" applyAlignment="1" applyProtection="1" pivotButton="0" quotePrefix="0" xfId="0">
      <alignment horizontal="center" shrinkToFit="1"/>
      <protection locked="1" hidden="1"/>
    </xf>
    <xf numFmtId="0" fontId="9" fillId="2" borderId="26" applyProtection="1" pivotButton="0" quotePrefix="0" xfId="0">
      <protection locked="1" hidden="1"/>
    </xf>
    <xf numFmtId="164" fontId="15" fillId="2" borderId="27" applyAlignment="1" applyProtection="1" pivotButton="0" quotePrefix="0" xfId="0">
      <alignment horizontal="center"/>
      <protection locked="1" hidden="1"/>
    </xf>
    <xf numFmtId="164" fontId="16" fillId="2" borderId="27" applyAlignment="1" applyProtection="1" pivotButton="0" quotePrefix="0" xfId="0">
      <alignment horizontal="center"/>
      <protection locked="1" hidden="1"/>
    </xf>
    <xf numFmtId="0" fontId="6" fillId="2" borderId="0" applyAlignment="1" applyProtection="1" pivotButton="0" quotePrefix="0" xfId="0">
      <alignment horizontal="center"/>
      <protection locked="1" hidden="1"/>
    </xf>
    <xf numFmtId="2" fontId="6" fillId="2" borderId="28" applyProtection="1" pivotButton="0" quotePrefix="0" xfId="0">
      <protection locked="1" hidden="1"/>
    </xf>
    <xf numFmtId="2" fontId="6" fillId="2" borderId="0" applyProtection="1" pivotButton="0" quotePrefix="0" xfId="0">
      <protection locked="1" hidden="1"/>
    </xf>
    <xf numFmtId="0" fontId="6" fillId="2" borderId="12" applyAlignment="1" applyProtection="1" pivotButton="0" quotePrefix="0" xfId="0">
      <alignment horizontal="center"/>
      <protection locked="0" hidden="0"/>
    </xf>
    <xf numFmtId="0" fontId="6" fillId="2" borderId="13" applyAlignment="1" applyProtection="1" pivotButton="0" quotePrefix="0" xfId="0">
      <alignment horizontal="center"/>
      <protection locked="0" hidden="0"/>
    </xf>
    <xf numFmtId="0" fontId="6" fillId="2" borderId="14" applyAlignment="1" applyProtection="1" pivotButton="0" quotePrefix="0" xfId="0">
      <alignment horizontal="center"/>
      <protection locked="0" hidden="0"/>
    </xf>
    <xf numFmtId="0" fontId="6" fillId="2" borderId="17" applyAlignment="1" applyProtection="1" pivotButton="0" quotePrefix="0" xfId="0">
      <alignment horizontal="center"/>
      <protection locked="0" hidden="0"/>
    </xf>
    <xf numFmtId="0" fontId="6" fillId="2" borderId="18" applyAlignment="1" applyProtection="1" pivotButton="0" quotePrefix="0" xfId="0">
      <alignment horizontal="center"/>
      <protection locked="0" hidden="0"/>
    </xf>
    <xf numFmtId="0" fontId="6" fillId="2" borderId="19" applyAlignment="1" applyProtection="1" pivotButton="0" quotePrefix="0" xfId="0">
      <alignment horizontal="center"/>
      <protection locked="0" hidden="0"/>
    </xf>
    <xf numFmtId="0" fontId="6" fillId="2" borderId="20" applyAlignment="1" applyProtection="1" pivotButton="0" quotePrefix="0" xfId="0">
      <alignment horizontal="center"/>
      <protection locked="0" hidden="0"/>
    </xf>
    <xf numFmtId="164" fontId="9" fillId="13" borderId="8" applyAlignment="1" applyProtection="1" pivotButton="0" quotePrefix="0" xfId="0">
      <alignment horizontal="center"/>
      <protection locked="1" hidden="1"/>
    </xf>
    <xf numFmtId="4" fontId="6" fillId="2" borderId="21" applyAlignment="1" applyProtection="1" pivotButton="0" quotePrefix="0" xfId="0">
      <alignment horizontal="center" shrinkToFit="1"/>
      <protection locked="1" hidden="1"/>
    </xf>
    <xf numFmtId="4" fontId="6" fillId="2" borderId="22" applyAlignment="1" applyProtection="1" pivotButton="0" quotePrefix="0" xfId="0">
      <alignment horizontal="center" shrinkToFit="1"/>
      <protection locked="1" hidden="1"/>
    </xf>
    <xf numFmtId="0" fontId="5" fillId="2" borderId="28" applyProtection="1" pivotButton="0" quotePrefix="0" xfId="0">
      <protection locked="1" hidden="1"/>
    </xf>
    <xf numFmtId="0" fontId="6" fillId="0" borderId="1" applyAlignment="1" applyProtection="1" pivotButton="0" quotePrefix="0" xfId="0">
      <alignment horizontal="center"/>
      <protection locked="1" hidden="1"/>
    </xf>
    <xf numFmtId="4" fontId="14" fillId="2" borderId="15" applyAlignment="1" applyProtection="1" pivotButton="0" quotePrefix="0" xfId="0">
      <alignment horizontal="center" shrinkToFit="1"/>
      <protection locked="1" hidden="1"/>
    </xf>
    <xf numFmtId="0" fontId="5" fillId="2" borderId="28" applyAlignment="1" applyProtection="1" pivotButton="0" quotePrefix="0" xfId="0">
      <alignment horizontal="center"/>
      <protection locked="1" hidden="1"/>
    </xf>
    <xf numFmtId="0" fontId="13" fillId="2" borderId="8" applyProtection="1" pivotButton="0" quotePrefix="0" xfId="0">
      <protection locked="0" hidden="0"/>
    </xf>
    <xf numFmtId="0" fontId="13" fillId="2" borderId="16" applyProtection="1" pivotButton="0" quotePrefix="0" xfId="0">
      <protection locked="0" hidden="0"/>
    </xf>
    <xf numFmtId="20" fontId="5" fillId="3" borderId="16" applyProtection="1" pivotButton="0" quotePrefix="0" xfId="0">
      <protection locked="1" hidden="1"/>
    </xf>
    <xf numFmtId="20" fontId="5" fillId="3" borderId="28" applyProtection="1" pivotButton="0" quotePrefix="0" xfId="0">
      <protection locked="1" hidden="1"/>
    </xf>
    <xf numFmtId="20" fontId="5" fillId="3" borderId="10" applyProtection="1" pivotButton="0" quotePrefix="0" xfId="0">
      <protection locked="1" hidden="1"/>
    </xf>
    <xf numFmtId="0" fontId="9" fillId="2" borderId="0" applyAlignment="1" applyProtection="1" pivotButton="0" quotePrefix="0" xfId="0">
      <alignment horizontal="left"/>
      <protection locked="1" hidden="1"/>
    </xf>
    <xf numFmtId="0" fontId="9" fillId="9" borderId="0" applyAlignment="1" applyProtection="1" pivotButton="0" quotePrefix="0" xfId="0">
      <alignment horizontal="left"/>
      <protection locked="1" hidden="1"/>
    </xf>
    <xf numFmtId="0" fontId="10" fillId="9" borderId="0" applyAlignment="1" applyProtection="1" pivotButton="0" quotePrefix="0" xfId="0">
      <alignment horizontal="center"/>
      <protection locked="1" hidden="1"/>
    </xf>
    <xf numFmtId="0" fontId="6" fillId="7" borderId="0" applyAlignment="1" applyProtection="1" pivotButton="0" quotePrefix="0" xfId="0">
      <alignment vertical="center"/>
      <protection locked="1" hidden="1"/>
    </xf>
    <xf numFmtId="164" fontId="14" fillId="0" borderId="38" applyAlignment="1" applyProtection="1" pivotButton="0" quotePrefix="0" xfId="0">
      <alignment horizontal="center" shrinkToFit="1"/>
      <protection locked="1" hidden="1"/>
    </xf>
    <xf numFmtId="164" fontId="14" fillId="0" borderId="37" applyAlignment="1" applyProtection="1" pivotButton="0" quotePrefix="0" xfId="0">
      <alignment horizontal="center" shrinkToFit="1"/>
      <protection locked="1" hidden="1"/>
    </xf>
    <xf numFmtId="0" fontId="14" fillId="0" borderId="37" applyAlignment="1" applyProtection="1" pivotButton="0" quotePrefix="0" xfId="0">
      <alignment horizontal="center" shrinkToFit="1"/>
      <protection locked="1" hidden="1"/>
    </xf>
    <xf numFmtId="164" fontId="14" fillId="0" borderId="37" applyAlignment="1" applyProtection="1" pivotButton="0" quotePrefix="0" xfId="2">
      <alignment horizontal="center" shrinkToFit="1"/>
      <protection locked="1" hidden="1"/>
    </xf>
    <xf numFmtId="0" fontId="7" fillId="0" borderId="0" applyProtection="1" pivotButton="0" quotePrefix="0" xfId="0">
      <protection locked="1" hidden="1"/>
    </xf>
    <xf numFmtId="0" fontId="26" fillId="10" borderId="0" applyProtection="1" pivotButton="0" quotePrefix="0" xfId="0">
      <protection locked="1" hidden="1"/>
    </xf>
    <xf numFmtId="0" fontId="23" fillId="0" borderId="8" applyProtection="1" pivotButton="0" quotePrefix="0" xfId="2">
      <protection locked="1" hidden="1"/>
    </xf>
    <xf numFmtId="21" fontId="23" fillId="0" borderId="8" applyAlignment="1" applyProtection="1" pivotButton="0" quotePrefix="0" xfId="2">
      <alignment horizontal="center"/>
      <protection locked="1" hidden="1"/>
    </xf>
    <xf numFmtId="164" fontId="23" fillId="0" borderId="8" applyAlignment="1" applyProtection="1" pivotButton="0" quotePrefix="0" xfId="2">
      <alignment horizontal="center"/>
      <protection locked="1" hidden="1"/>
    </xf>
    <xf numFmtId="164" fontId="14" fillId="2" borderId="3" applyAlignment="1" applyProtection="1" pivotButton="0" quotePrefix="0" xfId="0">
      <alignment horizontal="center" shrinkToFit="1"/>
      <protection locked="1" hidden="1"/>
    </xf>
    <xf numFmtId="2" fontId="6" fillId="2" borderId="5" applyProtection="1" pivotButton="0" quotePrefix="0" xfId="0">
      <protection locked="1" hidden="1"/>
    </xf>
    <xf numFmtId="0" fontId="6" fillId="2" borderId="29" applyProtection="1" pivotButton="0" quotePrefix="0" xfId="0">
      <protection locked="1" hidden="1"/>
    </xf>
    <xf numFmtId="164" fontId="14" fillId="2" borderId="2" applyAlignment="1" applyProtection="1" pivotButton="0" quotePrefix="0" xfId="0">
      <alignment horizontal="center" shrinkToFit="1"/>
      <protection locked="1" hidden="1"/>
    </xf>
    <xf numFmtId="2" fontId="6" fillId="2" borderId="29" applyProtection="1" pivotButton="0" quotePrefix="0" xfId="0">
      <protection locked="1" hidden="1"/>
    </xf>
    <xf numFmtId="1" fontId="7" fillId="0" borderId="0" applyProtection="1" pivotButton="0" quotePrefix="0" xfId="0">
      <protection locked="1" hidden="1"/>
    </xf>
    <xf numFmtId="164" fontId="6" fillId="2" borderId="3" applyAlignment="1" applyProtection="1" pivotButton="0" quotePrefix="0" xfId="0">
      <alignment horizontal="center" shrinkToFit="1"/>
      <protection locked="1" hidden="1"/>
    </xf>
    <xf numFmtId="164" fontId="6" fillId="2" borderId="2" applyAlignment="1" applyProtection="1" pivotButton="0" quotePrefix="0" xfId="0">
      <alignment horizontal="center" shrinkToFit="1"/>
      <protection locked="1" hidden="1"/>
    </xf>
    <xf numFmtId="0" fontId="20" fillId="7" borderId="39" applyAlignment="1" applyProtection="1" pivotButton="0" quotePrefix="0" xfId="0">
      <alignment horizontal="center"/>
      <protection locked="1" hidden="1"/>
    </xf>
    <xf numFmtId="0" fontId="7" fillId="0" borderId="40" applyProtection="1" pivotButton="0" quotePrefix="0" xfId="0">
      <protection locked="1" hidden="1"/>
    </xf>
    <xf numFmtId="0" fontId="25" fillId="12" borderId="56" applyProtection="1" pivotButton="0" quotePrefix="0" xfId="2">
      <protection locked="1" hidden="1"/>
    </xf>
    <xf numFmtId="0" fontId="25" fillId="12" borderId="59" applyProtection="1" pivotButton="0" quotePrefix="0" xfId="2">
      <protection locked="1" hidden="1"/>
    </xf>
    <xf numFmtId="0" fontId="19" fillId="12" borderId="56" applyProtection="1" pivotButton="0" quotePrefix="0" xfId="2">
      <protection locked="1" hidden="1"/>
    </xf>
    <xf numFmtId="0" fontId="19" fillId="12" borderId="59" applyProtection="1" pivotButton="0" quotePrefix="0" xfId="2">
      <protection locked="1" hidden="1"/>
    </xf>
    <xf numFmtId="0" fontId="18" fillId="12" borderId="57" applyProtection="1" pivotButton="0" quotePrefix="0" xfId="2">
      <protection locked="1" hidden="1"/>
    </xf>
    <xf numFmtId="0" fontId="18" fillId="12" borderId="61" applyProtection="1" pivotButton="0" quotePrefix="0" xfId="2">
      <protection locked="1" hidden="1"/>
    </xf>
    <xf numFmtId="0" fontId="7" fillId="0" borderId="8" applyProtection="1" pivotButton="0" quotePrefix="0" xfId="2">
      <protection locked="1" hidden="1"/>
    </xf>
    <xf numFmtId="4" fontId="7" fillId="0" borderId="8" applyProtection="1" pivotButton="0" quotePrefix="0" xfId="2">
      <protection locked="1" hidden="1"/>
    </xf>
    <xf numFmtId="20" fontId="7" fillId="0" borderId="8" applyProtection="1" pivotButton="0" quotePrefix="0" xfId="2">
      <protection locked="1" hidden="1"/>
    </xf>
    <xf numFmtId="164" fontId="22" fillId="0" borderId="58" applyProtection="1" pivotButton="0" quotePrefix="0" xfId="2">
      <protection locked="1" hidden="1"/>
    </xf>
    <xf numFmtId="164" fontId="22" fillId="0" borderId="37" applyAlignment="1" applyProtection="1" pivotButton="0" quotePrefix="0" xfId="2">
      <alignment horizontal="center"/>
      <protection locked="1" hidden="1"/>
    </xf>
    <xf numFmtId="164" fontId="7" fillId="0" borderId="37" applyAlignment="1" applyProtection="1" pivotButton="0" quotePrefix="0" xfId="2">
      <alignment shrinkToFit="1"/>
      <protection locked="1" hidden="1"/>
    </xf>
    <xf numFmtId="164" fontId="7" fillId="0" borderId="37" applyAlignment="1" applyProtection="1" pivotButton="0" quotePrefix="0" xfId="2">
      <alignment horizontal="center" shrinkToFit="1"/>
      <protection locked="1" hidden="1"/>
    </xf>
    <xf numFmtId="0" fontId="7" fillId="0" borderId="37" applyProtection="1" pivotButton="0" quotePrefix="0" xfId="2">
      <protection locked="1" hidden="1"/>
    </xf>
    <xf numFmtId="0" fontId="23" fillId="2" borderId="0" applyProtection="1" pivotButton="0" quotePrefix="0" xfId="0">
      <protection locked="1" hidden="1"/>
    </xf>
    <xf numFmtId="165" fontId="15" fillId="2" borderId="27" applyAlignment="1" applyProtection="1" pivotButton="0" quotePrefix="0" xfId="0">
      <alignment horizontal="center"/>
      <protection locked="1" hidden="1"/>
    </xf>
    <xf numFmtId="0" fontId="6" fillId="0" borderId="28" applyProtection="1" pivotButton="0" quotePrefix="0" xfId="0">
      <protection locked="1" hidden="1"/>
    </xf>
    <xf numFmtId="0" fontId="5" fillId="0" borderId="28" applyAlignment="1" applyProtection="1" pivotButton="0" quotePrefix="0" xfId="0">
      <alignment horizontal="left" vertical="center"/>
      <protection locked="1" hidden="1"/>
    </xf>
    <xf numFmtId="0" fontId="5" fillId="21" borderId="8" applyAlignment="1" applyProtection="1" pivotButton="0" quotePrefix="0" xfId="0">
      <alignment horizontal="center"/>
      <protection locked="1" hidden="1"/>
    </xf>
    <xf numFmtId="0" fontId="12" fillId="21" borderId="8" applyAlignment="1" applyProtection="1" pivotButton="0" quotePrefix="0" xfId="0">
      <alignment horizontal="center"/>
      <protection locked="1" hidden="1"/>
    </xf>
    <xf numFmtId="0" fontId="12" fillId="21" borderId="11" applyAlignment="1" applyProtection="1" pivotButton="0" quotePrefix="0" xfId="0">
      <alignment horizontal="center"/>
      <protection locked="1" hidden="1"/>
    </xf>
    <xf numFmtId="0" fontId="12" fillId="21" borderId="5" applyAlignment="1" applyProtection="1" pivotButton="0" quotePrefix="0" xfId="0">
      <alignment horizontal="center"/>
      <protection locked="1" hidden="1"/>
    </xf>
    <xf numFmtId="2" fontId="12" fillId="21" borderId="11" applyAlignment="1" applyProtection="1" pivotButton="0" quotePrefix="0" xfId="0">
      <alignment horizontal="center"/>
      <protection locked="1" hidden="1"/>
    </xf>
    <xf numFmtId="0" fontId="10" fillId="23" borderId="23" applyProtection="1" pivotButton="0" quotePrefix="0" xfId="0">
      <protection locked="1" hidden="1"/>
    </xf>
    <xf numFmtId="0" fontId="7" fillId="23" borderId="24" applyProtection="1" pivotButton="0" quotePrefix="0" xfId="0">
      <protection locked="1" hidden="1"/>
    </xf>
    <xf numFmtId="0" fontId="10" fillId="23" borderId="25" applyProtection="1" pivotButton="0" quotePrefix="0" xfId="0">
      <protection locked="1" hidden="1"/>
    </xf>
    <xf numFmtId="0" fontId="7" fillId="23" borderId="27" applyProtection="1" pivotButton="0" quotePrefix="0" xfId="0">
      <protection locked="1" hidden="1"/>
    </xf>
    <xf numFmtId="2" fontId="6" fillId="0" borderId="28" applyAlignment="1" applyProtection="1" pivotButton="0" quotePrefix="0" xfId="0">
      <alignment horizontal="center"/>
      <protection locked="1" hidden="1"/>
    </xf>
    <xf numFmtId="0" fontId="6" fillId="0" borderId="28" applyAlignment="1" applyProtection="1" pivotButton="0" quotePrefix="0" xfId="0">
      <alignment shrinkToFit="1"/>
      <protection locked="1" hidden="1"/>
    </xf>
    <xf numFmtId="0" fontId="6" fillId="2" borderId="28" applyAlignment="1" applyProtection="1" pivotButton="0" quotePrefix="0" xfId="0">
      <alignment horizontal="left" shrinkToFit="1"/>
      <protection locked="1" hidden="1"/>
    </xf>
    <xf numFmtId="0" fontId="18" fillId="2" borderId="28" applyAlignment="1" applyProtection="1" pivotButton="0" quotePrefix="0" xfId="0">
      <alignment horizontal="center" shrinkToFit="1"/>
      <protection locked="1" hidden="1"/>
    </xf>
    <xf numFmtId="0" fontId="7" fillId="2" borderId="28" applyProtection="1" pivotButton="0" quotePrefix="0" xfId="0">
      <protection locked="1" hidden="1"/>
    </xf>
    <xf numFmtId="2" fontId="6" fillId="2" borderId="84" applyProtection="1" pivotButton="0" quotePrefix="0" xfId="0">
      <protection locked="1" hidden="1"/>
    </xf>
    <xf numFmtId="0" fontId="0" fillId="0" borderId="94" applyProtection="1" pivotButton="0" quotePrefix="0" xfId="0">
      <protection locked="1" hidden="1"/>
    </xf>
    <xf numFmtId="0" fontId="5" fillId="0" borderId="95" applyAlignment="1" applyProtection="1" pivotButton="0" quotePrefix="0" xfId="0">
      <alignment horizontal="left" vertical="center"/>
      <protection locked="1" hidden="1"/>
    </xf>
    <xf numFmtId="0" fontId="5" fillId="0" borderId="97" applyAlignment="1" applyProtection="1" pivotButton="0" quotePrefix="0" xfId="0">
      <alignment horizontal="left" vertical="center"/>
      <protection locked="1" hidden="1"/>
    </xf>
    <xf numFmtId="0" fontId="32" fillId="2" borderId="97" applyAlignment="1" applyProtection="1" pivotButton="0" quotePrefix="0" xfId="0">
      <alignment horizontal="right"/>
      <protection locked="1" hidden="1"/>
    </xf>
    <xf numFmtId="2" fontId="6" fillId="0" borderId="97" applyAlignment="1" applyProtection="1" pivotButton="0" quotePrefix="0" xfId="0">
      <alignment horizontal="center"/>
      <protection locked="1" hidden="1"/>
    </xf>
    <xf numFmtId="2" fontId="6" fillId="2" borderId="97" applyProtection="1" pivotButton="0" quotePrefix="0" xfId="0">
      <protection locked="1" hidden="1"/>
    </xf>
    <xf numFmtId="0" fontId="5" fillId="2" borderId="97" applyAlignment="1" applyProtection="1" pivotButton="0" quotePrefix="0" xfId="0">
      <alignment horizontal="center"/>
      <protection locked="1" hidden="1"/>
    </xf>
    <xf numFmtId="0" fontId="6" fillId="2" borderId="99" applyAlignment="1" applyProtection="1" pivotButton="0" quotePrefix="0" xfId="0">
      <alignment horizontal="left" shrinkToFit="1"/>
      <protection locked="1" hidden="1"/>
    </xf>
    <xf numFmtId="20" fontId="6" fillId="2" borderId="99" applyProtection="1" pivotButton="0" quotePrefix="0" xfId="0">
      <protection locked="1" hidden="1"/>
    </xf>
    <xf numFmtId="0" fontId="7" fillId="2" borderId="99" applyAlignment="1" applyProtection="1" pivotButton="0" quotePrefix="0" xfId="0">
      <alignment horizontal="left" shrinkToFit="1"/>
      <protection locked="1" hidden="1"/>
    </xf>
    <xf numFmtId="166" fontId="6" fillId="2" borderId="100" applyProtection="1" pivotButton="0" quotePrefix="0" xfId="0">
      <protection locked="1" hidden="1"/>
    </xf>
    <xf numFmtId="2" fontId="39" fillId="0" borderId="96" applyAlignment="1" applyProtection="1" pivotButton="0" quotePrefix="0" xfId="0">
      <alignment vertical="center"/>
      <protection locked="1" hidden="1"/>
    </xf>
    <xf numFmtId="2" fontId="39" fillId="0" borderId="28" applyAlignment="1" applyProtection="1" pivotButton="0" quotePrefix="0" xfId="0">
      <alignment vertical="center"/>
      <protection locked="1" hidden="1"/>
    </xf>
    <xf numFmtId="2" fontId="40" fillId="0" borderId="28" applyAlignment="1" applyProtection="1" pivotButton="0" quotePrefix="0" xfId="0">
      <alignment vertical="center"/>
      <protection locked="1" hidden="1"/>
    </xf>
    <xf numFmtId="0" fontId="13" fillId="2" borderId="101" applyProtection="1" pivotButton="0" quotePrefix="0" xfId="0">
      <protection locked="0" hidden="0"/>
    </xf>
    <xf numFmtId="0" fontId="6" fillId="0" borderId="47" applyAlignment="1" applyProtection="1" pivotButton="0" quotePrefix="0" xfId="0">
      <alignment horizontal="center"/>
      <protection locked="1" hidden="1"/>
    </xf>
    <xf numFmtId="164" fontId="9" fillId="13" borderId="102" applyAlignment="1" applyProtection="1" pivotButton="0" quotePrefix="0" xfId="0">
      <alignment horizontal="center"/>
      <protection locked="1" hidden="1"/>
    </xf>
    <xf numFmtId="0" fontId="13" fillId="2" borderId="63" applyProtection="1" pivotButton="0" quotePrefix="0" xfId="0">
      <protection locked="0" hidden="0"/>
    </xf>
    <xf numFmtId="0" fontId="13" fillId="2" borderId="103" applyProtection="1" pivotButton="0" quotePrefix="0" xfId="0">
      <protection locked="0" hidden="0"/>
    </xf>
    <xf numFmtId="0" fontId="6" fillId="0" borderId="48" applyAlignment="1" applyProtection="1" pivotButton="0" quotePrefix="0" xfId="0">
      <alignment horizontal="center"/>
      <protection locked="1" hidden="1"/>
    </xf>
    <xf numFmtId="164" fontId="9" fillId="13" borderId="104" applyAlignment="1" applyProtection="1" pivotButton="0" quotePrefix="0" xfId="0">
      <alignment horizontal="center"/>
      <protection locked="1" hidden="1"/>
    </xf>
    <xf numFmtId="0" fontId="6" fillId="2" borderId="107" applyAlignment="1" applyProtection="1" pivotButton="0" quotePrefix="0" xfId="0">
      <alignment horizontal="center"/>
      <protection locked="0" hidden="0"/>
    </xf>
    <xf numFmtId="0" fontId="6" fillId="2" borderId="65" applyAlignment="1" applyProtection="1" pivotButton="0" quotePrefix="0" xfId="0">
      <alignment horizontal="center"/>
      <protection locked="0" hidden="0"/>
    </xf>
    <xf numFmtId="0" fontId="6" fillId="2" borderId="66" applyAlignment="1" applyProtection="1" pivotButton="0" quotePrefix="0" xfId="0">
      <alignment horizontal="center"/>
      <protection locked="0" hidden="0"/>
    </xf>
    <xf numFmtId="0" fontId="6" fillId="2" borderId="64" applyAlignment="1" applyProtection="1" pivotButton="0" quotePrefix="0" xfId="0">
      <alignment horizontal="center"/>
      <protection locked="0" hidden="0"/>
    </xf>
    <xf numFmtId="164" fontId="6" fillId="2" borderId="105" applyAlignment="1" applyProtection="1" pivotButton="0" quotePrefix="0" xfId="0">
      <alignment horizontal="center" shrinkToFit="1"/>
      <protection locked="1" hidden="1"/>
    </xf>
    <xf numFmtId="4" fontId="6" fillId="2" borderId="108" applyAlignment="1" applyProtection="1" pivotButton="0" quotePrefix="0" xfId="0">
      <alignment horizontal="center" shrinkToFit="1"/>
      <protection locked="1" hidden="1"/>
    </xf>
    <xf numFmtId="4" fontId="6" fillId="2" borderId="109" applyAlignment="1" applyProtection="1" pivotButton="0" quotePrefix="0" xfId="0">
      <alignment horizontal="center" shrinkToFit="1"/>
      <protection locked="1" hidden="1"/>
    </xf>
    <xf numFmtId="2" fontId="6" fillId="2" borderId="110" applyProtection="1" pivotButton="0" quotePrefix="0" xfId="0">
      <protection locked="1" hidden="1"/>
    </xf>
    <xf numFmtId="0" fontId="7" fillId="19" borderId="111" applyProtection="1" pivotButton="0" quotePrefix="0" xfId="0">
      <protection locked="1" hidden="1"/>
    </xf>
    <xf numFmtId="1" fontId="7" fillId="19" borderId="111" applyProtection="1" pivotButton="0" quotePrefix="0" xfId="0">
      <protection locked="1" hidden="1"/>
    </xf>
    <xf numFmtId="0" fontId="7" fillId="15" borderId="28" applyProtection="1" pivotButton="0" quotePrefix="0" xfId="0">
      <protection locked="1" hidden="1"/>
    </xf>
    <xf numFmtId="0" fontId="7" fillId="15" borderId="49" applyProtection="1" pivotButton="0" quotePrefix="0" xfId="0">
      <protection locked="1" hidden="1"/>
    </xf>
    <xf numFmtId="1" fontId="7" fillId="0" borderId="28" applyProtection="1" pivotButton="0" quotePrefix="0" xfId="0">
      <protection locked="1" hidden="1"/>
    </xf>
    <xf numFmtId="0" fontId="7" fillId="0" borderId="54" applyProtection="1" pivotButton="0" quotePrefix="0" xfId="0">
      <protection locked="1" hidden="1"/>
    </xf>
    <xf numFmtId="0" fontId="7" fillId="0" borderId="62" applyProtection="1" pivotButton="0" quotePrefix="0" xfId="0">
      <protection locked="1" hidden="1"/>
    </xf>
    <xf numFmtId="1" fontId="7" fillId="0" borderId="0" applyAlignment="1" applyProtection="1" pivotButton="0" quotePrefix="0" xfId="0">
      <alignment horizontal="center"/>
      <protection locked="1" hidden="1"/>
    </xf>
    <xf numFmtId="1" fontId="7" fillId="0" borderId="53" applyProtection="1" pivotButton="0" quotePrefix="0" xfId="0">
      <protection locked="1" hidden="1"/>
    </xf>
    <xf numFmtId="1" fontId="24" fillId="27" borderId="53" applyProtection="1" pivotButton="0" quotePrefix="0" xfId="0">
      <protection locked="1" hidden="1"/>
    </xf>
    <xf numFmtId="0" fontId="7" fillId="27" borderId="28" applyProtection="1" pivotButton="0" quotePrefix="0" xfId="0">
      <protection locked="1" hidden="1"/>
    </xf>
    <xf numFmtId="0" fontId="7" fillId="27" borderId="28" applyAlignment="1" applyProtection="1" pivotButton="0" quotePrefix="0" xfId="0">
      <alignment horizontal="center"/>
      <protection locked="1" hidden="1"/>
    </xf>
    <xf numFmtId="167" fontId="7" fillId="27" borderId="28" applyProtection="1" pivotButton="0" quotePrefix="0" xfId="0">
      <protection locked="1" hidden="1"/>
    </xf>
    <xf numFmtId="0" fontId="22" fillId="27" borderId="28" applyProtection="1" pivotButton="0" quotePrefix="0" xfId="0">
      <protection locked="1" hidden="1"/>
    </xf>
    <xf numFmtId="168" fontId="22" fillId="17" borderId="28" applyProtection="1" pivotButton="0" quotePrefix="0" xfId="0">
      <protection locked="1" hidden="1"/>
    </xf>
    <xf numFmtId="169" fontId="22" fillId="16" borderId="28" applyAlignment="1" applyProtection="1" pivotButton="0" quotePrefix="0" xfId="0">
      <alignment horizontal="center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1" fontId="7" fillId="0" borderId="52" applyProtection="1" pivotButton="0" quotePrefix="0" xfId="0">
      <protection locked="1" hidden="1"/>
    </xf>
    <xf numFmtId="0" fontId="32" fillId="2" borderId="96" applyAlignment="1" applyProtection="1" pivotButton="0" quotePrefix="0" xfId="0">
      <alignment horizontal="center"/>
      <protection locked="1" hidden="1"/>
    </xf>
    <xf numFmtId="0" fontId="32" fillId="0" borderId="96" applyAlignment="1" applyProtection="1" pivotButton="0" quotePrefix="0" xfId="0">
      <alignment horizontal="center"/>
      <protection locked="1" hidden="1"/>
    </xf>
    <xf numFmtId="1" fontId="32" fillId="2" borderId="96" applyAlignment="1" applyProtection="1" pivotButton="0" quotePrefix="0" xfId="0">
      <alignment horizontal="center"/>
      <protection locked="1" hidden="1"/>
    </xf>
    <xf numFmtId="0" fontId="32" fillId="2" borderId="96" applyAlignment="1" applyProtection="1" pivotButton="0" quotePrefix="0" xfId="0">
      <alignment horizontal="center" shrinkToFit="1"/>
      <protection locked="1" hidden="1"/>
    </xf>
    <xf numFmtId="0" fontId="32" fillId="2" borderId="98" applyAlignment="1" applyProtection="1" pivotButton="0" quotePrefix="0" xfId="0">
      <alignment horizontal="center"/>
      <protection locked="1" hidden="1"/>
    </xf>
    <xf numFmtId="0" fontId="44" fillId="0" borderId="0" applyAlignment="1" applyProtection="1" pivotButton="0" quotePrefix="0" xfId="0">
      <alignment horizontal="center"/>
      <protection locked="1" hidden="1"/>
    </xf>
    <xf numFmtId="0" fontId="43" fillId="0" borderId="96" applyAlignment="1" applyProtection="1" pivotButton="0" quotePrefix="0" xfId="0">
      <alignment horizontal="center"/>
      <protection locked="1" hidden="1"/>
    </xf>
    <xf numFmtId="0" fontId="6" fillId="0" borderId="29" applyProtection="1" pivotButton="0" quotePrefix="0" xfId="0">
      <protection locked="1" hidden="1"/>
    </xf>
    <xf numFmtId="0" fontId="6" fillId="5" borderId="29" applyProtection="1" pivotButton="0" quotePrefix="0" xfId="0">
      <protection locked="1" hidden="1"/>
    </xf>
    <xf numFmtId="0" fontId="20" fillId="7" borderId="6" applyAlignment="1" applyProtection="1" pivotButton="0" quotePrefix="0" xfId="0">
      <alignment horizontal="center"/>
      <protection locked="1" hidden="1"/>
    </xf>
    <xf numFmtId="0" fontId="25" fillId="30" borderId="28" applyAlignment="1" applyProtection="1" pivotButton="0" quotePrefix="0" xfId="0">
      <alignment horizontal="left"/>
      <protection locked="1" hidden="1"/>
    </xf>
    <xf numFmtId="0" fontId="5" fillId="30" borderId="28" applyAlignment="1" applyProtection="1" pivotButton="0" quotePrefix="0" xfId="0">
      <alignment horizontal="right"/>
      <protection locked="1" hidden="1"/>
    </xf>
    <xf numFmtId="170" fontId="5" fillId="30" borderId="28" applyAlignment="1" applyProtection="1" pivotButton="0" quotePrefix="0" xfId="0">
      <alignment horizontal="left"/>
      <protection locked="1" hidden="1"/>
    </xf>
    <xf numFmtId="0" fontId="25" fillId="27" borderId="28" applyAlignment="1" applyProtection="1" pivotButton="0" quotePrefix="0" xfId="0">
      <alignment horizontal="left"/>
      <protection locked="1" hidden="1"/>
    </xf>
    <xf numFmtId="0" fontId="5" fillId="27" borderId="28" applyAlignment="1" applyProtection="1" pivotButton="0" quotePrefix="0" xfId="0">
      <alignment horizontal="right"/>
      <protection locked="1" hidden="1"/>
    </xf>
    <xf numFmtId="170" fontId="5" fillId="27" borderId="28" applyAlignment="1" applyProtection="1" pivotButton="0" quotePrefix="0" xfId="0">
      <alignment horizontal="left"/>
      <protection locked="1" hidden="1"/>
    </xf>
    <xf numFmtId="0" fontId="18" fillId="9" borderId="40" applyProtection="1" pivotButton="0" quotePrefix="0" xfId="0">
      <protection locked="1" hidden="1"/>
    </xf>
    <xf numFmtId="0" fontId="7" fillId="0" borderId="41" applyProtection="1" pivotButton="0" quotePrefix="0" xfId="0">
      <protection locked="1" hidden="1"/>
    </xf>
    <xf numFmtId="0" fontId="7" fillId="0" borderId="118" applyProtection="1" pivotButton="0" quotePrefix="0" xfId="0">
      <protection locked="1" hidden="1"/>
    </xf>
    <xf numFmtId="0" fontId="14" fillId="0" borderId="0" applyProtection="1" pivotButton="0" quotePrefix="0" xfId="0"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14" fillId="0" borderId="0" applyAlignment="1" applyProtection="1" pivotButton="0" quotePrefix="0" xfId="0">
      <alignment vertical="center"/>
      <protection locked="1" hidden="1"/>
    </xf>
    <xf numFmtId="0" fontId="41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1" fontId="7" fillId="0" borderId="0" applyAlignment="1" applyProtection="1" pivotButton="0" quotePrefix="0" xfId="0">
      <alignment vertical="center"/>
      <protection locked="1" hidden="1"/>
    </xf>
    <xf numFmtId="0" fontId="5" fillId="8" borderId="0" applyAlignment="1" applyProtection="1" pivotButton="0" quotePrefix="0" xfId="0">
      <alignment horizontal="center" vertical="center"/>
      <protection locked="1" hidden="1"/>
    </xf>
    <xf numFmtId="0" fontId="24" fillId="27" borderId="44" applyAlignment="1" applyProtection="1" pivotButton="0" quotePrefix="0" xfId="0">
      <alignment horizontal="left"/>
      <protection locked="1" hidden="1"/>
    </xf>
    <xf numFmtId="0" fontId="24" fillId="27" borderId="45" applyAlignment="1" applyProtection="1" pivotButton="0" quotePrefix="0" xfId="0">
      <alignment horizontal="left"/>
      <protection locked="1" hidden="1"/>
    </xf>
    <xf numFmtId="0" fontId="24" fillId="27" borderId="46" applyAlignment="1" applyProtection="1" pivotButton="0" quotePrefix="0" xfId="0">
      <alignment horizontal="left"/>
      <protection locked="1" hidden="1"/>
    </xf>
    <xf numFmtId="0" fontId="47" fillId="36" borderId="122" applyAlignment="1" applyProtection="1" pivotButton="0" quotePrefix="0" xfId="0">
      <alignment vertical="center"/>
      <protection locked="1" hidden="1"/>
    </xf>
    <xf numFmtId="0" fontId="47" fillId="36" borderId="69" applyAlignment="1" applyProtection="1" pivotButton="0" quotePrefix="0" xfId="0">
      <alignment vertical="center"/>
      <protection locked="1" hidden="1"/>
    </xf>
    <xf numFmtId="0" fontId="8" fillId="37" borderId="69" applyAlignment="1" applyProtection="1" pivotButton="0" quotePrefix="0" xfId="0">
      <alignment horizontal="center" vertical="center"/>
      <protection locked="1" hidden="1"/>
    </xf>
    <xf numFmtId="1" fontId="8" fillId="37" borderId="69" applyAlignment="1" applyProtection="1" pivotButton="0" quotePrefix="0" xfId="0">
      <alignment horizontal="center" vertical="center"/>
      <protection locked="1" hidden="1"/>
    </xf>
    <xf numFmtId="1" fontId="8" fillId="37" borderId="70" applyAlignment="1" applyProtection="1" pivotButton="0" quotePrefix="0" xfId="0">
      <alignment horizontal="center" vertical="center"/>
      <protection locked="1" hidden="1"/>
    </xf>
    <xf numFmtId="0" fontId="47" fillId="36" borderId="123" applyAlignment="1" applyProtection="1" pivotButton="0" quotePrefix="0" xfId="0">
      <alignment horizontal="center" vertical="center"/>
      <protection locked="1" hidden="1"/>
    </xf>
    <xf numFmtId="0" fontId="47" fillId="38" borderId="133" applyAlignment="1" applyProtection="1" pivotButton="0" quotePrefix="0" xfId="0">
      <alignment vertical="center"/>
      <protection locked="1" hidden="1"/>
    </xf>
    <xf numFmtId="0" fontId="47" fillId="38" borderId="112" applyAlignment="1" applyProtection="1" pivotButton="0" quotePrefix="0" xfId="0">
      <alignment horizontal="center" vertical="center"/>
      <protection locked="1" hidden="1"/>
    </xf>
    <xf numFmtId="1" fontId="13" fillId="2" borderId="124" applyAlignment="1" applyProtection="1" pivotButton="0" quotePrefix="0" xfId="0">
      <alignment horizontal="left" vertical="center"/>
      <protection locked="1" hidden="1"/>
    </xf>
    <xf numFmtId="166" fontId="13" fillId="2" borderId="67" applyAlignment="1" applyProtection="1" pivotButton="0" quotePrefix="0" xfId="0">
      <alignment vertical="center"/>
      <protection locked="1" hidden="1"/>
    </xf>
    <xf numFmtId="0" fontId="13" fillId="2" borderId="135" applyAlignment="1" applyProtection="1" pivotButton="0" quotePrefix="0" xfId="0">
      <alignment vertical="center"/>
      <protection locked="1" hidden="1"/>
    </xf>
    <xf numFmtId="0" fontId="13" fillId="2" borderId="137" applyAlignment="1" applyProtection="1" pivotButton="0" quotePrefix="0" xfId="0">
      <alignment vertical="center"/>
      <protection locked="1" hidden="1"/>
    </xf>
    <xf numFmtId="0" fontId="13" fillId="0" borderId="137" applyAlignment="1" applyProtection="1" pivotButton="0" quotePrefix="0" xfId="0">
      <alignment vertical="center"/>
      <protection locked="1" hidden="1"/>
    </xf>
    <xf numFmtId="0" fontId="13" fillId="0" borderId="142" applyAlignment="1" applyProtection="1" pivotButton="0" quotePrefix="0" xfId="0">
      <alignment horizontal="center" vertical="center"/>
      <protection locked="1" hidden="1"/>
    </xf>
    <xf numFmtId="166" fontId="13" fillId="2" borderId="74" applyAlignment="1" applyProtection="1" pivotButton="0" quotePrefix="0" xfId="0">
      <alignment vertical="center"/>
      <protection locked="1" hidden="1"/>
    </xf>
    <xf numFmtId="2" fontId="8" fillId="35" borderId="128" applyAlignment="1" applyProtection="1" pivotButton="0" quotePrefix="0" xfId="0">
      <alignment horizontal="center" vertical="center"/>
      <protection locked="1" hidden="1"/>
    </xf>
    <xf numFmtId="166" fontId="8" fillId="35" borderId="81" applyAlignment="1" applyProtection="1" pivotButton="0" quotePrefix="0" xfId="0">
      <alignment vertical="center"/>
      <protection locked="1" hidden="1"/>
    </xf>
    <xf numFmtId="2" fontId="8" fillId="35" borderId="81" applyAlignment="1" applyProtection="1" pivotButton="0" quotePrefix="0" xfId="0">
      <alignment horizontal="center" vertical="center"/>
      <protection locked="1" hidden="1"/>
    </xf>
    <xf numFmtId="2" fontId="8" fillId="35" borderId="82" applyAlignment="1" applyProtection="1" pivotButton="0" quotePrefix="0" xfId="0">
      <alignment horizontal="center" vertical="center"/>
      <protection locked="1" hidden="1"/>
    </xf>
    <xf numFmtId="166" fontId="21" fillId="39" borderId="129" applyAlignment="1" applyProtection="1" pivotButton="0" quotePrefix="0" xfId="0">
      <alignment vertical="center"/>
      <protection locked="1" hidden="1"/>
    </xf>
    <xf numFmtId="166" fontId="13" fillId="39" borderId="130" applyAlignment="1" applyProtection="1" pivotButton="0" quotePrefix="0" xfId="0">
      <alignment vertical="center"/>
      <protection locked="1" hidden="1"/>
    </xf>
    <xf numFmtId="2" fontId="21" fillId="39" borderId="130" applyAlignment="1" applyProtection="1" pivotButton="0" quotePrefix="0" xfId="0">
      <alignment horizontal="center" vertical="center"/>
      <protection locked="1" hidden="1"/>
    </xf>
    <xf numFmtId="2" fontId="21" fillId="39" borderId="131" applyAlignment="1" applyProtection="1" pivotButton="0" quotePrefix="0" xfId="0">
      <alignment horizontal="center" vertical="center"/>
      <protection locked="1" hidden="1"/>
    </xf>
    <xf numFmtId="2" fontId="21" fillId="39" borderId="132" applyAlignment="1" applyProtection="1" pivotButton="0" quotePrefix="0" xfId="0">
      <alignment horizontal="center" vertical="center"/>
      <protection locked="1" hidden="1"/>
    </xf>
    <xf numFmtId="0" fontId="21" fillId="39" borderId="139" applyAlignment="1" applyProtection="1" pivotButton="0" quotePrefix="0" xfId="0">
      <alignment vertical="center"/>
      <protection locked="1" hidden="1"/>
    </xf>
    <xf numFmtId="2" fontId="48" fillId="39" borderId="140" applyAlignment="1" applyProtection="1" pivotButton="0" quotePrefix="0" xfId="0">
      <alignment horizontal="center" vertical="center"/>
      <protection locked="1" hidden="1"/>
    </xf>
    <xf numFmtId="2" fontId="48" fillId="39" borderId="141" applyAlignment="1" applyProtection="1" pivotButton="0" quotePrefix="0" xfId="0">
      <alignment horizontal="center" vertical="center"/>
      <protection locked="1" hidden="1"/>
    </xf>
    <xf numFmtId="2" fontId="21" fillId="39" borderId="143" applyAlignment="1" applyProtection="1" pivotButton="0" quotePrefix="0" xfId="0">
      <alignment horizontal="right" vertical="center"/>
      <protection locked="1" hidden="1"/>
    </xf>
    <xf numFmtId="0" fontId="8" fillId="27" borderId="8" applyProtection="1" pivotButton="0" quotePrefix="0" xfId="0">
      <protection locked="1" hidden="1"/>
    </xf>
    <xf numFmtId="0" fontId="8" fillId="27" borderId="6" applyAlignment="1" applyProtection="1" pivotButton="0" quotePrefix="0" xfId="0">
      <alignment horizontal="center"/>
      <protection locked="1" hidden="1"/>
    </xf>
    <xf numFmtId="169" fontId="8" fillId="16" borderId="7" applyAlignment="1" applyProtection="1" pivotButton="0" quotePrefix="0" xfId="0">
      <alignment horizontal="center"/>
      <protection locked="1" hidden="1"/>
    </xf>
    <xf numFmtId="0" fontId="6" fillId="33" borderId="78" applyProtection="1" pivotButton="0" quotePrefix="0" xfId="0">
      <protection locked="1" hidden="1"/>
    </xf>
    <xf numFmtId="0" fontId="8" fillId="40" borderId="67" applyAlignment="1" applyProtection="1" pivotButton="0" quotePrefix="0" xfId="0">
      <alignment horizontal="left"/>
      <protection locked="1" hidden="1"/>
    </xf>
    <xf numFmtId="0" fontId="9" fillId="40" borderId="67" applyAlignment="1" applyProtection="1" pivotButton="0" quotePrefix="0" xfId="0">
      <alignment horizontal="center"/>
      <protection locked="1" hidden="1"/>
    </xf>
    <xf numFmtId="0" fontId="5" fillId="8" borderId="28" applyAlignment="1" applyProtection="1" pivotButton="0" quotePrefix="0" xfId="0">
      <alignment horizontal="center" vertical="center"/>
      <protection locked="1" hidden="1"/>
    </xf>
    <xf numFmtId="0" fontId="9" fillId="9" borderId="28" applyAlignment="1" applyProtection="1" pivotButton="0" quotePrefix="0" xfId="0">
      <alignment horizontal="left"/>
      <protection locked="1" hidden="1"/>
    </xf>
    <xf numFmtId="0" fontId="10" fillId="9" borderId="4" applyAlignment="1" applyProtection="1" pivotButton="0" quotePrefix="0" xfId="0">
      <alignment horizontal="center"/>
      <protection locked="1" hidden="1"/>
    </xf>
    <xf numFmtId="0" fontId="14" fillId="7" borderId="28" applyAlignment="1" applyProtection="1" pivotButton="0" quotePrefix="0" xfId="0">
      <alignment vertical="center"/>
      <protection locked="1" hidden="1"/>
    </xf>
    <xf numFmtId="0" fontId="21" fillId="26" borderId="150" applyAlignment="1" applyProtection="1" pivotButton="0" quotePrefix="0" xfId="0">
      <alignment vertical="center"/>
      <protection locked="1" hidden="1"/>
    </xf>
    <xf numFmtId="0" fontId="6" fillId="33" borderId="153" applyProtection="1" pivotButton="0" quotePrefix="0" xfId="0">
      <protection locked="1" hidden="1"/>
    </xf>
    <xf numFmtId="0" fontId="6" fillId="33" borderId="155" applyProtection="1" pivotButton="0" quotePrefix="0" xfId="0">
      <protection locked="1" hidden="1"/>
    </xf>
    <xf numFmtId="0" fontId="7" fillId="19" borderId="111" applyAlignment="1" applyProtection="1" pivotButton="0" quotePrefix="0" xfId="0">
      <alignment horizontal="center"/>
      <protection locked="1" hidden="1"/>
    </xf>
    <xf numFmtId="0" fontId="21" fillId="26" borderId="119" applyAlignment="1" applyProtection="1" pivotButton="0" quotePrefix="0" xfId="0">
      <alignment horizontal="center" vertical="center"/>
      <protection locked="1" hidden="1"/>
    </xf>
    <xf numFmtId="0" fontId="21" fillId="26" borderId="145" applyAlignment="1" applyProtection="1" pivotButton="0" quotePrefix="0" xfId="0">
      <alignment horizontal="center" vertical="center"/>
      <protection locked="1" hidden="1"/>
    </xf>
    <xf numFmtId="0" fontId="8" fillId="40" borderId="124" applyAlignment="1" applyProtection="1" pivotButton="0" quotePrefix="0" xfId="0">
      <alignment horizontal="center"/>
      <protection locked="1" hidden="1"/>
    </xf>
    <xf numFmtId="0" fontId="16" fillId="2" borderId="124" applyAlignment="1" applyProtection="1" pivotButton="0" quotePrefix="0" xfId="0">
      <alignment horizontal="center"/>
      <protection locked="1" hidden="1"/>
    </xf>
    <xf numFmtId="0" fontId="16" fillId="2" borderId="147" applyAlignment="1" applyProtection="1" pivotButton="0" quotePrefix="0" xfId="0">
      <alignment horizontal="center"/>
      <protection locked="1" hidden="1"/>
    </xf>
    <xf numFmtId="0" fontId="41" fillId="0" borderId="0" applyAlignment="1" applyProtection="1" pivotButton="0" quotePrefix="0" xfId="0">
      <alignment horizontal="left" vertical="center"/>
      <protection locked="1" hidden="1"/>
    </xf>
    <xf numFmtId="164" fontId="22" fillId="2" borderId="67" applyAlignment="1" applyProtection="1" pivotButton="0" quotePrefix="0" xfId="0">
      <alignment horizontal="center"/>
      <protection locked="1" hidden="1"/>
    </xf>
    <xf numFmtId="171" fontId="6" fillId="2" borderId="67" applyAlignment="1" applyProtection="1" pivotButton="0" quotePrefix="0" xfId="0">
      <alignment horizontal="center"/>
      <protection locked="1" hidden="1"/>
    </xf>
    <xf numFmtId="0" fontId="13" fillId="0" borderId="158" applyAlignment="1" applyProtection="1" pivotButton="0" quotePrefix="0" xfId="0">
      <alignment horizontal="center"/>
      <protection locked="1" hidden="1"/>
    </xf>
    <xf numFmtId="164" fontId="22" fillId="2" borderId="76" applyAlignment="1" applyProtection="1" pivotButton="0" quotePrefix="0" xfId="0">
      <alignment horizontal="center"/>
      <protection locked="1" hidden="1"/>
    </xf>
    <xf numFmtId="21" fontId="7" fillId="33" borderId="60" applyAlignment="1" applyProtection="1" pivotButton="0" quotePrefix="0" xfId="0">
      <alignment horizontal="center"/>
      <protection locked="1" hidden="1"/>
    </xf>
    <xf numFmtId="0" fontId="7" fillId="0" borderId="124" applyProtection="1" pivotButton="0" quotePrefix="0" xfId="0">
      <protection locked="1" hidden="1"/>
    </xf>
    <xf numFmtId="171" fontId="22" fillId="0" borderId="146" applyAlignment="1" applyProtection="1" pivotButton="0" quotePrefix="0" xfId="0">
      <alignment horizontal="center"/>
      <protection locked="1" hidden="1"/>
    </xf>
    <xf numFmtId="0" fontId="7" fillId="0" borderId="147" applyProtection="1" pivotButton="0" quotePrefix="0" xfId="0">
      <protection locked="1" hidden="1"/>
    </xf>
    <xf numFmtId="0" fontId="13" fillId="0" borderId="159" applyAlignment="1" applyProtection="1" pivotButton="0" quotePrefix="0" xfId="0">
      <alignment horizontal="center"/>
      <protection locked="1" hidden="1"/>
    </xf>
    <xf numFmtId="21" fontId="7" fillId="33" borderId="156" applyAlignment="1" applyProtection="1" pivotButton="0" quotePrefix="0" xfId="0">
      <alignment horizontal="center"/>
      <protection locked="1" hidden="1"/>
    </xf>
    <xf numFmtId="164" fontId="22" fillId="2" borderId="160" applyAlignment="1" applyProtection="1" pivotButton="0" quotePrefix="0" xfId="0">
      <alignment horizontal="center"/>
      <protection locked="1" hidden="1"/>
    </xf>
    <xf numFmtId="164" fontId="22" fillId="2" borderId="148" applyAlignment="1" applyProtection="1" pivotButton="0" quotePrefix="0" xfId="0">
      <alignment horizontal="center"/>
      <protection locked="1" hidden="1"/>
    </xf>
    <xf numFmtId="171" fontId="6" fillId="2" borderId="148" applyAlignment="1" applyProtection="1" pivotButton="0" quotePrefix="0" xfId="0">
      <alignment horizontal="center"/>
      <protection locked="1" hidden="1"/>
    </xf>
    <xf numFmtId="171" fontId="22" fillId="0" borderId="149" applyAlignment="1" applyProtection="1" pivotButton="0" quotePrefix="0" xfId="0">
      <alignment horizontal="center"/>
      <protection locked="1" hidden="1"/>
    </xf>
    <xf numFmtId="0" fontId="10" fillId="23" borderId="25" applyAlignment="1" applyProtection="1" pivotButton="0" quotePrefix="0" xfId="0">
      <alignment horizontal="center"/>
      <protection locked="1" hidden="1"/>
    </xf>
    <xf numFmtId="0" fontId="7" fillId="0" borderId="53" applyProtection="1" pivotButton="0" quotePrefix="0" xfId="0">
      <protection locked="1" hidden="1"/>
    </xf>
    <xf numFmtId="1" fontId="49" fillId="2" borderId="27" applyAlignment="1" applyProtection="1" pivotButton="0" quotePrefix="0" xfId="0">
      <alignment horizontal="center"/>
      <protection locked="1" hidden="1"/>
    </xf>
    <xf numFmtId="166" fontId="27" fillId="15" borderId="0" applyProtection="1" pivotButton="0" quotePrefix="0" xfId="0">
      <protection locked="1" hidden="1"/>
    </xf>
    <xf numFmtId="0" fontId="27" fillId="15" borderId="0" applyAlignment="1" applyProtection="1" pivotButton="0" quotePrefix="0" xfId="0">
      <alignment horizontal="center"/>
      <protection locked="1" hidden="1"/>
    </xf>
    <xf numFmtId="166" fontId="27" fillId="15" borderId="0" applyAlignment="1" applyProtection="1" pivotButton="0" quotePrefix="0" xfId="0">
      <alignment horizontal="center" vertical="center"/>
      <protection locked="1" hidden="1"/>
    </xf>
    <xf numFmtId="164" fontId="27" fillId="15" borderId="0" applyAlignment="1" applyProtection="1" pivotButton="0" quotePrefix="0" xfId="0">
      <alignment horizontal="center"/>
      <protection locked="1" hidden="1"/>
    </xf>
    <xf numFmtId="169" fontId="8" fillId="41" borderId="7" applyAlignment="1" applyProtection="1" pivotButton="0" quotePrefix="0" xfId="0">
      <alignment horizontal="center"/>
      <protection locked="0" hidden="0"/>
    </xf>
    <xf numFmtId="0" fontId="6" fillId="0" borderId="161" applyAlignment="1" applyProtection="1" pivotButton="0" quotePrefix="0" xfId="0">
      <alignment horizontal="center" vertical="center"/>
      <protection locked="1" hidden="1"/>
    </xf>
    <xf numFmtId="0" fontId="5" fillId="0" borderId="162" applyAlignment="1" applyProtection="1" pivotButton="0" quotePrefix="0" xfId="0">
      <alignment horizontal="left" vertical="center"/>
      <protection locked="1" hidden="1"/>
    </xf>
    <xf numFmtId="0" fontId="17" fillId="2" borderId="28" applyAlignment="1" applyProtection="1" pivotButton="0" quotePrefix="0" xfId="0">
      <alignment horizontal="center" shrinkToFit="1"/>
      <protection locked="1" hidden="1"/>
    </xf>
    <xf numFmtId="0" fontId="33" fillId="2" borderId="28" applyAlignment="1" applyProtection="1" pivotButton="0" quotePrefix="0" xfId="0">
      <alignment horizontal="center" shrinkToFit="1"/>
      <protection locked="1" hidden="1"/>
    </xf>
    <xf numFmtId="0" fontId="33" fillId="2" borderId="28" applyProtection="1" pivotButton="0" quotePrefix="0" xfId="0">
      <protection locked="1" hidden="1"/>
    </xf>
    <xf numFmtId="0" fontId="38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23" fillId="0" borderId="28" applyProtection="1" pivotButton="0" quotePrefix="0" xfId="2">
      <protection locked="1" hidden="1"/>
    </xf>
    <xf numFmtId="1" fontId="7" fillId="19" borderId="111" applyAlignment="1" applyProtection="1" pivotButton="0" quotePrefix="0" xfId="0">
      <alignment horizontal="center"/>
      <protection locked="1" hidden="1"/>
    </xf>
    <xf numFmtId="166" fontId="6" fillId="2" borderId="67" applyAlignment="1" applyProtection="1" pivotButton="0" quotePrefix="0" xfId="0">
      <alignment horizontal="center" vertical="center"/>
      <protection locked="1" hidden="1"/>
    </xf>
    <xf numFmtId="166" fontId="6" fillId="2" borderId="72" applyAlignment="1" applyProtection="1" pivotButton="0" quotePrefix="0" xfId="0">
      <alignment horizontal="center" vertical="center"/>
      <protection locked="1" hidden="1"/>
    </xf>
    <xf numFmtId="166" fontId="6" fillId="2" borderId="74" applyAlignment="1" applyProtection="1" pivotButton="0" quotePrefix="0" xfId="0">
      <alignment horizontal="center" vertical="center"/>
      <protection locked="1" hidden="1"/>
    </xf>
    <xf numFmtId="166" fontId="6" fillId="2" borderId="75" applyAlignment="1" applyProtection="1" pivotButton="0" quotePrefix="0" xfId="0">
      <alignment horizontal="center" vertical="center"/>
      <protection locked="1" hidden="1"/>
    </xf>
    <xf numFmtId="2" fontId="6" fillId="0" borderId="136" applyAlignment="1" applyProtection="1" pivotButton="0" quotePrefix="0" xfId="0">
      <alignment horizontal="center" vertical="center"/>
      <protection locked="1" hidden="1"/>
    </xf>
    <xf numFmtId="2" fontId="6" fillId="0" borderId="138" applyAlignment="1" applyProtection="1" pivotButton="0" quotePrefix="0" xfId="0">
      <alignment horizontal="center" vertical="center"/>
      <protection locked="1" hidden="1"/>
    </xf>
    <xf numFmtId="0" fontId="13" fillId="2" borderId="67" applyAlignment="1" applyProtection="1" pivotButton="0" quotePrefix="0" xfId="0">
      <alignment shrinkToFit="1"/>
      <protection locked="0" hidden="0"/>
    </xf>
    <xf numFmtId="0" fontId="13" fillId="2" borderId="67" applyAlignment="1" applyProtection="1" pivotButton="0" quotePrefix="0" xfId="0">
      <alignment horizontal="center" shrinkToFit="1"/>
      <protection locked="0" hidden="0"/>
    </xf>
    <xf numFmtId="0" fontId="13" fillId="2" borderId="148" applyAlignment="1" applyProtection="1" pivotButton="0" quotePrefix="0" xfId="0">
      <alignment shrinkToFit="1"/>
      <protection locked="0" hidden="0"/>
    </xf>
    <xf numFmtId="0" fontId="13" fillId="2" borderId="148" applyAlignment="1" applyProtection="1" pivotButton="0" quotePrefix="0" xfId="0">
      <alignment horizontal="center" shrinkToFit="1"/>
      <protection locked="0" hidden="0"/>
    </xf>
    <xf numFmtId="20" fontId="13" fillId="2" borderId="67" applyAlignment="1" applyProtection="1" pivotButton="0" quotePrefix="0" xfId="0">
      <alignment horizontal="center"/>
      <protection locked="0" hidden="0"/>
    </xf>
    <xf numFmtId="0" fontId="13" fillId="2" borderId="67" applyAlignment="1" applyProtection="1" pivotButton="0" quotePrefix="0" xfId="0">
      <alignment horizontal="center"/>
      <protection locked="0" hidden="0"/>
    </xf>
    <xf numFmtId="20" fontId="13" fillId="2" borderId="148" applyAlignment="1" applyProtection="1" pivotButton="0" quotePrefix="0" xfId="0">
      <alignment horizontal="center"/>
      <protection locked="0" hidden="0"/>
    </xf>
    <xf numFmtId="0" fontId="13" fillId="2" borderId="148" applyAlignment="1" applyProtection="1" pivotButton="0" quotePrefix="0" xfId="0">
      <alignment horizontal="center"/>
      <protection locked="0" hidden="0"/>
    </xf>
    <xf numFmtId="49" fontId="9" fillId="0" borderId="54" applyAlignment="1" applyProtection="1" pivotButton="0" quotePrefix="0" xfId="0">
      <alignment horizontal="center"/>
      <protection locked="1" hidden="1"/>
    </xf>
    <xf numFmtId="1" fontId="7" fillId="0" borderId="71" applyAlignment="1" applyProtection="1" pivotButton="0" quotePrefix="0" xfId="0">
      <alignment horizontal="center"/>
      <protection locked="1" hidden="1"/>
    </xf>
    <xf numFmtId="1" fontId="7" fillId="0" borderId="72" applyAlignment="1" applyProtection="1" pivotButton="0" quotePrefix="0" xfId="0">
      <alignment horizontal="center"/>
      <protection locked="1" hidden="1"/>
    </xf>
    <xf numFmtId="20" fontId="7" fillId="29" borderId="73" applyAlignment="1" applyProtection="1" pivotButton="0" quotePrefix="0" xfId="0">
      <alignment horizontal="center"/>
      <protection locked="0" hidden="0"/>
    </xf>
    <xf numFmtId="20" fontId="7" fillId="29" borderId="75" applyAlignment="1" applyProtection="1" pivotButton="0" quotePrefix="0" xfId="0">
      <alignment horizontal="center"/>
      <protection locked="0" hidden="0"/>
    </xf>
    <xf numFmtId="0" fontId="24" fillId="27" borderId="52" applyProtection="1" pivotButton="0" quotePrefix="0" xfId="0">
      <protection locked="1" hidden="1"/>
    </xf>
    <xf numFmtId="0" fontId="7" fillId="15" borderId="51" applyProtection="1" pivotButton="0" quotePrefix="0" xfId="0">
      <protection locked="1" hidden="1"/>
    </xf>
    <xf numFmtId="0" fontId="7" fillId="0" borderId="67" applyProtection="1" pivotButton="0" quotePrefix="0" xfId="0">
      <protection locked="1" hidden="1"/>
    </xf>
    <xf numFmtId="0" fontId="19" fillId="27" borderId="83" applyProtection="1" pivotButton="0" quotePrefix="0" xfId="0">
      <protection locked="1" hidden="1"/>
    </xf>
    <xf numFmtId="0" fontId="7" fillId="15" borderId="50" applyProtection="1" pivotButton="0" quotePrefix="0" xfId="0">
      <protection locked="1" hidden="1"/>
    </xf>
    <xf numFmtId="0" fontId="9" fillId="27" borderId="163" applyAlignment="1" applyProtection="1" pivotButton="0" quotePrefix="0" xfId="0">
      <alignment horizontal="center"/>
      <protection locked="1" hidden="1"/>
    </xf>
    <xf numFmtId="1" fontId="9" fillId="27" borderId="163" applyAlignment="1" applyProtection="1" pivotButton="0" quotePrefix="0" xfId="0">
      <alignment horizontal="center"/>
      <protection locked="1" hidden="1"/>
    </xf>
    <xf numFmtId="10" fontId="13" fillId="29" borderId="164" applyAlignment="1" applyProtection="1" pivotButton="0" quotePrefix="0" xfId="0">
      <alignment horizontal="center"/>
      <protection locked="0" hidden="0"/>
    </xf>
    <xf numFmtId="2" fontId="13" fillId="0" borderId="165" applyAlignment="1" applyProtection="1" pivotButton="0" quotePrefix="0" xfId="0">
      <alignment horizontal="center"/>
      <protection locked="1" hidden="1"/>
    </xf>
    <xf numFmtId="10" fontId="8" fillId="11" borderId="164" applyAlignment="1" applyProtection="1" pivotButton="0" quotePrefix="0" xfId="0">
      <alignment horizontal="center"/>
      <protection locked="1" hidden="1"/>
    </xf>
    <xf numFmtId="0" fontId="7" fillId="28" borderId="72" applyAlignment="1" applyProtection="1" pivotButton="0" quotePrefix="0" xfId="0">
      <alignment horizontal="center"/>
      <protection locked="0" hidden="0"/>
    </xf>
    <xf numFmtId="0" fontId="7" fillId="28" borderId="75" applyAlignment="1" applyProtection="1" pivotButton="0" quotePrefix="0" xfId="0">
      <alignment horizontal="center"/>
      <protection locked="0" hidden="0"/>
    </xf>
    <xf numFmtId="0" fontId="27" fillId="0" borderId="0" applyAlignment="1" applyProtection="1" pivotButton="0" quotePrefix="0" xfId="0">
      <alignment vertical="center"/>
      <protection locked="1" hidden="1"/>
    </xf>
    <xf numFmtId="0" fontId="27" fillId="0" borderId="0" applyProtection="1" pivotButton="0" quotePrefix="0" xfId="0">
      <protection locked="1" hidden="1"/>
    </xf>
    <xf numFmtId="2" fontId="6" fillId="0" borderId="113" applyAlignment="1" applyProtection="1" pivotButton="0" quotePrefix="0" xfId="0">
      <alignment horizontal="center" vertical="center"/>
      <protection locked="1" hidden="1"/>
    </xf>
    <xf numFmtId="2" fontId="6" fillId="0" borderId="30" applyAlignment="1" applyProtection="1" pivotButton="0" quotePrefix="0" xfId="0">
      <alignment horizontal="center" vertical="center"/>
      <protection locked="1" hidden="1"/>
    </xf>
    <xf numFmtId="2" fontId="9" fillId="2" borderId="125" applyAlignment="1" applyProtection="1" pivotButton="0" quotePrefix="0" xfId="0">
      <alignment horizontal="center" vertical="center"/>
      <protection locked="1" hidden="1"/>
    </xf>
    <xf numFmtId="2" fontId="9" fillId="2" borderId="126" applyAlignment="1" applyProtection="1" pivotButton="0" quotePrefix="0" xfId="0">
      <alignment horizontal="center" vertical="center"/>
      <protection locked="1" hidden="1"/>
    </xf>
    <xf numFmtId="2" fontId="9" fillId="2" borderId="127" applyAlignment="1" applyProtection="1" pivotButton="0" quotePrefix="0" xfId="0">
      <alignment horizontal="center" vertical="center"/>
      <protection locked="1" hidden="1"/>
    </xf>
    <xf numFmtId="0" fontId="23" fillId="2" borderId="67" applyProtection="1" pivotButton="0" quotePrefix="0" xfId="0">
      <protection locked="1" hidden="1"/>
    </xf>
    <xf numFmtId="14" fontId="7" fillId="42" borderId="67" applyAlignment="1" applyProtection="1" pivotButton="0" quotePrefix="0" xfId="0">
      <alignment horizontal="center"/>
      <protection locked="0" hidden="0"/>
    </xf>
    <xf numFmtId="0" fontId="10" fillId="43" borderId="42" applyProtection="1" pivotButton="0" quotePrefix="0" xfId="0">
      <protection locked="1" hidden="1"/>
    </xf>
    <xf numFmtId="0" fontId="10" fillId="43" borderId="43" applyProtection="1" pivotButton="0" quotePrefix="0" xfId="0">
      <protection locked="1" hidden="1"/>
    </xf>
    <xf numFmtId="0" fontId="10" fillId="43" borderId="24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42" fillId="44" borderId="157" applyProtection="1" pivotButton="0" quotePrefix="0" xfId="0">
      <protection locked="1" hidden="1"/>
    </xf>
    <xf numFmtId="0" fontId="34" fillId="44" borderId="120" applyAlignment="1" applyProtection="1" pivotButton="0" quotePrefix="0" xfId="0">
      <alignment horizontal="center" vertical="center"/>
      <protection locked="1" hidden="1"/>
    </xf>
    <xf numFmtId="21" fontId="27" fillId="26" borderId="151" applyAlignment="1" applyProtection="1" pivotButton="0" quotePrefix="0" xfId="0">
      <alignment horizontal="center"/>
      <protection locked="1" hidden="1"/>
    </xf>
    <xf numFmtId="0" fontId="42" fillId="44" borderId="121" applyAlignment="1" applyProtection="1" pivotButton="0" quotePrefix="0" xfId="0">
      <alignment horizontal="center"/>
      <protection locked="1" hidden="1"/>
    </xf>
    <xf numFmtId="0" fontId="22" fillId="0" borderId="28" applyAlignment="1" applyProtection="1" pivotButton="0" quotePrefix="0" xfId="2">
      <alignment horizontal="center"/>
      <protection locked="1" hidden="1"/>
    </xf>
    <xf numFmtId="1" fontId="16" fillId="0" borderId="0" applyAlignment="1" applyProtection="1" pivotButton="0" quotePrefix="0" xfId="0">
      <alignment vertical="center"/>
      <protection locked="1" hidden="1"/>
    </xf>
    <xf numFmtId="0" fontId="16" fillId="0" borderId="28" applyProtection="1" pivotButton="0" quotePrefix="0" xfId="2">
      <protection locked="1" hidden="1"/>
    </xf>
    <xf numFmtId="0" fontId="34" fillId="22" borderId="174" applyProtection="1" pivotButton="0" quotePrefix="0" xfId="2">
      <protection locked="1" hidden="1"/>
    </xf>
    <xf numFmtId="1" fontId="34" fillId="22" borderId="175" applyAlignment="1" applyProtection="1" pivotButton="0" quotePrefix="0" xfId="0">
      <alignment vertical="center"/>
      <protection locked="1" hidden="1"/>
    </xf>
    <xf numFmtId="1" fontId="34" fillId="22" borderId="176" applyAlignment="1" applyProtection="1" pivotButton="0" quotePrefix="0" xfId="0">
      <alignment vertical="center"/>
      <protection locked="1" hidden="1"/>
    </xf>
    <xf numFmtId="0" fontId="34" fillId="22" borderId="177" applyProtection="1" pivotButton="0" quotePrefix="0" xfId="2">
      <protection locked="1" hidden="1"/>
    </xf>
    <xf numFmtId="1" fontId="34" fillId="22" borderId="178" applyAlignment="1" applyProtection="1" pivotButton="0" quotePrefix="0" xfId="0">
      <alignment vertical="center"/>
      <protection locked="1" hidden="1"/>
    </xf>
    <xf numFmtId="0" fontId="34" fillId="22" borderId="179" applyProtection="1" pivotButton="0" quotePrefix="0" xfId="2">
      <protection locked="1" hidden="1"/>
    </xf>
    <xf numFmtId="0" fontId="6" fillId="29" borderId="166" applyProtection="1" pivotButton="0" quotePrefix="0" xfId="2">
      <protection locked="0" hidden="0"/>
    </xf>
    <xf numFmtId="0" fontId="6" fillId="29" borderId="173" applyAlignment="1" applyProtection="1" pivotButton="0" quotePrefix="0" xfId="2">
      <alignment horizontal="center"/>
      <protection locked="0" hidden="0"/>
    </xf>
    <xf numFmtId="20" fontId="6" fillId="29" borderId="167" applyAlignment="1" applyProtection="1" pivotButton="0" quotePrefix="0" xfId="2">
      <alignment horizontal="center"/>
      <protection locked="0" hidden="0"/>
    </xf>
    <xf numFmtId="0" fontId="6" fillId="29" borderId="71" applyAlignment="1" applyProtection="1" pivotButton="0" quotePrefix="0" xfId="2">
      <alignment horizontal="center"/>
      <protection locked="0" hidden="0"/>
    </xf>
    <xf numFmtId="0" fontId="6" fillId="29" borderId="67" applyAlignment="1" applyProtection="1" pivotButton="0" quotePrefix="0" xfId="2">
      <alignment horizontal="center"/>
      <protection locked="0" hidden="0"/>
    </xf>
    <xf numFmtId="0" fontId="6" fillId="29" borderId="72" applyAlignment="1" applyProtection="1" pivotButton="0" quotePrefix="0" xfId="2">
      <alignment horizontal="center"/>
      <protection locked="0" hidden="0"/>
    </xf>
    <xf numFmtId="0" fontId="6" fillId="29" borderId="71" applyProtection="1" pivotButton="0" quotePrefix="0" xfId="2">
      <protection locked="0" hidden="0"/>
    </xf>
    <xf numFmtId="0" fontId="6" fillId="29" borderId="158" applyAlignment="1" applyProtection="1" pivotButton="0" quotePrefix="0" xfId="2">
      <alignment horizontal="center"/>
      <protection locked="0" hidden="0"/>
    </xf>
    <xf numFmtId="0" fontId="6" fillId="29" borderId="74" applyAlignment="1" applyProtection="1" pivotButton="0" quotePrefix="0" xfId="2">
      <alignment horizontal="center"/>
      <protection locked="0" hidden="0"/>
    </xf>
    <xf numFmtId="0" fontId="6" fillId="29" borderId="73" applyAlignment="1" applyProtection="1" pivotButton="0" quotePrefix="0" xfId="2">
      <alignment horizontal="center"/>
      <protection locked="0" hidden="0"/>
    </xf>
    <xf numFmtId="0" fontId="6" fillId="29" borderId="75" applyAlignment="1" applyProtection="1" pivotButton="0" quotePrefix="0" xfId="2">
      <alignment horizontal="center"/>
      <protection locked="0" hidden="0"/>
    </xf>
    <xf numFmtId="0" fontId="6" fillId="28" borderId="67" applyAlignment="1" applyProtection="1" pivotButton="0" quotePrefix="0" xfId="2">
      <alignment horizontal="center"/>
      <protection locked="0" hidden="0"/>
    </xf>
    <xf numFmtId="0" fontId="6" fillId="28" borderId="72" applyAlignment="1" applyProtection="1" pivotButton="0" quotePrefix="0" xfId="2">
      <alignment horizontal="center"/>
      <protection locked="0" hidden="0"/>
    </xf>
    <xf numFmtId="0" fontId="6" fillId="28" borderId="74" applyAlignment="1" applyProtection="1" pivotButton="0" quotePrefix="0" xfId="2">
      <alignment horizontal="center"/>
      <protection locked="0" hidden="0"/>
    </xf>
    <xf numFmtId="0" fontId="6" fillId="28" borderId="75" applyAlignment="1" applyProtection="1" pivotButton="0" quotePrefix="0" xfId="2">
      <alignment horizontal="center"/>
      <protection locked="0" hidden="0"/>
    </xf>
    <xf numFmtId="0" fontId="6" fillId="29" borderId="180" applyProtection="1" pivotButton="0" quotePrefix="0" xfId="2">
      <protection locked="0" hidden="0"/>
    </xf>
    <xf numFmtId="0" fontId="6" fillId="29" borderId="181" applyAlignment="1" applyProtection="1" pivotButton="0" quotePrefix="0" xfId="2">
      <alignment horizontal="center"/>
      <protection locked="0" hidden="0"/>
    </xf>
    <xf numFmtId="0" fontId="6" fillId="29" borderId="182" applyAlignment="1" applyProtection="1" pivotButton="0" quotePrefix="0" xfId="2">
      <alignment horizontal="center"/>
      <protection locked="0" hidden="0"/>
    </xf>
    <xf numFmtId="0" fontId="10" fillId="26" borderId="174" applyProtection="1" pivotButton="0" quotePrefix="0" xfId="2">
      <protection locked="1" hidden="1"/>
    </xf>
    <xf numFmtId="0" fontId="6" fillId="45" borderId="172" applyAlignment="1" applyProtection="1" pivotButton="0" quotePrefix="0" xfId="2">
      <alignment horizontal="center"/>
      <protection locked="1" hidden="1"/>
    </xf>
    <xf numFmtId="0" fontId="6" fillId="45" borderId="184" applyAlignment="1" applyProtection="1" pivotButton="0" quotePrefix="0" xfId="2">
      <alignment horizontal="center"/>
      <protection locked="1" hidden="1"/>
    </xf>
    <xf numFmtId="0" fontId="6" fillId="45" borderId="185" applyAlignment="1" applyProtection="1" pivotButton="0" quotePrefix="0" xfId="2">
      <alignment horizontal="center"/>
      <protection locked="1" hidden="1"/>
    </xf>
    <xf numFmtId="0" fontId="6" fillId="45" borderId="186" applyAlignment="1" applyProtection="1" pivotButton="0" quotePrefix="0" xfId="2">
      <alignment horizontal="center"/>
      <protection locked="1" hidden="1"/>
    </xf>
    <xf numFmtId="0" fontId="6" fillId="45" borderId="187" applyAlignment="1" applyProtection="1" pivotButton="0" quotePrefix="0" xfId="2">
      <alignment horizontal="center"/>
      <protection locked="1" hidden="1"/>
    </xf>
    <xf numFmtId="0" fontId="6" fillId="45" borderId="188" applyAlignment="1" applyProtection="1" pivotButton="0" quotePrefix="0" xfId="2">
      <alignment horizontal="center"/>
      <protection locked="1" hidden="1"/>
    </xf>
    <xf numFmtId="0" fontId="6" fillId="28" borderId="71" applyAlignment="1" applyProtection="1" pivotButton="0" quotePrefix="0" xfId="2">
      <alignment horizontal="center"/>
      <protection locked="0" hidden="0"/>
    </xf>
    <xf numFmtId="0" fontId="6" fillId="28" borderId="73" applyAlignment="1" applyProtection="1" pivotButton="0" quotePrefix="0" xfId="2">
      <alignment horizontal="center"/>
      <protection locked="0" hidden="0"/>
    </xf>
    <xf numFmtId="0" fontId="10" fillId="26" borderId="179" applyAlignment="1" applyProtection="1" pivotButton="0" quotePrefix="0" xfId="2">
      <alignment horizontal="center"/>
      <protection locked="1" hidden="1"/>
    </xf>
    <xf numFmtId="0" fontId="14" fillId="0" borderId="183" applyProtection="1" pivotButton="0" quotePrefix="0" xfId="2">
      <protection locked="1" hidden="1"/>
    </xf>
    <xf numFmtId="0" fontId="6" fillId="0" borderId="173" applyAlignment="1" applyProtection="1" pivotButton="0" quotePrefix="0" xfId="2">
      <alignment horizontal="center"/>
      <protection locked="1" hidden="1"/>
    </xf>
    <xf numFmtId="0" fontId="24" fillId="0" borderId="173" applyAlignment="1" applyProtection="1" pivotButton="0" quotePrefix="0" xfId="2">
      <alignment horizontal="center"/>
      <protection locked="1" hidden="1"/>
    </xf>
    <xf numFmtId="172" fontId="24" fillId="0" borderId="168" applyAlignment="1" applyProtection="1" pivotButton="0" quotePrefix="0" xfId="2">
      <alignment horizontal="center"/>
      <protection locked="1" hidden="1"/>
    </xf>
    <xf numFmtId="0" fontId="14" fillId="0" borderId="76" applyProtection="1" pivotButton="0" quotePrefix="0" xfId="2">
      <protection locked="1" hidden="1"/>
    </xf>
    <xf numFmtId="0" fontId="6" fillId="0" borderId="67" applyAlignment="1" applyProtection="1" pivotButton="0" quotePrefix="0" xfId="2">
      <alignment horizontal="center"/>
      <protection locked="1" hidden="1"/>
    </xf>
    <xf numFmtId="0" fontId="24" fillId="0" borderId="67" applyAlignment="1" applyProtection="1" pivotButton="0" quotePrefix="0" xfId="2">
      <alignment horizontal="center"/>
      <protection locked="1" hidden="1"/>
    </xf>
    <xf numFmtId="172" fontId="24" fillId="0" borderId="72" applyAlignment="1" applyProtection="1" pivotButton="0" quotePrefix="0" xfId="2">
      <alignment horizontal="center"/>
      <protection locked="1" hidden="1"/>
    </xf>
    <xf numFmtId="0" fontId="24" fillId="0" borderId="76" applyAlignment="1" applyProtection="1" pivotButton="0" quotePrefix="0" xfId="2">
      <alignment horizontal="center"/>
      <protection locked="1" hidden="1"/>
    </xf>
    <xf numFmtId="0" fontId="24" fillId="0" borderId="72" applyAlignment="1" applyProtection="1" pivotButton="0" quotePrefix="0" xfId="2">
      <alignment horizontal="center"/>
      <protection locked="1" hidden="1"/>
    </xf>
    <xf numFmtId="20" fontId="24" fillId="0" borderId="71" applyAlignment="1" applyProtection="1" pivotButton="0" quotePrefix="0" xfId="2">
      <alignment horizontal="center"/>
      <protection locked="1" hidden="1"/>
    </xf>
    <xf numFmtId="20" fontId="24" fillId="0" borderId="67" applyAlignment="1" applyProtection="1" pivotButton="0" quotePrefix="0" xfId="2">
      <alignment horizontal="center"/>
      <protection locked="1" hidden="1"/>
    </xf>
    <xf numFmtId="20" fontId="24" fillId="0" borderId="158" applyAlignment="1" applyProtection="1" pivotButton="0" quotePrefix="0" xfId="2">
      <alignment horizontal="center"/>
      <protection locked="1" hidden="1"/>
    </xf>
    <xf numFmtId="0" fontId="14" fillId="0" borderId="77" applyProtection="1" pivotButton="0" quotePrefix="0" xfId="2">
      <protection locked="1" hidden="1"/>
    </xf>
    <xf numFmtId="0" fontId="6" fillId="0" borderId="74" applyAlignment="1" applyProtection="1" pivotButton="0" quotePrefix="0" xfId="2">
      <alignment horizontal="center"/>
      <protection locked="1" hidden="1"/>
    </xf>
    <xf numFmtId="0" fontId="24" fillId="0" borderId="74" applyAlignment="1" applyProtection="1" pivotButton="0" quotePrefix="0" xfId="2">
      <alignment horizontal="center"/>
      <protection locked="1" hidden="1"/>
    </xf>
    <xf numFmtId="0" fontId="24" fillId="0" borderId="77" applyAlignment="1" applyProtection="1" pivotButton="0" quotePrefix="0" xfId="2">
      <alignment horizontal="center"/>
      <protection locked="1" hidden="1"/>
    </xf>
    <xf numFmtId="0" fontId="24" fillId="0" borderId="75" applyAlignment="1" applyProtection="1" pivotButton="0" quotePrefix="0" xfId="2">
      <alignment horizontal="center"/>
      <protection locked="1" hidden="1"/>
    </xf>
    <xf numFmtId="0" fontId="6" fillId="45" borderId="192" applyAlignment="1" applyProtection="1" pivotButton="0" quotePrefix="0" xfId="2">
      <alignment horizontal="center"/>
      <protection locked="1" hidden="1"/>
    </xf>
    <xf numFmtId="0" fontId="6" fillId="45" borderId="193" applyAlignment="1" applyProtection="1" pivotButton="0" quotePrefix="0" xfId="2">
      <alignment horizontal="center"/>
      <protection locked="1" hidden="1"/>
    </xf>
    <xf numFmtId="0" fontId="6" fillId="45" borderId="194" applyAlignment="1" applyProtection="1" pivotButton="0" quotePrefix="0" xfId="2">
      <alignment horizontal="center"/>
      <protection locked="1" hidden="1"/>
    </xf>
    <xf numFmtId="0" fontId="6" fillId="28" borderId="68" applyAlignment="1" applyProtection="1" pivotButton="0" quotePrefix="0" xfId="2">
      <alignment horizontal="center"/>
      <protection locked="0" hidden="0"/>
    </xf>
    <xf numFmtId="0" fontId="6" fillId="28" borderId="69" applyAlignment="1" applyProtection="1" pivotButton="0" quotePrefix="0" xfId="2">
      <alignment horizontal="center"/>
      <protection locked="0" hidden="0"/>
    </xf>
    <xf numFmtId="0" fontId="6" fillId="28" borderId="70" applyAlignment="1" applyProtection="1" pivotButton="0" quotePrefix="0" xfId="2">
      <alignment horizontal="center"/>
      <protection locked="0" hidden="0"/>
    </xf>
    <xf numFmtId="0" fontId="24" fillId="0" borderId="183" applyAlignment="1" applyProtection="1" pivotButton="0" quotePrefix="0" xfId="2">
      <alignment horizontal="center"/>
      <protection locked="1" hidden="1"/>
    </xf>
    <xf numFmtId="0" fontId="24" fillId="0" borderId="168" applyAlignment="1" applyProtection="1" pivotButton="0" quotePrefix="0" xfId="2">
      <alignment horizontal="center"/>
      <protection locked="1" hidden="1"/>
    </xf>
    <xf numFmtId="20" fontId="24" fillId="0" borderId="173" applyAlignment="1" applyProtection="1" pivotButton="0" quotePrefix="0" xfId="2">
      <alignment horizontal="center"/>
      <protection locked="1" hidden="1"/>
    </xf>
    <xf numFmtId="20" fontId="24" fillId="0" borderId="167" applyAlignment="1" applyProtection="1" pivotButton="0" quotePrefix="0" xfId="2">
      <alignment horizontal="center"/>
      <protection locked="1" hidden="1"/>
    </xf>
    <xf numFmtId="0" fontId="51" fillId="0" borderId="28" applyProtection="1" pivotButton="0" quotePrefix="0" xfId="2">
      <protection locked="1" hidden="1"/>
    </xf>
    <xf numFmtId="0" fontId="16" fillId="0" borderId="78" applyProtection="1" pivotButton="0" quotePrefix="0" xfId="2">
      <protection locked="1" hidden="1"/>
    </xf>
    <xf numFmtId="0" fontId="16" fillId="0" borderId="79" applyProtection="1" pivotButton="0" quotePrefix="0" xfId="2">
      <protection locked="1" hidden="1"/>
    </xf>
    <xf numFmtId="0" fontId="16" fillId="0" borderId="195" applyProtection="1" pivotButton="0" quotePrefix="0" xfId="2">
      <protection locked="1" hidden="1"/>
    </xf>
    <xf numFmtId="1" fontId="24" fillId="0" borderId="0" applyAlignment="1" applyProtection="1" pivotButton="0" quotePrefix="0" xfId="0">
      <alignment vertical="center"/>
      <protection locked="1" hidden="1"/>
    </xf>
    <xf numFmtId="0" fontId="7" fillId="15" borderId="172" applyProtection="1" pivotButton="0" quotePrefix="0" xfId="2">
      <protection locked="1" hidden="1"/>
    </xf>
    <xf numFmtId="0" fontId="28" fillId="0" borderId="172" applyProtection="1" pivotButton="0" quotePrefix="0" xfId="2">
      <protection locked="1" hidden="1"/>
    </xf>
    <xf numFmtId="164" fontId="19" fillId="44" borderId="174" applyAlignment="1" applyProtection="1" pivotButton="0" quotePrefix="0" xfId="2">
      <alignment horizontal="center"/>
      <protection locked="1" hidden="1"/>
    </xf>
    <xf numFmtId="0" fontId="19" fillId="44" borderId="174" applyProtection="1" pivotButton="0" quotePrefix="0" xfId="2">
      <protection locked="1" hidden="1"/>
    </xf>
    <xf numFmtId="0" fontId="19" fillId="44" borderId="174" applyAlignment="1" applyProtection="1" pivotButton="0" quotePrefix="0" xfId="2">
      <alignment horizontal="center"/>
      <protection locked="1" hidden="1"/>
    </xf>
    <xf numFmtId="164" fontId="22" fillId="46" borderId="196" applyProtection="1" pivotButton="0" quotePrefix="0" xfId="2">
      <protection locked="1" hidden="1"/>
    </xf>
    <xf numFmtId="0" fontId="22" fillId="46" borderId="196" applyProtection="1" pivotButton="0" quotePrefix="0" xfId="2">
      <protection locked="1" hidden="1"/>
    </xf>
    <xf numFmtId="0" fontId="22" fillId="46" borderId="196" applyAlignment="1" applyProtection="1" pivotButton="0" quotePrefix="0" xfId="2">
      <alignment horizontal="center"/>
      <protection locked="1" hidden="1"/>
    </xf>
    <xf numFmtId="0" fontId="42" fillId="46" borderId="196" applyAlignment="1" applyProtection="1" pivotButton="0" quotePrefix="0" xfId="2">
      <alignment horizontal="center"/>
      <protection locked="1" hidden="1"/>
    </xf>
    <xf numFmtId="0" fontId="22" fillId="46" borderId="116" applyAlignment="1" applyProtection="1" pivotButton="0" quotePrefix="0" xfId="2">
      <alignment horizontal="center" vertical="center"/>
      <protection locked="1" hidden="1"/>
    </xf>
    <xf numFmtId="0" fontId="22" fillId="46" borderId="117" applyAlignment="1" applyProtection="1" pivotButton="0" quotePrefix="0" xfId="2">
      <alignment horizontal="center"/>
      <protection locked="1" hidden="1"/>
    </xf>
    <xf numFmtId="0" fontId="28" fillId="0" borderId="193" applyProtection="1" pivotButton="0" quotePrefix="0" xfId="2">
      <protection locked="1" hidden="1"/>
    </xf>
    <xf numFmtId="0" fontId="29" fillId="48" borderId="60" applyAlignment="1" applyProtection="1" pivotButton="0" quotePrefix="0" xfId="2">
      <alignment horizontal="center" vertical="center"/>
      <protection locked="0" hidden="0"/>
    </xf>
    <xf numFmtId="0" fontId="27" fillId="0" borderId="28" applyProtection="1" pivotButton="0" quotePrefix="0" xfId="2">
      <protection locked="1" hidden="1"/>
    </xf>
    <xf numFmtId="0" fontId="38" fillId="0" borderId="0" applyAlignment="1" applyProtection="1" pivotButton="0" quotePrefix="0" xfId="0">
      <alignment vertical="center"/>
      <protection locked="1" hidden="1"/>
    </xf>
    <xf numFmtId="0" fontId="38" fillId="0" borderId="28" applyProtection="1" pivotButton="0" quotePrefix="0" xfId="2">
      <protection locked="1" hidden="1"/>
    </xf>
    <xf numFmtId="1" fontId="32" fillId="2" borderId="96" applyAlignment="1" applyProtection="1" pivotButton="0" quotePrefix="0" xfId="0">
      <alignment horizontal="center" shrinkToFit="1"/>
      <protection locked="1" hidden="1"/>
    </xf>
    <xf numFmtId="2" fontId="6" fillId="2" borderId="106" applyProtection="1" pivotButton="0" quotePrefix="0" xfId="0">
      <protection locked="1" hidden="1"/>
    </xf>
    <xf numFmtId="2" fontId="6" fillId="2" borderId="2" applyAlignment="1" applyProtection="1" pivotButton="0" quotePrefix="0" xfId="0">
      <alignment horizontal="center"/>
      <protection locked="1" hidden="1"/>
    </xf>
    <xf numFmtId="2" fontId="6" fillId="2" borderId="3" applyAlignment="1" applyProtection="1" pivotButton="0" quotePrefix="0" xfId="0">
      <alignment horizontal="center"/>
      <protection locked="1" hidden="1"/>
    </xf>
    <xf numFmtId="2" fontId="6" fillId="2" borderId="105" applyAlignment="1" applyProtection="1" pivotButton="0" quotePrefix="0" xfId="0">
      <alignment horizontal="center"/>
      <protection locked="1" hidden="1"/>
    </xf>
    <xf numFmtId="49" fontId="6" fillId="0" borderId="53" applyAlignment="1" applyProtection="1" pivotButton="0" quotePrefix="0" xfId="0">
      <alignment horizontal="left"/>
      <protection locked="1" hidden="1"/>
    </xf>
    <xf numFmtId="49" fontId="6" fillId="2" borderId="53" applyAlignment="1" applyProtection="1" pivotButton="0" quotePrefix="0" xfId="0">
      <alignment horizontal="left"/>
      <protection locked="1" hidden="1"/>
    </xf>
    <xf numFmtId="0" fontId="6" fillId="2" borderId="53" applyProtection="1" pivotButton="0" quotePrefix="0" xfId="0">
      <protection locked="1" hidden="1"/>
    </xf>
    <xf numFmtId="0" fontId="6" fillId="5" borderId="53" applyProtection="1" pivotButton="0" quotePrefix="0" xfId="0">
      <protection locked="1" hidden="1"/>
    </xf>
    <xf numFmtId="2" fontId="6" fillId="5" borderId="84" applyProtection="1" pivotButton="0" quotePrefix="0" xfId="0">
      <protection locked="1" hidden="1"/>
    </xf>
    <xf numFmtId="0" fontId="6" fillId="0" borderId="53" applyProtection="1" pivotButton="0" quotePrefix="0" xfId="0">
      <protection locked="1" hidden="1"/>
    </xf>
    <xf numFmtId="0" fontId="17" fillId="0" borderId="29" applyProtection="1" pivotButton="0" quotePrefix="0" xfId="0">
      <protection locked="1" hidden="1"/>
    </xf>
    <xf numFmtId="0" fontId="17" fillId="2" borderId="29" applyProtection="1" pivotButton="0" quotePrefix="0" xfId="0">
      <protection locked="1" hidden="1"/>
    </xf>
    <xf numFmtId="0" fontId="16" fillId="2" borderId="29" applyProtection="1" pivotButton="0" quotePrefix="0" xfId="0">
      <protection locked="1" hidden="1"/>
    </xf>
    <xf numFmtId="168" fontId="8" fillId="15" borderId="1" applyAlignment="1" applyProtection="1" pivotButton="0" quotePrefix="0" xfId="0">
      <alignment horizontal="center"/>
      <protection locked="1" hidden="1"/>
    </xf>
    <xf numFmtId="168" fontId="8" fillId="17" borderId="1" applyAlignment="1" applyProtection="1" pivotButton="0" quotePrefix="0" xfId="0">
      <alignment horizontal="center"/>
      <protection locked="1" hidden="1"/>
    </xf>
    <xf numFmtId="0" fontId="7" fillId="0" borderId="45" applyProtection="1" pivotButton="0" quotePrefix="0" xfId="0">
      <protection locked="1" hidden="1"/>
    </xf>
    <xf numFmtId="0" fontId="7" fillId="0" borderId="201" applyProtection="1" pivotButton="0" quotePrefix="0" xfId="0">
      <protection locked="1" hidden="1"/>
    </xf>
    <xf numFmtId="0" fontId="9" fillId="27" borderId="200" applyAlignment="1" applyProtection="1" pivotButton="0" quotePrefix="0" xfId="0">
      <alignment horizontal="center"/>
      <protection locked="1" hidden="1"/>
    </xf>
    <xf numFmtId="0" fontId="9" fillId="27" borderId="60" applyAlignment="1" applyProtection="1" pivotButton="0" quotePrefix="0" xfId="0">
      <alignment horizontal="center"/>
      <protection locked="1" hidden="1"/>
    </xf>
    <xf numFmtId="1" fontId="9" fillId="27" borderId="60" applyAlignment="1" applyProtection="1" pivotButton="0" quotePrefix="0" xfId="0">
      <alignment horizontal="center"/>
      <protection locked="1" hidden="1"/>
    </xf>
    <xf numFmtId="0" fontId="7" fillId="0" borderId="44" applyProtection="1" pivotButton="0" quotePrefix="0" xfId="0">
      <protection locked="1" hidden="1"/>
    </xf>
    <xf numFmtId="170" fontId="13" fillId="29" borderId="115" applyAlignment="1" applyProtection="1" pivotButton="0" quotePrefix="0" xfId="0">
      <alignment horizontal="center"/>
      <protection locked="0" hidden="0"/>
    </xf>
    <xf numFmtId="170" fontId="13" fillId="29" borderId="114" applyAlignment="1" applyProtection="1" pivotButton="0" quotePrefix="0" xfId="0">
      <alignment horizontal="center"/>
      <protection locked="0" hidden="0"/>
    </xf>
    <xf numFmtId="170" fontId="13" fillId="29" borderId="202" applyAlignment="1" applyProtection="1" pivotButton="0" quotePrefix="0" xfId="0">
      <alignment horizontal="center"/>
      <protection locked="0" hidden="0"/>
    </xf>
    <xf numFmtId="170" fontId="13" fillId="29" borderId="32" applyAlignment="1" applyProtection="1" pivotButton="0" quotePrefix="0" xfId="0">
      <alignment horizontal="center"/>
      <protection locked="0" hidden="0"/>
    </xf>
    <xf numFmtId="170" fontId="13" fillId="29" borderId="31" applyAlignment="1" applyProtection="1" pivotButton="0" quotePrefix="0" xfId="0">
      <alignment horizontal="center"/>
      <protection locked="0" hidden="0"/>
    </xf>
    <xf numFmtId="170" fontId="13" fillId="29" borderId="204" applyAlignment="1" applyProtection="1" pivotButton="0" quotePrefix="0" xfId="0">
      <alignment horizontal="center"/>
      <protection locked="0" hidden="0"/>
    </xf>
    <xf numFmtId="170" fontId="13" fillId="29" borderId="35" applyAlignment="1" applyProtection="1" pivotButton="0" quotePrefix="0" xfId="0">
      <alignment horizontal="center"/>
      <protection locked="0" hidden="0"/>
    </xf>
    <xf numFmtId="170" fontId="13" fillId="29" borderId="34" applyAlignment="1" applyProtection="1" pivotButton="0" quotePrefix="0" xfId="0">
      <alignment horizontal="center"/>
      <protection locked="0" hidden="0"/>
    </xf>
    <xf numFmtId="170" fontId="13" fillId="29" borderId="206" applyAlignment="1" applyProtection="1" pivotButton="0" quotePrefix="0" xfId="0">
      <alignment horizontal="center"/>
      <protection locked="0" hidden="0"/>
    </xf>
    <xf numFmtId="0" fontId="12" fillId="21" borderId="3" applyAlignment="1" applyProtection="1" pivotButton="0" quotePrefix="0" xfId="0">
      <alignment horizontal="center"/>
      <protection locked="1" hidden="1"/>
    </xf>
    <xf numFmtId="0" fontId="12" fillId="21" borderId="60" applyAlignment="1" applyProtection="1" pivotButton="0" quotePrefix="0" xfId="0">
      <alignment horizontal="center"/>
      <protection locked="1" hidden="1"/>
    </xf>
    <xf numFmtId="170" fontId="13" fillId="29" borderId="6" applyAlignment="1" applyProtection="1" pivotButton="0" quotePrefix="0" xfId="0">
      <alignment horizontal="center"/>
      <protection locked="0" hidden="0"/>
    </xf>
    <xf numFmtId="170" fontId="13" fillId="29" borderId="207" applyAlignment="1" applyProtection="1" pivotButton="0" quotePrefix="0" xfId="0">
      <alignment horizontal="center"/>
      <protection locked="0" hidden="0"/>
    </xf>
    <xf numFmtId="170" fontId="13" fillId="29" borderId="208" applyAlignment="1" applyProtection="1" pivotButton="0" quotePrefix="0" xfId="0">
      <alignment horizontal="center"/>
      <protection locked="0" hidden="0"/>
    </xf>
    <xf numFmtId="170" fontId="13" fillId="29" borderId="210" applyAlignment="1" applyProtection="1" pivotButton="0" quotePrefix="0" xfId="0">
      <alignment horizontal="center"/>
      <protection locked="0" hidden="0"/>
    </xf>
    <xf numFmtId="170" fontId="13" fillId="29" borderId="212" applyAlignment="1" applyProtection="1" pivotButton="0" quotePrefix="0" xfId="0">
      <alignment horizontal="center"/>
      <protection locked="0" hidden="0"/>
    </xf>
    <xf numFmtId="170" fontId="13" fillId="29" borderId="213" applyAlignment="1" applyProtection="1" pivotButton="0" quotePrefix="0" xfId="0">
      <alignment horizontal="center"/>
      <protection locked="0" hidden="0"/>
    </xf>
    <xf numFmtId="0" fontId="7" fillId="2" borderId="53" applyAlignment="1" applyProtection="1" pivotButton="0" quotePrefix="0" xfId="0">
      <alignment shrinkToFit="1"/>
      <protection locked="1" hidden="1"/>
    </xf>
    <xf numFmtId="0" fontId="7" fillId="2" borderId="54" applyAlignment="1" applyProtection="1" pivotButton="0" quotePrefix="0" xfId="0">
      <alignment shrinkToFit="1"/>
      <protection locked="1" hidden="1"/>
    </xf>
    <xf numFmtId="0" fontId="7" fillId="2" borderId="52" applyAlignment="1" applyProtection="1" pivotButton="0" quotePrefix="0" xfId="0">
      <alignment shrinkToFit="1"/>
      <protection locked="1" hidden="1"/>
    </xf>
    <xf numFmtId="1" fontId="13" fillId="2" borderId="225" applyAlignment="1" applyProtection="1" pivotButton="0" quotePrefix="0" xfId="0">
      <alignment horizontal="left" vertical="center"/>
      <protection locked="1" hidden="1"/>
    </xf>
    <xf numFmtId="166" fontId="13" fillId="2" borderId="181" applyAlignment="1" applyProtection="1" pivotButton="0" quotePrefix="0" xfId="0">
      <alignment vertical="center"/>
      <protection locked="1" hidden="1"/>
    </xf>
    <xf numFmtId="166" fontId="6" fillId="2" borderId="181" applyAlignment="1" applyProtection="1" pivotButton="0" quotePrefix="0" xfId="0">
      <alignment horizontal="center" vertical="center"/>
      <protection locked="1" hidden="1"/>
    </xf>
    <xf numFmtId="166" fontId="6" fillId="2" borderId="226" applyAlignment="1" applyProtection="1" pivotButton="0" quotePrefix="0" xfId="0">
      <alignment horizontal="center" vertical="center"/>
      <protection locked="1" hidden="1"/>
    </xf>
    <xf numFmtId="2" fontId="9" fillId="2" borderId="227" applyAlignment="1" applyProtection="1" pivotButton="0" quotePrefix="0" xfId="0">
      <alignment horizontal="center" vertical="center"/>
      <protection locked="1" hidden="1"/>
    </xf>
    <xf numFmtId="1" fontId="13" fillId="2" borderId="228" applyAlignment="1" applyProtection="1" pivotButton="0" quotePrefix="0" xfId="0">
      <alignment horizontal="left" vertical="center"/>
      <protection locked="1" hidden="1"/>
    </xf>
    <xf numFmtId="166" fontId="13" fillId="2" borderId="173" applyAlignment="1" applyProtection="1" pivotButton="0" quotePrefix="0" xfId="0">
      <alignment vertical="center"/>
      <protection locked="1" hidden="1"/>
    </xf>
    <xf numFmtId="166" fontId="6" fillId="2" borderId="173" applyAlignment="1" applyProtection="1" pivotButton="0" quotePrefix="0" xfId="0">
      <alignment horizontal="center" vertical="center"/>
      <protection locked="1" hidden="1"/>
    </xf>
    <xf numFmtId="166" fontId="6" fillId="2" borderId="168" applyAlignment="1" applyProtection="1" pivotButton="0" quotePrefix="0" xfId="0">
      <alignment horizontal="center" vertical="center"/>
      <protection locked="1" hidden="1"/>
    </xf>
    <xf numFmtId="2" fontId="9" fillId="2" borderId="229" applyAlignment="1" applyProtection="1" pivotButton="0" quotePrefix="0" xfId="0">
      <alignment horizontal="center" vertical="center"/>
      <protection locked="1" hidden="1"/>
    </xf>
    <xf numFmtId="0" fontId="8" fillId="35" borderId="230" applyAlignment="1" applyProtection="1" pivotButton="0" quotePrefix="0" xfId="0">
      <alignment vertical="center"/>
      <protection locked="1" hidden="1"/>
    </xf>
    <xf numFmtId="2" fontId="8" fillId="35" borderId="231" applyAlignment="1" applyProtection="1" pivotButton="0" quotePrefix="0" xfId="0">
      <alignment horizontal="center" vertical="center"/>
      <protection locked="1" hidden="1"/>
    </xf>
    <xf numFmtId="2" fontId="8" fillId="35" borderId="232" applyAlignment="1" applyProtection="1" pivotButton="0" quotePrefix="0" xfId="0">
      <alignment horizontal="center" vertical="center"/>
      <protection locked="1" hidden="1"/>
    </xf>
    <xf numFmtId="166" fontId="13" fillId="2" borderId="69" applyAlignment="1" applyProtection="1" pivotButton="0" quotePrefix="0" xfId="0">
      <alignment vertical="center"/>
      <protection locked="1" hidden="1"/>
    </xf>
    <xf numFmtId="166" fontId="6" fillId="2" borderId="69" applyAlignment="1" applyProtection="1" pivotButton="0" quotePrefix="0" xfId="0">
      <alignment horizontal="center" vertical="center"/>
      <protection locked="1" hidden="1"/>
    </xf>
    <xf numFmtId="166" fontId="6" fillId="2" borderId="70" applyAlignment="1" applyProtection="1" pivotButton="0" quotePrefix="0" xfId="0">
      <alignment horizontal="center" vertical="center"/>
      <protection locked="1" hidden="1"/>
    </xf>
    <xf numFmtId="0" fontId="13" fillId="0" borderId="135" applyAlignment="1" applyProtection="1" pivotButton="0" quotePrefix="0" xfId="0">
      <alignment vertical="center"/>
      <protection locked="1" hidden="1"/>
    </xf>
    <xf numFmtId="2" fontId="6" fillId="0" borderId="234" applyAlignment="1" applyProtection="1" pivotButton="0" quotePrefix="0" xfId="0">
      <alignment horizontal="center" vertical="center"/>
      <protection locked="1" hidden="1"/>
    </xf>
    <xf numFmtId="2" fontId="6" fillId="0" borderId="235" applyAlignment="1" applyProtection="1" pivotButton="0" quotePrefix="0" xfId="0">
      <alignment horizontal="center" vertical="center"/>
      <protection locked="1" hidden="1"/>
    </xf>
    <xf numFmtId="0" fontId="6" fillId="6" borderId="54" applyProtection="1" pivotButton="0" quotePrefix="0" xfId="0">
      <protection locked="1" hidden="1"/>
    </xf>
    <xf numFmtId="0" fontId="6" fillId="6" borderId="106" applyProtection="1" pivotButton="0" quotePrefix="0" xfId="0">
      <protection locked="1" hidden="1"/>
    </xf>
    <xf numFmtId="2" fontId="6" fillId="6" borderId="110" applyProtection="1" pivotButton="0" quotePrefix="0" xfId="0">
      <protection locked="1" hidden="1"/>
    </xf>
    <xf numFmtId="2" fontId="6" fillId="0" borderId="236" applyAlignment="1" applyProtection="1" pivotButton="0" quotePrefix="0" xfId="0">
      <alignment horizontal="center" vertical="center"/>
      <protection locked="1" hidden="1"/>
    </xf>
    <xf numFmtId="0" fontId="8" fillId="35" borderId="233" applyAlignment="1" applyProtection="1" pivotButton="0" quotePrefix="0" xfId="0">
      <alignment vertical="center"/>
      <protection locked="1" hidden="1"/>
    </xf>
    <xf numFmtId="2" fontId="8" fillId="35" borderId="238" applyAlignment="1" applyProtection="1" pivotButton="0" quotePrefix="0" xfId="0">
      <alignment horizontal="center" vertical="center"/>
      <protection locked="1" hidden="1"/>
    </xf>
    <xf numFmtId="2" fontId="8" fillId="35" borderId="239" applyAlignment="1" applyProtection="1" pivotButton="0" quotePrefix="0" xfId="0">
      <alignment horizontal="center" vertical="center"/>
      <protection locked="1" hidden="1"/>
    </xf>
    <xf numFmtId="2" fontId="6" fillId="0" borderId="28" applyAlignment="1" applyProtection="1" pivotButton="0" quotePrefix="0" xfId="0">
      <alignment horizontal="center" vertical="center"/>
      <protection locked="1" hidden="1"/>
    </xf>
    <xf numFmtId="0" fontId="13" fillId="0" borderId="237" applyAlignment="1" applyProtection="1" pivotButton="0" quotePrefix="0" xfId="0">
      <alignment vertical="center"/>
      <protection locked="1" hidden="1"/>
    </xf>
    <xf numFmtId="1" fontId="13" fillId="2" borderId="124" applyAlignment="1" applyProtection="1" pivotButton="0" quotePrefix="1" xfId="0">
      <alignment horizontal="left" vertical="center"/>
      <protection locked="1" hidden="1"/>
    </xf>
    <xf numFmtId="1" fontId="13" fillId="2" borderId="240" applyAlignment="1" applyProtection="1" pivotButton="0" quotePrefix="0" xfId="0">
      <alignment horizontal="left" vertical="center"/>
      <protection locked="1" hidden="1"/>
    </xf>
    <xf numFmtId="166" fontId="13" fillId="2" borderId="28" applyAlignment="1" applyProtection="1" pivotButton="0" quotePrefix="0" xfId="0">
      <alignment vertical="center"/>
      <protection locked="1" hidden="1"/>
    </xf>
    <xf numFmtId="166" fontId="6" fillId="2" borderId="28" applyAlignment="1" applyProtection="1" pivotButton="0" quotePrefix="0" xfId="0">
      <alignment horizontal="center" vertical="center"/>
      <protection locked="1" hidden="1"/>
    </xf>
    <xf numFmtId="1" fontId="13" fillId="2" borderId="237" applyAlignment="1" applyProtection="1" pivotButton="0" quotePrefix="0" xfId="0">
      <alignment horizontal="left" vertical="center"/>
      <protection locked="1" hidden="1"/>
    </xf>
    <xf numFmtId="1" fontId="13" fillId="2" borderId="122" applyAlignment="1" applyProtection="1" pivotButton="0" quotePrefix="0" xfId="0">
      <alignment horizontal="left" vertical="center"/>
      <protection locked="1" hidden="1"/>
    </xf>
    <xf numFmtId="166" fontId="8" fillId="35" borderId="242" applyAlignment="1" applyProtection="1" pivotButton="0" quotePrefix="0" xfId="0">
      <alignment vertical="center"/>
      <protection locked="1" hidden="1"/>
    </xf>
    <xf numFmtId="0" fontId="13" fillId="0" borderId="230" applyAlignment="1" applyProtection="1" pivotButton="0" quotePrefix="0" xfId="0">
      <alignment vertical="center"/>
      <protection locked="1" hidden="1"/>
    </xf>
    <xf numFmtId="2" fontId="6" fillId="0" borderId="231" applyAlignment="1" applyProtection="1" pivotButton="0" quotePrefix="0" xfId="0">
      <alignment horizontal="center" vertical="center"/>
      <protection locked="1" hidden="1"/>
    </xf>
    <xf numFmtId="2" fontId="6" fillId="0" borderId="244" applyAlignment="1" applyProtection="1" pivotButton="0" quotePrefix="0" xfId="0">
      <alignment horizontal="center" vertical="center"/>
      <protection locked="1" hidden="1"/>
    </xf>
    <xf numFmtId="0" fontId="13" fillId="0" borderId="245" applyAlignment="1" applyProtection="1" pivotButton="0" quotePrefix="0" xfId="0">
      <alignment vertical="center"/>
      <protection locked="1" hidden="1"/>
    </xf>
    <xf numFmtId="0" fontId="13" fillId="0" borderId="246" applyAlignment="1" applyProtection="1" pivotButton="0" quotePrefix="0" xfId="0">
      <alignment vertical="center"/>
      <protection locked="1" hidden="1"/>
    </xf>
    <xf numFmtId="2" fontId="6" fillId="0" borderId="62" applyAlignment="1" applyProtection="1" pivotButton="0" quotePrefix="0" xfId="0">
      <alignment horizontal="center" vertical="center"/>
      <protection locked="1" hidden="1"/>
    </xf>
    <xf numFmtId="2" fontId="6" fillId="0" borderId="247" applyAlignment="1" applyProtection="1" pivotButton="0" quotePrefix="0" xfId="0">
      <alignment horizontal="center" vertical="center"/>
      <protection locked="1" hidden="1"/>
    </xf>
    <xf numFmtId="166" fontId="6" fillId="2" borderId="236" applyAlignment="1" applyProtection="1" pivotButton="0" quotePrefix="0" xfId="0">
      <alignment horizontal="center" vertical="center"/>
      <protection locked="1" hidden="1"/>
    </xf>
    <xf numFmtId="1" fontId="13" fillId="2" borderId="248" applyAlignment="1" applyProtection="1" pivotButton="0" quotePrefix="0" xfId="0">
      <alignment horizontal="left" vertical="center"/>
      <protection locked="1" hidden="1"/>
    </xf>
    <xf numFmtId="166" fontId="13" fillId="2" borderId="249" applyAlignment="1" applyProtection="1" pivotButton="0" quotePrefix="0" xfId="0">
      <alignment vertical="center"/>
      <protection locked="1" hidden="1"/>
    </xf>
    <xf numFmtId="166" fontId="6" fillId="2" borderId="249" applyAlignment="1" applyProtection="1" pivotButton="0" quotePrefix="0" xfId="0">
      <alignment horizontal="center" vertical="center"/>
      <protection locked="1" hidden="1"/>
    </xf>
    <xf numFmtId="166" fontId="6" fillId="2" borderId="250" applyAlignment="1" applyProtection="1" pivotButton="0" quotePrefix="0" xfId="0">
      <alignment horizontal="center" vertical="center"/>
      <protection locked="1" hidden="1"/>
    </xf>
    <xf numFmtId="2" fontId="9" fillId="2" borderId="244" applyAlignment="1" applyProtection="1" pivotButton="0" quotePrefix="0" xfId="0">
      <alignment horizontal="center" vertical="center"/>
      <protection locked="1" hidden="1"/>
    </xf>
    <xf numFmtId="0" fontId="6" fillId="2" borderId="251" applyProtection="1" pivotButton="0" quotePrefix="0" xfId="0">
      <protection locked="1" hidden="1"/>
    </xf>
    <xf numFmtId="0" fontId="6" fillId="2" borderId="252" applyProtection="1" pivotButton="0" quotePrefix="0" xfId="0">
      <protection locked="1" hidden="1"/>
    </xf>
    <xf numFmtId="0" fontId="6" fillId="0" borderId="253" applyProtection="1" pivotButton="0" quotePrefix="0" xfId="0">
      <protection locked="1" hidden="1"/>
    </xf>
    <xf numFmtId="0" fontId="8" fillId="34" borderId="241" applyAlignment="1" applyProtection="1" pivotButton="0" quotePrefix="0" xfId="0">
      <alignment horizontal="center" vertical="center"/>
      <protection locked="1" hidden="1"/>
    </xf>
    <xf numFmtId="167" fontId="8" fillId="34" borderId="142" applyAlignment="1" applyProtection="1" pivotButton="0" quotePrefix="0" xfId="0">
      <alignment vertical="center"/>
      <protection locked="1" hidden="1"/>
    </xf>
    <xf numFmtId="167" fontId="13" fillId="2" borderId="254" applyAlignment="1" applyProtection="1" pivotButton="0" quotePrefix="0" xfId="0">
      <alignment horizontal="center" vertical="center"/>
      <protection locked="1" hidden="1"/>
    </xf>
    <xf numFmtId="167" fontId="13" fillId="2" borderId="142" applyAlignment="1" applyProtection="1" pivotButton="0" quotePrefix="0" xfId="0">
      <alignment horizontal="center" vertical="center"/>
      <protection locked="1" hidden="1"/>
    </xf>
    <xf numFmtId="2" fontId="8" fillId="35" borderId="243" applyAlignment="1" applyProtection="1" pivotButton="0" quotePrefix="0" xfId="0">
      <alignment horizontal="right" vertical="center"/>
      <protection locked="1" hidden="1"/>
    </xf>
    <xf numFmtId="0" fontId="13" fillId="0" borderId="254" applyAlignment="1" applyProtection="1" pivotButton="0" quotePrefix="0" xfId="0">
      <alignment horizontal="center" vertical="center"/>
      <protection locked="1" hidden="1"/>
    </xf>
    <xf numFmtId="0" fontId="47" fillId="38" borderId="134" applyAlignment="1" applyProtection="1" pivotButton="0" quotePrefix="0" xfId="0">
      <alignment horizontal="center" vertical="center"/>
      <protection locked="1" hidden="1"/>
    </xf>
    <xf numFmtId="0" fontId="54" fillId="2" borderId="28" applyProtection="1" pivotButton="0" quotePrefix="0" xfId="0">
      <protection locked="1" hidden="1"/>
    </xf>
    <xf numFmtId="0" fontId="38" fillId="0" borderId="28" applyProtection="1" pivotButton="0" quotePrefix="0" xfId="0">
      <protection locked="1" hidden="1"/>
    </xf>
    <xf numFmtId="2" fontId="54" fillId="2" borderId="28" applyProtection="1" pivotButton="0" quotePrefix="0" xfId="0">
      <protection locked="1" hidden="1"/>
    </xf>
    <xf numFmtId="0" fontId="54" fillId="2" borderId="97" applyAlignment="1" applyProtection="1" pivotButton="0" quotePrefix="0" xfId="0">
      <alignment horizontal="center"/>
      <protection locked="1" hidden="1"/>
    </xf>
    <xf numFmtId="2" fontId="54" fillId="2" borderId="0" applyProtection="1" pivotButton="0" quotePrefix="0" xfId="0">
      <protection locked="1" hidden="1"/>
    </xf>
    <xf numFmtId="0" fontId="55" fillId="2" borderId="0" applyProtection="1" pivotButton="0" quotePrefix="0" xfId="0">
      <protection locked="1" hidden="1"/>
    </xf>
    <xf numFmtId="2" fontId="53" fillId="2" borderId="97" applyAlignment="1" applyProtection="1" pivotButton="0" quotePrefix="0" xfId="0">
      <alignment horizontal="center"/>
      <protection locked="1" hidden="1"/>
    </xf>
    <xf numFmtId="0" fontId="27" fillId="0" borderId="28" applyProtection="1" pivotButton="0" quotePrefix="0" xfId="0">
      <protection locked="1" hidden="1"/>
    </xf>
    <xf numFmtId="2" fontId="53" fillId="2" borderId="28" applyProtection="1" pivotButton="0" quotePrefix="0" xfId="0">
      <protection locked="1" hidden="1"/>
    </xf>
    <xf numFmtId="0" fontId="53" fillId="2" borderId="28" applyAlignment="1" applyProtection="1" pivotButton="0" quotePrefix="0" xfId="0">
      <alignment horizontal="center"/>
      <protection locked="1" hidden="1"/>
    </xf>
    <xf numFmtId="2" fontId="53" fillId="2" borderId="255" applyAlignment="1" applyProtection="1" pivotButton="0" quotePrefix="0" xfId="0">
      <alignment horizontal="center"/>
      <protection locked="1" hidden="1"/>
    </xf>
    <xf numFmtId="0" fontId="54" fillId="2" borderId="28" applyAlignment="1" applyProtection="1" pivotButton="0" quotePrefix="0" xfId="0">
      <alignment horizontal="center"/>
      <protection locked="1" hidden="1"/>
    </xf>
    <xf numFmtId="0" fontId="54" fillId="2" borderId="0" applyAlignment="1" applyProtection="1" pivotButton="0" quotePrefix="0" xfId="0">
      <alignment horizontal="center"/>
      <protection locked="1" hidden="1"/>
    </xf>
    <xf numFmtId="0" fontId="53" fillId="2" borderId="97" applyAlignment="1" applyProtection="1" pivotButton="0" quotePrefix="0" xfId="0">
      <alignment horizontal="center"/>
      <protection locked="1" hidden="1"/>
    </xf>
    <xf numFmtId="2" fontId="8" fillId="15" borderId="165" applyAlignment="1" applyProtection="1" pivotButton="0" quotePrefix="0" xfId="0">
      <alignment horizontal="center"/>
      <protection locked="1" hidden="1"/>
    </xf>
    <xf numFmtId="0" fontId="11" fillId="3" borderId="28" applyAlignment="1" applyProtection="1" pivotButton="0" quotePrefix="0" xfId="0">
      <alignment horizontal="center"/>
      <protection locked="1" hidden="1"/>
    </xf>
    <xf numFmtId="0" fontId="7" fillId="0" borderId="28" applyProtection="1" pivotButton="0" quotePrefix="0" xfId="0">
      <protection locked="1" hidden="1"/>
    </xf>
    <xf numFmtId="0" fontId="6" fillId="2" borderId="18" applyAlignment="1" applyProtection="1" pivotButton="0" quotePrefix="0" xfId="0">
      <alignment horizontal="center"/>
      <protection locked="1" hidden="1"/>
    </xf>
    <xf numFmtId="0" fontId="6" fillId="2" borderId="19" applyAlignment="1" applyProtection="1" pivotButton="0" quotePrefix="0" xfId="0">
      <alignment horizontal="center"/>
      <protection locked="1" hidden="1"/>
    </xf>
    <xf numFmtId="0" fontId="6" fillId="2" borderId="20" applyAlignment="1" applyProtection="1" pivotButton="0" quotePrefix="0" xfId="0">
      <alignment horizontal="center"/>
      <protection locked="1" hidden="1"/>
    </xf>
    <xf numFmtId="0" fontId="6" fillId="2" borderId="198" applyAlignment="1" applyProtection="1" pivotButton="0" quotePrefix="0" xfId="0">
      <alignment horizontal="center"/>
      <protection locked="1" hidden="1"/>
    </xf>
    <xf numFmtId="0" fontId="6" fillId="2" borderId="107" applyAlignment="1" applyProtection="1" pivotButton="0" quotePrefix="0" xfId="0">
      <alignment horizontal="center"/>
      <protection locked="1" hidden="1"/>
    </xf>
    <xf numFmtId="0" fontId="6" fillId="2" borderId="65" applyAlignment="1" applyProtection="1" pivotButton="0" quotePrefix="0" xfId="0">
      <alignment horizontal="center"/>
      <protection locked="1" hidden="1"/>
    </xf>
    <xf numFmtId="0" fontId="6" fillId="2" borderId="66" applyAlignment="1" applyProtection="1" pivotButton="0" quotePrefix="0" xfId="0">
      <alignment horizontal="center"/>
      <protection locked="1" hidden="1"/>
    </xf>
    <xf numFmtId="0" fontId="6" fillId="2" borderId="199" applyAlignment="1" applyProtection="1" pivotButton="0" quotePrefix="0" xfId="0">
      <alignment horizontal="center"/>
      <protection locked="1" hidden="1"/>
    </xf>
    <xf numFmtId="2" fontId="6" fillId="50" borderId="84" applyProtection="1" pivotButton="0" quotePrefix="0" xfId="0">
      <protection locked="1" hidden="1"/>
    </xf>
    <xf numFmtId="0" fontId="6" fillId="49" borderId="53" applyProtection="1" pivotButton="0" quotePrefix="0" xfId="0">
      <protection locked="0" hidden="0"/>
    </xf>
    <xf numFmtId="0" fontId="6" fillId="49" borderId="29" applyProtection="1" pivotButton="0" quotePrefix="0" xfId="0">
      <protection locked="0" hidden="0"/>
    </xf>
    <xf numFmtId="170" fontId="27" fillId="0" borderId="0" applyProtection="1" pivotButton="0" quotePrefix="0" xfId="0">
      <protection locked="1" hidden="1"/>
    </xf>
    <xf numFmtId="1" fontId="27" fillId="0" borderId="0" applyProtection="1" pivotButton="0" quotePrefix="0" xfId="0">
      <protection locked="1" hidden="1"/>
    </xf>
    <xf numFmtId="0" fontId="27" fillId="15" borderId="0" applyProtection="1" pivotButton="0" quotePrefix="0" xfId="0">
      <protection locked="1" hidden="1"/>
    </xf>
    <xf numFmtId="1" fontId="27" fillId="15" borderId="28" applyAlignment="1" applyProtection="1" pivotButton="0" quotePrefix="0" xfId="0">
      <alignment horizontal="center"/>
      <protection locked="1" hidden="1"/>
    </xf>
    <xf numFmtId="0" fontId="6" fillId="33" borderId="78" applyProtection="1" pivotButton="0" quotePrefix="0" xfId="0">
      <protection locked="0" hidden="0"/>
    </xf>
    <xf numFmtId="0" fontId="6" fillId="33" borderId="154" applyProtection="1" pivotButton="0" quotePrefix="0" xfId="0">
      <protection locked="0" hidden="0"/>
    </xf>
    <xf numFmtId="2" fontId="6" fillId="0" borderId="234" applyAlignment="1" applyProtection="1" pivotButton="0" quotePrefix="0" xfId="0">
      <alignment horizontal="center" vertical="center"/>
      <protection locked="0" hidden="0"/>
    </xf>
    <xf numFmtId="20" fontId="24" fillId="0" borderId="180" applyAlignment="1" applyProtection="1" pivotButton="0" quotePrefix="0" xfId="2">
      <alignment horizontal="center"/>
      <protection locked="1" hidden="1"/>
    </xf>
    <xf numFmtId="20" fontId="24" fillId="0" borderId="181" applyAlignment="1" applyProtection="1" pivotButton="0" quotePrefix="0" xfId="2">
      <alignment horizontal="center"/>
      <protection locked="1" hidden="1"/>
    </xf>
    <xf numFmtId="20" fontId="24" fillId="0" borderId="182" applyAlignment="1" applyProtection="1" pivotButton="0" quotePrefix="0" xfId="2">
      <alignment horizontal="center"/>
      <protection locked="1" hidden="1"/>
    </xf>
    <xf numFmtId="0" fontId="56" fillId="28" borderId="67" applyAlignment="1" applyProtection="1" pivotButton="0" quotePrefix="0" xfId="2">
      <alignment horizontal="center"/>
      <protection locked="0" hidden="0"/>
    </xf>
    <xf numFmtId="20" fontId="24" fillId="51" borderId="68" applyAlignment="1" applyProtection="1" pivotButton="0" quotePrefix="0" xfId="2">
      <alignment horizontal="center"/>
      <protection locked="0" hidden="0"/>
    </xf>
    <xf numFmtId="20" fontId="24" fillId="51" borderId="69" applyAlignment="1" applyProtection="1" pivotButton="0" quotePrefix="0" xfId="2">
      <alignment horizontal="center"/>
      <protection locked="0" hidden="0"/>
    </xf>
    <xf numFmtId="20" fontId="24" fillId="51" borderId="70" applyAlignment="1" applyProtection="1" pivotButton="0" quotePrefix="0" xfId="2">
      <alignment horizontal="center"/>
      <protection locked="0" hidden="0"/>
    </xf>
    <xf numFmtId="20" fontId="24" fillId="51" borderId="71" applyAlignment="1" applyProtection="1" pivotButton="0" quotePrefix="0" xfId="2">
      <alignment horizontal="center"/>
      <protection locked="0" hidden="0"/>
    </xf>
    <xf numFmtId="20" fontId="24" fillId="51" borderId="67" applyAlignment="1" applyProtection="1" pivotButton="0" quotePrefix="0" xfId="2">
      <alignment horizontal="center"/>
      <protection locked="0" hidden="0"/>
    </xf>
    <xf numFmtId="20" fontId="24" fillId="51" borderId="72" applyAlignment="1" applyProtection="1" pivotButton="0" quotePrefix="0" xfId="2">
      <alignment horizontal="center"/>
      <protection locked="0" hidden="0"/>
    </xf>
    <xf numFmtId="0" fontId="24" fillId="51" borderId="67" applyAlignment="1" applyProtection="1" pivotButton="0" quotePrefix="0" xfId="2">
      <alignment horizontal="center"/>
      <protection locked="0" hidden="0"/>
    </xf>
    <xf numFmtId="0" fontId="24" fillId="51" borderId="72" applyAlignment="1" applyProtection="1" pivotButton="0" quotePrefix="0" xfId="2">
      <alignment horizontal="center"/>
      <protection locked="0" hidden="0"/>
    </xf>
    <xf numFmtId="0" fontId="24" fillId="51" borderId="71" applyAlignment="1" applyProtection="1" pivotButton="0" quotePrefix="0" xfId="2">
      <alignment horizontal="center"/>
      <protection locked="0" hidden="0"/>
    </xf>
    <xf numFmtId="0" fontId="24" fillId="51" borderId="73" applyAlignment="1" applyProtection="1" pivotButton="0" quotePrefix="0" xfId="2">
      <alignment horizontal="center"/>
      <protection locked="0" hidden="0"/>
    </xf>
    <xf numFmtId="0" fontId="24" fillId="51" borderId="74" applyAlignment="1" applyProtection="1" pivotButton="0" quotePrefix="0" xfId="2">
      <alignment horizontal="center"/>
      <protection locked="0" hidden="0"/>
    </xf>
    <xf numFmtId="0" fontId="24" fillId="51" borderId="75" applyAlignment="1" applyProtection="1" pivotButton="0" quotePrefix="0" xfId="2">
      <alignment horizontal="center"/>
      <protection locked="0" hidden="0"/>
    </xf>
    <xf numFmtId="170" fontId="6" fillId="29" borderId="71" applyAlignment="1" applyProtection="1" pivotButton="0" quotePrefix="0" xfId="2">
      <alignment horizontal="center"/>
      <protection locked="0" hidden="0"/>
    </xf>
    <xf numFmtId="170" fontId="6" fillId="29" borderId="67" applyAlignment="1" applyProtection="1" pivotButton="0" quotePrefix="0" xfId="2">
      <alignment horizontal="center"/>
      <protection locked="0" hidden="0"/>
    </xf>
    <xf numFmtId="170" fontId="6" fillId="29" borderId="72" applyAlignment="1" applyProtection="1" pivotButton="0" quotePrefix="0" xfId="2">
      <alignment horizontal="center"/>
      <protection locked="0" hidden="0"/>
    </xf>
    <xf numFmtId="170" fontId="6" fillId="29" borderId="73" applyAlignment="1" applyProtection="1" pivotButton="0" quotePrefix="0" xfId="2">
      <alignment horizontal="center"/>
      <protection locked="0" hidden="0"/>
    </xf>
    <xf numFmtId="170" fontId="6" fillId="29" borderId="74" applyAlignment="1" applyProtection="1" pivotButton="0" quotePrefix="0" xfId="2">
      <alignment horizontal="center"/>
      <protection locked="0" hidden="0"/>
    </xf>
    <xf numFmtId="170" fontId="6" fillId="29" borderId="75" applyAlignment="1" applyProtection="1" pivotButton="0" quotePrefix="0" xfId="2">
      <alignment horizontal="center"/>
      <protection locked="0" hidden="0"/>
    </xf>
    <xf numFmtId="0" fontId="6" fillId="17" borderId="53" applyProtection="1" pivotButton="0" quotePrefix="0" xfId="0">
      <protection locked="1" hidden="1"/>
    </xf>
    <xf numFmtId="0" fontId="6" fillId="17" borderId="53" applyAlignment="1" applyProtection="1" pivotButton="0" quotePrefix="0" xfId="0">
      <alignment horizontal="left"/>
      <protection locked="1" hidden="1"/>
    </xf>
    <xf numFmtId="0" fontId="6" fillId="15" borderId="53" applyAlignment="1" applyProtection="1" pivotButton="0" quotePrefix="0" xfId="0">
      <alignment horizontal="left"/>
      <protection locked="1" hidden="1"/>
    </xf>
    <xf numFmtId="0" fontId="16" fillId="2" borderId="106" applyProtection="1" pivotButton="0" quotePrefix="0" xfId="0">
      <protection locked="1" hidden="1"/>
    </xf>
    <xf numFmtId="49" fontId="6" fillId="15" borderId="53" applyAlignment="1" applyProtection="1" pivotButton="0" quotePrefix="0" xfId="0">
      <alignment horizontal="left"/>
      <protection locked="1" hidden="1"/>
    </xf>
    <xf numFmtId="49" fontId="6" fillId="17" borderId="53" applyAlignment="1" applyProtection="1" pivotButton="0" quotePrefix="0" xfId="0">
      <alignment horizontal="left"/>
      <protection locked="1" hidden="1"/>
    </xf>
    <xf numFmtId="49" fontId="6" fillId="17" borderId="54" applyAlignment="1" applyProtection="1" pivotButton="0" quotePrefix="0" xfId="0">
      <alignment horizontal="left"/>
      <protection locked="1" hidden="1"/>
    </xf>
    <xf numFmtId="2" fontId="54" fillId="2" borderId="84" applyProtection="1" pivotButton="0" quotePrefix="0" xfId="0">
      <protection locked="1" hidden="1"/>
    </xf>
    <xf numFmtId="0" fontId="42" fillId="0" borderId="28" applyProtection="1" pivotButton="0" quotePrefix="0" xfId="2">
      <protection locked="1" hidden="1"/>
    </xf>
    <xf numFmtId="172" fontId="42" fillId="0" borderId="28" applyProtection="1" pivotButton="0" quotePrefix="0" xfId="2">
      <protection locked="1" hidden="1"/>
    </xf>
    <xf numFmtId="0" fontId="42" fillId="0" borderId="28" applyAlignment="1" applyProtection="1" pivotButton="0" quotePrefix="0" xfId="2">
      <alignment horizontal="left"/>
      <protection locked="1" hidden="1"/>
    </xf>
    <xf numFmtId="0" fontId="27" fillId="0" borderId="28" applyAlignment="1" applyProtection="1" pivotButton="0" quotePrefix="0" xfId="2">
      <alignment horizontal="center"/>
      <protection locked="1" hidden="1"/>
    </xf>
    <xf numFmtId="172" fontId="27" fillId="0" borderId="28" applyAlignment="1" applyProtection="1" pivotButton="0" quotePrefix="0" xfId="2">
      <alignment horizontal="center"/>
      <protection locked="1" hidden="1"/>
    </xf>
    <xf numFmtId="20" fontId="27" fillId="0" borderId="28" applyAlignment="1" applyProtection="1" pivotButton="0" quotePrefix="0" xfId="2">
      <alignment horizontal="center"/>
      <protection locked="1" hidden="1"/>
    </xf>
    <xf numFmtId="173" fontId="27" fillId="0" borderId="28" applyAlignment="1" applyProtection="1" pivotButton="0" quotePrefix="0" xfId="2">
      <alignment horizontal="center"/>
      <protection locked="1" hidden="1"/>
    </xf>
    <xf numFmtId="174" fontId="27" fillId="0" borderId="28" applyAlignment="1" applyProtection="1" pivotButton="0" quotePrefix="0" xfId="2">
      <alignment horizontal="center"/>
      <protection locked="1" hidden="1"/>
    </xf>
    <xf numFmtId="164" fontId="27" fillId="0" borderId="28" applyAlignment="1" applyProtection="1" pivotButton="0" quotePrefix="0" xfId="2">
      <alignment horizontal="center"/>
      <protection locked="1" hidden="1"/>
    </xf>
    <xf numFmtId="0" fontId="27" fillId="14" borderId="28" applyProtection="1" pivotButton="0" quotePrefix="0" xfId="2">
      <protection locked="1" hidden="1"/>
    </xf>
    <xf numFmtId="0" fontId="27" fillId="18" borderId="28" applyAlignment="1" applyProtection="1" pivotButton="0" quotePrefix="0" xfId="2">
      <alignment horizontal="center"/>
      <protection locked="1" hidden="1"/>
    </xf>
    <xf numFmtId="172" fontId="27" fillId="14" borderId="28" applyAlignment="1" applyProtection="1" pivotButton="0" quotePrefix="0" xfId="2">
      <alignment horizontal="center"/>
      <protection locked="1" hidden="1"/>
    </xf>
    <xf numFmtId="0" fontId="27" fillId="14" borderId="28" applyAlignment="1" applyProtection="1" pivotButton="0" quotePrefix="0" xfId="2">
      <alignment horizontal="center"/>
      <protection locked="1" hidden="1"/>
    </xf>
    <xf numFmtId="20" fontId="27" fillId="14" borderId="28" applyAlignment="1" applyProtection="1" pivotButton="0" quotePrefix="0" xfId="2">
      <alignment horizontal="center"/>
      <protection locked="1" hidden="1"/>
    </xf>
    <xf numFmtId="173" fontId="27" fillId="14" borderId="28" applyAlignment="1" applyProtection="1" pivotButton="0" quotePrefix="0" xfId="2">
      <alignment horizontal="center"/>
      <protection locked="1" hidden="1"/>
    </xf>
    <xf numFmtId="164" fontId="27" fillId="14" borderId="28" applyAlignment="1" applyProtection="1" pivotButton="0" quotePrefix="0" xfId="2">
      <alignment horizontal="center"/>
      <protection locked="1" hidden="1"/>
    </xf>
    <xf numFmtId="172" fontId="27" fillId="0" borderId="28" applyProtection="1" pivotButton="0" quotePrefix="0" xfId="2">
      <protection locked="1" hidden="1"/>
    </xf>
    <xf numFmtId="0" fontId="38" fillId="0" borderId="28" applyProtection="1" pivotButton="0" quotePrefix="0" xfId="1">
      <protection locked="1" hidden="1"/>
    </xf>
    <xf numFmtId="0" fontId="24" fillId="0" borderId="158" applyAlignment="1" applyProtection="1" pivotButton="0" quotePrefix="0" xfId="2">
      <alignment horizontal="center"/>
      <protection locked="1" hidden="1"/>
    </xf>
    <xf numFmtId="0" fontId="24" fillId="0" borderId="268" applyAlignment="1" applyProtection="1" pivotButton="0" quotePrefix="0" xfId="2">
      <alignment horizontal="center"/>
      <protection locked="1" hidden="1"/>
    </xf>
    <xf numFmtId="172" fontId="24" fillId="0" borderId="226" applyAlignment="1" applyProtection="1" pivotButton="0" quotePrefix="0" xfId="2">
      <alignment horizontal="center"/>
      <protection locked="1" hidden="1"/>
    </xf>
    <xf numFmtId="172" fontId="24" fillId="51" borderId="163" applyAlignment="1" applyProtection="1" pivotButton="0" quotePrefix="0" xfId="2">
      <alignment horizontal="center"/>
      <protection locked="0" hidden="0"/>
    </xf>
    <xf numFmtId="172" fontId="24" fillId="51" borderId="164" applyAlignment="1" applyProtection="1" pivotButton="0" quotePrefix="0" xfId="2">
      <alignment horizontal="center"/>
      <protection locked="0" hidden="0"/>
    </xf>
    <xf numFmtId="175" fontId="24" fillId="51" borderId="164" applyAlignment="1" applyProtection="1" pivotButton="0" quotePrefix="0" xfId="2">
      <alignment horizontal="center"/>
      <protection locked="0" hidden="0"/>
    </xf>
    <xf numFmtId="172" fontId="24" fillId="51" borderId="165" applyAlignment="1" applyProtection="1" pivotButton="0" quotePrefix="0" xfId="2">
      <alignment horizontal="center"/>
      <protection locked="0" hidden="0"/>
    </xf>
    <xf numFmtId="14" fontId="38" fillId="0" borderId="0" applyProtection="1" pivotButton="0" quotePrefix="0" xfId="0">
      <protection locked="1" hidden="1"/>
    </xf>
    <xf numFmtId="2" fontId="38" fillId="0" borderId="0" applyProtection="1" pivotButton="0" quotePrefix="0" xfId="0">
      <protection locked="1" hidden="1"/>
    </xf>
    <xf numFmtId="0" fontId="34" fillId="52" borderId="68" applyAlignment="1" applyProtection="1" pivotButton="0" quotePrefix="0" xfId="2">
      <alignment horizontal="center"/>
      <protection locked="1" hidden="1"/>
    </xf>
    <xf numFmtId="0" fontId="34" fillId="52" borderId="69" applyAlignment="1" applyProtection="1" pivotButton="0" quotePrefix="0" xfId="2">
      <alignment horizontal="center"/>
      <protection locked="1" hidden="1"/>
    </xf>
    <xf numFmtId="0" fontId="34" fillId="52" borderId="70" applyAlignment="1" applyProtection="1" pivotButton="0" quotePrefix="0" xfId="2">
      <alignment horizontal="center"/>
      <protection locked="1" hidden="1"/>
    </xf>
    <xf numFmtId="0" fontId="34" fillId="52" borderId="166" applyAlignment="1" applyProtection="1" pivotButton="0" quotePrefix="0" xfId="2">
      <alignment horizontal="center"/>
      <protection locked="1" hidden="1"/>
    </xf>
    <xf numFmtId="0" fontId="34" fillId="52" borderId="173" applyAlignment="1" applyProtection="1" pivotButton="0" quotePrefix="0" xfId="2">
      <alignment horizontal="center"/>
      <protection locked="1" hidden="1"/>
    </xf>
    <xf numFmtId="0" fontId="34" fillId="52" borderId="168" applyAlignment="1" applyProtection="1" pivotButton="0" quotePrefix="0" xfId="2">
      <alignment horizontal="center"/>
      <protection locked="1" hidden="1"/>
    </xf>
    <xf numFmtId="0" fontId="34" fillId="52" borderId="71" applyAlignment="1" applyProtection="1" pivotButton="0" quotePrefix="0" xfId="2">
      <alignment horizontal="center"/>
      <protection locked="1" hidden="1"/>
    </xf>
    <xf numFmtId="0" fontId="34" fillId="52" borderId="67" applyAlignment="1" applyProtection="1" pivotButton="0" quotePrefix="0" xfId="2">
      <alignment horizontal="center"/>
      <protection locked="1" hidden="1"/>
    </xf>
    <xf numFmtId="0" fontId="34" fillId="52" borderId="72" applyAlignment="1" applyProtection="1" pivotButton="0" quotePrefix="0" xfId="2">
      <alignment horizontal="center"/>
      <protection locked="1" hidden="1"/>
    </xf>
    <xf numFmtId="2" fontId="32" fillId="19" borderId="111" applyAlignment="1" applyProtection="1" pivotButton="0" quotePrefix="0" xfId="0">
      <alignment horizontal="center"/>
      <protection locked="1" hidden="1"/>
    </xf>
    <xf numFmtId="2" fontId="6" fillId="19" borderId="111" applyAlignment="1" applyProtection="1" pivotButton="0" quotePrefix="0" xfId="0">
      <alignment horizontal="center"/>
      <protection locked="1" hidden="1"/>
    </xf>
    <xf numFmtId="2" fontId="32" fillId="52" borderId="269" applyAlignment="1" applyProtection="1" pivotButton="0" quotePrefix="0" xfId="0">
      <alignment horizontal="center"/>
      <protection locked="1" hidden="1"/>
    </xf>
    <xf numFmtId="2" fontId="6" fillId="52" borderId="269" applyAlignment="1" applyProtection="1" pivotButton="0" quotePrefix="0" xfId="0">
      <alignment horizontal="center"/>
      <protection locked="1" hidden="1"/>
    </xf>
    <xf numFmtId="1" fontId="7" fillId="20" borderId="270" applyProtection="1" pivotButton="0" quotePrefix="0" xfId="0">
      <protection locked="1" hidden="1"/>
    </xf>
    <xf numFmtId="0" fontId="7" fillId="52" borderId="269" applyAlignment="1" applyProtection="1" pivotButton="0" quotePrefix="0" xfId="0">
      <alignment horizontal="center"/>
      <protection locked="1" hidden="1"/>
    </xf>
    <xf numFmtId="0" fontId="7" fillId="52" borderId="269" applyProtection="1" pivotButton="0" quotePrefix="0" xfId="0">
      <protection locked="1" hidden="1"/>
    </xf>
    <xf numFmtId="1" fontId="7" fillId="52" borderId="269" applyAlignment="1" applyProtection="1" pivotButton="0" quotePrefix="0" xfId="0">
      <alignment horizontal="center"/>
      <protection locked="1" hidden="1"/>
    </xf>
    <xf numFmtId="1" fontId="7" fillId="52" borderId="269" applyProtection="1" pivotButton="0" quotePrefix="0" xfId="0">
      <protection locked="1" hidden="1"/>
    </xf>
    <xf numFmtId="170" fontId="6" fillId="27" borderId="272" applyAlignment="1" applyProtection="1" pivotButton="0" quotePrefix="0" xfId="0">
      <alignment horizontal="left" vertical="center"/>
      <protection locked="1" hidden="1"/>
    </xf>
    <xf numFmtId="0" fontId="25" fillId="56" borderId="269" applyAlignment="1" applyProtection="1" pivotButton="0" quotePrefix="0" xfId="0">
      <alignment horizontal="left"/>
      <protection locked="1" hidden="1"/>
    </xf>
    <xf numFmtId="0" fontId="5" fillId="56" borderId="269" applyAlignment="1" applyProtection="1" pivotButton="0" quotePrefix="0" xfId="0">
      <alignment horizontal="right"/>
      <protection locked="1" hidden="1"/>
    </xf>
    <xf numFmtId="170" fontId="5" fillId="56" borderId="269" applyAlignment="1" applyProtection="1" pivotButton="0" quotePrefix="0" xfId="0">
      <alignment horizontal="left"/>
      <protection locked="1" hidden="1"/>
    </xf>
    <xf numFmtId="164" fontId="39" fillId="47" borderId="111" applyProtection="1" pivotButton="0" quotePrefix="0" xfId="2">
      <protection locked="1" hidden="1"/>
    </xf>
    <xf numFmtId="0" fontId="22" fillId="47" borderId="111" applyProtection="1" pivotButton="0" quotePrefix="0" xfId="2">
      <protection locked="1" hidden="1"/>
    </xf>
    <xf numFmtId="0" fontId="22" fillId="47" borderId="111" applyAlignment="1" applyProtection="1" pivotButton="0" quotePrefix="0" xfId="2">
      <alignment horizontal="center"/>
      <protection locked="1" hidden="1"/>
    </xf>
    <xf numFmtId="0" fontId="22" fillId="41" borderId="111" applyAlignment="1" applyProtection="1" pivotButton="0" quotePrefix="0" xfId="2">
      <alignment horizontal="center"/>
      <protection locked="1" hidden="1"/>
    </xf>
    <xf numFmtId="164" fontId="39" fillId="55" borderId="269" applyProtection="1" pivotButton="0" quotePrefix="0" xfId="2">
      <protection locked="1" hidden="1"/>
    </xf>
    <xf numFmtId="0" fontId="22" fillId="55" borderId="269" applyProtection="1" pivotButton="0" quotePrefix="0" xfId="2">
      <protection locked="1" hidden="1"/>
    </xf>
    <xf numFmtId="0" fontId="22" fillId="55" borderId="269" applyAlignment="1" applyProtection="1" pivotButton="0" quotePrefix="0" xfId="2">
      <alignment horizontal="center"/>
      <protection locked="1" hidden="1"/>
    </xf>
    <xf numFmtId="0" fontId="22" fillId="54" borderId="269" applyAlignment="1" applyProtection="1" pivotButton="0" quotePrefix="0" xfId="2">
      <alignment horizontal="center"/>
      <protection locked="1" hidden="1"/>
    </xf>
    <xf numFmtId="0" fontId="42" fillId="15" borderId="28" applyProtection="1" pivotButton="0" quotePrefix="0" xfId="1">
      <protection locked="1" hidden="1"/>
    </xf>
    <xf numFmtId="0" fontId="42" fillId="15" borderId="28" applyAlignment="1" applyProtection="1" pivotButton="0" quotePrefix="0" xfId="1">
      <alignment horizontal="left"/>
      <protection locked="1" hidden="1"/>
    </xf>
    <xf numFmtId="0" fontId="27" fillId="15" borderId="28" applyProtection="1" pivotButton="0" quotePrefix="0" xfId="1">
      <protection locked="1" hidden="1"/>
    </xf>
    <xf numFmtId="14" fontId="27" fillId="0" borderId="28" applyAlignment="1" applyProtection="1" pivotButton="0" quotePrefix="0" xfId="1">
      <alignment horizontal="left"/>
      <protection locked="1" hidden="1"/>
    </xf>
    <xf numFmtId="0" fontId="27" fillId="0" borderId="28" applyAlignment="1" applyProtection="1" pivotButton="0" quotePrefix="0" xfId="1">
      <alignment horizontal="left"/>
      <protection locked="1" hidden="1"/>
    </xf>
    <xf numFmtId="0" fontId="27" fillId="15" borderId="28" applyAlignment="1" applyProtection="1" pivotButton="0" quotePrefix="0" xfId="1">
      <alignment horizontal="left"/>
      <protection locked="1" hidden="1"/>
    </xf>
    <xf numFmtId="14" fontId="27" fillId="15" borderId="28" applyAlignment="1" applyProtection="1" pivotButton="0" quotePrefix="0" xfId="1">
      <alignment horizontal="left"/>
      <protection locked="1" hidden="1"/>
    </xf>
    <xf numFmtId="0" fontId="27" fillId="0" borderId="28" applyProtection="1" pivotButton="0" quotePrefix="0" xfId="1">
      <protection locked="1" hidden="1"/>
    </xf>
    <xf numFmtId="0" fontId="13" fillId="0" borderId="233" applyAlignment="1" applyProtection="1" pivotButton="0" quotePrefix="0" xfId="0">
      <alignment vertical="center"/>
      <protection locked="1" hidden="1"/>
    </xf>
    <xf numFmtId="176" fontId="27" fillId="27" borderId="28" applyAlignment="1" applyProtection="1" pivotButton="0" quotePrefix="0" xfId="0">
      <alignment horizontal="center"/>
      <protection locked="1" hidden="1"/>
    </xf>
    <xf numFmtId="1" fontId="7" fillId="42" borderId="67" applyAlignment="1" applyProtection="1" pivotButton="0" quotePrefix="0" xfId="0">
      <alignment horizontal="center"/>
      <protection locked="1" hidden="1"/>
    </xf>
    <xf numFmtId="0" fontId="42" fillId="15" borderId="52" applyAlignment="1" applyProtection="1" pivotButton="0" quotePrefix="0" xfId="1">
      <alignment horizontal="center"/>
      <protection locked="1" hidden="1"/>
    </xf>
    <xf numFmtId="0" fontId="42" fillId="15" borderId="51" applyProtection="1" pivotButton="0" quotePrefix="0" xfId="1">
      <protection locked="1" hidden="1"/>
    </xf>
    <xf numFmtId="0" fontId="42" fillId="15" borderId="50" applyProtection="1" pivotButton="0" quotePrefix="0" xfId="1">
      <protection locked="1" hidden="1"/>
    </xf>
    <xf numFmtId="0" fontId="27" fillId="15" borderId="53" applyAlignment="1" applyProtection="1" pivotButton="0" quotePrefix="0" xfId="1">
      <alignment horizontal="center"/>
      <protection locked="1" hidden="1"/>
    </xf>
    <xf numFmtId="0" fontId="27" fillId="15" borderId="49" applyAlignment="1" applyProtection="1" pivotButton="0" quotePrefix="0" xfId="1">
      <alignment horizontal="center"/>
      <protection locked="1" hidden="1"/>
    </xf>
    <xf numFmtId="0" fontId="27" fillId="15" borderId="54" applyAlignment="1" applyProtection="1" pivotButton="0" quotePrefix="0" xfId="1">
      <alignment horizontal="center"/>
      <protection locked="1" hidden="1"/>
    </xf>
    <xf numFmtId="0" fontId="27" fillId="15" borderId="62" applyProtection="1" pivotButton="0" quotePrefix="0" xfId="1">
      <protection locked="1" hidden="1"/>
    </xf>
    <xf numFmtId="0" fontId="27" fillId="15" borderId="55" applyAlignment="1" applyProtection="1" pivotButton="0" quotePrefix="0" xfId="1">
      <alignment horizontal="center"/>
      <protection locked="1" hidden="1"/>
    </xf>
    <xf numFmtId="0" fontId="27" fillId="15" borderId="28" applyAlignment="1" applyProtection="1" pivotButton="0" quotePrefix="0" xfId="1">
      <alignment horizontal="center"/>
      <protection locked="1" hidden="1"/>
    </xf>
    <xf numFmtId="0" fontId="27" fillId="0" borderId="28" applyAlignment="1" applyProtection="1" pivotButton="0" quotePrefix="0" xfId="1">
      <alignment horizontal="center"/>
      <protection locked="1" hidden="1"/>
    </xf>
    <xf numFmtId="0" fontId="6" fillId="2" borderId="197" applyAlignment="1" applyProtection="1" pivotButton="0" quotePrefix="0" xfId="0">
      <alignment horizontal="center"/>
      <protection locked="0" hidden="0"/>
    </xf>
    <xf numFmtId="0" fontId="6" fillId="2" borderId="198" applyAlignment="1" applyProtection="1" pivotButton="0" quotePrefix="0" xfId="0">
      <alignment horizontal="center"/>
      <protection locked="0" hidden="0"/>
    </xf>
    <xf numFmtId="0" fontId="6" fillId="2" borderId="199" applyAlignment="1" applyProtection="1" pivotButton="0" quotePrefix="0" xfId="0">
      <alignment horizontal="center"/>
      <protection locked="0" hidden="0"/>
    </xf>
    <xf numFmtId="0" fontId="42" fillId="0" borderId="28" applyAlignment="1" applyProtection="1" pivotButton="0" quotePrefix="0" xfId="2">
      <alignment horizontal="left"/>
      <protection locked="1" hidden="1"/>
    </xf>
    <xf numFmtId="2" fontId="6" fillId="6" borderId="54" applyAlignment="1" applyProtection="1" pivotButton="0" quotePrefix="0" xfId="0">
      <alignment horizontal="right"/>
      <protection locked="1" hidden="1"/>
    </xf>
    <xf numFmtId="2" fontId="6" fillId="6" borderId="55" applyAlignment="1" applyProtection="1" pivotButton="0" quotePrefix="0" xfId="0">
      <alignment horizontal="right"/>
      <protection locked="1" hidden="1"/>
    </xf>
    <xf numFmtId="0" fontId="42" fillId="22" borderId="44" applyAlignment="1" applyProtection="1" pivotButton="0" quotePrefix="0" xfId="0">
      <alignment horizontal="center"/>
      <protection locked="1" hidden="1"/>
    </xf>
    <xf numFmtId="0" fontId="42" fillId="22" borderId="45" applyAlignment="1" applyProtection="1" pivotButton="0" quotePrefix="0" xfId="0">
      <alignment horizontal="center"/>
      <protection locked="1" hidden="1"/>
    </xf>
    <xf numFmtId="0" fontId="42" fillId="22" borderId="46" applyAlignment="1" applyProtection="1" pivotButton="0" quotePrefix="0" xfId="0">
      <alignment horizontal="center"/>
      <protection locked="1" hidden="1"/>
    </xf>
    <xf numFmtId="0" fontId="0" fillId="0" borderId="53" applyAlignment="1" applyProtection="1" pivotButton="0" quotePrefix="0" xfId="0">
      <alignment horizontal="center"/>
      <protection locked="0" hidden="0"/>
    </xf>
    <xf numFmtId="0" fontId="0" fillId="0" borderId="28" applyAlignment="1" applyProtection="1" pivotButton="0" quotePrefix="0" xfId="0">
      <alignment horizontal="center"/>
      <protection locked="0" hidden="0"/>
    </xf>
    <xf numFmtId="0" fontId="0" fillId="0" borderId="49" applyAlignment="1" applyProtection="1" pivotButton="0" quotePrefix="0" xfId="0">
      <alignment horizontal="center"/>
      <protection locked="0" hidden="0"/>
    </xf>
    <xf numFmtId="0" fontId="0" fillId="0" borderId="54" applyAlignment="1" applyProtection="1" pivotButton="0" quotePrefix="0" xfId="0">
      <alignment horizontal="center"/>
      <protection locked="0" hidden="0"/>
    </xf>
    <xf numFmtId="0" fontId="0" fillId="0" borderId="62" applyAlignment="1" applyProtection="1" pivotButton="0" quotePrefix="0" xfId="0">
      <alignment horizontal="center"/>
      <protection locked="0" hidden="0"/>
    </xf>
    <xf numFmtId="0" fontId="0" fillId="0" borderId="55" applyAlignment="1" applyProtection="1" pivotButton="0" quotePrefix="0" xfId="0">
      <alignment horizontal="center"/>
      <protection locked="0" hidden="0"/>
    </xf>
    <xf numFmtId="170" fontId="7" fillId="2" borderId="62" applyAlignment="1" applyProtection="1" pivotButton="0" quotePrefix="0" xfId="0">
      <alignment horizontal="center" shrinkToFit="1"/>
      <protection locked="1" hidden="1"/>
    </xf>
    <xf numFmtId="170" fontId="7" fillId="2" borderId="55" applyAlignment="1" applyProtection="1" pivotButton="0" quotePrefix="0" xfId="0">
      <alignment horizontal="center" shrinkToFit="1"/>
      <protection locked="1" hidden="1"/>
    </xf>
    <xf numFmtId="0" fontId="6" fillId="2" borderId="54" applyAlignment="1" applyProtection="1" pivotButton="0" quotePrefix="0" xfId="0">
      <alignment horizontal="left"/>
      <protection locked="1" hidden="1"/>
    </xf>
    <xf numFmtId="0" fontId="6" fillId="2" borderId="62" applyAlignment="1" applyProtection="1" pivotButton="0" quotePrefix="0" xfId="0">
      <alignment horizontal="left"/>
      <protection locked="1" hidden="1"/>
    </xf>
    <xf numFmtId="2" fontId="6" fillId="2" borderId="54" applyAlignment="1" applyProtection="1" pivotButton="0" quotePrefix="0" xfId="0">
      <alignment horizontal="right"/>
      <protection locked="1" hidden="1"/>
    </xf>
    <xf numFmtId="0" fontId="6" fillId="2" borderId="55" applyAlignment="1" applyProtection="1" pivotButton="0" quotePrefix="0" xfId="0">
      <alignment horizontal="right"/>
      <protection locked="1" hidden="1"/>
    </xf>
    <xf numFmtId="0" fontId="6" fillId="2" borderId="62" applyAlignment="1" applyProtection="1" pivotButton="0" quotePrefix="0" xfId="0">
      <alignment horizontal="right"/>
      <protection locked="1" hidden="1"/>
    </xf>
    <xf numFmtId="0" fontId="6" fillId="6" borderId="54" applyAlignment="1" applyProtection="1" pivotButton="0" quotePrefix="0" xfId="0">
      <alignment horizontal="left"/>
      <protection locked="1" hidden="1"/>
    </xf>
    <xf numFmtId="0" fontId="6" fillId="6" borderId="62" applyAlignment="1" applyProtection="1" pivotButton="0" quotePrefix="0" xfId="0">
      <alignment horizontal="left"/>
      <protection locked="1" hidden="1"/>
    </xf>
    <xf numFmtId="0" fontId="6" fillId="6" borderId="55" applyAlignment="1" applyProtection="1" pivotButton="0" quotePrefix="0" xfId="0">
      <alignment horizontal="left"/>
      <protection locked="1" hidden="1"/>
    </xf>
    <xf numFmtId="2" fontId="54" fillId="2" borderId="53" applyAlignment="1" applyProtection="1" pivotButton="0" quotePrefix="0" xfId="0">
      <alignment horizontal="right"/>
      <protection locked="1" hidden="1"/>
    </xf>
    <xf numFmtId="0" fontId="54" fillId="2" borderId="49" applyAlignment="1" applyProtection="1" pivotButton="0" quotePrefix="0" xfId="0">
      <alignment horizontal="right"/>
      <protection locked="1" hidden="1"/>
    </xf>
    <xf numFmtId="170" fontId="7" fillId="2" borderId="28" applyAlignment="1" applyProtection="1" pivotButton="0" quotePrefix="0" xfId="0">
      <alignment horizontal="center" shrinkToFit="1"/>
      <protection locked="1" hidden="1"/>
    </xf>
    <xf numFmtId="170" fontId="7" fillId="2" borderId="49" applyAlignment="1" applyProtection="1" pivotButton="0" quotePrefix="0" xfId="0">
      <alignment horizontal="center" shrinkToFit="1"/>
      <protection locked="1" hidden="1"/>
    </xf>
    <xf numFmtId="0" fontId="6" fillId="2" borderId="53" applyAlignment="1" applyProtection="1" pivotButton="0" quotePrefix="0" xfId="0">
      <alignment horizontal="left"/>
      <protection locked="1" hidden="1"/>
    </xf>
    <xf numFmtId="0" fontId="6" fillId="2" borderId="28" applyAlignment="1" applyProtection="1" pivotButton="0" quotePrefix="0" xfId="0">
      <alignment horizontal="left"/>
      <protection locked="1" hidden="1"/>
    </xf>
    <xf numFmtId="2" fontId="6" fillId="2" borderId="53" applyAlignment="1" applyProtection="1" pivotButton="0" quotePrefix="0" xfId="0">
      <alignment horizontal="right"/>
      <protection locked="1" hidden="1"/>
    </xf>
    <xf numFmtId="0" fontId="6" fillId="2" borderId="49" applyAlignment="1" applyProtection="1" pivotButton="0" quotePrefix="0" xfId="0">
      <alignment horizontal="right"/>
      <protection locked="1" hidden="1"/>
    </xf>
    <xf numFmtId="0" fontId="6" fillId="2" borderId="28" applyAlignment="1" applyProtection="1" pivotButton="0" quotePrefix="0" xfId="0">
      <alignment horizontal="right"/>
      <protection locked="1" hidden="1"/>
    </xf>
    <xf numFmtId="0" fontId="6" fillId="5" borderId="53" applyAlignment="1" applyProtection="1" pivotButton="0" quotePrefix="0" xfId="0">
      <alignment horizontal="left"/>
      <protection locked="1" hidden="1"/>
    </xf>
    <xf numFmtId="0" fontId="6" fillId="5" borderId="28" applyAlignment="1" applyProtection="1" pivotButton="0" quotePrefix="0" xfId="0">
      <alignment horizontal="left"/>
      <protection locked="1" hidden="1"/>
    </xf>
    <xf numFmtId="0" fontId="6" fillId="5" borderId="49" applyAlignment="1" applyProtection="1" pivotButton="0" quotePrefix="0" xfId="0">
      <alignment horizontal="left"/>
      <protection locked="1" hidden="1"/>
    </xf>
    <xf numFmtId="2" fontId="6" fillId="5" borderId="53" applyAlignment="1" applyProtection="1" pivotButton="0" quotePrefix="0" xfId="0">
      <alignment horizontal="right"/>
      <protection locked="1" hidden="1"/>
    </xf>
    <xf numFmtId="2" fontId="6" fillId="5" borderId="49" applyAlignment="1" applyProtection="1" pivotButton="0" quotePrefix="0" xfId="0">
      <alignment horizontal="right"/>
      <protection locked="1" hidden="1"/>
    </xf>
    <xf numFmtId="0" fontId="54" fillId="2" borderId="53" applyAlignment="1" applyProtection="1" pivotButton="0" quotePrefix="0" xfId="0">
      <alignment horizontal="left"/>
      <protection locked="1" hidden="1"/>
    </xf>
    <xf numFmtId="0" fontId="54" fillId="2" borderId="28" applyAlignment="1" applyProtection="1" pivotButton="0" quotePrefix="0" xfId="0">
      <alignment horizontal="left"/>
      <protection locked="1" hidden="1"/>
    </xf>
    <xf numFmtId="0" fontId="54" fillId="2" borderId="49" applyAlignment="1" applyProtection="1" pivotButton="0" quotePrefix="0" xfId="0">
      <alignment horizontal="left"/>
      <protection locked="1" hidden="1"/>
    </xf>
    <xf numFmtId="0" fontId="6" fillId="2" borderId="49" applyAlignment="1" applyProtection="1" pivotButton="0" quotePrefix="0" xfId="0">
      <alignment horizontal="left"/>
      <protection locked="1" hidden="1"/>
    </xf>
    <xf numFmtId="0" fontId="42" fillId="58" borderId="44" applyAlignment="1" applyProtection="1" pivotButton="0" quotePrefix="0" xfId="0">
      <alignment horizontal="center"/>
      <protection locked="1" hidden="1"/>
    </xf>
    <xf numFmtId="0" fontId="42" fillId="58" borderId="45" applyAlignment="1" applyProtection="1" pivotButton="0" quotePrefix="0" xfId="0">
      <alignment horizontal="center"/>
      <protection locked="1" hidden="1"/>
    </xf>
    <xf numFmtId="0" fontId="42" fillId="58" borderId="46" applyAlignment="1" applyProtection="1" pivotButton="0" quotePrefix="0" xfId="0">
      <alignment horizontal="center"/>
      <protection locked="1" hidden="1"/>
    </xf>
    <xf numFmtId="170" fontId="7" fillId="2" borderId="51" applyAlignment="1" applyProtection="1" pivotButton="0" quotePrefix="0" xfId="0">
      <alignment horizontal="center" shrinkToFit="1"/>
      <protection locked="1" hidden="1"/>
    </xf>
    <xf numFmtId="170" fontId="7" fillId="2" borderId="50" applyAlignment="1" applyProtection="1" pivotButton="0" quotePrefix="0" xfId="0">
      <alignment horizontal="center" shrinkToFit="1"/>
      <protection locked="1" hidden="1"/>
    </xf>
    <xf numFmtId="0" fontId="19" fillId="21" borderId="52" applyAlignment="1" applyProtection="1" pivotButton="0" quotePrefix="0" xfId="0">
      <alignment horizontal="center"/>
      <protection locked="1" hidden="1"/>
    </xf>
    <xf numFmtId="0" fontId="19" fillId="21" borderId="51" applyAlignment="1" applyProtection="1" pivotButton="0" quotePrefix="0" xfId="0">
      <alignment horizontal="center"/>
      <protection locked="1" hidden="1"/>
    </xf>
    <xf numFmtId="0" fontId="19" fillId="21" borderId="50" applyAlignment="1" applyProtection="1" pivotButton="0" quotePrefix="0" xfId="0">
      <alignment horizontal="center"/>
      <protection locked="1" hidden="1"/>
    </xf>
    <xf numFmtId="2" fontId="6" fillId="2" borderId="28" applyAlignment="1" applyProtection="1" pivotButton="0" quotePrefix="0" xfId="0">
      <alignment horizontal="right"/>
      <protection locked="1" hidden="1"/>
    </xf>
    <xf numFmtId="0" fontId="34" fillId="52" borderId="44" applyAlignment="1" applyProtection="1" pivotButton="0" quotePrefix="0" xfId="0">
      <alignment horizontal="center"/>
      <protection locked="1" hidden="1"/>
    </xf>
    <xf numFmtId="0" fontId="34" fillId="52" borderId="45" applyAlignment="1" applyProtection="1" pivotButton="0" quotePrefix="0" xfId="0">
      <alignment horizontal="center"/>
      <protection locked="1" hidden="1"/>
    </xf>
    <xf numFmtId="0" fontId="34" fillId="52" borderId="46" applyAlignment="1" applyProtection="1" pivotButton="0" quotePrefix="0" xfId="0">
      <alignment horizontal="center"/>
      <protection locked="1" hidden="1"/>
    </xf>
    <xf numFmtId="0" fontId="42" fillId="32" borderId="52" applyAlignment="1" applyProtection="1" pivotButton="0" quotePrefix="0" xfId="0">
      <alignment horizontal="center"/>
      <protection locked="1" hidden="1"/>
    </xf>
    <xf numFmtId="0" fontId="42" fillId="32" borderId="51" applyAlignment="1" applyProtection="1" pivotButton="0" quotePrefix="0" xfId="0">
      <alignment horizontal="center"/>
      <protection locked="1" hidden="1"/>
    </xf>
    <xf numFmtId="0" fontId="42" fillId="32" borderId="50" applyAlignment="1" applyProtection="1" pivotButton="0" quotePrefix="0" xfId="0">
      <alignment horizontal="center"/>
      <protection locked="1" hidden="1"/>
    </xf>
    <xf numFmtId="0" fontId="10" fillId="23" borderId="42" applyAlignment="1" applyProtection="1" pivotButton="0" quotePrefix="0" xfId="0">
      <alignment horizontal="center"/>
      <protection locked="1" hidden="1"/>
    </xf>
    <xf numFmtId="0" fontId="10" fillId="23" borderId="24" applyAlignment="1" applyProtection="1" pivotButton="0" quotePrefix="0" xfId="0">
      <alignment horizontal="center"/>
      <protection locked="1" hidden="1"/>
    </xf>
    <xf numFmtId="20" fontId="5" fillId="21" borderId="39" applyAlignment="1" applyProtection="1" pivotButton="0" quotePrefix="0" xfId="0">
      <alignment horizontal="center"/>
      <protection locked="1" hidden="1"/>
    </xf>
    <xf numFmtId="0" fontId="7" fillId="22" borderId="1" applyAlignment="1" applyProtection="1" pivotButton="0" quotePrefix="0" xfId="0">
      <alignment horizontal="center"/>
      <protection locked="1" hidden="1"/>
    </xf>
    <xf numFmtId="20" fontId="5" fillId="21" borderId="39" applyAlignment="1" applyProtection="1" pivotButton="0" quotePrefix="0" xfId="0">
      <alignment horizontal="center" shrinkToFit="1"/>
      <protection locked="1" hidden="1"/>
    </xf>
    <xf numFmtId="0" fontId="7" fillId="22" borderId="1" applyAlignment="1" applyProtection="1" pivotButton="0" quotePrefix="0" xfId="0">
      <alignment horizontal="center" shrinkToFit="1"/>
      <protection locked="1" hidden="1"/>
    </xf>
    <xf numFmtId="20" fontId="5" fillId="21" borderId="3" applyAlignment="1" applyProtection="1" pivotButton="0" quotePrefix="0" xfId="0">
      <alignment horizontal="center"/>
      <protection locked="1" hidden="1"/>
    </xf>
    <xf numFmtId="0" fontId="7" fillId="22" borderId="5" applyAlignment="1" applyProtection="1" pivotButton="0" quotePrefix="0" xfId="0">
      <alignment horizontal="center"/>
      <protection locked="1" hidden="1"/>
    </xf>
    <xf numFmtId="0" fontId="34" fillId="58" borderId="44" applyAlignment="1" applyProtection="1" pivotButton="0" quotePrefix="0" xfId="0">
      <alignment horizontal="center"/>
      <protection locked="1" hidden="1"/>
    </xf>
    <xf numFmtId="0" fontId="34" fillId="58" borderId="45" applyAlignment="1" applyProtection="1" pivotButton="0" quotePrefix="0" xfId="0">
      <alignment horizontal="center"/>
      <protection locked="1" hidden="1"/>
    </xf>
    <xf numFmtId="0" fontId="34" fillId="58" borderId="46" applyAlignment="1" applyProtection="1" pivotButton="0" quotePrefix="0" xfId="0">
      <alignment horizontal="center"/>
      <protection locked="1" hidden="1"/>
    </xf>
    <xf numFmtId="2" fontId="15" fillId="0" borderId="80" applyAlignment="1" applyProtection="1" pivotButton="0" quotePrefix="0" xfId="0">
      <alignment horizontal="center" vertical="center"/>
      <protection locked="1" hidden="1"/>
    </xf>
    <xf numFmtId="2" fontId="15" fillId="0" borderId="89" applyAlignment="1" applyProtection="1" pivotButton="0" quotePrefix="0" xfId="0">
      <alignment horizontal="center" vertical="center"/>
      <protection locked="1" hidden="1"/>
    </xf>
    <xf numFmtId="3" fontId="37" fillId="4" borderId="53" applyAlignment="1" applyProtection="1" pivotButton="0" quotePrefix="0" xfId="0">
      <alignment horizontal="center" vertical="center"/>
      <protection locked="1" hidden="1"/>
    </xf>
    <xf numFmtId="3" fontId="37" fillId="4" borderId="49" applyAlignment="1" applyProtection="1" pivotButton="0" quotePrefix="0" xfId="0">
      <alignment horizontal="center" vertical="center"/>
      <protection locked="1" hidden="1"/>
    </xf>
    <xf numFmtId="3" fontId="37" fillId="4" borderId="54" applyAlignment="1" applyProtection="1" pivotButton="0" quotePrefix="0" xfId="0">
      <alignment horizontal="center" vertical="center"/>
      <protection locked="1" hidden="1"/>
    </xf>
    <xf numFmtId="3" fontId="37" fillId="4" borderId="55" applyAlignment="1" applyProtection="1" pivotButton="0" quotePrefix="0" xfId="0">
      <alignment horizontal="center" vertical="center"/>
      <protection locked="1" hidden="1"/>
    </xf>
    <xf numFmtId="0" fontId="11" fillId="3" borderId="28" applyAlignment="1" applyProtection="1" pivotButton="0" quotePrefix="0" xfId="0">
      <alignment horizontal="center"/>
      <protection locked="1" hidden="1"/>
    </xf>
    <xf numFmtId="0" fontId="36" fillId="0" borderId="93" applyAlignment="1" applyProtection="1" pivotButton="0" quotePrefix="0" xfId="0">
      <alignment horizontal="center"/>
      <protection locked="1" hidden="1"/>
    </xf>
    <xf numFmtId="0" fontId="36" fillId="0" borderId="94" applyAlignment="1" applyProtection="1" pivotButton="0" quotePrefix="0" xfId="0">
      <alignment horizontal="center"/>
      <protection locked="1" hidden="1"/>
    </xf>
    <xf numFmtId="0" fontId="36" fillId="0" borderId="96" applyAlignment="1" applyProtection="1" pivotButton="0" quotePrefix="0" xfId="0">
      <alignment horizontal="center"/>
      <protection locked="1" hidden="1"/>
    </xf>
    <xf numFmtId="0" fontId="36" fillId="0" borderId="28" applyAlignment="1" applyProtection="1" pivotButton="0" quotePrefix="0" xfId="0">
      <alignment horizontal="center"/>
      <protection locked="1" hidden="1"/>
    </xf>
    <xf numFmtId="0" fontId="33" fillId="22" borderId="85" applyAlignment="1" applyProtection="1" pivotButton="0" quotePrefix="0" xfId="1">
      <alignment horizontal="center" vertical="center"/>
      <protection locked="1" hidden="1"/>
    </xf>
    <xf numFmtId="0" fontId="33" fillId="22" borderId="86" applyAlignment="1" applyProtection="1" pivotButton="0" quotePrefix="0" xfId="1">
      <alignment horizontal="center" vertical="center"/>
      <protection locked="1" hidden="1"/>
    </xf>
    <xf numFmtId="177" fontId="35" fillId="0" borderId="96" applyAlignment="1" applyProtection="1" pivotButton="0" quotePrefix="0" xfId="0">
      <alignment horizontal="center" vertical="center"/>
      <protection locked="1" hidden="1"/>
    </xf>
    <xf numFmtId="177" fontId="35" fillId="0" borderId="28" applyAlignment="1" applyProtection="1" pivotButton="0" quotePrefix="0" xfId="0">
      <alignment horizontal="center" vertical="center"/>
      <protection locked="1" hidden="1"/>
    </xf>
    <xf numFmtId="0" fontId="17" fillId="0" borderId="88" applyAlignment="1" applyProtection="1" pivotButton="0" quotePrefix="0" xfId="0">
      <alignment horizontal="center" vertical="center"/>
      <protection locked="1" hidden="1"/>
    </xf>
    <xf numFmtId="0" fontId="17" fillId="0" borderId="80" applyAlignment="1" applyProtection="1" pivotButton="0" quotePrefix="0" xfId="0">
      <alignment horizontal="center" vertical="center"/>
      <protection locked="1" hidden="1"/>
    </xf>
    <xf numFmtId="2" fontId="17" fillId="24" borderId="80" applyAlignment="1" applyProtection="1" pivotButton="0" quotePrefix="0" xfId="0">
      <alignment horizontal="center" vertical="center"/>
      <protection locked="1" hidden="1"/>
    </xf>
    <xf numFmtId="2" fontId="17" fillId="0" borderId="80" applyAlignment="1" applyProtection="1" pivotButton="0" quotePrefix="0" xfId="0">
      <alignment horizontal="center" vertical="center"/>
      <protection locked="1" hidden="1"/>
    </xf>
    <xf numFmtId="0" fontId="17" fillId="0" borderId="90" applyAlignment="1" applyProtection="1" pivotButton="0" quotePrefix="0" xfId="0">
      <alignment horizontal="center" vertical="center"/>
      <protection locked="1" hidden="1"/>
    </xf>
    <xf numFmtId="0" fontId="17" fillId="0" borderId="91" applyAlignment="1" applyProtection="1" pivotButton="0" quotePrefix="0" xfId="0">
      <alignment horizontal="center" vertical="center"/>
      <protection locked="1" hidden="1"/>
    </xf>
    <xf numFmtId="2" fontId="49" fillId="24" borderId="91" applyAlignment="1" applyProtection="1" pivotButton="0" quotePrefix="0" xfId="0">
      <alignment horizontal="center" vertical="center"/>
      <protection locked="1" hidden="1"/>
    </xf>
    <xf numFmtId="2" fontId="49" fillId="0" borderId="91" applyAlignment="1" applyProtection="1" pivotButton="0" quotePrefix="0" xfId="0">
      <alignment horizontal="center" vertical="center"/>
      <protection locked="1" hidden="1"/>
    </xf>
    <xf numFmtId="0" fontId="54" fillId="0" borderId="53" applyAlignment="1" applyProtection="1" pivotButton="0" quotePrefix="0" xfId="0">
      <alignment horizontal="left"/>
      <protection locked="1" hidden="1"/>
    </xf>
    <xf numFmtId="0" fontId="54" fillId="0" borderId="29" applyAlignment="1" applyProtection="1" pivotButton="0" quotePrefix="0" xfId="0">
      <alignment horizontal="left"/>
      <protection locked="1" hidden="1"/>
    </xf>
    <xf numFmtId="0" fontId="22" fillId="25" borderId="52" applyAlignment="1" applyProtection="1" pivotButton="0" quotePrefix="0" xfId="0">
      <alignment horizontal="center" vertical="center"/>
      <protection locked="1" hidden="1"/>
    </xf>
    <xf numFmtId="0" fontId="22" fillId="25" borderId="50" applyAlignment="1" applyProtection="1" pivotButton="0" quotePrefix="0" xfId="0">
      <alignment horizontal="center" vertical="center"/>
      <protection locked="1" hidden="1"/>
    </xf>
    <xf numFmtId="0" fontId="34" fillId="22" borderId="86" applyAlignment="1" applyProtection="1" pivotButton="0" quotePrefix="0" xfId="1">
      <alignment horizontal="center" vertical="center"/>
      <protection locked="1" hidden="1"/>
    </xf>
    <xf numFmtId="0" fontId="34" fillId="22" borderId="87" applyAlignment="1" applyProtection="1" pivotButton="0" quotePrefix="0" xfId="1">
      <alignment horizontal="center" vertical="center"/>
      <protection locked="1" hidden="1"/>
    </xf>
    <xf numFmtId="2" fontId="50" fillId="0" borderId="91" applyAlignment="1" applyProtection="1" pivotButton="0" quotePrefix="0" xfId="0">
      <alignment horizontal="center" vertical="center"/>
      <protection locked="1" hidden="1"/>
    </xf>
    <xf numFmtId="2" fontId="50" fillId="0" borderId="92" applyAlignment="1" applyProtection="1" pivotButton="0" quotePrefix="0" xfId="0">
      <alignment horizontal="center" vertical="center"/>
      <protection locked="1" hidden="1"/>
    </xf>
    <xf numFmtId="2" fontId="35" fillId="0" borderId="28" applyAlignment="1" applyProtection="1" pivotButton="0" quotePrefix="0" xfId="0">
      <alignment horizontal="center" vertical="center"/>
      <protection locked="1" hidden="1"/>
    </xf>
    <xf numFmtId="2" fontId="6" fillId="0" borderId="28" applyAlignment="1" applyProtection="1" pivotButton="0" quotePrefix="0" xfId="0">
      <alignment horizontal="center" vertical="top"/>
      <protection locked="1" hidden="1"/>
    </xf>
    <xf numFmtId="0" fontId="6" fillId="2" borderId="52" applyAlignment="1" applyProtection="1" pivotButton="0" quotePrefix="0" xfId="0">
      <alignment horizontal="left"/>
      <protection locked="1" hidden="1"/>
    </xf>
    <xf numFmtId="0" fontId="6" fillId="2" borderId="51" applyAlignment="1" applyProtection="1" pivotButton="0" quotePrefix="0" xfId="0">
      <alignment horizontal="left"/>
      <protection locked="1" hidden="1"/>
    </xf>
    <xf numFmtId="0" fontId="6" fillId="2" borderId="50" applyAlignment="1" applyProtection="1" pivotButton="0" quotePrefix="0" xfId="0">
      <alignment horizontal="left"/>
      <protection locked="1" hidden="1"/>
    </xf>
    <xf numFmtId="2" fontId="17" fillId="15" borderId="80" applyAlignment="1" applyProtection="1" pivotButton="0" quotePrefix="0" xfId="0">
      <alignment horizontal="center" vertical="center"/>
      <protection locked="1" hidden="1"/>
    </xf>
    <xf numFmtId="2" fontId="49" fillId="15" borderId="91" applyAlignment="1" applyProtection="1" pivotButton="0" quotePrefix="0" xfId="0">
      <alignment horizontal="center" vertical="center"/>
      <protection locked="1" hidden="1"/>
    </xf>
    <xf numFmtId="0" fontId="33" fillId="22" borderId="259" applyAlignment="1" applyProtection="1" pivotButton="0" quotePrefix="0" xfId="1">
      <alignment horizontal="center" vertical="center"/>
      <protection locked="1" hidden="1"/>
    </xf>
    <xf numFmtId="0" fontId="33" fillId="22" borderId="260" applyAlignment="1" applyProtection="1" pivotButton="0" quotePrefix="0" xfId="1">
      <alignment horizontal="center" vertical="center"/>
      <protection locked="1" hidden="1"/>
    </xf>
    <xf numFmtId="0" fontId="33" fillId="22" borderId="261" applyAlignment="1" applyProtection="1" pivotButton="0" quotePrefix="0" xfId="1">
      <alignment horizontal="center" vertical="center"/>
      <protection locked="1" hidden="1"/>
    </xf>
    <xf numFmtId="2" fontId="17" fillId="0" borderId="256" applyAlignment="1" applyProtection="1" pivotButton="0" quotePrefix="0" xfId="0">
      <alignment horizontal="center" vertical="center"/>
      <protection locked="1" hidden="1"/>
    </xf>
    <xf numFmtId="2" fontId="17" fillId="0" borderId="257" applyAlignment="1" applyProtection="1" pivotButton="0" quotePrefix="0" xfId="0">
      <alignment horizontal="center" vertical="center"/>
      <protection locked="1" hidden="1"/>
    </xf>
    <xf numFmtId="2" fontId="17" fillId="0" borderId="258" applyAlignment="1" applyProtection="1" pivotButton="0" quotePrefix="0" xfId="0">
      <alignment horizontal="center" vertical="center"/>
      <protection locked="1" hidden="1"/>
    </xf>
    <xf numFmtId="0" fontId="41" fillId="27" borderId="271" applyAlignment="1" applyProtection="1" pivotButton="0" quotePrefix="0" xfId="0">
      <alignment horizontal="left" vertical="center"/>
      <protection locked="1" hidden="1"/>
    </xf>
    <xf numFmtId="0" fontId="41" fillId="27" borderId="162" applyAlignment="1" applyProtection="1" pivotButton="0" quotePrefix="0" xfId="0">
      <alignment horizontal="left" vertical="center"/>
      <protection locked="1" hidden="1"/>
    </xf>
    <xf numFmtId="0" fontId="6" fillId="27" borderId="162" applyAlignment="1" applyProtection="1" pivotButton="0" quotePrefix="0" xfId="0">
      <alignment horizontal="right" vertical="center"/>
      <protection locked="1" hidden="1"/>
    </xf>
    <xf numFmtId="0" fontId="42" fillId="44" borderId="120" applyAlignment="1" applyProtection="1" pivotButton="0" quotePrefix="0" xfId="0">
      <alignment horizontal="center" shrinkToFit="1"/>
      <protection locked="1" hidden="1"/>
    </xf>
    <xf numFmtId="0" fontId="27" fillId="22" borderId="120" applyAlignment="1" applyProtection="1" pivotButton="0" quotePrefix="0" xfId="0">
      <alignment shrinkToFit="1"/>
      <protection locked="1" hidden="1"/>
    </xf>
    <xf numFmtId="0" fontId="46" fillId="57" borderId="151" applyAlignment="1" applyProtection="1" pivotButton="0" quotePrefix="0" xfId="0">
      <alignment horizontal="center" vertical="center"/>
      <protection locked="1" hidden="1"/>
    </xf>
    <xf numFmtId="0" fontId="21" fillId="26" borderId="120" applyAlignment="1" applyProtection="1" pivotButton="0" quotePrefix="0" xfId="0">
      <alignment horizontal="left" vertical="center"/>
      <protection locked="1" hidden="1"/>
    </xf>
    <xf numFmtId="0" fontId="21" fillId="26" borderId="144" applyAlignment="1" applyProtection="1" pivotButton="0" quotePrefix="0" xfId="0">
      <alignment horizontal="left" vertical="center"/>
      <protection locked="1" hidden="1"/>
    </xf>
    <xf numFmtId="0" fontId="8" fillId="40" borderId="2" applyAlignment="1" applyProtection="1" pivotButton="0" quotePrefix="0" xfId="0">
      <alignment horizontal="center"/>
      <protection locked="1" hidden="1"/>
    </xf>
    <xf numFmtId="0" fontId="7" fillId="28" borderId="28" applyAlignment="1" applyProtection="1" pivotButton="0" quotePrefix="0" xfId="0">
      <alignment horizontal="center"/>
      <protection locked="1" hidden="1"/>
    </xf>
    <xf numFmtId="0" fontId="7" fillId="28" borderId="29" applyAlignment="1" applyProtection="1" pivotButton="0" quotePrefix="0" xfId="0">
      <alignment horizontal="center"/>
      <protection locked="1" hidden="1"/>
    </xf>
    <xf numFmtId="0" fontId="8" fillId="40" borderId="28" applyAlignment="1" applyProtection="1" pivotButton="0" quotePrefix="0" xfId="0">
      <alignment horizontal="center"/>
      <protection locked="1" hidden="1"/>
    </xf>
    <xf numFmtId="0" fontId="7" fillId="0" borderId="217" applyAlignment="1" applyProtection="1" pivotButton="0" quotePrefix="0" xfId="0">
      <alignment horizontal="left"/>
      <protection locked="1" hidden="1"/>
    </xf>
    <xf numFmtId="0" fontId="7" fillId="0" borderId="218" applyAlignment="1" applyProtection="1" pivotButton="0" quotePrefix="0" xfId="0">
      <alignment horizontal="left"/>
      <protection locked="1" hidden="1"/>
    </xf>
    <xf numFmtId="0" fontId="7" fillId="0" borderId="219" applyAlignment="1" applyProtection="1" pivotButton="0" quotePrefix="0" xfId="0">
      <alignment horizontal="left"/>
      <protection locked="1" hidden="1"/>
    </xf>
    <xf numFmtId="0" fontId="7" fillId="0" borderId="203" applyAlignment="1" applyProtection="1" pivotButton="0" quotePrefix="0" xfId="0">
      <alignment horizontal="left"/>
      <protection locked="1" hidden="1"/>
    </xf>
    <xf numFmtId="0" fontId="7" fillId="0" borderId="32" applyAlignment="1" applyProtection="1" pivotButton="0" quotePrefix="0" xfId="0">
      <alignment horizontal="left"/>
      <protection locked="1" hidden="1"/>
    </xf>
    <xf numFmtId="0" fontId="7" fillId="0" borderId="33" applyAlignment="1" applyProtection="1" pivotButton="0" quotePrefix="0" xfId="0">
      <alignment horizontal="left"/>
      <protection locked="1" hidden="1"/>
    </xf>
    <xf numFmtId="0" fontId="7" fillId="0" borderId="209" applyAlignment="1" applyProtection="1" pivotButton="0" quotePrefix="0" xfId="0">
      <alignment horizontal="left"/>
      <protection locked="1" hidden="1"/>
    </xf>
    <xf numFmtId="0" fontId="7" fillId="0" borderId="210" applyAlignment="1" applyProtection="1" pivotButton="0" quotePrefix="0" xfId="0">
      <alignment horizontal="left"/>
      <protection locked="1" hidden="1"/>
    </xf>
    <xf numFmtId="0" fontId="7" fillId="0" borderId="211" applyAlignment="1" applyProtection="1" pivotButton="0" quotePrefix="0" xfId="0">
      <alignment horizontal="left"/>
      <protection locked="1" hidden="1"/>
    </xf>
    <xf numFmtId="0" fontId="7" fillId="0" borderId="44" applyAlignment="1" applyProtection="1" pivotButton="0" quotePrefix="0" xfId="0">
      <alignment horizontal="left"/>
      <protection locked="1" hidden="1"/>
    </xf>
    <xf numFmtId="0" fontId="7" fillId="0" borderId="45" applyAlignment="1" applyProtection="1" pivotButton="0" quotePrefix="0" xfId="0">
      <alignment horizontal="left"/>
      <protection locked="1" hidden="1"/>
    </xf>
    <xf numFmtId="0" fontId="7" fillId="0" borderId="201" applyAlignment="1" applyProtection="1" pivotButton="0" quotePrefix="0" xfId="0">
      <alignment horizontal="left"/>
      <protection locked="1" hidden="1"/>
    </xf>
    <xf numFmtId="1" fontId="22" fillId="0" borderId="170" applyAlignment="1" applyProtection="1" pivotButton="0" quotePrefix="0" xfId="0">
      <alignment horizontal="center"/>
      <protection locked="1" hidden="1"/>
    </xf>
    <xf numFmtId="1" fontId="22" fillId="0" borderId="171" applyAlignment="1" applyProtection="1" pivotButton="0" quotePrefix="0" xfId="0">
      <alignment horizontal="center"/>
      <protection locked="1" hidden="1"/>
    </xf>
    <xf numFmtId="0" fontId="19" fillId="26" borderId="44" applyAlignment="1" applyProtection="1" pivotButton="0" quotePrefix="0" xfId="0">
      <alignment horizontal="left"/>
      <protection locked="1" hidden="1"/>
    </xf>
    <xf numFmtId="0" fontId="19" fillId="26" borderId="45" applyAlignment="1" applyProtection="1" pivotButton="0" quotePrefix="0" xfId="0">
      <alignment horizontal="left"/>
      <protection locked="1" hidden="1"/>
    </xf>
    <xf numFmtId="0" fontId="19" fillId="26" borderId="46" applyAlignment="1" applyProtection="1" pivotButton="0" quotePrefix="0" xfId="0">
      <alignment horizontal="left"/>
      <protection locked="1" hidden="1"/>
    </xf>
    <xf numFmtId="0" fontId="19" fillId="27" borderId="170" applyAlignment="1" applyProtection="1" pivotButton="0" quotePrefix="0" xfId="0">
      <alignment horizontal="left"/>
      <protection locked="1" hidden="1"/>
    </xf>
    <xf numFmtId="0" fontId="19" fillId="27" borderId="169" applyAlignment="1" applyProtection="1" pivotButton="0" quotePrefix="0" xfId="0">
      <alignment horizontal="left"/>
      <protection locked="1" hidden="1"/>
    </xf>
    <xf numFmtId="0" fontId="19" fillId="27" borderId="171" applyAlignment="1" applyProtection="1" pivotButton="0" quotePrefix="0" xfId="0">
      <alignment horizontal="left"/>
      <protection locked="1" hidden="1"/>
    </xf>
    <xf numFmtId="0" fontId="7" fillId="0" borderId="214" applyAlignment="1" applyProtection="1" pivotButton="0" quotePrefix="0" xfId="0">
      <alignment horizontal="left"/>
      <protection locked="1" hidden="1"/>
    </xf>
    <xf numFmtId="0" fontId="7" fillId="0" borderId="215" applyAlignment="1" applyProtection="1" pivotButton="0" quotePrefix="0" xfId="0">
      <alignment horizontal="left"/>
      <protection locked="1" hidden="1"/>
    </xf>
    <xf numFmtId="0" fontId="7" fillId="0" borderId="216" applyAlignment="1" applyProtection="1" pivotButton="0" quotePrefix="0" xfId="0">
      <alignment horizontal="left"/>
      <protection locked="1" hidden="1"/>
    </xf>
    <xf numFmtId="0" fontId="7" fillId="0" borderId="205" applyAlignment="1" applyProtection="1" pivotButton="0" quotePrefix="0" xfId="0">
      <alignment horizontal="left"/>
      <protection locked="1" hidden="1"/>
    </xf>
    <xf numFmtId="0" fontId="7" fillId="0" borderId="35" applyAlignment="1" applyProtection="1" pivotButton="0" quotePrefix="0" xfId="0">
      <alignment horizontal="left"/>
      <protection locked="1" hidden="1"/>
    </xf>
    <xf numFmtId="0" fontId="7" fillId="0" borderId="36" applyAlignment="1" applyProtection="1" pivotButton="0" quotePrefix="0" xfId="0">
      <alignment horizontal="left"/>
      <protection locked="1" hidden="1"/>
    </xf>
    <xf numFmtId="0" fontId="42" fillId="56" borderId="44" applyAlignment="1" applyProtection="1" pivotButton="0" quotePrefix="0" xfId="0">
      <alignment horizontal="left"/>
      <protection locked="1" hidden="1"/>
    </xf>
    <xf numFmtId="0" fontId="42" fillId="56" borderId="45" applyAlignment="1" applyProtection="1" pivotButton="0" quotePrefix="0" xfId="0">
      <alignment horizontal="left"/>
      <protection locked="1" hidden="1"/>
    </xf>
    <xf numFmtId="0" fontId="42" fillId="56" borderId="46" applyAlignment="1" applyProtection="1" pivotButton="0" quotePrefix="0" xfId="0">
      <alignment horizontal="left"/>
      <protection locked="1" hidden="1"/>
    </xf>
    <xf numFmtId="0" fontId="7" fillId="0" borderId="262" applyAlignment="1" applyProtection="1" pivotButton="0" quotePrefix="0" xfId="0">
      <alignment horizontal="left"/>
      <protection locked="1" hidden="1"/>
    </xf>
    <xf numFmtId="0" fontId="7" fillId="0" borderId="263" applyAlignment="1" applyProtection="1" pivotButton="0" quotePrefix="0" xfId="0">
      <alignment horizontal="left"/>
      <protection locked="1" hidden="1"/>
    </xf>
    <xf numFmtId="0" fontId="7" fillId="0" borderId="264" applyAlignment="1" applyProtection="1" pivotButton="0" quotePrefix="0" xfId="0">
      <alignment horizontal="left"/>
      <protection locked="1" hidden="1"/>
    </xf>
    <xf numFmtId="0" fontId="7" fillId="0" borderId="265" applyAlignment="1" applyProtection="1" pivotButton="0" quotePrefix="0" xfId="0">
      <alignment horizontal="left"/>
      <protection locked="1" hidden="1"/>
    </xf>
    <xf numFmtId="0" fontId="7" fillId="0" borderId="266" applyAlignment="1" applyProtection="1" pivotButton="0" quotePrefix="0" xfId="0">
      <alignment horizontal="left"/>
      <protection locked="1" hidden="1"/>
    </xf>
    <xf numFmtId="0" fontId="7" fillId="0" borderId="267" applyAlignment="1" applyProtection="1" pivotButton="0" quotePrefix="0" xfId="0">
      <alignment horizontal="left"/>
      <protection locked="1" hidden="1"/>
    </xf>
    <xf numFmtId="0" fontId="42" fillId="22" borderId="44" applyAlignment="1" applyProtection="1" pivotButton="0" quotePrefix="0" xfId="0">
      <alignment horizontal="left"/>
      <protection locked="1" hidden="1"/>
    </xf>
    <xf numFmtId="0" fontId="42" fillId="22" borderId="45" applyAlignment="1" applyProtection="1" pivotButton="0" quotePrefix="0" xfId="0">
      <alignment horizontal="left"/>
      <protection locked="1" hidden="1"/>
    </xf>
    <xf numFmtId="0" fontId="42" fillId="22" borderId="46" applyAlignment="1" applyProtection="1" pivotButton="0" quotePrefix="0" xfId="0">
      <alignment horizontal="left"/>
      <protection locked="1" hidden="1"/>
    </xf>
    <xf numFmtId="0" fontId="7" fillId="0" borderId="224" applyAlignment="1" applyProtection="1" pivotButton="0" quotePrefix="0" xfId="0">
      <alignment horizontal="left"/>
      <protection locked="1" hidden="1"/>
    </xf>
    <xf numFmtId="0" fontId="7" fillId="0" borderId="46" applyAlignment="1" applyProtection="1" pivotButton="0" quotePrefix="0" xfId="0">
      <alignment horizontal="left"/>
      <protection locked="1" hidden="1"/>
    </xf>
    <xf numFmtId="0" fontId="7" fillId="0" borderId="220" applyAlignment="1" applyProtection="1" pivotButton="0" quotePrefix="0" xfId="0">
      <alignment horizontal="left"/>
      <protection locked="1" hidden="1"/>
    </xf>
    <xf numFmtId="0" fontId="7" fillId="0" borderId="221" applyAlignment="1" applyProtection="1" pivotButton="0" quotePrefix="0" xfId="0">
      <alignment horizontal="left"/>
      <protection locked="1" hidden="1"/>
    </xf>
    <xf numFmtId="0" fontId="7" fillId="0" borderId="222" applyAlignment="1" applyProtection="1" pivotButton="0" quotePrefix="0" xfId="0">
      <alignment horizontal="left"/>
      <protection locked="1" hidden="1"/>
    </xf>
    <xf numFmtId="0" fontId="7" fillId="0" borderId="223" applyAlignment="1" applyProtection="1" pivotButton="0" quotePrefix="0" xfId="0">
      <alignment horizontal="left"/>
      <protection locked="1" hidden="1"/>
    </xf>
    <xf numFmtId="0" fontId="46" fillId="31" borderId="119" applyAlignment="1" applyProtection="1" pivotButton="0" quotePrefix="0" xfId="0">
      <alignment horizontal="center" vertical="center"/>
      <protection locked="1" hidden="1"/>
    </xf>
    <xf numFmtId="0" fontId="45" fillId="22" borderId="120" applyAlignment="1" applyProtection="1" pivotButton="0" quotePrefix="0" xfId="0">
      <alignment vertical="center"/>
      <protection locked="1" hidden="1"/>
    </xf>
    <xf numFmtId="0" fontId="45" fillId="22" borderId="121" applyAlignment="1" applyProtection="1" pivotButton="0" quotePrefix="0" xfId="0">
      <alignment vertical="center"/>
      <protection locked="1" hidden="1"/>
    </xf>
    <xf numFmtId="0" fontId="46" fillId="53" borderId="119" applyAlignment="1" applyProtection="1" pivotButton="0" quotePrefix="0" xfId="0">
      <alignment horizontal="center" vertical="center"/>
      <protection locked="1" hidden="1"/>
    </xf>
    <xf numFmtId="0" fontId="45" fillId="52" borderId="120" applyAlignment="1" applyProtection="1" pivotButton="0" quotePrefix="0" xfId="0">
      <alignment vertical="center"/>
      <protection locked="1" hidden="1"/>
    </xf>
    <xf numFmtId="0" fontId="45" fillId="52" borderId="121" applyAlignment="1" applyProtection="1" pivotButton="0" quotePrefix="0" xfId="0">
      <alignment vertical="center"/>
      <protection locked="1" hidden="1"/>
    </xf>
    <xf numFmtId="0" fontId="41" fillId="27" borderId="0" applyAlignment="1" applyProtection="1" pivotButton="0" quotePrefix="0" xfId="0">
      <alignment horizontal="left" vertical="center"/>
      <protection locked="1" hidden="1"/>
    </xf>
    <xf numFmtId="164" fontId="57" fillId="46" borderId="116" applyAlignment="1" applyProtection="1" pivotButton="0" quotePrefix="0" xfId="2">
      <alignment horizontal="left" vertical="center"/>
      <protection locked="1" hidden="1"/>
    </xf>
    <xf numFmtId="164" fontId="57" fillId="46" borderId="117" applyAlignment="1" applyProtection="1" pivotButton="0" quotePrefix="0" xfId="2">
      <alignment horizontal="left" vertical="center"/>
      <protection locked="1" hidden="1"/>
    </xf>
    <xf numFmtId="1" fontId="9" fillId="19" borderId="52" applyAlignment="1" applyProtection="1" pivotButton="0" quotePrefix="0" xfId="0">
      <alignment horizontal="center" vertical="center"/>
      <protection locked="1" hidden="1"/>
    </xf>
    <xf numFmtId="1" fontId="9" fillId="19" borderId="51" applyAlignment="1" applyProtection="1" pivotButton="0" quotePrefix="0" xfId="0">
      <alignment horizontal="center" vertical="center"/>
      <protection locked="1" hidden="1"/>
    </xf>
    <xf numFmtId="1" fontId="9" fillId="19" borderId="50" applyAlignment="1" applyProtection="1" pivotButton="0" quotePrefix="0" xfId="0">
      <alignment horizontal="center" vertical="center"/>
      <protection locked="1" hidden="1"/>
    </xf>
    <xf numFmtId="0" fontId="9" fillId="30" borderId="189" applyAlignment="1" applyProtection="1" pivotButton="0" quotePrefix="0" xfId="2">
      <alignment horizontal="center"/>
      <protection locked="1" hidden="1"/>
    </xf>
    <xf numFmtId="1" fontId="9" fillId="19" borderId="170" applyAlignment="1" applyProtection="1" pivotButton="0" quotePrefix="0" xfId="0">
      <alignment horizontal="center" vertical="center"/>
      <protection locked="1" hidden="1"/>
    </xf>
    <xf numFmtId="1" fontId="9" fillId="19" borderId="169" applyAlignment="1" applyProtection="1" pivotButton="0" quotePrefix="0" xfId="0">
      <alignment horizontal="center" vertical="center"/>
      <protection locked="1" hidden="1"/>
    </xf>
    <xf numFmtId="1" fontId="9" fillId="19" borderId="171" applyAlignment="1" applyProtection="1" pivotButton="0" quotePrefix="0" xfId="0">
      <alignment horizontal="center" vertical="center"/>
      <protection locked="1" hidden="1"/>
    </xf>
    <xf numFmtId="0" fontId="42" fillId="0" borderId="28" applyProtection="1" pivotButton="0" quotePrefix="0" xfId="2">
      <protection locked="1" hidden="1"/>
    </xf>
    <xf numFmtId="0" fontId="27" fillId="0" borderId="28" applyProtection="1" pivotButton="0" quotePrefix="0" xfId="2">
      <protection locked="1" hidden="1"/>
    </xf>
    <xf numFmtId="0" fontId="7" fillId="0" borderId="28" applyProtection="1" pivotButton="0" quotePrefix="0" xfId="0">
      <protection locked="1" hidden="1"/>
    </xf>
    <xf numFmtId="0" fontId="7" fillId="22" borderId="51" applyProtection="1" pivotButton="0" quotePrefix="0" xfId="0">
      <protection locked="1" hidden="1"/>
    </xf>
    <xf numFmtId="0" fontId="7" fillId="22" borderId="50" applyProtection="1" pivotButton="0" quotePrefix="0" xfId="0">
      <protection locked="1" hidden="1"/>
    </xf>
    <xf numFmtId="0" fontId="6" fillId="2" borderId="52" applyProtection="1" pivotButton="0" quotePrefix="0" xfId="0">
      <protection locked="1" hidden="1"/>
    </xf>
    <xf numFmtId="0" fontId="6" fillId="2" borderId="51" applyProtection="1" pivotButton="0" quotePrefix="0" xfId="0">
      <protection locked="1" hidden="1"/>
    </xf>
    <xf numFmtId="0" fontId="6" fillId="2" borderId="50" applyProtection="1" pivotButton="0" quotePrefix="0" xfId="0">
      <protection locked="1" hidden="1"/>
    </xf>
    <xf numFmtId="0" fontId="6" fillId="2" borderId="53" applyProtection="1" pivotButton="0" quotePrefix="0" xfId="0">
      <protection locked="1" hidden="1"/>
    </xf>
    <xf numFmtId="0" fontId="6" fillId="2" borderId="28" applyProtection="1" pivotButton="0" quotePrefix="0" xfId="0">
      <protection locked="1" hidden="1"/>
    </xf>
    <xf numFmtId="0" fontId="6" fillId="2" borderId="49" applyProtection="1" pivotButton="0" quotePrefix="0" xfId="0">
      <protection locked="1" hidden="1"/>
    </xf>
    <xf numFmtId="0" fontId="46" fillId="52" borderId="151" applyProtection="1" pivotButton="0" quotePrefix="0" xfId="0">
      <protection locked="1" hidden="1"/>
    </xf>
    <xf numFmtId="0" fontId="46" fillId="52" borderId="152" applyProtection="1" pivotButton="0" quotePrefix="0" xfId="0">
      <protection locked="1" hidden="1"/>
    </xf>
    <xf numFmtId="1" fontId="19" fillId="26" borderId="44" applyProtection="1" pivotButton="0" quotePrefix="0" xfId="0">
      <protection locked="1" hidden="1"/>
    </xf>
    <xf numFmtId="1" fontId="19" fillId="26" borderId="45" applyProtection="1" pivotButton="0" quotePrefix="0" xfId="0">
      <protection locked="1" hidden="1"/>
    </xf>
    <xf numFmtId="1" fontId="19" fillId="26" borderId="46" applyProtection="1" pivotButton="0" quotePrefix="0" xfId="0">
      <protection locked="1" hidden="1"/>
    </xf>
    <xf numFmtId="0" fontId="6" fillId="19" borderId="190" applyProtection="1" pivotButton="0" quotePrefix="0" xfId="2">
      <protection locked="1" hidden="1"/>
    </xf>
    <xf numFmtId="0" fontId="6" fillId="19" borderId="191" applyProtection="1" pivotButton="0" quotePrefix="0" xfId="2">
      <protection locked="1" hidden="1"/>
    </xf>
    <xf numFmtId="172" fontId="27" fillId="0" borderId="28" applyProtection="1" pivotButton="0" quotePrefix="0" xfId="2">
      <protection locked="1" hidden="1"/>
    </xf>
    <xf numFmtId="172" fontId="42" fillId="0" borderId="28" applyProtection="1" pivotButton="0" quotePrefix="0" xfId="2">
      <protection locked="1" hidden="1"/>
    </xf>
    <xf numFmtId="172" fontId="27" fillId="0" borderId="28" applyAlignment="1" applyProtection="1" pivotButton="0" quotePrefix="0" xfId="2">
      <alignment horizontal="center"/>
      <protection locked="1" hidden="1"/>
    </xf>
    <xf numFmtId="173" fontId="27" fillId="0" borderId="28" applyAlignment="1" applyProtection="1" pivotButton="0" quotePrefix="0" xfId="2">
      <alignment horizontal="center"/>
      <protection locked="1" hidden="1"/>
    </xf>
    <xf numFmtId="174" fontId="27" fillId="0" borderId="28" applyAlignment="1" applyProtection="1" pivotButton="0" quotePrefix="0" xfId="2">
      <alignment horizontal="center"/>
      <protection locked="1" hidden="1"/>
    </xf>
    <xf numFmtId="164" fontId="27" fillId="0" borderId="28" applyAlignment="1" applyProtection="1" pivotButton="0" quotePrefix="0" xfId="2">
      <alignment horizontal="center"/>
      <protection locked="1" hidden="1"/>
    </xf>
    <xf numFmtId="172" fontId="27" fillId="14" borderId="28" applyAlignment="1" applyProtection="1" pivotButton="0" quotePrefix="0" xfId="2">
      <alignment horizontal="center"/>
      <protection locked="1" hidden="1"/>
    </xf>
    <xf numFmtId="173" fontId="27" fillId="14" borderId="28" applyAlignment="1" applyProtection="1" pivotButton="0" quotePrefix="0" xfId="2">
      <alignment horizontal="center"/>
      <protection locked="1" hidden="1"/>
    </xf>
    <xf numFmtId="164" fontId="27" fillId="14" borderId="28" applyAlignment="1" applyProtection="1" pivotButton="0" quotePrefix="0" xfId="2">
      <alignment horizontal="center"/>
      <protection locked="1" hidden="1"/>
    </xf>
    <xf numFmtId="164" fontId="29" fillId="0" borderId="28" applyAlignment="1" applyProtection="1" pivotButton="0" quotePrefix="0" xfId="2">
      <alignment horizontal="center"/>
      <protection locked="1" hidden="1"/>
    </xf>
    <xf numFmtId="164" fontId="23" fillId="0" borderId="8" applyAlignment="1" applyProtection="1" pivotButton="0" quotePrefix="0" xfId="2">
      <alignment horizontal="center"/>
      <protection locked="1" hidden="1"/>
    </xf>
    <xf numFmtId="0" fontId="0" fillId="0" borderId="96" applyProtection="1" pivotButton="0" quotePrefix="0" xfId="0">
      <protection locked="1" hidden="1"/>
    </xf>
    <xf numFmtId="0" fontId="0" fillId="0" borderId="260" applyProtection="1" pivotButton="0" quotePrefix="0" xfId="0">
      <protection locked="1" hidden="1"/>
    </xf>
    <xf numFmtId="0" fontId="0" fillId="0" borderId="261" applyProtection="1" pivotButton="0" quotePrefix="0" xfId="0">
      <protection locked="1" hidden="1"/>
    </xf>
    <xf numFmtId="0" fontId="22" fillId="25" borderId="274" applyAlignment="1" applyProtection="1" pivotButton="0" quotePrefix="0" xfId="0">
      <alignment horizontal="center" vertical="center"/>
      <protection locked="1" hidden="1"/>
    </xf>
    <xf numFmtId="0" fontId="0" fillId="0" borderId="50" applyProtection="1" pivotButton="0" quotePrefix="0" xfId="0">
      <protection locked="1" hidden="1"/>
    </xf>
    <xf numFmtId="0" fontId="0" fillId="0" borderId="257" applyProtection="1" pivotButton="0" quotePrefix="0" xfId="0">
      <protection locked="1" hidden="1"/>
    </xf>
    <xf numFmtId="0" fontId="0" fillId="0" borderId="258" applyProtection="1" pivotButton="0" quotePrefix="0" xfId="0">
      <protection locked="1" hidden="1"/>
    </xf>
    <xf numFmtId="3" fontId="37" fillId="4" borderId="79" applyAlignment="1" applyProtection="1" pivotButton="0" quotePrefix="0" xfId="0">
      <alignment horizontal="center" vertical="center"/>
      <protection locked="1" hidden="1"/>
    </xf>
    <xf numFmtId="0" fontId="0" fillId="0" borderId="49" applyProtection="1" pivotButton="0" quotePrefix="0" xfId="0">
      <protection locked="1" hidden="1"/>
    </xf>
    <xf numFmtId="177" fontId="35" fillId="0" borderId="96" applyAlignment="1" applyProtection="1" pivotButton="0" quotePrefix="0" xfId="0">
      <alignment horizontal="center" vertical="center"/>
      <protection locked="1" hidden="1"/>
    </xf>
    <xf numFmtId="0" fontId="0" fillId="0" borderId="54" applyProtection="1" pivotButton="0" quotePrefix="0" xfId="0">
      <protection locked="1" hidden="1"/>
    </xf>
    <xf numFmtId="0" fontId="0" fillId="0" borderId="55" applyProtection="1" pivotButton="0" quotePrefix="0" xfId="0">
      <protection locked="1" hidden="1"/>
    </xf>
    <xf numFmtId="0" fontId="0" fillId="0" borderId="278" applyProtection="1" pivotButton="0" quotePrefix="0" xfId="0">
      <protection locked="1" hidden="1"/>
    </xf>
    <xf numFmtId="0" fontId="0" fillId="0" borderId="279" applyProtection="1" pivotButton="0" quotePrefix="0" xfId="0">
      <protection locked="1" hidden="1"/>
    </xf>
    <xf numFmtId="20" fontId="5" fillId="21" borderId="11" applyAlignment="1" applyProtection="1" pivotButton="0" quotePrefix="0" xfId="0">
      <alignment horizontal="center"/>
      <protection locked="1" hidden="1"/>
    </xf>
    <xf numFmtId="0" fontId="0" fillId="0" borderId="5" applyProtection="1" pivotButton="0" quotePrefix="0" xfId="0">
      <protection locked="1" hidden="1"/>
    </xf>
    <xf numFmtId="20" fontId="5" fillId="21" borderId="8" applyAlignment="1" applyProtection="1" pivotButton="0" quotePrefix="0" xfId="0">
      <alignment horizontal="center"/>
      <protection locked="1" hidden="1"/>
    </xf>
    <xf numFmtId="0" fontId="0" fillId="0" borderId="1" applyProtection="1" pivotButton="0" quotePrefix="0" xfId="0">
      <protection locked="1" hidden="1"/>
    </xf>
    <xf numFmtId="20" fontId="5" fillId="21" borderId="8" applyAlignment="1" applyProtection="1" pivotButton="0" quotePrefix="0" xfId="0">
      <alignment horizontal="center" shrinkToFit="1"/>
      <protection locked="1" hidden="1"/>
    </xf>
    <xf numFmtId="0" fontId="10" fillId="23" borderId="23" applyAlignment="1" applyProtection="1" pivotButton="0" quotePrefix="0" xfId="0">
      <alignment horizontal="center"/>
      <protection locked="1" hidden="1"/>
    </xf>
    <xf numFmtId="0" fontId="0" fillId="0" borderId="24" applyProtection="1" pivotButton="0" quotePrefix="0" xfId="0">
      <protection locked="1" hidden="1"/>
    </xf>
    <xf numFmtId="164" fontId="9" fillId="13" borderId="8" applyAlignment="1" applyProtection="1" pivotButton="0" quotePrefix="0" xfId="0">
      <alignment horizontal="center"/>
      <protection locked="1" hidden="1"/>
    </xf>
    <xf numFmtId="164" fontId="6" fillId="2" borderId="3" applyAlignment="1" applyProtection="1" pivotButton="0" quotePrefix="0" xfId="0">
      <alignment horizontal="center" shrinkToFit="1"/>
      <protection locked="1" hidden="1"/>
    </xf>
    <xf numFmtId="164" fontId="14" fillId="2" borderId="3" applyAlignment="1" applyProtection="1" pivotButton="0" quotePrefix="0" xfId="0">
      <alignment horizontal="center" shrinkToFit="1"/>
      <protection locked="1" hidden="1"/>
    </xf>
    <xf numFmtId="0" fontId="34" fillId="52" borderId="60" applyAlignment="1" applyProtection="1" pivotButton="0" quotePrefix="0" xfId="0">
      <alignment horizontal="center"/>
      <protection locked="1" hidden="1"/>
    </xf>
    <xf numFmtId="0" fontId="0" fillId="0" borderId="45" applyProtection="1" pivotButton="0" quotePrefix="0" xfId="0">
      <protection locked="1" hidden="1"/>
    </xf>
    <xf numFmtId="0" fontId="0" fillId="0" borderId="46" applyProtection="1" pivotButton="0" quotePrefix="0" xfId="0">
      <protection locked="1" hidden="1"/>
    </xf>
    <xf numFmtId="164" fontId="15" fillId="2" borderId="27" applyAlignment="1" applyProtection="1" pivotButton="0" quotePrefix="0" xfId="0">
      <alignment horizontal="center"/>
      <protection locked="1" hidden="1"/>
    </xf>
    <xf numFmtId="164" fontId="16" fillId="2" borderId="27" applyAlignment="1" applyProtection="1" pivotButton="0" quotePrefix="0" xfId="0">
      <alignment horizontal="center"/>
      <protection locked="1" hidden="1"/>
    </xf>
    <xf numFmtId="165" fontId="15" fillId="2" borderId="27" applyAlignment="1" applyProtection="1" pivotButton="0" quotePrefix="0" xfId="0">
      <alignment horizontal="center"/>
      <protection locked="1" hidden="1"/>
    </xf>
    <xf numFmtId="164" fontId="6" fillId="2" borderId="2" applyAlignment="1" applyProtection="1" pivotButton="0" quotePrefix="0" xfId="0">
      <alignment horizontal="center" shrinkToFit="1"/>
      <protection locked="1" hidden="1"/>
    </xf>
    <xf numFmtId="164" fontId="14" fillId="2" borderId="2" applyAlignment="1" applyProtection="1" pivotButton="0" quotePrefix="0" xfId="0">
      <alignment horizontal="center" shrinkToFit="1"/>
      <protection locked="1" hidden="1"/>
    </xf>
    <xf numFmtId="164" fontId="9" fillId="13" borderId="102" applyAlignment="1" applyProtection="1" pivotButton="0" quotePrefix="0" xfId="0">
      <alignment horizontal="center"/>
      <protection locked="1" hidden="1"/>
    </xf>
    <xf numFmtId="0" fontId="34" fillId="58" borderId="60" applyAlignment="1" applyProtection="1" pivotButton="0" quotePrefix="0" xfId="0">
      <alignment horizontal="center"/>
      <protection locked="1" hidden="1"/>
    </xf>
    <xf numFmtId="0" fontId="54" fillId="0" borderId="273" applyAlignment="1" applyProtection="1" pivotButton="0" quotePrefix="0" xfId="0">
      <alignment horizontal="left"/>
      <protection locked="1" hidden="1"/>
    </xf>
    <xf numFmtId="0" fontId="0" fillId="0" borderId="29" applyProtection="1" pivotButton="0" quotePrefix="0" xfId="0">
      <protection locked="1" hidden="1"/>
    </xf>
    <xf numFmtId="164" fontId="9" fillId="13" borderId="104" applyAlignment="1" applyProtection="1" pivotButton="0" quotePrefix="0" xfId="0">
      <alignment horizontal="center"/>
      <protection locked="1" hidden="1"/>
    </xf>
    <xf numFmtId="164" fontId="6" fillId="2" borderId="105" applyAlignment="1" applyProtection="1" pivotButton="0" quotePrefix="0" xfId="0">
      <alignment horizontal="center" shrinkToFit="1"/>
      <protection locked="1" hidden="1"/>
    </xf>
    <xf numFmtId="0" fontId="19" fillId="21" borderId="274" applyAlignment="1" applyProtection="1" pivotButton="0" quotePrefix="0" xfId="0">
      <alignment horizontal="center"/>
      <protection locked="1" hidden="1"/>
    </xf>
    <xf numFmtId="0" fontId="0" fillId="0" borderId="51" applyProtection="1" pivotButton="0" quotePrefix="0" xfId="0">
      <protection locked="1" hidden="1"/>
    </xf>
    <xf numFmtId="0" fontId="42" fillId="32" borderId="274" applyAlignment="1" applyProtection="1" pivotButton="0" quotePrefix="0" xfId="0">
      <alignment horizontal="center"/>
      <protection locked="1" hidden="1"/>
    </xf>
    <xf numFmtId="170" fontId="7" fillId="2" borderId="50" applyAlignment="1" applyProtection="1" pivotButton="0" quotePrefix="0" xfId="0">
      <alignment horizontal="center" shrinkToFit="1"/>
      <protection locked="1" hidden="1"/>
    </xf>
    <xf numFmtId="0" fontId="42" fillId="58" borderId="60" applyAlignment="1" applyProtection="1" pivotButton="0" quotePrefix="0" xfId="0">
      <alignment horizontal="center"/>
      <protection locked="1" hidden="1"/>
    </xf>
    <xf numFmtId="2" fontId="6" fillId="2" borderId="78" applyAlignment="1" applyProtection="1" pivotButton="0" quotePrefix="0" xfId="0">
      <alignment horizontal="right"/>
      <protection locked="1" hidden="1"/>
    </xf>
    <xf numFmtId="170" fontId="7" fillId="2" borderId="49" applyAlignment="1" applyProtection="1" pivotButton="0" quotePrefix="0" xfId="0">
      <alignment horizontal="center" shrinkToFit="1"/>
      <protection locked="1" hidden="1"/>
    </xf>
    <xf numFmtId="0" fontId="6" fillId="2" borderId="274" applyProtection="1" pivotButton="0" quotePrefix="0" xfId="0">
      <protection locked="1" hidden="1"/>
    </xf>
    <xf numFmtId="2" fontId="6" fillId="2" borderId="49" applyAlignment="1" applyProtection="1" pivotButton="0" quotePrefix="0" xfId="0">
      <alignment horizontal="right"/>
      <protection locked="1" hidden="1"/>
    </xf>
    <xf numFmtId="0" fontId="6" fillId="2" borderId="78" applyProtection="1" pivotButton="0" quotePrefix="0" xfId="0">
      <protection locked="1" hidden="1"/>
    </xf>
    <xf numFmtId="0" fontId="0" fillId="0" borderId="62" applyProtection="1" pivotButton="0" quotePrefix="0" xfId="0">
      <protection locked="1" hidden="1"/>
    </xf>
    <xf numFmtId="0" fontId="6" fillId="2" borderId="78" applyAlignment="1" applyProtection="1" pivotButton="0" quotePrefix="0" xfId="0">
      <alignment horizontal="left"/>
      <protection locked="1" hidden="1"/>
    </xf>
    <xf numFmtId="170" fontId="7" fillId="2" borderId="55" applyAlignment="1" applyProtection="1" pivotButton="0" quotePrefix="0" xfId="0">
      <alignment horizontal="center" shrinkToFit="1"/>
      <protection locked="1" hidden="1"/>
    </xf>
    <xf numFmtId="0" fontId="54" fillId="2" borderId="78" applyAlignment="1" applyProtection="1" pivotButton="0" quotePrefix="0" xfId="0">
      <alignment horizontal="left"/>
      <protection locked="1" hidden="1"/>
    </xf>
    <xf numFmtId="2" fontId="54" fillId="2" borderId="78" applyAlignment="1" applyProtection="1" pivotButton="0" quotePrefix="0" xfId="0">
      <alignment horizontal="right"/>
      <protection locked="1" hidden="1"/>
    </xf>
    <xf numFmtId="0" fontId="6" fillId="5" borderId="78" applyAlignment="1" applyProtection="1" pivotButton="0" quotePrefix="0" xfId="0">
      <alignment horizontal="left"/>
      <protection locked="1" hidden="1"/>
    </xf>
    <xf numFmtId="2" fontId="6" fillId="5" borderId="78" applyAlignment="1" applyProtection="1" pivotButton="0" quotePrefix="0" xfId="0">
      <alignment horizontal="right"/>
      <protection locked="1" hidden="1"/>
    </xf>
    <xf numFmtId="2" fontId="6" fillId="2" borderId="79" applyAlignment="1" applyProtection="1" pivotButton="0" quotePrefix="0" xfId="0">
      <alignment horizontal="right"/>
      <protection locked="1" hidden="1"/>
    </xf>
    <xf numFmtId="0" fontId="6" fillId="6" borderId="79" applyAlignment="1" applyProtection="1" pivotButton="0" quotePrefix="0" xfId="0">
      <alignment horizontal="left"/>
      <protection locked="1" hidden="1"/>
    </xf>
    <xf numFmtId="2" fontId="6" fillId="6" borderId="79" applyAlignment="1" applyProtection="1" pivotButton="0" quotePrefix="0" xfId="0">
      <alignment horizontal="right"/>
      <protection locked="1" hidden="1"/>
    </xf>
    <xf numFmtId="0" fontId="42" fillId="22" borderId="60" applyAlignment="1" applyProtection="1" pivotButton="0" quotePrefix="0" xfId="0">
      <alignment horizontal="center"/>
      <protection locked="1" hidden="1"/>
    </xf>
    <xf numFmtId="0" fontId="0" fillId="0" borderId="79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0" fillId="0" borderId="54" applyProtection="1" pivotButton="0" quotePrefix="0" xfId="0">
      <protection locked="0" hidden="0"/>
    </xf>
    <xf numFmtId="0" fontId="0" fillId="0" borderId="62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166" fontId="6" fillId="2" borderId="100" applyProtection="1" pivotButton="0" quotePrefix="0" xfId="0">
      <protection locked="1" hidden="1"/>
    </xf>
    <xf numFmtId="0" fontId="6" fillId="2" borderId="274" applyAlignment="1" applyProtection="1" pivotButton="0" quotePrefix="0" xfId="0">
      <alignment horizontal="left"/>
      <protection locked="1" hidden="1"/>
    </xf>
    <xf numFmtId="166" fontId="27" fillId="15" borderId="0" applyProtection="1" pivotButton="0" quotePrefix="0" xfId="0">
      <protection locked="1" hidden="1"/>
    </xf>
    <xf numFmtId="0" fontId="0" fillId="0" borderId="162" applyProtection="1" pivotButton="0" quotePrefix="0" xfId="0">
      <protection locked="1" hidden="1"/>
    </xf>
    <xf numFmtId="170" fontId="6" fillId="27" borderId="272" applyAlignment="1" applyProtection="1" pivotButton="0" quotePrefix="0" xfId="0">
      <alignment horizontal="left" vertical="center"/>
      <protection locked="1" hidden="1"/>
    </xf>
    <xf numFmtId="170" fontId="5" fillId="56" borderId="269" applyAlignment="1" applyProtection="1" pivotButton="0" quotePrefix="0" xfId="0">
      <alignment horizontal="left"/>
      <protection locked="1" hidden="1"/>
    </xf>
    <xf numFmtId="170" fontId="5" fillId="30" borderId="28" applyAlignment="1" applyProtection="1" pivotButton="0" quotePrefix="0" xfId="0">
      <alignment horizontal="left"/>
      <protection locked="1" hidden="1"/>
    </xf>
    <xf numFmtId="170" fontId="5" fillId="27" borderId="28" applyAlignment="1" applyProtection="1" pivotButton="0" quotePrefix="0" xfId="0">
      <alignment horizontal="left"/>
      <protection locked="1" hidden="1"/>
    </xf>
    <xf numFmtId="0" fontId="0" fillId="0" borderId="120" applyProtection="1" pivotButton="0" quotePrefix="0" xfId="0">
      <protection locked="1" hidden="1"/>
    </xf>
    <xf numFmtId="164" fontId="22" fillId="2" borderId="76" applyAlignment="1" applyProtection="1" pivotButton="0" quotePrefix="0" xfId="0">
      <alignment horizontal="center"/>
      <protection locked="1" hidden="1"/>
    </xf>
    <xf numFmtId="164" fontId="22" fillId="2" borderId="67" applyAlignment="1" applyProtection="1" pivotButton="0" quotePrefix="0" xfId="0">
      <alignment horizontal="center"/>
      <protection locked="1" hidden="1"/>
    </xf>
    <xf numFmtId="171" fontId="6" fillId="2" borderId="67" applyAlignment="1" applyProtection="1" pivotButton="0" quotePrefix="0" xfId="0">
      <alignment horizontal="center"/>
      <protection locked="1" hidden="1"/>
    </xf>
    <xf numFmtId="171" fontId="22" fillId="0" borderId="146" applyAlignment="1" applyProtection="1" pivotButton="0" quotePrefix="0" xfId="0">
      <alignment horizontal="center"/>
      <protection locked="1" hidden="1"/>
    </xf>
    <xf numFmtId="166" fontId="27" fillId="15" borderId="0" applyAlignment="1" applyProtection="1" pivotButton="0" quotePrefix="0" xfId="0">
      <alignment horizontal="center" vertical="center"/>
      <protection locked="1" hidden="1"/>
    </xf>
    <xf numFmtId="164" fontId="27" fillId="15" borderId="0" applyAlignment="1" applyProtection="1" pivotButton="0" quotePrefix="0" xfId="0">
      <alignment horizontal="center"/>
      <protection locked="1" hidden="1"/>
    </xf>
    <xf numFmtId="164" fontId="22" fillId="2" borderId="160" applyAlignment="1" applyProtection="1" pivotButton="0" quotePrefix="0" xfId="0">
      <alignment horizontal="center"/>
      <protection locked="1" hidden="1"/>
    </xf>
    <xf numFmtId="164" fontId="22" fillId="2" borderId="148" applyAlignment="1" applyProtection="1" pivotButton="0" quotePrefix="0" xfId="0">
      <alignment horizontal="center"/>
      <protection locked="1" hidden="1"/>
    </xf>
    <xf numFmtId="171" fontId="6" fillId="2" borderId="148" applyAlignment="1" applyProtection="1" pivotButton="0" quotePrefix="0" xfId="0">
      <alignment horizontal="center"/>
      <protection locked="1" hidden="1"/>
    </xf>
    <xf numFmtId="171" fontId="22" fillId="0" borderId="149" applyAlignment="1" applyProtection="1" pivotButton="0" quotePrefix="0" xfId="0">
      <alignment horizontal="center"/>
      <protection locked="1" hidden="1"/>
    </xf>
    <xf numFmtId="0" fontId="21" fillId="26" borderId="284" applyAlignment="1" applyProtection="1" pivotButton="0" quotePrefix="0" xfId="0">
      <alignment horizontal="left" vertical="center"/>
      <protection locked="1" hidden="1"/>
    </xf>
    <xf numFmtId="0" fontId="0" fillId="0" borderId="282" applyProtection="1" pivotButton="0" quotePrefix="0" xfId="0">
      <protection locked="1" hidden="1"/>
    </xf>
    <xf numFmtId="0" fontId="0" fillId="0" borderId="283" applyProtection="1" pivotButton="0" quotePrefix="0" xfId="0">
      <protection locked="1" hidden="1"/>
    </xf>
    <xf numFmtId="0" fontId="0" fillId="0" borderId="144" applyProtection="1" pivotButton="0" quotePrefix="0" xfId="0">
      <protection locked="1" hidden="1"/>
    </xf>
    <xf numFmtId="0" fontId="8" fillId="40" borderId="29" applyAlignment="1" applyProtection="1" pivotButton="0" quotePrefix="0" xfId="0">
      <alignment horizontal="center"/>
      <protection locked="1" hidden="1"/>
    </xf>
    <xf numFmtId="0" fontId="8" fillId="40" borderId="285" applyAlignment="1" applyProtection="1" pivotButton="0" quotePrefix="0" xfId="0">
      <alignment horizontal="center"/>
      <protection locked="1" hidden="1"/>
    </xf>
    <xf numFmtId="0" fontId="42" fillId="22" borderId="60" applyAlignment="1" applyProtection="1" pivotButton="0" quotePrefix="0" xfId="0">
      <alignment horizontal="left"/>
      <protection locked="1" hidden="1"/>
    </xf>
    <xf numFmtId="1" fontId="19" fillId="26" borderId="60" applyProtection="1" pivotButton="0" quotePrefix="0" xfId="0">
      <protection locked="1" hidden="1"/>
    </xf>
    <xf numFmtId="1" fontId="22" fillId="0" borderId="163" applyAlignment="1" applyProtection="1" pivotButton="0" quotePrefix="0" xfId="0">
      <alignment horizontal="center"/>
      <protection locked="1" hidden="1"/>
    </xf>
    <xf numFmtId="0" fontId="0" fillId="0" borderId="171" applyProtection="1" pivotButton="0" quotePrefix="0" xfId="0">
      <protection locked="1" hidden="1"/>
    </xf>
    <xf numFmtId="0" fontId="19" fillId="26" borderId="60" applyAlignment="1" applyProtection="1" pivotButton="0" quotePrefix="0" xfId="0">
      <alignment horizontal="left"/>
      <protection locked="1" hidden="1"/>
    </xf>
    <xf numFmtId="0" fontId="19" fillId="27" borderId="163" applyAlignment="1" applyProtection="1" pivotButton="0" quotePrefix="0" xfId="0">
      <alignment horizontal="left"/>
      <protection locked="1" hidden="1"/>
    </xf>
    <xf numFmtId="0" fontId="0" fillId="0" borderId="169" applyProtection="1" pivotButton="0" quotePrefix="0" xfId="0">
      <protection locked="1" hidden="1"/>
    </xf>
    <xf numFmtId="0" fontId="7" fillId="0" borderId="164" applyAlignment="1" applyProtection="1" pivotButton="0" quotePrefix="0" xfId="0">
      <alignment horizontal="left"/>
      <protection locked="1" hidden="1"/>
    </xf>
    <xf numFmtId="0" fontId="0" fillId="0" borderId="263" applyProtection="1" pivotButton="0" quotePrefix="0" xfId="0">
      <protection locked="1" hidden="1"/>
    </xf>
    <xf numFmtId="0" fontId="0" fillId="0" borderId="264" applyProtection="1" pivotButton="0" quotePrefix="0" xfId="0">
      <protection locked="1" hidden="1"/>
    </xf>
    <xf numFmtId="0" fontId="7" fillId="0" borderId="165" applyAlignment="1" applyProtection="1" pivotButton="0" quotePrefix="0" xfId="0">
      <alignment horizontal="left"/>
      <protection locked="1" hidden="1"/>
    </xf>
    <xf numFmtId="0" fontId="0" fillId="0" borderId="266" applyProtection="1" pivotButton="0" quotePrefix="0" xfId="0">
      <protection locked="1" hidden="1"/>
    </xf>
    <xf numFmtId="0" fontId="0" fillId="0" borderId="267" applyProtection="1" pivotButton="0" quotePrefix="0" xfId="0">
      <protection locked="1" hidden="1"/>
    </xf>
    <xf numFmtId="0" fontId="42" fillId="56" borderId="60" applyAlignment="1" applyProtection="1" pivotButton="0" quotePrefix="0" xfId="0">
      <alignment horizontal="left"/>
      <protection locked="1" hidden="1"/>
    </xf>
    <xf numFmtId="0" fontId="7" fillId="0" borderId="300" applyAlignment="1" applyProtection="1" pivotButton="0" quotePrefix="0" xfId="0">
      <alignment horizontal="left"/>
      <protection locked="1" hidden="1"/>
    </xf>
    <xf numFmtId="0" fontId="0" fillId="0" borderId="215" applyProtection="1" pivotButton="0" quotePrefix="0" xfId="0">
      <protection locked="1" hidden="1"/>
    </xf>
    <xf numFmtId="0" fontId="0" fillId="0" borderId="216" applyProtection="1" pivotButton="0" quotePrefix="0" xfId="0">
      <protection locked="1" hidden="1"/>
    </xf>
    <xf numFmtId="170" fontId="13" fillId="29" borderId="115" applyAlignment="1" applyProtection="1" pivotButton="0" quotePrefix="0" xfId="0">
      <alignment horizontal="center"/>
      <protection locked="0" hidden="0"/>
    </xf>
    <xf numFmtId="170" fontId="13" fillId="29" borderId="114" applyAlignment="1" applyProtection="1" pivotButton="0" quotePrefix="0" xfId="0">
      <alignment horizontal="center"/>
      <protection locked="0" hidden="0"/>
    </xf>
    <xf numFmtId="170" fontId="13" fillId="29" borderId="202" applyAlignment="1" applyProtection="1" pivotButton="0" quotePrefix="0" xfId="0">
      <alignment horizontal="center"/>
      <protection locked="0" hidden="0"/>
    </xf>
    <xf numFmtId="170" fontId="27" fillId="0" borderId="0" applyProtection="1" pivotButton="0" quotePrefix="0" xfId="0">
      <protection locked="1" hidden="1"/>
    </xf>
    <xf numFmtId="0" fontId="7" fillId="0" borderId="299" applyAlignment="1" applyProtection="1" pivotButton="0" quotePrefix="0" xfId="0">
      <alignment horizontal="left"/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170" fontId="13" fillId="29" borderId="32" applyAlignment="1" applyProtection="1" pivotButton="0" quotePrefix="0" xfId="0">
      <alignment horizontal="center"/>
      <protection locked="0" hidden="0"/>
    </xf>
    <xf numFmtId="170" fontId="13" fillId="29" borderId="31" applyAlignment="1" applyProtection="1" pivotButton="0" quotePrefix="0" xfId="0">
      <alignment horizontal="center"/>
      <protection locked="0" hidden="0"/>
    </xf>
    <xf numFmtId="170" fontId="13" fillId="29" borderId="204" applyAlignment="1" applyProtection="1" pivotButton="0" quotePrefix="0" xfId="0">
      <alignment horizontal="center"/>
      <protection locked="0" hidden="0"/>
    </xf>
    <xf numFmtId="0" fontId="7" fillId="0" borderId="301" applyAlignment="1" applyProtection="1" pivotButton="0" quotePrefix="0" xfId="0">
      <alignment horizontal="left"/>
      <protection locked="1" hidden="1"/>
    </xf>
    <xf numFmtId="0" fontId="0" fillId="0" borderId="35" applyProtection="1" pivotButton="0" quotePrefix="0" xfId="0">
      <protection locked="1" hidden="1"/>
    </xf>
    <xf numFmtId="0" fontId="0" fillId="0" borderId="36" applyProtection="1" pivotButton="0" quotePrefix="0" xfId="0">
      <protection locked="1" hidden="1"/>
    </xf>
    <xf numFmtId="170" fontId="13" fillId="29" borderId="35" applyAlignment="1" applyProtection="1" pivotButton="0" quotePrefix="0" xfId="0">
      <alignment horizontal="center"/>
      <protection locked="0" hidden="0"/>
    </xf>
    <xf numFmtId="170" fontId="13" fillId="29" borderId="34" applyAlignment="1" applyProtection="1" pivotButton="0" quotePrefix="0" xfId="0">
      <alignment horizontal="center"/>
      <protection locked="0" hidden="0"/>
    </xf>
    <xf numFmtId="170" fontId="13" fillId="29" borderId="206" applyAlignment="1" applyProtection="1" pivotButton="0" quotePrefix="0" xfId="0">
      <alignment horizontal="center"/>
      <protection locked="0" hidden="0"/>
    </xf>
    <xf numFmtId="0" fontId="7" fillId="0" borderId="298" applyAlignment="1" applyProtection="1" pivotButton="0" quotePrefix="0" xfId="0">
      <alignment horizontal="left"/>
      <protection locked="1" hidden="1"/>
    </xf>
    <xf numFmtId="0" fontId="0" fillId="0" borderId="218" applyProtection="1" pivotButton="0" quotePrefix="0" xfId="0">
      <protection locked="1" hidden="1"/>
    </xf>
    <xf numFmtId="0" fontId="0" fillId="0" borderId="219" applyProtection="1" pivotButton="0" quotePrefix="0" xfId="0">
      <protection locked="1" hidden="1"/>
    </xf>
    <xf numFmtId="0" fontId="7" fillId="0" borderId="289" applyAlignment="1" applyProtection="1" pivotButton="0" quotePrefix="0" xfId="0">
      <alignment horizontal="left"/>
      <protection locked="1" hidden="1"/>
    </xf>
    <xf numFmtId="0" fontId="0" fillId="0" borderId="210" applyProtection="1" pivotButton="0" quotePrefix="0" xfId="0">
      <protection locked="1" hidden="1"/>
    </xf>
    <xf numFmtId="0" fontId="0" fillId="0" borderId="211" applyProtection="1" pivotButton="0" quotePrefix="0" xfId="0">
      <protection locked="1" hidden="1"/>
    </xf>
    <xf numFmtId="170" fontId="13" fillId="29" borderId="210" applyAlignment="1" applyProtection="1" pivotButton="0" quotePrefix="0" xfId="0">
      <alignment horizontal="center"/>
      <protection locked="0" hidden="0"/>
    </xf>
    <xf numFmtId="170" fontId="13" fillId="29" borderId="212" applyAlignment="1" applyProtection="1" pivotButton="0" quotePrefix="0" xfId="0">
      <alignment horizontal="center"/>
      <protection locked="0" hidden="0"/>
    </xf>
    <xf numFmtId="170" fontId="13" fillId="29" borderId="213" applyAlignment="1" applyProtection="1" pivotButton="0" quotePrefix="0" xfId="0">
      <alignment horizontal="center"/>
      <protection locked="0" hidden="0"/>
    </xf>
    <xf numFmtId="0" fontId="7" fillId="0" borderId="291" applyAlignment="1" applyProtection="1" pivotButton="0" quotePrefix="0" xfId="0">
      <alignment horizontal="left"/>
      <protection locked="1" hidden="1"/>
    </xf>
    <xf numFmtId="0" fontId="0" fillId="0" borderId="201" applyProtection="1" pivotButton="0" quotePrefix="0" xfId="0">
      <protection locked="1" hidden="1"/>
    </xf>
    <xf numFmtId="170" fontId="13" fillId="29" borderId="6" applyAlignment="1" applyProtection="1" pivotButton="0" quotePrefix="0" xfId="0">
      <alignment horizontal="center"/>
      <protection locked="0" hidden="0"/>
    </xf>
    <xf numFmtId="170" fontId="13" fillId="29" borderId="207" applyAlignment="1" applyProtection="1" pivotButton="0" quotePrefix="0" xfId="0">
      <alignment horizontal="center"/>
      <protection locked="0" hidden="0"/>
    </xf>
    <xf numFmtId="170" fontId="13" fillId="29" borderId="208" applyAlignment="1" applyProtection="1" pivotButton="0" quotePrefix="0" xfId="0">
      <alignment horizontal="center"/>
      <protection locked="0" hidden="0"/>
    </xf>
    <xf numFmtId="0" fontId="7" fillId="0" borderId="293" applyAlignment="1" applyProtection="1" pivotButton="0" quotePrefix="0" xfId="0">
      <alignment horizontal="left"/>
      <protection locked="1" hidden="1"/>
    </xf>
    <xf numFmtId="0" fontId="0" fillId="0" borderId="220" applyProtection="1" pivotButton="0" quotePrefix="0" xfId="0">
      <protection locked="1" hidden="1"/>
    </xf>
    <xf numFmtId="0" fontId="7" fillId="0" borderId="294" applyAlignment="1" applyProtection="1" pivotButton="0" quotePrefix="0" xfId="0">
      <alignment horizontal="left"/>
      <protection locked="1" hidden="1"/>
    </xf>
    <xf numFmtId="0" fontId="0" fillId="0" borderId="221" applyProtection="1" pivotButton="0" quotePrefix="0" xfId="0">
      <protection locked="1" hidden="1"/>
    </xf>
    <xf numFmtId="0" fontId="7" fillId="0" borderId="295" applyAlignment="1" applyProtection="1" pivotButton="0" quotePrefix="0" xfId="0">
      <alignment horizontal="left"/>
      <protection locked="1" hidden="1"/>
    </xf>
    <xf numFmtId="0" fontId="0" fillId="0" borderId="222" applyProtection="1" pivotButton="0" quotePrefix="0" xfId="0">
      <protection locked="1" hidden="1"/>
    </xf>
    <xf numFmtId="0" fontId="7" fillId="0" borderId="296" applyAlignment="1" applyProtection="1" pivotButton="0" quotePrefix="0" xfId="0">
      <alignment horizontal="left"/>
      <protection locked="1" hidden="1"/>
    </xf>
    <xf numFmtId="0" fontId="0" fillId="0" borderId="223" applyProtection="1" pivotButton="0" quotePrefix="0" xfId="0">
      <protection locked="1" hidden="1"/>
    </xf>
    <xf numFmtId="0" fontId="7" fillId="0" borderId="286" applyAlignment="1" applyProtection="1" pivotButton="0" quotePrefix="0" xfId="0">
      <alignment horizontal="left"/>
      <protection locked="1" hidden="1"/>
    </xf>
    <xf numFmtId="0" fontId="0" fillId="0" borderId="224" applyProtection="1" pivotButton="0" quotePrefix="0" xfId="0">
      <protection locked="1" hidden="1"/>
    </xf>
    <xf numFmtId="0" fontId="7" fillId="0" borderId="60" applyAlignment="1" applyProtection="1" pivotButton="0" quotePrefix="0" xfId="0">
      <alignment horizontal="left"/>
      <protection locked="1" hidden="1"/>
    </xf>
    <xf numFmtId="0" fontId="41" fillId="27" borderId="28" applyAlignment="1" applyProtection="1" pivotButton="0" quotePrefix="0" xfId="0">
      <alignment horizontal="left" vertical="center"/>
      <protection locked="1" hidden="1"/>
    </xf>
    <xf numFmtId="176" fontId="27" fillId="27" borderId="28" applyAlignment="1" applyProtection="1" pivotButton="0" quotePrefix="0" xfId="0">
      <alignment horizontal="center"/>
      <protection locked="1" hidden="1"/>
    </xf>
    <xf numFmtId="168" fontId="8" fillId="15" borderId="1" applyAlignment="1" applyProtection="1" pivotButton="0" quotePrefix="0" xfId="0">
      <alignment horizontal="center"/>
      <protection locked="1" hidden="1"/>
    </xf>
    <xf numFmtId="168" fontId="8" fillId="17" borderId="1" applyAlignment="1" applyProtection="1" pivotButton="0" quotePrefix="0" xfId="0">
      <alignment horizontal="center"/>
      <protection locked="1" hidden="1"/>
    </xf>
    <xf numFmtId="168" fontId="22" fillId="17" borderId="28" applyProtection="1" pivotButton="0" quotePrefix="0" xfId="0">
      <protection locked="1" hidden="1"/>
    </xf>
    <xf numFmtId="167" fontId="7" fillId="27" borderId="28" applyProtection="1" pivotButton="0" quotePrefix="0" xfId="0">
      <protection locked="1" hidden="1"/>
    </xf>
    <xf numFmtId="0" fontId="46" fillId="31" borderId="241" applyAlignment="1" applyProtection="1" pivotButton="0" quotePrefix="0" xfId="0">
      <alignment horizontal="center" vertical="center"/>
      <protection locked="1" hidden="1"/>
    </xf>
    <xf numFmtId="0" fontId="0" fillId="0" borderId="121" applyProtection="1" pivotButton="0" quotePrefix="0" xfId="0">
      <protection locked="1" hidden="1"/>
    </xf>
    <xf numFmtId="0" fontId="46" fillId="53" borderId="241" applyAlignment="1" applyProtection="1" pivotButton="0" quotePrefix="0" xfId="0">
      <alignment horizontal="center" vertical="center"/>
      <protection locked="1" hidden="1"/>
    </xf>
    <xf numFmtId="167" fontId="8" fillId="34" borderId="142" applyAlignment="1" applyProtection="1" pivotButton="0" quotePrefix="0" xfId="0">
      <alignment vertical="center"/>
      <protection locked="1" hidden="1"/>
    </xf>
    <xf numFmtId="166" fontId="13" fillId="2" borderId="67" applyAlignment="1" applyProtection="1" pivotButton="0" quotePrefix="0" xfId="0">
      <alignment vertical="center"/>
      <protection locked="1" hidden="1"/>
    </xf>
    <xf numFmtId="166" fontId="6" fillId="2" borderId="67" applyAlignment="1" applyProtection="1" pivotButton="0" quotePrefix="0" xfId="0">
      <alignment horizontal="center" vertical="center"/>
      <protection locked="1" hidden="1"/>
    </xf>
    <xf numFmtId="166" fontId="6" fillId="2" borderId="72" applyAlignment="1" applyProtection="1" pivotButton="0" quotePrefix="0" xfId="0">
      <alignment horizontal="center" vertical="center"/>
      <protection locked="1" hidden="1"/>
    </xf>
    <xf numFmtId="167" fontId="13" fillId="2" borderId="254" applyAlignment="1" applyProtection="1" pivotButton="0" quotePrefix="0" xfId="0">
      <alignment horizontal="center" vertical="center"/>
      <protection locked="1" hidden="1"/>
    </xf>
    <xf numFmtId="167" fontId="13" fillId="2" borderId="142" applyAlignment="1" applyProtection="1" pivotButton="0" quotePrefix="0" xfId="0">
      <alignment horizontal="center" vertical="center"/>
      <protection locked="1" hidden="1"/>
    </xf>
    <xf numFmtId="166" fontId="13" fillId="2" borderId="181" applyAlignment="1" applyProtection="1" pivotButton="0" quotePrefix="0" xfId="0">
      <alignment vertical="center"/>
      <protection locked="1" hidden="1"/>
    </xf>
    <xf numFmtId="166" fontId="6" fillId="2" borderId="181" applyAlignment="1" applyProtection="1" pivotButton="0" quotePrefix="0" xfId="0">
      <alignment horizontal="center" vertical="center"/>
      <protection locked="1" hidden="1"/>
    </xf>
    <xf numFmtId="166" fontId="6" fillId="2" borderId="226" applyAlignment="1" applyProtection="1" pivotButton="0" quotePrefix="0" xfId="0">
      <alignment horizontal="center" vertical="center"/>
      <protection locked="1" hidden="1"/>
    </xf>
    <xf numFmtId="166" fontId="8" fillId="35" borderId="242" applyAlignment="1" applyProtection="1" pivotButton="0" quotePrefix="0" xfId="0">
      <alignment vertical="center"/>
      <protection locked="1" hidden="1"/>
    </xf>
    <xf numFmtId="166" fontId="8" fillId="35" borderId="81" applyAlignment="1" applyProtection="1" pivotButton="0" quotePrefix="0" xfId="0">
      <alignment vertical="center"/>
      <protection locked="1" hidden="1"/>
    </xf>
    <xf numFmtId="166" fontId="13" fillId="2" borderId="173" applyAlignment="1" applyProtection="1" pivotButton="0" quotePrefix="0" xfId="0">
      <alignment vertical="center"/>
      <protection locked="1" hidden="1"/>
    </xf>
    <xf numFmtId="166" fontId="6" fillId="2" borderId="173" applyAlignment="1" applyProtection="1" pivotButton="0" quotePrefix="0" xfId="0">
      <alignment horizontal="center" vertical="center"/>
      <protection locked="1" hidden="1"/>
    </xf>
    <xf numFmtId="166" fontId="6" fillId="2" borderId="168" applyAlignment="1" applyProtection="1" pivotButton="0" quotePrefix="0" xfId="0">
      <alignment horizontal="center" vertical="center"/>
      <protection locked="1" hidden="1"/>
    </xf>
    <xf numFmtId="166" fontId="13" fillId="2" borderId="74" applyAlignment="1" applyProtection="1" pivotButton="0" quotePrefix="0" xfId="0">
      <alignment vertical="center"/>
      <protection locked="1" hidden="1"/>
    </xf>
    <xf numFmtId="166" fontId="6" fillId="2" borderId="74" applyAlignment="1" applyProtection="1" pivotButton="0" quotePrefix="0" xfId="0">
      <alignment horizontal="center" vertical="center"/>
      <protection locked="1" hidden="1"/>
    </xf>
    <xf numFmtId="166" fontId="6" fillId="2" borderId="75" applyAlignment="1" applyProtection="1" pivotButton="0" quotePrefix="0" xfId="0">
      <alignment horizontal="center" vertical="center"/>
      <protection locked="1" hidden="1"/>
    </xf>
    <xf numFmtId="166" fontId="13" fillId="2" borderId="69" applyAlignment="1" applyProtection="1" pivotButton="0" quotePrefix="0" xfId="0">
      <alignment vertical="center"/>
      <protection locked="1" hidden="1"/>
    </xf>
    <xf numFmtId="166" fontId="6" fillId="2" borderId="69" applyAlignment="1" applyProtection="1" pivotButton="0" quotePrefix="0" xfId="0">
      <alignment horizontal="center" vertical="center"/>
      <protection locked="1" hidden="1"/>
    </xf>
    <xf numFmtId="166" fontId="6" fillId="2" borderId="70" applyAlignment="1" applyProtection="1" pivotButton="0" quotePrefix="0" xfId="0">
      <alignment horizontal="center" vertical="center"/>
      <protection locked="1" hidden="1"/>
    </xf>
    <xf numFmtId="166" fontId="13" fillId="2" borderId="249" applyAlignment="1" applyProtection="1" pivotButton="0" quotePrefix="0" xfId="0">
      <alignment vertical="center"/>
      <protection locked="1" hidden="1"/>
    </xf>
    <xf numFmtId="166" fontId="6" fillId="2" borderId="249" applyAlignment="1" applyProtection="1" pivotButton="0" quotePrefix="0" xfId="0">
      <alignment horizontal="center" vertical="center"/>
      <protection locked="1" hidden="1"/>
    </xf>
    <xf numFmtId="166" fontId="6" fillId="2" borderId="250" applyAlignment="1" applyProtection="1" pivotButton="0" quotePrefix="0" xfId="0">
      <alignment horizontal="center" vertical="center"/>
      <protection locked="1" hidden="1"/>
    </xf>
    <xf numFmtId="166" fontId="13" fillId="2" borderId="28" applyAlignment="1" applyProtection="1" pivotButton="0" quotePrefix="0" xfId="0">
      <alignment vertical="center"/>
      <protection locked="1" hidden="1"/>
    </xf>
    <xf numFmtId="166" fontId="6" fillId="2" borderId="28" applyAlignment="1" applyProtection="1" pivotButton="0" quotePrefix="0" xfId="0">
      <alignment horizontal="center" vertical="center"/>
      <protection locked="1" hidden="1"/>
    </xf>
    <xf numFmtId="166" fontId="6" fillId="2" borderId="236" applyAlignment="1" applyProtection="1" pivotButton="0" quotePrefix="0" xfId="0">
      <alignment horizontal="center" vertical="center"/>
      <protection locked="1" hidden="1"/>
    </xf>
    <xf numFmtId="166" fontId="21" fillId="39" borderId="129" applyAlignment="1" applyProtection="1" pivotButton="0" quotePrefix="0" xfId="0">
      <alignment vertical="center"/>
      <protection locked="1" hidden="1"/>
    </xf>
    <xf numFmtId="166" fontId="13" fillId="39" borderId="130" applyAlignment="1" applyProtection="1" pivotButton="0" quotePrefix="0" xfId="0">
      <alignment vertical="center"/>
      <protection locked="1" hidden="1"/>
    </xf>
    <xf numFmtId="164" fontId="57" fillId="46" borderId="172" applyAlignment="1" applyProtection="1" pivotButton="0" quotePrefix="0" xfId="2">
      <alignment horizontal="left" vertical="center"/>
      <protection locked="1" hidden="1"/>
    </xf>
    <xf numFmtId="0" fontId="0" fillId="0" borderId="117" applyProtection="1" pivotButton="0" quotePrefix="0" xfId="0">
      <protection locked="1" hidden="1"/>
    </xf>
    <xf numFmtId="164" fontId="39" fillId="55" borderId="269" applyProtection="1" pivotButton="0" quotePrefix="0" xfId="2">
      <protection locked="1" hidden="1"/>
    </xf>
    <xf numFmtId="164" fontId="39" fillId="47" borderId="111" applyProtection="1" pivotButton="0" quotePrefix="0" xfId="2">
      <protection locked="1" hidden="1"/>
    </xf>
    <xf numFmtId="164" fontId="22" fillId="46" borderId="196" applyProtection="1" pivotButton="0" quotePrefix="0" xfId="2">
      <protection locked="1" hidden="1"/>
    </xf>
    <xf numFmtId="164" fontId="19" fillId="44" borderId="174" applyAlignment="1" applyProtection="1" pivotButton="0" quotePrefix="0" xfId="2">
      <alignment horizontal="center"/>
      <protection locked="1" hidden="1"/>
    </xf>
    <xf numFmtId="164" fontId="22" fillId="0" borderId="58" applyProtection="1" pivotButton="0" quotePrefix="0" xfId="2">
      <protection locked="1" hidden="1"/>
    </xf>
    <xf numFmtId="164" fontId="22" fillId="0" borderId="38" applyAlignment="1" applyProtection="1" pivotButton="0" quotePrefix="0" xfId="0">
      <alignment horizontal="center"/>
      <protection locked="1" hidden="1"/>
    </xf>
    <xf numFmtId="164" fontId="7" fillId="0" borderId="38" applyAlignment="1" applyProtection="1" pivotButton="0" quotePrefix="0" xfId="0">
      <alignment shrinkToFit="1"/>
      <protection locked="1" hidden="1"/>
    </xf>
    <xf numFmtId="164" fontId="7" fillId="0" borderId="38" applyAlignment="1" applyProtection="1" pivotButton="0" quotePrefix="0" xfId="0">
      <alignment horizontal="center" shrinkToFit="1"/>
      <protection locked="1" hidden="1"/>
    </xf>
    <xf numFmtId="164" fontId="14" fillId="0" borderId="38" applyAlignment="1" applyProtection="1" pivotButton="0" quotePrefix="0" xfId="0">
      <alignment horizontal="center" shrinkToFit="1"/>
      <protection locked="1" hidden="1"/>
    </xf>
    <xf numFmtId="164" fontId="22" fillId="0" borderId="37" applyAlignment="1" applyProtection="1" pivotButton="0" quotePrefix="0" xfId="0">
      <alignment horizontal="center"/>
      <protection locked="1" hidden="1"/>
    </xf>
    <xf numFmtId="164" fontId="7" fillId="0" borderId="37" applyAlignment="1" applyProtection="1" pivotButton="0" quotePrefix="0" xfId="0">
      <alignment shrinkToFit="1"/>
      <protection locked="1" hidden="1"/>
    </xf>
    <xf numFmtId="164" fontId="7" fillId="0" borderId="37" applyAlignment="1" applyProtection="1" pivotButton="0" quotePrefix="0" xfId="0">
      <alignment horizontal="center" shrinkToFit="1"/>
      <protection locked="1" hidden="1"/>
    </xf>
    <xf numFmtId="164" fontId="14" fillId="0" borderId="37" applyAlignment="1" applyProtection="1" pivotButton="0" quotePrefix="0" xfId="0">
      <alignment horizontal="center" shrinkToFit="1"/>
      <protection locked="1" hidden="1"/>
    </xf>
    <xf numFmtId="164" fontId="22" fillId="0" borderId="37" applyAlignment="1" applyProtection="1" pivotButton="0" quotePrefix="0" xfId="2">
      <alignment horizontal="center"/>
      <protection locked="1" hidden="1"/>
    </xf>
    <xf numFmtId="164" fontId="7" fillId="0" borderId="37" applyAlignment="1" applyProtection="1" pivotButton="0" quotePrefix="0" xfId="2">
      <alignment shrinkToFit="1"/>
      <protection locked="1" hidden="1"/>
    </xf>
    <xf numFmtId="164" fontId="7" fillId="0" borderId="37" applyAlignment="1" applyProtection="1" pivotButton="0" quotePrefix="0" xfId="2">
      <alignment horizontal="center" shrinkToFit="1"/>
      <protection locked="1" hidden="1"/>
    </xf>
    <xf numFmtId="164" fontId="14" fillId="0" borderId="37" applyAlignment="1" applyProtection="1" pivotButton="0" quotePrefix="0" xfId="2">
      <alignment horizontal="center" shrinkToFit="1"/>
      <protection locked="1" hidden="1"/>
    </xf>
    <xf numFmtId="1" fontId="9" fillId="19" borderId="274" applyAlignment="1" applyProtection="1" pivotButton="0" quotePrefix="0" xfId="0">
      <alignment horizontal="center" vertical="center"/>
      <protection locked="1" hidden="1"/>
    </xf>
    <xf numFmtId="1" fontId="9" fillId="19" borderId="163" applyAlignment="1" applyProtection="1" pivotButton="0" quotePrefix="0" xfId="0">
      <alignment horizontal="center" vertical="center"/>
      <protection locked="1" hidden="1"/>
    </xf>
    <xf numFmtId="170" fontId="6" fillId="29" borderId="71" applyAlignment="1" applyProtection="1" pivotButton="0" quotePrefix="0" xfId="2">
      <alignment horizontal="center"/>
      <protection locked="0" hidden="0"/>
    </xf>
    <xf numFmtId="170" fontId="6" fillId="29" borderId="67" applyAlignment="1" applyProtection="1" pivotButton="0" quotePrefix="0" xfId="2">
      <alignment horizontal="center"/>
      <protection locked="0" hidden="0"/>
    </xf>
    <xf numFmtId="170" fontId="6" fillId="29" borderId="72" applyAlignment="1" applyProtection="1" pivotButton="0" quotePrefix="0" xfId="2">
      <alignment horizontal="center"/>
      <protection locked="0" hidden="0"/>
    </xf>
    <xf numFmtId="170" fontId="6" fillId="29" borderId="73" applyAlignment="1" applyProtection="1" pivotButton="0" quotePrefix="0" xfId="2">
      <alignment horizontal="center"/>
      <protection locked="0" hidden="0"/>
    </xf>
    <xf numFmtId="170" fontId="6" fillId="29" borderId="74" applyAlignment="1" applyProtection="1" pivotButton="0" quotePrefix="0" xfId="2">
      <alignment horizontal="center"/>
      <protection locked="0" hidden="0"/>
    </xf>
    <xf numFmtId="170" fontId="6" fillId="29" borderId="75" applyAlignment="1" applyProtection="1" pivotButton="0" quotePrefix="0" xfId="2">
      <alignment horizontal="center"/>
      <protection locked="0" hidden="0"/>
    </xf>
    <xf numFmtId="0" fontId="0" fillId="0" borderId="305" applyProtection="1" pivotButton="0" quotePrefix="0" xfId="0">
      <protection locked="1" hidden="1"/>
    </xf>
    <xf numFmtId="172" fontId="24" fillId="0" borderId="168" applyAlignment="1" applyProtection="1" pivotButton="0" quotePrefix="0" xfId="2">
      <alignment horizontal="center"/>
      <protection locked="1" hidden="1"/>
    </xf>
    <xf numFmtId="172" fontId="24" fillId="0" borderId="72" applyAlignment="1" applyProtection="1" pivotButton="0" quotePrefix="0" xfId="2">
      <alignment horizontal="center"/>
      <protection locked="1" hidden="1"/>
    </xf>
    <xf numFmtId="172" fontId="24" fillId="0" borderId="226" applyAlignment="1" applyProtection="1" pivotButton="0" quotePrefix="0" xfId="2">
      <alignment horizontal="center"/>
      <protection locked="1" hidden="1"/>
    </xf>
    <xf numFmtId="172" fontId="24" fillId="51" borderId="163" applyAlignment="1" applyProtection="1" pivotButton="0" quotePrefix="0" xfId="2">
      <alignment horizontal="center"/>
      <protection locked="0" hidden="0"/>
    </xf>
    <xf numFmtId="172" fontId="24" fillId="51" borderId="164" applyAlignment="1" applyProtection="1" pivotButton="0" quotePrefix="0" xfId="2">
      <alignment horizontal="center"/>
      <protection locked="0" hidden="0"/>
    </xf>
    <xf numFmtId="175" fontId="24" fillId="51" borderId="164" applyAlignment="1" applyProtection="1" pivotButton="0" quotePrefix="0" xfId="2">
      <alignment horizontal="center"/>
      <protection locked="0" hidden="0"/>
    </xf>
    <xf numFmtId="172" fontId="24" fillId="51" borderId="165" applyAlignment="1" applyProtection="1" pivotButton="0" quotePrefix="0" xfId="2">
      <alignment horizontal="center"/>
      <protection locked="0" hidden="0"/>
    </xf>
  </cellXfs>
  <cellStyles count="14">
    <cellStyle name="Standaard" xfId="0" builtinId="0"/>
    <cellStyle name="Normal 2" xfId="1"/>
    <cellStyle name="Normal 3" xfId="2"/>
    <cellStyle name="Normal 4" xfId="3"/>
    <cellStyle name="Normal 5" xfId="4"/>
    <cellStyle name="Normal 3 2" xfId="5"/>
    <cellStyle name="Normal 4 2" xfId="6"/>
    <cellStyle name="Normal 4 3" xfId="7"/>
    <cellStyle name="Normal 5 2" xfId="8"/>
    <cellStyle name="Normal 4 2 2" xfId="9"/>
    <cellStyle name="Normal 4 4" xfId="10"/>
    <cellStyle name="Normal 4 2 3" xfId="11"/>
    <cellStyle name="Normal 4 3 2" xfId="12"/>
    <cellStyle name="Normal 4 2 2 2" xfId="13"/>
  </cellStyles>
  <dxfs count="193">
    <dxf>
      <font>
        <b val="1"/>
        <color theme="0"/>
      </font>
      <fill>
        <patternFill patternType="solid">
          <fgColor rgb="FFFFFF00"/>
          <bgColor rgb="FF179EDA"/>
        </patternFill>
      </fill>
    </dxf>
    <dxf>
      <font>
        <color rgb="FF002060"/>
      </font>
      <fill>
        <patternFill>
          <bgColor rgb="FF002060"/>
        </patternFill>
      </fill>
    </dxf>
    <dxf>
      <font>
        <color theme="7"/>
      </font>
      <fill>
        <patternFill>
          <bgColor theme="7"/>
        </patternFill>
      </fill>
    </dxf>
    <dxf>
      <font>
        <b val="1"/>
        <color theme="0"/>
      </font>
      <fill>
        <patternFill patternType="solid">
          <fgColor rgb="FFFFFF00"/>
          <bgColor rgb="FF179EDA"/>
        </patternFill>
      </fill>
    </dxf>
    <dxf>
      <font>
        <color rgb="FF002060"/>
      </font>
      <fill>
        <patternFill>
          <bgColor rgb="FF002060"/>
        </patternFill>
      </fill>
    </dxf>
    <dxf>
      <font>
        <color theme="7"/>
      </font>
      <fill>
        <patternFill>
          <bgColor theme="7"/>
        </patternFill>
      </fill>
    </dxf>
    <dxf>
      <font>
        <color theme="0"/>
      </font>
    </dxf>
    <dxf>
      <font>
        <b val="1"/>
        <color theme="0"/>
      </font>
      <fill>
        <patternFill patternType="solid">
          <fgColor rgb="FFFFFF00"/>
          <bgColor rgb="FF179EDA"/>
        </patternFill>
      </fill>
    </dxf>
    <dxf>
      <font>
        <b val="1"/>
        <color rgb="FF002060"/>
      </font>
      <fill>
        <patternFill>
          <bgColor rgb="FF002060"/>
        </patternFill>
      </fill>
    </dxf>
    <dxf>
      <font>
        <b val="1"/>
        <color theme="7"/>
      </font>
      <fill>
        <patternFill>
          <bgColor theme="7"/>
        </patternFill>
      </fill>
    </dxf>
    <dxf>
      <font>
        <b val="1"/>
        <color theme="0"/>
      </font>
      <fill>
        <patternFill patternType="solid">
          <fgColor rgb="FFFFFF00"/>
          <bgColor rgb="FF179EDA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auto="1"/>
      </font>
      <fill>
        <patternFill>
          <bgColor theme="7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 val="1"/>
        <color auto="1"/>
      </font>
      <fill>
        <patternFill>
          <bgColor theme="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 patternType="solid">
          <fgColor rgb="FFFFFF00"/>
          <bgColor rgb="FF179EDA"/>
        </patternFill>
      </fill>
    </dxf>
    <dxf>
      <font>
        <color rgb="FFFF0000"/>
      </font>
    </dxf>
    <dxf>
      <font>
        <color theme="0"/>
      </font>
      <numFmt numFmtId="0" formatCode="General"/>
    </dxf>
    <dxf>
      <font>
        <color theme="0"/>
      </font>
      <numFmt numFmtId="0" formatCode="General"/>
    </dxf>
    <dxf>
      <font>
        <color auto="1"/>
      </font>
      <fill>
        <patternFill>
          <bgColor rgb="FF66FF33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/>
      </fill>
      <alignment/>
    </dxf>
    <dxf>
      <font>
        <b val="1"/>
        <color rgb="FF800000"/>
      </font>
      <fill>
        <patternFill>
          <fgColor indexed="64"/>
          <bgColor auto="1"/>
        </patternFill>
      </fill>
    </dxf>
    <dxf>
      <font>
        <b val="1"/>
        <color rgb="FFFF0000"/>
      </font>
      <fill>
        <patternFill>
          <fgColor indexed="64"/>
          <bgColor auto="1"/>
        </patternFill>
      </fill>
    </dxf>
    <dxf>
      <font>
        <color rgb="FFFFFFFF"/>
      </font>
      <fill>
        <patternFill/>
      </fill>
      <alignment/>
    </dxf>
    <dxf>
      <font>
        <b val="1"/>
        <color theme="4"/>
      </font>
      <fill>
        <patternFill>
          <fgColor indexed="64"/>
          <bgColor auto="1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color theme="0"/>
      </font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color theme="0"/>
      </font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color theme="0"/>
      </font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color theme="0"/>
      </font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color theme="0"/>
      </font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color theme="0"/>
      </font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Jorden Schins</author>
  </authors>
  <commentList>
    <comment ref="C2" authorId="0" shapeId="0">
      <text>
        <t>Jorden Schins:
1 = tijd dat afkorting ingepland wordt
2 = openingstijd
3 = sluitingstijd
4 = vaste tijd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7.xml.rels><Relationships xmlns="http://schemas.openxmlformats.org/package/2006/relationships"><Relationship Type="http://schemas.openxmlformats.org/officeDocument/2006/relationships/hyperlink" Target="https://docs.google.com/spreadsheets/d/16kbKwad-DDQwYzBJ7MNvfpRVT8m19byVad59dZBVpII/edit" TargetMode="External" Id="rId1"/></Relationships>
</file>

<file path=xl/worksheets/sheet1.xml><?xml version="1.0" encoding="utf-8"?>
<worksheet xmlns="http://schemas.openxmlformats.org/spreadsheetml/2006/main">
  <sheetPr codeName="Sheet1">
    <tabColor rgb="FFFF0000"/>
    <outlinePr summaryBelow="0" summaryRight="0"/>
    <pageSetUpPr/>
  </sheetPr>
  <dimension ref="A1:AP172"/>
  <sheetViews>
    <sheetView showGridLines="0" showRowColHeaders="0" topLeftCell="AR1" workbookViewId="0">
      <selection activeCell="A1" sqref="A1:AQ1048576"/>
    </sheetView>
  </sheetViews>
  <sheetFormatPr baseColWidth="8" defaultColWidth="17.28515625" defaultRowHeight="15" customHeight="1"/>
  <cols>
    <col hidden="1" width="55.28515625" customWidth="1" style="830" min="1" max="1"/>
    <col hidden="1" width="9.140625" customWidth="1" style="830" min="2" max="2"/>
    <col hidden="1" width="7.28515625" customWidth="1" style="830" min="3" max="3"/>
    <col hidden="1" width="15.140625" customWidth="1" style="847" min="4" max="4"/>
    <col hidden="1" width="3.5703125" customWidth="1" style="830" min="5" max="11"/>
    <col hidden="1" width="10.140625" customWidth="1" style="830" min="12" max="12"/>
    <col hidden="1" width="5.85546875" customWidth="1" style="830" min="13" max="25"/>
    <col hidden="1" width="14.5703125" customWidth="1" style="830" min="26" max="26"/>
    <col hidden="1" width="12.5703125" customWidth="1" style="830" min="27" max="27"/>
    <col hidden="1" width="5.85546875" customWidth="1" style="830" min="28" max="28"/>
    <col hidden="1" width="12.5703125" customWidth="1" style="830" min="29" max="29"/>
    <col hidden="1" width="5.85546875" customWidth="1" style="830" min="30" max="30"/>
    <col hidden="1" width="12.5703125" customWidth="1" style="830" min="31" max="31"/>
    <col hidden="1" width="5.85546875" customWidth="1" style="830" min="32" max="32"/>
    <col hidden="1" width="12.5703125" customWidth="1" style="830" min="33" max="33"/>
    <col hidden="1" width="5.85546875" customWidth="1" style="830" min="34" max="34"/>
    <col hidden="1" width="12.5703125" customWidth="1" style="830" min="35" max="35"/>
    <col hidden="1" width="5.85546875" customWidth="1" style="830" min="36" max="36"/>
    <col hidden="1" width="12.5703125" customWidth="1" style="830" min="37" max="37"/>
    <col hidden="1" width="5.85546875" customWidth="1" style="830" min="38" max="38"/>
    <col hidden="1" width="12.5703125" customWidth="1" style="830" min="39" max="39"/>
    <col hidden="1" width="1.85546875" customWidth="1" style="830" min="40" max="40"/>
    <col hidden="1" width="74.85546875" customWidth="1" style="830" min="41" max="41"/>
    <col hidden="1" width="4.42578125" customWidth="1" style="830" min="42" max="42"/>
    <col hidden="1" width="17.28515625" customWidth="1" style="830" min="43" max="43"/>
    <col width="17.28515625" customWidth="1" style="400" min="44" max="45"/>
    <col width="17.28515625" customWidth="1" style="400" min="46" max="48"/>
    <col width="17.28515625" customWidth="1" style="830" min="49" max="16384"/>
  </cols>
  <sheetData>
    <row r="1" ht="15" customHeight="1">
      <c r="A1" s="829" t="n"/>
      <c r="B1" s="829" t="n"/>
      <c r="C1" s="829" t="n"/>
      <c r="D1" s="848" t="n"/>
      <c r="E1" s="829" t="inlineStr">
        <is>
          <t>Exclusieve Dag</t>
        </is>
      </c>
      <c r="F1" s="264" t="n"/>
      <c r="G1" s="264" t="n"/>
      <c r="H1" s="264" t="n"/>
      <c r="I1" s="264" t="n"/>
      <c r="J1" s="264" t="n"/>
      <c r="K1" s="264" t="n"/>
      <c r="L1" s="829" t="inlineStr">
        <is>
          <t>Vaste tijd</t>
        </is>
      </c>
      <c r="M1" s="264" t="n"/>
      <c r="N1" s="264" t="n"/>
      <c r="O1" s="264" t="n"/>
      <c r="P1" s="264" t="n"/>
      <c r="Q1" s="264" t="n"/>
      <c r="R1" s="264" t="n"/>
      <c r="S1" s="829" t="inlineStr">
        <is>
          <t>Exclusieve Dag Vergeleken</t>
        </is>
      </c>
      <c r="T1" s="264" t="n"/>
      <c r="U1" s="264" t="n"/>
      <c r="V1" s="264" t="n"/>
      <c r="W1" s="264" t="n"/>
      <c r="X1" s="264" t="n"/>
      <c r="Y1" s="264" t="n"/>
      <c r="Z1" s="647" t="inlineStr">
        <is>
          <t>Volgorde</t>
        </is>
      </c>
      <c r="AA1" s="647" t="inlineStr">
        <is>
          <t>Rekentijd</t>
        </is>
      </c>
      <c r="AB1" s="264" t="n"/>
      <c r="AC1" s="264" t="n"/>
      <c r="AD1" s="264" t="n"/>
      <c r="AE1" s="264" t="n"/>
      <c r="AF1" s="264" t="n"/>
      <c r="AG1" s="264" t="n"/>
      <c r="AH1" s="264" t="n"/>
      <c r="AI1" s="264" t="n"/>
      <c r="AJ1" s="264" t="n"/>
      <c r="AK1" s="264" t="n"/>
      <c r="AL1" s="264" t="n"/>
      <c r="AM1" s="264" t="n"/>
      <c r="AN1" s="647" t="n"/>
      <c r="AO1" s="647" t="n"/>
      <c r="AP1" s="647" t="n"/>
    </row>
    <row r="2" ht="15" customHeight="1">
      <c r="A2" s="829" t="inlineStr">
        <is>
          <t>Omschrijving taak</t>
        </is>
      </c>
      <c r="B2" s="829" t="inlineStr">
        <is>
          <t>Afkorting</t>
        </is>
      </c>
      <c r="C2" s="829" t="inlineStr">
        <is>
          <t>Koppel</t>
        </is>
      </c>
      <c r="D2" s="848" t="inlineStr">
        <is>
          <t>Plustijd</t>
        </is>
      </c>
      <c r="E2" s="829" t="inlineStr">
        <is>
          <t>Ma</t>
        </is>
      </c>
      <c r="F2" s="829" t="inlineStr">
        <is>
          <t>Di</t>
        </is>
      </c>
      <c r="G2" s="829" t="inlineStr">
        <is>
          <t>Wo</t>
        </is>
      </c>
      <c r="H2" s="829" t="inlineStr">
        <is>
          <t>Do</t>
        </is>
      </c>
      <c r="I2" s="829" t="inlineStr">
        <is>
          <t>Vr</t>
        </is>
      </c>
      <c r="J2" s="829" t="inlineStr">
        <is>
          <t>Za</t>
        </is>
      </c>
      <c r="K2" s="829" t="inlineStr">
        <is>
          <t>Zo</t>
        </is>
      </c>
      <c r="L2" s="829" t="inlineStr">
        <is>
          <t>Ma</t>
        </is>
      </c>
      <c r="M2" s="829" t="inlineStr">
        <is>
          <t>Di</t>
        </is>
      </c>
      <c r="N2" s="829" t="inlineStr">
        <is>
          <t>Wo</t>
        </is>
      </c>
      <c r="O2" s="829" t="inlineStr">
        <is>
          <t>Do</t>
        </is>
      </c>
      <c r="P2" s="829" t="inlineStr">
        <is>
          <t>Vr</t>
        </is>
      </c>
      <c r="Q2" s="829" t="inlineStr">
        <is>
          <t>Za</t>
        </is>
      </c>
      <c r="R2" s="829" t="inlineStr">
        <is>
          <t>Zo</t>
        </is>
      </c>
      <c r="S2" s="829" t="inlineStr">
        <is>
          <t>Ma</t>
        </is>
      </c>
      <c r="T2" s="829" t="inlineStr">
        <is>
          <t>Di</t>
        </is>
      </c>
      <c r="U2" s="829" t="inlineStr">
        <is>
          <t>Wo</t>
        </is>
      </c>
      <c r="V2" s="829" t="inlineStr">
        <is>
          <t>Do</t>
        </is>
      </c>
      <c r="W2" s="829" t="inlineStr">
        <is>
          <t>Vr</t>
        </is>
      </c>
      <c r="X2" s="829" t="inlineStr">
        <is>
          <t>Za</t>
        </is>
      </c>
      <c r="Y2" s="829" t="inlineStr">
        <is>
          <t>Zo</t>
        </is>
      </c>
      <c r="Z2" s="647" t="n"/>
      <c r="AA2" s="647" t="inlineStr">
        <is>
          <t>Ma</t>
        </is>
      </c>
      <c r="AB2" s="647" t="inlineStr">
        <is>
          <t>Naam</t>
        </is>
      </c>
      <c r="AC2" s="647" t="inlineStr">
        <is>
          <t>Di</t>
        </is>
      </c>
      <c r="AD2" s="647" t="inlineStr">
        <is>
          <t>Naam</t>
        </is>
      </c>
      <c r="AE2" s="647" t="inlineStr">
        <is>
          <t>Wo</t>
        </is>
      </c>
      <c r="AF2" s="647" t="inlineStr">
        <is>
          <t>Naam</t>
        </is>
      </c>
      <c r="AG2" s="647" t="inlineStr">
        <is>
          <t>Do</t>
        </is>
      </c>
      <c r="AH2" s="647" t="inlineStr">
        <is>
          <t>Naam</t>
        </is>
      </c>
      <c r="AI2" s="647" t="inlineStr">
        <is>
          <t>Vr</t>
        </is>
      </c>
      <c r="AJ2" s="647" t="inlineStr">
        <is>
          <t>Naam</t>
        </is>
      </c>
      <c r="AK2" s="647" t="inlineStr">
        <is>
          <t>Za</t>
        </is>
      </c>
      <c r="AL2" s="647" t="inlineStr">
        <is>
          <t>Naam</t>
        </is>
      </c>
      <c r="AM2" s="647" t="inlineStr">
        <is>
          <t>Zo</t>
        </is>
      </c>
      <c r="AN2" s="647" t="inlineStr">
        <is>
          <t>Naam</t>
        </is>
      </c>
      <c r="AO2" s="647" t="inlineStr">
        <is>
          <t>Taak kopie</t>
        </is>
      </c>
      <c r="AP2" s="647" t="inlineStr">
        <is>
          <t>Afkorting kopie</t>
        </is>
      </c>
    </row>
    <row r="3" ht="15" customHeight="1">
      <c r="A3" s="830">
        <f>'Aanpassen Werkschema'!B33</f>
        <v/>
      </c>
      <c r="B3" s="569">
        <f>'Aanpassen Werkschema'!C33</f>
        <v/>
      </c>
      <c r="C3" s="569">
        <f>IF('Aanpassen Werkschema'!D33="geplande taak",1,IF('Aanpassen Werkschema'!D33="openingstijd",2,IF('Aanpassen Werkschema'!D33="sluitingstijd",3,IF('Aanpassen Werkschema'!D33="vaste tijd",4,""))))</f>
        <v/>
      </c>
      <c r="D3" s="849">
        <f>'Aanpassen Werkschema'!E33</f>
        <v/>
      </c>
      <c r="E3" s="569">
        <f>IF('Aanpassen Werkschema'!F33="v","x","")</f>
        <v/>
      </c>
      <c r="F3" s="569">
        <f>IF('Aanpassen Werkschema'!G33="v","x","")</f>
        <v/>
      </c>
      <c r="G3" s="569">
        <f>IF('Aanpassen Werkschema'!H33="v","x","")</f>
        <v/>
      </c>
      <c r="H3" s="569">
        <f>IF('Aanpassen Werkschema'!I33="v","x","")</f>
        <v/>
      </c>
      <c r="I3" s="569">
        <f>IF('Aanpassen Werkschema'!J33="v","x","")</f>
        <v/>
      </c>
      <c r="J3" s="569">
        <f>IF('Aanpassen Werkschema'!K33="v","x","")</f>
        <v/>
      </c>
      <c r="K3" s="569">
        <f>IF('Aanpassen Werkschema'!L33="v","x","")</f>
        <v/>
      </c>
      <c r="L3" s="571">
        <f>IF('Aanpassen Werkschema'!M33&gt;0,'Aanpassen Werkschema'!M33,"")</f>
        <v/>
      </c>
      <c r="M3" s="571">
        <f>IF('Aanpassen Werkschema'!N33&gt;0,'Aanpassen Werkschema'!N33,"")</f>
        <v/>
      </c>
      <c r="N3" s="571">
        <f>IF('Aanpassen Werkschema'!O33&gt;0,'Aanpassen Werkschema'!O33,"")</f>
        <v/>
      </c>
      <c r="O3" s="571">
        <f>IF('Aanpassen Werkschema'!P33&gt;0,'Aanpassen Werkschema'!P33,"")</f>
        <v/>
      </c>
      <c r="P3" s="571">
        <f>IF('Aanpassen Werkschema'!Q33&gt;0,'Aanpassen Werkschema'!Q33,"")</f>
        <v/>
      </c>
      <c r="Q3" s="571">
        <f>IF('Aanpassen Werkschema'!R33&gt;0,'Aanpassen Werkschema'!R33,"")</f>
        <v/>
      </c>
      <c r="R3" s="571">
        <f>IF('Aanpassen Werkschema'!S33&gt;0,'Aanpassen Werkschema'!S33,"")</f>
        <v/>
      </c>
      <c r="S3" s="569">
        <f>IF('Aanpassen Werkschema'!T33="x","",IF('Aanpassen Werkschema'!N33="v","x",IF(E3="","",IF(E3="x","x"))))</f>
        <v/>
      </c>
      <c r="T3" s="569">
        <f>IF('Aanpassen Werkschema'!U33="x","",IF('Aanpassen Werkschema'!O33="v","x",IF(F3="","",IF(F3="x","x"))))</f>
        <v/>
      </c>
      <c r="U3" s="569">
        <f>IF('Aanpassen Werkschema'!V33="x","",IF('Aanpassen Werkschema'!P33="v","x",IF(G3="","",IF(G3="x","x"))))</f>
        <v/>
      </c>
      <c r="V3" s="569">
        <f>IF('Aanpassen Werkschema'!W33="x","",IF('Aanpassen Werkschema'!Q33="v","x",IF(H3="","",IF(H3="x","x"))))</f>
        <v/>
      </c>
      <c r="W3" s="569">
        <f>IF('Aanpassen Werkschema'!X33="x","",IF('Aanpassen Werkschema'!R33="v","x",IF(I3="","",IF(I3="x","x"))))</f>
        <v/>
      </c>
      <c r="X3" s="569">
        <f>IF('Aanpassen Werkschema'!Y33="x","",IF('Aanpassen Werkschema'!S33="v","x",IF(J3="","",IF(J3="x","x"))))</f>
        <v/>
      </c>
      <c r="Y3" s="569">
        <f>IF('Aanpassen Werkschema'!Z33="x","",IF('Aanpassen Werkschema'!T33="v","x",IF(K3="","",IF(K3="x","x"))))</f>
        <v/>
      </c>
      <c r="Z3" s="850" t="n">
        <v>1e-10</v>
      </c>
      <c r="AA3" s="851">
        <f>IFERROR(IF(C3="",1.1,IF(S3="",1,IF($C3=1,VLOOKUP($B3,'Werkschema - Rekening'!$B$2:$C$46,2,FALSE),IF($C3=2,Instellingen!C$16,IF($C3=3,Instellingen!D$16,IF($C3=4,L3))))+$D3)+$Z3),1.1)</f>
        <v/>
      </c>
      <c r="AB3" s="852">
        <f>IF($B3="","",IFERROR(VLOOKUP($B3,'Werkschema - Rekening'!$B$2:$P$46,3,FALSE),""))</f>
        <v/>
      </c>
      <c r="AC3" s="851">
        <f>IFERROR(IF(C3="",1.1,IF(T3="",1,IF($C3=1,VLOOKUP($B3,'Werkschema - Rekening'!$B$2:$E$46,4,FALSE),IF($C3=2,Instellingen!E$16,IF($C3=3,Instellingen!F$16,IF($C3=4,M3))))+$D3)+$Z3),1.1)</f>
        <v/>
      </c>
      <c r="AD3" s="852">
        <f>IF($B3="","",IFERROR(VLOOKUP($B3,'Werkschema - Rekening'!$B$2:$P$46,5,FALSE),""))</f>
        <v/>
      </c>
      <c r="AE3" s="851">
        <f>IFERROR(IF(C3="",1.1,IF(U3="",1,IF($C3=1,VLOOKUP($B3,'Werkschema - Rekening'!$B$2:$G$46,6,FALSE),IF($C3=2,Instellingen!G$16,IF($C3=3,Instellingen!H$16,IF($C3=4,N3))))+$D3)+$Z3),1.1)</f>
        <v/>
      </c>
      <c r="AF3" s="852">
        <f>IF($B3="","",IFERROR(VLOOKUP($B3,'Werkschema - Rekening'!$B$2:$P$46,7,FALSE),""))</f>
        <v/>
      </c>
      <c r="AG3" s="851">
        <f>IFERROR(IF(C3="",1.1,IF(V3="",1,IF($C3=1,VLOOKUP($B3,'Werkschema - Rekening'!$B$2:$I$46,8,FALSE),IF($C3=2,Instellingen!I$16,IF($C3=3,Instellingen!J$16,IF($C3=4,O3))))+$D3)+$Z3),1.1)</f>
        <v/>
      </c>
      <c r="AH3" s="852">
        <f>IF($B3="","",IFERROR(VLOOKUP($B3,'Werkschema - Rekening'!$B$2:$P$46,9,FALSE),""))</f>
        <v/>
      </c>
      <c r="AI3" s="851">
        <f>IFERROR(IF(C3="",1.1,IF(W3="",1,IF($C3=1,VLOOKUP($B3,'Werkschema - Rekening'!$B$2:$K$46,10,FALSE),IF($C3=2,Instellingen!K$16,IF($C3=3,Instellingen!L$16,IF($C3=4,P3))))+$D3)+$Z3),1.1)</f>
        <v/>
      </c>
      <c r="AJ3" s="852">
        <f>IF($B3="","",IFERROR(VLOOKUP($B3,'Werkschema - Rekening'!$B$2:$P$46,11,FALSE),""))</f>
        <v/>
      </c>
      <c r="AK3" s="851">
        <f>IFERROR(IF(C3="",1.1,IF(X3="",1,IF($C3=1,VLOOKUP($B3,'Werkschema - Rekening'!$B$2:$M$46,12,FALSE),IF($C3=2,Instellingen!M$16,IF($C3=3,Instellingen!N$16,IF($C3=4,Q3))))+$D3)+$Z3),1.1)</f>
        <v/>
      </c>
      <c r="AL3" s="852">
        <f>IF($B3="","",IFERROR(VLOOKUP($B3,'Werkschema - Rekening'!$B$2:$P$46,13,FALSE),""))</f>
        <v/>
      </c>
      <c r="AM3" s="851">
        <f>IFERROR(IF(C3="",1.1,IF(Y3="",1,IF($C3=1,VLOOKUP($B3,'Werkschema - Rekening'!$B$2:$O$46,14,FALSE),IF($C3=2,Instellingen!O$16,IF($C3=3,Instellingen!P$16,IF($C3=4,R3))))+$D3)+$Z3),1.1)</f>
        <v/>
      </c>
      <c r="AN3" s="852">
        <f>IF($B3="","",IFERROR(VLOOKUP($B3,'Werkschema - Rekening'!$B$2:$P$46,15,FALSE),""))</f>
        <v/>
      </c>
      <c r="AO3" s="852">
        <f>A3</f>
        <v/>
      </c>
      <c r="AP3" s="852">
        <f>B3</f>
        <v/>
      </c>
    </row>
    <row r="4" ht="15" customHeight="1">
      <c r="A4" s="830">
        <f>'Aanpassen Werkschema'!B34</f>
        <v/>
      </c>
      <c r="B4" s="569">
        <f>'Aanpassen Werkschema'!C34</f>
        <v/>
      </c>
      <c r="C4" s="569">
        <f>IF('Aanpassen Werkschema'!D34="geplande taak",1,IF('Aanpassen Werkschema'!D34="openingstijd",2,IF('Aanpassen Werkschema'!D34="sluitingstijd",3,IF('Aanpassen Werkschema'!D34="vaste tijd",4,""))))</f>
        <v/>
      </c>
      <c r="D4" s="849">
        <f>'Aanpassen Werkschema'!E34</f>
        <v/>
      </c>
      <c r="E4" s="569">
        <f>IF('Aanpassen Werkschema'!F34="v","x","")</f>
        <v/>
      </c>
      <c r="F4" s="569">
        <f>IF('Aanpassen Werkschema'!G34="v","x","")</f>
        <v/>
      </c>
      <c r="G4" s="569">
        <f>IF('Aanpassen Werkschema'!H34="v","x","")</f>
        <v/>
      </c>
      <c r="H4" s="569">
        <f>IF('Aanpassen Werkschema'!I34="v","x","")</f>
        <v/>
      </c>
      <c r="I4" s="569">
        <f>IF('Aanpassen Werkschema'!J34="v","x","")</f>
        <v/>
      </c>
      <c r="J4" s="569">
        <f>IF('Aanpassen Werkschema'!K34="v","x","")</f>
        <v/>
      </c>
      <c r="K4" s="569">
        <f>IF('Aanpassen Werkschema'!L34="v","x","")</f>
        <v/>
      </c>
      <c r="L4" s="571">
        <f>IF('Aanpassen Werkschema'!M34&gt;0,'Aanpassen Werkschema'!M34,"")</f>
        <v/>
      </c>
      <c r="M4" s="571">
        <f>IF('Aanpassen Werkschema'!N34&gt;0,'Aanpassen Werkschema'!N34,"")</f>
        <v/>
      </c>
      <c r="N4" s="571">
        <f>IF('Aanpassen Werkschema'!O34&gt;0,'Aanpassen Werkschema'!O34,"")</f>
        <v/>
      </c>
      <c r="O4" s="571">
        <f>IF('Aanpassen Werkschema'!P34&gt;0,'Aanpassen Werkschema'!P34,"")</f>
        <v/>
      </c>
      <c r="P4" s="571">
        <f>IF('Aanpassen Werkschema'!Q34&gt;0,'Aanpassen Werkschema'!Q34,"")</f>
        <v/>
      </c>
      <c r="Q4" s="571">
        <f>IF('Aanpassen Werkschema'!R34&gt;0,'Aanpassen Werkschema'!R34,"")</f>
        <v/>
      </c>
      <c r="R4" s="571">
        <f>IF('Aanpassen Werkschema'!S34&gt;0,'Aanpassen Werkschema'!S34,"")</f>
        <v/>
      </c>
      <c r="S4" s="569">
        <f>IF('Aanpassen Werkschema'!T34="x","",IF('Aanpassen Werkschema'!N34="v","x",IF(E4="","",IF(E4="x","x"))))</f>
        <v/>
      </c>
      <c r="T4" s="569">
        <f>IF('Aanpassen Werkschema'!U34="x","",IF('Aanpassen Werkschema'!O34="v","x",IF(F4="","",IF(F4="x","x"))))</f>
        <v/>
      </c>
      <c r="U4" s="569">
        <f>IF('Aanpassen Werkschema'!V34="x","",IF('Aanpassen Werkschema'!P34="v","x",IF(G4="","",IF(G4="x","x"))))</f>
        <v/>
      </c>
      <c r="V4" s="569">
        <f>IF('Aanpassen Werkschema'!W34="x","",IF('Aanpassen Werkschema'!Q34="v","x",IF(H4="","",IF(H4="x","x"))))</f>
        <v/>
      </c>
      <c r="W4" s="569">
        <f>IF('Aanpassen Werkschema'!X34="x","",IF('Aanpassen Werkschema'!R34="v","x",IF(I4="","",IF(I4="x","x"))))</f>
        <v/>
      </c>
      <c r="X4" s="569">
        <f>IF('Aanpassen Werkschema'!Y34="x","",IF('Aanpassen Werkschema'!S34="v","x",IF(J4="","",IF(J4="x","x"))))</f>
        <v/>
      </c>
      <c r="Y4" s="569">
        <f>IF('Aanpassen Werkschema'!Z34="x","",IF('Aanpassen Werkschema'!T34="v","x",IF(K4="","",IF(K4="x","x"))))</f>
        <v/>
      </c>
      <c r="Z4" s="850">
        <f>Z3+0.0000000001</f>
        <v/>
      </c>
      <c r="AA4" s="851">
        <f>IFERROR(IF(C4="",1.1,IF(S4="",1,IF($C4=1,VLOOKUP($B4,'Werkschema - Rekening'!$B$2:$C$46,2,FALSE),IF($C4=2,Instellingen!C$16,IF($C4=3,Instellingen!D$16,IF($C4=4,L4))))+$D4)+$Z4),1.1)</f>
        <v/>
      </c>
      <c r="AB4" s="852">
        <f>IF($B4="","",IFERROR(VLOOKUP($B4,'Werkschema - Rekening'!$B$2:$P$46,3,FALSE),""))</f>
        <v/>
      </c>
      <c r="AC4" s="851">
        <f>IFERROR(IF(C4="",1.1,IF(T4="",1,IF($C4=1,VLOOKUP($B4,'Werkschema - Rekening'!$B$2:$E$46,4,FALSE),IF($C4=2,Instellingen!E$16,IF($C4=3,Instellingen!F$16,IF($C4=4,M4))))+$D4)+$Z4),1.1)</f>
        <v/>
      </c>
      <c r="AD4" s="852">
        <f>IF($B4="","",IFERROR(VLOOKUP($B4,'Werkschema - Rekening'!$B$2:$P$46,5,FALSE),""))</f>
        <v/>
      </c>
      <c r="AE4" s="851">
        <f>IFERROR(IF(C4="",1.1,IF(U4="",1,IF($C4=1,VLOOKUP($B4,'Werkschema - Rekening'!$B$2:$G$46,6,FALSE),IF($C4=2,Instellingen!G$16,IF($C4=3,Instellingen!H$16,IF($C4=4,N4))))+$D4)+$Z4),1.1)</f>
        <v/>
      </c>
      <c r="AF4" s="852">
        <f>IF($B4="","",IFERROR(VLOOKUP($B4,'Werkschema - Rekening'!$B$2:$P$46,7,FALSE),""))</f>
        <v/>
      </c>
      <c r="AG4" s="851">
        <f>IFERROR(IF(C4="",1.1,IF(V4="",1,IF($C4=1,VLOOKUP($B4,'Werkschema - Rekening'!$B$2:$I$46,8,FALSE),IF($C4=2,Instellingen!I$16,IF($C4=3,Instellingen!J$16,IF($C4=4,O4))))+$D4)+$Z4),1.1)</f>
        <v/>
      </c>
      <c r="AH4" s="852">
        <f>IF($B4="","",IFERROR(VLOOKUP($B4,'Werkschema - Rekening'!$B$2:$P$46,9,FALSE),""))</f>
        <v/>
      </c>
      <c r="AI4" s="851">
        <f>IFERROR(IF(C4="",1.1,IF(W4="",1,IF($C4=1,VLOOKUP($B4,'Werkschema - Rekening'!$B$2:$K$46,10,FALSE),IF($C4=2,Instellingen!K$16,IF($C4=3,Instellingen!L$16,IF($C4=4,P4))))+$D4)+$Z4),1.1)</f>
        <v/>
      </c>
      <c r="AJ4" s="852">
        <f>IF($B4="","",IFERROR(VLOOKUP($B4,'Werkschema - Rekening'!$B$2:$P$46,11,FALSE),""))</f>
        <v/>
      </c>
      <c r="AK4" s="851">
        <f>IFERROR(IF(C4="",1.1,IF(X4="",1,IF($C4=1,VLOOKUP($B4,'Werkschema - Rekening'!$B$2:$M$46,12,FALSE),IF($C4=2,Instellingen!M$16,IF($C4=3,Instellingen!N$16,IF($C4=4,Q4))))+$D4)+$Z4),1.1)</f>
        <v/>
      </c>
      <c r="AL4" s="852">
        <f>IF($B4="","",IFERROR(VLOOKUP($B4,'Werkschema - Rekening'!$B$2:$P$46,13,FALSE),""))</f>
        <v/>
      </c>
      <c r="AM4" s="851">
        <f>IFERROR(IF(C4="",1.1,IF(Y4="",1,IF($C4=1,VLOOKUP($B4,'Werkschema - Rekening'!$B$2:$O$46,14,FALSE),IF($C4=2,Instellingen!O$16,IF($C4=3,Instellingen!P$16,IF($C4=4,R4))))+$D4)+$Z4),1.1)</f>
        <v/>
      </c>
      <c r="AN4" s="852">
        <f>IF($B4="","",IFERROR(VLOOKUP($B4,'Werkschema - Rekening'!$B$2:$P$46,15,FALSE),""))</f>
        <v/>
      </c>
      <c r="AO4" s="852">
        <f>A4</f>
        <v/>
      </c>
      <c r="AP4" s="852">
        <f>B4</f>
        <v/>
      </c>
    </row>
    <row r="5" ht="15" customHeight="1">
      <c r="A5" s="830">
        <f>'Aanpassen Werkschema'!B35</f>
        <v/>
      </c>
      <c r="B5" s="569">
        <f>'Aanpassen Werkschema'!C35</f>
        <v/>
      </c>
      <c r="C5" s="569">
        <f>IF('Aanpassen Werkschema'!D35="geplande taak",1,IF('Aanpassen Werkschema'!D35="openingstijd",2,IF('Aanpassen Werkschema'!D35="sluitingstijd",3,IF('Aanpassen Werkschema'!D35="vaste tijd",4,""))))</f>
        <v/>
      </c>
      <c r="D5" s="849">
        <f>'Aanpassen Werkschema'!E35</f>
        <v/>
      </c>
      <c r="E5" s="569">
        <f>IF('Aanpassen Werkschema'!F35="v","x","")</f>
        <v/>
      </c>
      <c r="F5" s="569">
        <f>IF('Aanpassen Werkschema'!G35="v","x","")</f>
        <v/>
      </c>
      <c r="G5" s="569">
        <f>IF('Aanpassen Werkschema'!H35="v","x","")</f>
        <v/>
      </c>
      <c r="H5" s="569">
        <f>IF('Aanpassen Werkschema'!I35="v","x","")</f>
        <v/>
      </c>
      <c r="I5" s="569">
        <f>IF('Aanpassen Werkschema'!J35="v","x","")</f>
        <v/>
      </c>
      <c r="J5" s="569">
        <f>IF('Aanpassen Werkschema'!K35="v","x","")</f>
        <v/>
      </c>
      <c r="K5" s="569">
        <f>IF('Aanpassen Werkschema'!L35="v","x","")</f>
        <v/>
      </c>
      <c r="L5" s="571">
        <f>IF('Aanpassen Werkschema'!M35&gt;0,'Aanpassen Werkschema'!M35,"")</f>
        <v/>
      </c>
      <c r="M5" s="571">
        <f>IF('Aanpassen Werkschema'!N35&gt;0,'Aanpassen Werkschema'!N35,"")</f>
        <v/>
      </c>
      <c r="N5" s="571">
        <f>IF('Aanpassen Werkschema'!O35&gt;0,'Aanpassen Werkschema'!O35,"")</f>
        <v/>
      </c>
      <c r="O5" s="571">
        <f>IF('Aanpassen Werkschema'!P35&gt;0,'Aanpassen Werkschema'!P35,"")</f>
        <v/>
      </c>
      <c r="P5" s="571">
        <f>IF('Aanpassen Werkschema'!Q35&gt;0,'Aanpassen Werkschema'!Q35,"")</f>
        <v/>
      </c>
      <c r="Q5" s="571">
        <f>IF('Aanpassen Werkschema'!R35&gt;0,'Aanpassen Werkschema'!R35,"")</f>
        <v/>
      </c>
      <c r="R5" s="571">
        <f>IF('Aanpassen Werkschema'!S35&gt;0,'Aanpassen Werkschema'!S35,"")</f>
        <v/>
      </c>
      <c r="S5" s="569">
        <f>IF('Aanpassen Werkschema'!T35="x","",IF('Aanpassen Werkschema'!N35="v","x",IF(E5="","",IF(E5="x","x"))))</f>
        <v/>
      </c>
      <c r="T5" s="569">
        <f>IF('Aanpassen Werkschema'!U35="x","",IF('Aanpassen Werkschema'!O35="v","x",IF(F5="","",IF(F5="x","x"))))</f>
        <v/>
      </c>
      <c r="U5" s="569">
        <f>IF('Aanpassen Werkschema'!V35="x","",IF('Aanpassen Werkschema'!P35="v","x",IF(G5="","",IF(G5="x","x"))))</f>
        <v/>
      </c>
      <c r="V5" s="569">
        <f>IF('Aanpassen Werkschema'!W35="x","",IF('Aanpassen Werkschema'!Q35="v","x",IF(H5="","",IF(H5="x","x"))))</f>
        <v/>
      </c>
      <c r="W5" s="569">
        <f>IF('Aanpassen Werkschema'!X35="x","",IF('Aanpassen Werkschema'!R35="v","x",IF(I5="","",IF(I5="x","x"))))</f>
        <v/>
      </c>
      <c r="X5" s="569">
        <f>IF('Aanpassen Werkschema'!Y35="x","",IF('Aanpassen Werkschema'!S35="v","x",IF(J5="","",IF(J5="x","x"))))</f>
        <v/>
      </c>
      <c r="Y5" s="569">
        <f>IF('Aanpassen Werkschema'!Z35="x","",IF('Aanpassen Werkschema'!T35="v","x",IF(K5="","",IF(K5="x","x"))))</f>
        <v/>
      </c>
      <c r="Z5" s="850">
        <f>Z4+0.0000000001</f>
        <v/>
      </c>
      <c r="AA5" s="851">
        <f>IFERROR(IF(C5="",1.1,IF(S5="",1,IF($C5=1,VLOOKUP($B5,'Werkschema - Rekening'!$B$2:$C$46,2,FALSE),IF($C5=2,Instellingen!C$16,IF($C5=3,Instellingen!D$16,IF($C5=4,L5))))+$D5)+$Z5),1.1)</f>
        <v/>
      </c>
      <c r="AB5" s="852">
        <f>IF($B5="","",IFERROR(VLOOKUP($B5,'Werkschema - Rekening'!$B$2:$P$46,3,FALSE),""))</f>
        <v/>
      </c>
      <c r="AC5" s="851">
        <f>IFERROR(IF(C5="",1.1,IF(T5="",1,IF($C5=1,VLOOKUP($B5,'Werkschema - Rekening'!$B$2:$E$46,4,FALSE),IF($C5=2,Instellingen!E$16,IF($C5=3,Instellingen!F$16,IF($C5=4,M5))))+$D5)+$Z5),1.1)</f>
        <v/>
      </c>
      <c r="AD5" s="852">
        <f>IF($B5="","",IFERROR(VLOOKUP($B5,'Werkschema - Rekening'!$B$2:$P$46,5,FALSE),""))</f>
        <v/>
      </c>
      <c r="AE5" s="851">
        <f>IFERROR(IF(C5="",1.1,IF(U5="",1,IF($C5=1,VLOOKUP($B5,'Werkschema - Rekening'!$B$2:$G$46,6,FALSE),IF($C5=2,Instellingen!G$16,IF($C5=3,Instellingen!H$16,IF($C5=4,N5))))+$D5)+$Z5),1.1)</f>
        <v/>
      </c>
      <c r="AF5" s="852">
        <f>IF($B5="","",IFERROR(VLOOKUP($B5,'Werkschema - Rekening'!$B$2:$P$46,7,FALSE),""))</f>
        <v/>
      </c>
      <c r="AG5" s="851">
        <f>IFERROR(IF(C5="",1.1,IF(V5="",1,IF($C5=1,VLOOKUP($B5,'Werkschema - Rekening'!$B$2:$I$46,8,FALSE),IF($C5=2,Instellingen!I$16,IF($C5=3,Instellingen!J$16,IF($C5=4,O5))))+$D5)+$Z5),1.1)</f>
        <v/>
      </c>
      <c r="AH5" s="852">
        <f>IF($B5="","",IFERROR(VLOOKUP($B5,'Werkschema - Rekening'!$B$2:$P$46,9,FALSE),""))</f>
        <v/>
      </c>
      <c r="AI5" s="851">
        <f>IFERROR(IF(C5="",1.1,IF(W5="",1,IF($C5=1,VLOOKUP($B5,'Werkschema - Rekening'!$B$2:$K$46,10,FALSE),IF($C5=2,Instellingen!K$16,IF($C5=3,Instellingen!L$16,IF($C5=4,P5))))+$D5)+$Z5),1.1)</f>
        <v/>
      </c>
      <c r="AJ5" s="852">
        <f>IF($B5="","",IFERROR(VLOOKUP($B5,'Werkschema - Rekening'!$B$2:$P$46,11,FALSE),""))</f>
        <v/>
      </c>
      <c r="AK5" s="851">
        <f>IFERROR(IF(C5="",1.1,IF(X5="",1,IF($C5=1,VLOOKUP($B5,'Werkschema - Rekening'!$B$2:$M$46,12,FALSE),IF($C5=2,Instellingen!M$16,IF($C5=3,Instellingen!N$16,IF($C5=4,Q5))))+$D5)+$Z5),1.1)</f>
        <v/>
      </c>
      <c r="AL5" s="852">
        <f>IF($B5="","",IFERROR(VLOOKUP($B5,'Werkschema - Rekening'!$B$2:$P$46,13,FALSE),""))</f>
        <v/>
      </c>
      <c r="AM5" s="851">
        <f>IFERROR(IF(C5="",1.1,IF(Y5="",1,IF($C5=1,VLOOKUP($B5,'Werkschema - Rekening'!$B$2:$O$46,14,FALSE),IF($C5=2,Instellingen!O$16,IF($C5=3,Instellingen!P$16,IF($C5=4,R5))))+$D5)+$Z5),1.1)</f>
        <v/>
      </c>
      <c r="AN5" s="852">
        <f>IF($B5="","",IFERROR(VLOOKUP($B5,'Werkschema - Rekening'!$B$2:$P$46,15,FALSE),""))</f>
        <v/>
      </c>
      <c r="AO5" s="852">
        <f>A5</f>
        <v/>
      </c>
      <c r="AP5" s="852">
        <f>B5</f>
        <v/>
      </c>
    </row>
    <row r="6" ht="15" customHeight="1">
      <c r="A6" s="830">
        <f>'Aanpassen Werkschema'!B36</f>
        <v/>
      </c>
      <c r="B6" s="569">
        <f>'Aanpassen Werkschema'!C36</f>
        <v/>
      </c>
      <c r="C6" s="569">
        <f>IF('Aanpassen Werkschema'!D36="geplande taak",1,IF('Aanpassen Werkschema'!D36="openingstijd",2,IF('Aanpassen Werkschema'!D36="sluitingstijd",3,IF('Aanpassen Werkschema'!D36="vaste tijd",4,""))))</f>
        <v/>
      </c>
      <c r="D6" s="849">
        <f>'Aanpassen Werkschema'!E36</f>
        <v/>
      </c>
      <c r="E6" s="569">
        <f>IF('Aanpassen Werkschema'!F36="v","x","")</f>
        <v/>
      </c>
      <c r="F6" s="569">
        <f>IF('Aanpassen Werkschema'!G36="v","x","")</f>
        <v/>
      </c>
      <c r="G6" s="569">
        <f>IF('Aanpassen Werkschema'!H36="v","x","")</f>
        <v/>
      </c>
      <c r="H6" s="569">
        <f>IF('Aanpassen Werkschema'!I36="v","x","")</f>
        <v/>
      </c>
      <c r="I6" s="569">
        <f>IF('Aanpassen Werkschema'!J36="v","x","")</f>
        <v/>
      </c>
      <c r="J6" s="569">
        <f>IF('Aanpassen Werkschema'!K36="v","x","")</f>
        <v/>
      </c>
      <c r="K6" s="569">
        <f>IF('Aanpassen Werkschema'!L36="v","x","")</f>
        <v/>
      </c>
      <c r="L6" s="571">
        <f>IF('Aanpassen Werkschema'!M36&gt;0,'Aanpassen Werkschema'!M36,"")</f>
        <v/>
      </c>
      <c r="M6" s="571">
        <f>IF('Aanpassen Werkschema'!N36&gt;0,'Aanpassen Werkschema'!N36,"")</f>
        <v/>
      </c>
      <c r="N6" s="571">
        <f>IF('Aanpassen Werkschema'!O36&gt;0,'Aanpassen Werkschema'!O36,"")</f>
        <v/>
      </c>
      <c r="O6" s="571">
        <f>IF('Aanpassen Werkschema'!P36&gt;0,'Aanpassen Werkschema'!P36,"")</f>
        <v/>
      </c>
      <c r="P6" s="571">
        <f>IF('Aanpassen Werkschema'!Q36&gt;0,'Aanpassen Werkschema'!Q36,"")</f>
        <v/>
      </c>
      <c r="Q6" s="571">
        <f>IF('Aanpassen Werkschema'!R36&gt;0,'Aanpassen Werkschema'!R36,"")</f>
        <v/>
      </c>
      <c r="R6" s="571">
        <f>IF('Aanpassen Werkschema'!S36&gt;0,'Aanpassen Werkschema'!S36,"")</f>
        <v/>
      </c>
      <c r="S6" s="569">
        <f>IF('Aanpassen Werkschema'!T36="x","",IF('Aanpassen Werkschema'!N36="v","x",IF(E6="","",IF(E6="x","x"))))</f>
        <v/>
      </c>
      <c r="T6" s="569">
        <f>IF('Aanpassen Werkschema'!U36="x","",IF('Aanpassen Werkschema'!O36="v","x",IF(F6="","",IF(F6="x","x"))))</f>
        <v/>
      </c>
      <c r="U6" s="569">
        <f>IF('Aanpassen Werkschema'!V36="x","",IF('Aanpassen Werkschema'!P36="v","x",IF(G6="","",IF(G6="x","x"))))</f>
        <v/>
      </c>
      <c r="V6" s="569">
        <f>IF('Aanpassen Werkschema'!W36="x","",IF('Aanpassen Werkschema'!Q36="v","x",IF(H6="","",IF(H6="x","x"))))</f>
        <v/>
      </c>
      <c r="W6" s="569">
        <f>IF('Aanpassen Werkschema'!X36="x","",IF('Aanpassen Werkschema'!R36="v","x",IF(I6="","",IF(I6="x","x"))))</f>
        <v/>
      </c>
      <c r="X6" s="569">
        <f>IF('Aanpassen Werkschema'!Y36="x","",IF('Aanpassen Werkschema'!S36="v","x",IF(J6="","",IF(J6="x","x"))))</f>
        <v/>
      </c>
      <c r="Y6" s="569">
        <f>IF('Aanpassen Werkschema'!Z36="x","",IF('Aanpassen Werkschema'!T36="v","x",IF(K6="","",IF(K6="x","x"))))</f>
        <v/>
      </c>
      <c r="Z6" s="850">
        <f>Z5+0.0000000001</f>
        <v/>
      </c>
      <c r="AA6" s="851">
        <f>IFERROR(IF(C6="",1.1,IF(S6="",1,IF($C6=1,VLOOKUP($B6,'Werkschema - Rekening'!$B$2:$C$46,2,FALSE),IF($C6=2,Instellingen!C$16,IF($C6=3,Instellingen!D$16,IF($C6=4,L6))))+$D6)+$Z6),1.1)</f>
        <v/>
      </c>
      <c r="AB6" s="852">
        <f>IF($B6="","",IFERROR(VLOOKUP($B6,'Werkschema - Rekening'!$B$2:$P$46,3,FALSE),""))</f>
        <v/>
      </c>
      <c r="AC6" s="851">
        <f>IFERROR(IF(C6="",1.1,IF(T6="",1,IF($C6=1,VLOOKUP($B6,'Werkschema - Rekening'!$B$2:$E$46,4,FALSE),IF($C6=2,Instellingen!E$16,IF($C6=3,Instellingen!F$16,IF($C6=4,M6))))+$D6)+$Z6),1.1)</f>
        <v/>
      </c>
      <c r="AD6" s="852">
        <f>IF($B6="","",IFERROR(VLOOKUP($B6,'Werkschema - Rekening'!$B$2:$P$46,5,FALSE),""))</f>
        <v/>
      </c>
      <c r="AE6" s="851">
        <f>IFERROR(IF(C6="",1.1,IF(U6="",1,IF($C6=1,VLOOKUP($B6,'Werkschema - Rekening'!$B$2:$G$46,6,FALSE),IF($C6=2,Instellingen!G$16,IF($C6=3,Instellingen!H$16,IF($C6=4,N6))))+$D6)+$Z6),1.1)</f>
        <v/>
      </c>
      <c r="AF6" s="852">
        <f>IF($B6="","",IFERROR(VLOOKUP($B6,'Werkschema - Rekening'!$B$2:$P$46,7,FALSE),""))</f>
        <v/>
      </c>
      <c r="AG6" s="851">
        <f>IFERROR(IF(C6="",1.1,IF(V6="",1,IF($C6=1,VLOOKUP($B6,'Werkschema - Rekening'!$B$2:$I$46,8,FALSE),IF($C6=2,Instellingen!I$16,IF($C6=3,Instellingen!J$16,IF($C6=4,O6))))+$D6)+$Z6),1.1)</f>
        <v/>
      </c>
      <c r="AH6" s="852">
        <f>IF($B6="","",IFERROR(VLOOKUP($B6,'Werkschema - Rekening'!$B$2:$P$46,9,FALSE),""))</f>
        <v/>
      </c>
      <c r="AI6" s="851">
        <f>IFERROR(IF(C6="",1.1,IF(W6="",1,IF($C6=1,VLOOKUP($B6,'Werkschema - Rekening'!$B$2:$K$46,10,FALSE),IF($C6=2,Instellingen!K$16,IF($C6=3,Instellingen!L$16,IF($C6=4,P6))))+$D6)+$Z6),1.1)</f>
        <v/>
      </c>
      <c r="AJ6" s="852">
        <f>IF($B6="","",IFERROR(VLOOKUP($B6,'Werkschema - Rekening'!$B$2:$P$46,11,FALSE),""))</f>
        <v/>
      </c>
      <c r="AK6" s="851">
        <f>IFERROR(IF(C6="",1.1,IF(X6="",1,IF($C6=1,VLOOKUP($B6,'Werkschema - Rekening'!$B$2:$M$46,12,FALSE),IF($C6=2,Instellingen!M$16,IF($C6=3,Instellingen!N$16,IF($C6=4,Q6))))+$D6)+$Z6),1.1)</f>
        <v/>
      </c>
      <c r="AL6" s="852">
        <f>IF($B6="","",IFERROR(VLOOKUP($B6,'Werkschema - Rekening'!$B$2:$P$46,13,FALSE),""))</f>
        <v/>
      </c>
      <c r="AM6" s="851">
        <f>IFERROR(IF(C6="",1.1,IF(Y6="",1,IF($C6=1,VLOOKUP($B6,'Werkschema - Rekening'!$B$2:$O$46,14,FALSE),IF($C6=2,Instellingen!O$16,IF($C6=3,Instellingen!P$16,IF($C6=4,R6))))+$D6)+$Z6),1.1)</f>
        <v/>
      </c>
      <c r="AN6" s="852">
        <f>IF($B6="","",IFERROR(VLOOKUP($B6,'Werkschema - Rekening'!$B$2:$P$46,15,FALSE),""))</f>
        <v/>
      </c>
      <c r="AO6" s="852">
        <f>A6</f>
        <v/>
      </c>
      <c r="AP6" s="852">
        <f>B6</f>
        <v/>
      </c>
    </row>
    <row r="7" ht="15" customHeight="1">
      <c r="A7" s="830">
        <f>'Aanpassen Werkschema'!B37</f>
        <v/>
      </c>
      <c r="B7" s="569">
        <f>'Aanpassen Werkschema'!C37</f>
        <v/>
      </c>
      <c r="C7" s="569">
        <f>IF('Aanpassen Werkschema'!D37="geplande taak",1,IF('Aanpassen Werkschema'!D37="openingstijd",2,IF('Aanpassen Werkschema'!D37="sluitingstijd",3,IF('Aanpassen Werkschema'!D37="vaste tijd",4,""))))</f>
        <v/>
      </c>
      <c r="D7" s="849">
        <f>'Aanpassen Werkschema'!E37</f>
        <v/>
      </c>
      <c r="E7" s="569">
        <f>IF('Aanpassen Werkschema'!F37="v","x","")</f>
        <v/>
      </c>
      <c r="F7" s="569">
        <f>IF('Aanpassen Werkschema'!G37="v","x","")</f>
        <v/>
      </c>
      <c r="G7" s="569">
        <f>IF('Aanpassen Werkschema'!H37="v","x","")</f>
        <v/>
      </c>
      <c r="H7" s="569">
        <f>IF('Aanpassen Werkschema'!I37="v","x","")</f>
        <v/>
      </c>
      <c r="I7" s="569">
        <f>IF('Aanpassen Werkschema'!J37="v","x","")</f>
        <v/>
      </c>
      <c r="J7" s="569">
        <f>IF('Aanpassen Werkschema'!K37="v","x","")</f>
        <v/>
      </c>
      <c r="K7" s="569">
        <f>IF('Aanpassen Werkschema'!L37="v","x","")</f>
        <v/>
      </c>
      <c r="L7" s="571">
        <f>IF('Aanpassen Werkschema'!M37&gt;0,'Aanpassen Werkschema'!M37,"")</f>
        <v/>
      </c>
      <c r="M7" s="571">
        <f>IF('Aanpassen Werkschema'!N37&gt;0,'Aanpassen Werkschema'!N37,"")</f>
        <v/>
      </c>
      <c r="N7" s="571">
        <f>IF('Aanpassen Werkschema'!O37&gt;0,'Aanpassen Werkschema'!O37,"")</f>
        <v/>
      </c>
      <c r="O7" s="571">
        <f>IF('Aanpassen Werkschema'!P37&gt;0,'Aanpassen Werkschema'!P37,"")</f>
        <v/>
      </c>
      <c r="P7" s="571">
        <f>IF('Aanpassen Werkschema'!Q37&gt;0,'Aanpassen Werkschema'!Q37,"")</f>
        <v/>
      </c>
      <c r="Q7" s="571">
        <f>IF('Aanpassen Werkschema'!R37&gt;0,'Aanpassen Werkschema'!R37,"")</f>
        <v/>
      </c>
      <c r="R7" s="571">
        <f>IF('Aanpassen Werkschema'!S37&gt;0,'Aanpassen Werkschema'!S37,"")</f>
        <v/>
      </c>
      <c r="S7" s="569">
        <f>IF('Aanpassen Werkschema'!T37="x","",IF('Aanpassen Werkschema'!N37="v","x",IF(E7="","",IF(E7="x","x"))))</f>
        <v/>
      </c>
      <c r="T7" s="569">
        <f>IF('Aanpassen Werkschema'!U37="x","",IF('Aanpassen Werkschema'!O37="v","x",IF(F7="","",IF(F7="x","x"))))</f>
        <v/>
      </c>
      <c r="U7" s="569">
        <f>IF('Aanpassen Werkschema'!V37="x","",IF('Aanpassen Werkschema'!P37="v","x",IF(G7="","",IF(G7="x","x"))))</f>
        <v/>
      </c>
      <c r="V7" s="569">
        <f>IF('Aanpassen Werkschema'!W37="x","",IF('Aanpassen Werkschema'!Q37="v","x",IF(H7="","",IF(H7="x","x"))))</f>
        <v/>
      </c>
      <c r="W7" s="569">
        <f>IF('Aanpassen Werkschema'!X37="x","",IF('Aanpassen Werkschema'!R37="v","x",IF(I7="","",IF(I7="x","x"))))</f>
        <v/>
      </c>
      <c r="X7" s="569">
        <f>IF('Aanpassen Werkschema'!Y37="x","",IF('Aanpassen Werkschema'!S37="v","x",IF(J7="","",IF(J7="x","x"))))</f>
        <v/>
      </c>
      <c r="Y7" s="569">
        <f>IF('Aanpassen Werkschema'!Z37="x","",IF('Aanpassen Werkschema'!T37="v","x",IF(K7="","",IF(K7="x","x"))))</f>
        <v/>
      </c>
      <c r="Z7" s="850">
        <f>Z6+0.0000000001</f>
        <v/>
      </c>
      <c r="AA7" s="851">
        <f>IFERROR(IF(C7="",1.1,IF(S7="",1,IF($C7=1,VLOOKUP($B7,'Werkschema - Rekening'!$B$2:$C$46,2,FALSE),IF($C7=2,Instellingen!C$16,IF($C7=3,Instellingen!D$16,IF($C7=4,L7))))+$D7)+$Z7),1.1)</f>
        <v/>
      </c>
      <c r="AB7" s="852">
        <f>IF($B7="","",IFERROR(VLOOKUP($B7,'Werkschema - Rekening'!$B$2:$P$46,3,FALSE),""))</f>
        <v/>
      </c>
      <c r="AC7" s="851">
        <f>IFERROR(IF(C7="",1.1,IF(T7="",1,IF($C7=1,VLOOKUP($B7,'Werkschema - Rekening'!$B$2:$E$46,4,FALSE),IF($C7=2,Instellingen!E$16,IF($C7=3,Instellingen!F$16,IF($C7=4,M7))))+$D7)+$Z7),1.1)</f>
        <v/>
      </c>
      <c r="AD7" s="852">
        <f>IF($B7="","",IFERROR(VLOOKUP($B7,'Werkschema - Rekening'!$B$2:$P$46,5,FALSE),""))</f>
        <v/>
      </c>
      <c r="AE7" s="851">
        <f>IFERROR(IF(C7="",1.1,IF(U7="",1,IF($C7=1,VLOOKUP($B7,'Werkschema - Rekening'!$B$2:$G$46,6,FALSE),IF($C7=2,Instellingen!G$16,IF($C7=3,Instellingen!H$16,IF($C7=4,N7))))+$D7)+$Z7),1.1)</f>
        <v/>
      </c>
      <c r="AF7" s="852">
        <f>IF($B7="","",IFERROR(VLOOKUP($B7,'Werkschema - Rekening'!$B$2:$P$46,7,FALSE),""))</f>
        <v/>
      </c>
      <c r="AG7" s="851">
        <f>IFERROR(IF(C7="",1.1,IF(V7="",1,IF($C7=1,VLOOKUP($B7,'Werkschema - Rekening'!$B$2:$I$46,8,FALSE),IF($C7=2,Instellingen!I$16,IF($C7=3,Instellingen!J$16,IF($C7=4,O7))))+$D7)+$Z7),1.1)</f>
        <v/>
      </c>
      <c r="AH7" s="852">
        <f>IF($B7="","",IFERROR(VLOOKUP($B7,'Werkschema - Rekening'!$B$2:$P$46,9,FALSE),""))</f>
        <v/>
      </c>
      <c r="AI7" s="851">
        <f>IFERROR(IF(C7="",1.1,IF(W7="",1,IF($C7=1,VLOOKUP($B7,'Werkschema - Rekening'!$B$2:$K$46,10,FALSE),IF($C7=2,Instellingen!K$16,IF($C7=3,Instellingen!L$16,IF($C7=4,P7))))+$D7)+$Z7),1.1)</f>
        <v/>
      </c>
      <c r="AJ7" s="852">
        <f>IF($B7="","",IFERROR(VLOOKUP($B7,'Werkschema - Rekening'!$B$2:$P$46,11,FALSE),""))</f>
        <v/>
      </c>
      <c r="AK7" s="851">
        <f>IFERROR(IF(C7="",1.1,IF(X7="",1,IF($C7=1,VLOOKUP($B7,'Werkschema - Rekening'!$B$2:$M$46,12,FALSE),IF($C7=2,Instellingen!M$16,IF($C7=3,Instellingen!N$16,IF($C7=4,Q7))))+$D7)+$Z7),1.1)</f>
        <v/>
      </c>
      <c r="AL7" s="852">
        <f>IF($B7="","",IFERROR(VLOOKUP($B7,'Werkschema - Rekening'!$B$2:$P$46,13,FALSE),""))</f>
        <v/>
      </c>
      <c r="AM7" s="851">
        <f>IFERROR(IF(C7="",1.1,IF(Y7="",1,IF($C7=1,VLOOKUP($B7,'Werkschema - Rekening'!$B$2:$O$46,14,FALSE),IF($C7=2,Instellingen!O$16,IF($C7=3,Instellingen!P$16,IF($C7=4,R7))))+$D7)+$Z7),1.1)</f>
        <v/>
      </c>
      <c r="AN7" s="852">
        <f>IF($B7="","",IFERROR(VLOOKUP($B7,'Werkschema - Rekening'!$B$2:$P$46,15,FALSE),""))</f>
        <v/>
      </c>
      <c r="AO7" s="852">
        <f>A7</f>
        <v/>
      </c>
      <c r="AP7" s="852">
        <f>B7</f>
        <v/>
      </c>
    </row>
    <row r="8" ht="15" customHeight="1">
      <c r="A8" s="830">
        <f>'Aanpassen Werkschema'!B38</f>
        <v/>
      </c>
      <c r="B8" s="569">
        <f>'Aanpassen Werkschema'!C38</f>
        <v/>
      </c>
      <c r="C8" s="569">
        <f>IF('Aanpassen Werkschema'!D38="geplande taak",1,IF('Aanpassen Werkschema'!D38="openingstijd",2,IF('Aanpassen Werkschema'!D38="sluitingstijd",3,IF('Aanpassen Werkschema'!D38="vaste tijd",4,""))))</f>
        <v/>
      </c>
      <c r="D8" s="849">
        <f>'Aanpassen Werkschema'!E38</f>
        <v/>
      </c>
      <c r="E8" s="569">
        <f>IF('Aanpassen Werkschema'!F38="v","x","")</f>
        <v/>
      </c>
      <c r="F8" s="569">
        <f>IF('Aanpassen Werkschema'!G38="v","x","")</f>
        <v/>
      </c>
      <c r="G8" s="569">
        <f>IF('Aanpassen Werkschema'!H38="v","x","")</f>
        <v/>
      </c>
      <c r="H8" s="569">
        <f>IF('Aanpassen Werkschema'!I38="v","x","")</f>
        <v/>
      </c>
      <c r="I8" s="569">
        <f>IF('Aanpassen Werkschema'!J38="v","x","")</f>
        <v/>
      </c>
      <c r="J8" s="569">
        <f>IF('Aanpassen Werkschema'!K38="v","x","")</f>
        <v/>
      </c>
      <c r="K8" s="569">
        <f>IF('Aanpassen Werkschema'!L38="v","x","")</f>
        <v/>
      </c>
      <c r="L8" s="571">
        <f>IF('Aanpassen Werkschema'!M38&gt;0,'Aanpassen Werkschema'!M38,"")</f>
        <v/>
      </c>
      <c r="M8" s="571">
        <f>IF('Aanpassen Werkschema'!N38&gt;0,'Aanpassen Werkschema'!N38,"")</f>
        <v/>
      </c>
      <c r="N8" s="571">
        <f>IF('Aanpassen Werkschema'!O38&gt;0,'Aanpassen Werkschema'!O38,"")</f>
        <v/>
      </c>
      <c r="O8" s="571">
        <f>IF('Aanpassen Werkschema'!P38&gt;0,'Aanpassen Werkschema'!P38,"")</f>
        <v/>
      </c>
      <c r="P8" s="571">
        <f>IF('Aanpassen Werkschema'!Q38&gt;0,'Aanpassen Werkschema'!Q38,"")</f>
        <v/>
      </c>
      <c r="Q8" s="571">
        <f>IF('Aanpassen Werkschema'!R38&gt;0,'Aanpassen Werkschema'!R38,"")</f>
        <v/>
      </c>
      <c r="R8" s="571">
        <f>IF('Aanpassen Werkschema'!S38&gt;0,'Aanpassen Werkschema'!S38,"")</f>
        <v/>
      </c>
      <c r="S8" s="569">
        <f>IF('Aanpassen Werkschema'!T38="x","",IF('Aanpassen Werkschema'!N38="v","x",IF(E8="","",IF(E8="x","x"))))</f>
        <v/>
      </c>
      <c r="T8" s="569">
        <f>IF('Aanpassen Werkschema'!U38="x","",IF('Aanpassen Werkschema'!O38="v","x",IF(F8="","",IF(F8="x","x"))))</f>
        <v/>
      </c>
      <c r="U8" s="569">
        <f>IF('Aanpassen Werkschema'!V38="x","",IF('Aanpassen Werkschema'!P38="v","x",IF(G8="","",IF(G8="x","x"))))</f>
        <v/>
      </c>
      <c r="V8" s="569">
        <f>IF('Aanpassen Werkschema'!W38="x","",IF('Aanpassen Werkschema'!Q38="v","x",IF(H8="","",IF(H8="x","x"))))</f>
        <v/>
      </c>
      <c r="W8" s="569">
        <f>IF('Aanpassen Werkschema'!X38="x","",IF('Aanpassen Werkschema'!R38="v","x",IF(I8="","",IF(I8="x","x"))))</f>
        <v/>
      </c>
      <c r="X8" s="569">
        <f>IF('Aanpassen Werkschema'!Y38="x","",IF('Aanpassen Werkschema'!S38="v","x",IF(J8="","",IF(J8="x","x"))))</f>
        <v/>
      </c>
      <c r="Y8" s="569">
        <f>IF('Aanpassen Werkschema'!Z38="x","",IF('Aanpassen Werkschema'!T38="v","x",IF(K8="","",IF(K8="x","x"))))</f>
        <v/>
      </c>
      <c r="Z8" s="850">
        <f>Z7+0.0000000001</f>
        <v/>
      </c>
      <c r="AA8" s="851">
        <f>IFERROR(IF(C8="",1.1,IF(S8="",1,IF($C8=1,VLOOKUP($B8,'Werkschema - Rekening'!$B$2:$C$46,2,FALSE),IF($C8=2,Instellingen!C$16,IF($C8=3,Instellingen!D$16,IF($C8=4,L8))))+$D8)+$Z8),1.1)</f>
        <v/>
      </c>
      <c r="AB8" s="852">
        <f>IF($B8="","",IFERROR(VLOOKUP($B8,'Werkschema - Rekening'!$B$2:$P$46,3,FALSE),""))</f>
        <v/>
      </c>
      <c r="AC8" s="851">
        <f>IFERROR(IF(C8="",1.1,IF(T8="",1,IF($C8=1,VLOOKUP($B8,'Werkschema - Rekening'!$B$2:$E$46,4,FALSE),IF($C8=2,Instellingen!E$16,IF($C8=3,Instellingen!F$16,IF($C8=4,M8))))+$D8)+$Z8),1.1)</f>
        <v/>
      </c>
      <c r="AD8" s="852">
        <f>IF($B8="","",IFERROR(VLOOKUP($B8,'Werkschema - Rekening'!$B$2:$P$46,5,FALSE),""))</f>
        <v/>
      </c>
      <c r="AE8" s="851">
        <f>IFERROR(IF(C8="",1.1,IF(U8="",1,IF($C8=1,VLOOKUP($B8,'Werkschema - Rekening'!$B$2:$G$46,6,FALSE),IF($C8=2,Instellingen!G$16,IF($C8=3,Instellingen!H$16,IF($C8=4,N8))))+$D8)+$Z8),1.1)</f>
        <v/>
      </c>
      <c r="AF8" s="852">
        <f>IF($B8="","",IFERROR(VLOOKUP($B8,'Werkschema - Rekening'!$B$2:$P$46,7,FALSE),""))</f>
        <v/>
      </c>
      <c r="AG8" s="851">
        <f>IFERROR(IF(C8="",1.1,IF(V8="",1,IF($C8=1,VLOOKUP($B8,'Werkschema - Rekening'!$B$2:$I$46,8,FALSE),IF($C8=2,Instellingen!I$16,IF($C8=3,Instellingen!J$16,IF($C8=4,O8))))+$D8)+$Z8),1.1)</f>
        <v/>
      </c>
      <c r="AH8" s="852">
        <f>IF($B8="","",IFERROR(VLOOKUP($B8,'Werkschema - Rekening'!$B$2:$P$46,9,FALSE),""))</f>
        <v/>
      </c>
      <c r="AI8" s="851">
        <f>IFERROR(IF(C8="",1.1,IF(W8="",1,IF($C8=1,VLOOKUP($B8,'Werkschema - Rekening'!$B$2:$K$46,10,FALSE),IF($C8=2,Instellingen!K$16,IF($C8=3,Instellingen!L$16,IF($C8=4,P8))))+$D8)+$Z8),1.1)</f>
        <v/>
      </c>
      <c r="AJ8" s="852">
        <f>IF($B8="","",IFERROR(VLOOKUP($B8,'Werkschema - Rekening'!$B$2:$P$46,11,FALSE),""))</f>
        <v/>
      </c>
      <c r="AK8" s="851">
        <f>IFERROR(IF(C8="",1.1,IF(X8="",1,IF($C8=1,VLOOKUP($B8,'Werkschema - Rekening'!$B$2:$M$46,12,FALSE),IF($C8=2,Instellingen!M$16,IF($C8=3,Instellingen!N$16,IF($C8=4,Q8))))+$D8)+$Z8),1.1)</f>
        <v/>
      </c>
      <c r="AL8" s="852">
        <f>IF($B8="","",IFERROR(VLOOKUP($B8,'Werkschema - Rekening'!$B$2:$P$46,13,FALSE),""))</f>
        <v/>
      </c>
      <c r="AM8" s="851">
        <f>IFERROR(IF(C8="",1.1,IF(Y8="",1,IF($C8=1,VLOOKUP($B8,'Werkschema - Rekening'!$B$2:$O$46,14,FALSE),IF($C8=2,Instellingen!O$16,IF($C8=3,Instellingen!P$16,IF($C8=4,R8))))+$D8)+$Z8),1.1)</f>
        <v/>
      </c>
      <c r="AN8" s="852">
        <f>IF($B8="","",IFERROR(VLOOKUP($B8,'Werkschema - Rekening'!$B$2:$P$46,15,FALSE),""))</f>
        <v/>
      </c>
      <c r="AO8" s="852">
        <f>A8</f>
        <v/>
      </c>
      <c r="AP8" s="852">
        <f>B8</f>
        <v/>
      </c>
    </row>
    <row r="9" ht="15" customHeight="1">
      <c r="A9" s="830">
        <f>'Aanpassen Werkschema'!B39</f>
        <v/>
      </c>
      <c r="B9" s="569">
        <f>'Aanpassen Werkschema'!C39</f>
        <v/>
      </c>
      <c r="C9" s="569">
        <f>IF('Aanpassen Werkschema'!D39="geplande taak",1,IF('Aanpassen Werkschema'!D39="openingstijd",2,IF('Aanpassen Werkschema'!D39="sluitingstijd",3,IF('Aanpassen Werkschema'!D39="vaste tijd",4,""))))</f>
        <v/>
      </c>
      <c r="D9" s="849">
        <f>'Aanpassen Werkschema'!E39</f>
        <v/>
      </c>
      <c r="E9" s="569">
        <f>IF('Aanpassen Werkschema'!F39="v","x","")</f>
        <v/>
      </c>
      <c r="F9" s="569">
        <f>IF('Aanpassen Werkschema'!G39="v","x","")</f>
        <v/>
      </c>
      <c r="G9" s="569">
        <f>IF('Aanpassen Werkschema'!H39="v","x","")</f>
        <v/>
      </c>
      <c r="H9" s="569">
        <f>IF('Aanpassen Werkschema'!I39="v","x","")</f>
        <v/>
      </c>
      <c r="I9" s="569">
        <f>IF('Aanpassen Werkschema'!J39="v","x","")</f>
        <v/>
      </c>
      <c r="J9" s="569">
        <f>IF('Aanpassen Werkschema'!K39="v","x","")</f>
        <v/>
      </c>
      <c r="K9" s="569">
        <f>IF('Aanpassen Werkschema'!L39="v","x","")</f>
        <v/>
      </c>
      <c r="L9" s="571">
        <f>IF('Aanpassen Werkschema'!M39&gt;0,'Aanpassen Werkschema'!M39,"")</f>
        <v/>
      </c>
      <c r="M9" s="571">
        <f>IF('Aanpassen Werkschema'!N39&gt;0,'Aanpassen Werkschema'!N39,"")</f>
        <v/>
      </c>
      <c r="N9" s="571">
        <f>IF('Aanpassen Werkschema'!O39&gt;0,'Aanpassen Werkschema'!O39,"")</f>
        <v/>
      </c>
      <c r="O9" s="571">
        <f>IF('Aanpassen Werkschema'!P39&gt;0,'Aanpassen Werkschema'!P39,"")</f>
        <v/>
      </c>
      <c r="P9" s="571">
        <f>IF('Aanpassen Werkschema'!Q39&gt;0,'Aanpassen Werkschema'!Q39,"")</f>
        <v/>
      </c>
      <c r="Q9" s="571">
        <f>IF('Aanpassen Werkschema'!R39&gt;0,'Aanpassen Werkschema'!R39,"")</f>
        <v/>
      </c>
      <c r="R9" s="571">
        <f>IF('Aanpassen Werkschema'!S39&gt;0,'Aanpassen Werkschema'!S39,"")</f>
        <v/>
      </c>
      <c r="S9" s="569">
        <f>IF('Aanpassen Werkschema'!T39="x","",IF('Aanpassen Werkschema'!N39="v","x",IF(E9="","",IF(E9="x","x"))))</f>
        <v/>
      </c>
      <c r="T9" s="569">
        <f>IF('Aanpassen Werkschema'!U39="x","",IF('Aanpassen Werkschema'!O39="v","x",IF(F9="","",IF(F9="x","x"))))</f>
        <v/>
      </c>
      <c r="U9" s="569">
        <f>IF('Aanpassen Werkschema'!V39="x","",IF('Aanpassen Werkschema'!P39="v","x",IF(G9="","",IF(G9="x","x"))))</f>
        <v/>
      </c>
      <c r="V9" s="569">
        <f>IF('Aanpassen Werkschema'!W39="x","",IF('Aanpassen Werkschema'!Q39="v","x",IF(H9="","",IF(H9="x","x"))))</f>
        <v/>
      </c>
      <c r="W9" s="569">
        <f>IF('Aanpassen Werkschema'!X39="x","",IF('Aanpassen Werkschema'!R39="v","x",IF(I9="","",IF(I9="x","x"))))</f>
        <v/>
      </c>
      <c r="X9" s="569">
        <f>IF('Aanpassen Werkschema'!Y39="x","",IF('Aanpassen Werkschema'!S39="v","x",IF(J9="","",IF(J9="x","x"))))</f>
        <v/>
      </c>
      <c r="Y9" s="569">
        <f>IF('Aanpassen Werkschema'!Z39="x","",IF('Aanpassen Werkschema'!T39="v","x",IF(K9="","",IF(K9="x","x"))))</f>
        <v/>
      </c>
      <c r="Z9" s="850">
        <f>Z8+0.0000000001</f>
        <v/>
      </c>
      <c r="AA9" s="851">
        <f>IFERROR(IF(C9="",1.1,IF(S9="",1,IF($C9=1,VLOOKUP($B9,'Werkschema - Rekening'!$B$2:$C$46,2,FALSE),IF($C9=2,Instellingen!C$16,IF($C9=3,Instellingen!D$16,IF($C9=4,L9))))+$D9)+$Z9),1.1)</f>
        <v/>
      </c>
      <c r="AB9" s="852">
        <f>IF($B9="","",IFERROR(VLOOKUP($B9,'Werkschema - Rekening'!$B$2:$P$46,3,FALSE),""))</f>
        <v/>
      </c>
      <c r="AC9" s="851">
        <f>IFERROR(IF(C9="",1.1,IF(T9="",1,IF($C9=1,VLOOKUP($B9,'Werkschema - Rekening'!$B$2:$E$46,4,FALSE),IF($C9=2,Instellingen!E$16,IF($C9=3,Instellingen!F$16,IF($C9=4,M9))))+$D9)+$Z9),1.1)</f>
        <v/>
      </c>
      <c r="AD9" s="852">
        <f>IF($B9="","",IFERROR(VLOOKUP($B9,'Werkschema - Rekening'!$B$2:$P$46,5,FALSE),""))</f>
        <v/>
      </c>
      <c r="AE9" s="851">
        <f>IFERROR(IF(C9="",1.1,IF(U9="",1,IF($C9=1,VLOOKUP($B9,'Werkschema - Rekening'!$B$2:$G$46,6,FALSE),IF($C9=2,Instellingen!G$16,IF($C9=3,Instellingen!H$16,IF($C9=4,N9))))+$D9)+$Z9),1.1)</f>
        <v/>
      </c>
      <c r="AF9" s="852">
        <f>IF($B9="","",IFERROR(VLOOKUP($B9,'Werkschema - Rekening'!$B$2:$P$46,7,FALSE),""))</f>
        <v/>
      </c>
      <c r="AG9" s="851">
        <f>IFERROR(IF(C9="",1.1,IF(V9="",1,IF($C9=1,VLOOKUP($B9,'Werkschema - Rekening'!$B$2:$I$46,8,FALSE),IF($C9=2,Instellingen!I$16,IF($C9=3,Instellingen!J$16,IF($C9=4,O9))))+$D9)+$Z9),1.1)</f>
        <v/>
      </c>
      <c r="AH9" s="852">
        <f>IF($B9="","",IFERROR(VLOOKUP($B9,'Werkschema - Rekening'!$B$2:$P$46,9,FALSE),""))</f>
        <v/>
      </c>
      <c r="AI9" s="851">
        <f>IFERROR(IF(C9="",1.1,IF(W9="",1,IF($C9=1,VLOOKUP($B9,'Werkschema - Rekening'!$B$2:$K$46,10,FALSE),IF($C9=2,Instellingen!K$16,IF($C9=3,Instellingen!L$16,IF($C9=4,P9))))+$D9)+$Z9),1.1)</f>
        <v/>
      </c>
      <c r="AJ9" s="852">
        <f>IF($B9="","",IFERROR(VLOOKUP($B9,'Werkschema - Rekening'!$B$2:$P$46,11,FALSE),""))</f>
        <v/>
      </c>
      <c r="AK9" s="851">
        <f>IFERROR(IF(C9="",1.1,IF(X9="",1,IF($C9=1,VLOOKUP($B9,'Werkschema - Rekening'!$B$2:$M$46,12,FALSE),IF($C9=2,Instellingen!M$16,IF($C9=3,Instellingen!N$16,IF($C9=4,Q9))))+$D9)+$Z9),1.1)</f>
        <v/>
      </c>
      <c r="AL9" s="852">
        <f>IF($B9="","",IFERROR(VLOOKUP($B9,'Werkschema - Rekening'!$B$2:$P$46,13,FALSE),""))</f>
        <v/>
      </c>
      <c r="AM9" s="851">
        <f>IFERROR(IF(C9="",1.1,IF(Y9="",1,IF($C9=1,VLOOKUP($B9,'Werkschema - Rekening'!$B$2:$O$46,14,FALSE),IF($C9=2,Instellingen!O$16,IF($C9=3,Instellingen!P$16,IF($C9=4,R9))))+$D9)+$Z9),1.1)</f>
        <v/>
      </c>
      <c r="AN9" s="852">
        <f>IF($B9="","",IFERROR(VLOOKUP($B9,'Werkschema - Rekening'!$B$2:$P$46,15,FALSE),""))</f>
        <v/>
      </c>
      <c r="AO9" s="852">
        <f>A9</f>
        <v/>
      </c>
      <c r="AP9" s="852">
        <f>B9</f>
        <v/>
      </c>
    </row>
    <row r="10" ht="15" customHeight="1">
      <c r="A10" s="830">
        <f>'Aanpassen Werkschema'!B40</f>
        <v/>
      </c>
      <c r="B10" s="569">
        <f>'Aanpassen Werkschema'!C40</f>
        <v/>
      </c>
      <c r="C10" s="569">
        <f>IF('Aanpassen Werkschema'!D40="geplande taak",1,IF('Aanpassen Werkschema'!D40="openingstijd",2,IF('Aanpassen Werkschema'!D40="sluitingstijd",3,IF('Aanpassen Werkschema'!D40="vaste tijd",4,""))))</f>
        <v/>
      </c>
      <c r="D10" s="849">
        <f>'Aanpassen Werkschema'!E40</f>
        <v/>
      </c>
      <c r="E10" s="569">
        <f>IF('Aanpassen Werkschema'!F40="v","x","")</f>
        <v/>
      </c>
      <c r="F10" s="569">
        <f>IF('Aanpassen Werkschema'!G40="v","x","")</f>
        <v/>
      </c>
      <c r="G10" s="569">
        <f>IF('Aanpassen Werkschema'!H40="v","x","")</f>
        <v/>
      </c>
      <c r="H10" s="569">
        <f>IF('Aanpassen Werkschema'!I40="v","x","")</f>
        <v/>
      </c>
      <c r="I10" s="569">
        <f>IF('Aanpassen Werkschema'!J40="v","x","")</f>
        <v/>
      </c>
      <c r="J10" s="569">
        <f>IF('Aanpassen Werkschema'!K40="v","x","")</f>
        <v/>
      </c>
      <c r="K10" s="569">
        <f>IF('Aanpassen Werkschema'!L40="v","x","")</f>
        <v/>
      </c>
      <c r="L10" s="571">
        <f>IF('Aanpassen Werkschema'!M40&gt;0,'Aanpassen Werkschema'!M40,"")</f>
        <v/>
      </c>
      <c r="M10" s="571">
        <f>IF('Aanpassen Werkschema'!N40&gt;0,'Aanpassen Werkschema'!N40,"")</f>
        <v/>
      </c>
      <c r="N10" s="571">
        <f>IF('Aanpassen Werkschema'!O40&gt;0,'Aanpassen Werkschema'!O40,"")</f>
        <v/>
      </c>
      <c r="O10" s="571">
        <f>IF('Aanpassen Werkschema'!P40&gt;0,'Aanpassen Werkschema'!P40,"")</f>
        <v/>
      </c>
      <c r="P10" s="571">
        <f>IF('Aanpassen Werkschema'!Q40&gt;0,'Aanpassen Werkschema'!Q40,"")</f>
        <v/>
      </c>
      <c r="Q10" s="571">
        <f>IF('Aanpassen Werkschema'!R40&gt;0,'Aanpassen Werkschema'!R40,"")</f>
        <v/>
      </c>
      <c r="R10" s="571">
        <f>IF('Aanpassen Werkschema'!S40&gt;0,'Aanpassen Werkschema'!S40,"")</f>
        <v/>
      </c>
      <c r="S10" s="569">
        <f>IF('Aanpassen Werkschema'!T40="x","",IF('Aanpassen Werkschema'!N40="v","x",IF(E10="","",IF(E10="x","x"))))</f>
        <v/>
      </c>
      <c r="T10" s="569">
        <f>IF('Aanpassen Werkschema'!U40="x","",IF('Aanpassen Werkschema'!O40="v","x",IF(F10="","",IF(F10="x","x"))))</f>
        <v/>
      </c>
      <c r="U10" s="569">
        <f>IF('Aanpassen Werkschema'!V40="x","",IF('Aanpassen Werkschema'!P40="v","x",IF(G10="","",IF(G10="x","x"))))</f>
        <v/>
      </c>
      <c r="V10" s="569">
        <f>IF('Aanpassen Werkschema'!W40="x","",IF('Aanpassen Werkschema'!Q40="v","x",IF(H10="","",IF(H10="x","x"))))</f>
        <v/>
      </c>
      <c r="W10" s="569">
        <f>IF('Aanpassen Werkschema'!X40="x","",IF('Aanpassen Werkschema'!R40="v","x",IF(I10="","",IF(I10="x","x"))))</f>
        <v/>
      </c>
      <c r="X10" s="569">
        <f>IF('Aanpassen Werkschema'!Y40="x","",IF('Aanpassen Werkschema'!S40="v","x",IF(J10="","",IF(J10="x","x"))))</f>
        <v/>
      </c>
      <c r="Y10" s="569">
        <f>IF('Aanpassen Werkschema'!Z40="x","",IF('Aanpassen Werkschema'!T40="v","x",IF(K10="","",IF(K10="x","x"))))</f>
        <v/>
      </c>
      <c r="Z10" s="850">
        <f>Z9+0.0000000001</f>
        <v/>
      </c>
      <c r="AA10" s="851">
        <f>IFERROR(IF(C10="",1.1,IF(S10="",1,IF($C10=1,VLOOKUP($B10,'Werkschema - Rekening'!$B$2:$C$46,2,FALSE),IF($C10=2,Instellingen!C$16,IF($C10=3,Instellingen!D$16,IF($C10=4,L10))))+$D10)+$Z10),1.1)</f>
        <v/>
      </c>
      <c r="AB10" s="852">
        <f>IF($B10="","",IFERROR(VLOOKUP($B10,'Werkschema - Rekening'!$B$2:$P$46,3,FALSE),""))</f>
        <v/>
      </c>
      <c r="AC10" s="851">
        <f>IFERROR(IF(C10="",1.1,IF(T10="",1,IF($C10=1,VLOOKUP($B10,'Werkschema - Rekening'!$B$2:$E$46,4,FALSE),IF($C10=2,Instellingen!E$16,IF($C10=3,Instellingen!F$16,IF($C10=4,M10))))+$D10)+$Z10),1.1)</f>
        <v/>
      </c>
      <c r="AD10" s="852">
        <f>IF($B10="","",IFERROR(VLOOKUP($B10,'Werkschema - Rekening'!$B$2:$P$46,5,FALSE),""))</f>
        <v/>
      </c>
      <c r="AE10" s="851">
        <f>IFERROR(IF(C10="",1.1,IF(U10="",1,IF($C10=1,VLOOKUP($B10,'Werkschema - Rekening'!$B$2:$G$46,6,FALSE),IF($C10=2,Instellingen!G$16,IF($C10=3,Instellingen!H$16,IF($C10=4,N10))))+$D10)+$Z10),1.1)</f>
        <v/>
      </c>
      <c r="AF10" s="852">
        <f>IF($B10="","",IFERROR(VLOOKUP($B10,'Werkschema - Rekening'!$B$2:$P$46,7,FALSE),""))</f>
        <v/>
      </c>
      <c r="AG10" s="851">
        <f>IFERROR(IF(C10="",1.1,IF(V10="",1,IF($C10=1,VLOOKUP($B10,'Werkschema - Rekening'!$B$2:$I$46,8,FALSE),IF($C10=2,Instellingen!I$16,IF($C10=3,Instellingen!J$16,IF($C10=4,O10))))+$D10)+$Z10),1.1)</f>
        <v/>
      </c>
      <c r="AH10" s="852">
        <f>IF($B10="","",IFERROR(VLOOKUP($B10,'Werkschema - Rekening'!$B$2:$P$46,9,FALSE),""))</f>
        <v/>
      </c>
      <c r="AI10" s="851">
        <f>IFERROR(IF(C10="",1.1,IF(W10="",1,IF($C10=1,VLOOKUP($B10,'Werkschema - Rekening'!$B$2:$K$46,10,FALSE),IF($C10=2,Instellingen!K$16,IF($C10=3,Instellingen!L$16,IF($C10=4,P10))))+$D10)+$Z10),1.1)</f>
        <v/>
      </c>
      <c r="AJ10" s="852">
        <f>IF($B10="","",IFERROR(VLOOKUP($B10,'Werkschema - Rekening'!$B$2:$P$46,11,FALSE),""))</f>
        <v/>
      </c>
      <c r="AK10" s="851">
        <f>IFERROR(IF(C10="",1.1,IF(X10="",1,IF($C10=1,VLOOKUP($B10,'Werkschema - Rekening'!$B$2:$M$46,12,FALSE),IF($C10=2,Instellingen!M$16,IF($C10=3,Instellingen!N$16,IF($C10=4,Q10))))+$D10)+$Z10),1.1)</f>
        <v/>
      </c>
      <c r="AL10" s="852">
        <f>IF($B10="","",IFERROR(VLOOKUP($B10,'Werkschema - Rekening'!$B$2:$P$46,13,FALSE),""))</f>
        <v/>
      </c>
      <c r="AM10" s="851">
        <f>IFERROR(IF(C10="",1.1,IF(Y10="",1,IF($C10=1,VLOOKUP($B10,'Werkschema - Rekening'!$B$2:$O$46,14,FALSE),IF($C10=2,Instellingen!O$16,IF($C10=3,Instellingen!P$16,IF($C10=4,R10))))+$D10)+$Z10),1.1)</f>
        <v/>
      </c>
      <c r="AN10" s="852">
        <f>IF($B10="","",IFERROR(VLOOKUP($B10,'Werkschema - Rekening'!$B$2:$P$46,15,FALSE),""))</f>
        <v/>
      </c>
      <c r="AO10" s="852">
        <f>A10</f>
        <v/>
      </c>
      <c r="AP10" s="852">
        <f>B10</f>
        <v/>
      </c>
    </row>
    <row r="11" ht="15" customHeight="1">
      <c r="A11" s="830">
        <f>'Aanpassen Werkschema'!B41</f>
        <v/>
      </c>
      <c r="B11" s="569">
        <f>'Aanpassen Werkschema'!C41</f>
        <v/>
      </c>
      <c r="C11" s="569">
        <f>IF('Aanpassen Werkschema'!D41="geplande taak",1,IF('Aanpassen Werkschema'!D41="openingstijd",2,IF('Aanpassen Werkschema'!D41="sluitingstijd",3,IF('Aanpassen Werkschema'!D41="vaste tijd",4,""))))</f>
        <v/>
      </c>
      <c r="D11" s="849">
        <f>'Aanpassen Werkschema'!E41</f>
        <v/>
      </c>
      <c r="E11" s="569">
        <f>IF('Aanpassen Werkschema'!F41="v","x","")</f>
        <v/>
      </c>
      <c r="F11" s="569">
        <f>IF('Aanpassen Werkschema'!G41="v","x","")</f>
        <v/>
      </c>
      <c r="G11" s="569">
        <f>IF('Aanpassen Werkschema'!H41="v","x","")</f>
        <v/>
      </c>
      <c r="H11" s="569">
        <f>IF('Aanpassen Werkschema'!I41="v","x","")</f>
        <v/>
      </c>
      <c r="I11" s="569">
        <f>IF('Aanpassen Werkschema'!J41="v","x","")</f>
        <v/>
      </c>
      <c r="J11" s="569">
        <f>IF('Aanpassen Werkschema'!K41="v","x","")</f>
        <v/>
      </c>
      <c r="K11" s="569">
        <f>IF('Aanpassen Werkschema'!L41="v","x","")</f>
        <v/>
      </c>
      <c r="L11" s="571">
        <f>IF('Aanpassen Werkschema'!M41&gt;0,'Aanpassen Werkschema'!M41,"")</f>
        <v/>
      </c>
      <c r="M11" s="571">
        <f>IF('Aanpassen Werkschema'!N41&gt;0,'Aanpassen Werkschema'!N41,"")</f>
        <v/>
      </c>
      <c r="N11" s="571">
        <f>IF('Aanpassen Werkschema'!O41&gt;0,'Aanpassen Werkschema'!O41,"")</f>
        <v/>
      </c>
      <c r="O11" s="571">
        <f>IF('Aanpassen Werkschema'!P41&gt;0,'Aanpassen Werkschema'!P41,"")</f>
        <v/>
      </c>
      <c r="P11" s="571">
        <f>IF('Aanpassen Werkschema'!Q41&gt;0,'Aanpassen Werkschema'!Q41,"")</f>
        <v/>
      </c>
      <c r="Q11" s="571">
        <f>IF('Aanpassen Werkschema'!R41&gt;0,'Aanpassen Werkschema'!R41,"")</f>
        <v/>
      </c>
      <c r="R11" s="571">
        <f>IF('Aanpassen Werkschema'!S41&gt;0,'Aanpassen Werkschema'!S41,"")</f>
        <v/>
      </c>
      <c r="S11" s="569">
        <f>IF('Aanpassen Werkschema'!T41="x","",IF('Aanpassen Werkschema'!N41="v","x",IF(E11="","",IF(E11="x","x"))))</f>
        <v/>
      </c>
      <c r="T11" s="569">
        <f>IF('Aanpassen Werkschema'!U41="x","",IF('Aanpassen Werkschema'!O41="v","x",IF(F11="","",IF(F11="x","x"))))</f>
        <v/>
      </c>
      <c r="U11" s="569">
        <f>IF('Aanpassen Werkschema'!V41="x","",IF('Aanpassen Werkschema'!P41="v","x",IF(G11="","",IF(G11="x","x"))))</f>
        <v/>
      </c>
      <c r="V11" s="569">
        <f>IF('Aanpassen Werkschema'!W41="x","",IF('Aanpassen Werkschema'!Q41="v","x",IF(H11="","",IF(H11="x","x"))))</f>
        <v/>
      </c>
      <c r="W11" s="569">
        <f>IF('Aanpassen Werkschema'!X41="x","",IF('Aanpassen Werkschema'!R41="v","x",IF(I11="","",IF(I11="x","x"))))</f>
        <v/>
      </c>
      <c r="X11" s="569">
        <f>IF('Aanpassen Werkschema'!Y41="x","",IF('Aanpassen Werkschema'!S41="v","x",IF(J11="","",IF(J11="x","x"))))</f>
        <v/>
      </c>
      <c r="Y11" s="569">
        <f>IF('Aanpassen Werkschema'!Z41="x","",IF('Aanpassen Werkschema'!T41="v","x",IF(K11="","",IF(K11="x","x"))))</f>
        <v/>
      </c>
      <c r="Z11" s="850">
        <f>Z10+0.0000000001</f>
        <v/>
      </c>
      <c r="AA11" s="851">
        <f>IFERROR(IF(C11="",1.1,IF(S11="",1,IF($C11=1,VLOOKUP($B11,'Werkschema - Rekening'!$B$2:$C$46,2,FALSE),IF($C11=2,Instellingen!C$16,IF($C11=3,Instellingen!D$16,IF($C11=4,L11))))+$D11)+$Z11),1.1)</f>
        <v/>
      </c>
      <c r="AB11" s="852">
        <f>IF($B11="","",IFERROR(VLOOKUP($B11,'Werkschema - Rekening'!$B$2:$P$46,3,FALSE),""))</f>
        <v/>
      </c>
      <c r="AC11" s="851">
        <f>IFERROR(IF(C11="",1.1,IF(T11="",1,IF($C11=1,VLOOKUP($B11,'Werkschema - Rekening'!$B$2:$E$46,4,FALSE),IF($C11=2,Instellingen!E$16,IF($C11=3,Instellingen!F$16,IF($C11=4,M11))))+$D11)+$Z11),1.1)</f>
        <v/>
      </c>
      <c r="AD11" s="852">
        <f>IF($B11="","",IFERROR(VLOOKUP($B11,'Werkschema - Rekening'!$B$2:$P$46,5,FALSE),""))</f>
        <v/>
      </c>
      <c r="AE11" s="851">
        <f>IFERROR(IF(C11="",1.1,IF(U11="",1,IF($C11=1,VLOOKUP($B11,'Werkschema - Rekening'!$B$2:$G$46,6,FALSE),IF($C11=2,Instellingen!G$16,IF($C11=3,Instellingen!H$16,IF($C11=4,N11))))+$D11)+$Z11),1.1)</f>
        <v/>
      </c>
      <c r="AF11" s="852">
        <f>IF($B11="","",IFERROR(VLOOKUP($B11,'Werkschema - Rekening'!$B$2:$P$46,7,FALSE),""))</f>
        <v/>
      </c>
      <c r="AG11" s="851">
        <f>IFERROR(IF(C11="",1.1,IF(V11="",1,IF($C11=1,VLOOKUP($B11,'Werkschema - Rekening'!$B$2:$I$46,8,FALSE),IF($C11=2,Instellingen!I$16,IF($C11=3,Instellingen!J$16,IF($C11=4,O11))))+$D11)+$Z11),1.1)</f>
        <v/>
      </c>
      <c r="AH11" s="852">
        <f>IF($B11="","",IFERROR(VLOOKUP($B11,'Werkschema - Rekening'!$B$2:$P$46,9,FALSE),""))</f>
        <v/>
      </c>
      <c r="AI11" s="851">
        <f>IFERROR(IF(C11="",1.1,IF(W11="",1,IF($C11=1,VLOOKUP($B11,'Werkschema - Rekening'!$B$2:$K$46,10,FALSE),IF($C11=2,Instellingen!K$16,IF($C11=3,Instellingen!L$16,IF($C11=4,P11))))+$D11)+$Z11),1.1)</f>
        <v/>
      </c>
      <c r="AJ11" s="852">
        <f>IF($B11="","",IFERROR(VLOOKUP($B11,'Werkschema - Rekening'!$B$2:$P$46,11,FALSE),""))</f>
        <v/>
      </c>
      <c r="AK11" s="851">
        <f>IFERROR(IF(C11="",1.1,IF(X11="",1,IF($C11=1,VLOOKUP($B11,'Werkschema - Rekening'!$B$2:$M$46,12,FALSE),IF($C11=2,Instellingen!M$16,IF($C11=3,Instellingen!N$16,IF($C11=4,Q11))))+$D11)+$Z11),1.1)</f>
        <v/>
      </c>
      <c r="AL11" s="852">
        <f>IF($B11="","",IFERROR(VLOOKUP($B11,'Werkschema - Rekening'!$B$2:$P$46,13,FALSE),""))</f>
        <v/>
      </c>
      <c r="AM11" s="851">
        <f>IFERROR(IF(C11="",1.1,IF(Y11="",1,IF($C11=1,VLOOKUP($B11,'Werkschema - Rekening'!$B$2:$O$46,14,FALSE),IF($C11=2,Instellingen!O$16,IF($C11=3,Instellingen!P$16,IF($C11=4,R11))))+$D11)+$Z11),1.1)</f>
        <v/>
      </c>
      <c r="AN11" s="852">
        <f>IF($B11="","",IFERROR(VLOOKUP($B11,'Werkschema - Rekening'!$B$2:$P$46,15,FALSE),""))</f>
        <v/>
      </c>
      <c r="AO11" s="852">
        <f>A11</f>
        <v/>
      </c>
      <c r="AP11" s="852">
        <f>B11</f>
        <v/>
      </c>
    </row>
    <row r="12" ht="15" customHeight="1">
      <c r="A12" s="830">
        <f>'Aanpassen Werkschema'!B42</f>
        <v/>
      </c>
      <c r="B12" s="569">
        <f>'Aanpassen Werkschema'!C42</f>
        <v/>
      </c>
      <c r="C12" s="569">
        <f>IF('Aanpassen Werkschema'!D42="geplande taak",1,IF('Aanpassen Werkschema'!D42="openingstijd",2,IF('Aanpassen Werkschema'!D42="sluitingstijd",3,IF('Aanpassen Werkschema'!D42="vaste tijd",4,""))))</f>
        <v/>
      </c>
      <c r="D12" s="849">
        <f>'Aanpassen Werkschema'!E42</f>
        <v/>
      </c>
      <c r="E12" s="569">
        <f>IF('Aanpassen Werkschema'!F42="v","x","")</f>
        <v/>
      </c>
      <c r="F12" s="569">
        <f>IF('Aanpassen Werkschema'!G42="v","x","")</f>
        <v/>
      </c>
      <c r="G12" s="569">
        <f>IF('Aanpassen Werkschema'!H42="v","x","")</f>
        <v/>
      </c>
      <c r="H12" s="569">
        <f>IF('Aanpassen Werkschema'!I42="v","x","")</f>
        <v/>
      </c>
      <c r="I12" s="569">
        <f>IF('Aanpassen Werkschema'!J42="v","x","")</f>
        <v/>
      </c>
      <c r="J12" s="569">
        <f>IF('Aanpassen Werkschema'!K42="v","x","")</f>
        <v/>
      </c>
      <c r="K12" s="569">
        <f>IF('Aanpassen Werkschema'!L42="v","x","")</f>
        <v/>
      </c>
      <c r="L12" s="571">
        <f>IF('Aanpassen Werkschema'!M42&gt;0,'Aanpassen Werkschema'!M42,"")</f>
        <v/>
      </c>
      <c r="M12" s="571">
        <f>IF('Aanpassen Werkschema'!N42&gt;0,'Aanpassen Werkschema'!N42,"")</f>
        <v/>
      </c>
      <c r="N12" s="571">
        <f>IF('Aanpassen Werkschema'!O42&gt;0,'Aanpassen Werkschema'!O42,"")</f>
        <v/>
      </c>
      <c r="O12" s="571">
        <f>IF('Aanpassen Werkschema'!P42&gt;0,'Aanpassen Werkschema'!P42,"")</f>
        <v/>
      </c>
      <c r="P12" s="571">
        <f>IF('Aanpassen Werkschema'!Q42&gt;0,'Aanpassen Werkschema'!Q42,"")</f>
        <v/>
      </c>
      <c r="Q12" s="571">
        <f>IF('Aanpassen Werkschema'!R42&gt;0,'Aanpassen Werkschema'!R42,"")</f>
        <v/>
      </c>
      <c r="R12" s="571">
        <f>IF('Aanpassen Werkschema'!S42&gt;0,'Aanpassen Werkschema'!S42,"")</f>
        <v/>
      </c>
      <c r="S12" s="569">
        <f>IF('Aanpassen Werkschema'!T42="x","",IF('Aanpassen Werkschema'!N42="v","x",IF(E12="","",IF(E12="x","x"))))</f>
        <v/>
      </c>
      <c r="T12" s="569">
        <f>IF('Aanpassen Werkschema'!U42="x","",IF('Aanpassen Werkschema'!O42="v","x",IF(F12="","",IF(F12="x","x"))))</f>
        <v/>
      </c>
      <c r="U12" s="569">
        <f>IF('Aanpassen Werkschema'!V42="x","",IF('Aanpassen Werkschema'!P42="v","x",IF(G12="","",IF(G12="x","x"))))</f>
        <v/>
      </c>
      <c r="V12" s="569">
        <f>IF('Aanpassen Werkschema'!W42="x","",IF('Aanpassen Werkschema'!Q42="v","x",IF(H12="","",IF(H12="x","x"))))</f>
        <v/>
      </c>
      <c r="W12" s="569">
        <f>IF('Aanpassen Werkschema'!X42="x","",IF('Aanpassen Werkschema'!R42="v","x",IF(I12="","",IF(I12="x","x"))))</f>
        <v/>
      </c>
      <c r="X12" s="569">
        <f>IF('Aanpassen Werkschema'!Y42="x","",IF('Aanpassen Werkschema'!S42="v","x",IF(J12="","",IF(J12="x","x"))))</f>
        <v/>
      </c>
      <c r="Y12" s="569">
        <f>IF('Aanpassen Werkschema'!Z42="x","",IF('Aanpassen Werkschema'!T42="v","x",IF(K12="","",IF(K12="x","x"))))</f>
        <v/>
      </c>
      <c r="Z12" s="850">
        <f>Z11+0.0000000001</f>
        <v/>
      </c>
      <c r="AA12" s="851">
        <f>IFERROR(IF(C12="",1.1,IF(S12="",1,IF($C12=1,VLOOKUP($B12,'Werkschema - Rekening'!$B$2:$C$46,2,FALSE),IF($C12=2,Instellingen!C$16,IF($C12=3,Instellingen!D$16,IF($C12=4,L12))))+$D12)+$Z12),1.1)</f>
        <v/>
      </c>
      <c r="AB12" s="852">
        <f>IF($B12="","",IFERROR(VLOOKUP($B12,'Werkschema - Rekening'!$B$2:$P$46,3,FALSE),""))</f>
        <v/>
      </c>
      <c r="AC12" s="851">
        <f>IFERROR(IF(C12="",1.1,IF(T12="",1,IF($C12=1,VLOOKUP($B12,'Werkschema - Rekening'!$B$2:$E$46,4,FALSE),IF($C12=2,Instellingen!E$16,IF($C12=3,Instellingen!F$16,IF($C12=4,M12))))+$D12)+$Z12),1.1)</f>
        <v/>
      </c>
      <c r="AD12" s="852">
        <f>IF($B12="","",IFERROR(VLOOKUP($B12,'Werkschema - Rekening'!$B$2:$P$46,5,FALSE),""))</f>
        <v/>
      </c>
      <c r="AE12" s="851">
        <f>IFERROR(IF(C12="",1.1,IF(U12="",1,IF($C12=1,VLOOKUP($B12,'Werkschema - Rekening'!$B$2:$G$46,6,FALSE),IF($C12=2,Instellingen!G$16,IF($C12=3,Instellingen!H$16,IF($C12=4,N12))))+$D12)+$Z12),1.1)</f>
        <v/>
      </c>
      <c r="AF12" s="852">
        <f>IF($B12="","",IFERROR(VLOOKUP($B12,'Werkschema - Rekening'!$B$2:$P$46,7,FALSE),""))</f>
        <v/>
      </c>
      <c r="AG12" s="851">
        <f>IFERROR(IF(C12="",1.1,IF(V12="",1,IF($C12=1,VLOOKUP($B12,'Werkschema - Rekening'!$B$2:$I$46,8,FALSE),IF($C12=2,Instellingen!I$16,IF($C12=3,Instellingen!J$16,IF($C12=4,O12))))+$D12)+$Z12),1.1)</f>
        <v/>
      </c>
      <c r="AH12" s="852">
        <f>IF($B12="","",IFERROR(VLOOKUP($B12,'Werkschema - Rekening'!$B$2:$P$46,9,FALSE),""))</f>
        <v/>
      </c>
      <c r="AI12" s="851">
        <f>IFERROR(IF(C12="",1.1,IF(W12="",1,IF($C12=1,VLOOKUP($B12,'Werkschema - Rekening'!$B$2:$K$46,10,FALSE),IF($C12=2,Instellingen!K$16,IF($C12=3,Instellingen!L$16,IF($C12=4,P12))))+$D12)+$Z12),1.1)</f>
        <v/>
      </c>
      <c r="AJ12" s="852">
        <f>IF($B12="","",IFERROR(VLOOKUP($B12,'Werkschema - Rekening'!$B$2:$P$46,11,FALSE),""))</f>
        <v/>
      </c>
      <c r="AK12" s="851">
        <f>IFERROR(IF(C12="",1.1,IF(X12="",1,IF($C12=1,VLOOKUP($B12,'Werkschema - Rekening'!$B$2:$M$46,12,FALSE),IF($C12=2,Instellingen!M$16,IF($C12=3,Instellingen!N$16,IF($C12=4,Q12))))+$D12)+$Z12),1.1)</f>
        <v/>
      </c>
      <c r="AL12" s="852">
        <f>IF($B12="","",IFERROR(VLOOKUP($B12,'Werkschema - Rekening'!$B$2:$P$46,13,FALSE),""))</f>
        <v/>
      </c>
      <c r="AM12" s="851">
        <f>IFERROR(IF(C12="",1.1,IF(Y12="",1,IF($C12=1,VLOOKUP($B12,'Werkschema - Rekening'!$B$2:$O$46,14,FALSE),IF($C12=2,Instellingen!O$16,IF($C12=3,Instellingen!P$16,IF($C12=4,R12))))+$D12)+$Z12),1.1)</f>
        <v/>
      </c>
      <c r="AN12" s="852">
        <f>IF($B12="","",IFERROR(VLOOKUP($B12,'Werkschema - Rekening'!$B$2:$P$46,15,FALSE),""))</f>
        <v/>
      </c>
      <c r="AO12" s="852">
        <f>A12</f>
        <v/>
      </c>
      <c r="AP12" s="852">
        <f>B12</f>
        <v/>
      </c>
    </row>
    <row r="13" ht="15" customHeight="1">
      <c r="A13" s="830">
        <f>'Aanpassen Werkschema'!B43</f>
        <v/>
      </c>
      <c r="B13" s="569">
        <f>'Aanpassen Werkschema'!C43</f>
        <v/>
      </c>
      <c r="C13" s="569">
        <f>IF('Aanpassen Werkschema'!D43="geplande taak",1,IF('Aanpassen Werkschema'!D43="openingstijd",2,IF('Aanpassen Werkschema'!D43="sluitingstijd",3,IF('Aanpassen Werkschema'!D43="vaste tijd",4,""))))</f>
        <v/>
      </c>
      <c r="D13" s="849">
        <f>'Aanpassen Werkschema'!E43</f>
        <v/>
      </c>
      <c r="E13" s="569">
        <f>IF('Aanpassen Werkschema'!F43="v","x","")</f>
        <v/>
      </c>
      <c r="F13" s="569">
        <f>IF('Aanpassen Werkschema'!G43="v","x","")</f>
        <v/>
      </c>
      <c r="G13" s="569">
        <f>IF('Aanpassen Werkschema'!H43="v","x","")</f>
        <v/>
      </c>
      <c r="H13" s="569">
        <f>IF('Aanpassen Werkschema'!I43="v","x","")</f>
        <v/>
      </c>
      <c r="I13" s="569">
        <f>IF('Aanpassen Werkschema'!J43="v","x","")</f>
        <v/>
      </c>
      <c r="J13" s="569">
        <f>IF('Aanpassen Werkschema'!K43="v","x","")</f>
        <v/>
      </c>
      <c r="K13" s="569">
        <f>IF('Aanpassen Werkschema'!L43="v","x","")</f>
        <v/>
      </c>
      <c r="L13" s="571">
        <f>IF('Aanpassen Werkschema'!M43&gt;0,'Aanpassen Werkschema'!M43,"")</f>
        <v/>
      </c>
      <c r="M13" s="571">
        <f>IF('Aanpassen Werkschema'!N43&gt;0,'Aanpassen Werkschema'!N43,"")</f>
        <v/>
      </c>
      <c r="N13" s="571">
        <f>IF('Aanpassen Werkschema'!O43&gt;0,'Aanpassen Werkschema'!O43,"")</f>
        <v/>
      </c>
      <c r="O13" s="571">
        <f>IF('Aanpassen Werkschema'!P43&gt;0,'Aanpassen Werkschema'!P43,"")</f>
        <v/>
      </c>
      <c r="P13" s="571">
        <f>IF('Aanpassen Werkschema'!Q43&gt;0,'Aanpassen Werkschema'!Q43,"")</f>
        <v/>
      </c>
      <c r="Q13" s="571">
        <f>IF('Aanpassen Werkschema'!R43&gt;0,'Aanpassen Werkschema'!R43,"")</f>
        <v/>
      </c>
      <c r="R13" s="571">
        <f>IF('Aanpassen Werkschema'!S43&gt;0,'Aanpassen Werkschema'!S43,"")</f>
        <v/>
      </c>
      <c r="S13" s="569">
        <f>IF('Aanpassen Werkschema'!T43="x","",IF('Aanpassen Werkschema'!N43="v","x",IF(E13="","",IF(E13="x","x"))))</f>
        <v/>
      </c>
      <c r="T13" s="569">
        <f>IF('Aanpassen Werkschema'!U43="x","",IF('Aanpassen Werkschema'!O43="v","x",IF(F13="","",IF(F13="x","x"))))</f>
        <v/>
      </c>
      <c r="U13" s="569">
        <f>IF('Aanpassen Werkschema'!V43="x","",IF('Aanpassen Werkschema'!P43="v","x",IF(G13="","",IF(G13="x","x"))))</f>
        <v/>
      </c>
      <c r="V13" s="569">
        <f>IF('Aanpassen Werkschema'!W43="x","",IF('Aanpassen Werkschema'!Q43="v","x",IF(H13="","",IF(H13="x","x"))))</f>
        <v/>
      </c>
      <c r="W13" s="569">
        <f>IF('Aanpassen Werkschema'!X43="x","",IF('Aanpassen Werkschema'!R43="v","x",IF(I13="","",IF(I13="x","x"))))</f>
        <v/>
      </c>
      <c r="X13" s="569">
        <f>IF('Aanpassen Werkschema'!Y43="x","",IF('Aanpassen Werkschema'!S43="v","x",IF(J13="","",IF(J13="x","x"))))</f>
        <v/>
      </c>
      <c r="Y13" s="569">
        <f>IF('Aanpassen Werkschema'!Z43="x","",IF('Aanpassen Werkschema'!T43="v","x",IF(K13="","",IF(K13="x","x"))))</f>
        <v/>
      </c>
      <c r="Z13" s="850">
        <f>Z12+0.0000000001</f>
        <v/>
      </c>
      <c r="AA13" s="851">
        <f>IFERROR(IF(C13="",1.1,IF(S13="",1,IF($C13=1,VLOOKUP($B13,'Werkschema - Rekening'!$B$2:$C$46,2,FALSE),IF($C13=2,Instellingen!C$16,IF($C13=3,Instellingen!D$16,IF($C13=4,L13))))+$D13)+$Z13),1.1)</f>
        <v/>
      </c>
      <c r="AB13" s="852">
        <f>IF($B13="","",IFERROR(VLOOKUP($B13,'Werkschema - Rekening'!$B$2:$P$46,3,FALSE),""))</f>
        <v/>
      </c>
      <c r="AC13" s="851">
        <f>IFERROR(IF(C13="",1.1,IF(T13="",1,IF($C13=1,VLOOKUP($B13,'Werkschema - Rekening'!$B$2:$E$46,4,FALSE),IF($C13=2,Instellingen!E$16,IF($C13=3,Instellingen!F$16,IF($C13=4,M13))))+$D13)+$Z13),1.1)</f>
        <v/>
      </c>
      <c r="AD13" s="852">
        <f>IF($B13="","",IFERROR(VLOOKUP($B13,'Werkschema - Rekening'!$B$2:$P$46,5,FALSE),""))</f>
        <v/>
      </c>
      <c r="AE13" s="851">
        <f>IFERROR(IF(C13="",1.1,IF(U13="",1,IF($C13=1,VLOOKUP($B13,'Werkschema - Rekening'!$B$2:$G$46,6,FALSE),IF($C13=2,Instellingen!G$16,IF($C13=3,Instellingen!H$16,IF($C13=4,N13))))+$D13)+$Z13),1.1)</f>
        <v/>
      </c>
      <c r="AF13" s="852">
        <f>IF($B13="","",IFERROR(VLOOKUP($B13,'Werkschema - Rekening'!$B$2:$P$46,7,FALSE),""))</f>
        <v/>
      </c>
      <c r="AG13" s="851">
        <f>IFERROR(IF(C13="",1.1,IF(V13="",1,IF($C13=1,VLOOKUP($B13,'Werkschema - Rekening'!$B$2:$I$46,8,FALSE),IF($C13=2,Instellingen!I$16,IF($C13=3,Instellingen!J$16,IF($C13=4,O13))))+$D13)+$Z13),1.1)</f>
        <v/>
      </c>
      <c r="AH13" s="852">
        <f>IF($B13="","",IFERROR(VLOOKUP($B13,'Werkschema - Rekening'!$B$2:$P$46,9,FALSE),""))</f>
        <v/>
      </c>
      <c r="AI13" s="851">
        <f>IFERROR(IF(C13="",1.1,IF(W13="",1,IF($C13=1,VLOOKUP($B13,'Werkschema - Rekening'!$B$2:$K$46,10,FALSE),IF($C13=2,Instellingen!K$16,IF($C13=3,Instellingen!L$16,IF($C13=4,P13))))+$D13)+$Z13),1.1)</f>
        <v/>
      </c>
      <c r="AJ13" s="852">
        <f>IF($B13="","",IFERROR(VLOOKUP($B13,'Werkschema - Rekening'!$B$2:$P$46,11,FALSE),""))</f>
        <v/>
      </c>
      <c r="AK13" s="851">
        <f>IFERROR(IF(C13="",1.1,IF(X13="",1,IF($C13=1,VLOOKUP($B13,'Werkschema - Rekening'!$B$2:$M$46,12,FALSE),IF($C13=2,Instellingen!M$16,IF($C13=3,Instellingen!N$16,IF($C13=4,Q13))))+$D13)+$Z13),1.1)</f>
        <v/>
      </c>
      <c r="AL13" s="852">
        <f>IF($B13="","",IFERROR(VLOOKUP($B13,'Werkschema - Rekening'!$B$2:$P$46,13,FALSE),""))</f>
        <v/>
      </c>
      <c r="AM13" s="851">
        <f>IFERROR(IF(C13="",1.1,IF(Y13="",1,IF($C13=1,VLOOKUP($B13,'Werkschema - Rekening'!$B$2:$O$46,14,FALSE),IF($C13=2,Instellingen!O$16,IF($C13=3,Instellingen!P$16,IF($C13=4,R13))))+$D13)+$Z13),1.1)</f>
        <v/>
      </c>
      <c r="AN13" s="852">
        <f>IF($B13="","",IFERROR(VLOOKUP($B13,'Werkschema - Rekening'!$B$2:$P$46,15,FALSE),""))</f>
        <v/>
      </c>
      <c r="AO13" s="852">
        <f>A13</f>
        <v/>
      </c>
      <c r="AP13" s="852">
        <f>B13</f>
        <v/>
      </c>
    </row>
    <row r="14" ht="15" customHeight="1">
      <c r="A14" s="830">
        <f>'Aanpassen Werkschema'!B44</f>
        <v/>
      </c>
      <c r="B14" s="569">
        <f>'Aanpassen Werkschema'!C44</f>
        <v/>
      </c>
      <c r="C14" s="569">
        <f>IF('Aanpassen Werkschema'!D44="geplande taak",1,IF('Aanpassen Werkschema'!D44="openingstijd",2,IF('Aanpassen Werkschema'!D44="sluitingstijd",3,IF('Aanpassen Werkschema'!D44="vaste tijd",4,""))))</f>
        <v/>
      </c>
      <c r="D14" s="849">
        <f>'Aanpassen Werkschema'!E44</f>
        <v/>
      </c>
      <c r="E14" s="569">
        <f>IF('Aanpassen Werkschema'!F44="v","x","")</f>
        <v/>
      </c>
      <c r="F14" s="569">
        <f>IF('Aanpassen Werkschema'!G44="v","x","")</f>
        <v/>
      </c>
      <c r="G14" s="569">
        <f>IF('Aanpassen Werkschema'!H44="v","x","")</f>
        <v/>
      </c>
      <c r="H14" s="569">
        <f>IF('Aanpassen Werkschema'!I44="v","x","")</f>
        <v/>
      </c>
      <c r="I14" s="569">
        <f>IF('Aanpassen Werkschema'!J44="v","x","")</f>
        <v/>
      </c>
      <c r="J14" s="569">
        <f>IF('Aanpassen Werkschema'!K44="v","x","")</f>
        <v/>
      </c>
      <c r="K14" s="569">
        <f>IF('Aanpassen Werkschema'!L44="v","x","")</f>
        <v/>
      </c>
      <c r="L14" s="571">
        <f>IF('Aanpassen Werkschema'!M44&gt;0,'Aanpassen Werkschema'!M44,"")</f>
        <v/>
      </c>
      <c r="M14" s="571">
        <f>IF('Aanpassen Werkschema'!N44&gt;0,'Aanpassen Werkschema'!N44,"")</f>
        <v/>
      </c>
      <c r="N14" s="571">
        <f>IF('Aanpassen Werkschema'!O44&gt;0,'Aanpassen Werkschema'!O44,"")</f>
        <v/>
      </c>
      <c r="O14" s="571">
        <f>IF('Aanpassen Werkschema'!P44&gt;0,'Aanpassen Werkschema'!P44,"")</f>
        <v/>
      </c>
      <c r="P14" s="571">
        <f>IF('Aanpassen Werkschema'!Q44&gt;0,'Aanpassen Werkschema'!Q44,"")</f>
        <v/>
      </c>
      <c r="Q14" s="571">
        <f>IF('Aanpassen Werkschema'!R44&gt;0,'Aanpassen Werkschema'!R44,"")</f>
        <v/>
      </c>
      <c r="R14" s="571">
        <f>IF('Aanpassen Werkschema'!S44&gt;0,'Aanpassen Werkschema'!S44,"")</f>
        <v/>
      </c>
      <c r="S14" s="569">
        <f>IF('Aanpassen Werkschema'!T44="x","",IF('Aanpassen Werkschema'!N44="v","x",IF(E14="","",IF(E14="x","x"))))</f>
        <v/>
      </c>
      <c r="T14" s="569">
        <f>IF('Aanpassen Werkschema'!U44="x","",IF('Aanpassen Werkschema'!O44="v","x",IF(F14="","",IF(F14="x","x"))))</f>
        <v/>
      </c>
      <c r="U14" s="569">
        <f>IF('Aanpassen Werkschema'!V44="x","",IF('Aanpassen Werkschema'!P44="v","x",IF(G14="","",IF(G14="x","x"))))</f>
        <v/>
      </c>
      <c r="V14" s="569">
        <f>IF('Aanpassen Werkschema'!W44="x","",IF('Aanpassen Werkschema'!Q44="v","x",IF(H14="","",IF(H14="x","x"))))</f>
        <v/>
      </c>
      <c r="W14" s="569">
        <f>IF('Aanpassen Werkschema'!X44="x","",IF('Aanpassen Werkschema'!R44="v","x",IF(I14="","",IF(I14="x","x"))))</f>
        <v/>
      </c>
      <c r="X14" s="569">
        <f>IF('Aanpassen Werkschema'!Y44="x","",IF('Aanpassen Werkschema'!S44="v","x",IF(J14="","",IF(J14="x","x"))))</f>
        <v/>
      </c>
      <c r="Y14" s="569">
        <f>IF('Aanpassen Werkschema'!Z44="x","",IF('Aanpassen Werkschema'!T44="v","x",IF(K14="","",IF(K14="x","x"))))</f>
        <v/>
      </c>
      <c r="Z14" s="850">
        <f>Z13+0.0000000001</f>
        <v/>
      </c>
      <c r="AA14" s="851">
        <f>IFERROR(IF(C14="",1.1,IF(S14="",1,IF($C14=1,VLOOKUP($B14,'Werkschema - Rekening'!$B$2:$C$46,2,FALSE),IF($C14=2,Instellingen!C$16,IF($C14=3,Instellingen!D$16,IF($C14=4,L14))))+$D14)+$Z14),1.1)</f>
        <v/>
      </c>
      <c r="AB14" s="852">
        <f>IF($B14="","",IFERROR(VLOOKUP($B14,'Werkschema - Rekening'!$B$2:$P$46,3,FALSE),""))</f>
        <v/>
      </c>
      <c r="AC14" s="851">
        <f>IFERROR(IF(C14="",1.1,IF(T14="",1,IF($C14=1,VLOOKUP($B14,'Werkschema - Rekening'!$B$2:$E$46,4,FALSE),IF($C14=2,Instellingen!E$16,IF($C14=3,Instellingen!F$16,IF($C14=4,M14))))+$D14)+$Z14),1.1)</f>
        <v/>
      </c>
      <c r="AD14" s="852">
        <f>IF($B14="","",IFERROR(VLOOKUP($B14,'Werkschema - Rekening'!$B$2:$P$46,5,FALSE),""))</f>
        <v/>
      </c>
      <c r="AE14" s="851">
        <f>IFERROR(IF(C14="",1.1,IF(U14="",1,IF($C14=1,VLOOKUP($B14,'Werkschema - Rekening'!$B$2:$G$46,6,FALSE),IF($C14=2,Instellingen!G$16,IF($C14=3,Instellingen!H$16,IF($C14=4,N14))))+$D14)+$Z14),1.1)</f>
        <v/>
      </c>
      <c r="AF14" s="852">
        <f>IF($B14="","",IFERROR(VLOOKUP($B14,'Werkschema - Rekening'!$B$2:$P$46,7,FALSE),""))</f>
        <v/>
      </c>
      <c r="AG14" s="851">
        <f>IFERROR(IF(C14="",1.1,IF(V14="",1,IF($C14=1,VLOOKUP($B14,'Werkschema - Rekening'!$B$2:$I$46,8,FALSE),IF($C14=2,Instellingen!I$16,IF($C14=3,Instellingen!J$16,IF($C14=4,O14))))+$D14)+$Z14),1.1)</f>
        <v/>
      </c>
      <c r="AH14" s="852">
        <f>IF($B14="","",IFERROR(VLOOKUP($B14,'Werkschema - Rekening'!$B$2:$P$46,9,FALSE),""))</f>
        <v/>
      </c>
      <c r="AI14" s="851">
        <f>IFERROR(IF(C14="",1.1,IF(W14="",1,IF($C14=1,VLOOKUP($B14,'Werkschema - Rekening'!$B$2:$K$46,10,FALSE),IF($C14=2,Instellingen!K$16,IF($C14=3,Instellingen!L$16,IF($C14=4,P14))))+$D14)+$Z14),1.1)</f>
        <v/>
      </c>
      <c r="AJ14" s="852">
        <f>IF($B14="","",IFERROR(VLOOKUP($B14,'Werkschema - Rekening'!$B$2:$P$46,11,FALSE),""))</f>
        <v/>
      </c>
      <c r="AK14" s="851">
        <f>IFERROR(IF(C14="",1.1,IF(X14="",1,IF($C14=1,VLOOKUP($B14,'Werkschema - Rekening'!$B$2:$M$46,12,FALSE),IF($C14=2,Instellingen!M$16,IF($C14=3,Instellingen!N$16,IF($C14=4,Q14))))+$D14)+$Z14),1.1)</f>
        <v/>
      </c>
      <c r="AL14" s="852">
        <f>IF($B14="","",IFERROR(VLOOKUP($B14,'Werkschema - Rekening'!$B$2:$P$46,13,FALSE),""))</f>
        <v/>
      </c>
      <c r="AM14" s="851">
        <f>IFERROR(IF(C14="",1.1,IF(Y14="",1,IF($C14=1,VLOOKUP($B14,'Werkschema - Rekening'!$B$2:$O$46,14,FALSE),IF($C14=2,Instellingen!O$16,IF($C14=3,Instellingen!P$16,IF($C14=4,R14))))+$D14)+$Z14),1.1)</f>
        <v/>
      </c>
      <c r="AN14" s="852">
        <f>IF($B14="","",IFERROR(VLOOKUP($B14,'Werkschema - Rekening'!$B$2:$P$46,15,FALSE),""))</f>
        <v/>
      </c>
      <c r="AO14" s="852">
        <f>A14</f>
        <v/>
      </c>
      <c r="AP14" s="852">
        <f>B14</f>
        <v/>
      </c>
    </row>
    <row r="15" ht="15" customHeight="1">
      <c r="A15" s="830">
        <f>'Aanpassen Werkschema'!B45</f>
        <v/>
      </c>
      <c r="B15" s="569">
        <f>'Aanpassen Werkschema'!C45</f>
        <v/>
      </c>
      <c r="C15" s="569">
        <f>IF('Aanpassen Werkschema'!D45="geplande taak",1,IF('Aanpassen Werkschema'!D45="openingstijd",2,IF('Aanpassen Werkschema'!D45="sluitingstijd",3,IF('Aanpassen Werkschema'!D45="vaste tijd",4,""))))</f>
        <v/>
      </c>
      <c r="D15" s="849">
        <f>'Aanpassen Werkschema'!E45</f>
        <v/>
      </c>
      <c r="E15" s="569">
        <f>IF('Aanpassen Werkschema'!F45="v","x","")</f>
        <v/>
      </c>
      <c r="F15" s="569">
        <f>IF('Aanpassen Werkschema'!G45="v","x","")</f>
        <v/>
      </c>
      <c r="G15" s="569">
        <f>IF('Aanpassen Werkschema'!H45="v","x","")</f>
        <v/>
      </c>
      <c r="H15" s="569">
        <f>IF('Aanpassen Werkschema'!I45="v","x","")</f>
        <v/>
      </c>
      <c r="I15" s="569">
        <f>IF('Aanpassen Werkschema'!J45="v","x","")</f>
        <v/>
      </c>
      <c r="J15" s="569">
        <f>IF('Aanpassen Werkschema'!K45="v","x","")</f>
        <v/>
      </c>
      <c r="K15" s="569">
        <f>IF('Aanpassen Werkschema'!L45="v","x","")</f>
        <v/>
      </c>
      <c r="L15" s="571">
        <f>IF('Aanpassen Werkschema'!M45&gt;0,'Aanpassen Werkschema'!M45,"")</f>
        <v/>
      </c>
      <c r="M15" s="571">
        <f>IF('Aanpassen Werkschema'!N45&gt;0,'Aanpassen Werkschema'!N45,"")</f>
        <v/>
      </c>
      <c r="N15" s="571">
        <f>IF('Aanpassen Werkschema'!O45&gt;0,'Aanpassen Werkschema'!O45,"")</f>
        <v/>
      </c>
      <c r="O15" s="571">
        <f>IF('Aanpassen Werkschema'!P45&gt;0,'Aanpassen Werkschema'!P45,"")</f>
        <v/>
      </c>
      <c r="P15" s="571">
        <f>IF('Aanpassen Werkschema'!Q45&gt;0,'Aanpassen Werkschema'!Q45,"")</f>
        <v/>
      </c>
      <c r="Q15" s="571">
        <f>IF('Aanpassen Werkschema'!R45&gt;0,'Aanpassen Werkschema'!R45,"")</f>
        <v/>
      </c>
      <c r="R15" s="571">
        <f>IF('Aanpassen Werkschema'!S45&gt;0,'Aanpassen Werkschema'!S45,"")</f>
        <v/>
      </c>
      <c r="S15" s="569">
        <f>IF('Aanpassen Werkschema'!T45="x","",IF('Aanpassen Werkschema'!N45="v","x",IF(E15="","",IF(E15="x","x"))))</f>
        <v/>
      </c>
      <c r="T15" s="569">
        <f>IF('Aanpassen Werkschema'!U45="x","",IF('Aanpassen Werkschema'!O45="v","x",IF(F15="","",IF(F15="x","x"))))</f>
        <v/>
      </c>
      <c r="U15" s="569">
        <f>IF('Aanpassen Werkschema'!V45="x","",IF('Aanpassen Werkschema'!P45="v","x",IF(G15="","",IF(G15="x","x"))))</f>
        <v/>
      </c>
      <c r="V15" s="569">
        <f>IF('Aanpassen Werkschema'!W45="x","",IF('Aanpassen Werkschema'!Q45="v","x",IF(H15="","",IF(H15="x","x"))))</f>
        <v/>
      </c>
      <c r="W15" s="569">
        <f>IF('Aanpassen Werkschema'!X45="x","",IF('Aanpassen Werkschema'!R45="v","x",IF(I15="","",IF(I15="x","x"))))</f>
        <v/>
      </c>
      <c r="X15" s="569">
        <f>IF('Aanpassen Werkschema'!Y45="x","",IF('Aanpassen Werkschema'!S45="v","x",IF(J15="","",IF(J15="x","x"))))</f>
        <v/>
      </c>
      <c r="Y15" s="569">
        <f>IF('Aanpassen Werkschema'!Z45="x","",IF('Aanpassen Werkschema'!T45="v","x",IF(K15="","",IF(K15="x","x"))))</f>
        <v/>
      </c>
      <c r="Z15" s="850">
        <f>Z14+0.0000000001</f>
        <v/>
      </c>
      <c r="AA15" s="851">
        <f>IFERROR(IF(C15="",1.1,IF(S15="",1,IF($C15=1,VLOOKUP($B15,'Werkschema - Rekening'!$B$2:$C$46,2,FALSE),IF($C15=2,Instellingen!C$16,IF($C15=3,Instellingen!D$16,IF($C15=4,L15))))+$D15)+$Z15),1.1)</f>
        <v/>
      </c>
      <c r="AB15" s="852">
        <f>IF($B15="","",IFERROR(VLOOKUP($B15,'Werkschema - Rekening'!$B$2:$P$46,3,FALSE),""))</f>
        <v/>
      </c>
      <c r="AC15" s="851">
        <f>IFERROR(IF(C15="",1.1,IF(T15="",1,IF($C15=1,VLOOKUP($B15,'Werkschema - Rekening'!$B$2:$E$46,4,FALSE),IF($C15=2,Instellingen!E$16,IF($C15=3,Instellingen!F$16,IF($C15=4,M15))))+$D15)+$Z15),1.1)</f>
        <v/>
      </c>
      <c r="AD15" s="852">
        <f>IF($B15="","",IFERROR(VLOOKUP($B15,'Werkschema - Rekening'!$B$2:$P$46,5,FALSE),""))</f>
        <v/>
      </c>
      <c r="AE15" s="851">
        <f>IFERROR(IF(C15="",1.1,IF(U15="",1,IF($C15=1,VLOOKUP($B15,'Werkschema - Rekening'!$B$2:$G$46,6,FALSE),IF($C15=2,Instellingen!G$16,IF($C15=3,Instellingen!H$16,IF($C15=4,N15))))+$D15)+$Z15),1.1)</f>
        <v/>
      </c>
      <c r="AF15" s="852">
        <f>IF($B15="","",IFERROR(VLOOKUP($B15,'Werkschema - Rekening'!$B$2:$P$46,7,FALSE),""))</f>
        <v/>
      </c>
      <c r="AG15" s="851">
        <f>IFERROR(IF(C15="",1.1,IF(V15="",1,IF($C15=1,VLOOKUP($B15,'Werkschema - Rekening'!$B$2:$I$46,8,FALSE),IF($C15=2,Instellingen!I$16,IF($C15=3,Instellingen!J$16,IF($C15=4,O15))))+$D15)+$Z15),1.1)</f>
        <v/>
      </c>
      <c r="AH15" s="852">
        <f>IF($B15="","",IFERROR(VLOOKUP($B15,'Werkschema - Rekening'!$B$2:$P$46,9,FALSE),""))</f>
        <v/>
      </c>
      <c r="AI15" s="851">
        <f>IFERROR(IF(C15="",1.1,IF(W15="",1,IF($C15=1,VLOOKUP($B15,'Werkschema - Rekening'!$B$2:$K$46,10,FALSE),IF($C15=2,Instellingen!K$16,IF($C15=3,Instellingen!L$16,IF($C15=4,P15))))+$D15)+$Z15),1.1)</f>
        <v/>
      </c>
      <c r="AJ15" s="852">
        <f>IF($B15="","",IFERROR(VLOOKUP($B15,'Werkschema - Rekening'!$B$2:$P$46,11,FALSE),""))</f>
        <v/>
      </c>
      <c r="AK15" s="851">
        <f>IFERROR(IF(C15="",1.1,IF(X15="",1,IF($C15=1,VLOOKUP($B15,'Werkschema - Rekening'!$B$2:$M$46,12,FALSE),IF($C15=2,Instellingen!M$16,IF($C15=3,Instellingen!N$16,IF($C15=4,Q15))))+$D15)+$Z15),1.1)</f>
        <v/>
      </c>
      <c r="AL15" s="852">
        <f>IF($B15="","",IFERROR(VLOOKUP($B15,'Werkschema - Rekening'!$B$2:$P$46,13,FALSE),""))</f>
        <v/>
      </c>
      <c r="AM15" s="851">
        <f>IFERROR(IF(C15="",1.1,IF(Y15="",1,IF($C15=1,VLOOKUP($B15,'Werkschema - Rekening'!$B$2:$O$46,14,FALSE),IF($C15=2,Instellingen!O$16,IF($C15=3,Instellingen!P$16,IF($C15=4,R15))))+$D15)+$Z15),1.1)</f>
        <v/>
      </c>
      <c r="AN15" s="852">
        <f>IF($B15="","",IFERROR(VLOOKUP($B15,'Werkschema - Rekening'!$B$2:$P$46,15,FALSE),""))</f>
        <v/>
      </c>
      <c r="AO15" s="852">
        <f>A15</f>
        <v/>
      </c>
      <c r="AP15" s="852">
        <f>B15</f>
        <v/>
      </c>
    </row>
    <row r="16" ht="15" customHeight="1">
      <c r="A16" s="830">
        <f>'Aanpassen Werkschema'!B46</f>
        <v/>
      </c>
      <c r="B16" s="569">
        <f>'Aanpassen Werkschema'!C46</f>
        <v/>
      </c>
      <c r="C16" s="569">
        <f>IF('Aanpassen Werkschema'!D46="geplande taak",1,IF('Aanpassen Werkschema'!D46="openingstijd",2,IF('Aanpassen Werkschema'!D46="sluitingstijd",3,IF('Aanpassen Werkschema'!D46="vaste tijd",4,""))))</f>
        <v/>
      </c>
      <c r="D16" s="849">
        <f>'Aanpassen Werkschema'!E46</f>
        <v/>
      </c>
      <c r="E16" s="569">
        <f>IF('Aanpassen Werkschema'!F46="v","x","")</f>
        <v/>
      </c>
      <c r="F16" s="569">
        <f>IF('Aanpassen Werkschema'!G46="v","x","")</f>
        <v/>
      </c>
      <c r="G16" s="569">
        <f>IF('Aanpassen Werkschema'!H46="v","x","")</f>
        <v/>
      </c>
      <c r="H16" s="569">
        <f>IF('Aanpassen Werkschema'!I46="v","x","")</f>
        <v/>
      </c>
      <c r="I16" s="569">
        <f>IF('Aanpassen Werkschema'!J46="v","x","")</f>
        <v/>
      </c>
      <c r="J16" s="569">
        <f>IF('Aanpassen Werkschema'!K46="v","x","")</f>
        <v/>
      </c>
      <c r="K16" s="569">
        <f>IF('Aanpassen Werkschema'!L46="v","x","")</f>
        <v/>
      </c>
      <c r="L16" s="571">
        <f>IF('Aanpassen Werkschema'!M46&gt;0,'Aanpassen Werkschema'!M46,"")</f>
        <v/>
      </c>
      <c r="M16" s="571">
        <f>IF('Aanpassen Werkschema'!N46&gt;0,'Aanpassen Werkschema'!N46,"")</f>
        <v/>
      </c>
      <c r="N16" s="571">
        <f>IF('Aanpassen Werkschema'!O46&gt;0,'Aanpassen Werkschema'!O46,"")</f>
        <v/>
      </c>
      <c r="O16" s="571">
        <f>IF('Aanpassen Werkschema'!P46&gt;0,'Aanpassen Werkschema'!P46,"")</f>
        <v/>
      </c>
      <c r="P16" s="571">
        <f>IF('Aanpassen Werkschema'!Q46&gt;0,'Aanpassen Werkschema'!Q46,"")</f>
        <v/>
      </c>
      <c r="Q16" s="571">
        <f>IF('Aanpassen Werkschema'!R46&gt;0,'Aanpassen Werkschema'!R46,"")</f>
        <v/>
      </c>
      <c r="R16" s="571">
        <f>IF('Aanpassen Werkschema'!S46&gt;0,'Aanpassen Werkschema'!S46,"")</f>
        <v/>
      </c>
      <c r="S16" s="569">
        <f>IF('Aanpassen Werkschema'!T46="x","",IF('Aanpassen Werkschema'!N46="v","x",IF(E16="","",IF(E16="x","x"))))</f>
        <v/>
      </c>
      <c r="T16" s="569">
        <f>IF('Aanpassen Werkschema'!U46="x","",IF('Aanpassen Werkschema'!O46="v","x",IF(F16="","",IF(F16="x","x"))))</f>
        <v/>
      </c>
      <c r="U16" s="569">
        <f>IF('Aanpassen Werkschema'!V46="x","",IF('Aanpassen Werkschema'!P46="v","x",IF(G16="","",IF(G16="x","x"))))</f>
        <v/>
      </c>
      <c r="V16" s="569">
        <f>IF('Aanpassen Werkschema'!W46="x","",IF('Aanpassen Werkschema'!Q46="v","x",IF(H16="","",IF(H16="x","x"))))</f>
        <v/>
      </c>
      <c r="W16" s="569">
        <f>IF('Aanpassen Werkschema'!X46="x","",IF('Aanpassen Werkschema'!R46="v","x",IF(I16="","",IF(I16="x","x"))))</f>
        <v/>
      </c>
      <c r="X16" s="569">
        <f>IF('Aanpassen Werkschema'!Y46="x","",IF('Aanpassen Werkschema'!S46="v","x",IF(J16="","",IF(J16="x","x"))))</f>
        <v/>
      </c>
      <c r="Y16" s="569">
        <f>IF('Aanpassen Werkschema'!Z46="x","",IF('Aanpassen Werkschema'!T46="v","x",IF(K16="","",IF(K16="x","x"))))</f>
        <v/>
      </c>
      <c r="Z16" s="850">
        <f>Z15+0.0000000001</f>
        <v/>
      </c>
      <c r="AA16" s="851">
        <f>IFERROR(IF(C16="",1.1,IF(S16="",1,IF($C16=1,VLOOKUP($B16,'Werkschema - Rekening'!$B$2:$C$46,2,FALSE),IF($C16=2,Instellingen!C$16,IF($C16=3,Instellingen!D$16,IF($C16=4,L16))))+$D16)+$Z16),1.1)</f>
        <v/>
      </c>
      <c r="AB16" s="852">
        <f>IF($B16="","",IFERROR(VLOOKUP($B16,'Werkschema - Rekening'!$B$2:$P$46,3,FALSE),""))</f>
        <v/>
      </c>
      <c r="AC16" s="851">
        <f>IFERROR(IF(C16="",1.1,IF(T16="",1,IF($C16=1,VLOOKUP($B16,'Werkschema - Rekening'!$B$2:$E$46,4,FALSE),IF($C16=2,Instellingen!E$16,IF($C16=3,Instellingen!F$16,IF($C16=4,M16))))+$D16)+$Z16),1.1)</f>
        <v/>
      </c>
      <c r="AD16" s="852">
        <f>IF($B16="","",IFERROR(VLOOKUP($B16,'Werkschema - Rekening'!$B$2:$P$46,5,FALSE),""))</f>
        <v/>
      </c>
      <c r="AE16" s="851">
        <f>IFERROR(IF(C16="",1.1,IF(U16="",1,IF($C16=1,VLOOKUP($B16,'Werkschema - Rekening'!$B$2:$G$46,6,FALSE),IF($C16=2,Instellingen!G$16,IF($C16=3,Instellingen!H$16,IF($C16=4,N16))))+$D16)+$Z16),1.1)</f>
        <v/>
      </c>
      <c r="AF16" s="852">
        <f>IF($B16="","",IFERROR(VLOOKUP($B16,'Werkschema - Rekening'!$B$2:$P$46,7,FALSE),""))</f>
        <v/>
      </c>
      <c r="AG16" s="851">
        <f>IFERROR(IF(C16="",1.1,IF(V16="",1,IF($C16=1,VLOOKUP($B16,'Werkschema - Rekening'!$B$2:$I$46,8,FALSE),IF($C16=2,Instellingen!I$16,IF($C16=3,Instellingen!J$16,IF($C16=4,O16))))+$D16)+$Z16),1.1)</f>
        <v/>
      </c>
      <c r="AH16" s="852">
        <f>IF($B16="","",IFERROR(VLOOKUP($B16,'Werkschema - Rekening'!$B$2:$P$46,9,FALSE),""))</f>
        <v/>
      </c>
      <c r="AI16" s="851">
        <f>IFERROR(IF(C16="",1.1,IF(W16="",1,IF($C16=1,VLOOKUP($B16,'Werkschema - Rekening'!$B$2:$K$46,10,FALSE),IF($C16=2,Instellingen!K$16,IF($C16=3,Instellingen!L$16,IF($C16=4,P16))))+$D16)+$Z16),1.1)</f>
        <v/>
      </c>
      <c r="AJ16" s="852">
        <f>IF($B16="","",IFERROR(VLOOKUP($B16,'Werkschema - Rekening'!$B$2:$P$46,11,FALSE),""))</f>
        <v/>
      </c>
      <c r="AK16" s="851">
        <f>IFERROR(IF(C16="",1.1,IF(X16="",1,IF($C16=1,VLOOKUP($B16,'Werkschema - Rekening'!$B$2:$M$46,12,FALSE),IF($C16=2,Instellingen!M$16,IF($C16=3,Instellingen!N$16,IF($C16=4,Q16))))+$D16)+$Z16),1.1)</f>
        <v/>
      </c>
      <c r="AL16" s="852">
        <f>IF($B16="","",IFERROR(VLOOKUP($B16,'Werkschema - Rekening'!$B$2:$P$46,13,FALSE),""))</f>
        <v/>
      </c>
      <c r="AM16" s="851">
        <f>IFERROR(IF(C16="",1.1,IF(Y16="",1,IF($C16=1,VLOOKUP($B16,'Werkschema - Rekening'!$B$2:$O$46,14,FALSE),IF($C16=2,Instellingen!O$16,IF($C16=3,Instellingen!P$16,IF($C16=4,R16))))+$D16)+$Z16),1.1)</f>
        <v/>
      </c>
      <c r="AN16" s="852">
        <f>IF($B16="","",IFERROR(VLOOKUP($B16,'Werkschema - Rekening'!$B$2:$P$46,15,FALSE),""))</f>
        <v/>
      </c>
      <c r="AO16" s="852">
        <f>A16</f>
        <v/>
      </c>
      <c r="AP16" s="852">
        <f>B16</f>
        <v/>
      </c>
    </row>
    <row r="17" ht="15" customHeight="1">
      <c r="A17" s="830">
        <f>'Aanpassen Werkschema'!B47</f>
        <v/>
      </c>
      <c r="B17" s="569">
        <f>'Aanpassen Werkschema'!C47</f>
        <v/>
      </c>
      <c r="C17" s="569">
        <f>IF('Aanpassen Werkschema'!D47="geplande taak",1,IF('Aanpassen Werkschema'!D47="openingstijd",2,IF('Aanpassen Werkschema'!D47="sluitingstijd",3,IF('Aanpassen Werkschema'!D47="vaste tijd",4,""))))</f>
        <v/>
      </c>
      <c r="D17" s="849">
        <f>'Aanpassen Werkschema'!E47</f>
        <v/>
      </c>
      <c r="E17" s="569">
        <f>IF('Aanpassen Werkschema'!F47="v","x","")</f>
        <v/>
      </c>
      <c r="F17" s="569">
        <f>IF('Aanpassen Werkschema'!G47="v","x","")</f>
        <v/>
      </c>
      <c r="G17" s="569">
        <f>IF('Aanpassen Werkschema'!H47="v","x","")</f>
        <v/>
      </c>
      <c r="H17" s="569">
        <f>IF('Aanpassen Werkschema'!I47="v","x","")</f>
        <v/>
      </c>
      <c r="I17" s="569">
        <f>IF('Aanpassen Werkschema'!J47="v","x","")</f>
        <v/>
      </c>
      <c r="J17" s="569">
        <f>IF('Aanpassen Werkschema'!K47="v","x","")</f>
        <v/>
      </c>
      <c r="K17" s="569">
        <f>IF('Aanpassen Werkschema'!L47="v","x","")</f>
        <v/>
      </c>
      <c r="L17" s="571">
        <f>IF('Aanpassen Werkschema'!M47&gt;0,'Aanpassen Werkschema'!M47,"")</f>
        <v/>
      </c>
      <c r="M17" s="571">
        <f>IF('Aanpassen Werkschema'!N47&gt;0,'Aanpassen Werkschema'!N47,"")</f>
        <v/>
      </c>
      <c r="N17" s="571">
        <f>IF('Aanpassen Werkschema'!O47&gt;0,'Aanpassen Werkschema'!O47,"")</f>
        <v/>
      </c>
      <c r="O17" s="571">
        <f>IF('Aanpassen Werkschema'!P47&gt;0,'Aanpassen Werkschema'!P47,"")</f>
        <v/>
      </c>
      <c r="P17" s="571">
        <f>IF('Aanpassen Werkschema'!Q47&gt;0,'Aanpassen Werkschema'!Q47,"")</f>
        <v/>
      </c>
      <c r="Q17" s="571">
        <f>IF('Aanpassen Werkschema'!R47&gt;0,'Aanpassen Werkschema'!R47,"")</f>
        <v/>
      </c>
      <c r="R17" s="571">
        <f>IF('Aanpassen Werkschema'!S47&gt;0,'Aanpassen Werkschema'!S47,"")</f>
        <v/>
      </c>
      <c r="S17" s="569">
        <f>IF('Aanpassen Werkschema'!T47="x","",IF('Aanpassen Werkschema'!N47="v","x",IF(E17="","",IF(E17="x","x"))))</f>
        <v/>
      </c>
      <c r="T17" s="569">
        <f>IF('Aanpassen Werkschema'!U47="x","",IF('Aanpassen Werkschema'!O47="v","x",IF(F17="","",IF(F17="x","x"))))</f>
        <v/>
      </c>
      <c r="U17" s="569">
        <f>IF('Aanpassen Werkschema'!V47="x","",IF('Aanpassen Werkschema'!P47="v","x",IF(G17="","",IF(G17="x","x"))))</f>
        <v/>
      </c>
      <c r="V17" s="569">
        <f>IF('Aanpassen Werkschema'!W47="x","",IF('Aanpassen Werkschema'!Q47="v","x",IF(H17="","",IF(H17="x","x"))))</f>
        <v/>
      </c>
      <c r="W17" s="569">
        <f>IF('Aanpassen Werkschema'!X47="x","",IF('Aanpassen Werkschema'!R47="v","x",IF(I17="","",IF(I17="x","x"))))</f>
        <v/>
      </c>
      <c r="X17" s="569">
        <f>IF('Aanpassen Werkschema'!Y47="x","",IF('Aanpassen Werkschema'!S47="v","x",IF(J17="","",IF(J17="x","x"))))</f>
        <v/>
      </c>
      <c r="Y17" s="569">
        <f>IF('Aanpassen Werkschema'!Z47="x","",IF('Aanpassen Werkschema'!T47="v","x",IF(K17="","",IF(K17="x","x"))))</f>
        <v/>
      </c>
      <c r="Z17" s="850">
        <f>Z16+0.0000000001</f>
        <v/>
      </c>
      <c r="AA17" s="851">
        <f>IFERROR(IF(C17="",1.1,IF(S17="",1,IF($C17=1,VLOOKUP($B17,'Werkschema - Rekening'!$B$2:$C$46,2,FALSE),IF($C17=2,Instellingen!C$16,IF($C17=3,Instellingen!D$16,IF($C17=4,L17))))+$D17)+$Z17),1.1)</f>
        <v/>
      </c>
      <c r="AB17" s="852">
        <f>IF($B17="","",IFERROR(VLOOKUP($B17,'Werkschema - Rekening'!$B$2:$P$46,3,FALSE),""))</f>
        <v/>
      </c>
      <c r="AC17" s="851">
        <f>IFERROR(IF(C17="",1.1,IF(T17="",1,IF($C17=1,VLOOKUP($B17,'Werkschema - Rekening'!$B$2:$E$46,4,FALSE),IF($C17=2,Instellingen!E$16,IF($C17=3,Instellingen!F$16,IF($C17=4,M17))))+$D17)+$Z17),1.1)</f>
        <v/>
      </c>
      <c r="AD17" s="852">
        <f>IF($B17="","",IFERROR(VLOOKUP($B17,'Werkschema - Rekening'!$B$2:$P$46,5,FALSE),""))</f>
        <v/>
      </c>
      <c r="AE17" s="851">
        <f>IFERROR(IF(C17="",1.1,IF(U17="",1,IF($C17=1,VLOOKUP($B17,'Werkschema - Rekening'!$B$2:$G$46,6,FALSE),IF($C17=2,Instellingen!G$16,IF($C17=3,Instellingen!H$16,IF($C17=4,N17))))+$D17)+$Z17),1.1)</f>
        <v/>
      </c>
      <c r="AF17" s="852">
        <f>IF($B17="","",IFERROR(VLOOKUP($B17,'Werkschema - Rekening'!$B$2:$P$46,7,FALSE),""))</f>
        <v/>
      </c>
      <c r="AG17" s="851">
        <f>IFERROR(IF(C17="",1.1,IF(V17="",1,IF($C17=1,VLOOKUP($B17,'Werkschema - Rekening'!$B$2:$I$46,8,FALSE),IF($C17=2,Instellingen!I$16,IF($C17=3,Instellingen!J$16,IF($C17=4,O17))))+$D17)+$Z17),1.1)</f>
        <v/>
      </c>
      <c r="AH17" s="852">
        <f>IF($B17="","",IFERROR(VLOOKUP($B17,'Werkschema - Rekening'!$B$2:$P$46,9,FALSE),""))</f>
        <v/>
      </c>
      <c r="AI17" s="851">
        <f>IFERROR(IF(C17="",1.1,IF(W17="",1,IF($C17=1,VLOOKUP($B17,'Werkschema - Rekening'!$B$2:$K$46,10,FALSE),IF($C17=2,Instellingen!K$16,IF($C17=3,Instellingen!L$16,IF($C17=4,P17))))+$D17)+$Z17),1.1)</f>
        <v/>
      </c>
      <c r="AJ17" s="852">
        <f>IF($B17="","",IFERROR(VLOOKUP($B17,'Werkschema - Rekening'!$B$2:$P$46,11,FALSE),""))</f>
        <v/>
      </c>
      <c r="AK17" s="851">
        <f>IFERROR(IF(C17="",1.1,IF(X17="",1,IF($C17=1,VLOOKUP($B17,'Werkschema - Rekening'!$B$2:$M$46,12,FALSE),IF($C17=2,Instellingen!M$16,IF($C17=3,Instellingen!N$16,IF($C17=4,Q17))))+$D17)+$Z17),1.1)</f>
        <v/>
      </c>
      <c r="AL17" s="852">
        <f>IF($B17="","",IFERROR(VLOOKUP($B17,'Werkschema - Rekening'!$B$2:$P$46,13,FALSE),""))</f>
        <v/>
      </c>
      <c r="AM17" s="851">
        <f>IFERROR(IF(C17="",1.1,IF(Y17="",1,IF($C17=1,VLOOKUP($B17,'Werkschema - Rekening'!$B$2:$O$46,14,FALSE),IF($C17=2,Instellingen!O$16,IF($C17=3,Instellingen!P$16,IF($C17=4,R17))))+$D17)+$Z17),1.1)</f>
        <v/>
      </c>
      <c r="AN17" s="852">
        <f>IF($B17="","",IFERROR(VLOOKUP($B17,'Werkschema - Rekening'!$B$2:$P$46,15,FALSE),""))</f>
        <v/>
      </c>
      <c r="AO17" s="852">
        <f>A17</f>
        <v/>
      </c>
      <c r="AP17" s="852">
        <f>B17</f>
        <v/>
      </c>
    </row>
    <row r="18" ht="15" customHeight="1">
      <c r="A18" s="830">
        <f>'Aanpassen Werkschema'!B48</f>
        <v/>
      </c>
      <c r="B18" s="569">
        <f>'Aanpassen Werkschema'!C48</f>
        <v/>
      </c>
      <c r="C18" s="569">
        <f>IF('Aanpassen Werkschema'!D48="geplande taak",1,IF('Aanpassen Werkschema'!D48="openingstijd",2,IF('Aanpassen Werkschema'!D48="sluitingstijd",3,IF('Aanpassen Werkschema'!D48="vaste tijd",4,""))))</f>
        <v/>
      </c>
      <c r="D18" s="849">
        <f>'Aanpassen Werkschema'!E48</f>
        <v/>
      </c>
      <c r="E18" s="569">
        <f>IF('Aanpassen Werkschema'!F48="v","x","")</f>
        <v/>
      </c>
      <c r="F18" s="569">
        <f>IF('Aanpassen Werkschema'!G48="v","x","")</f>
        <v/>
      </c>
      <c r="G18" s="569">
        <f>IF('Aanpassen Werkschema'!H48="v","x","")</f>
        <v/>
      </c>
      <c r="H18" s="569">
        <f>IF('Aanpassen Werkschema'!I48="v","x","")</f>
        <v/>
      </c>
      <c r="I18" s="569">
        <f>IF('Aanpassen Werkschema'!J48="v","x","")</f>
        <v/>
      </c>
      <c r="J18" s="569">
        <f>IF('Aanpassen Werkschema'!K48="v","x","")</f>
        <v/>
      </c>
      <c r="K18" s="569">
        <f>IF('Aanpassen Werkschema'!L48="v","x","")</f>
        <v/>
      </c>
      <c r="L18" s="571">
        <f>IF('Aanpassen Werkschema'!M48&gt;0,'Aanpassen Werkschema'!M48,"")</f>
        <v/>
      </c>
      <c r="M18" s="571">
        <f>IF('Aanpassen Werkschema'!N48&gt;0,'Aanpassen Werkschema'!N48,"")</f>
        <v/>
      </c>
      <c r="N18" s="571">
        <f>IF('Aanpassen Werkschema'!O48&gt;0,'Aanpassen Werkschema'!O48,"")</f>
        <v/>
      </c>
      <c r="O18" s="571">
        <f>IF('Aanpassen Werkschema'!P48&gt;0,'Aanpassen Werkschema'!P48,"")</f>
        <v/>
      </c>
      <c r="P18" s="571">
        <f>IF('Aanpassen Werkschema'!Q48&gt;0,'Aanpassen Werkschema'!Q48,"")</f>
        <v/>
      </c>
      <c r="Q18" s="571">
        <f>IF('Aanpassen Werkschema'!R48&gt;0,'Aanpassen Werkschema'!R48,"")</f>
        <v/>
      </c>
      <c r="R18" s="571">
        <f>IF('Aanpassen Werkschema'!S48&gt;0,'Aanpassen Werkschema'!S48,"")</f>
        <v/>
      </c>
      <c r="S18" s="569">
        <f>IF('Aanpassen Werkschema'!T48="x","",IF('Aanpassen Werkschema'!N48="v","x",IF(E18="","",IF(E18="x","x"))))</f>
        <v/>
      </c>
      <c r="T18" s="569">
        <f>IF('Aanpassen Werkschema'!U48="x","",IF('Aanpassen Werkschema'!O48="v","x",IF(F18="","",IF(F18="x","x"))))</f>
        <v/>
      </c>
      <c r="U18" s="569">
        <f>IF('Aanpassen Werkschema'!V48="x","",IF('Aanpassen Werkschema'!P48="v","x",IF(G18="","",IF(G18="x","x"))))</f>
        <v/>
      </c>
      <c r="V18" s="569">
        <f>IF('Aanpassen Werkschema'!W48="x","",IF('Aanpassen Werkschema'!Q48="v","x",IF(H18="","",IF(H18="x","x"))))</f>
        <v/>
      </c>
      <c r="W18" s="569">
        <f>IF('Aanpassen Werkschema'!X48="x","",IF('Aanpassen Werkschema'!R48="v","x",IF(I18="","",IF(I18="x","x"))))</f>
        <v/>
      </c>
      <c r="X18" s="569">
        <f>IF('Aanpassen Werkschema'!Y48="x","",IF('Aanpassen Werkschema'!S48="v","x",IF(J18="","",IF(J18="x","x"))))</f>
        <v/>
      </c>
      <c r="Y18" s="569">
        <f>IF('Aanpassen Werkschema'!Z48="x","",IF('Aanpassen Werkschema'!T48="v","x",IF(K18="","",IF(K18="x","x"))))</f>
        <v/>
      </c>
      <c r="Z18" s="850">
        <f>Z17+0.0000000001</f>
        <v/>
      </c>
      <c r="AA18" s="851">
        <f>IFERROR(IF(C18="",1.1,IF(S18="",1,IF($C18=1,VLOOKUP($B18,'Werkschema - Rekening'!$B$2:$C$46,2,FALSE),IF($C18=2,Instellingen!C$16,IF($C18=3,Instellingen!D$16,IF($C18=4,L18))))+$D18)+$Z18),1.1)</f>
        <v/>
      </c>
      <c r="AB18" s="852">
        <f>IF($B18="","",IFERROR(VLOOKUP($B18,'Werkschema - Rekening'!$B$2:$P$46,3,FALSE),""))</f>
        <v/>
      </c>
      <c r="AC18" s="851">
        <f>IFERROR(IF(C18="",1.1,IF(T18="",1,IF($C18=1,VLOOKUP($B18,'Werkschema - Rekening'!$B$2:$E$46,4,FALSE),IF($C18=2,Instellingen!E$16,IF($C18=3,Instellingen!F$16,IF($C18=4,M18))))+$D18)+$Z18),1.1)</f>
        <v/>
      </c>
      <c r="AD18" s="852">
        <f>IF($B18="","",IFERROR(VLOOKUP($B18,'Werkschema - Rekening'!$B$2:$P$46,5,FALSE),""))</f>
        <v/>
      </c>
      <c r="AE18" s="851">
        <f>IFERROR(IF(C18="",1.1,IF(U18="",1,IF($C18=1,VLOOKUP($B18,'Werkschema - Rekening'!$B$2:$G$46,6,FALSE),IF($C18=2,Instellingen!G$16,IF($C18=3,Instellingen!H$16,IF($C18=4,N18))))+$D18)+$Z18),1.1)</f>
        <v/>
      </c>
      <c r="AF18" s="852">
        <f>IF($B18="","",IFERROR(VLOOKUP($B18,'Werkschema - Rekening'!$B$2:$P$46,7,FALSE),""))</f>
        <v/>
      </c>
      <c r="AG18" s="851">
        <f>IFERROR(IF(C18="",1.1,IF(V18="",1,IF($C18=1,VLOOKUP($B18,'Werkschema - Rekening'!$B$2:$I$46,8,FALSE),IF($C18=2,Instellingen!I$16,IF($C18=3,Instellingen!J$16,IF($C18=4,O18))))+$D18)+$Z18),1.1)</f>
        <v/>
      </c>
      <c r="AH18" s="852">
        <f>IF($B18="","",IFERROR(VLOOKUP($B18,'Werkschema - Rekening'!$B$2:$P$46,9,FALSE),""))</f>
        <v/>
      </c>
      <c r="AI18" s="851">
        <f>IFERROR(IF(C18="",1.1,IF(W18="",1,IF($C18=1,VLOOKUP($B18,'Werkschema - Rekening'!$B$2:$K$46,10,FALSE),IF($C18=2,Instellingen!K$16,IF($C18=3,Instellingen!L$16,IF($C18=4,P18))))+$D18)+$Z18),1.1)</f>
        <v/>
      </c>
      <c r="AJ18" s="852">
        <f>IF($B18="","",IFERROR(VLOOKUP($B18,'Werkschema - Rekening'!$B$2:$P$46,11,FALSE),""))</f>
        <v/>
      </c>
      <c r="AK18" s="851">
        <f>IFERROR(IF(C18="",1.1,IF(X18="",1,IF($C18=1,VLOOKUP($B18,'Werkschema - Rekening'!$B$2:$M$46,12,FALSE),IF($C18=2,Instellingen!M$16,IF($C18=3,Instellingen!N$16,IF($C18=4,Q18))))+$D18)+$Z18),1.1)</f>
        <v/>
      </c>
      <c r="AL18" s="852">
        <f>IF($B18="","",IFERROR(VLOOKUP($B18,'Werkschema - Rekening'!$B$2:$P$46,13,FALSE),""))</f>
        <v/>
      </c>
      <c r="AM18" s="851">
        <f>IFERROR(IF(C18="",1.1,IF(Y18="",1,IF($C18=1,VLOOKUP($B18,'Werkschema - Rekening'!$B$2:$O$46,14,FALSE),IF($C18=2,Instellingen!O$16,IF($C18=3,Instellingen!P$16,IF($C18=4,R18))))+$D18)+$Z18),1.1)</f>
        <v/>
      </c>
      <c r="AN18" s="852">
        <f>IF($B18="","",IFERROR(VLOOKUP($B18,'Werkschema - Rekening'!$B$2:$P$46,15,FALSE),""))</f>
        <v/>
      </c>
      <c r="AO18" s="852">
        <f>A18</f>
        <v/>
      </c>
      <c r="AP18" s="852">
        <f>B18</f>
        <v/>
      </c>
    </row>
    <row r="19" ht="15" customHeight="1">
      <c r="A19" s="830">
        <f>'Aanpassen Werkschema'!B49</f>
        <v/>
      </c>
      <c r="B19" s="569">
        <f>'Aanpassen Werkschema'!C49</f>
        <v/>
      </c>
      <c r="C19" s="569">
        <f>IF('Aanpassen Werkschema'!D49="geplande taak",1,IF('Aanpassen Werkschema'!D49="openingstijd",2,IF('Aanpassen Werkschema'!D49="sluitingstijd",3,IF('Aanpassen Werkschema'!D49="vaste tijd",4,""))))</f>
        <v/>
      </c>
      <c r="D19" s="849">
        <f>'Aanpassen Werkschema'!E49</f>
        <v/>
      </c>
      <c r="E19" s="569">
        <f>IF('Aanpassen Werkschema'!F49="v","x","")</f>
        <v/>
      </c>
      <c r="F19" s="569">
        <f>IF('Aanpassen Werkschema'!G49="v","x","")</f>
        <v/>
      </c>
      <c r="G19" s="569">
        <f>IF('Aanpassen Werkschema'!H49="v","x","")</f>
        <v/>
      </c>
      <c r="H19" s="569">
        <f>IF('Aanpassen Werkschema'!I49="v","x","")</f>
        <v/>
      </c>
      <c r="I19" s="569">
        <f>IF('Aanpassen Werkschema'!J49="v","x","")</f>
        <v/>
      </c>
      <c r="J19" s="569">
        <f>IF('Aanpassen Werkschema'!K49="v","x","")</f>
        <v/>
      </c>
      <c r="K19" s="569">
        <f>IF('Aanpassen Werkschema'!L49="v","x","")</f>
        <v/>
      </c>
      <c r="L19" s="571">
        <f>IF('Aanpassen Werkschema'!M49&gt;0,'Aanpassen Werkschema'!M49,"")</f>
        <v/>
      </c>
      <c r="M19" s="571">
        <f>IF('Aanpassen Werkschema'!N49&gt;0,'Aanpassen Werkschema'!N49,"")</f>
        <v/>
      </c>
      <c r="N19" s="571">
        <f>IF('Aanpassen Werkschema'!O49&gt;0,'Aanpassen Werkschema'!O49,"")</f>
        <v/>
      </c>
      <c r="O19" s="571">
        <f>IF('Aanpassen Werkschema'!P49&gt;0,'Aanpassen Werkschema'!P49,"")</f>
        <v/>
      </c>
      <c r="P19" s="571">
        <f>IF('Aanpassen Werkschema'!Q49&gt;0,'Aanpassen Werkschema'!Q49,"")</f>
        <v/>
      </c>
      <c r="Q19" s="571">
        <f>IF('Aanpassen Werkschema'!R49&gt;0,'Aanpassen Werkschema'!R49,"")</f>
        <v/>
      </c>
      <c r="R19" s="571">
        <f>IF('Aanpassen Werkschema'!S49&gt;0,'Aanpassen Werkschema'!S49,"")</f>
        <v/>
      </c>
      <c r="S19" s="569">
        <f>IF('Aanpassen Werkschema'!T49="x","",IF('Aanpassen Werkschema'!N49="v","x",IF(E19="","",IF(E19="x","x"))))</f>
        <v/>
      </c>
      <c r="T19" s="569">
        <f>IF('Aanpassen Werkschema'!U49="x","",IF('Aanpassen Werkschema'!O49="v","x",IF(F19="","",IF(F19="x","x"))))</f>
        <v/>
      </c>
      <c r="U19" s="569">
        <f>IF('Aanpassen Werkschema'!V49="x","",IF('Aanpassen Werkschema'!P49="v","x",IF(G19="","",IF(G19="x","x"))))</f>
        <v/>
      </c>
      <c r="V19" s="569">
        <f>IF('Aanpassen Werkschema'!W49="x","",IF('Aanpassen Werkschema'!Q49="v","x",IF(H19="","",IF(H19="x","x"))))</f>
        <v/>
      </c>
      <c r="W19" s="569">
        <f>IF('Aanpassen Werkschema'!X49="x","",IF('Aanpassen Werkschema'!R49="v","x",IF(I19="","",IF(I19="x","x"))))</f>
        <v/>
      </c>
      <c r="X19" s="569">
        <f>IF('Aanpassen Werkschema'!Y49="x","",IF('Aanpassen Werkschema'!S49="v","x",IF(J19="","",IF(J19="x","x"))))</f>
        <v/>
      </c>
      <c r="Y19" s="569">
        <f>IF('Aanpassen Werkschema'!Z49="x","",IF('Aanpassen Werkschema'!T49="v","x",IF(K19="","",IF(K19="x","x"))))</f>
        <v/>
      </c>
      <c r="Z19" s="850">
        <f>Z18+0.0000000001</f>
        <v/>
      </c>
      <c r="AA19" s="851">
        <f>IFERROR(IF(C19="",1.1,IF(S19="",1,IF($C19=1,VLOOKUP($B19,'Werkschema - Rekening'!$B$2:$C$46,2,FALSE),IF($C19=2,Instellingen!C$16,IF($C19=3,Instellingen!D$16,IF($C19=4,L19))))+$D19)+$Z19),1.1)</f>
        <v/>
      </c>
      <c r="AB19" s="852">
        <f>IF($B19="","",IFERROR(VLOOKUP($B19,'Werkschema - Rekening'!$B$2:$P$46,3,FALSE),""))</f>
        <v/>
      </c>
      <c r="AC19" s="851">
        <f>IFERROR(IF(C19="",1.1,IF(T19="",1,IF($C19=1,VLOOKUP($B19,'Werkschema - Rekening'!$B$2:$E$46,4,FALSE),IF($C19=2,Instellingen!E$16,IF($C19=3,Instellingen!F$16,IF($C19=4,M19))))+$D19)+$Z19),1.1)</f>
        <v/>
      </c>
      <c r="AD19" s="852">
        <f>IF($B19="","",IFERROR(VLOOKUP($B19,'Werkschema - Rekening'!$B$2:$P$46,5,FALSE),""))</f>
        <v/>
      </c>
      <c r="AE19" s="851">
        <f>IFERROR(IF(C19="",1.1,IF(U19="",1,IF($C19=1,VLOOKUP($B19,'Werkschema - Rekening'!$B$2:$G$46,6,FALSE),IF($C19=2,Instellingen!G$16,IF($C19=3,Instellingen!H$16,IF($C19=4,N19))))+$D19)+$Z19),1.1)</f>
        <v/>
      </c>
      <c r="AF19" s="852">
        <f>IF($B19="","",IFERROR(VLOOKUP($B19,'Werkschema - Rekening'!$B$2:$P$46,7,FALSE),""))</f>
        <v/>
      </c>
      <c r="AG19" s="851">
        <f>IFERROR(IF(C19="",1.1,IF(V19="",1,IF($C19=1,VLOOKUP($B19,'Werkschema - Rekening'!$B$2:$I$46,8,FALSE),IF($C19=2,Instellingen!I$16,IF($C19=3,Instellingen!J$16,IF($C19=4,O19))))+$D19)+$Z19),1.1)</f>
        <v/>
      </c>
      <c r="AH19" s="852">
        <f>IF($B19="","",IFERROR(VLOOKUP($B19,'Werkschema - Rekening'!$B$2:$P$46,9,FALSE),""))</f>
        <v/>
      </c>
      <c r="AI19" s="851">
        <f>IFERROR(IF(C19="",1.1,IF(W19="",1,IF($C19=1,VLOOKUP($B19,'Werkschema - Rekening'!$B$2:$K$46,10,FALSE),IF($C19=2,Instellingen!K$16,IF($C19=3,Instellingen!L$16,IF($C19=4,P19))))+$D19)+$Z19),1.1)</f>
        <v/>
      </c>
      <c r="AJ19" s="852">
        <f>IF($B19="","",IFERROR(VLOOKUP($B19,'Werkschema - Rekening'!$B$2:$P$46,11,FALSE),""))</f>
        <v/>
      </c>
      <c r="AK19" s="851">
        <f>IFERROR(IF(C19="",1.1,IF(X19="",1,IF($C19=1,VLOOKUP($B19,'Werkschema - Rekening'!$B$2:$M$46,12,FALSE),IF($C19=2,Instellingen!M$16,IF($C19=3,Instellingen!N$16,IF($C19=4,Q19))))+$D19)+$Z19),1.1)</f>
        <v/>
      </c>
      <c r="AL19" s="852">
        <f>IF($B19="","",IFERROR(VLOOKUP($B19,'Werkschema - Rekening'!$B$2:$P$46,13,FALSE),""))</f>
        <v/>
      </c>
      <c r="AM19" s="851">
        <f>IFERROR(IF(C19="",1.1,IF(Y19="",1,IF($C19=1,VLOOKUP($B19,'Werkschema - Rekening'!$B$2:$O$46,14,FALSE),IF($C19=2,Instellingen!O$16,IF($C19=3,Instellingen!P$16,IF($C19=4,R19))))+$D19)+$Z19),1.1)</f>
        <v/>
      </c>
      <c r="AN19" s="852">
        <f>IF($B19="","",IFERROR(VLOOKUP($B19,'Werkschema - Rekening'!$B$2:$P$46,15,FALSE),""))</f>
        <v/>
      </c>
      <c r="AO19" s="852">
        <f>A19</f>
        <v/>
      </c>
      <c r="AP19" s="852">
        <f>B19</f>
        <v/>
      </c>
    </row>
    <row r="20" ht="15" customHeight="1">
      <c r="A20" s="830">
        <f>'Aanpassen Werkschema'!B50</f>
        <v/>
      </c>
      <c r="B20" s="569">
        <f>'Aanpassen Werkschema'!C50</f>
        <v/>
      </c>
      <c r="C20" s="569">
        <f>IF('Aanpassen Werkschema'!D50="geplande taak",1,IF('Aanpassen Werkschema'!D50="openingstijd",2,IF('Aanpassen Werkschema'!D50="sluitingstijd",3,IF('Aanpassen Werkschema'!D50="vaste tijd",4,""))))</f>
        <v/>
      </c>
      <c r="D20" s="849">
        <f>'Aanpassen Werkschema'!E50</f>
        <v/>
      </c>
      <c r="E20" s="569">
        <f>IF('Aanpassen Werkschema'!F50="v","x","")</f>
        <v/>
      </c>
      <c r="F20" s="569">
        <f>IF('Aanpassen Werkschema'!G50="v","x","")</f>
        <v/>
      </c>
      <c r="G20" s="569">
        <f>IF('Aanpassen Werkschema'!H50="v","x","")</f>
        <v/>
      </c>
      <c r="H20" s="569">
        <f>IF('Aanpassen Werkschema'!I50="v","x","")</f>
        <v/>
      </c>
      <c r="I20" s="569">
        <f>IF('Aanpassen Werkschema'!J50="v","x","")</f>
        <v/>
      </c>
      <c r="J20" s="569">
        <f>IF('Aanpassen Werkschema'!K50="v","x","")</f>
        <v/>
      </c>
      <c r="K20" s="569">
        <f>IF('Aanpassen Werkschema'!L50="v","x","")</f>
        <v/>
      </c>
      <c r="L20" s="571">
        <f>IF('Aanpassen Werkschema'!M50&gt;0,'Aanpassen Werkschema'!M50,"")</f>
        <v/>
      </c>
      <c r="M20" s="571">
        <f>IF('Aanpassen Werkschema'!N50&gt;0,'Aanpassen Werkschema'!N50,"")</f>
        <v/>
      </c>
      <c r="N20" s="571">
        <f>IF('Aanpassen Werkschema'!O50&gt;0,'Aanpassen Werkschema'!O50,"")</f>
        <v/>
      </c>
      <c r="O20" s="571">
        <f>IF('Aanpassen Werkschema'!P50&gt;0,'Aanpassen Werkschema'!P50,"")</f>
        <v/>
      </c>
      <c r="P20" s="571">
        <f>IF('Aanpassen Werkschema'!Q50&gt;0,'Aanpassen Werkschema'!Q50,"")</f>
        <v/>
      </c>
      <c r="Q20" s="571">
        <f>IF('Aanpassen Werkschema'!R50&gt;0,'Aanpassen Werkschema'!R50,"")</f>
        <v/>
      </c>
      <c r="R20" s="571">
        <f>IF('Aanpassen Werkschema'!S50&gt;0,'Aanpassen Werkschema'!S50,"")</f>
        <v/>
      </c>
      <c r="S20" s="569">
        <f>IF('Aanpassen Werkschema'!T50="x","",IF('Aanpassen Werkschema'!N50="v","x",IF(E20="","",IF(E20="x","x"))))</f>
        <v/>
      </c>
      <c r="T20" s="569">
        <f>IF('Aanpassen Werkschema'!U50="x","",IF('Aanpassen Werkschema'!O50="v","x",IF(F20="","",IF(F20="x","x"))))</f>
        <v/>
      </c>
      <c r="U20" s="569">
        <f>IF('Aanpassen Werkschema'!V50="x","",IF('Aanpassen Werkschema'!P50="v","x",IF(G20="","",IF(G20="x","x"))))</f>
        <v/>
      </c>
      <c r="V20" s="569">
        <f>IF('Aanpassen Werkschema'!W50="x","",IF('Aanpassen Werkschema'!Q50="v","x",IF(H20="","",IF(H20="x","x"))))</f>
        <v/>
      </c>
      <c r="W20" s="569">
        <f>IF('Aanpassen Werkschema'!X50="x","",IF('Aanpassen Werkschema'!R50="v","x",IF(I20="","",IF(I20="x","x"))))</f>
        <v/>
      </c>
      <c r="X20" s="569">
        <f>IF('Aanpassen Werkschema'!Y50="x","",IF('Aanpassen Werkschema'!S50="v","x",IF(J20="","",IF(J20="x","x"))))</f>
        <v/>
      </c>
      <c r="Y20" s="569">
        <f>IF('Aanpassen Werkschema'!Z50="x","",IF('Aanpassen Werkschema'!T50="v","x",IF(K20="","",IF(K20="x","x"))))</f>
        <v/>
      </c>
      <c r="Z20" s="850">
        <f>Z19+0.0000000001</f>
        <v/>
      </c>
      <c r="AA20" s="851">
        <f>IFERROR(IF(C20="",1.1,IF(S20="",1,IF($C20=1,VLOOKUP($B20,'Werkschema - Rekening'!$B$2:$C$46,2,FALSE),IF($C20=2,Instellingen!C$16,IF($C20=3,Instellingen!D$16,IF($C20=4,L20))))+$D20)+$Z20),1.1)</f>
        <v/>
      </c>
      <c r="AB20" s="852">
        <f>IF($B20="","",IFERROR(VLOOKUP($B20,'Werkschema - Rekening'!$B$2:$P$46,3,FALSE),""))</f>
        <v/>
      </c>
      <c r="AC20" s="851">
        <f>IFERROR(IF(C20="",1.1,IF(T20="",1,IF($C20=1,VLOOKUP($B20,'Werkschema - Rekening'!$B$2:$E$46,4,FALSE),IF($C20=2,Instellingen!E$16,IF($C20=3,Instellingen!F$16,IF($C20=4,M20))))+$D20)+$Z20),1.1)</f>
        <v/>
      </c>
      <c r="AD20" s="852">
        <f>IF($B20="","",IFERROR(VLOOKUP($B20,'Werkschema - Rekening'!$B$2:$P$46,5,FALSE),""))</f>
        <v/>
      </c>
      <c r="AE20" s="851">
        <f>IFERROR(IF(C20="",1.1,IF(U20="",1,IF($C20=1,VLOOKUP($B20,'Werkschema - Rekening'!$B$2:$G$46,6,FALSE),IF($C20=2,Instellingen!G$16,IF($C20=3,Instellingen!H$16,IF($C20=4,N20))))+$D20)+$Z20),1.1)</f>
        <v/>
      </c>
      <c r="AF20" s="852">
        <f>IF($B20="","",IFERROR(VLOOKUP($B20,'Werkschema - Rekening'!$B$2:$P$46,7,FALSE),""))</f>
        <v/>
      </c>
      <c r="AG20" s="851">
        <f>IFERROR(IF(C20="",1.1,IF(V20="",1,IF($C20=1,VLOOKUP($B20,'Werkschema - Rekening'!$B$2:$I$46,8,FALSE),IF($C20=2,Instellingen!I$16,IF($C20=3,Instellingen!J$16,IF($C20=4,O20))))+$D20)+$Z20),1.1)</f>
        <v/>
      </c>
      <c r="AH20" s="852">
        <f>IF($B20="","",IFERROR(VLOOKUP($B20,'Werkschema - Rekening'!$B$2:$P$46,9,FALSE),""))</f>
        <v/>
      </c>
      <c r="AI20" s="851">
        <f>IFERROR(IF(C20="",1.1,IF(W20="",1,IF($C20=1,VLOOKUP($B20,'Werkschema - Rekening'!$B$2:$K$46,10,FALSE),IF($C20=2,Instellingen!K$16,IF($C20=3,Instellingen!L$16,IF($C20=4,P20))))+$D20)+$Z20),1.1)</f>
        <v/>
      </c>
      <c r="AJ20" s="852">
        <f>IF($B20="","",IFERROR(VLOOKUP($B20,'Werkschema - Rekening'!$B$2:$P$46,11,FALSE),""))</f>
        <v/>
      </c>
      <c r="AK20" s="851">
        <f>IFERROR(IF(C20="",1.1,IF(X20="",1,IF($C20=1,VLOOKUP($B20,'Werkschema - Rekening'!$B$2:$M$46,12,FALSE),IF($C20=2,Instellingen!M$16,IF($C20=3,Instellingen!N$16,IF($C20=4,Q20))))+$D20)+$Z20),1.1)</f>
        <v/>
      </c>
      <c r="AL20" s="852">
        <f>IF($B20="","",IFERROR(VLOOKUP($B20,'Werkschema - Rekening'!$B$2:$P$46,13,FALSE),""))</f>
        <v/>
      </c>
      <c r="AM20" s="851">
        <f>IFERROR(IF(C20="",1.1,IF(Y20="",1,IF($C20=1,VLOOKUP($B20,'Werkschema - Rekening'!$B$2:$O$46,14,FALSE),IF($C20=2,Instellingen!O$16,IF($C20=3,Instellingen!P$16,IF($C20=4,R20))))+$D20)+$Z20),1.1)</f>
        <v/>
      </c>
      <c r="AN20" s="852">
        <f>IF($B20="","",IFERROR(VLOOKUP($B20,'Werkschema - Rekening'!$B$2:$P$46,15,FALSE),""))</f>
        <v/>
      </c>
      <c r="AO20" s="852">
        <f>A20</f>
        <v/>
      </c>
      <c r="AP20" s="852">
        <f>B20</f>
        <v/>
      </c>
    </row>
    <row r="21" ht="15" customHeight="1">
      <c r="A21" s="830">
        <f>'Aanpassen Werkschema'!B51</f>
        <v/>
      </c>
      <c r="B21" s="569">
        <f>'Aanpassen Werkschema'!C51</f>
        <v/>
      </c>
      <c r="C21" s="569">
        <f>IF('Aanpassen Werkschema'!D51="geplande taak",1,IF('Aanpassen Werkschema'!D51="openingstijd",2,IF('Aanpassen Werkschema'!D51="sluitingstijd",3,IF('Aanpassen Werkschema'!D51="vaste tijd",4,""))))</f>
        <v/>
      </c>
      <c r="D21" s="849">
        <f>'Aanpassen Werkschema'!E51</f>
        <v/>
      </c>
      <c r="E21" s="569">
        <f>IF('Aanpassen Werkschema'!F51="v","x","")</f>
        <v/>
      </c>
      <c r="F21" s="569">
        <f>IF('Aanpassen Werkschema'!G51="v","x","")</f>
        <v/>
      </c>
      <c r="G21" s="569">
        <f>IF('Aanpassen Werkschema'!H51="v","x","")</f>
        <v/>
      </c>
      <c r="H21" s="569">
        <f>IF('Aanpassen Werkschema'!I51="v","x","")</f>
        <v/>
      </c>
      <c r="I21" s="569">
        <f>IF('Aanpassen Werkschema'!J51="v","x","")</f>
        <v/>
      </c>
      <c r="J21" s="569">
        <f>IF('Aanpassen Werkschema'!K51="v","x","")</f>
        <v/>
      </c>
      <c r="K21" s="569">
        <f>IF('Aanpassen Werkschema'!L51="v","x","")</f>
        <v/>
      </c>
      <c r="L21" s="571">
        <f>IF('Aanpassen Werkschema'!M51&gt;0,'Aanpassen Werkschema'!M51,"")</f>
        <v/>
      </c>
      <c r="M21" s="571">
        <f>IF('Aanpassen Werkschema'!N51&gt;0,'Aanpassen Werkschema'!N51,"")</f>
        <v/>
      </c>
      <c r="N21" s="571">
        <f>IF('Aanpassen Werkschema'!O51&gt;0,'Aanpassen Werkschema'!O51,"")</f>
        <v/>
      </c>
      <c r="O21" s="571">
        <f>IF('Aanpassen Werkschema'!P51&gt;0,'Aanpassen Werkschema'!P51,"")</f>
        <v/>
      </c>
      <c r="P21" s="571">
        <f>IF('Aanpassen Werkschema'!Q51&gt;0,'Aanpassen Werkschema'!Q51,"")</f>
        <v/>
      </c>
      <c r="Q21" s="571">
        <f>IF('Aanpassen Werkschema'!R51&gt;0,'Aanpassen Werkschema'!R51,"")</f>
        <v/>
      </c>
      <c r="R21" s="571">
        <f>IF('Aanpassen Werkschema'!S51&gt;0,'Aanpassen Werkschema'!S51,"")</f>
        <v/>
      </c>
      <c r="S21" s="569">
        <f>IF('Aanpassen Werkschema'!T51="x","",IF('Aanpassen Werkschema'!N51="v","x",IF(E21="","",IF(E21="x","x"))))</f>
        <v/>
      </c>
      <c r="T21" s="569">
        <f>IF('Aanpassen Werkschema'!U51="x","",IF('Aanpassen Werkschema'!O51="v","x",IF(F21="","",IF(F21="x","x"))))</f>
        <v/>
      </c>
      <c r="U21" s="569">
        <f>IF('Aanpassen Werkschema'!V51="x","",IF('Aanpassen Werkschema'!P51="v","x",IF(G21="","",IF(G21="x","x"))))</f>
        <v/>
      </c>
      <c r="V21" s="569">
        <f>IF('Aanpassen Werkschema'!W51="x","",IF('Aanpassen Werkschema'!Q51="v","x",IF(H21="","",IF(H21="x","x"))))</f>
        <v/>
      </c>
      <c r="W21" s="569">
        <f>IF('Aanpassen Werkschema'!X51="x","",IF('Aanpassen Werkschema'!R51="v","x",IF(I21="","",IF(I21="x","x"))))</f>
        <v/>
      </c>
      <c r="X21" s="569">
        <f>IF('Aanpassen Werkschema'!Y51="x","",IF('Aanpassen Werkschema'!S51="v","x",IF(J21="","",IF(J21="x","x"))))</f>
        <v/>
      </c>
      <c r="Y21" s="569">
        <f>IF('Aanpassen Werkschema'!Z51="x","",IF('Aanpassen Werkschema'!T51="v","x",IF(K21="","",IF(K21="x","x"))))</f>
        <v/>
      </c>
      <c r="Z21" s="850">
        <f>Z20+0.0000000001</f>
        <v/>
      </c>
      <c r="AA21" s="851">
        <f>IFERROR(IF(C21="",1.1,IF(S21="",1,IF($C21=1,VLOOKUP($B21,'Werkschema - Rekening'!$B$2:$C$46,2,FALSE),IF($C21=2,Instellingen!C$16,IF($C21=3,Instellingen!D$16,IF($C21=4,L21))))+$D21)+$Z21),1.1)</f>
        <v/>
      </c>
      <c r="AB21" s="852">
        <f>IF($B21="","",IFERROR(VLOOKUP($B21,'Werkschema - Rekening'!$B$2:$P$46,3,FALSE),""))</f>
        <v/>
      </c>
      <c r="AC21" s="851">
        <f>IFERROR(IF(C21="",1.1,IF(T21="",1,IF($C21=1,VLOOKUP($B21,'Werkschema - Rekening'!$B$2:$E$46,4,FALSE),IF($C21=2,Instellingen!E$16,IF($C21=3,Instellingen!F$16,IF($C21=4,M21))))+$D21)+$Z21),1.1)</f>
        <v/>
      </c>
      <c r="AD21" s="852">
        <f>IF($B21="","",IFERROR(VLOOKUP($B21,'Werkschema - Rekening'!$B$2:$P$46,5,FALSE),""))</f>
        <v/>
      </c>
      <c r="AE21" s="851">
        <f>IFERROR(IF(C21="",1.1,IF(U21="",1,IF($C21=1,VLOOKUP($B21,'Werkschema - Rekening'!$B$2:$G$46,6,FALSE),IF($C21=2,Instellingen!G$16,IF($C21=3,Instellingen!H$16,IF($C21=4,N21))))+$D21)+$Z21),1.1)</f>
        <v/>
      </c>
      <c r="AF21" s="852">
        <f>IF($B21="","",IFERROR(VLOOKUP($B21,'Werkschema - Rekening'!$B$2:$P$46,7,FALSE),""))</f>
        <v/>
      </c>
      <c r="AG21" s="851">
        <f>IFERROR(IF(C21="",1.1,IF(V21="",1,IF($C21=1,VLOOKUP($B21,'Werkschema - Rekening'!$B$2:$I$46,8,FALSE),IF($C21=2,Instellingen!I$16,IF($C21=3,Instellingen!J$16,IF($C21=4,O21))))+$D21)+$Z21),1.1)</f>
        <v/>
      </c>
      <c r="AH21" s="852">
        <f>IF($B21="","",IFERROR(VLOOKUP($B21,'Werkschema - Rekening'!$B$2:$P$46,9,FALSE),""))</f>
        <v/>
      </c>
      <c r="AI21" s="851">
        <f>IFERROR(IF(C21="",1.1,IF(W21="",1,IF($C21=1,VLOOKUP($B21,'Werkschema - Rekening'!$B$2:$K$46,10,FALSE),IF($C21=2,Instellingen!K$16,IF($C21=3,Instellingen!L$16,IF($C21=4,P21))))+$D21)+$Z21),1.1)</f>
        <v/>
      </c>
      <c r="AJ21" s="852">
        <f>IF($B21="","",IFERROR(VLOOKUP($B21,'Werkschema - Rekening'!$B$2:$P$46,11,FALSE),""))</f>
        <v/>
      </c>
      <c r="AK21" s="851">
        <f>IFERROR(IF(C21="",1.1,IF(X21="",1,IF($C21=1,VLOOKUP($B21,'Werkschema - Rekening'!$B$2:$M$46,12,FALSE),IF($C21=2,Instellingen!M$16,IF($C21=3,Instellingen!N$16,IF($C21=4,Q21))))+$D21)+$Z21),1.1)</f>
        <v/>
      </c>
      <c r="AL21" s="852">
        <f>IF($B21="","",IFERROR(VLOOKUP($B21,'Werkschema - Rekening'!$B$2:$P$46,13,FALSE),""))</f>
        <v/>
      </c>
      <c r="AM21" s="851">
        <f>IFERROR(IF(C21="",1.1,IF(Y21="",1,IF($C21=1,VLOOKUP($B21,'Werkschema - Rekening'!$B$2:$O$46,14,FALSE),IF($C21=2,Instellingen!O$16,IF($C21=3,Instellingen!P$16,IF($C21=4,R21))))+$D21)+$Z21),1.1)</f>
        <v/>
      </c>
      <c r="AN21" s="852">
        <f>IF($B21="","",IFERROR(VLOOKUP($B21,'Werkschema - Rekening'!$B$2:$P$46,15,FALSE),""))</f>
        <v/>
      </c>
      <c r="AO21" s="852">
        <f>A21</f>
        <v/>
      </c>
      <c r="AP21" s="852">
        <f>B21</f>
        <v/>
      </c>
    </row>
    <row r="22" ht="15" customHeight="1">
      <c r="A22" s="830">
        <f>'Aanpassen Werkschema'!B52</f>
        <v/>
      </c>
      <c r="B22" s="569">
        <f>'Aanpassen Werkschema'!C52</f>
        <v/>
      </c>
      <c r="C22" s="569">
        <f>IF('Aanpassen Werkschema'!D52="geplande taak",1,IF('Aanpassen Werkschema'!D52="openingstijd",2,IF('Aanpassen Werkschema'!D52="sluitingstijd",3,IF('Aanpassen Werkschema'!D52="vaste tijd",4,""))))</f>
        <v/>
      </c>
      <c r="D22" s="849">
        <f>'Aanpassen Werkschema'!E52</f>
        <v/>
      </c>
      <c r="E22" s="569">
        <f>IF('Aanpassen Werkschema'!F52="v","x","")</f>
        <v/>
      </c>
      <c r="F22" s="569">
        <f>IF('Aanpassen Werkschema'!G52="v","x","")</f>
        <v/>
      </c>
      <c r="G22" s="569">
        <f>IF('Aanpassen Werkschema'!H52="v","x","")</f>
        <v/>
      </c>
      <c r="H22" s="569">
        <f>IF('Aanpassen Werkschema'!I52="v","x","")</f>
        <v/>
      </c>
      <c r="I22" s="569">
        <f>IF('Aanpassen Werkschema'!J52="v","x","")</f>
        <v/>
      </c>
      <c r="J22" s="569">
        <f>IF('Aanpassen Werkschema'!K52="v","x","")</f>
        <v/>
      </c>
      <c r="K22" s="569">
        <f>IF('Aanpassen Werkschema'!L52="v","x","")</f>
        <v/>
      </c>
      <c r="L22" s="571">
        <f>IF('Aanpassen Werkschema'!M52&gt;0,'Aanpassen Werkschema'!M52,"")</f>
        <v/>
      </c>
      <c r="M22" s="571">
        <f>IF('Aanpassen Werkschema'!N52&gt;0,'Aanpassen Werkschema'!N52,"")</f>
        <v/>
      </c>
      <c r="N22" s="571">
        <f>IF('Aanpassen Werkschema'!O52&gt;0,'Aanpassen Werkschema'!O52,"")</f>
        <v/>
      </c>
      <c r="O22" s="571">
        <f>IF('Aanpassen Werkschema'!P52&gt;0,'Aanpassen Werkschema'!P52,"")</f>
        <v/>
      </c>
      <c r="P22" s="571">
        <f>IF('Aanpassen Werkschema'!Q52&gt;0,'Aanpassen Werkschema'!Q52,"")</f>
        <v/>
      </c>
      <c r="Q22" s="571">
        <f>IF('Aanpassen Werkschema'!R52&gt;0,'Aanpassen Werkschema'!R52,"")</f>
        <v/>
      </c>
      <c r="R22" s="571">
        <f>IF('Aanpassen Werkschema'!S52&gt;0,'Aanpassen Werkschema'!S52,"")</f>
        <v/>
      </c>
      <c r="S22" s="569">
        <f>IF('Aanpassen Werkschema'!T52="x","",IF('Aanpassen Werkschema'!N52="v","x",IF(E22="","",IF(E22="x","x"))))</f>
        <v/>
      </c>
      <c r="T22" s="569">
        <f>IF('Aanpassen Werkschema'!U52="x","",IF('Aanpassen Werkschema'!O52="v","x",IF(F22="","",IF(F22="x","x"))))</f>
        <v/>
      </c>
      <c r="U22" s="569">
        <f>IF('Aanpassen Werkschema'!V52="x","",IF('Aanpassen Werkschema'!P52="v","x",IF(G22="","",IF(G22="x","x"))))</f>
        <v/>
      </c>
      <c r="V22" s="569">
        <f>IF('Aanpassen Werkschema'!W52="x","",IF('Aanpassen Werkschema'!Q52="v","x",IF(H22="","",IF(H22="x","x"))))</f>
        <v/>
      </c>
      <c r="W22" s="569">
        <f>IF('Aanpassen Werkschema'!X52="x","",IF('Aanpassen Werkschema'!R52="v","x",IF(I22="","",IF(I22="x","x"))))</f>
        <v/>
      </c>
      <c r="X22" s="569">
        <f>IF('Aanpassen Werkschema'!Y52="x","",IF('Aanpassen Werkschema'!S52="v","x",IF(J22="","",IF(J22="x","x"))))</f>
        <v/>
      </c>
      <c r="Y22" s="569">
        <f>IF('Aanpassen Werkschema'!Z52="x","",IF('Aanpassen Werkschema'!T52="v","x",IF(K22="","",IF(K22="x","x"))))</f>
        <v/>
      </c>
      <c r="Z22" s="850">
        <f>Z21+0.0000000001</f>
        <v/>
      </c>
      <c r="AA22" s="851">
        <f>IFERROR(IF(C22="",1.1,IF(S22="",1,IF($C22=1,VLOOKUP($B22,'Werkschema - Rekening'!$B$2:$C$46,2,FALSE),IF($C22=2,Instellingen!C$16,IF($C22=3,Instellingen!D$16,IF($C22=4,L22))))+$D22)+$Z22),1.1)</f>
        <v/>
      </c>
      <c r="AB22" s="852">
        <f>IF($B22="","",IFERROR(VLOOKUP($B22,'Werkschema - Rekening'!$B$2:$P$46,3,FALSE),""))</f>
        <v/>
      </c>
      <c r="AC22" s="851">
        <f>IFERROR(IF(C22="",1.1,IF(T22="",1,IF($C22=1,VLOOKUP($B22,'Werkschema - Rekening'!$B$2:$E$46,4,FALSE),IF($C22=2,Instellingen!E$16,IF($C22=3,Instellingen!F$16,IF($C22=4,M22))))+$D22)+$Z22),1.1)</f>
        <v/>
      </c>
      <c r="AD22" s="852">
        <f>IF($B22="","",IFERROR(VLOOKUP($B22,'Werkschema - Rekening'!$B$2:$P$46,5,FALSE),""))</f>
        <v/>
      </c>
      <c r="AE22" s="851">
        <f>IFERROR(IF(C22="",1.1,IF(U22="",1,IF($C22=1,VLOOKUP($B22,'Werkschema - Rekening'!$B$2:$G$46,6,FALSE),IF($C22=2,Instellingen!G$16,IF($C22=3,Instellingen!H$16,IF($C22=4,N22))))+$D22)+$Z22),1.1)</f>
        <v/>
      </c>
      <c r="AF22" s="852">
        <f>IF($B22="","",IFERROR(VLOOKUP($B22,'Werkschema - Rekening'!$B$2:$P$46,7,FALSE),""))</f>
        <v/>
      </c>
      <c r="AG22" s="851">
        <f>IFERROR(IF(C22="",1.1,IF(V22="",1,IF($C22=1,VLOOKUP($B22,'Werkschema - Rekening'!$B$2:$I$46,8,FALSE),IF($C22=2,Instellingen!I$16,IF($C22=3,Instellingen!J$16,IF($C22=4,O22))))+$D22)+$Z22),1.1)</f>
        <v/>
      </c>
      <c r="AH22" s="852">
        <f>IF($B22="","",IFERROR(VLOOKUP($B22,'Werkschema - Rekening'!$B$2:$P$46,9,FALSE),""))</f>
        <v/>
      </c>
      <c r="AI22" s="851">
        <f>IFERROR(IF(C22="",1.1,IF(W22="",1,IF($C22=1,VLOOKUP($B22,'Werkschema - Rekening'!$B$2:$K$46,10,FALSE),IF($C22=2,Instellingen!K$16,IF($C22=3,Instellingen!L$16,IF($C22=4,P22))))+$D22)+$Z22),1.1)</f>
        <v/>
      </c>
      <c r="AJ22" s="852">
        <f>IF($B22="","",IFERROR(VLOOKUP($B22,'Werkschema - Rekening'!$B$2:$P$46,11,FALSE),""))</f>
        <v/>
      </c>
      <c r="AK22" s="851">
        <f>IFERROR(IF(C22="",1.1,IF(X22="",1,IF($C22=1,VLOOKUP($B22,'Werkschema - Rekening'!$B$2:$M$46,12,FALSE),IF($C22=2,Instellingen!M$16,IF($C22=3,Instellingen!N$16,IF($C22=4,Q22))))+$D22)+$Z22),1.1)</f>
        <v/>
      </c>
      <c r="AL22" s="852">
        <f>IF($B22="","",IFERROR(VLOOKUP($B22,'Werkschema - Rekening'!$B$2:$P$46,13,FALSE),""))</f>
        <v/>
      </c>
      <c r="AM22" s="851">
        <f>IFERROR(IF(C22="",1.1,IF(Y22="",1,IF($C22=1,VLOOKUP($B22,'Werkschema - Rekening'!$B$2:$O$46,14,FALSE),IF($C22=2,Instellingen!O$16,IF($C22=3,Instellingen!P$16,IF($C22=4,R22))))+$D22)+$Z22),1.1)</f>
        <v/>
      </c>
      <c r="AN22" s="852">
        <f>IF($B22="","",IFERROR(VLOOKUP($B22,'Werkschema - Rekening'!$B$2:$P$46,15,FALSE),""))</f>
        <v/>
      </c>
      <c r="AO22" s="852">
        <f>A22</f>
        <v/>
      </c>
      <c r="AP22" s="852">
        <f>B22</f>
        <v/>
      </c>
    </row>
    <row r="23" ht="15" customHeight="1">
      <c r="A23" s="830">
        <f>'Aanpassen Werkschema'!B53</f>
        <v/>
      </c>
      <c r="B23" s="569">
        <f>'Aanpassen Werkschema'!C53</f>
        <v/>
      </c>
      <c r="C23" s="569">
        <f>IF('Aanpassen Werkschema'!D53="geplande taak",1,IF('Aanpassen Werkschema'!D53="openingstijd",2,IF('Aanpassen Werkschema'!D53="sluitingstijd",3,IF('Aanpassen Werkschema'!D53="vaste tijd",4,""))))</f>
        <v/>
      </c>
      <c r="D23" s="849">
        <f>'Aanpassen Werkschema'!E53</f>
        <v/>
      </c>
      <c r="E23" s="569">
        <f>IF('Aanpassen Werkschema'!F53="v","x","")</f>
        <v/>
      </c>
      <c r="F23" s="569">
        <f>IF('Aanpassen Werkschema'!G53="v","x","")</f>
        <v/>
      </c>
      <c r="G23" s="569">
        <f>IF('Aanpassen Werkschema'!H53="v","x","")</f>
        <v/>
      </c>
      <c r="H23" s="569">
        <f>IF('Aanpassen Werkschema'!I53="v","x","")</f>
        <v/>
      </c>
      <c r="I23" s="569">
        <f>IF('Aanpassen Werkschema'!J53="v","x","")</f>
        <v/>
      </c>
      <c r="J23" s="569">
        <f>IF('Aanpassen Werkschema'!K53="v","x","")</f>
        <v/>
      </c>
      <c r="K23" s="569">
        <f>IF('Aanpassen Werkschema'!L53="v","x","")</f>
        <v/>
      </c>
      <c r="L23" s="571">
        <f>IF('Aanpassen Werkschema'!M53&gt;0,'Aanpassen Werkschema'!M53,"")</f>
        <v/>
      </c>
      <c r="M23" s="571">
        <f>IF('Aanpassen Werkschema'!N53&gt;0,'Aanpassen Werkschema'!N53,"")</f>
        <v/>
      </c>
      <c r="N23" s="571">
        <f>IF('Aanpassen Werkschema'!O53&gt;0,'Aanpassen Werkschema'!O53,"")</f>
        <v/>
      </c>
      <c r="O23" s="571">
        <f>IF('Aanpassen Werkschema'!P53&gt;0,'Aanpassen Werkschema'!P53,"")</f>
        <v/>
      </c>
      <c r="P23" s="571">
        <f>IF('Aanpassen Werkschema'!Q53&gt;0,'Aanpassen Werkschema'!Q53,"")</f>
        <v/>
      </c>
      <c r="Q23" s="571">
        <f>IF('Aanpassen Werkschema'!R53&gt;0,'Aanpassen Werkschema'!R53,"")</f>
        <v/>
      </c>
      <c r="R23" s="571">
        <f>IF('Aanpassen Werkschema'!S53&gt;0,'Aanpassen Werkschema'!S53,"")</f>
        <v/>
      </c>
      <c r="S23" s="569">
        <f>IF('Aanpassen Werkschema'!T53="x","",IF('Aanpassen Werkschema'!N53="v","x",IF(E23="","",IF(E23="x","x"))))</f>
        <v/>
      </c>
      <c r="T23" s="569">
        <f>IF('Aanpassen Werkschema'!U53="x","",IF('Aanpassen Werkschema'!O53="v","x",IF(F23="","",IF(F23="x","x"))))</f>
        <v/>
      </c>
      <c r="U23" s="569">
        <f>IF('Aanpassen Werkschema'!V53="x","",IF('Aanpassen Werkschema'!P53="v","x",IF(G23="","",IF(G23="x","x"))))</f>
        <v/>
      </c>
      <c r="V23" s="569">
        <f>IF('Aanpassen Werkschema'!W53="x","",IF('Aanpassen Werkschema'!Q53="v","x",IF(H23="","",IF(H23="x","x"))))</f>
        <v/>
      </c>
      <c r="W23" s="569">
        <f>IF('Aanpassen Werkschema'!X53="x","",IF('Aanpassen Werkschema'!R53="v","x",IF(I23="","",IF(I23="x","x"))))</f>
        <v/>
      </c>
      <c r="X23" s="569">
        <f>IF('Aanpassen Werkschema'!Y53="x","",IF('Aanpassen Werkschema'!S53="v","x",IF(J23="","",IF(J23="x","x"))))</f>
        <v/>
      </c>
      <c r="Y23" s="569">
        <f>IF('Aanpassen Werkschema'!Z53="x","",IF('Aanpassen Werkschema'!T53="v","x",IF(K23="","",IF(K23="x","x"))))</f>
        <v/>
      </c>
      <c r="Z23" s="850">
        <f>Z22+0.0000000001</f>
        <v/>
      </c>
      <c r="AA23" s="851">
        <f>IFERROR(IF(C23="",1.1,IF(S23="",1,IF($C23=1,VLOOKUP($B23,'Werkschema - Rekening'!$B$2:$C$46,2,FALSE),IF($C23=2,Instellingen!C$16,IF($C23=3,Instellingen!D$16,IF($C23=4,L23))))+$D23)+$Z23),1.1)</f>
        <v/>
      </c>
      <c r="AB23" s="852">
        <f>IF($B23="","",IFERROR(VLOOKUP($B23,'Werkschema - Rekening'!$B$2:$P$46,3,FALSE),""))</f>
        <v/>
      </c>
      <c r="AC23" s="851">
        <f>IFERROR(IF(C23="",1.1,IF(T23="",1,IF($C23=1,VLOOKUP($B23,'Werkschema - Rekening'!$B$2:$E$46,4,FALSE),IF($C23=2,Instellingen!E$16,IF($C23=3,Instellingen!F$16,IF($C23=4,M23))))+$D23)+$Z23),1.1)</f>
        <v/>
      </c>
      <c r="AD23" s="852">
        <f>IF($B23="","",IFERROR(VLOOKUP($B23,'Werkschema - Rekening'!$B$2:$P$46,5,FALSE),""))</f>
        <v/>
      </c>
      <c r="AE23" s="851">
        <f>IFERROR(IF(C23="",1.1,IF(U23="",1,IF($C23=1,VLOOKUP($B23,'Werkschema - Rekening'!$B$2:$G$46,6,FALSE),IF($C23=2,Instellingen!G$16,IF($C23=3,Instellingen!H$16,IF($C23=4,N23))))+$D23)+$Z23),1.1)</f>
        <v/>
      </c>
      <c r="AF23" s="852">
        <f>IF($B23="","",IFERROR(VLOOKUP($B23,'Werkschema - Rekening'!$B$2:$P$46,7,FALSE),""))</f>
        <v/>
      </c>
      <c r="AG23" s="851">
        <f>IFERROR(IF(C23="",1.1,IF(V23="",1,IF($C23=1,VLOOKUP($B23,'Werkschema - Rekening'!$B$2:$I$46,8,FALSE),IF($C23=2,Instellingen!I$16,IF($C23=3,Instellingen!J$16,IF($C23=4,O23))))+$D23)+$Z23),1.1)</f>
        <v/>
      </c>
      <c r="AH23" s="852">
        <f>IF($B23="","",IFERROR(VLOOKUP($B23,'Werkschema - Rekening'!$B$2:$P$46,9,FALSE),""))</f>
        <v/>
      </c>
      <c r="AI23" s="851">
        <f>IFERROR(IF(C23="",1.1,IF(W23="",1,IF($C23=1,VLOOKUP($B23,'Werkschema - Rekening'!$B$2:$K$46,10,FALSE),IF($C23=2,Instellingen!K$16,IF($C23=3,Instellingen!L$16,IF($C23=4,P23))))+$D23)+$Z23),1.1)</f>
        <v/>
      </c>
      <c r="AJ23" s="852">
        <f>IF($B23="","",IFERROR(VLOOKUP($B23,'Werkschema - Rekening'!$B$2:$P$46,11,FALSE),""))</f>
        <v/>
      </c>
      <c r="AK23" s="851">
        <f>IFERROR(IF(C23="",1.1,IF(X23="",1,IF($C23=1,VLOOKUP($B23,'Werkschema - Rekening'!$B$2:$M$46,12,FALSE),IF($C23=2,Instellingen!M$16,IF($C23=3,Instellingen!N$16,IF($C23=4,Q23))))+$D23)+$Z23),1.1)</f>
        <v/>
      </c>
      <c r="AL23" s="852">
        <f>IF($B23="","",IFERROR(VLOOKUP($B23,'Werkschema - Rekening'!$B$2:$P$46,13,FALSE),""))</f>
        <v/>
      </c>
      <c r="AM23" s="851">
        <f>IFERROR(IF(C23="",1.1,IF(Y23="",1,IF($C23=1,VLOOKUP($B23,'Werkschema - Rekening'!$B$2:$O$46,14,FALSE),IF($C23=2,Instellingen!O$16,IF($C23=3,Instellingen!P$16,IF($C23=4,R23))))+$D23)+$Z23),1.1)</f>
        <v/>
      </c>
      <c r="AN23" s="852">
        <f>IF($B23="","",IFERROR(VLOOKUP($B23,'Werkschema - Rekening'!$B$2:$P$46,15,FALSE),""))</f>
        <v/>
      </c>
      <c r="AO23" s="852">
        <f>A23</f>
        <v/>
      </c>
      <c r="AP23" s="852">
        <f>B23</f>
        <v/>
      </c>
    </row>
    <row r="24" ht="15" customHeight="1">
      <c r="A24" s="830">
        <f>'Aanpassen Werkschema'!B54</f>
        <v/>
      </c>
      <c r="B24" s="569">
        <f>'Aanpassen Werkschema'!C54</f>
        <v/>
      </c>
      <c r="C24" s="569">
        <f>IF('Aanpassen Werkschema'!D54="geplande taak",1,IF('Aanpassen Werkschema'!D54="openingstijd",2,IF('Aanpassen Werkschema'!D54="sluitingstijd",3,IF('Aanpassen Werkschema'!D54="vaste tijd",4,""))))</f>
        <v/>
      </c>
      <c r="D24" s="849">
        <f>'Aanpassen Werkschema'!E54</f>
        <v/>
      </c>
      <c r="E24" s="569">
        <f>IF('Aanpassen Werkschema'!F54="v","x","")</f>
        <v/>
      </c>
      <c r="F24" s="569">
        <f>IF('Aanpassen Werkschema'!G54="v","x","")</f>
        <v/>
      </c>
      <c r="G24" s="569">
        <f>IF('Aanpassen Werkschema'!H54="v","x","")</f>
        <v/>
      </c>
      <c r="H24" s="569">
        <f>IF('Aanpassen Werkschema'!I54="v","x","")</f>
        <v/>
      </c>
      <c r="I24" s="569">
        <f>IF('Aanpassen Werkschema'!J54="v","x","")</f>
        <v/>
      </c>
      <c r="J24" s="569">
        <f>IF('Aanpassen Werkschema'!K54="v","x","")</f>
        <v/>
      </c>
      <c r="K24" s="569">
        <f>IF('Aanpassen Werkschema'!L54="v","x","")</f>
        <v/>
      </c>
      <c r="L24" s="571">
        <f>IF('Aanpassen Werkschema'!M54&gt;0,'Aanpassen Werkschema'!M54,"")</f>
        <v/>
      </c>
      <c r="M24" s="571">
        <f>IF('Aanpassen Werkschema'!N54&gt;0,'Aanpassen Werkschema'!N54,"")</f>
        <v/>
      </c>
      <c r="N24" s="571">
        <f>IF('Aanpassen Werkschema'!O54&gt;0,'Aanpassen Werkschema'!O54,"")</f>
        <v/>
      </c>
      <c r="O24" s="571">
        <f>IF('Aanpassen Werkschema'!P54&gt;0,'Aanpassen Werkschema'!P54,"")</f>
        <v/>
      </c>
      <c r="P24" s="571">
        <f>IF('Aanpassen Werkschema'!Q54&gt;0,'Aanpassen Werkschema'!Q54,"")</f>
        <v/>
      </c>
      <c r="Q24" s="571">
        <f>IF('Aanpassen Werkschema'!R54&gt;0,'Aanpassen Werkschema'!R54,"")</f>
        <v/>
      </c>
      <c r="R24" s="571">
        <f>IF('Aanpassen Werkschema'!S54&gt;0,'Aanpassen Werkschema'!S54,"")</f>
        <v/>
      </c>
      <c r="S24" s="569">
        <f>IF('Aanpassen Werkschema'!T54="x","",IF('Aanpassen Werkschema'!N54="v","x",IF(E24="","",IF(E24="x","x"))))</f>
        <v/>
      </c>
      <c r="T24" s="569">
        <f>IF('Aanpassen Werkschema'!U54="x","",IF('Aanpassen Werkschema'!O54="v","x",IF(F24="","",IF(F24="x","x"))))</f>
        <v/>
      </c>
      <c r="U24" s="569">
        <f>IF('Aanpassen Werkschema'!V54="x","",IF('Aanpassen Werkschema'!P54="v","x",IF(G24="","",IF(G24="x","x"))))</f>
        <v/>
      </c>
      <c r="V24" s="569">
        <f>IF('Aanpassen Werkschema'!W54="x","",IF('Aanpassen Werkschema'!Q54="v","x",IF(H24="","",IF(H24="x","x"))))</f>
        <v/>
      </c>
      <c r="W24" s="569">
        <f>IF('Aanpassen Werkschema'!X54="x","",IF('Aanpassen Werkschema'!R54="v","x",IF(I24="","",IF(I24="x","x"))))</f>
        <v/>
      </c>
      <c r="X24" s="569">
        <f>IF('Aanpassen Werkschema'!Y54="x","",IF('Aanpassen Werkschema'!S54="v","x",IF(J24="","",IF(J24="x","x"))))</f>
        <v/>
      </c>
      <c r="Y24" s="569">
        <f>IF('Aanpassen Werkschema'!Z54="x","",IF('Aanpassen Werkschema'!T54="v","x",IF(K24="","",IF(K24="x","x"))))</f>
        <v/>
      </c>
      <c r="Z24" s="850">
        <f>Z23+0.0000000001</f>
        <v/>
      </c>
      <c r="AA24" s="851">
        <f>IFERROR(IF(C24="",1.1,IF(S24="",1,IF($C24=1,VLOOKUP($B24,'Werkschema - Rekening'!$B$2:$C$46,2,FALSE),IF($C24=2,Instellingen!C$16,IF($C24=3,Instellingen!D$16,IF($C24=4,L24))))+$D24)+$Z24),1.1)</f>
        <v/>
      </c>
      <c r="AB24" s="852">
        <f>IF($B24="","",IFERROR(VLOOKUP($B24,'Werkschema - Rekening'!$B$2:$P$46,3,FALSE),""))</f>
        <v/>
      </c>
      <c r="AC24" s="851">
        <f>IFERROR(IF(C24="",1.1,IF(T24="",1,IF($C24=1,VLOOKUP($B24,'Werkschema - Rekening'!$B$2:$E$46,4,FALSE),IF($C24=2,Instellingen!E$16,IF($C24=3,Instellingen!F$16,IF($C24=4,M24))))+$D24)+$Z24),1.1)</f>
        <v/>
      </c>
      <c r="AD24" s="852">
        <f>IF($B24="","",IFERROR(VLOOKUP($B24,'Werkschema - Rekening'!$B$2:$P$46,5,FALSE),""))</f>
        <v/>
      </c>
      <c r="AE24" s="851">
        <f>IFERROR(IF(C24="",1.1,IF(U24="",1,IF($C24=1,VLOOKUP($B24,'Werkschema - Rekening'!$B$2:$G$46,6,FALSE),IF($C24=2,Instellingen!G$16,IF($C24=3,Instellingen!H$16,IF($C24=4,N24))))+$D24)+$Z24),1.1)</f>
        <v/>
      </c>
      <c r="AF24" s="852">
        <f>IF($B24="","",IFERROR(VLOOKUP($B24,'Werkschema - Rekening'!$B$2:$P$46,7,FALSE),""))</f>
        <v/>
      </c>
      <c r="AG24" s="851">
        <f>IFERROR(IF(C24="",1.1,IF(V24="",1,IF($C24=1,VLOOKUP($B24,'Werkschema - Rekening'!$B$2:$I$46,8,FALSE),IF($C24=2,Instellingen!I$16,IF($C24=3,Instellingen!J$16,IF($C24=4,O24))))+$D24)+$Z24),1.1)</f>
        <v/>
      </c>
      <c r="AH24" s="852">
        <f>IF($B24="","",IFERROR(VLOOKUP($B24,'Werkschema - Rekening'!$B$2:$P$46,9,FALSE),""))</f>
        <v/>
      </c>
      <c r="AI24" s="851">
        <f>IFERROR(IF(C24="",1.1,IF(W24="",1,IF($C24=1,VLOOKUP($B24,'Werkschema - Rekening'!$B$2:$K$46,10,FALSE),IF($C24=2,Instellingen!K$16,IF($C24=3,Instellingen!L$16,IF($C24=4,P24))))+$D24)+$Z24),1.1)</f>
        <v/>
      </c>
      <c r="AJ24" s="852">
        <f>IF($B24="","",IFERROR(VLOOKUP($B24,'Werkschema - Rekening'!$B$2:$P$46,11,FALSE),""))</f>
        <v/>
      </c>
      <c r="AK24" s="851">
        <f>IFERROR(IF(C24="",1.1,IF(X24="",1,IF($C24=1,VLOOKUP($B24,'Werkschema - Rekening'!$B$2:$M$46,12,FALSE),IF($C24=2,Instellingen!M$16,IF($C24=3,Instellingen!N$16,IF($C24=4,Q24))))+$D24)+$Z24),1.1)</f>
        <v/>
      </c>
      <c r="AL24" s="852">
        <f>IF($B24="","",IFERROR(VLOOKUP($B24,'Werkschema - Rekening'!$B$2:$P$46,13,FALSE),""))</f>
        <v/>
      </c>
      <c r="AM24" s="851">
        <f>IFERROR(IF(C24="",1.1,IF(Y24="",1,IF($C24=1,VLOOKUP($B24,'Werkschema - Rekening'!$B$2:$O$46,14,FALSE),IF($C24=2,Instellingen!O$16,IF($C24=3,Instellingen!P$16,IF($C24=4,R24))))+$D24)+$Z24),1.1)</f>
        <v/>
      </c>
      <c r="AN24" s="852">
        <f>IF($B24="","",IFERROR(VLOOKUP($B24,'Werkschema - Rekening'!$B$2:$P$46,15,FALSE),""))</f>
        <v/>
      </c>
      <c r="AO24" s="852">
        <f>A24</f>
        <v/>
      </c>
      <c r="AP24" s="852">
        <f>B24</f>
        <v/>
      </c>
    </row>
    <row r="25" ht="15" customHeight="1">
      <c r="A25" s="830">
        <f>'Aanpassen Werkschema'!B55</f>
        <v/>
      </c>
      <c r="B25" s="569">
        <f>'Aanpassen Werkschema'!C55</f>
        <v/>
      </c>
      <c r="C25" s="569">
        <f>IF('Aanpassen Werkschema'!D55="geplande taak",1,IF('Aanpassen Werkschema'!D55="openingstijd",2,IF('Aanpassen Werkschema'!D55="sluitingstijd",3,IF('Aanpassen Werkschema'!D55="vaste tijd",4,""))))</f>
        <v/>
      </c>
      <c r="D25" s="849">
        <f>'Aanpassen Werkschema'!E55</f>
        <v/>
      </c>
      <c r="E25" s="569">
        <f>IF('Aanpassen Werkschema'!F55="v","x","")</f>
        <v/>
      </c>
      <c r="F25" s="569">
        <f>IF('Aanpassen Werkschema'!G55="v","x","")</f>
        <v/>
      </c>
      <c r="G25" s="569">
        <f>IF('Aanpassen Werkschema'!H55="v","x","")</f>
        <v/>
      </c>
      <c r="H25" s="569">
        <f>IF('Aanpassen Werkschema'!I55="v","x","")</f>
        <v/>
      </c>
      <c r="I25" s="569">
        <f>IF('Aanpassen Werkschema'!J55="v","x","")</f>
        <v/>
      </c>
      <c r="J25" s="569">
        <f>IF('Aanpassen Werkschema'!K55="v","x","")</f>
        <v/>
      </c>
      <c r="K25" s="569">
        <f>IF('Aanpassen Werkschema'!L55="v","x","")</f>
        <v/>
      </c>
      <c r="L25" s="571">
        <f>IF('Aanpassen Werkschema'!M55&gt;0,'Aanpassen Werkschema'!M55,"")</f>
        <v/>
      </c>
      <c r="M25" s="571">
        <f>IF('Aanpassen Werkschema'!N55&gt;0,'Aanpassen Werkschema'!N55,"")</f>
        <v/>
      </c>
      <c r="N25" s="571">
        <f>IF('Aanpassen Werkschema'!O55&gt;0,'Aanpassen Werkschema'!O55,"")</f>
        <v/>
      </c>
      <c r="O25" s="571">
        <f>IF('Aanpassen Werkschema'!P55&gt;0,'Aanpassen Werkschema'!P55,"")</f>
        <v/>
      </c>
      <c r="P25" s="571">
        <f>IF('Aanpassen Werkschema'!Q55&gt;0,'Aanpassen Werkschema'!Q55,"")</f>
        <v/>
      </c>
      <c r="Q25" s="571">
        <f>IF('Aanpassen Werkschema'!R55&gt;0,'Aanpassen Werkschema'!R55,"")</f>
        <v/>
      </c>
      <c r="R25" s="571">
        <f>IF('Aanpassen Werkschema'!S55&gt;0,'Aanpassen Werkschema'!S55,"")</f>
        <v/>
      </c>
      <c r="S25" s="569">
        <f>IF('Aanpassen Werkschema'!T55="x","",IF('Aanpassen Werkschema'!N55="v","x",IF(E25="","",IF(E25="x","x"))))</f>
        <v/>
      </c>
      <c r="T25" s="569">
        <f>IF('Aanpassen Werkschema'!U55="x","",IF('Aanpassen Werkschema'!O55="v","x",IF(F25="","",IF(F25="x","x"))))</f>
        <v/>
      </c>
      <c r="U25" s="569">
        <f>IF('Aanpassen Werkschema'!V55="x","",IF('Aanpassen Werkschema'!P55="v","x",IF(G25="","",IF(G25="x","x"))))</f>
        <v/>
      </c>
      <c r="V25" s="569">
        <f>IF('Aanpassen Werkschema'!W55="x","",IF('Aanpassen Werkschema'!Q55="v","x",IF(H25="","",IF(H25="x","x"))))</f>
        <v/>
      </c>
      <c r="W25" s="569">
        <f>IF('Aanpassen Werkschema'!X55="x","",IF('Aanpassen Werkschema'!R55="v","x",IF(I25="","",IF(I25="x","x"))))</f>
        <v/>
      </c>
      <c r="X25" s="569">
        <f>IF('Aanpassen Werkschema'!Y55="x","",IF('Aanpassen Werkschema'!S55="v","x",IF(J25="","",IF(J25="x","x"))))</f>
        <v/>
      </c>
      <c r="Y25" s="569">
        <f>IF('Aanpassen Werkschema'!Z55="x","",IF('Aanpassen Werkschema'!T55="v","x",IF(K25="","",IF(K25="x","x"))))</f>
        <v/>
      </c>
      <c r="Z25" s="850">
        <f>Z24+0.0000000001</f>
        <v/>
      </c>
      <c r="AA25" s="851">
        <f>IFERROR(IF(C25="",1.1,IF(S25="",1,IF($C25=1,VLOOKUP($B25,'Werkschema - Rekening'!$B$2:$C$46,2,FALSE),IF($C25=2,Instellingen!C$16,IF($C25=3,Instellingen!D$16,IF($C25=4,L25))))+$D25)+$Z25),1.1)</f>
        <v/>
      </c>
      <c r="AB25" s="852">
        <f>IF($B25="","",IFERROR(VLOOKUP($B25,'Werkschema - Rekening'!$B$2:$P$46,3,FALSE),""))</f>
        <v/>
      </c>
      <c r="AC25" s="851">
        <f>IFERROR(IF(C25="",1.1,IF(T25="",1,IF($C25=1,VLOOKUP($B25,'Werkschema - Rekening'!$B$2:$E$46,4,FALSE),IF($C25=2,Instellingen!E$16,IF($C25=3,Instellingen!F$16,IF($C25=4,M25))))+$D25)+$Z25),1.1)</f>
        <v/>
      </c>
      <c r="AD25" s="852">
        <f>IF($B25="","",IFERROR(VLOOKUP($B25,'Werkschema - Rekening'!$B$2:$P$46,5,FALSE),""))</f>
        <v/>
      </c>
      <c r="AE25" s="851">
        <f>IFERROR(IF(C25="",1.1,IF(U25="",1,IF($C25=1,VLOOKUP($B25,'Werkschema - Rekening'!$B$2:$G$46,6,FALSE),IF($C25=2,Instellingen!G$16,IF($C25=3,Instellingen!H$16,IF($C25=4,N25))))+$D25)+$Z25),1.1)</f>
        <v/>
      </c>
      <c r="AF25" s="852">
        <f>IF($B25="","",IFERROR(VLOOKUP($B25,'Werkschema - Rekening'!$B$2:$P$46,7,FALSE),""))</f>
        <v/>
      </c>
      <c r="AG25" s="851">
        <f>IFERROR(IF(C25="",1.1,IF(V25="",1,IF($C25=1,VLOOKUP($B25,'Werkschema - Rekening'!$B$2:$I$46,8,FALSE),IF($C25=2,Instellingen!I$16,IF($C25=3,Instellingen!J$16,IF($C25=4,O25))))+$D25)+$Z25),1.1)</f>
        <v/>
      </c>
      <c r="AH25" s="852">
        <f>IF($B25="","",IFERROR(VLOOKUP($B25,'Werkschema - Rekening'!$B$2:$P$46,9,FALSE),""))</f>
        <v/>
      </c>
      <c r="AI25" s="851">
        <f>IFERROR(IF(C25="",1.1,IF(W25="",1,IF($C25=1,VLOOKUP($B25,'Werkschema - Rekening'!$B$2:$K$46,10,FALSE),IF($C25=2,Instellingen!K$16,IF($C25=3,Instellingen!L$16,IF($C25=4,P25))))+$D25)+$Z25),1.1)</f>
        <v/>
      </c>
      <c r="AJ25" s="852">
        <f>IF($B25="","",IFERROR(VLOOKUP($B25,'Werkschema - Rekening'!$B$2:$P$46,11,FALSE),""))</f>
        <v/>
      </c>
      <c r="AK25" s="851">
        <f>IFERROR(IF(C25="",1.1,IF(X25="",1,IF($C25=1,VLOOKUP($B25,'Werkschema - Rekening'!$B$2:$M$46,12,FALSE),IF($C25=2,Instellingen!M$16,IF($C25=3,Instellingen!N$16,IF($C25=4,Q25))))+$D25)+$Z25),1.1)</f>
        <v/>
      </c>
      <c r="AL25" s="852">
        <f>IF($B25="","",IFERROR(VLOOKUP($B25,'Werkschema - Rekening'!$B$2:$P$46,13,FALSE),""))</f>
        <v/>
      </c>
      <c r="AM25" s="851">
        <f>IFERROR(IF(C25="",1.1,IF(Y25="",1,IF($C25=1,VLOOKUP($B25,'Werkschema - Rekening'!$B$2:$O$46,14,FALSE),IF($C25=2,Instellingen!O$16,IF($C25=3,Instellingen!P$16,IF($C25=4,R25))))+$D25)+$Z25),1.1)</f>
        <v/>
      </c>
      <c r="AN25" s="852">
        <f>IF($B25="","",IFERROR(VLOOKUP($B25,'Werkschema - Rekening'!$B$2:$P$46,15,FALSE),""))</f>
        <v/>
      </c>
      <c r="AO25" s="852">
        <f>A25</f>
        <v/>
      </c>
      <c r="AP25" s="852">
        <f>B25</f>
        <v/>
      </c>
    </row>
    <row r="26" ht="15" customHeight="1">
      <c r="A26" s="830">
        <f>'Aanpassen Werkschema'!B56</f>
        <v/>
      </c>
      <c r="B26" s="569">
        <f>'Aanpassen Werkschema'!C56</f>
        <v/>
      </c>
      <c r="C26" s="569">
        <f>IF('Aanpassen Werkschema'!D56="geplande taak",1,IF('Aanpassen Werkschema'!D56="openingstijd",2,IF('Aanpassen Werkschema'!D56="sluitingstijd",3,IF('Aanpassen Werkschema'!D56="vaste tijd",4,""))))</f>
        <v/>
      </c>
      <c r="D26" s="849">
        <f>'Aanpassen Werkschema'!E56</f>
        <v/>
      </c>
      <c r="E26" s="569">
        <f>IF('Aanpassen Werkschema'!F56="v","x","")</f>
        <v/>
      </c>
      <c r="F26" s="569">
        <f>IF('Aanpassen Werkschema'!G56="v","x","")</f>
        <v/>
      </c>
      <c r="G26" s="569">
        <f>IF('Aanpassen Werkschema'!H56="v","x","")</f>
        <v/>
      </c>
      <c r="H26" s="569">
        <f>IF('Aanpassen Werkschema'!I56="v","x","")</f>
        <v/>
      </c>
      <c r="I26" s="569">
        <f>IF('Aanpassen Werkschema'!J56="v","x","")</f>
        <v/>
      </c>
      <c r="J26" s="569">
        <f>IF('Aanpassen Werkschema'!K56="v","x","")</f>
        <v/>
      </c>
      <c r="K26" s="569">
        <f>IF('Aanpassen Werkschema'!L56="v","x","")</f>
        <v/>
      </c>
      <c r="L26" s="571">
        <f>IF('Aanpassen Werkschema'!M56&gt;0,'Aanpassen Werkschema'!M56,"")</f>
        <v/>
      </c>
      <c r="M26" s="571">
        <f>IF('Aanpassen Werkschema'!N56&gt;0,'Aanpassen Werkschema'!N56,"")</f>
        <v/>
      </c>
      <c r="N26" s="571">
        <f>IF('Aanpassen Werkschema'!O56&gt;0,'Aanpassen Werkschema'!O56,"")</f>
        <v/>
      </c>
      <c r="O26" s="571">
        <f>IF('Aanpassen Werkschema'!P56&gt;0,'Aanpassen Werkschema'!P56,"")</f>
        <v/>
      </c>
      <c r="P26" s="571">
        <f>IF('Aanpassen Werkschema'!Q56&gt;0,'Aanpassen Werkschema'!Q56,"")</f>
        <v/>
      </c>
      <c r="Q26" s="571">
        <f>IF('Aanpassen Werkschema'!R56&gt;0,'Aanpassen Werkschema'!R56,"")</f>
        <v/>
      </c>
      <c r="R26" s="571">
        <f>IF('Aanpassen Werkschema'!S56&gt;0,'Aanpassen Werkschema'!S56,"")</f>
        <v/>
      </c>
      <c r="S26" s="569">
        <f>IF('Aanpassen Werkschema'!T56="x","",IF('Aanpassen Werkschema'!N56="v","x",IF(E26="","",IF(E26="x","x"))))</f>
        <v/>
      </c>
      <c r="T26" s="569">
        <f>IF('Aanpassen Werkschema'!U56="x","",IF('Aanpassen Werkschema'!O56="v","x",IF(F26="","",IF(F26="x","x"))))</f>
        <v/>
      </c>
      <c r="U26" s="569">
        <f>IF('Aanpassen Werkschema'!V56="x","",IF('Aanpassen Werkschema'!P56="v","x",IF(G26="","",IF(G26="x","x"))))</f>
        <v/>
      </c>
      <c r="V26" s="569">
        <f>IF('Aanpassen Werkschema'!W56="x","",IF('Aanpassen Werkschema'!Q56="v","x",IF(H26="","",IF(H26="x","x"))))</f>
        <v/>
      </c>
      <c r="W26" s="569">
        <f>IF('Aanpassen Werkschema'!X56="x","",IF('Aanpassen Werkschema'!R56="v","x",IF(I26="","",IF(I26="x","x"))))</f>
        <v/>
      </c>
      <c r="X26" s="569">
        <f>IF('Aanpassen Werkschema'!Y56="x","",IF('Aanpassen Werkschema'!S56="v","x",IF(J26="","",IF(J26="x","x"))))</f>
        <v/>
      </c>
      <c r="Y26" s="569">
        <f>IF('Aanpassen Werkschema'!Z56="x","",IF('Aanpassen Werkschema'!T56="v","x",IF(K26="","",IF(K26="x","x"))))</f>
        <v/>
      </c>
      <c r="Z26" s="850">
        <f>Z25+0.0000000001</f>
        <v/>
      </c>
      <c r="AA26" s="851">
        <f>IFERROR(IF(C26="",1.1,IF(S26="",1,IF($C26=1,VLOOKUP($B26,'Werkschema - Rekening'!$B$2:$C$46,2,FALSE),IF($C26=2,Instellingen!C$16,IF($C26=3,Instellingen!D$16,IF($C26=4,L26))))+$D26)+$Z26),1.1)</f>
        <v/>
      </c>
      <c r="AB26" s="852">
        <f>IF($B26="","",IFERROR(VLOOKUP($B26,'Werkschema - Rekening'!$B$2:$P$46,3,FALSE),""))</f>
        <v/>
      </c>
      <c r="AC26" s="851">
        <f>IFERROR(IF(C26="",1.1,IF(T26="",1,IF($C26=1,VLOOKUP($B26,'Werkschema - Rekening'!$B$2:$E$46,4,FALSE),IF($C26=2,Instellingen!E$16,IF($C26=3,Instellingen!F$16,IF($C26=4,M26))))+$D26)+$Z26),1.1)</f>
        <v/>
      </c>
      <c r="AD26" s="852">
        <f>IF($B26="","",IFERROR(VLOOKUP($B26,'Werkschema - Rekening'!$B$2:$P$46,5,FALSE),""))</f>
        <v/>
      </c>
      <c r="AE26" s="851">
        <f>IFERROR(IF(C26="",1.1,IF(U26="",1,IF($C26=1,VLOOKUP($B26,'Werkschema - Rekening'!$B$2:$G$46,6,FALSE),IF($C26=2,Instellingen!G$16,IF($C26=3,Instellingen!H$16,IF($C26=4,N26))))+$D26)+$Z26),1.1)</f>
        <v/>
      </c>
      <c r="AF26" s="852">
        <f>IF($B26="","",IFERROR(VLOOKUP($B26,'Werkschema - Rekening'!$B$2:$P$46,7,FALSE),""))</f>
        <v/>
      </c>
      <c r="AG26" s="851">
        <f>IFERROR(IF(C26="",1.1,IF(V26="",1,IF($C26=1,VLOOKUP($B26,'Werkschema - Rekening'!$B$2:$I$46,8,FALSE),IF($C26=2,Instellingen!I$16,IF($C26=3,Instellingen!J$16,IF($C26=4,O26))))+$D26)+$Z26),1.1)</f>
        <v/>
      </c>
      <c r="AH26" s="852">
        <f>IF($B26="","",IFERROR(VLOOKUP($B26,'Werkschema - Rekening'!$B$2:$P$46,9,FALSE),""))</f>
        <v/>
      </c>
      <c r="AI26" s="851">
        <f>IFERROR(IF(C26="",1.1,IF(W26="",1,IF($C26=1,VLOOKUP($B26,'Werkschema - Rekening'!$B$2:$K$46,10,FALSE),IF($C26=2,Instellingen!K$16,IF($C26=3,Instellingen!L$16,IF($C26=4,P26))))+$D26)+$Z26),1.1)</f>
        <v/>
      </c>
      <c r="AJ26" s="852">
        <f>IF($B26="","",IFERROR(VLOOKUP($B26,'Werkschema - Rekening'!$B$2:$P$46,11,FALSE),""))</f>
        <v/>
      </c>
      <c r="AK26" s="851">
        <f>IFERROR(IF(C26="",1.1,IF(X26="",1,IF($C26=1,VLOOKUP($B26,'Werkschema - Rekening'!$B$2:$M$46,12,FALSE),IF($C26=2,Instellingen!M$16,IF($C26=3,Instellingen!N$16,IF($C26=4,Q26))))+$D26)+$Z26),1.1)</f>
        <v/>
      </c>
      <c r="AL26" s="852">
        <f>IF($B26="","",IFERROR(VLOOKUP($B26,'Werkschema - Rekening'!$B$2:$P$46,13,FALSE),""))</f>
        <v/>
      </c>
      <c r="AM26" s="851">
        <f>IFERROR(IF(C26="",1.1,IF(Y26="",1,IF($C26=1,VLOOKUP($B26,'Werkschema - Rekening'!$B$2:$O$46,14,FALSE),IF($C26=2,Instellingen!O$16,IF($C26=3,Instellingen!P$16,IF($C26=4,R26))))+$D26)+$Z26),1.1)</f>
        <v/>
      </c>
      <c r="AN26" s="852">
        <f>IF($B26="","",IFERROR(VLOOKUP($B26,'Werkschema - Rekening'!$B$2:$P$46,15,FALSE),""))</f>
        <v/>
      </c>
      <c r="AO26" s="852">
        <f>A26</f>
        <v/>
      </c>
      <c r="AP26" s="852">
        <f>B26</f>
        <v/>
      </c>
    </row>
    <row r="27" ht="15" customHeight="1">
      <c r="A27" s="830">
        <f>'Aanpassen Werkschema'!B57</f>
        <v/>
      </c>
      <c r="B27" s="569">
        <f>'Aanpassen Werkschema'!C57</f>
        <v/>
      </c>
      <c r="C27" s="569">
        <f>IF('Aanpassen Werkschema'!D57="geplande taak",1,IF('Aanpassen Werkschema'!D57="openingstijd",2,IF('Aanpassen Werkschema'!D57="sluitingstijd",3,IF('Aanpassen Werkschema'!D57="vaste tijd",4,""))))</f>
        <v/>
      </c>
      <c r="D27" s="849">
        <f>'Aanpassen Werkschema'!E57</f>
        <v/>
      </c>
      <c r="E27" s="569">
        <f>IF('Aanpassen Werkschema'!F57="v","x","")</f>
        <v/>
      </c>
      <c r="F27" s="569">
        <f>IF('Aanpassen Werkschema'!G57="v","x","")</f>
        <v/>
      </c>
      <c r="G27" s="569">
        <f>IF('Aanpassen Werkschema'!H57="v","x","")</f>
        <v/>
      </c>
      <c r="H27" s="569">
        <f>IF('Aanpassen Werkschema'!I57="v","x","")</f>
        <v/>
      </c>
      <c r="I27" s="569">
        <f>IF('Aanpassen Werkschema'!J57="v","x","")</f>
        <v/>
      </c>
      <c r="J27" s="569">
        <f>IF('Aanpassen Werkschema'!K57="v","x","")</f>
        <v/>
      </c>
      <c r="K27" s="569">
        <f>IF('Aanpassen Werkschema'!L57="v","x","")</f>
        <v/>
      </c>
      <c r="L27" s="571">
        <f>IF('Aanpassen Werkschema'!M57&gt;0,'Aanpassen Werkschema'!M57,"")</f>
        <v/>
      </c>
      <c r="M27" s="571">
        <f>IF('Aanpassen Werkschema'!N57&gt;0,'Aanpassen Werkschema'!N57,"")</f>
        <v/>
      </c>
      <c r="N27" s="571">
        <f>IF('Aanpassen Werkschema'!O57&gt;0,'Aanpassen Werkschema'!O57,"")</f>
        <v/>
      </c>
      <c r="O27" s="571">
        <f>IF('Aanpassen Werkschema'!P57&gt;0,'Aanpassen Werkschema'!P57,"")</f>
        <v/>
      </c>
      <c r="P27" s="571">
        <f>IF('Aanpassen Werkschema'!Q57&gt;0,'Aanpassen Werkschema'!Q57,"")</f>
        <v/>
      </c>
      <c r="Q27" s="571">
        <f>IF('Aanpassen Werkschema'!R57&gt;0,'Aanpassen Werkschema'!R57,"")</f>
        <v/>
      </c>
      <c r="R27" s="571">
        <f>IF('Aanpassen Werkschema'!S57&gt;0,'Aanpassen Werkschema'!S57,"")</f>
        <v/>
      </c>
      <c r="S27" s="569">
        <f>IF('Aanpassen Werkschema'!T57="x","",IF('Aanpassen Werkschema'!N57="v","x",IF(E27="","",IF(E27="x","x"))))</f>
        <v/>
      </c>
      <c r="T27" s="569">
        <f>IF('Aanpassen Werkschema'!U57="x","",IF('Aanpassen Werkschema'!O57="v","x",IF(F27="","",IF(F27="x","x"))))</f>
        <v/>
      </c>
      <c r="U27" s="569">
        <f>IF('Aanpassen Werkschema'!V57="x","",IF('Aanpassen Werkschema'!P57="v","x",IF(G27="","",IF(G27="x","x"))))</f>
        <v/>
      </c>
      <c r="V27" s="569">
        <f>IF('Aanpassen Werkschema'!W57="x","",IF('Aanpassen Werkschema'!Q57="v","x",IF(H27="","",IF(H27="x","x"))))</f>
        <v/>
      </c>
      <c r="W27" s="569">
        <f>IF('Aanpassen Werkschema'!X57="x","",IF('Aanpassen Werkschema'!R57="v","x",IF(I27="","",IF(I27="x","x"))))</f>
        <v/>
      </c>
      <c r="X27" s="569">
        <f>IF('Aanpassen Werkschema'!Y57="x","",IF('Aanpassen Werkschema'!S57="v","x",IF(J27="","",IF(J27="x","x"))))</f>
        <v/>
      </c>
      <c r="Y27" s="569">
        <f>IF('Aanpassen Werkschema'!Z57="x","",IF('Aanpassen Werkschema'!T57="v","x",IF(K27="","",IF(K27="x","x"))))</f>
        <v/>
      </c>
      <c r="Z27" s="850">
        <f>Z26+0.0000000001</f>
        <v/>
      </c>
      <c r="AA27" s="851">
        <f>IFERROR(IF(C27="",1.1,IF(S27="",1,IF($C27=1,VLOOKUP($B27,'Werkschema - Rekening'!$B$2:$C$46,2,FALSE),IF($C27=2,Instellingen!C$16,IF($C27=3,Instellingen!D$16,IF($C27=4,L27))))+$D27)+$Z27),1.1)</f>
        <v/>
      </c>
      <c r="AB27" s="852">
        <f>IF($B27="","",IFERROR(VLOOKUP($B27,'Werkschema - Rekening'!$B$2:$P$46,3,FALSE),""))</f>
        <v/>
      </c>
      <c r="AC27" s="851">
        <f>IFERROR(IF(C27="",1.1,IF(T27="",1,IF($C27=1,VLOOKUP($B27,'Werkschema - Rekening'!$B$2:$E$46,4,FALSE),IF($C27=2,Instellingen!E$16,IF($C27=3,Instellingen!F$16,IF($C27=4,M27))))+$D27)+$Z27),1.1)</f>
        <v/>
      </c>
      <c r="AD27" s="852">
        <f>IF($B27="","",IFERROR(VLOOKUP($B27,'Werkschema - Rekening'!$B$2:$P$46,5,FALSE),""))</f>
        <v/>
      </c>
      <c r="AE27" s="851">
        <f>IFERROR(IF(C27="",1.1,IF(U27="",1,IF($C27=1,VLOOKUP($B27,'Werkschema - Rekening'!$B$2:$G$46,6,FALSE),IF($C27=2,Instellingen!G$16,IF($C27=3,Instellingen!H$16,IF($C27=4,N27))))+$D27)+$Z27),1.1)</f>
        <v/>
      </c>
      <c r="AF27" s="852">
        <f>IF($B27="","",IFERROR(VLOOKUP($B27,'Werkschema - Rekening'!$B$2:$P$46,7,FALSE),""))</f>
        <v/>
      </c>
      <c r="AG27" s="851">
        <f>IFERROR(IF(C27="",1.1,IF(V27="",1,IF($C27=1,VLOOKUP($B27,'Werkschema - Rekening'!$B$2:$I$46,8,FALSE),IF($C27=2,Instellingen!I$16,IF($C27=3,Instellingen!J$16,IF($C27=4,O27))))+$D27)+$Z27),1.1)</f>
        <v/>
      </c>
      <c r="AH27" s="852">
        <f>IF($B27="","",IFERROR(VLOOKUP($B27,'Werkschema - Rekening'!$B$2:$P$46,9,FALSE),""))</f>
        <v/>
      </c>
      <c r="AI27" s="851">
        <f>IFERROR(IF(C27="",1.1,IF(W27="",1,IF($C27=1,VLOOKUP($B27,'Werkschema - Rekening'!$B$2:$K$46,10,FALSE),IF($C27=2,Instellingen!K$16,IF($C27=3,Instellingen!L$16,IF($C27=4,P27))))+$D27)+$Z27),1.1)</f>
        <v/>
      </c>
      <c r="AJ27" s="852">
        <f>IF($B27="","",IFERROR(VLOOKUP($B27,'Werkschema - Rekening'!$B$2:$P$46,11,FALSE),""))</f>
        <v/>
      </c>
      <c r="AK27" s="851">
        <f>IFERROR(IF(C27="",1.1,IF(X27="",1,IF($C27=1,VLOOKUP($B27,'Werkschema - Rekening'!$B$2:$M$46,12,FALSE),IF($C27=2,Instellingen!M$16,IF($C27=3,Instellingen!N$16,IF($C27=4,Q27))))+$D27)+$Z27),1.1)</f>
        <v/>
      </c>
      <c r="AL27" s="852">
        <f>IF($B27="","",IFERROR(VLOOKUP($B27,'Werkschema - Rekening'!$B$2:$P$46,13,FALSE),""))</f>
        <v/>
      </c>
      <c r="AM27" s="851">
        <f>IFERROR(IF(C27="",1.1,IF(Y27="",1,IF($C27=1,VLOOKUP($B27,'Werkschema - Rekening'!$B$2:$O$46,14,FALSE),IF($C27=2,Instellingen!O$16,IF($C27=3,Instellingen!P$16,IF($C27=4,R27))))+$D27)+$Z27),1.1)</f>
        <v/>
      </c>
      <c r="AN27" s="852">
        <f>IF($B27="","",IFERROR(VLOOKUP($B27,'Werkschema - Rekening'!$B$2:$P$46,15,FALSE),""))</f>
        <v/>
      </c>
      <c r="AO27" s="852">
        <f>A27</f>
        <v/>
      </c>
      <c r="AP27" s="852">
        <f>B27</f>
        <v/>
      </c>
    </row>
    <row r="28" ht="15" customHeight="1">
      <c r="A28" s="830">
        <f>'Aanpassen Werkschema'!B58</f>
        <v/>
      </c>
      <c r="B28" s="569">
        <f>'Aanpassen Werkschema'!C58</f>
        <v/>
      </c>
      <c r="C28" s="569">
        <f>IF('Aanpassen Werkschema'!D58="geplande taak",1,IF('Aanpassen Werkschema'!D58="openingstijd",2,IF('Aanpassen Werkschema'!D58="sluitingstijd",3,IF('Aanpassen Werkschema'!D58="vaste tijd",4,""))))</f>
        <v/>
      </c>
      <c r="D28" s="849">
        <f>'Aanpassen Werkschema'!E58</f>
        <v/>
      </c>
      <c r="E28" s="569">
        <f>IF('Aanpassen Werkschema'!F58="v","x","")</f>
        <v/>
      </c>
      <c r="F28" s="569">
        <f>IF('Aanpassen Werkschema'!G58="v","x","")</f>
        <v/>
      </c>
      <c r="G28" s="569">
        <f>IF('Aanpassen Werkschema'!H58="v","x","")</f>
        <v/>
      </c>
      <c r="H28" s="569">
        <f>IF('Aanpassen Werkschema'!I58="v","x","")</f>
        <v/>
      </c>
      <c r="I28" s="569">
        <f>IF('Aanpassen Werkschema'!J58="v","x","")</f>
        <v/>
      </c>
      <c r="J28" s="569">
        <f>IF('Aanpassen Werkschema'!K58="v","x","")</f>
        <v/>
      </c>
      <c r="K28" s="569">
        <f>IF('Aanpassen Werkschema'!L58="v","x","")</f>
        <v/>
      </c>
      <c r="L28" s="571">
        <f>IF('Aanpassen Werkschema'!M58&gt;0,'Aanpassen Werkschema'!M58,"")</f>
        <v/>
      </c>
      <c r="M28" s="571">
        <f>IF('Aanpassen Werkschema'!N58&gt;0,'Aanpassen Werkschema'!N58,"")</f>
        <v/>
      </c>
      <c r="N28" s="571">
        <f>IF('Aanpassen Werkschema'!O58&gt;0,'Aanpassen Werkschema'!O58,"")</f>
        <v/>
      </c>
      <c r="O28" s="571">
        <f>IF('Aanpassen Werkschema'!P58&gt;0,'Aanpassen Werkschema'!P58,"")</f>
        <v/>
      </c>
      <c r="P28" s="571">
        <f>IF('Aanpassen Werkschema'!Q58&gt;0,'Aanpassen Werkschema'!Q58,"")</f>
        <v/>
      </c>
      <c r="Q28" s="571">
        <f>IF('Aanpassen Werkschema'!R58&gt;0,'Aanpassen Werkschema'!R58,"")</f>
        <v/>
      </c>
      <c r="R28" s="571">
        <f>IF('Aanpassen Werkschema'!S58&gt;0,'Aanpassen Werkschema'!S58,"")</f>
        <v/>
      </c>
      <c r="S28" s="569">
        <f>IF('Aanpassen Werkschema'!T58="x","",IF('Aanpassen Werkschema'!N58="v","x",IF(E28="","",IF(E28="x","x"))))</f>
        <v/>
      </c>
      <c r="T28" s="569">
        <f>IF('Aanpassen Werkschema'!U58="x","",IF('Aanpassen Werkschema'!O58="v","x",IF(F28="","",IF(F28="x","x"))))</f>
        <v/>
      </c>
      <c r="U28" s="569">
        <f>IF('Aanpassen Werkschema'!V58="x","",IF('Aanpassen Werkschema'!P58="v","x",IF(G28="","",IF(G28="x","x"))))</f>
        <v/>
      </c>
      <c r="V28" s="569">
        <f>IF('Aanpassen Werkschema'!W58="x","",IF('Aanpassen Werkschema'!Q58="v","x",IF(H28="","",IF(H28="x","x"))))</f>
        <v/>
      </c>
      <c r="W28" s="569">
        <f>IF('Aanpassen Werkschema'!X58="x","",IF('Aanpassen Werkschema'!R58="v","x",IF(I28="","",IF(I28="x","x"))))</f>
        <v/>
      </c>
      <c r="X28" s="569">
        <f>IF('Aanpassen Werkschema'!Y58="x","",IF('Aanpassen Werkschema'!S58="v","x",IF(J28="","",IF(J28="x","x"))))</f>
        <v/>
      </c>
      <c r="Y28" s="569">
        <f>IF('Aanpassen Werkschema'!Z58="x","",IF('Aanpassen Werkschema'!T58="v","x",IF(K28="","",IF(K28="x","x"))))</f>
        <v/>
      </c>
      <c r="Z28" s="850">
        <f>Z27+0.0000000001</f>
        <v/>
      </c>
      <c r="AA28" s="851">
        <f>IFERROR(IF(C28="",1.1,IF(S28="",1,IF($C28=1,VLOOKUP($B28,'Werkschema - Rekening'!$B$2:$C$46,2,FALSE),IF($C28=2,Instellingen!C$16,IF($C28=3,Instellingen!D$16,IF($C28=4,L28))))+$D28)+$Z28),1.1)</f>
        <v/>
      </c>
      <c r="AB28" s="852">
        <f>IF($B28="","",IFERROR(VLOOKUP($B28,'Werkschema - Rekening'!$B$2:$P$46,3,FALSE),""))</f>
        <v/>
      </c>
      <c r="AC28" s="851">
        <f>IFERROR(IF(C28="",1.1,IF(T28="",1,IF($C28=1,VLOOKUP($B28,'Werkschema - Rekening'!$B$2:$E$46,4,FALSE),IF($C28=2,Instellingen!E$16,IF($C28=3,Instellingen!F$16,IF($C28=4,M28))))+$D28)+$Z28),1.1)</f>
        <v/>
      </c>
      <c r="AD28" s="852">
        <f>IF($B28="","",IFERROR(VLOOKUP($B28,'Werkschema - Rekening'!$B$2:$P$46,5,FALSE),""))</f>
        <v/>
      </c>
      <c r="AE28" s="851">
        <f>IFERROR(IF(C28="",1.1,IF(U28="",1,IF($C28=1,VLOOKUP($B28,'Werkschema - Rekening'!$B$2:$G$46,6,FALSE),IF($C28=2,Instellingen!G$16,IF($C28=3,Instellingen!H$16,IF($C28=4,N28))))+$D28)+$Z28),1.1)</f>
        <v/>
      </c>
      <c r="AF28" s="852">
        <f>IF($B28="","",IFERROR(VLOOKUP($B28,'Werkschema - Rekening'!$B$2:$P$46,7,FALSE),""))</f>
        <v/>
      </c>
      <c r="AG28" s="851">
        <f>IFERROR(IF(C28="",1.1,IF(V28="",1,IF($C28=1,VLOOKUP($B28,'Werkschema - Rekening'!$B$2:$I$46,8,FALSE),IF($C28=2,Instellingen!I$16,IF($C28=3,Instellingen!J$16,IF($C28=4,O28))))+$D28)+$Z28),1.1)</f>
        <v/>
      </c>
      <c r="AH28" s="852">
        <f>IF($B28="","",IFERROR(VLOOKUP($B28,'Werkschema - Rekening'!$B$2:$P$46,9,FALSE),""))</f>
        <v/>
      </c>
      <c r="AI28" s="851">
        <f>IFERROR(IF(C28="",1.1,IF(W28="",1,IF($C28=1,VLOOKUP($B28,'Werkschema - Rekening'!$B$2:$K$46,10,FALSE),IF($C28=2,Instellingen!K$16,IF($C28=3,Instellingen!L$16,IF($C28=4,P28))))+$D28)+$Z28),1.1)</f>
        <v/>
      </c>
      <c r="AJ28" s="852">
        <f>IF($B28="","",IFERROR(VLOOKUP($B28,'Werkschema - Rekening'!$B$2:$P$46,11,FALSE),""))</f>
        <v/>
      </c>
      <c r="AK28" s="851">
        <f>IFERROR(IF(C28="",1.1,IF(X28="",1,IF($C28=1,VLOOKUP($B28,'Werkschema - Rekening'!$B$2:$M$46,12,FALSE),IF($C28=2,Instellingen!M$16,IF($C28=3,Instellingen!N$16,IF($C28=4,Q28))))+$D28)+$Z28),1.1)</f>
        <v/>
      </c>
      <c r="AL28" s="852">
        <f>IF($B28="","",IFERROR(VLOOKUP($B28,'Werkschema - Rekening'!$B$2:$P$46,13,FALSE),""))</f>
        <v/>
      </c>
      <c r="AM28" s="851">
        <f>IFERROR(IF(C28="",1.1,IF(Y28="",1,IF($C28=1,VLOOKUP($B28,'Werkschema - Rekening'!$B$2:$O$46,14,FALSE),IF($C28=2,Instellingen!O$16,IF($C28=3,Instellingen!P$16,IF($C28=4,R28))))+$D28)+$Z28),1.1)</f>
        <v/>
      </c>
      <c r="AN28" s="852">
        <f>IF($B28="","",IFERROR(VLOOKUP($B28,'Werkschema - Rekening'!$B$2:$P$46,15,FALSE),""))</f>
        <v/>
      </c>
      <c r="AO28" s="852">
        <f>A28</f>
        <v/>
      </c>
      <c r="AP28" s="852">
        <f>B28</f>
        <v/>
      </c>
    </row>
    <row r="29" ht="15" customHeight="1">
      <c r="A29" s="830">
        <f>'Aanpassen Werkschema'!B59</f>
        <v/>
      </c>
      <c r="B29" s="569">
        <f>'Aanpassen Werkschema'!C59</f>
        <v/>
      </c>
      <c r="C29" s="569">
        <f>IF('Aanpassen Werkschema'!D59="geplande taak",1,IF('Aanpassen Werkschema'!D59="openingstijd",2,IF('Aanpassen Werkschema'!D59="sluitingstijd",3,IF('Aanpassen Werkschema'!D59="vaste tijd",4,""))))</f>
        <v/>
      </c>
      <c r="D29" s="849">
        <f>'Aanpassen Werkschema'!E59</f>
        <v/>
      </c>
      <c r="E29" s="569">
        <f>IF('Aanpassen Werkschema'!F59="v","x","")</f>
        <v/>
      </c>
      <c r="F29" s="569">
        <f>IF('Aanpassen Werkschema'!G59="v","x","")</f>
        <v/>
      </c>
      <c r="G29" s="569">
        <f>IF('Aanpassen Werkschema'!H59="v","x","")</f>
        <v/>
      </c>
      <c r="H29" s="569">
        <f>IF('Aanpassen Werkschema'!I59="v","x","")</f>
        <v/>
      </c>
      <c r="I29" s="569">
        <f>IF('Aanpassen Werkschema'!J59="v","x","")</f>
        <v/>
      </c>
      <c r="J29" s="569">
        <f>IF('Aanpassen Werkschema'!K59="v","x","")</f>
        <v/>
      </c>
      <c r="K29" s="569">
        <f>IF('Aanpassen Werkschema'!L59="v","x","")</f>
        <v/>
      </c>
      <c r="L29" s="571">
        <f>IF('Aanpassen Werkschema'!M59&gt;0,'Aanpassen Werkschema'!M59,"")</f>
        <v/>
      </c>
      <c r="M29" s="571">
        <f>IF('Aanpassen Werkschema'!N59&gt;0,'Aanpassen Werkschema'!N59,"")</f>
        <v/>
      </c>
      <c r="N29" s="571">
        <f>IF('Aanpassen Werkschema'!O59&gt;0,'Aanpassen Werkschema'!O59,"")</f>
        <v/>
      </c>
      <c r="O29" s="571">
        <f>IF('Aanpassen Werkschema'!P59&gt;0,'Aanpassen Werkschema'!P59,"")</f>
        <v/>
      </c>
      <c r="P29" s="571">
        <f>IF('Aanpassen Werkschema'!Q59&gt;0,'Aanpassen Werkschema'!Q59,"")</f>
        <v/>
      </c>
      <c r="Q29" s="571">
        <f>IF('Aanpassen Werkschema'!R59&gt;0,'Aanpassen Werkschema'!R59,"")</f>
        <v/>
      </c>
      <c r="R29" s="571">
        <f>IF('Aanpassen Werkschema'!S59&gt;0,'Aanpassen Werkschema'!S59,"")</f>
        <v/>
      </c>
      <c r="S29" s="569">
        <f>IF('Aanpassen Werkschema'!T59="x","",IF('Aanpassen Werkschema'!N59="v","x",IF(E29="","",IF(E29="x","x"))))</f>
        <v/>
      </c>
      <c r="T29" s="569">
        <f>IF('Aanpassen Werkschema'!U59="x","",IF('Aanpassen Werkschema'!O59="v","x",IF(F29="","",IF(F29="x","x"))))</f>
        <v/>
      </c>
      <c r="U29" s="569">
        <f>IF('Aanpassen Werkschema'!V59="x","",IF('Aanpassen Werkschema'!P59="v","x",IF(G29="","",IF(G29="x","x"))))</f>
        <v/>
      </c>
      <c r="V29" s="569">
        <f>IF('Aanpassen Werkschema'!W59="x","",IF('Aanpassen Werkschema'!Q59="v","x",IF(H29="","",IF(H29="x","x"))))</f>
        <v/>
      </c>
      <c r="W29" s="569">
        <f>IF('Aanpassen Werkschema'!X59="x","",IF('Aanpassen Werkschema'!R59="v","x",IF(I29="","",IF(I29="x","x"))))</f>
        <v/>
      </c>
      <c r="X29" s="569">
        <f>IF('Aanpassen Werkschema'!Y59="x","",IF('Aanpassen Werkschema'!S59="v","x",IF(J29="","",IF(J29="x","x"))))</f>
        <v/>
      </c>
      <c r="Y29" s="569">
        <f>IF('Aanpassen Werkschema'!Z59="x","",IF('Aanpassen Werkschema'!T59="v","x",IF(K29="","",IF(K29="x","x"))))</f>
        <v/>
      </c>
      <c r="Z29" s="850">
        <f>Z28+0.0000000001</f>
        <v/>
      </c>
      <c r="AA29" s="851">
        <f>IFERROR(IF(C29="",1.1,IF(S29="",1,IF($C29=1,VLOOKUP($B29,'Werkschema - Rekening'!$B$2:$C$46,2,FALSE),IF($C29=2,Instellingen!C$16,IF($C29=3,Instellingen!D$16,IF($C29=4,L29))))+$D29)+$Z29),1.1)</f>
        <v/>
      </c>
      <c r="AB29" s="852">
        <f>IF($B29="","",IFERROR(VLOOKUP($B29,'Werkschema - Rekening'!$B$2:$P$46,3,FALSE),""))</f>
        <v/>
      </c>
      <c r="AC29" s="851">
        <f>IFERROR(IF(C29="",1.1,IF(T29="",1,IF($C29=1,VLOOKUP($B29,'Werkschema - Rekening'!$B$2:$E$46,4,FALSE),IF($C29=2,Instellingen!E$16,IF($C29=3,Instellingen!F$16,IF($C29=4,M29))))+$D29)+$Z29),1.1)</f>
        <v/>
      </c>
      <c r="AD29" s="852">
        <f>IF($B29="","",IFERROR(VLOOKUP($B29,'Werkschema - Rekening'!$B$2:$P$46,5,FALSE),""))</f>
        <v/>
      </c>
      <c r="AE29" s="851">
        <f>IFERROR(IF(C29="",1.1,IF(U29="",1,IF($C29=1,VLOOKUP($B29,'Werkschema - Rekening'!$B$2:$G$46,6,FALSE),IF($C29=2,Instellingen!G$16,IF($C29=3,Instellingen!H$16,IF($C29=4,N29))))+$D29)+$Z29),1.1)</f>
        <v/>
      </c>
      <c r="AF29" s="852">
        <f>IF($B29="","",IFERROR(VLOOKUP($B29,'Werkschema - Rekening'!$B$2:$P$46,7,FALSE),""))</f>
        <v/>
      </c>
      <c r="AG29" s="851">
        <f>IFERROR(IF(C29="",1.1,IF(V29="",1,IF($C29=1,VLOOKUP($B29,'Werkschema - Rekening'!$B$2:$I$46,8,FALSE),IF($C29=2,Instellingen!I$16,IF($C29=3,Instellingen!J$16,IF($C29=4,O29))))+$D29)+$Z29),1.1)</f>
        <v/>
      </c>
      <c r="AH29" s="852">
        <f>IF($B29="","",IFERROR(VLOOKUP($B29,'Werkschema - Rekening'!$B$2:$P$46,9,FALSE),""))</f>
        <v/>
      </c>
      <c r="AI29" s="851">
        <f>IFERROR(IF(C29="",1.1,IF(W29="",1,IF($C29=1,VLOOKUP($B29,'Werkschema - Rekening'!$B$2:$K$46,10,FALSE),IF($C29=2,Instellingen!K$16,IF($C29=3,Instellingen!L$16,IF($C29=4,P29))))+$D29)+$Z29),1.1)</f>
        <v/>
      </c>
      <c r="AJ29" s="852">
        <f>IF($B29="","",IFERROR(VLOOKUP($B29,'Werkschema - Rekening'!$B$2:$P$46,11,FALSE),""))</f>
        <v/>
      </c>
      <c r="AK29" s="851">
        <f>IFERROR(IF(C29="",1.1,IF(X29="",1,IF($C29=1,VLOOKUP($B29,'Werkschema - Rekening'!$B$2:$M$46,12,FALSE),IF($C29=2,Instellingen!M$16,IF($C29=3,Instellingen!N$16,IF($C29=4,Q29))))+$D29)+$Z29),1.1)</f>
        <v/>
      </c>
      <c r="AL29" s="852">
        <f>IF($B29="","",IFERROR(VLOOKUP($B29,'Werkschema - Rekening'!$B$2:$P$46,13,FALSE),""))</f>
        <v/>
      </c>
      <c r="AM29" s="851">
        <f>IFERROR(IF(C29="",1.1,IF(Y29="",1,IF($C29=1,VLOOKUP($B29,'Werkschema - Rekening'!$B$2:$O$46,14,FALSE),IF($C29=2,Instellingen!O$16,IF($C29=3,Instellingen!P$16,IF($C29=4,R29))))+$D29)+$Z29),1.1)</f>
        <v/>
      </c>
      <c r="AN29" s="852">
        <f>IF($B29="","",IFERROR(VLOOKUP($B29,'Werkschema - Rekening'!$B$2:$P$46,15,FALSE),""))</f>
        <v/>
      </c>
      <c r="AO29" s="852">
        <f>A29</f>
        <v/>
      </c>
      <c r="AP29" s="852">
        <f>B29</f>
        <v/>
      </c>
    </row>
    <row r="30" ht="15" customHeight="1">
      <c r="A30" s="830">
        <f>'Aanpassen Werkschema'!B60</f>
        <v/>
      </c>
      <c r="B30" s="569">
        <f>'Aanpassen Werkschema'!C60</f>
        <v/>
      </c>
      <c r="C30" s="569">
        <f>IF('Aanpassen Werkschema'!D60="geplande taak",1,IF('Aanpassen Werkschema'!D60="openingstijd",2,IF('Aanpassen Werkschema'!D60="sluitingstijd",3,IF('Aanpassen Werkschema'!D60="vaste tijd",4,""))))</f>
        <v/>
      </c>
      <c r="D30" s="849">
        <f>'Aanpassen Werkschema'!E60</f>
        <v/>
      </c>
      <c r="E30" s="569">
        <f>IF('Aanpassen Werkschema'!F60="v","x","")</f>
        <v/>
      </c>
      <c r="F30" s="569">
        <f>IF('Aanpassen Werkschema'!G60="v","x","")</f>
        <v/>
      </c>
      <c r="G30" s="569">
        <f>IF('Aanpassen Werkschema'!H60="v","x","")</f>
        <v/>
      </c>
      <c r="H30" s="569">
        <f>IF('Aanpassen Werkschema'!I60="v","x","")</f>
        <v/>
      </c>
      <c r="I30" s="569">
        <f>IF('Aanpassen Werkschema'!J60="v","x","")</f>
        <v/>
      </c>
      <c r="J30" s="569">
        <f>IF('Aanpassen Werkschema'!K60="v","x","")</f>
        <v/>
      </c>
      <c r="K30" s="569">
        <f>IF('Aanpassen Werkschema'!L60="v","x","")</f>
        <v/>
      </c>
      <c r="L30" s="571">
        <f>IF('Aanpassen Werkschema'!M60&gt;0,'Aanpassen Werkschema'!M60,"")</f>
        <v/>
      </c>
      <c r="M30" s="571">
        <f>IF('Aanpassen Werkschema'!N60&gt;0,'Aanpassen Werkschema'!N60,"")</f>
        <v/>
      </c>
      <c r="N30" s="571">
        <f>IF('Aanpassen Werkschema'!O60&gt;0,'Aanpassen Werkschema'!O60,"")</f>
        <v/>
      </c>
      <c r="O30" s="571">
        <f>IF('Aanpassen Werkschema'!P60&gt;0,'Aanpassen Werkschema'!P60,"")</f>
        <v/>
      </c>
      <c r="P30" s="571">
        <f>IF('Aanpassen Werkschema'!Q60&gt;0,'Aanpassen Werkschema'!Q60,"")</f>
        <v/>
      </c>
      <c r="Q30" s="571">
        <f>IF('Aanpassen Werkschema'!R60&gt;0,'Aanpassen Werkschema'!R60,"")</f>
        <v/>
      </c>
      <c r="R30" s="571">
        <f>IF('Aanpassen Werkschema'!S60&gt;0,'Aanpassen Werkschema'!S60,"")</f>
        <v/>
      </c>
      <c r="S30" s="569">
        <f>IF('Aanpassen Werkschema'!T60="x","",IF('Aanpassen Werkschema'!N60="v","x",IF(E30="","",IF(E30="x","x"))))</f>
        <v/>
      </c>
      <c r="T30" s="569">
        <f>IF('Aanpassen Werkschema'!U60="x","",IF('Aanpassen Werkschema'!O60="v","x",IF(F30="","",IF(F30="x","x"))))</f>
        <v/>
      </c>
      <c r="U30" s="569">
        <f>IF('Aanpassen Werkschema'!V60="x","",IF('Aanpassen Werkschema'!P60="v","x",IF(G30="","",IF(G30="x","x"))))</f>
        <v/>
      </c>
      <c r="V30" s="569">
        <f>IF('Aanpassen Werkschema'!W60="x","",IF('Aanpassen Werkschema'!Q60="v","x",IF(H30="","",IF(H30="x","x"))))</f>
        <v/>
      </c>
      <c r="W30" s="569">
        <f>IF('Aanpassen Werkschema'!X60="x","",IF('Aanpassen Werkschema'!R60="v","x",IF(I30="","",IF(I30="x","x"))))</f>
        <v/>
      </c>
      <c r="X30" s="569">
        <f>IF('Aanpassen Werkschema'!Y60="x","",IF('Aanpassen Werkschema'!S60="v","x",IF(J30="","",IF(J30="x","x"))))</f>
        <v/>
      </c>
      <c r="Y30" s="569">
        <f>IF('Aanpassen Werkschema'!Z60="x","",IF('Aanpassen Werkschema'!T60="v","x",IF(K30="","",IF(K30="x","x"))))</f>
        <v/>
      </c>
      <c r="Z30" s="850">
        <f>Z29+0.0000000001</f>
        <v/>
      </c>
      <c r="AA30" s="851">
        <f>IFERROR(IF(C30="",1.1,IF(S30="",1,IF($C30=1,VLOOKUP($B30,'Werkschema - Rekening'!$B$2:$C$46,2,FALSE),IF($C30=2,Instellingen!C$16,IF($C30=3,Instellingen!D$16,IF($C30=4,L30))))+$D30)+$Z30),1.1)</f>
        <v/>
      </c>
      <c r="AB30" s="852">
        <f>IF($B30="","",IFERROR(VLOOKUP($B30,'Werkschema - Rekening'!$B$2:$P$46,3,FALSE),""))</f>
        <v/>
      </c>
      <c r="AC30" s="851">
        <f>IFERROR(IF(C30="",1.1,IF(T30="",1,IF($C30=1,VLOOKUP($B30,'Werkschema - Rekening'!$B$2:$E$46,4,FALSE),IF($C30=2,Instellingen!E$16,IF($C30=3,Instellingen!F$16,IF($C30=4,M30))))+$D30)+$Z30),1.1)</f>
        <v/>
      </c>
      <c r="AD30" s="852">
        <f>IF($B30="","",IFERROR(VLOOKUP($B30,'Werkschema - Rekening'!$B$2:$P$46,5,FALSE),""))</f>
        <v/>
      </c>
      <c r="AE30" s="851">
        <f>IFERROR(IF(C30="",1.1,IF(U30="",1,IF($C30=1,VLOOKUP($B30,'Werkschema - Rekening'!$B$2:$G$46,6,FALSE),IF($C30=2,Instellingen!G$16,IF($C30=3,Instellingen!H$16,IF($C30=4,N30))))+$D30)+$Z30),1.1)</f>
        <v/>
      </c>
      <c r="AF30" s="852">
        <f>IF($B30="","",IFERROR(VLOOKUP($B30,'Werkschema - Rekening'!$B$2:$P$46,7,FALSE),""))</f>
        <v/>
      </c>
      <c r="AG30" s="851">
        <f>IFERROR(IF(C30="",1.1,IF(V30="",1,IF($C30=1,VLOOKUP($B30,'Werkschema - Rekening'!$B$2:$I$46,8,FALSE),IF($C30=2,Instellingen!I$16,IF($C30=3,Instellingen!J$16,IF($C30=4,O30))))+$D30)+$Z30),1.1)</f>
        <v/>
      </c>
      <c r="AH30" s="852">
        <f>IF($B30="","",IFERROR(VLOOKUP($B30,'Werkschema - Rekening'!$B$2:$P$46,9,FALSE),""))</f>
        <v/>
      </c>
      <c r="AI30" s="851">
        <f>IFERROR(IF(C30="",1.1,IF(W30="",1,IF($C30=1,VLOOKUP($B30,'Werkschema - Rekening'!$B$2:$K$46,10,FALSE),IF($C30=2,Instellingen!K$16,IF($C30=3,Instellingen!L$16,IF($C30=4,P30))))+$D30)+$Z30),1.1)</f>
        <v/>
      </c>
      <c r="AJ30" s="852">
        <f>IF($B30="","",IFERROR(VLOOKUP($B30,'Werkschema - Rekening'!$B$2:$P$46,11,FALSE),""))</f>
        <v/>
      </c>
      <c r="AK30" s="851">
        <f>IFERROR(IF(C30="",1.1,IF(X30="",1,IF($C30=1,VLOOKUP($B30,'Werkschema - Rekening'!$B$2:$M$46,12,FALSE),IF($C30=2,Instellingen!M$16,IF($C30=3,Instellingen!N$16,IF($C30=4,Q30))))+$D30)+$Z30),1.1)</f>
        <v/>
      </c>
      <c r="AL30" s="852">
        <f>IF($B30="","",IFERROR(VLOOKUP($B30,'Werkschema - Rekening'!$B$2:$P$46,13,FALSE),""))</f>
        <v/>
      </c>
      <c r="AM30" s="851">
        <f>IFERROR(IF(C30="",1.1,IF(Y30="",1,IF($C30=1,VLOOKUP($B30,'Werkschema - Rekening'!$B$2:$O$46,14,FALSE),IF($C30=2,Instellingen!O$16,IF($C30=3,Instellingen!P$16,IF($C30=4,R30))))+$D30)+$Z30),1.1)</f>
        <v/>
      </c>
      <c r="AN30" s="852">
        <f>IF($B30="","",IFERROR(VLOOKUP($B30,'Werkschema - Rekening'!$B$2:$P$46,15,FALSE),""))</f>
        <v/>
      </c>
      <c r="AO30" s="852">
        <f>A30</f>
        <v/>
      </c>
      <c r="AP30" s="852">
        <f>B30</f>
        <v/>
      </c>
    </row>
    <row r="31" ht="15" customHeight="1">
      <c r="A31" s="830">
        <f>'Aanpassen Werkschema'!B61</f>
        <v/>
      </c>
      <c r="B31" s="569">
        <f>'Aanpassen Werkschema'!C61</f>
        <v/>
      </c>
      <c r="C31" s="569">
        <f>IF('Aanpassen Werkschema'!D61="geplande taak",1,IF('Aanpassen Werkschema'!D61="openingstijd",2,IF('Aanpassen Werkschema'!D61="sluitingstijd",3,IF('Aanpassen Werkschema'!D61="vaste tijd",4,""))))</f>
        <v/>
      </c>
      <c r="D31" s="849">
        <f>'Aanpassen Werkschema'!E61</f>
        <v/>
      </c>
      <c r="E31" s="569">
        <f>IF('Aanpassen Werkschema'!F61="v","x","")</f>
        <v/>
      </c>
      <c r="F31" s="569">
        <f>IF('Aanpassen Werkschema'!G61="v","x","")</f>
        <v/>
      </c>
      <c r="G31" s="569">
        <f>IF('Aanpassen Werkschema'!H61="v","x","")</f>
        <v/>
      </c>
      <c r="H31" s="569">
        <f>IF('Aanpassen Werkschema'!I61="v","x","")</f>
        <v/>
      </c>
      <c r="I31" s="569">
        <f>IF('Aanpassen Werkschema'!J61="v","x","")</f>
        <v/>
      </c>
      <c r="J31" s="569">
        <f>IF('Aanpassen Werkschema'!K61="v","x","")</f>
        <v/>
      </c>
      <c r="K31" s="569">
        <f>IF('Aanpassen Werkschema'!L61="v","x","")</f>
        <v/>
      </c>
      <c r="L31" s="571">
        <f>IF('Aanpassen Werkschema'!M61&gt;0,'Aanpassen Werkschema'!M61,"")</f>
        <v/>
      </c>
      <c r="M31" s="571">
        <f>IF('Aanpassen Werkschema'!N61&gt;0,'Aanpassen Werkschema'!N61,"")</f>
        <v/>
      </c>
      <c r="N31" s="571">
        <f>IF('Aanpassen Werkschema'!O61&gt;0,'Aanpassen Werkschema'!O61,"")</f>
        <v/>
      </c>
      <c r="O31" s="571">
        <f>IF('Aanpassen Werkschema'!P61&gt;0,'Aanpassen Werkschema'!P61,"")</f>
        <v/>
      </c>
      <c r="P31" s="571">
        <f>IF('Aanpassen Werkschema'!Q61&gt;0,'Aanpassen Werkschema'!Q61,"")</f>
        <v/>
      </c>
      <c r="Q31" s="571">
        <f>IF('Aanpassen Werkschema'!R61&gt;0,'Aanpassen Werkschema'!R61,"")</f>
        <v/>
      </c>
      <c r="R31" s="571">
        <f>IF('Aanpassen Werkschema'!S61&gt;0,'Aanpassen Werkschema'!S61,"")</f>
        <v/>
      </c>
      <c r="S31" s="569">
        <f>IF('Aanpassen Werkschema'!T61="x","",IF('Aanpassen Werkschema'!N61="v","x",IF(E31="","",IF(E31="x","x"))))</f>
        <v/>
      </c>
      <c r="T31" s="569">
        <f>IF('Aanpassen Werkschema'!U61="x","",IF('Aanpassen Werkschema'!O61="v","x",IF(F31="","",IF(F31="x","x"))))</f>
        <v/>
      </c>
      <c r="U31" s="569">
        <f>IF('Aanpassen Werkschema'!V61="x","",IF('Aanpassen Werkschema'!P61="v","x",IF(G31="","",IF(G31="x","x"))))</f>
        <v/>
      </c>
      <c r="V31" s="569">
        <f>IF('Aanpassen Werkschema'!W61="x","",IF('Aanpassen Werkschema'!Q61="v","x",IF(H31="","",IF(H31="x","x"))))</f>
        <v/>
      </c>
      <c r="W31" s="569">
        <f>IF('Aanpassen Werkschema'!X61="x","",IF('Aanpassen Werkschema'!R61="v","x",IF(I31="","",IF(I31="x","x"))))</f>
        <v/>
      </c>
      <c r="X31" s="569">
        <f>IF('Aanpassen Werkschema'!Y61="x","",IF('Aanpassen Werkschema'!S61="v","x",IF(J31="","",IF(J31="x","x"))))</f>
        <v/>
      </c>
      <c r="Y31" s="569">
        <f>IF('Aanpassen Werkschema'!Z61="x","",IF('Aanpassen Werkschema'!T61="v","x",IF(K31="","",IF(K31="x","x"))))</f>
        <v/>
      </c>
      <c r="Z31" s="850">
        <f>Z30+0.0000000001</f>
        <v/>
      </c>
      <c r="AA31" s="851">
        <f>IFERROR(IF(C31="",1.1,IF(S31="",1,IF($C31=1,VLOOKUP($B31,'Werkschema - Rekening'!$B$2:$C$46,2,FALSE),IF($C31=2,Instellingen!C$16,IF($C31=3,Instellingen!D$16,IF($C31=4,L31))))+$D31)+$Z31),1.1)</f>
        <v/>
      </c>
      <c r="AB31" s="852">
        <f>IF($B31="","",IFERROR(VLOOKUP($B31,'Werkschema - Rekening'!$B$2:$P$46,3,FALSE),""))</f>
        <v/>
      </c>
      <c r="AC31" s="851">
        <f>IFERROR(IF(C31="",1.1,IF(T31="",1,IF($C31=1,VLOOKUP($B31,'Werkschema - Rekening'!$B$2:$E$46,4,FALSE),IF($C31=2,Instellingen!E$16,IF($C31=3,Instellingen!F$16,IF($C31=4,M31))))+$D31)+$Z31),1.1)</f>
        <v/>
      </c>
      <c r="AD31" s="852">
        <f>IF($B31="","",IFERROR(VLOOKUP($B31,'Werkschema - Rekening'!$B$2:$P$46,5,FALSE),""))</f>
        <v/>
      </c>
      <c r="AE31" s="851">
        <f>IFERROR(IF(C31="",1.1,IF(U31="",1,IF($C31=1,VLOOKUP($B31,'Werkschema - Rekening'!$B$2:$G$46,6,FALSE),IF($C31=2,Instellingen!G$16,IF($C31=3,Instellingen!H$16,IF($C31=4,N31))))+$D31)+$Z31),1.1)</f>
        <v/>
      </c>
      <c r="AF31" s="852">
        <f>IF($B31="","",IFERROR(VLOOKUP($B31,'Werkschema - Rekening'!$B$2:$P$46,7,FALSE),""))</f>
        <v/>
      </c>
      <c r="AG31" s="851">
        <f>IFERROR(IF(C31="",1.1,IF(V31="",1,IF($C31=1,VLOOKUP($B31,'Werkschema - Rekening'!$B$2:$I$46,8,FALSE),IF($C31=2,Instellingen!I$16,IF($C31=3,Instellingen!J$16,IF($C31=4,O31))))+$D31)+$Z31),1.1)</f>
        <v/>
      </c>
      <c r="AH31" s="852">
        <f>IF($B31="","",IFERROR(VLOOKUP($B31,'Werkschema - Rekening'!$B$2:$P$46,9,FALSE),""))</f>
        <v/>
      </c>
      <c r="AI31" s="851">
        <f>IFERROR(IF(C31="",1.1,IF(W31="",1,IF($C31=1,VLOOKUP($B31,'Werkschema - Rekening'!$B$2:$K$46,10,FALSE),IF($C31=2,Instellingen!K$16,IF($C31=3,Instellingen!L$16,IF($C31=4,P31))))+$D31)+$Z31),1.1)</f>
        <v/>
      </c>
      <c r="AJ31" s="852">
        <f>IF($B31="","",IFERROR(VLOOKUP($B31,'Werkschema - Rekening'!$B$2:$P$46,11,FALSE),""))</f>
        <v/>
      </c>
      <c r="AK31" s="851">
        <f>IFERROR(IF(C31="",1.1,IF(X31="",1,IF($C31=1,VLOOKUP($B31,'Werkschema - Rekening'!$B$2:$M$46,12,FALSE),IF($C31=2,Instellingen!M$16,IF($C31=3,Instellingen!N$16,IF($C31=4,Q31))))+$D31)+$Z31),1.1)</f>
        <v/>
      </c>
      <c r="AL31" s="852">
        <f>IF($B31="","",IFERROR(VLOOKUP($B31,'Werkschema - Rekening'!$B$2:$P$46,13,FALSE),""))</f>
        <v/>
      </c>
      <c r="AM31" s="851">
        <f>IFERROR(IF(C31="",1.1,IF(Y31="",1,IF($C31=1,VLOOKUP($B31,'Werkschema - Rekening'!$B$2:$O$46,14,FALSE),IF($C31=2,Instellingen!O$16,IF($C31=3,Instellingen!P$16,IF($C31=4,R31))))+$D31)+$Z31),1.1)</f>
        <v/>
      </c>
      <c r="AN31" s="852">
        <f>IF($B31="","",IFERROR(VLOOKUP($B31,'Werkschema - Rekening'!$B$2:$P$46,15,FALSE),""))</f>
        <v/>
      </c>
      <c r="AO31" s="852">
        <f>A31</f>
        <v/>
      </c>
      <c r="AP31" s="852">
        <f>B31</f>
        <v/>
      </c>
    </row>
    <row r="32" ht="15" customHeight="1">
      <c r="A32" s="830">
        <f>'Aanpassen Werkschema'!B62</f>
        <v/>
      </c>
      <c r="B32" s="569">
        <f>'Aanpassen Werkschema'!C62</f>
        <v/>
      </c>
      <c r="C32" s="569">
        <f>IF('Aanpassen Werkschema'!D62="geplande taak",1,IF('Aanpassen Werkschema'!D62="openingstijd",2,IF('Aanpassen Werkschema'!D62="sluitingstijd",3,IF('Aanpassen Werkschema'!D62="vaste tijd",4,""))))</f>
        <v/>
      </c>
      <c r="D32" s="849">
        <f>'Aanpassen Werkschema'!E96</f>
        <v/>
      </c>
      <c r="E32" s="569">
        <f>IF('Aanpassen Werkschema'!F62="v","x","")</f>
        <v/>
      </c>
      <c r="F32" s="569">
        <f>IF('Aanpassen Werkschema'!G62="v","x","")</f>
        <v/>
      </c>
      <c r="G32" s="569">
        <f>IF('Aanpassen Werkschema'!H62="v","x","")</f>
        <v/>
      </c>
      <c r="H32" s="569">
        <f>IF('Aanpassen Werkschema'!I62="v","x","")</f>
        <v/>
      </c>
      <c r="I32" s="569">
        <f>IF('Aanpassen Werkschema'!J62="v","x","")</f>
        <v/>
      </c>
      <c r="J32" s="569">
        <f>IF('Aanpassen Werkschema'!K62="v","x","")</f>
        <v/>
      </c>
      <c r="K32" s="569">
        <f>IF('Aanpassen Werkschema'!L62="v","x","")</f>
        <v/>
      </c>
      <c r="L32" s="571">
        <f>IF('Aanpassen Werkschema'!M62&gt;0,'Aanpassen Werkschema'!M62,"")</f>
        <v/>
      </c>
      <c r="M32" s="571">
        <f>IF('Aanpassen Werkschema'!N62&gt;0,'Aanpassen Werkschema'!N62,"")</f>
        <v/>
      </c>
      <c r="N32" s="571">
        <f>IF('Aanpassen Werkschema'!O62&gt;0,'Aanpassen Werkschema'!O62,"")</f>
        <v/>
      </c>
      <c r="O32" s="571">
        <f>IF('Aanpassen Werkschema'!P62&gt;0,'Aanpassen Werkschema'!P62,"")</f>
        <v/>
      </c>
      <c r="P32" s="571">
        <f>IF('Aanpassen Werkschema'!Q62&gt;0,'Aanpassen Werkschema'!Q62,"")</f>
        <v/>
      </c>
      <c r="Q32" s="571">
        <f>IF('Aanpassen Werkschema'!R62&gt;0,'Aanpassen Werkschema'!R62,"")</f>
        <v/>
      </c>
      <c r="R32" s="571">
        <f>IF('Aanpassen Werkschema'!S62&gt;0,'Aanpassen Werkschema'!S62,"")</f>
        <v/>
      </c>
      <c r="S32" s="569">
        <f>IF('Aanpassen Werkschema'!T62="x","",IF('Aanpassen Werkschema'!N62="v","x",IF(E32="","",IF(E32="x","x"))))</f>
        <v/>
      </c>
      <c r="T32" s="569">
        <f>IF('Aanpassen Werkschema'!U62="x","",IF('Aanpassen Werkschema'!O62="v","x",IF(F32="","",IF(F32="x","x"))))</f>
        <v/>
      </c>
      <c r="U32" s="569">
        <f>IF('Aanpassen Werkschema'!V62="x","",IF('Aanpassen Werkschema'!P62="v","x",IF(G32="","",IF(G32="x","x"))))</f>
        <v/>
      </c>
      <c r="V32" s="569">
        <f>IF('Aanpassen Werkschema'!W62="x","",IF('Aanpassen Werkschema'!Q62="v","x",IF(H32="","",IF(H32="x","x"))))</f>
        <v/>
      </c>
      <c r="W32" s="569">
        <f>IF('Aanpassen Werkschema'!X62="x","",IF('Aanpassen Werkschema'!R62="v","x",IF(I32="","",IF(I32="x","x"))))</f>
        <v/>
      </c>
      <c r="X32" s="569">
        <f>IF('Aanpassen Werkschema'!Y62="x","",IF('Aanpassen Werkschema'!S62="v","x",IF(J32="","",IF(J32="x","x"))))</f>
        <v/>
      </c>
      <c r="Y32" s="569">
        <f>IF('Aanpassen Werkschema'!Z62="x","",IF('Aanpassen Werkschema'!T62="v","x",IF(K32="","",IF(K32="x","x"))))</f>
        <v/>
      </c>
      <c r="Z32" s="850">
        <f>Z31+0.0000000001</f>
        <v/>
      </c>
      <c r="AA32" s="851">
        <f>IFERROR(IF(C32="",1.1,IF(S32="",1,IF($C32=1,VLOOKUP($B32,'Werkschema - Rekening'!$B$2:$C$46,2,FALSE),IF($C32=2,Instellingen!C$16,IF($C32=3,Instellingen!D$16,IF($C32=4,L32))))+$D32)+$Z32),1.1)</f>
        <v/>
      </c>
      <c r="AB32" s="852">
        <f>IF($B32="","",IFERROR(VLOOKUP($B32,'Werkschema - Rekening'!$B$2:$P$46,3,FALSE),""))</f>
        <v/>
      </c>
      <c r="AC32" s="851">
        <f>IFERROR(IF(C32="",1.1,IF(T32="",1,IF($C32=1,VLOOKUP($B32,'Werkschema - Rekening'!$B$2:$E$46,4,FALSE),IF($C32=2,Instellingen!E$16,IF($C32=3,Instellingen!F$16,IF($C32=4,M32))))+$D32)+$Z32),1.1)</f>
        <v/>
      </c>
      <c r="AD32" s="852">
        <f>IF($B32="","",IFERROR(VLOOKUP($B32,'Werkschema - Rekening'!$B$2:$P$46,5,FALSE),""))</f>
        <v/>
      </c>
      <c r="AE32" s="851">
        <f>IFERROR(IF(C32="",1.1,IF(U32="",1,IF($C32=1,VLOOKUP($B32,'Werkschema - Rekening'!$B$2:$G$46,6,FALSE),IF($C32=2,Instellingen!G$16,IF($C32=3,Instellingen!H$16,IF($C32=4,N32))))+$D32)+$Z32),1.1)</f>
        <v/>
      </c>
      <c r="AF32" s="852">
        <f>IF($B32="","",IFERROR(VLOOKUP($B32,'Werkschema - Rekening'!$B$2:$P$46,7,FALSE),""))</f>
        <v/>
      </c>
      <c r="AG32" s="851">
        <f>IFERROR(IF(C32="",1.1,IF(V32="",1,IF($C32=1,VLOOKUP($B32,'Werkschema - Rekening'!$B$2:$I$46,8,FALSE),IF($C32=2,Instellingen!I$16,IF($C32=3,Instellingen!J$16,IF($C32=4,O32))))+$D32)+$Z32),1.1)</f>
        <v/>
      </c>
      <c r="AH32" s="852">
        <f>IF($B32="","",IFERROR(VLOOKUP($B32,'Werkschema - Rekening'!$B$2:$P$46,9,FALSE),""))</f>
        <v/>
      </c>
      <c r="AI32" s="851">
        <f>IFERROR(IF(C32="",1.1,IF(W32="",1,IF($C32=1,VLOOKUP($B32,'Werkschema - Rekening'!$B$2:$K$46,10,FALSE),IF($C32=2,Instellingen!K$16,IF($C32=3,Instellingen!L$16,IF($C32=4,P32))))+$D32)+$Z32),1.1)</f>
        <v/>
      </c>
      <c r="AJ32" s="852">
        <f>IF($B32="","",IFERROR(VLOOKUP($B32,'Werkschema - Rekening'!$B$2:$P$46,11,FALSE),""))</f>
        <v/>
      </c>
      <c r="AK32" s="851">
        <f>IFERROR(IF(C32="",1.1,IF(X32="",1,IF($C32=1,VLOOKUP($B32,'Werkschema - Rekening'!$B$2:$M$46,12,FALSE),IF($C32=2,Instellingen!M$16,IF($C32=3,Instellingen!N$16,IF($C32=4,Q32))))+$D32)+$Z32),1.1)</f>
        <v/>
      </c>
      <c r="AL32" s="852">
        <f>IF($B32="","",IFERROR(VLOOKUP($B32,'Werkschema - Rekening'!$B$2:$P$46,13,FALSE),""))</f>
        <v/>
      </c>
      <c r="AM32" s="851">
        <f>IFERROR(IF(C32="",1.1,IF(Y32="",1,IF($C32=1,VLOOKUP($B32,'Werkschema - Rekening'!$B$2:$O$46,14,FALSE),IF($C32=2,Instellingen!O$16,IF($C32=3,Instellingen!P$16,IF($C32=4,R32))))+$D32)+$Z32),1.1)</f>
        <v/>
      </c>
      <c r="AN32" s="852">
        <f>IF($B32="","",IFERROR(VLOOKUP($B32,'Werkschema - Rekening'!$B$2:$P$46,15,FALSE),""))</f>
        <v/>
      </c>
      <c r="AO32" s="852">
        <f>A32</f>
        <v/>
      </c>
      <c r="AP32" s="852">
        <f>B32</f>
        <v/>
      </c>
    </row>
    <row r="33" ht="15" customHeight="1">
      <c r="A33" s="830">
        <f>'Aanpassen Werkschema'!B63</f>
        <v/>
      </c>
      <c r="B33" s="569">
        <f>'Aanpassen Werkschema'!C63</f>
        <v/>
      </c>
      <c r="C33" s="569">
        <f>IF('Aanpassen Werkschema'!D63="geplande taak",1,IF('Aanpassen Werkschema'!D63="openingstijd",2,IF('Aanpassen Werkschema'!D63="sluitingstijd",3,IF('Aanpassen Werkschema'!D63="vaste tijd",4,""))))</f>
        <v/>
      </c>
      <c r="D33" s="849">
        <f>'Aanpassen Werkschema'!E63</f>
        <v/>
      </c>
      <c r="E33" s="569">
        <f>IF('Aanpassen Werkschema'!F63="v","x","")</f>
        <v/>
      </c>
      <c r="F33" s="569">
        <f>IF('Aanpassen Werkschema'!G63="v","x","")</f>
        <v/>
      </c>
      <c r="G33" s="569">
        <f>IF('Aanpassen Werkschema'!H63="v","x","")</f>
        <v/>
      </c>
      <c r="H33" s="569">
        <f>IF('Aanpassen Werkschema'!I63="v","x","")</f>
        <v/>
      </c>
      <c r="I33" s="569">
        <f>IF('Aanpassen Werkschema'!J63="v","x","")</f>
        <v/>
      </c>
      <c r="J33" s="569">
        <f>IF('Aanpassen Werkschema'!K63="v","x","")</f>
        <v/>
      </c>
      <c r="K33" s="569">
        <f>IF('Aanpassen Werkschema'!L63="v","x","")</f>
        <v/>
      </c>
      <c r="L33" s="571">
        <f>IF('Aanpassen Werkschema'!M63&gt;0,'Aanpassen Werkschema'!M63,"")</f>
        <v/>
      </c>
      <c r="M33" s="571">
        <f>IF('Aanpassen Werkschema'!N63&gt;0,'Aanpassen Werkschema'!N63,"")</f>
        <v/>
      </c>
      <c r="N33" s="571">
        <f>IF('Aanpassen Werkschema'!O63&gt;0,'Aanpassen Werkschema'!O63,"")</f>
        <v/>
      </c>
      <c r="O33" s="571">
        <f>IF('Aanpassen Werkschema'!P63&gt;0,'Aanpassen Werkschema'!P63,"")</f>
        <v/>
      </c>
      <c r="P33" s="571">
        <f>IF('Aanpassen Werkschema'!Q63&gt;0,'Aanpassen Werkschema'!Q63,"")</f>
        <v/>
      </c>
      <c r="Q33" s="571">
        <f>IF('Aanpassen Werkschema'!R63&gt;0,'Aanpassen Werkschema'!R63,"")</f>
        <v/>
      </c>
      <c r="R33" s="571">
        <f>IF('Aanpassen Werkschema'!S63&gt;0,'Aanpassen Werkschema'!S63,"")</f>
        <v/>
      </c>
      <c r="S33" s="569">
        <f>IF('Aanpassen Werkschema'!T63="x","",IF('Aanpassen Werkschema'!N63="v","x",IF(E33="","",IF(E33="x","x"))))</f>
        <v/>
      </c>
      <c r="T33" s="569">
        <f>IF('Aanpassen Werkschema'!U63="x","",IF('Aanpassen Werkschema'!O63="v","x",IF(F33="","",IF(F33="x","x"))))</f>
        <v/>
      </c>
      <c r="U33" s="569">
        <f>IF('Aanpassen Werkschema'!V63="x","",IF('Aanpassen Werkschema'!P63="v","x",IF(G33="","",IF(G33="x","x"))))</f>
        <v/>
      </c>
      <c r="V33" s="569">
        <f>IF('Aanpassen Werkschema'!W63="x","",IF('Aanpassen Werkschema'!Q63="v","x",IF(H33="","",IF(H33="x","x"))))</f>
        <v/>
      </c>
      <c r="W33" s="569">
        <f>IF('Aanpassen Werkschema'!X63="x","",IF('Aanpassen Werkschema'!R63="v","x",IF(I33="","",IF(I33="x","x"))))</f>
        <v/>
      </c>
      <c r="X33" s="569">
        <f>IF('Aanpassen Werkschema'!Y63="x","",IF('Aanpassen Werkschema'!S63="v","x",IF(J33="","",IF(J33="x","x"))))</f>
        <v/>
      </c>
      <c r="Y33" s="569">
        <f>IF('Aanpassen Werkschema'!Z63="x","",IF('Aanpassen Werkschema'!T63="v","x",IF(K33="","",IF(K33="x","x"))))</f>
        <v/>
      </c>
      <c r="Z33" s="850">
        <f>Z32+0.0000000001</f>
        <v/>
      </c>
      <c r="AA33" s="851">
        <f>IFERROR(IF(C33="",1.1,IF(S33="",1,IF($C33=1,VLOOKUP($B33,'Werkschema - Rekening'!$B$2:$C$46,2,FALSE),IF($C33=2,Instellingen!C$16,IF($C33=3,Instellingen!D$16,IF($C33=4,L33))))+$D33)+$Z33),1.1)</f>
        <v/>
      </c>
      <c r="AB33" s="852">
        <f>IF($B33="","",IFERROR(VLOOKUP($B33,'Werkschema - Rekening'!$B$2:$P$46,3,FALSE),""))</f>
        <v/>
      </c>
      <c r="AC33" s="851">
        <f>IFERROR(IF(C33="",1.1,IF(T33="",1,IF($C33=1,VLOOKUP($B33,'Werkschema - Rekening'!$B$2:$E$46,4,FALSE),IF($C33=2,Instellingen!E$16,IF($C33=3,Instellingen!F$16,IF($C33=4,M33))))+$D33)+$Z33),1.1)</f>
        <v/>
      </c>
      <c r="AD33" s="852">
        <f>IF($B33="","",IFERROR(VLOOKUP($B33,'Werkschema - Rekening'!$B$2:$P$46,5,FALSE),""))</f>
        <v/>
      </c>
      <c r="AE33" s="851">
        <f>IFERROR(IF(C33="",1.1,IF(U33="",1,IF($C33=1,VLOOKUP($B33,'Werkschema - Rekening'!$B$2:$G$46,6,FALSE),IF($C33=2,Instellingen!G$16,IF($C33=3,Instellingen!H$16,IF($C33=4,N33))))+$D33)+$Z33),1.1)</f>
        <v/>
      </c>
      <c r="AF33" s="852">
        <f>IF($B33="","",IFERROR(VLOOKUP($B33,'Werkschema - Rekening'!$B$2:$P$46,7,FALSE),""))</f>
        <v/>
      </c>
      <c r="AG33" s="851">
        <f>IFERROR(IF(C33="",1.1,IF(V33="",1,IF($C33=1,VLOOKUP($B33,'Werkschema - Rekening'!$B$2:$I$46,8,FALSE),IF($C33=2,Instellingen!I$16,IF($C33=3,Instellingen!J$16,IF($C33=4,O33))))+$D33)+$Z33),1.1)</f>
        <v/>
      </c>
      <c r="AH33" s="852">
        <f>IF($B33="","",IFERROR(VLOOKUP($B33,'Werkschema - Rekening'!$B$2:$P$46,9,FALSE),""))</f>
        <v/>
      </c>
      <c r="AI33" s="851">
        <f>IFERROR(IF(C33="",1.1,IF(W33="",1,IF($C33=1,VLOOKUP($B33,'Werkschema - Rekening'!$B$2:$K$46,10,FALSE),IF($C33=2,Instellingen!K$16,IF($C33=3,Instellingen!L$16,IF($C33=4,P33))))+$D33)+$Z33),1.1)</f>
        <v/>
      </c>
      <c r="AJ33" s="852">
        <f>IF($B33="","",IFERROR(VLOOKUP($B33,'Werkschema - Rekening'!$B$2:$P$46,11,FALSE),""))</f>
        <v/>
      </c>
      <c r="AK33" s="851">
        <f>IFERROR(IF(C33="",1.1,IF(X33="",1,IF($C33=1,VLOOKUP($B33,'Werkschema - Rekening'!$B$2:$M$46,12,FALSE),IF($C33=2,Instellingen!M$16,IF($C33=3,Instellingen!N$16,IF($C33=4,Q33))))+$D33)+$Z33),1.1)</f>
        <v/>
      </c>
      <c r="AL33" s="852">
        <f>IF($B33="","",IFERROR(VLOOKUP($B33,'Werkschema - Rekening'!$B$2:$P$46,13,FALSE),""))</f>
        <v/>
      </c>
      <c r="AM33" s="851">
        <f>IFERROR(IF(C33="",1.1,IF(Y33="",1,IF($C33=1,VLOOKUP($B33,'Werkschema - Rekening'!$B$2:$O$46,14,FALSE),IF($C33=2,Instellingen!O$16,IF($C33=3,Instellingen!P$16,IF($C33=4,R33))))+$D33)+$Z33),1.1)</f>
        <v/>
      </c>
      <c r="AN33" s="852">
        <f>IF($B33="","",IFERROR(VLOOKUP($B33,'Werkschema - Rekening'!$B$2:$P$46,15,FALSE),""))</f>
        <v/>
      </c>
      <c r="AO33" s="852">
        <f>A33</f>
        <v/>
      </c>
      <c r="AP33" s="852">
        <f>B33</f>
        <v/>
      </c>
    </row>
    <row r="34" ht="15" customHeight="1">
      <c r="A34" s="830">
        <f>'Aanpassen Werkschema'!B64</f>
        <v/>
      </c>
      <c r="B34" s="569">
        <f>'Aanpassen Werkschema'!C64</f>
        <v/>
      </c>
      <c r="C34" s="569">
        <f>IF('Aanpassen Werkschema'!D64="geplande taak",1,IF('Aanpassen Werkschema'!D64="openingstijd",2,IF('Aanpassen Werkschema'!D64="sluitingstijd",3,IF('Aanpassen Werkschema'!D64="vaste tijd",4,""))))</f>
        <v/>
      </c>
      <c r="D34" s="849">
        <f>'Aanpassen Werkschema'!E64</f>
        <v/>
      </c>
      <c r="E34" s="569">
        <f>IF('Aanpassen Werkschema'!F64="v","x","")</f>
        <v/>
      </c>
      <c r="F34" s="569">
        <f>IF('Aanpassen Werkschema'!G64="v","x","")</f>
        <v/>
      </c>
      <c r="G34" s="569">
        <f>IF('Aanpassen Werkschema'!H64="v","x","")</f>
        <v/>
      </c>
      <c r="H34" s="569">
        <f>IF('Aanpassen Werkschema'!I64="v","x","")</f>
        <v/>
      </c>
      <c r="I34" s="569">
        <f>IF('Aanpassen Werkschema'!J64="v","x","")</f>
        <v/>
      </c>
      <c r="J34" s="569">
        <f>IF('Aanpassen Werkschema'!K64="v","x","")</f>
        <v/>
      </c>
      <c r="K34" s="569">
        <f>IF('Aanpassen Werkschema'!L64="v","x","")</f>
        <v/>
      </c>
      <c r="L34" s="571">
        <f>IF('Aanpassen Werkschema'!M64&gt;0,'Aanpassen Werkschema'!M64,"")</f>
        <v/>
      </c>
      <c r="M34" s="571">
        <f>IF('Aanpassen Werkschema'!N64&gt;0,'Aanpassen Werkschema'!N64,"")</f>
        <v/>
      </c>
      <c r="N34" s="571">
        <f>IF('Aanpassen Werkschema'!O64&gt;0,'Aanpassen Werkschema'!O64,"")</f>
        <v/>
      </c>
      <c r="O34" s="571">
        <f>IF('Aanpassen Werkschema'!P64&gt;0,'Aanpassen Werkschema'!P64,"")</f>
        <v/>
      </c>
      <c r="P34" s="571">
        <f>IF('Aanpassen Werkschema'!Q64&gt;0,'Aanpassen Werkschema'!Q64,"")</f>
        <v/>
      </c>
      <c r="Q34" s="571">
        <f>IF('Aanpassen Werkschema'!R64&gt;0,'Aanpassen Werkschema'!R64,"")</f>
        <v/>
      </c>
      <c r="R34" s="571">
        <f>IF('Aanpassen Werkschema'!S64&gt;0,'Aanpassen Werkschema'!S64,"")</f>
        <v/>
      </c>
      <c r="S34" s="569">
        <f>IF('Aanpassen Werkschema'!T64="x","",IF('Aanpassen Werkschema'!N64="v","x",IF(E34="","",IF(E34="x","x"))))</f>
        <v/>
      </c>
      <c r="T34" s="569">
        <f>IF('Aanpassen Werkschema'!U64="x","",IF('Aanpassen Werkschema'!O64="v","x",IF(F34="","",IF(F34="x","x"))))</f>
        <v/>
      </c>
      <c r="U34" s="569">
        <f>IF('Aanpassen Werkschema'!V64="x","",IF('Aanpassen Werkschema'!P64="v","x",IF(G34="","",IF(G34="x","x"))))</f>
        <v/>
      </c>
      <c r="V34" s="569">
        <f>IF('Aanpassen Werkschema'!W64="x","",IF('Aanpassen Werkschema'!Q64="v","x",IF(H34="","",IF(H34="x","x"))))</f>
        <v/>
      </c>
      <c r="W34" s="569">
        <f>IF('Aanpassen Werkschema'!X64="x","",IF('Aanpassen Werkschema'!R64="v","x",IF(I34="","",IF(I34="x","x"))))</f>
        <v/>
      </c>
      <c r="X34" s="569">
        <f>IF('Aanpassen Werkschema'!Y64="x","",IF('Aanpassen Werkschema'!S64="v","x",IF(J34="","",IF(J34="x","x"))))</f>
        <v/>
      </c>
      <c r="Y34" s="569">
        <f>IF('Aanpassen Werkschema'!Z64="x","",IF('Aanpassen Werkschema'!T64="v","x",IF(K34="","",IF(K34="x","x"))))</f>
        <v/>
      </c>
      <c r="Z34" s="850">
        <f>Z33+0.0000000001</f>
        <v/>
      </c>
      <c r="AA34" s="851">
        <f>IFERROR(IF(C34="",1.1,IF(S34="",1,IF($C34=1,VLOOKUP($B34,'Werkschema - Rekening'!$B$2:$C$46,2,FALSE),IF($C34=2,Instellingen!C$16,IF($C34=3,Instellingen!D$16,IF($C34=4,L34))))+$D34)+$Z34),1.1)</f>
        <v/>
      </c>
      <c r="AB34" s="852">
        <f>IF($B34="","",IFERROR(VLOOKUP($B34,'Werkschema - Rekening'!$B$2:$P$46,3,FALSE),""))</f>
        <v/>
      </c>
      <c r="AC34" s="851">
        <f>IFERROR(IF(C34="",1.1,IF(T34="",1,IF($C34=1,VLOOKUP($B34,'Werkschema - Rekening'!$B$2:$E$46,4,FALSE),IF($C34=2,Instellingen!E$16,IF($C34=3,Instellingen!F$16,IF($C34=4,M34))))+$D34)+$Z34),1.1)</f>
        <v/>
      </c>
      <c r="AD34" s="852">
        <f>IF($B34="","",IFERROR(VLOOKUP($B34,'Werkschema - Rekening'!$B$2:$P$46,5,FALSE),""))</f>
        <v/>
      </c>
      <c r="AE34" s="851">
        <f>IFERROR(IF(C34="",1.1,IF(U34="",1,IF($C34=1,VLOOKUP($B34,'Werkschema - Rekening'!$B$2:$G$46,6,FALSE),IF($C34=2,Instellingen!G$16,IF($C34=3,Instellingen!H$16,IF($C34=4,N34))))+$D34)+$Z34),1.1)</f>
        <v/>
      </c>
      <c r="AF34" s="852">
        <f>IF($B34="","",IFERROR(VLOOKUP($B34,'Werkschema - Rekening'!$B$2:$P$46,7,FALSE),""))</f>
        <v/>
      </c>
      <c r="AG34" s="851">
        <f>IFERROR(IF(C34="",1.1,IF(V34="",1,IF($C34=1,VLOOKUP($B34,'Werkschema - Rekening'!$B$2:$I$46,8,FALSE),IF($C34=2,Instellingen!I$16,IF($C34=3,Instellingen!J$16,IF($C34=4,O34))))+$D34)+$Z34),1.1)</f>
        <v/>
      </c>
      <c r="AH34" s="852">
        <f>IF($B34="","",IFERROR(VLOOKUP($B34,'Werkschema - Rekening'!$B$2:$P$46,9,FALSE),""))</f>
        <v/>
      </c>
      <c r="AI34" s="851">
        <f>IFERROR(IF(C34="",1.1,IF(W34="",1,IF($C34=1,VLOOKUP($B34,'Werkschema - Rekening'!$B$2:$K$46,10,FALSE),IF($C34=2,Instellingen!K$16,IF($C34=3,Instellingen!L$16,IF($C34=4,P34))))+$D34)+$Z34),1.1)</f>
        <v/>
      </c>
      <c r="AJ34" s="852">
        <f>IF($B34="","",IFERROR(VLOOKUP($B34,'Werkschema - Rekening'!$B$2:$P$46,11,FALSE),""))</f>
        <v/>
      </c>
      <c r="AK34" s="851">
        <f>IFERROR(IF(C34="",1.1,IF(X34="",1,IF($C34=1,VLOOKUP($B34,'Werkschema - Rekening'!$B$2:$M$46,12,FALSE),IF($C34=2,Instellingen!M$16,IF($C34=3,Instellingen!N$16,IF($C34=4,Q34))))+$D34)+$Z34),1.1)</f>
        <v/>
      </c>
      <c r="AL34" s="852">
        <f>IF($B34="","",IFERROR(VLOOKUP($B34,'Werkschema - Rekening'!$B$2:$P$46,13,FALSE),""))</f>
        <v/>
      </c>
      <c r="AM34" s="851">
        <f>IFERROR(IF(C34="",1.1,IF(Y34="",1,IF($C34=1,VLOOKUP($B34,'Werkschema - Rekening'!$B$2:$O$46,14,FALSE),IF($C34=2,Instellingen!O$16,IF($C34=3,Instellingen!P$16,IF($C34=4,R34))))+$D34)+$Z34),1.1)</f>
        <v/>
      </c>
      <c r="AN34" s="852">
        <f>IF($B34="","",IFERROR(VLOOKUP($B34,'Werkschema - Rekening'!$B$2:$P$46,15,FALSE),""))</f>
        <v/>
      </c>
      <c r="AO34" s="852">
        <f>A34</f>
        <v/>
      </c>
      <c r="AP34" s="852">
        <f>B34</f>
        <v/>
      </c>
    </row>
    <row r="35" ht="15" customHeight="1">
      <c r="A35" s="830">
        <f>'Aanpassen Werkschema'!B65</f>
        <v/>
      </c>
      <c r="B35" s="569">
        <f>'Aanpassen Werkschema'!C65</f>
        <v/>
      </c>
      <c r="C35" s="569">
        <f>IF('Aanpassen Werkschema'!D65="geplande taak",1,IF('Aanpassen Werkschema'!D65="openingstijd",2,IF('Aanpassen Werkschema'!D65="sluitingstijd",3,IF('Aanpassen Werkschema'!D65="vaste tijd",4,""))))</f>
        <v/>
      </c>
      <c r="D35" s="849">
        <f>'Aanpassen Werkschema'!E65</f>
        <v/>
      </c>
      <c r="E35" s="569">
        <f>IF('Aanpassen Werkschema'!F65="v","x","")</f>
        <v/>
      </c>
      <c r="F35" s="569">
        <f>IF('Aanpassen Werkschema'!G65="v","x","")</f>
        <v/>
      </c>
      <c r="G35" s="569">
        <f>IF('Aanpassen Werkschema'!H65="v","x","")</f>
        <v/>
      </c>
      <c r="H35" s="569">
        <f>IF('Aanpassen Werkschema'!I65="v","x","")</f>
        <v/>
      </c>
      <c r="I35" s="569">
        <f>IF('Aanpassen Werkschema'!J65="v","x","")</f>
        <v/>
      </c>
      <c r="J35" s="569">
        <f>IF('Aanpassen Werkschema'!K65="v","x","")</f>
        <v/>
      </c>
      <c r="K35" s="569">
        <f>IF('Aanpassen Werkschema'!L65="v","x","")</f>
        <v/>
      </c>
      <c r="L35" s="571">
        <f>IF('Aanpassen Werkschema'!M65&gt;0,'Aanpassen Werkschema'!M65,"")</f>
        <v/>
      </c>
      <c r="M35" s="571">
        <f>IF('Aanpassen Werkschema'!N65&gt;0,'Aanpassen Werkschema'!N65,"")</f>
        <v/>
      </c>
      <c r="N35" s="571">
        <f>IF('Aanpassen Werkschema'!O65&gt;0,'Aanpassen Werkschema'!O65,"")</f>
        <v/>
      </c>
      <c r="O35" s="571">
        <f>IF('Aanpassen Werkschema'!P65&gt;0,'Aanpassen Werkschema'!P65,"")</f>
        <v/>
      </c>
      <c r="P35" s="571">
        <f>IF('Aanpassen Werkschema'!Q65&gt;0,'Aanpassen Werkschema'!Q65,"")</f>
        <v/>
      </c>
      <c r="Q35" s="571">
        <f>IF('Aanpassen Werkschema'!R65&gt;0,'Aanpassen Werkschema'!R65,"")</f>
        <v/>
      </c>
      <c r="R35" s="571">
        <f>IF('Aanpassen Werkschema'!S65&gt;0,'Aanpassen Werkschema'!S65,"")</f>
        <v/>
      </c>
      <c r="S35" s="569">
        <f>IF('Aanpassen Werkschema'!T65="x","",IF('Aanpassen Werkschema'!N65="v","x",IF(E35="","",IF(E35="x","x"))))</f>
        <v/>
      </c>
      <c r="T35" s="569">
        <f>IF('Aanpassen Werkschema'!U65="x","",IF('Aanpassen Werkschema'!O65="v","x",IF(F35="","",IF(F35="x","x"))))</f>
        <v/>
      </c>
      <c r="U35" s="569">
        <f>IF('Aanpassen Werkschema'!V65="x","",IF('Aanpassen Werkschema'!P65="v","x",IF(G35="","",IF(G35="x","x"))))</f>
        <v/>
      </c>
      <c r="V35" s="569">
        <f>IF('Aanpassen Werkschema'!W65="x","",IF('Aanpassen Werkschema'!Q65="v","x",IF(H35="","",IF(H35="x","x"))))</f>
        <v/>
      </c>
      <c r="W35" s="569">
        <f>IF('Aanpassen Werkschema'!X65="x","",IF('Aanpassen Werkschema'!R65="v","x",IF(I35="","",IF(I35="x","x"))))</f>
        <v/>
      </c>
      <c r="X35" s="569">
        <f>IF('Aanpassen Werkschema'!Y65="x","",IF('Aanpassen Werkschema'!S65="v","x",IF(J35="","",IF(J35="x","x"))))</f>
        <v/>
      </c>
      <c r="Y35" s="569">
        <f>IF('Aanpassen Werkschema'!Z65="x","",IF('Aanpassen Werkschema'!T65="v","x",IF(K35="","",IF(K35="x","x"))))</f>
        <v/>
      </c>
      <c r="Z35" s="850">
        <f>Z34+0.0000000001</f>
        <v/>
      </c>
      <c r="AA35" s="851">
        <f>IFERROR(IF(C35="",1.1,IF(S35="",1,IF($C35=1,VLOOKUP($B35,'Werkschema - Rekening'!$B$2:$C$46,2,FALSE),IF($C35=2,Instellingen!C$16,IF($C35=3,Instellingen!D$16,IF($C35=4,L35))))+$D35)+$Z35),1.1)</f>
        <v/>
      </c>
      <c r="AB35" s="852">
        <f>IF($B35="","",IFERROR(VLOOKUP($B35,'Werkschema - Rekening'!$B$2:$P$46,3,FALSE),""))</f>
        <v/>
      </c>
      <c r="AC35" s="851">
        <f>IFERROR(IF(C35="",1.1,IF(T35="",1,IF($C35=1,VLOOKUP($B35,'Werkschema - Rekening'!$B$2:$E$46,4,FALSE),IF($C35=2,Instellingen!E$16,IF($C35=3,Instellingen!F$16,IF($C35=4,M35))))+$D35)+$Z35),1.1)</f>
        <v/>
      </c>
      <c r="AD35" s="852">
        <f>IF($B35="","",IFERROR(VLOOKUP($B35,'Werkschema - Rekening'!$B$2:$P$46,5,FALSE),""))</f>
        <v/>
      </c>
      <c r="AE35" s="851">
        <f>IFERROR(IF(C35="",1.1,IF(U35="",1,IF($C35=1,VLOOKUP($B35,'Werkschema - Rekening'!$B$2:$G$46,6,FALSE),IF($C35=2,Instellingen!G$16,IF($C35=3,Instellingen!H$16,IF($C35=4,N35))))+$D35)+$Z35),1.1)</f>
        <v/>
      </c>
      <c r="AF35" s="852">
        <f>IF($B35="","",IFERROR(VLOOKUP($B35,'Werkschema - Rekening'!$B$2:$P$46,7,FALSE),""))</f>
        <v/>
      </c>
      <c r="AG35" s="851">
        <f>IFERROR(IF(C35="",1.1,IF(V35="",1,IF($C35=1,VLOOKUP($B35,'Werkschema - Rekening'!$B$2:$I$46,8,FALSE),IF($C35=2,Instellingen!I$16,IF($C35=3,Instellingen!J$16,IF($C35=4,O35))))+$D35)+$Z35),1.1)</f>
        <v/>
      </c>
      <c r="AH35" s="852">
        <f>IF($B35="","",IFERROR(VLOOKUP($B35,'Werkschema - Rekening'!$B$2:$P$46,9,FALSE),""))</f>
        <v/>
      </c>
      <c r="AI35" s="851">
        <f>IFERROR(IF(C35="",1.1,IF(W35="",1,IF($C35=1,VLOOKUP($B35,'Werkschema - Rekening'!$B$2:$K$46,10,FALSE),IF($C35=2,Instellingen!K$16,IF($C35=3,Instellingen!L$16,IF($C35=4,P35))))+$D35)+$Z35),1.1)</f>
        <v/>
      </c>
      <c r="AJ35" s="852">
        <f>IF($B35="","",IFERROR(VLOOKUP($B35,'Werkschema - Rekening'!$B$2:$P$46,11,FALSE),""))</f>
        <v/>
      </c>
      <c r="AK35" s="851">
        <f>IFERROR(IF(C35="",1.1,IF(X35="",1,IF($C35=1,VLOOKUP($B35,'Werkschema - Rekening'!$B$2:$M$46,12,FALSE),IF($C35=2,Instellingen!M$16,IF($C35=3,Instellingen!N$16,IF($C35=4,Q35))))+$D35)+$Z35),1.1)</f>
        <v/>
      </c>
      <c r="AL35" s="852">
        <f>IF($B35="","",IFERROR(VLOOKUP($B35,'Werkschema - Rekening'!$B$2:$P$46,13,FALSE),""))</f>
        <v/>
      </c>
      <c r="AM35" s="851">
        <f>IFERROR(IF(C35="",1.1,IF(Y35="",1,IF($C35=1,VLOOKUP($B35,'Werkschema - Rekening'!$B$2:$O$46,14,FALSE),IF($C35=2,Instellingen!O$16,IF($C35=3,Instellingen!P$16,IF($C35=4,R35))))+$D35)+$Z35),1.1)</f>
        <v/>
      </c>
      <c r="AN35" s="852">
        <f>IF($B35="","",IFERROR(VLOOKUP($B35,'Werkschema - Rekening'!$B$2:$P$46,15,FALSE),""))</f>
        <v/>
      </c>
      <c r="AO35" s="852">
        <f>A35</f>
        <v/>
      </c>
      <c r="AP35" s="852">
        <f>B35</f>
        <v/>
      </c>
    </row>
    <row r="36" ht="15" customHeight="1">
      <c r="A36" s="830">
        <f>'Aanpassen Werkschema'!B66</f>
        <v/>
      </c>
      <c r="B36" s="569">
        <f>'Aanpassen Werkschema'!C66</f>
        <v/>
      </c>
      <c r="C36" s="569">
        <f>IF('Aanpassen Werkschema'!D66="geplande taak",1,IF('Aanpassen Werkschema'!D66="openingstijd",2,IF('Aanpassen Werkschema'!D66="sluitingstijd",3,IF('Aanpassen Werkschema'!D66="vaste tijd",4,""))))</f>
        <v/>
      </c>
      <c r="D36" s="849">
        <f>'Aanpassen Werkschema'!E66</f>
        <v/>
      </c>
      <c r="E36" s="569">
        <f>IF('Aanpassen Werkschema'!F66="v","x","")</f>
        <v/>
      </c>
      <c r="F36" s="569">
        <f>IF('Aanpassen Werkschema'!G66="v","x","")</f>
        <v/>
      </c>
      <c r="G36" s="569">
        <f>IF('Aanpassen Werkschema'!H66="v","x","")</f>
        <v/>
      </c>
      <c r="H36" s="569">
        <f>IF('Aanpassen Werkschema'!I66="v","x","")</f>
        <v/>
      </c>
      <c r="I36" s="569">
        <f>IF('Aanpassen Werkschema'!J66="v","x","")</f>
        <v/>
      </c>
      <c r="J36" s="569">
        <f>IF('Aanpassen Werkschema'!K66="v","x","")</f>
        <v/>
      </c>
      <c r="K36" s="569">
        <f>IF('Aanpassen Werkschema'!L66="v","x","")</f>
        <v/>
      </c>
      <c r="L36" s="571">
        <f>IF('Aanpassen Werkschema'!M66&gt;0,'Aanpassen Werkschema'!M66,"")</f>
        <v/>
      </c>
      <c r="M36" s="571">
        <f>IF('Aanpassen Werkschema'!N66&gt;0,'Aanpassen Werkschema'!N66,"")</f>
        <v/>
      </c>
      <c r="N36" s="571">
        <f>IF('Aanpassen Werkschema'!O66&gt;0,'Aanpassen Werkschema'!O66,"")</f>
        <v/>
      </c>
      <c r="O36" s="571">
        <f>IF('Aanpassen Werkschema'!P66&gt;0,'Aanpassen Werkschema'!P66,"")</f>
        <v/>
      </c>
      <c r="P36" s="571">
        <f>IF('Aanpassen Werkschema'!Q66&gt;0,'Aanpassen Werkschema'!Q66,"")</f>
        <v/>
      </c>
      <c r="Q36" s="571">
        <f>IF('Aanpassen Werkschema'!R66&gt;0,'Aanpassen Werkschema'!R66,"")</f>
        <v/>
      </c>
      <c r="R36" s="571">
        <f>IF('Aanpassen Werkschema'!S66&gt;0,'Aanpassen Werkschema'!S66,"")</f>
        <v/>
      </c>
      <c r="S36" s="569">
        <f>IF('Aanpassen Werkschema'!T66="x","",IF('Aanpassen Werkschema'!N66="v","x",IF(E36="","",IF(E36="x","x"))))</f>
        <v/>
      </c>
      <c r="T36" s="569">
        <f>IF('Aanpassen Werkschema'!U66="x","",IF('Aanpassen Werkschema'!O66="v","x",IF(F36="","",IF(F36="x","x"))))</f>
        <v/>
      </c>
      <c r="U36" s="569">
        <f>IF('Aanpassen Werkschema'!V66="x","",IF('Aanpassen Werkschema'!P66="v","x",IF(G36="","",IF(G36="x","x"))))</f>
        <v/>
      </c>
      <c r="V36" s="569">
        <f>IF('Aanpassen Werkschema'!W66="x","",IF('Aanpassen Werkschema'!Q66="v","x",IF(H36="","",IF(H36="x","x"))))</f>
        <v/>
      </c>
      <c r="W36" s="569">
        <f>IF('Aanpassen Werkschema'!X66="x","",IF('Aanpassen Werkschema'!R66="v","x",IF(I36="","",IF(I36="x","x"))))</f>
        <v/>
      </c>
      <c r="X36" s="569">
        <f>IF('Aanpassen Werkschema'!Y66="x","",IF('Aanpassen Werkschema'!S66="v","x",IF(J36="","",IF(J36="x","x"))))</f>
        <v/>
      </c>
      <c r="Y36" s="569">
        <f>IF('Aanpassen Werkschema'!Z66="x","",IF('Aanpassen Werkschema'!T66="v","x",IF(K36="","",IF(K36="x","x"))))</f>
        <v/>
      </c>
      <c r="Z36" s="850">
        <f>Z35+0.0000000001</f>
        <v/>
      </c>
      <c r="AA36" s="851">
        <f>IFERROR(IF(C36="",1.1,IF(S36="",1,IF($C36=1,VLOOKUP($B36,'Werkschema - Rekening'!$B$2:$C$46,2,FALSE),IF($C36=2,Instellingen!C$16,IF($C36=3,Instellingen!D$16,IF($C36=4,L36))))+$D36)+$Z36),1.1)</f>
        <v/>
      </c>
      <c r="AB36" s="852">
        <f>IF($B36="","",IFERROR(VLOOKUP($B36,'Werkschema - Rekening'!$B$2:$P$46,3,FALSE),""))</f>
        <v/>
      </c>
      <c r="AC36" s="851">
        <f>IFERROR(IF(C36="",1.1,IF(T36="",1,IF($C36=1,VLOOKUP($B36,'Werkschema - Rekening'!$B$2:$E$46,4,FALSE),IF($C36=2,Instellingen!E$16,IF($C36=3,Instellingen!F$16,IF($C36=4,M36))))+$D36)+$Z36),1.1)</f>
        <v/>
      </c>
      <c r="AD36" s="852">
        <f>IF($B36="","",IFERROR(VLOOKUP($B36,'Werkschema - Rekening'!$B$2:$P$46,5,FALSE),""))</f>
        <v/>
      </c>
      <c r="AE36" s="851">
        <f>IFERROR(IF(C36="",1.1,IF(U36="",1,IF($C36=1,VLOOKUP($B36,'Werkschema - Rekening'!$B$2:$G$46,6,FALSE),IF($C36=2,Instellingen!G$16,IF($C36=3,Instellingen!H$16,IF($C36=4,N36))))+$D36)+$Z36),1.1)</f>
        <v/>
      </c>
      <c r="AF36" s="852">
        <f>IF($B36="","",IFERROR(VLOOKUP($B36,'Werkschema - Rekening'!$B$2:$P$46,7,FALSE),""))</f>
        <v/>
      </c>
      <c r="AG36" s="851">
        <f>IFERROR(IF(C36="",1.1,IF(V36="",1,IF($C36=1,VLOOKUP($B36,'Werkschema - Rekening'!$B$2:$I$46,8,FALSE),IF($C36=2,Instellingen!I$16,IF($C36=3,Instellingen!J$16,IF($C36=4,O36))))+$D36)+$Z36),1.1)</f>
        <v/>
      </c>
      <c r="AH36" s="852">
        <f>IF($B36="","",IFERROR(VLOOKUP($B36,'Werkschema - Rekening'!$B$2:$P$46,9,FALSE),""))</f>
        <v/>
      </c>
      <c r="AI36" s="851">
        <f>IFERROR(IF(C36="",1.1,IF(W36="",1,IF($C36=1,VLOOKUP($B36,'Werkschema - Rekening'!$B$2:$K$46,10,FALSE),IF($C36=2,Instellingen!K$16,IF($C36=3,Instellingen!L$16,IF($C36=4,P36))))+$D36)+$Z36),1.1)</f>
        <v/>
      </c>
      <c r="AJ36" s="852">
        <f>IF($B36="","",IFERROR(VLOOKUP($B36,'Werkschema - Rekening'!$B$2:$P$46,11,FALSE),""))</f>
        <v/>
      </c>
      <c r="AK36" s="851">
        <f>IFERROR(IF(C36="",1.1,IF(X36="",1,IF($C36=1,VLOOKUP($B36,'Werkschema - Rekening'!$B$2:$M$46,12,FALSE),IF($C36=2,Instellingen!M$16,IF($C36=3,Instellingen!N$16,IF($C36=4,Q36))))+$D36)+$Z36),1.1)</f>
        <v/>
      </c>
      <c r="AL36" s="852">
        <f>IF($B36="","",IFERROR(VLOOKUP($B36,'Werkschema - Rekening'!$B$2:$P$46,13,FALSE),""))</f>
        <v/>
      </c>
      <c r="AM36" s="851">
        <f>IFERROR(IF(C36="",1.1,IF(Y36="",1,IF($C36=1,VLOOKUP($B36,'Werkschema - Rekening'!$B$2:$O$46,14,FALSE),IF($C36=2,Instellingen!O$16,IF($C36=3,Instellingen!P$16,IF($C36=4,R36))))+$D36)+$Z36),1.1)</f>
        <v/>
      </c>
      <c r="AN36" s="852">
        <f>IF($B36="","",IFERROR(VLOOKUP($B36,'Werkschema - Rekening'!$B$2:$P$46,15,FALSE),""))</f>
        <v/>
      </c>
      <c r="AO36" s="852">
        <f>A36</f>
        <v/>
      </c>
      <c r="AP36" s="852">
        <f>B36</f>
        <v/>
      </c>
    </row>
    <row r="37" ht="15" customHeight="1">
      <c r="A37" s="830">
        <f>'Aanpassen Werkschema'!B67</f>
        <v/>
      </c>
      <c r="B37" s="569">
        <f>'Aanpassen Werkschema'!C67</f>
        <v/>
      </c>
      <c r="C37" s="569">
        <f>IF('Aanpassen Werkschema'!D67="geplande taak",1,IF('Aanpassen Werkschema'!D67="openingstijd",2,IF('Aanpassen Werkschema'!D67="sluitingstijd",3,IF('Aanpassen Werkschema'!D67="vaste tijd",4,""))))</f>
        <v/>
      </c>
      <c r="D37" s="849">
        <f>'Aanpassen Werkschema'!E67</f>
        <v/>
      </c>
      <c r="E37" s="569">
        <f>IF('Aanpassen Werkschema'!F67="v","x","")</f>
        <v/>
      </c>
      <c r="F37" s="569">
        <f>IF('Aanpassen Werkschema'!G67="v","x","")</f>
        <v/>
      </c>
      <c r="G37" s="569">
        <f>IF('Aanpassen Werkschema'!H67="v","x","")</f>
        <v/>
      </c>
      <c r="H37" s="569">
        <f>IF('Aanpassen Werkschema'!I67="v","x","")</f>
        <v/>
      </c>
      <c r="I37" s="569">
        <f>IF('Aanpassen Werkschema'!J67="v","x","")</f>
        <v/>
      </c>
      <c r="J37" s="569">
        <f>IF('Aanpassen Werkschema'!K67="v","x","")</f>
        <v/>
      </c>
      <c r="K37" s="569">
        <f>IF('Aanpassen Werkschema'!L67="v","x","")</f>
        <v/>
      </c>
      <c r="L37" s="571">
        <f>IF('Aanpassen Werkschema'!M67&gt;0,'Aanpassen Werkschema'!M67,"")</f>
        <v/>
      </c>
      <c r="M37" s="571">
        <f>IF('Aanpassen Werkschema'!N67&gt;0,'Aanpassen Werkschema'!N67,"")</f>
        <v/>
      </c>
      <c r="N37" s="571">
        <f>IF('Aanpassen Werkschema'!O67&gt;0,'Aanpassen Werkschema'!O67,"")</f>
        <v/>
      </c>
      <c r="O37" s="571">
        <f>IF('Aanpassen Werkschema'!P67&gt;0,'Aanpassen Werkschema'!P67,"")</f>
        <v/>
      </c>
      <c r="P37" s="571">
        <f>IF('Aanpassen Werkschema'!Q67&gt;0,'Aanpassen Werkschema'!Q67,"")</f>
        <v/>
      </c>
      <c r="Q37" s="571">
        <f>IF('Aanpassen Werkschema'!R67&gt;0,'Aanpassen Werkschema'!R67,"")</f>
        <v/>
      </c>
      <c r="R37" s="571">
        <f>IF('Aanpassen Werkschema'!S67&gt;0,'Aanpassen Werkschema'!S67,"")</f>
        <v/>
      </c>
      <c r="S37" s="569">
        <f>IF('Aanpassen Werkschema'!T67="x","",IF('Aanpassen Werkschema'!N67="v","x",IF(E37="","",IF(E37="x","x"))))</f>
        <v/>
      </c>
      <c r="T37" s="569">
        <f>IF('Aanpassen Werkschema'!U67="x","",IF('Aanpassen Werkschema'!O67="v","x",IF(F37="","",IF(F37="x","x"))))</f>
        <v/>
      </c>
      <c r="U37" s="569">
        <f>IF('Aanpassen Werkschema'!V67="x","",IF('Aanpassen Werkschema'!P67="v","x",IF(G37="","",IF(G37="x","x"))))</f>
        <v/>
      </c>
      <c r="V37" s="569">
        <f>IF('Aanpassen Werkschema'!W67="x","",IF('Aanpassen Werkschema'!Q67="v","x",IF(H37="","",IF(H37="x","x"))))</f>
        <v/>
      </c>
      <c r="W37" s="569">
        <f>IF('Aanpassen Werkschema'!X67="x","",IF('Aanpassen Werkschema'!R67="v","x",IF(I37="","",IF(I37="x","x"))))</f>
        <v/>
      </c>
      <c r="X37" s="569">
        <f>IF('Aanpassen Werkschema'!Y67="x","",IF('Aanpassen Werkschema'!S67="v","x",IF(J37="","",IF(J37="x","x"))))</f>
        <v/>
      </c>
      <c r="Y37" s="569">
        <f>IF('Aanpassen Werkschema'!Z67="x","",IF('Aanpassen Werkschema'!T67="v","x",IF(K37="","",IF(K37="x","x"))))</f>
        <v/>
      </c>
      <c r="Z37" s="850">
        <f>Z36+0.0000000001</f>
        <v/>
      </c>
      <c r="AA37" s="851">
        <f>IFERROR(IF(C37="",1.1,IF(S37="",1,IF($C37=1,VLOOKUP($B37,'Werkschema - Rekening'!$B$2:$C$46,2,FALSE),IF($C37=2,Instellingen!C$16,IF($C37=3,Instellingen!D$16,IF($C37=4,L37))))+$D37)+$Z37),1.1)</f>
        <v/>
      </c>
      <c r="AB37" s="852">
        <f>IF($B37="","",IFERROR(VLOOKUP($B37,'Werkschema - Rekening'!$B$2:$P$46,3,FALSE),""))</f>
        <v/>
      </c>
      <c r="AC37" s="851">
        <f>IFERROR(IF(C37="",1.1,IF(T37="",1,IF($C37=1,VLOOKUP($B37,'Werkschema - Rekening'!$B$2:$E$46,4,FALSE),IF($C37=2,Instellingen!E$16,IF($C37=3,Instellingen!F$16,IF($C37=4,M37))))+$D37)+$Z37),1.1)</f>
        <v/>
      </c>
      <c r="AD37" s="852">
        <f>IF($B37="","",IFERROR(VLOOKUP($B37,'Werkschema - Rekening'!$B$2:$P$46,5,FALSE),""))</f>
        <v/>
      </c>
      <c r="AE37" s="851">
        <f>IFERROR(IF(C37="",1.1,IF(U37="",1,IF($C37=1,VLOOKUP($B37,'Werkschema - Rekening'!$B$2:$G$46,6,FALSE),IF($C37=2,Instellingen!G$16,IF($C37=3,Instellingen!H$16,IF($C37=4,N37))))+$D37)+$Z37),1.1)</f>
        <v/>
      </c>
      <c r="AF37" s="852">
        <f>IF($B37="","",IFERROR(VLOOKUP($B37,'Werkschema - Rekening'!$B$2:$P$46,7,FALSE),""))</f>
        <v/>
      </c>
      <c r="AG37" s="851">
        <f>IFERROR(IF(C37="",1.1,IF(V37="",1,IF($C37=1,VLOOKUP($B37,'Werkschema - Rekening'!$B$2:$I$46,8,FALSE),IF($C37=2,Instellingen!I$16,IF($C37=3,Instellingen!J$16,IF($C37=4,O37))))+$D37)+$Z37),1.1)</f>
        <v/>
      </c>
      <c r="AH37" s="852">
        <f>IF($B37="","",IFERROR(VLOOKUP($B37,'Werkschema - Rekening'!$B$2:$P$46,9,FALSE),""))</f>
        <v/>
      </c>
      <c r="AI37" s="851">
        <f>IFERROR(IF(C37="",1.1,IF(W37="",1,IF($C37=1,VLOOKUP($B37,'Werkschema - Rekening'!$B$2:$K$46,10,FALSE),IF($C37=2,Instellingen!K$16,IF($C37=3,Instellingen!L$16,IF($C37=4,P37))))+$D37)+$Z37),1.1)</f>
        <v/>
      </c>
      <c r="AJ37" s="852">
        <f>IF($B37="","",IFERROR(VLOOKUP($B37,'Werkschema - Rekening'!$B$2:$P$46,11,FALSE),""))</f>
        <v/>
      </c>
      <c r="AK37" s="851">
        <f>IFERROR(IF(C37="",1.1,IF(X37="",1,IF($C37=1,VLOOKUP($B37,'Werkschema - Rekening'!$B$2:$M$46,12,FALSE),IF($C37=2,Instellingen!M$16,IF($C37=3,Instellingen!N$16,IF($C37=4,Q37))))+$D37)+$Z37),1.1)</f>
        <v/>
      </c>
      <c r="AL37" s="852">
        <f>IF($B37="","",IFERROR(VLOOKUP($B37,'Werkschema - Rekening'!$B$2:$P$46,13,FALSE),""))</f>
        <v/>
      </c>
      <c r="AM37" s="851">
        <f>IFERROR(IF(C37="",1.1,IF(Y37="",1,IF($C37=1,VLOOKUP($B37,'Werkschema - Rekening'!$B$2:$O$46,14,FALSE),IF($C37=2,Instellingen!O$16,IF($C37=3,Instellingen!P$16,IF($C37=4,R37))))+$D37)+$Z37),1.1)</f>
        <v/>
      </c>
      <c r="AN37" s="852">
        <f>IF($B37="","",IFERROR(VLOOKUP($B37,'Werkschema - Rekening'!$B$2:$P$46,15,FALSE),""))</f>
        <v/>
      </c>
      <c r="AO37" s="852">
        <f>A37</f>
        <v/>
      </c>
      <c r="AP37" s="852">
        <f>B37</f>
        <v/>
      </c>
    </row>
    <row r="38" ht="15" customHeight="1">
      <c r="A38" s="830">
        <f>'Aanpassen Werkschema'!B68</f>
        <v/>
      </c>
      <c r="B38" s="569">
        <f>'Aanpassen Werkschema'!C68</f>
        <v/>
      </c>
      <c r="C38" s="569">
        <f>IF('Aanpassen Werkschema'!D68="geplande taak",1,IF('Aanpassen Werkschema'!D68="openingstijd",2,IF('Aanpassen Werkschema'!D68="sluitingstijd",3,IF('Aanpassen Werkschema'!D68="vaste tijd",4,""))))</f>
        <v/>
      </c>
      <c r="D38" s="849">
        <f>'Aanpassen Werkschema'!E68</f>
        <v/>
      </c>
      <c r="E38" s="569">
        <f>IF('Aanpassen Werkschema'!F68="v","x","")</f>
        <v/>
      </c>
      <c r="F38" s="569">
        <f>IF('Aanpassen Werkschema'!G68="v","x","")</f>
        <v/>
      </c>
      <c r="G38" s="569">
        <f>IF('Aanpassen Werkschema'!H68="v","x","")</f>
        <v/>
      </c>
      <c r="H38" s="569">
        <f>IF('Aanpassen Werkschema'!I68="v","x","")</f>
        <v/>
      </c>
      <c r="I38" s="569">
        <f>IF('Aanpassen Werkschema'!J68="v","x","")</f>
        <v/>
      </c>
      <c r="J38" s="569">
        <f>IF('Aanpassen Werkschema'!K68="v","x","")</f>
        <v/>
      </c>
      <c r="K38" s="569">
        <f>IF('Aanpassen Werkschema'!L68="v","x","")</f>
        <v/>
      </c>
      <c r="L38" s="571">
        <f>IF('Aanpassen Werkschema'!M68&gt;0,'Aanpassen Werkschema'!M68,"")</f>
        <v/>
      </c>
      <c r="M38" s="571">
        <f>IF('Aanpassen Werkschema'!N68&gt;0,'Aanpassen Werkschema'!N68,"")</f>
        <v/>
      </c>
      <c r="N38" s="571">
        <f>IF('Aanpassen Werkschema'!O68&gt;0,'Aanpassen Werkschema'!O68,"")</f>
        <v/>
      </c>
      <c r="O38" s="571">
        <f>IF('Aanpassen Werkschema'!P68&gt;0,'Aanpassen Werkschema'!P68,"")</f>
        <v/>
      </c>
      <c r="P38" s="571">
        <f>IF('Aanpassen Werkschema'!Q68&gt;0,'Aanpassen Werkschema'!Q68,"")</f>
        <v/>
      </c>
      <c r="Q38" s="571">
        <f>IF('Aanpassen Werkschema'!R68&gt;0,'Aanpassen Werkschema'!R68,"")</f>
        <v/>
      </c>
      <c r="R38" s="571">
        <f>IF('Aanpassen Werkschema'!S68&gt;0,'Aanpassen Werkschema'!S68,"")</f>
        <v/>
      </c>
      <c r="S38" s="569">
        <f>IF('Aanpassen Werkschema'!T68="x","",IF('Aanpassen Werkschema'!N68="v","x",IF(E38="","",IF(E38="x","x"))))</f>
        <v/>
      </c>
      <c r="T38" s="569">
        <f>IF('Aanpassen Werkschema'!U68="x","",IF('Aanpassen Werkschema'!O68="v","x",IF(F38="","",IF(F38="x","x"))))</f>
        <v/>
      </c>
      <c r="U38" s="569">
        <f>IF('Aanpassen Werkschema'!V68="x","",IF('Aanpassen Werkschema'!P68="v","x",IF(G38="","",IF(G38="x","x"))))</f>
        <v/>
      </c>
      <c r="V38" s="569">
        <f>IF('Aanpassen Werkschema'!W68="x","",IF('Aanpassen Werkschema'!Q68="v","x",IF(H38="","",IF(H38="x","x"))))</f>
        <v/>
      </c>
      <c r="W38" s="569">
        <f>IF('Aanpassen Werkschema'!X68="x","",IF('Aanpassen Werkschema'!R68="v","x",IF(I38="","",IF(I38="x","x"))))</f>
        <v/>
      </c>
      <c r="X38" s="569">
        <f>IF('Aanpassen Werkschema'!Y68="x","",IF('Aanpassen Werkschema'!S68="v","x",IF(J38="","",IF(J38="x","x"))))</f>
        <v/>
      </c>
      <c r="Y38" s="569">
        <f>IF('Aanpassen Werkschema'!Z68="x","",IF('Aanpassen Werkschema'!T68="v","x",IF(K38="","",IF(K38="x","x"))))</f>
        <v/>
      </c>
      <c r="Z38" s="850">
        <f>Z37+0.0000000001</f>
        <v/>
      </c>
      <c r="AA38" s="851">
        <f>IFERROR(IF(C38="",1.1,IF(S38="",1,IF($C38=1,VLOOKUP($B38,'Werkschema - Rekening'!$B$2:$C$46,2,FALSE),IF($C38=2,Instellingen!C$16,IF($C38=3,Instellingen!D$16,IF($C38=4,L38))))+$D38)+$Z38),1.1)</f>
        <v/>
      </c>
      <c r="AB38" s="852">
        <f>IF($B38="","",IFERROR(VLOOKUP($B38,'Werkschema - Rekening'!$B$2:$P$46,3,FALSE),""))</f>
        <v/>
      </c>
      <c r="AC38" s="851">
        <f>IFERROR(IF(C38="",1.1,IF(T38="",1,IF($C38=1,VLOOKUP($B38,'Werkschema - Rekening'!$B$2:$E$46,4,FALSE),IF($C38=2,Instellingen!E$16,IF($C38=3,Instellingen!F$16,IF($C38=4,M38))))+$D38)+$Z38),1.1)</f>
        <v/>
      </c>
      <c r="AD38" s="852">
        <f>IF($B38="","",IFERROR(VLOOKUP($B38,'Werkschema - Rekening'!$B$2:$P$46,5,FALSE),""))</f>
        <v/>
      </c>
      <c r="AE38" s="851">
        <f>IFERROR(IF(C38="",1.1,IF(U38="",1,IF($C38=1,VLOOKUP($B38,'Werkschema - Rekening'!$B$2:$G$46,6,FALSE),IF($C38=2,Instellingen!G$16,IF($C38=3,Instellingen!H$16,IF($C38=4,N38))))+$D38)+$Z38),1.1)</f>
        <v/>
      </c>
      <c r="AF38" s="852">
        <f>IF($B38="","",IFERROR(VLOOKUP($B38,'Werkschema - Rekening'!$B$2:$P$46,7,FALSE),""))</f>
        <v/>
      </c>
      <c r="AG38" s="851">
        <f>IFERROR(IF(C38="",1.1,IF(V38="",1,IF($C38=1,VLOOKUP($B38,'Werkschema - Rekening'!$B$2:$I$46,8,FALSE),IF($C38=2,Instellingen!I$16,IF($C38=3,Instellingen!J$16,IF($C38=4,O38))))+$D38)+$Z38),1.1)</f>
        <v/>
      </c>
      <c r="AH38" s="852">
        <f>IF($B38="","",IFERROR(VLOOKUP($B38,'Werkschema - Rekening'!$B$2:$P$46,9,FALSE),""))</f>
        <v/>
      </c>
      <c r="AI38" s="851">
        <f>IFERROR(IF(C38="",1.1,IF(W38="",1,IF($C38=1,VLOOKUP($B38,'Werkschema - Rekening'!$B$2:$K$46,10,FALSE),IF($C38=2,Instellingen!K$16,IF($C38=3,Instellingen!L$16,IF($C38=4,P38))))+$D38)+$Z38),1.1)</f>
        <v/>
      </c>
      <c r="AJ38" s="852">
        <f>IF($B38="","",IFERROR(VLOOKUP($B38,'Werkschema - Rekening'!$B$2:$P$46,11,FALSE),""))</f>
        <v/>
      </c>
      <c r="AK38" s="851">
        <f>IFERROR(IF(C38="",1.1,IF(X38="",1,IF($C38=1,VLOOKUP($B38,'Werkschema - Rekening'!$B$2:$M$46,12,FALSE),IF($C38=2,Instellingen!M$16,IF($C38=3,Instellingen!N$16,IF($C38=4,Q38))))+$D38)+$Z38),1.1)</f>
        <v/>
      </c>
      <c r="AL38" s="852">
        <f>IF($B38="","",IFERROR(VLOOKUP($B38,'Werkschema - Rekening'!$B$2:$P$46,13,FALSE),""))</f>
        <v/>
      </c>
      <c r="AM38" s="851">
        <f>IFERROR(IF(C38="",1.1,IF(Y38="",1,IF($C38=1,VLOOKUP($B38,'Werkschema - Rekening'!$B$2:$O$46,14,FALSE),IF($C38=2,Instellingen!O$16,IF($C38=3,Instellingen!P$16,IF($C38=4,R38))))+$D38)+$Z38),1.1)</f>
        <v/>
      </c>
      <c r="AN38" s="852">
        <f>IF($B38="","",IFERROR(VLOOKUP($B38,'Werkschema - Rekening'!$B$2:$P$46,15,FALSE),""))</f>
        <v/>
      </c>
      <c r="AO38" s="852">
        <f>A38</f>
        <v/>
      </c>
      <c r="AP38" s="852">
        <f>B38</f>
        <v/>
      </c>
    </row>
    <row r="39" ht="15" customHeight="1">
      <c r="A39" s="830">
        <f>'Aanpassen Werkschema'!B69</f>
        <v/>
      </c>
      <c r="B39" s="569">
        <f>'Aanpassen Werkschema'!C69</f>
        <v/>
      </c>
      <c r="C39" s="569">
        <f>IF('Aanpassen Werkschema'!D69="geplande taak",1,IF('Aanpassen Werkschema'!D69="openingstijd",2,IF('Aanpassen Werkschema'!D69="sluitingstijd",3,IF('Aanpassen Werkschema'!D69="vaste tijd",4,""))))</f>
        <v/>
      </c>
      <c r="D39" s="849">
        <f>'Aanpassen Werkschema'!E69</f>
        <v/>
      </c>
      <c r="E39" s="569">
        <f>IF('Aanpassen Werkschema'!F69="v","x","")</f>
        <v/>
      </c>
      <c r="F39" s="569">
        <f>IF('Aanpassen Werkschema'!G69="v","x","")</f>
        <v/>
      </c>
      <c r="G39" s="569">
        <f>IF('Aanpassen Werkschema'!H69="v","x","")</f>
        <v/>
      </c>
      <c r="H39" s="569">
        <f>IF('Aanpassen Werkschema'!I69="v","x","")</f>
        <v/>
      </c>
      <c r="I39" s="569">
        <f>IF('Aanpassen Werkschema'!J69="v","x","")</f>
        <v/>
      </c>
      <c r="J39" s="569">
        <f>IF('Aanpassen Werkschema'!K69="v","x","")</f>
        <v/>
      </c>
      <c r="K39" s="569">
        <f>IF('Aanpassen Werkschema'!L69="v","x","")</f>
        <v/>
      </c>
      <c r="L39" s="571">
        <f>IF('Aanpassen Werkschema'!M69&gt;0,'Aanpassen Werkschema'!M69,"")</f>
        <v/>
      </c>
      <c r="M39" s="571">
        <f>IF('Aanpassen Werkschema'!N69&gt;0,'Aanpassen Werkschema'!N69,"")</f>
        <v/>
      </c>
      <c r="N39" s="571">
        <f>IF('Aanpassen Werkschema'!O69&gt;0,'Aanpassen Werkschema'!O69,"")</f>
        <v/>
      </c>
      <c r="O39" s="571">
        <f>IF('Aanpassen Werkschema'!P69&gt;0,'Aanpassen Werkschema'!P69,"")</f>
        <v/>
      </c>
      <c r="P39" s="571">
        <f>IF('Aanpassen Werkschema'!Q69&gt;0,'Aanpassen Werkschema'!Q69,"")</f>
        <v/>
      </c>
      <c r="Q39" s="571">
        <f>IF('Aanpassen Werkschema'!R69&gt;0,'Aanpassen Werkschema'!R69,"")</f>
        <v/>
      </c>
      <c r="R39" s="571">
        <f>IF('Aanpassen Werkschema'!S69&gt;0,'Aanpassen Werkschema'!S69,"")</f>
        <v/>
      </c>
      <c r="S39" s="569">
        <f>IF('Aanpassen Werkschema'!T69="x","",IF('Aanpassen Werkschema'!N69="v","x",IF(E39="","",IF(E39="x","x"))))</f>
        <v/>
      </c>
      <c r="T39" s="569">
        <f>IF('Aanpassen Werkschema'!U69="x","",IF('Aanpassen Werkschema'!O69="v","x",IF(F39="","",IF(F39="x","x"))))</f>
        <v/>
      </c>
      <c r="U39" s="569">
        <f>IF('Aanpassen Werkschema'!V69="x","",IF('Aanpassen Werkschema'!P69="v","x",IF(G39="","",IF(G39="x","x"))))</f>
        <v/>
      </c>
      <c r="V39" s="569">
        <f>IF('Aanpassen Werkschema'!W69="x","",IF('Aanpassen Werkschema'!Q69="v","x",IF(H39="","",IF(H39="x","x"))))</f>
        <v/>
      </c>
      <c r="W39" s="569">
        <f>IF('Aanpassen Werkschema'!X69="x","",IF('Aanpassen Werkschema'!R69="v","x",IF(I39="","",IF(I39="x","x"))))</f>
        <v/>
      </c>
      <c r="X39" s="569">
        <f>IF('Aanpassen Werkschema'!Y69="x","",IF('Aanpassen Werkschema'!S69="v","x",IF(J39="","",IF(J39="x","x"))))</f>
        <v/>
      </c>
      <c r="Y39" s="569">
        <f>IF('Aanpassen Werkschema'!Z69="x","",IF('Aanpassen Werkschema'!T69="v","x",IF(K39="","",IF(K39="x","x"))))</f>
        <v/>
      </c>
      <c r="Z39" s="850">
        <f>Z38+0.0000000001</f>
        <v/>
      </c>
      <c r="AA39" s="851">
        <f>IFERROR(IF(C39="",1.1,IF(S39="",1,IF($C39=1,VLOOKUP($B39,'Werkschema - Rekening'!$B$2:$C$46,2,FALSE),IF($C39=2,Instellingen!C$16,IF($C39=3,Instellingen!D$16,IF($C39=4,L39))))+$D39)+$Z39),1.1)</f>
        <v/>
      </c>
      <c r="AB39" s="852">
        <f>IF($B39="","",IFERROR(VLOOKUP($B39,'Werkschema - Rekening'!$B$2:$P$46,3,FALSE),""))</f>
        <v/>
      </c>
      <c r="AC39" s="851">
        <f>IFERROR(IF(C39="",1.1,IF(T39="",1,IF($C39=1,VLOOKUP($B39,'Werkschema - Rekening'!$B$2:$E$46,4,FALSE),IF($C39=2,Instellingen!E$16,IF($C39=3,Instellingen!F$16,IF($C39=4,M39))))+$D39)+$Z39),1.1)</f>
        <v/>
      </c>
      <c r="AD39" s="852">
        <f>IF($B39="","",IFERROR(VLOOKUP($B39,'Werkschema - Rekening'!$B$2:$P$46,5,FALSE),""))</f>
        <v/>
      </c>
      <c r="AE39" s="851">
        <f>IFERROR(IF(C39="",1.1,IF(U39="",1,IF($C39=1,VLOOKUP($B39,'Werkschema - Rekening'!$B$2:$G$46,6,FALSE),IF($C39=2,Instellingen!G$16,IF($C39=3,Instellingen!H$16,IF($C39=4,N39))))+$D39)+$Z39),1.1)</f>
        <v/>
      </c>
      <c r="AF39" s="852">
        <f>IF($B39="","",IFERROR(VLOOKUP($B39,'Werkschema - Rekening'!$B$2:$P$46,7,FALSE),""))</f>
        <v/>
      </c>
      <c r="AG39" s="851">
        <f>IFERROR(IF(C39="",1.1,IF(V39="",1,IF($C39=1,VLOOKUP($B39,'Werkschema - Rekening'!$B$2:$I$46,8,FALSE),IF($C39=2,Instellingen!I$16,IF($C39=3,Instellingen!J$16,IF($C39=4,O39))))+$D39)+$Z39),1.1)</f>
        <v/>
      </c>
      <c r="AH39" s="852">
        <f>IF($B39="","",IFERROR(VLOOKUP($B39,'Werkschema - Rekening'!$B$2:$P$46,9,FALSE),""))</f>
        <v/>
      </c>
      <c r="AI39" s="851">
        <f>IFERROR(IF(C39="",1.1,IF(W39="",1,IF($C39=1,VLOOKUP($B39,'Werkschema - Rekening'!$B$2:$K$46,10,FALSE),IF($C39=2,Instellingen!K$16,IF($C39=3,Instellingen!L$16,IF($C39=4,P39))))+$D39)+$Z39),1.1)</f>
        <v/>
      </c>
      <c r="AJ39" s="852">
        <f>IF($B39="","",IFERROR(VLOOKUP($B39,'Werkschema - Rekening'!$B$2:$P$46,11,FALSE),""))</f>
        <v/>
      </c>
      <c r="AK39" s="851">
        <f>IFERROR(IF(C39="",1.1,IF(X39="",1,IF($C39=1,VLOOKUP($B39,'Werkschema - Rekening'!$B$2:$M$46,12,FALSE),IF($C39=2,Instellingen!M$16,IF($C39=3,Instellingen!N$16,IF($C39=4,Q39))))+$D39)+$Z39),1.1)</f>
        <v/>
      </c>
      <c r="AL39" s="852">
        <f>IF($B39="","",IFERROR(VLOOKUP($B39,'Werkschema - Rekening'!$B$2:$P$46,13,FALSE),""))</f>
        <v/>
      </c>
      <c r="AM39" s="851">
        <f>IFERROR(IF(C39="",1.1,IF(Y39="",1,IF($C39=1,VLOOKUP($B39,'Werkschema - Rekening'!$B$2:$O$46,14,FALSE),IF($C39=2,Instellingen!O$16,IF($C39=3,Instellingen!P$16,IF($C39=4,R39))))+$D39)+$Z39),1.1)</f>
        <v/>
      </c>
      <c r="AN39" s="852">
        <f>IF($B39="","",IFERROR(VLOOKUP($B39,'Werkschema - Rekening'!$B$2:$P$46,15,FALSE),""))</f>
        <v/>
      </c>
      <c r="AO39" s="852">
        <f>A39</f>
        <v/>
      </c>
      <c r="AP39" s="852">
        <f>B39</f>
        <v/>
      </c>
    </row>
    <row r="40" ht="15" customHeight="1">
      <c r="A40" s="830">
        <f>'Aanpassen Werkschema'!B70</f>
        <v/>
      </c>
      <c r="B40" s="569">
        <f>'Aanpassen Werkschema'!C70</f>
        <v/>
      </c>
      <c r="C40" s="569">
        <f>IF('Aanpassen Werkschema'!D70="geplande taak",1,IF('Aanpassen Werkschema'!D70="openingstijd",2,IF('Aanpassen Werkschema'!D70="sluitingstijd",3,IF('Aanpassen Werkschema'!D70="vaste tijd",4,""))))</f>
        <v/>
      </c>
      <c r="D40" s="849">
        <f>'Aanpassen Werkschema'!E70</f>
        <v/>
      </c>
      <c r="E40" s="569">
        <f>IF('Aanpassen Werkschema'!F70="v","x","")</f>
        <v/>
      </c>
      <c r="F40" s="569">
        <f>IF('Aanpassen Werkschema'!G70="v","x","")</f>
        <v/>
      </c>
      <c r="G40" s="569">
        <f>IF('Aanpassen Werkschema'!H70="v","x","")</f>
        <v/>
      </c>
      <c r="H40" s="569">
        <f>IF('Aanpassen Werkschema'!I70="v","x","")</f>
        <v/>
      </c>
      <c r="I40" s="569">
        <f>IF('Aanpassen Werkschema'!J70="v","x","")</f>
        <v/>
      </c>
      <c r="J40" s="569">
        <f>IF('Aanpassen Werkschema'!K70="v","x","")</f>
        <v/>
      </c>
      <c r="K40" s="569">
        <f>IF('Aanpassen Werkschema'!L70="v","x","")</f>
        <v/>
      </c>
      <c r="L40" s="571">
        <f>IF('Aanpassen Werkschema'!M70&gt;0,'Aanpassen Werkschema'!M70,"")</f>
        <v/>
      </c>
      <c r="M40" s="571">
        <f>IF('Aanpassen Werkschema'!N70&gt;0,'Aanpassen Werkschema'!N70,"")</f>
        <v/>
      </c>
      <c r="N40" s="571">
        <f>IF('Aanpassen Werkschema'!O70&gt;0,'Aanpassen Werkschema'!O70,"")</f>
        <v/>
      </c>
      <c r="O40" s="571">
        <f>IF('Aanpassen Werkschema'!P70&gt;0,'Aanpassen Werkschema'!P70,"")</f>
        <v/>
      </c>
      <c r="P40" s="571">
        <f>IF('Aanpassen Werkschema'!Q70&gt;0,'Aanpassen Werkschema'!Q70,"")</f>
        <v/>
      </c>
      <c r="Q40" s="571">
        <f>IF('Aanpassen Werkschema'!R70&gt;0,'Aanpassen Werkschema'!R70,"")</f>
        <v/>
      </c>
      <c r="R40" s="571">
        <f>IF('Aanpassen Werkschema'!S70&gt;0,'Aanpassen Werkschema'!S70,"")</f>
        <v/>
      </c>
      <c r="S40" s="569">
        <f>IF('Aanpassen Werkschema'!T70="x","",IF('Aanpassen Werkschema'!N70="v","x",IF(E40="","",IF(E40="x","x"))))</f>
        <v/>
      </c>
      <c r="T40" s="569">
        <f>IF('Aanpassen Werkschema'!U70="x","",IF('Aanpassen Werkschema'!O70="v","x",IF(F40="","",IF(F40="x","x"))))</f>
        <v/>
      </c>
      <c r="U40" s="569">
        <f>IF('Aanpassen Werkschema'!V70="x","",IF('Aanpassen Werkschema'!P70="v","x",IF(G40="","",IF(G40="x","x"))))</f>
        <v/>
      </c>
      <c r="V40" s="569">
        <f>IF('Aanpassen Werkschema'!W70="x","",IF('Aanpassen Werkschema'!Q70="v","x",IF(H40="","",IF(H40="x","x"))))</f>
        <v/>
      </c>
      <c r="W40" s="569">
        <f>IF('Aanpassen Werkschema'!X70="x","",IF('Aanpassen Werkschema'!R70="v","x",IF(I40="","",IF(I40="x","x"))))</f>
        <v/>
      </c>
      <c r="X40" s="569">
        <f>IF('Aanpassen Werkschema'!Y70="x","",IF('Aanpassen Werkschema'!S70="v","x",IF(J40="","",IF(J40="x","x"))))</f>
        <v/>
      </c>
      <c r="Y40" s="569">
        <f>IF('Aanpassen Werkschema'!Z70="x","",IF('Aanpassen Werkschema'!T70="v","x",IF(K40="","",IF(K40="x","x"))))</f>
        <v/>
      </c>
      <c r="Z40" s="850">
        <f>Z39+0.0000000001</f>
        <v/>
      </c>
      <c r="AA40" s="851">
        <f>IFERROR(IF(C40="",1.1,IF(S40="",1,IF($C40=1,VLOOKUP($B40,'Werkschema - Rekening'!$B$2:$C$46,2,FALSE),IF($C40=2,Instellingen!C$16,IF($C40=3,Instellingen!D$16,IF($C40=4,L40))))+$D40)+$Z40),1.1)</f>
        <v/>
      </c>
      <c r="AB40" s="852">
        <f>IF($B40="","",IFERROR(VLOOKUP($B40,'Werkschema - Rekening'!$B$2:$P$46,3,FALSE),""))</f>
        <v/>
      </c>
      <c r="AC40" s="851">
        <f>IFERROR(IF(C40="",1.1,IF(T40="",1,IF($C40=1,VLOOKUP($B40,'Werkschema - Rekening'!$B$2:$E$46,4,FALSE),IF($C40=2,Instellingen!E$16,IF($C40=3,Instellingen!F$16,IF($C40=4,M40))))+$D40)+$Z40),1.1)</f>
        <v/>
      </c>
      <c r="AD40" s="852">
        <f>IF($B40="","",IFERROR(VLOOKUP($B40,'Werkschema - Rekening'!$B$2:$P$46,5,FALSE),""))</f>
        <v/>
      </c>
      <c r="AE40" s="851">
        <f>IFERROR(IF(C40="",1.1,IF(U40="",1,IF($C40=1,VLOOKUP($B40,'Werkschema - Rekening'!$B$2:$G$46,6,FALSE),IF($C40=2,Instellingen!G$16,IF($C40=3,Instellingen!H$16,IF($C40=4,N40))))+$D40)+$Z40),1.1)</f>
        <v/>
      </c>
      <c r="AF40" s="852">
        <f>IF($B40="","",IFERROR(VLOOKUP($B40,'Werkschema - Rekening'!$B$2:$P$46,7,FALSE),""))</f>
        <v/>
      </c>
      <c r="AG40" s="851">
        <f>IFERROR(IF(C40="",1.1,IF(V40="",1,IF($C40=1,VLOOKUP($B40,'Werkschema - Rekening'!$B$2:$I$46,8,FALSE),IF($C40=2,Instellingen!I$16,IF($C40=3,Instellingen!J$16,IF($C40=4,O40))))+$D40)+$Z40),1.1)</f>
        <v/>
      </c>
      <c r="AH40" s="852">
        <f>IF($B40="","",IFERROR(VLOOKUP($B40,'Werkschema - Rekening'!$B$2:$P$46,9,FALSE),""))</f>
        <v/>
      </c>
      <c r="AI40" s="851">
        <f>IFERROR(IF(C40="",1.1,IF(W40="",1,IF($C40=1,VLOOKUP($B40,'Werkschema - Rekening'!$B$2:$K$46,10,FALSE),IF($C40=2,Instellingen!K$16,IF($C40=3,Instellingen!L$16,IF($C40=4,P40))))+$D40)+$Z40),1.1)</f>
        <v/>
      </c>
      <c r="AJ40" s="852">
        <f>IF($B40="","",IFERROR(VLOOKUP($B40,'Werkschema - Rekening'!$B$2:$P$46,11,FALSE),""))</f>
        <v/>
      </c>
      <c r="AK40" s="851">
        <f>IFERROR(IF(C40="",1.1,IF(X40="",1,IF($C40=1,VLOOKUP($B40,'Werkschema - Rekening'!$B$2:$M$46,12,FALSE),IF($C40=2,Instellingen!M$16,IF($C40=3,Instellingen!N$16,IF($C40=4,Q40))))+$D40)+$Z40),1.1)</f>
        <v/>
      </c>
      <c r="AL40" s="852">
        <f>IF($B40="","",IFERROR(VLOOKUP($B40,'Werkschema - Rekening'!$B$2:$P$46,13,FALSE),""))</f>
        <v/>
      </c>
      <c r="AM40" s="851">
        <f>IFERROR(IF(C40="",1.1,IF(Y40="",1,IF($C40=1,VLOOKUP($B40,'Werkschema - Rekening'!$B$2:$O$46,14,FALSE),IF($C40=2,Instellingen!O$16,IF($C40=3,Instellingen!P$16,IF($C40=4,R40))))+$D40)+$Z40),1.1)</f>
        <v/>
      </c>
      <c r="AN40" s="852">
        <f>IF($B40="","",IFERROR(VLOOKUP($B40,'Werkschema - Rekening'!$B$2:$P$46,15,FALSE),""))</f>
        <v/>
      </c>
      <c r="AO40" s="852">
        <f>A40</f>
        <v/>
      </c>
      <c r="AP40" s="852">
        <f>B40</f>
        <v/>
      </c>
    </row>
    <row r="41" ht="15" customHeight="1">
      <c r="A41" s="830">
        <f>'Aanpassen Werkschema'!B71</f>
        <v/>
      </c>
      <c r="B41" s="569">
        <f>'Aanpassen Werkschema'!C71</f>
        <v/>
      </c>
      <c r="C41" s="569">
        <f>IF('Aanpassen Werkschema'!D71="geplande taak",1,IF('Aanpassen Werkschema'!D71="openingstijd",2,IF('Aanpassen Werkschema'!D71="sluitingstijd",3,IF('Aanpassen Werkschema'!D71="vaste tijd",4,""))))</f>
        <v/>
      </c>
      <c r="D41" s="849">
        <f>'Aanpassen Werkschema'!E71</f>
        <v/>
      </c>
      <c r="E41" s="569">
        <f>IF('Aanpassen Werkschema'!F71="v","x","")</f>
        <v/>
      </c>
      <c r="F41" s="569">
        <f>IF('Aanpassen Werkschema'!G71="v","x","")</f>
        <v/>
      </c>
      <c r="G41" s="569">
        <f>IF('Aanpassen Werkschema'!H71="v","x","")</f>
        <v/>
      </c>
      <c r="H41" s="569">
        <f>IF('Aanpassen Werkschema'!I71="v","x","")</f>
        <v/>
      </c>
      <c r="I41" s="569">
        <f>IF('Aanpassen Werkschema'!J71="v","x","")</f>
        <v/>
      </c>
      <c r="J41" s="569">
        <f>IF('Aanpassen Werkschema'!K71="v","x","")</f>
        <v/>
      </c>
      <c r="K41" s="569">
        <f>IF('Aanpassen Werkschema'!L71="v","x","")</f>
        <v/>
      </c>
      <c r="L41" s="571">
        <f>IF('Aanpassen Werkschema'!M71&gt;0,'Aanpassen Werkschema'!M71,"")</f>
        <v/>
      </c>
      <c r="M41" s="571">
        <f>IF('Aanpassen Werkschema'!N71&gt;0,'Aanpassen Werkschema'!N71,"")</f>
        <v/>
      </c>
      <c r="N41" s="571">
        <f>IF('Aanpassen Werkschema'!O71&gt;0,'Aanpassen Werkschema'!O71,"")</f>
        <v/>
      </c>
      <c r="O41" s="571">
        <f>IF('Aanpassen Werkschema'!P71&gt;0,'Aanpassen Werkschema'!P71,"")</f>
        <v/>
      </c>
      <c r="P41" s="571">
        <f>IF('Aanpassen Werkschema'!Q71&gt;0,'Aanpassen Werkschema'!Q71,"")</f>
        <v/>
      </c>
      <c r="Q41" s="571">
        <f>IF('Aanpassen Werkschema'!R71&gt;0,'Aanpassen Werkschema'!R71,"")</f>
        <v/>
      </c>
      <c r="R41" s="571">
        <f>IF('Aanpassen Werkschema'!S71&gt;0,'Aanpassen Werkschema'!S71,"")</f>
        <v/>
      </c>
      <c r="S41" s="569">
        <f>IF('Aanpassen Werkschema'!T71="x","",IF('Aanpassen Werkschema'!N71="v","x",IF(E41="","",IF(E41="x","x"))))</f>
        <v/>
      </c>
      <c r="T41" s="569">
        <f>IF('Aanpassen Werkschema'!U71="x","",IF('Aanpassen Werkschema'!O71="v","x",IF(F41="","",IF(F41="x","x"))))</f>
        <v/>
      </c>
      <c r="U41" s="569">
        <f>IF('Aanpassen Werkschema'!V71="x","",IF('Aanpassen Werkschema'!P71="v","x",IF(G41="","",IF(G41="x","x"))))</f>
        <v/>
      </c>
      <c r="V41" s="569">
        <f>IF('Aanpassen Werkschema'!W71="x","",IF('Aanpassen Werkschema'!Q71="v","x",IF(H41="","",IF(H41="x","x"))))</f>
        <v/>
      </c>
      <c r="W41" s="569">
        <f>IF('Aanpassen Werkschema'!X71="x","",IF('Aanpassen Werkschema'!R71="v","x",IF(I41="","",IF(I41="x","x"))))</f>
        <v/>
      </c>
      <c r="X41" s="569">
        <f>IF('Aanpassen Werkschema'!Y71="x","",IF('Aanpassen Werkschema'!S71="v","x",IF(J41="","",IF(J41="x","x"))))</f>
        <v/>
      </c>
      <c r="Y41" s="569">
        <f>IF('Aanpassen Werkschema'!Z71="x","",IF('Aanpassen Werkschema'!T71="v","x",IF(K41="","",IF(K41="x","x"))))</f>
        <v/>
      </c>
      <c r="Z41" s="850">
        <f>Z40+0.0000000001</f>
        <v/>
      </c>
      <c r="AA41" s="851">
        <f>IFERROR(IF(C41="",1.1,IF(S41="",1,IF($C41=1,VLOOKUP($B41,'Werkschema - Rekening'!$B$2:$C$46,2,FALSE),IF($C41=2,Instellingen!C$16,IF($C41=3,Instellingen!D$16,IF($C41=4,L41))))+$D41)+$Z41),1.1)</f>
        <v/>
      </c>
      <c r="AB41" s="852">
        <f>IF($B41="","",IFERROR(VLOOKUP($B41,'Werkschema - Rekening'!$B$2:$P$46,3,FALSE),""))</f>
        <v/>
      </c>
      <c r="AC41" s="851">
        <f>IFERROR(IF(C41="",1.1,IF(T41="",1,IF($C41=1,VLOOKUP($B41,'Werkschema - Rekening'!$B$2:$E$46,4,FALSE),IF($C41=2,Instellingen!E$16,IF($C41=3,Instellingen!F$16,IF($C41=4,M41))))+$D41)+$Z41),1.1)</f>
        <v/>
      </c>
      <c r="AD41" s="852">
        <f>IF($B41="","",IFERROR(VLOOKUP($B41,'Werkschema - Rekening'!$B$2:$P$46,5,FALSE),""))</f>
        <v/>
      </c>
      <c r="AE41" s="851">
        <f>IFERROR(IF(C41="",1.1,IF(U41="",1,IF($C41=1,VLOOKUP($B41,'Werkschema - Rekening'!$B$2:$G$46,6,FALSE),IF($C41=2,Instellingen!G$16,IF($C41=3,Instellingen!H$16,IF($C41=4,N41))))+$D41)+$Z41),1.1)</f>
        <v/>
      </c>
      <c r="AF41" s="852">
        <f>IF($B41="","",IFERROR(VLOOKUP($B41,'Werkschema - Rekening'!$B$2:$P$46,7,FALSE),""))</f>
        <v/>
      </c>
      <c r="AG41" s="851">
        <f>IFERROR(IF(C41="",1.1,IF(V41="",1,IF($C41=1,VLOOKUP($B41,'Werkschema - Rekening'!$B$2:$I$46,8,FALSE),IF($C41=2,Instellingen!I$16,IF($C41=3,Instellingen!J$16,IF($C41=4,O41))))+$D41)+$Z41),1.1)</f>
        <v/>
      </c>
      <c r="AH41" s="852">
        <f>IF($B41="","",IFERROR(VLOOKUP($B41,'Werkschema - Rekening'!$B$2:$P$46,9,FALSE),""))</f>
        <v/>
      </c>
      <c r="AI41" s="851">
        <f>IFERROR(IF(C41="",1.1,IF(W41="",1,IF($C41=1,VLOOKUP($B41,'Werkschema - Rekening'!$B$2:$K$46,10,FALSE),IF($C41=2,Instellingen!K$16,IF($C41=3,Instellingen!L$16,IF($C41=4,P41))))+$D41)+$Z41),1.1)</f>
        <v/>
      </c>
      <c r="AJ41" s="852">
        <f>IF($B41="","",IFERROR(VLOOKUP($B41,'Werkschema - Rekening'!$B$2:$P$46,11,FALSE),""))</f>
        <v/>
      </c>
      <c r="AK41" s="851">
        <f>IFERROR(IF(C41="",1.1,IF(X41="",1,IF($C41=1,VLOOKUP($B41,'Werkschema - Rekening'!$B$2:$M$46,12,FALSE),IF($C41=2,Instellingen!M$16,IF($C41=3,Instellingen!N$16,IF($C41=4,Q41))))+$D41)+$Z41),1.1)</f>
        <v/>
      </c>
      <c r="AL41" s="852">
        <f>IF($B41="","",IFERROR(VLOOKUP($B41,'Werkschema - Rekening'!$B$2:$P$46,13,FALSE),""))</f>
        <v/>
      </c>
      <c r="AM41" s="851">
        <f>IFERROR(IF(C41="",1.1,IF(Y41="",1,IF($C41=1,VLOOKUP($B41,'Werkschema - Rekening'!$B$2:$O$46,14,FALSE),IF($C41=2,Instellingen!O$16,IF($C41=3,Instellingen!P$16,IF($C41=4,R41))))+$D41)+$Z41),1.1)</f>
        <v/>
      </c>
      <c r="AN41" s="852">
        <f>IF($B41="","",IFERROR(VLOOKUP($B41,'Werkschema - Rekening'!$B$2:$P$46,15,FALSE),""))</f>
        <v/>
      </c>
      <c r="AO41" s="852">
        <f>A41</f>
        <v/>
      </c>
      <c r="AP41" s="852">
        <f>B41</f>
        <v/>
      </c>
    </row>
    <row r="42" ht="12.6" customHeight="1">
      <c r="A42" s="830">
        <f>'Aanpassen Werkschema'!B72</f>
        <v/>
      </c>
      <c r="B42" s="569">
        <f>'Aanpassen Werkschema'!C72</f>
        <v/>
      </c>
      <c r="C42" s="569">
        <f>IF('Aanpassen Werkschema'!D72="geplande taak",1,IF('Aanpassen Werkschema'!D72="openingstijd",2,IF('Aanpassen Werkschema'!D72="sluitingstijd",3,IF('Aanpassen Werkschema'!D72="vaste tijd",4,""))))</f>
        <v/>
      </c>
      <c r="D42" s="849">
        <f>'Aanpassen Werkschema'!E72</f>
        <v/>
      </c>
      <c r="E42" s="569">
        <f>IF('Aanpassen Werkschema'!F72="v","x","")</f>
        <v/>
      </c>
      <c r="F42" s="569">
        <f>IF('Aanpassen Werkschema'!G72="v","x","")</f>
        <v/>
      </c>
      <c r="G42" s="569">
        <f>IF('Aanpassen Werkschema'!H72="v","x","")</f>
        <v/>
      </c>
      <c r="H42" s="569">
        <f>IF('Aanpassen Werkschema'!I72="v","x","")</f>
        <v/>
      </c>
      <c r="I42" s="569">
        <f>IF('Aanpassen Werkschema'!J72="v","x","")</f>
        <v/>
      </c>
      <c r="J42" s="569">
        <f>IF('Aanpassen Werkschema'!K72="v","x","")</f>
        <v/>
      </c>
      <c r="K42" s="569">
        <f>IF('Aanpassen Werkschema'!L72="v","x","")</f>
        <v/>
      </c>
      <c r="L42" s="571">
        <f>IF('Aanpassen Werkschema'!M72&gt;0,'Aanpassen Werkschema'!M72,"")</f>
        <v/>
      </c>
      <c r="M42" s="571">
        <f>IF('Aanpassen Werkschema'!N72&gt;0,'Aanpassen Werkschema'!N72,"")</f>
        <v/>
      </c>
      <c r="N42" s="571">
        <f>IF('Aanpassen Werkschema'!O72&gt;0,'Aanpassen Werkschema'!O72,"")</f>
        <v/>
      </c>
      <c r="O42" s="571">
        <f>IF('Aanpassen Werkschema'!P72&gt;0,'Aanpassen Werkschema'!P72,"")</f>
        <v/>
      </c>
      <c r="P42" s="571">
        <f>IF('Aanpassen Werkschema'!Q72&gt;0,'Aanpassen Werkschema'!Q72,"")</f>
        <v/>
      </c>
      <c r="Q42" s="571">
        <f>IF('Aanpassen Werkschema'!R72&gt;0,'Aanpassen Werkschema'!R72,"")</f>
        <v/>
      </c>
      <c r="R42" s="571">
        <f>IF('Aanpassen Werkschema'!S72&gt;0,'Aanpassen Werkschema'!S72,"")</f>
        <v/>
      </c>
      <c r="S42" s="569">
        <f>IF('Aanpassen Werkschema'!T72="x","",IF('Aanpassen Werkschema'!N72="v","x",IF(E42="","",IF(E42="x","x"))))</f>
        <v/>
      </c>
      <c r="T42" s="569">
        <f>IF('Aanpassen Werkschema'!U72="x","",IF('Aanpassen Werkschema'!O72="v","x",IF(F42="","",IF(F42="x","x"))))</f>
        <v/>
      </c>
      <c r="U42" s="569">
        <f>IF('Aanpassen Werkschema'!V72="x","",IF('Aanpassen Werkschema'!P72="v","x",IF(G42="","",IF(G42="x","x"))))</f>
        <v/>
      </c>
      <c r="V42" s="569">
        <f>IF('Aanpassen Werkschema'!W72="x","",IF('Aanpassen Werkschema'!Q72="v","x",IF(H42="","",IF(H42="x","x"))))</f>
        <v/>
      </c>
      <c r="W42" s="569">
        <f>IF('Aanpassen Werkschema'!X72="x","",IF('Aanpassen Werkschema'!R72="v","x",IF(I42="","",IF(I42="x","x"))))</f>
        <v/>
      </c>
      <c r="X42" s="569">
        <f>IF('Aanpassen Werkschema'!Y72="x","",IF('Aanpassen Werkschema'!S72="v","x",IF(J42="","",IF(J42="x","x"))))</f>
        <v/>
      </c>
      <c r="Y42" s="569">
        <f>IF('Aanpassen Werkschema'!Z72="x","",IF('Aanpassen Werkschema'!T72="v","x",IF(K42="","",IF(K42="x","x"))))</f>
        <v/>
      </c>
      <c r="Z42" s="850">
        <f>Z41+0.0000000001</f>
        <v/>
      </c>
      <c r="AA42" s="851">
        <f>IFERROR(IF(C42="",1.1,IF(S42="",1,IF($C42=1,VLOOKUP($B42,'Werkschema - Rekening'!$B$2:$C$46,2,FALSE),IF($C42=2,Instellingen!C$16,IF($C42=3,Instellingen!D$16,IF($C42=4,L42))))+$D42)+$Z42),1.1)</f>
        <v/>
      </c>
      <c r="AB42" s="852">
        <f>IF($B42="","",IFERROR(VLOOKUP($B42,'Werkschema - Rekening'!$B$2:$P$46,3,FALSE),""))</f>
        <v/>
      </c>
      <c r="AC42" s="851">
        <f>IFERROR(IF(C42="",1.1,IF(T42="",1,IF($C42=1,VLOOKUP($B42,'Werkschema - Rekening'!$B$2:$E$46,4,FALSE),IF($C42=2,Instellingen!E$16,IF($C42=3,Instellingen!F$16,IF($C42=4,M42))))+$D42)+$Z42),1.1)</f>
        <v/>
      </c>
      <c r="AD42" s="852">
        <f>IF($B42="","",IFERROR(VLOOKUP($B42,'Werkschema - Rekening'!$B$2:$P$46,5,FALSE),""))</f>
        <v/>
      </c>
      <c r="AE42" s="851">
        <f>IFERROR(IF(C42="",1.1,IF(U42="",1,IF($C42=1,VLOOKUP($B42,'Werkschema - Rekening'!$B$2:$G$46,6,FALSE),IF($C42=2,Instellingen!G$16,IF($C42=3,Instellingen!H$16,IF($C42=4,N42))))+$D42)+$Z42),1.1)</f>
        <v/>
      </c>
      <c r="AF42" s="852">
        <f>IF($B42="","",IFERROR(VLOOKUP($B42,'Werkschema - Rekening'!$B$2:$P$46,7,FALSE),""))</f>
        <v/>
      </c>
      <c r="AG42" s="851">
        <f>IFERROR(IF(C42="",1.1,IF(V42="",1,IF($C42=1,VLOOKUP($B42,'Werkschema - Rekening'!$B$2:$I$46,8,FALSE),IF($C42=2,Instellingen!I$16,IF($C42=3,Instellingen!J$16,IF($C42=4,O42))))+$D42)+$Z42),1.1)</f>
        <v/>
      </c>
      <c r="AH42" s="852">
        <f>IF($B42="","",IFERROR(VLOOKUP($B42,'Werkschema - Rekening'!$B$2:$P$46,9,FALSE),""))</f>
        <v/>
      </c>
      <c r="AI42" s="851">
        <f>IFERROR(IF(C42="",1.1,IF(W42="",1,IF($C42=1,VLOOKUP($B42,'Werkschema - Rekening'!$B$2:$K$46,10,FALSE),IF($C42=2,Instellingen!K$16,IF($C42=3,Instellingen!L$16,IF($C42=4,P42))))+$D42)+$Z42),1.1)</f>
        <v/>
      </c>
      <c r="AJ42" s="852">
        <f>IF($B42="","",IFERROR(VLOOKUP($B42,'Werkschema - Rekening'!$B$2:$P$46,11,FALSE),""))</f>
        <v/>
      </c>
      <c r="AK42" s="851">
        <f>IFERROR(IF(C42="",1.1,IF(X42="",1,IF($C42=1,VLOOKUP($B42,'Werkschema - Rekening'!$B$2:$M$46,12,FALSE),IF($C42=2,Instellingen!M$16,IF($C42=3,Instellingen!N$16,IF($C42=4,Q42))))+$D42)+$Z42),1.1)</f>
        <v/>
      </c>
      <c r="AL42" s="852">
        <f>IF($B42="","",IFERROR(VLOOKUP($B42,'Werkschema - Rekening'!$B$2:$P$46,13,FALSE),""))</f>
        <v/>
      </c>
      <c r="AM42" s="851">
        <f>IFERROR(IF(C42="",1.1,IF(Y42="",1,IF($C42=1,VLOOKUP($B42,'Werkschema - Rekening'!$B$2:$O$46,14,FALSE),IF($C42=2,Instellingen!O$16,IF($C42=3,Instellingen!P$16,IF($C42=4,R42))))+$D42)+$Z42),1.1)</f>
        <v/>
      </c>
      <c r="AN42" s="852">
        <f>IF($B42="","",IFERROR(VLOOKUP($B42,'Werkschema - Rekening'!$B$2:$P$46,15,FALSE),""))</f>
        <v/>
      </c>
      <c r="AO42" s="852">
        <f>A42</f>
        <v/>
      </c>
      <c r="AP42" s="852">
        <f>B42</f>
        <v/>
      </c>
    </row>
    <row r="43" ht="12.6" customHeight="1">
      <c r="A43" s="830">
        <f>'Aanpassen Werkschema'!B73</f>
        <v/>
      </c>
      <c r="B43" s="569">
        <f>'Aanpassen Werkschema'!C73</f>
        <v/>
      </c>
      <c r="C43" s="569">
        <f>IF('Aanpassen Werkschema'!D73="geplande taak",1,IF('Aanpassen Werkschema'!D73="openingstijd",2,IF('Aanpassen Werkschema'!D73="sluitingstijd",3,IF('Aanpassen Werkschema'!D73="vaste tijd",4,""))))</f>
        <v/>
      </c>
      <c r="D43" s="849">
        <f>'Aanpassen Werkschema'!E73</f>
        <v/>
      </c>
      <c r="E43" s="569">
        <f>IF('Aanpassen Werkschema'!F73="v","x","")</f>
        <v/>
      </c>
      <c r="F43" s="569">
        <f>IF('Aanpassen Werkschema'!G73="v","x","")</f>
        <v/>
      </c>
      <c r="G43" s="569">
        <f>IF('Aanpassen Werkschema'!H73="v","x","")</f>
        <v/>
      </c>
      <c r="H43" s="569">
        <f>IF('Aanpassen Werkschema'!I73="v","x","")</f>
        <v/>
      </c>
      <c r="I43" s="569">
        <f>IF('Aanpassen Werkschema'!J73="v","x","")</f>
        <v/>
      </c>
      <c r="J43" s="569">
        <f>IF('Aanpassen Werkschema'!K73="v","x","")</f>
        <v/>
      </c>
      <c r="K43" s="569">
        <f>IF('Aanpassen Werkschema'!L73="v","x","")</f>
        <v/>
      </c>
      <c r="L43" s="571">
        <f>IF('Aanpassen Werkschema'!M73&gt;0,'Aanpassen Werkschema'!M73,"")</f>
        <v/>
      </c>
      <c r="M43" s="571">
        <f>IF('Aanpassen Werkschema'!N73&gt;0,'Aanpassen Werkschema'!N73,"")</f>
        <v/>
      </c>
      <c r="N43" s="571">
        <f>IF('Aanpassen Werkschema'!O73&gt;0,'Aanpassen Werkschema'!O73,"")</f>
        <v/>
      </c>
      <c r="O43" s="571">
        <f>IF('Aanpassen Werkschema'!P73&gt;0,'Aanpassen Werkschema'!P73,"")</f>
        <v/>
      </c>
      <c r="P43" s="571">
        <f>IF('Aanpassen Werkschema'!Q73&gt;0,'Aanpassen Werkschema'!Q73,"")</f>
        <v/>
      </c>
      <c r="Q43" s="571">
        <f>IF('Aanpassen Werkschema'!R73&gt;0,'Aanpassen Werkschema'!R73,"")</f>
        <v/>
      </c>
      <c r="R43" s="571">
        <f>IF('Aanpassen Werkschema'!S73&gt;0,'Aanpassen Werkschema'!S73,"")</f>
        <v/>
      </c>
      <c r="S43" s="569">
        <f>IF('Aanpassen Werkschema'!T73="x","",IF('Aanpassen Werkschema'!N73="v","x",IF(E43="","",IF(E43="x","x"))))</f>
        <v/>
      </c>
      <c r="T43" s="569">
        <f>IF('Aanpassen Werkschema'!U73="x","",IF('Aanpassen Werkschema'!O73="v","x",IF(F43="","",IF(F43="x","x"))))</f>
        <v/>
      </c>
      <c r="U43" s="569">
        <f>IF('Aanpassen Werkschema'!V73="x","",IF('Aanpassen Werkschema'!P73="v","x",IF(G43="","",IF(G43="x","x"))))</f>
        <v/>
      </c>
      <c r="V43" s="569">
        <f>IF('Aanpassen Werkschema'!W73="x","",IF('Aanpassen Werkschema'!Q73="v","x",IF(H43="","",IF(H43="x","x"))))</f>
        <v/>
      </c>
      <c r="W43" s="569">
        <f>IF('Aanpassen Werkschema'!X73="x","",IF('Aanpassen Werkschema'!R73="v","x",IF(I43="","",IF(I43="x","x"))))</f>
        <v/>
      </c>
      <c r="X43" s="569">
        <f>IF('Aanpassen Werkschema'!Y73="x","",IF('Aanpassen Werkschema'!S73="v","x",IF(J43="","",IF(J43="x","x"))))</f>
        <v/>
      </c>
      <c r="Y43" s="569">
        <f>IF('Aanpassen Werkschema'!Z73="x","",IF('Aanpassen Werkschema'!T73="v","x",IF(K43="","",IF(K43="x","x"))))</f>
        <v/>
      </c>
      <c r="Z43" s="850">
        <f>Z42+0.0000000001</f>
        <v/>
      </c>
      <c r="AA43" s="851">
        <f>IFERROR(IF(C43="",1.1,IF(S43="",1,IF($C43=1,VLOOKUP($B43,'Werkschema - Rekening'!$B$2:$C$46,2,FALSE),IF($C43=2,Instellingen!C$16,IF($C43=3,Instellingen!D$16,IF($C43=4,L43))))+$D43)+$Z43),1.1)</f>
        <v/>
      </c>
      <c r="AB43" s="852">
        <f>IF($B43="","",IFERROR(VLOOKUP($B43,'Werkschema - Rekening'!$B$2:$P$46,3,FALSE),""))</f>
        <v/>
      </c>
      <c r="AC43" s="851">
        <f>IFERROR(IF(C43="",1.1,IF(T43="",1,IF($C43=1,VLOOKUP($B43,'Werkschema - Rekening'!$B$2:$E$46,4,FALSE),IF($C43=2,Instellingen!E$16,IF($C43=3,Instellingen!F$16,IF($C43=4,M43))))+$D43)+$Z43),1.1)</f>
        <v/>
      </c>
      <c r="AD43" s="852">
        <f>IF($B43="","",IFERROR(VLOOKUP($B43,'Werkschema - Rekening'!$B$2:$P$46,5,FALSE),""))</f>
        <v/>
      </c>
      <c r="AE43" s="851">
        <f>IFERROR(IF(C43="",1.1,IF(U43="",1,IF($C43=1,VLOOKUP($B43,'Werkschema - Rekening'!$B$2:$G$46,6,FALSE),IF($C43=2,Instellingen!G$16,IF($C43=3,Instellingen!H$16,IF($C43=4,N43))))+$D43)+$Z43),1.1)</f>
        <v/>
      </c>
      <c r="AF43" s="852">
        <f>IF($B43="","",IFERROR(VLOOKUP($B43,'Werkschema - Rekening'!$B$2:$P$46,7,FALSE),""))</f>
        <v/>
      </c>
      <c r="AG43" s="851">
        <f>IFERROR(IF(C43="",1.1,IF(V43="",1,IF($C43=1,VLOOKUP($B43,'Werkschema - Rekening'!$B$2:$I$46,8,FALSE),IF($C43=2,Instellingen!I$16,IF($C43=3,Instellingen!J$16,IF($C43=4,O43))))+$D43)+$Z43),1.1)</f>
        <v/>
      </c>
      <c r="AH43" s="852">
        <f>IF($B43="","",IFERROR(VLOOKUP($B43,'Werkschema - Rekening'!$B$2:$P$46,9,FALSE),""))</f>
        <v/>
      </c>
      <c r="AI43" s="851">
        <f>IFERROR(IF(C43="",1.1,IF(W43="",1,IF($C43=1,VLOOKUP($B43,'Werkschema - Rekening'!$B$2:$K$46,10,FALSE),IF($C43=2,Instellingen!K$16,IF($C43=3,Instellingen!L$16,IF($C43=4,P43))))+$D43)+$Z43),1.1)</f>
        <v/>
      </c>
      <c r="AJ43" s="852">
        <f>IF($B43="","",IFERROR(VLOOKUP($B43,'Werkschema - Rekening'!$B$2:$P$46,11,FALSE),""))</f>
        <v/>
      </c>
      <c r="AK43" s="851">
        <f>IFERROR(IF(C43="",1.1,IF(X43="",1,IF($C43=1,VLOOKUP($B43,'Werkschema - Rekening'!$B$2:$M$46,12,FALSE),IF($C43=2,Instellingen!M$16,IF($C43=3,Instellingen!N$16,IF($C43=4,Q43))))+$D43)+$Z43),1.1)</f>
        <v/>
      </c>
      <c r="AL43" s="852">
        <f>IF($B43="","",IFERROR(VLOOKUP($B43,'Werkschema - Rekening'!$B$2:$P$46,13,FALSE),""))</f>
        <v/>
      </c>
      <c r="AM43" s="851">
        <f>IFERROR(IF(C43="",1.1,IF(Y43="",1,IF($C43=1,VLOOKUP($B43,'Werkschema - Rekening'!$B$2:$O$46,14,FALSE),IF($C43=2,Instellingen!O$16,IF($C43=3,Instellingen!P$16,IF($C43=4,R43))))+$D43)+$Z43),1.1)</f>
        <v/>
      </c>
      <c r="AN43" s="852">
        <f>IF($B43="","",IFERROR(VLOOKUP($B43,'Werkschema - Rekening'!$B$2:$P$46,15,FALSE),""))</f>
        <v/>
      </c>
      <c r="AO43" s="852">
        <f>A43</f>
        <v/>
      </c>
      <c r="AP43" s="852">
        <f>B43</f>
        <v/>
      </c>
    </row>
    <row r="44" ht="12.6" customHeight="1">
      <c r="A44" s="830">
        <f>'Aanpassen Werkschema'!B74</f>
        <v/>
      </c>
      <c r="B44" s="569">
        <f>'Aanpassen Werkschema'!C74</f>
        <v/>
      </c>
      <c r="C44" s="569">
        <f>IF('Aanpassen Werkschema'!D74="geplande taak",1,IF('Aanpassen Werkschema'!D74="openingstijd",2,IF('Aanpassen Werkschema'!D74="sluitingstijd",3,IF('Aanpassen Werkschema'!D74="vaste tijd",4,""))))</f>
        <v/>
      </c>
      <c r="D44" s="849">
        <f>'Aanpassen Werkschema'!E74</f>
        <v/>
      </c>
      <c r="E44" s="569">
        <f>IF('Aanpassen Werkschema'!F74="v","x","")</f>
        <v/>
      </c>
      <c r="F44" s="569">
        <f>IF('Aanpassen Werkschema'!G74="v","x","")</f>
        <v/>
      </c>
      <c r="G44" s="569">
        <f>IF('Aanpassen Werkschema'!H74="v","x","")</f>
        <v/>
      </c>
      <c r="H44" s="569">
        <f>IF('Aanpassen Werkschema'!I74="v","x","")</f>
        <v/>
      </c>
      <c r="I44" s="569">
        <f>IF('Aanpassen Werkschema'!J74="v","x","")</f>
        <v/>
      </c>
      <c r="J44" s="569">
        <f>IF('Aanpassen Werkschema'!K74="v","x","")</f>
        <v/>
      </c>
      <c r="K44" s="569">
        <f>IF('Aanpassen Werkschema'!L74="v","x","")</f>
        <v/>
      </c>
      <c r="L44" s="571">
        <f>IF('Aanpassen Werkschema'!M74&gt;0,'Aanpassen Werkschema'!M74,"")</f>
        <v/>
      </c>
      <c r="M44" s="571">
        <f>IF('Aanpassen Werkschema'!N74&gt;0,'Aanpassen Werkschema'!N74,"")</f>
        <v/>
      </c>
      <c r="N44" s="571">
        <f>IF('Aanpassen Werkschema'!O74&gt;0,'Aanpassen Werkschema'!O74,"")</f>
        <v/>
      </c>
      <c r="O44" s="571">
        <f>IF('Aanpassen Werkschema'!P74&gt;0,'Aanpassen Werkschema'!P74,"")</f>
        <v/>
      </c>
      <c r="P44" s="571">
        <f>IF('Aanpassen Werkschema'!Q74&gt;0,'Aanpassen Werkschema'!Q74,"")</f>
        <v/>
      </c>
      <c r="Q44" s="571">
        <f>IF('Aanpassen Werkschema'!R74&gt;0,'Aanpassen Werkschema'!R74,"")</f>
        <v/>
      </c>
      <c r="R44" s="571">
        <f>IF('Aanpassen Werkschema'!S74&gt;0,'Aanpassen Werkschema'!S74,"")</f>
        <v/>
      </c>
      <c r="S44" s="569">
        <f>IF('Aanpassen Werkschema'!T74="x","",IF('Aanpassen Werkschema'!N74="v","x",IF(E44="","",IF(E44="x","x"))))</f>
        <v/>
      </c>
      <c r="T44" s="569">
        <f>IF('Aanpassen Werkschema'!U74="x","",IF('Aanpassen Werkschema'!O74="v","x",IF(F44="","",IF(F44="x","x"))))</f>
        <v/>
      </c>
      <c r="U44" s="569">
        <f>IF('Aanpassen Werkschema'!V74="x","",IF('Aanpassen Werkschema'!P74="v","x",IF(G44="","",IF(G44="x","x"))))</f>
        <v/>
      </c>
      <c r="V44" s="569">
        <f>IF('Aanpassen Werkschema'!W74="x","",IF('Aanpassen Werkschema'!Q74="v","x",IF(H44="","",IF(H44="x","x"))))</f>
        <v/>
      </c>
      <c r="W44" s="569">
        <f>IF('Aanpassen Werkschema'!X74="x","",IF('Aanpassen Werkschema'!R74="v","x",IF(I44="","",IF(I44="x","x"))))</f>
        <v/>
      </c>
      <c r="X44" s="569">
        <f>IF('Aanpassen Werkschema'!Y74="x","",IF('Aanpassen Werkschema'!S74="v","x",IF(J44="","",IF(J44="x","x"))))</f>
        <v/>
      </c>
      <c r="Y44" s="569">
        <f>IF('Aanpassen Werkschema'!Z74="x","",IF('Aanpassen Werkschema'!T74="v","x",IF(K44="","",IF(K44="x","x"))))</f>
        <v/>
      </c>
      <c r="Z44" s="850">
        <f>Z43+0.0000000001</f>
        <v/>
      </c>
      <c r="AA44" s="851">
        <f>IFERROR(IF(C44="",1.1,IF(S44="",1,IF($C44=1,VLOOKUP($B44,'Werkschema - Rekening'!$B$2:$C$46,2,FALSE),IF($C44=2,Instellingen!C$16,IF($C44=3,Instellingen!D$16,IF($C44=4,L44))))+$D44)+$Z44),1.1)</f>
        <v/>
      </c>
      <c r="AB44" s="852">
        <f>IF($B44="","",IFERROR(VLOOKUP($B44,'Werkschema - Rekening'!$B$2:$P$46,3,FALSE),""))</f>
        <v/>
      </c>
      <c r="AC44" s="851">
        <f>IFERROR(IF(C44="",1.1,IF(T44="",1,IF($C44=1,VLOOKUP($B44,'Werkschema - Rekening'!$B$2:$E$46,4,FALSE),IF($C44=2,Instellingen!E$16,IF($C44=3,Instellingen!F$16,IF($C44=4,M44))))+$D44)+$Z44),1.1)</f>
        <v/>
      </c>
      <c r="AD44" s="852">
        <f>IF($B44="","",IFERROR(VLOOKUP($B44,'Werkschema - Rekening'!$B$2:$P$46,5,FALSE),""))</f>
        <v/>
      </c>
      <c r="AE44" s="851">
        <f>IFERROR(IF(C44="",1.1,IF(U44="",1,IF($C44=1,VLOOKUP($B44,'Werkschema - Rekening'!$B$2:$G$46,6,FALSE),IF($C44=2,Instellingen!G$16,IF($C44=3,Instellingen!H$16,IF($C44=4,N44))))+$D44)+$Z44),1.1)</f>
        <v/>
      </c>
      <c r="AF44" s="852">
        <f>IF($B44="","",IFERROR(VLOOKUP($B44,'Werkschema - Rekening'!$B$2:$P$46,7,FALSE),""))</f>
        <v/>
      </c>
      <c r="AG44" s="851">
        <f>IFERROR(IF(C44="",1.1,IF(V44="",1,IF($C44=1,VLOOKUP($B44,'Werkschema - Rekening'!$B$2:$I$46,8,FALSE),IF($C44=2,Instellingen!I$16,IF($C44=3,Instellingen!J$16,IF($C44=4,O44))))+$D44)+$Z44),1.1)</f>
        <v/>
      </c>
      <c r="AH44" s="852">
        <f>IF($B44="","",IFERROR(VLOOKUP($B44,'Werkschema - Rekening'!$B$2:$P$46,9,FALSE),""))</f>
        <v/>
      </c>
      <c r="AI44" s="851">
        <f>IFERROR(IF(C44="",1.1,IF(W44="",1,IF($C44=1,VLOOKUP($B44,'Werkschema - Rekening'!$B$2:$K$46,10,FALSE),IF($C44=2,Instellingen!K$16,IF($C44=3,Instellingen!L$16,IF($C44=4,P44))))+$D44)+$Z44),1.1)</f>
        <v/>
      </c>
      <c r="AJ44" s="852">
        <f>IF($B44="","",IFERROR(VLOOKUP($B44,'Werkschema - Rekening'!$B$2:$P$46,11,FALSE),""))</f>
        <v/>
      </c>
      <c r="AK44" s="851">
        <f>IFERROR(IF(C44="",1.1,IF(X44="",1,IF($C44=1,VLOOKUP($B44,'Werkschema - Rekening'!$B$2:$M$46,12,FALSE),IF($C44=2,Instellingen!M$16,IF($C44=3,Instellingen!N$16,IF($C44=4,Q44))))+$D44)+$Z44),1.1)</f>
        <v/>
      </c>
      <c r="AL44" s="852">
        <f>IF($B44="","",IFERROR(VLOOKUP($B44,'Werkschema - Rekening'!$B$2:$P$46,13,FALSE),""))</f>
        <v/>
      </c>
      <c r="AM44" s="851">
        <f>IFERROR(IF(C44="",1.1,IF(Y44="",1,IF($C44=1,VLOOKUP($B44,'Werkschema - Rekening'!$B$2:$O$46,14,FALSE),IF($C44=2,Instellingen!O$16,IF($C44=3,Instellingen!P$16,IF($C44=4,R44))))+$D44)+$Z44),1.1)</f>
        <v/>
      </c>
      <c r="AN44" s="852">
        <f>IF($B44="","",IFERROR(VLOOKUP($B44,'Werkschema - Rekening'!$B$2:$P$46,15,FALSE),""))</f>
        <v/>
      </c>
      <c r="AO44" s="852">
        <f>A44</f>
        <v/>
      </c>
      <c r="AP44" s="852">
        <f>B44</f>
        <v/>
      </c>
    </row>
    <row r="45" ht="12.6" customHeight="1">
      <c r="A45" s="830">
        <f>'Aanpassen Werkschema'!B75</f>
        <v/>
      </c>
      <c r="B45" s="569">
        <f>'Aanpassen Werkschema'!C75</f>
        <v/>
      </c>
      <c r="C45" s="569">
        <f>IF('Aanpassen Werkschema'!D75="geplande taak",1,IF('Aanpassen Werkschema'!D75="openingstijd",2,IF('Aanpassen Werkschema'!D75="sluitingstijd",3,IF('Aanpassen Werkschema'!D75="vaste tijd",4,""))))</f>
        <v/>
      </c>
      <c r="D45" s="849">
        <f>'Aanpassen Werkschema'!E75</f>
        <v/>
      </c>
      <c r="E45" s="569">
        <f>IF('Aanpassen Werkschema'!F75="v","x","")</f>
        <v/>
      </c>
      <c r="F45" s="569">
        <f>IF('Aanpassen Werkschema'!G75="v","x","")</f>
        <v/>
      </c>
      <c r="G45" s="569">
        <f>IF('Aanpassen Werkschema'!H75="v","x","")</f>
        <v/>
      </c>
      <c r="H45" s="569">
        <f>IF('Aanpassen Werkschema'!I75="v","x","")</f>
        <v/>
      </c>
      <c r="I45" s="569">
        <f>IF('Aanpassen Werkschema'!J75="v","x","")</f>
        <v/>
      </c>
      <c r="J45" s="569">
        <f>IF('Aanpassen Werkschema'!K75="v","x","")</f>
        <v/>
      </c>
      <c r="K45" s="569">
        <f>IF('Aanpassen Werkschema'!L75="v","x","")</f>
        <v/>
      </c>
      <c r="L45" s="571">
        <f>IF('Aanpassen Werkschema'!M75&gt;0,'Aanpassen Werkschema'!M75,"")</f>
        <v/>
      </c>
      <c r="M45" s="571">
        <f>IF('Aanpassen Werkschema'!N75&gt;0,'Aanpassen Werkschema'!N75,"")</f>
        <v/>
      </c>
      <c r="N45" s="571">
        <f>IF('Aanpassen Werkschema'!O75&gt;0,'Aanpassen Werkschema'!O75,"")</f>
        <v/>
      </c>
      <c r="O45" s="571">
        <f>IF('Aanpassen Werkschema'!P75&gt;0,'Aanpassen Werkschema'!P75,"")</f>
        <v/>
      </c>
      <c r="P45" s="571">
        <f>IF('Aanpassen Werkschema'!Q75&gt;0,'Aanpassen Werkschema'!Q75,"")</f>
        <v/>
      </c>
      <c r="Q45" s="571">
        <f>IF('Aanpassen Werkschema'!R75&gt;0,'Aanpassen Werkschema'!R75,"")</f>
        <v/>
      </c>
      <c r="R45" s="571">
        <f>IF('Aanpassen Werkschema'!S75&gt;0,'Aanpassen Werkschema'!S75,"")</f>
        <v/>
      </c>
      <c r="S45" s="569">
        <f>IF('Aanpassen Werkschema'!T75="x","",IF('Aanpassen Werkschema'!N75="v","x",IF(E45="","",IF(E45="x","x"))))</f>
        <v/>
      </c>
      <c r="T45" s="569">
        <f>IF('Aanpassen Werkschema'!U75="x","",IF('Aanpassen Werkschema'!O75="v","x",IF(F45="","",IF(F45="x","x"))))</f>
        <v/>
      </c>
      <c r="U45" s="569">
        <f>IF('Aanpassen Werkschema'!V75="x","",IF('Aanpassen Werkschema'!P75="v","x",IF(G45="","",IF(G45="x","x"))))</f>
        <v/>
      </c>
      <c r="V45" s="569">
        <f>IF('Aanpassen Werkschema'!W75="x","",IF('Aanpassen Werkschema'!Q75="v","x",IF(H45="","",IF(H45="x","x"))))</f>
        <v/>
      </c>
      <c r="W45" s="569">
        <f>IF('Aanpassen Werkschema'!X75="x","",IF('Aanpassen Werkschema'!R75="v","x",IF(I45="","",IF(I45="x","x"))))</f>
        <v/>
      </c>
      <c r="X45" s="569">
        <f>IF('Aanpassen Werkschema'!Y75="x","",IF('Aanpassen Werkschema'!S75="v","x",IF(J45="","",IF(J45="x","x"))))</f>
        <v/>
      </c>
      <c r="Y45" s="569">
        <f>IF('Aanpassen Werkschema'!Z75="x","",IF('Aanpassen Werkschema'!T75="v","x",IF(K45="","",IF(K45="x","x"))))</f>
        <v/>
      </c>
      <c r="Z45" s="850">
        <f>Z44+0.0000000001</f>
        <v/>
      </c>
      <c r="AA45" s="851">
        <f>IFERROR(IF(C45="",1.1,IF(S45="",1,IF($C45=1,VLOOKUP($B45,'Werkschema - Rekening'!$B$2:$C$46,2,FALSE),IF($C45=2,Instellingen!C$16,IF($C45=3,Instellingen!D$16,IF($C45=4,L45))))+$D45)+$Z45),1.1)</f>
        <v/>
      </c>
      <c r="AB45" s="852">
        <f>IF($B45="","",IFERROR(VLOOKUP($B45,'Werkschema - Rekening'!$B$2:$P$46,3,FALSE),""))</f>
        <v/>
      </c>
      <c r="AC45" s="851">
        <f>IFERROR(IF(C45="",1.1,IF(T45="",1,IF($C45=1,VLOOKUP($B45,'Werkschema - Rekening'!$B$2:$E$46,4,FALSE),IF($C45=2,Instellingen!E$16,IF($C45=3,Instellingen!F$16,IF($C45=4,M45))))+$D45)+$Z45),1.1)</f>
        <v/>
      </c>
      <c r="AD45" s="852">
        <f>IF($B45="","",IFERROR(VLOOKUP($B45,'Werkschema - Rekening'!$B$2:$P$46,5,FALSE),""))</f>
        <v/>
      </c>
      <c r="AE45" s="851">
        <f>IFERROR(IF(C45="",1.1,IF(U45="",1,IF($C45=1,VLOOKUP($B45,'Werkschema - Rekening'!$B$2:$G$46,6,FALSE),IF($C45=2,Instellingen!G$16,IF($C45=3,Instellingen!H$16,IF($C45=4,N45))))+$D45)+$Z45),1.1)</f>
        <v/>
      </c>
      <c r="AF45" s="852">
        <f>IF($B45="","",IFERROR(VLOOKUP($B45,'Werkschema - Rekening'!$B$2:$P$46,7,FALSE),""))</f>
        <v/>
      </c>
      <c r="AG45" s="851">
        <f>IFERROR(IF(C45="",1.1,IF(V45="",1,IF($C45=1,VLOOKUP($B45,'Werkschema - Rekening'!$B$2:$I$46,8,FALSE),IF($C45=2,Instellingen!I$16,IF($C45=3,Instellingen!J$16,IF($C45=4,O45))))+$D45)+$Z45),1.1)</f>
        <v/>
      </c>
      <c r="AH45" s="852">
        <f>IF($B45="","",IFERROR(VLOOKUP($B45,'Werkschema - Rekening'!$B$2:$P$46,9,FALSE),""))</f>
        <v/>
      </c>
      <c r="AI45" s="851">
        <f>IFERROR(IF(C45="",1.1,IF(W45="",1,IF($C45=1,VLOOKUP($B45,'Werkschema - Rekening'!$B$2:$K$46,10,FALSE),IF($C45=2,Instellingen!K$16,IF($C45=3,Instellingen!L$16,IF($C45=4,P45))))+$D45)+$Z45),1.1)</f>
        <v/>
      </c>
      <c r="AJ45" s="852">
        <f>IF($B45="","",IFERROR(VLOOKUP($B45,'Werkschema - Rekening'!$B$2:$P$46,11,FALSE),""))</f>
        <v/>
      </c>
      <c r="AK45" s="851">
        <f>IFERROR(IF(C45="",1.1,IF(X45="",1,IF($C45=1,VLOOKUP($B45,'Werkschema - Rekening'!$B$2:$M$46,12,FALSE),IF($C45=2,Instellingen!M$16,IF($C45=3,Instellingen!N$16,IF($C45=4,Q45))))+$D45)+$Z45),1.1)</f>
        <v/>
      </c>
      <c r="AL45" s="852">
        <f>IF($B45="","",IFERROR(VLOOKUP($B45,'Werkschema - Rekening'!$B$2:$P$46,13,FALSE),""))</f>
        <v/>
      </c>
      <c r="AM45" s="851">
        <f>IFERROR(IF(C45="",1.1,IF(Y45="",1,IF($C45=1,VLOOKUP($B45,'Werkschema - Rekening'!$B$2:$O$46,14,FALSE),IF($C45=2,Instellingen!O$16,IF($C45=3,Instellingen!P$16,IF($C45=4,R45))))+$D45)+$Z45),1.1)</f>
        <v/>
      </c>
      <c r="AN45" s="852">
        <f>IF($B45="","",IFERROR(VLOOKUP($B45,'Werkschema - Rekening'!$B$2:$P$46,15,FALSE),""))</f>
        <v/>
      </c>
      <c r="AO45" s="852">
        <f>A45</f>
        <v/>
      </c>
      <c r="AP45" s="852">
        <f>B45</f>
        <v/>
      </c>
    </row>
    <row r="46" ht="12.6" customHeight="1">
      <c r="A46" s="830">
        <f>'Aanpassen Werkschema'!B76</f>
        <v/>
      </c>
      <c r="B46" s="569">
        <f>'Aanpassen Werkschema'!C76</f>
        <v/>
      </c>
      <c r="C46" s="569">
        <f>IF('Aanpassen Werkschema'!D76="geplande taak",1,IF('Aanpassen Werkschema'!D76="openingstijd",2,IF('Aanpassen Werkschema'!D76="sluitingstijd",3,IF('Aanpassen Werkschema'!D76="vaste tijd",4,""))))</f>
        <v/>
      </c>
      <c r="D46" s="849">
        <f>'Aanpassen Werkschema'!E76</f>
        <v/>
      </c>
      <c r="E46" s="569">
        <f>IF('Aanpassen Werkschema'!F76="v","x","")</f>
        <v/>
      </c>
      <c r="F46" s="569">
        <f>IF('Aanpassen Werkschema'!G76="v","x","")</f>
        <v/>
      </c>
      <c r="G46" s="569">
        <f>IF('Aanpassen Werkschema'!H76="v","x","")</f>
        <v/>
      </c>
      <c r="H46" s="569">
        <f>IF('Aanpassen Werkschema'!I76="v","x","")</f>
        <v/>
      </c>
      <c r="I46" s="569">
        <f>IF('Aanpassen Werkschema'!J76="v","x","")</f>
        <v/>
      </c>
      <c r="J46" s="569">
        <f>IF('Aanpassen Werkschema'!K76="v","x","")</f>
        <v/>
      </c>
      <c r="K46" s="569">
        <f>IF('Aanpassen Werkschema'!L76="v","x","")</f>
        <v/>
      </c>
      <c r="L46" s="571">
        <f>IF('Aanpassen Werkschema'!M76&gt;0,'Aanpassen Werkschema'!M76,"")</f>
        <v/>
      </c>
      <c r="M46" s="571">
        <f>IF('Aanpassen Werkschema'!N76&gt;0,'Aanpassen Werkschema'!N76,"")</f>
        <v/>
      </c>
      <c r="N46" s="571">
        <f>IF('Aanpassen Werkschema'!O76&gt;0,'Aanpassen Werkschema'!O76,"")</f>
        <v/>
      </c>
      <c r="O46" s="571">
        <f>IF('Aanpassen Werkschema'!P76&gt;0,'Aanpassen Werkschema'!P76,"")</f>
        <v/>
      </c>
      <c r="P46" s="571">
        <f>IF('Aanpassen Werkschema'!Q76&gt;0,'Aanpassen Werkschema'!Q76,"")</f>
        <v/>
      </c>
      <c r="Q46" s="571">
        <f>IF('Aanpassen Werkschema'!R76&gt;0,'Aanpassen Werkschema'!R76,"")</f>
        <v/>
      </c>
      <c r="R46" s="571">
        <f>IF('Aanpassen Werkschema'!S76&gt;0,'Aanpassen Werkschema'!S76,"")</f>
        <v/>
      </c>
      <c r="S46" s="569">
        <f>IF('Aanpassen Werkschema'!T76="x","",IF('Aanpassen Werkschema'!N76="v","x",IF(E46="","",IF(E46="x","x"))))</f>
        <v/>
      </c>
      <c r="T46" s="569">
        <f>IF('Aanpassen Werkschema'!U76="x","",IF('Aanpassen Werkschema'!O76="v","x",IF(F46="","",IF(F46="x","x"))))</f>
        <v/>
      </c>
      <c r="U46" s="569">
        <f>IF('Aanpassen Werkschema'!V76="x","",IF('Aanpassen Werkschema'!P76="v","x",IF(G46="","",IF(G46="x","x"))))</f>
        <v/>
      </c>
      <c r="V46" s="569">
        <f>IF('Aanpassen Werkschema'!W76="x","",IF('Aanpassen Werkschema'!Q76="v","x",IF(H46="","",IF(H46="x","x"))))</f>
        <v/>
      </c>
      <c r="W46" s="569">
        <f>IF('Aanpassen Werkschema'!X76="x","",IF('Aanpassen Werkschema'!R76="v","x",IF(I46="","",IF(I46="x","x"))))</f>
        <v/>
      </c>
      <c r="X46" s="569">
        <f>IF('Aanpassen Werkschema'!Y76="x","",IF('Aanpassen Werkschema'!S76="v","x",IF(J46="","",IF(J46="x","x"))))</f>
        <v/>
      </c>
      <c r="Y46" s="569">
        <f>IF('Aanpassen Werkschema'!Z76="x","",IF('Aanpassen Werkschema'!T76="v","x",IF(K46="","",IF(K46="x","x"))))</f>
        <v/>
      </c>
      <c r="Z46" s="850">
        <f>Z45+0.0000000001</f>
        <v/>
      </c>
      <c r="AA46" s="851">
        <f>IFERROR(IF(C46="",1.1,IF(S46="",1,IF($C46=1,VLOOKUP($B46,'Werkschema - Rekening'!$B$2:$C$46,2,FALSE),IF($C46=2,Instellingen!C$16,IF($C46=3,Instellingen!D$16,IF($C46=4,L46))))+$D46)+$Z46),1.1)</f>
        <v/>
      </c>
      <c r="AB46" s="852">
        <f>IF($B46="","",IFERROR(VLOOKUP($B46,'Werkschema - Rekening'!$B$2:$P$46,3,FALSE),""))</f>
        <v/>
      </c>
      <c r="AC46" s="851">
        <f>IFERROR(IF(C46="",1.1,IF(T46="",1,IF($C46=1,VLOOKUP($B46,'Werkschema - Rekening'!$B$2:$E$46,4,FALSE),IF($C46=2,Instellingen!E$16,IF($C46=3,Instellingen!F$16,IF($C46=4,M46))))+$D46)+$Z46),1.1)</f>
        <v/>
      </c>
      <c r="AD46" s="852">
        <f>IF($B46="","",IFERROR(VLOOKUP($B46,'Werkschema - Rekening'!$B$2:$P$46,5,FALSE),""))</f>
        <v/>
      </c>
      <c r="AE46" s="851">
        <f>IFERROR(IF(C46="",1.1,IF(U46="",1,IF($C46=1,VLOOKUP($B46,'Werkschema - Rekening'!$B$2:$G$46,6,FALSE),IF($C46=2,Instellingen!G$16,IF($C46=3,Instellingen!H$16,IF($C46=4,N46))))+$D46)+$Z46),1.1)</f>
        <v/>
      </c>
      <c r="AF46" s="852">
        <f>IF($B46="","",IFERROR(VLOOKUP($B46,'Werkschema - Rekening'!$B$2:$P$46,7,FALSE),""))</f>
        <v/>
      </c>
      <c r="AG46" s="851">
        <f>IFERROR(IF(C46="",1.1,IF(V46="",1,IF($C46=1,VLOOKUP($B46,'Werkschema - Rekening'!$B$2:$I$46,8,FALSE),IF($C46=2,Instellingen!I$16,IF($C46=3,Instellingen!J$16,IF($C46=4,O46))))+$D46)+$Z46),1.1)</f>
        <v/>
      </c>
      <c r="AH46" s="852">
        <f>IF($B46="","",IFERROR(VLOOKUP($B46,'Werkschema - Rekening'!$B$2:$P$46,9,FALSE),""))</f>
        <v/>
      </c>
      <c r="AI46" s="851">
        <f>IFERROR(IF(C46="",1.1,IF(W46="",1,IF($C46=1,VLOOKUP($B46,'Werkschema - Rekening'!$B$2:$K$46,10,FALSE),IF($C46=2,Instellingen!K$16,IF($C46=3,Instellingen!L$16,IF($C46=4,P46))))+$D46)+$Z46),1.1)</f>
        <v/>
      </c>
      <c r="AJ46" s="852">
        <f>IF($B46="","",IFERROR(VLOOKUP($B46,'Werkschema - Rekening'!$B$2:$P$46,11,FALSE),""))</f>
        <v/>
      </c>
      <c r="AK46" s="851">
        <f>IFERROR(IF(C46="",1.1,IF(X46="",1,IF($C46=1,VLOOKUP($B46,'Werkschema - Rekening'!$B$2:$M$46,12,FALSE),IF($C46=2,Instellingen!M$16,IF($C46=3,Instellingen!N$16,IF($C46=4,Q46))))+$D46)+$Z46),1.1)</f>
        <v/>
      </c>
      <c r="AL46" s="852">
        <f>IF($B46="","",IFERROR(VLOOKUP($B46,'Werkschema - Rekening'!$B$2:$P$46,13,FALSE),""))</f>
        <v/>
      </c>
      <c r="AM46" s="851">
        <f>IFERROR(IF(C46="",1.1,IF(Y46="",1,IF($C46=1,VLOOKUP($B46,'Werkschema - Rekening'!$B$2:$O$46,14,FALSE),IF($C46=2,Instellingen!O$16,IF($C46=3,Instellingen!P$16,IF($C46=4,R46))))+$D46)+$Z46),1.1)</f>
        <v/>
      </c>
      <c r="AN46" s="852">
        <f>IF($B46="","",IFERROR(VLOOKUP($B46,'Werkschema - Rekening'!$B$2:$P$46,15,FALSE),""))</f>
        <v/>
      </c>
      <c r="AO46" s="852">
        <f>A46</f>
        <v/>
      </c>
      <c r="AP46" s="852">
        <f>B46</f>
        <v/>
      </c>
    </row>
    <row r="47" ht="12.6" customHeight="1">
      <c r="A47" s="830">
        <f>'Aanpassen Werkschema'!B77</f>
        <v/>
      </c>
      <c r="B47" s="569">
        <f>'Aanpassen Werkschema'!C77</f>
        <v/>
      </c>
      <c r="C47" s="569">
        <f>IF('Aanpassen Werkschema'!D77="geplande taak",1,IF('Aanpassen Werkschema'!D77="openingstijd",2,IF('Aanpassen Werkschema'!D77="sluitingstijd",3,IF('Aanpassen Werkschema'!D77="vaste tijd",4,""))))</f>
        <v/>
      </c>
      <c r="D47" s="849">
        <f>'Aanpassen Werkschema'!E77</f>
        <v/>
      </c>
      <c r="E47" s="569">
        <f>IF('Aanpassen Werkschema'!F77="v","x","")</f>
        <v/>
      </c>
      <c r="F47" s="569">
        <f>IF('Aanpassen Werkschema'!G77="v","x","")</f>
        <v/>
      </c>
      <c r="G47" s="569">
        <f>IF('Aanpassen Werkschema'!H77="v","x","")</f>
        <v/>
      </c>
      <c r="H47" s="569">
        <f>IF('Aanpassen Werkschema'!I77="v","x","")</f>
        <v/>
      </c>
      <c r="I47" s="569">
        <f>IF('Aanpassen Werkschema'!J77="v","x","")</f>
        <v/>
      </c>
      <c r="J47" s="569">
        <f>IF('Aanpassen Werkschema'!K77="v","x","")</f>
        <v/>
      </c>
      <c r="K47" s="569">
        <f>IF('Aanpassen Werkschema'!L77="v","x","")</f>
        <v/>
      </c>
      <c r="L47" s="571">
        <f>IF('Aanpassen Werkschema'!M77&gt;0,'Aanpassen Werkschema'!M77,"")</f>
        <v/>
      </c>
      <c r="M47" s="571">
        <f>IF('Aanpassen Werkschema'!N77&gt;0,'Aanpassen Werkschema'!N77,"")</f>
        <v/>
      </c>
      <c r="N47" s="571">
        <f>IF('Aanpassen Werkschema'!O77&gt;0,'Aanpassen Werkschema'!O77,"")</f>
        <v/>
      </c>
      <c r="O47" s="571">
        <f>IF('Aanpassen Werkschema'!P77&gt;0,'Aanpassen Werkschema'!P77,"")</f>
        <v/>
      </c>
      <c r="P47" s="571">
        <f>IF('Aanpassen Werkschema'!Q77&gt;0,'Aanpassen Werkschema'!Q77,"")</f>
        <v/>
      </c>
      <c r="Q47" s="571">
        <f>IF('Aanpassen Werkschema'!R77&gt;0,'Aanpassen Werkschema'!R77,"")</f>
        <v/>
      </c>
      <c r="R47" s="571">
        <f>IF('Aanpassen Werkschema'!S77&gt;0,'Aanpassen Werkschema'!S77,"")</f>
        <v/>
      </c>
      <c r="S47" s="569">
        <f>IF('Aanpassen Werkschema'!T77="x","",IF('Aanpassen Werkschema'!N77="v","x",IF(E47="","",IF(E47="x","x"))))</f>
        <v/>
      </c>
      <c r="T47" s="569">
        <f>IF('Aanpassen Werkschema'!U77="x","",IF('Aanpassen Werkschema'!O77="v","x",IF(F47="","",IF(F47="x","x"))))</f>
        <v/>
      </c>
      <c r="U47" s="569">
        <f>IF('Aanpassen Werkschema'!V77="x","",IF('Aanpassen Werkschema'!P77="v","x",IF(G47="","",IF(G47="x","x"))))</f>
        <v/>
      </c>
      <c r="V47" s="569">
        <f>IF('Aanpassen Werkschema'!W77="x","",IF('Aanpassen Werkschema'!Q77="v","x",IF(H47="","",IF(H47="x","x"))))</f>
        <v/>
      </c>
      <c r="W47" s="569">
        <f>IF('Aanpassen Werkschema'!X77="x","",IF('Aanpassen Werkschema'!R77="v","x",IF(I47="","",IF(I47="x","x"))))</f>
        <v/>
      </c>
      <c r="X47" s="569">
        <f>IF('Aanpassen Werkschema'!Y77="x","",IF('Aanpassen Werkschema'!S77="v","x",IF(J47="","",IF(J47="x","x"))))</f>
        <v/>
      </c>
      <c r="Y47" s="569">
        <f>IF('Aanpassen Werkschema'!Z77="x","",IF('Aanpassen Werkschema'!T77="v","x",IF(K47="","",IF(K47="x","x"))))</f>
        <v/>
      </c>
      <c r="Z47" s="850">
        <f>Z46+0.0000000001</f>
        <v/>
      </c>
      <c r="AA47" s="851">
        <f>IFERROR(IF(C47="",1.1,IF(S47="",1,IF($C47=1,VLOOKUP($B47,'Werkschema - Rekening'!$B$2:$C$46,2,FALSE),IF($C47=2,Instellingen!C$16,IF($C47=3,Instellingen!D$16,IF($C47=4,L47))))+$D47)+$Z47),1.1)</f>
        <v/>
      </c>
      <c r="AB47" s="852">
        <f>IF($B47="","",IFERROR(VLOOKUP($B47,'Werkschema - Rekening'!$B$2:$P$46,3,FALSE),""))</f>
        <v/>
      </c>
      <c r="AC47" s="851">
        <f>IFERROR(IF(C47="",1.1,IF(T47="",1,IF($C47=1,VLOOKUP($B47,'Werkschema - Rekening'!$B$2:$E$46,4,FALSE),IF($C47=2,Instellingen!E$16,IF($C47=3,Instellingen!F$16,IF($C47=4,M47))))+$D47)+$Z47),1.1)</f>
        <v/>
      </c>
      <c r="AD47" s="852">
        <f>IF($B47="","",IFERROR(VLOOKUP($B47,'Werkschema - Rekening'!$B$2:$P$46,5,FALSE),""))</f>
        <v/>
      </c>
      <c r="AE47" s="851">
        <f>IFERROR(IF(C47="",1.1,IF(U47="",1,IF($C47=1,VLOOKUP($B47,'Werkschema - Rekening'!$B$2:$G$46,6,FALSE),IF($C47=2,Instellingen!G$16,IF($C47=3,Instellingen!H$16,IF($C47=4,N47))))+$D47)+$Z47),1.1)</f>
        <v/>
      </c>
      <c r="AF47" s="852">
        <f>IF($B47="","",IFERROR(VLOOKUP($B47,'Werkschema - Rekening'!$B$2:$P$46,7,FALSE),""))</f>
        <v/>
      </c>
      <c r="AG47" s="851">
        <f>IFERROR(IF(C47="",1.1,IF(V47="",1,IF($C47=1,VLOOKUP($B47,'Werkschema - Rekening'!$B$2:$I$46,8,FALSE),IF($C47=2,Instellingen!I$16,IF($C47=3,Instellingen!J$16,IF($C47=4,O47))))+$D47)+$Z47),1.1)</f>
        <v/>
      </c>
      <c r="AH47" s="852">
        <f>IF($B47="","",IFERROR(VLOOKUP($B47,'Werkschema - Rekening'!$B$2:$P$46,9,FALSE),""))</f>
        <v/>
      </c>
      <c r="AI47" s="851">
        <f>IFERROR(IF(C47="",1.1,IF(W47="",1,IF($C47=1,VLOOKUP($B47,'Werkschema - Rekening'!$B$2:$K$46,10,FALSE),IF($C47=2,Instellingen!K$16,IF($C47=3,Instellingen!L$16,IF($C47=4,P47))))+$D47)+$Z47),1.1)</f>
        <v/>
      </c>
      <c r="AJ47" s="852">
        <f>IF($B47="","",IFERROR(VLOOKUP($B47,'Werkschema - Rekening'!$B$2:$P$46,11,FALSE),""))</f>
        <v/>
      </c>
      <c r="AK47" s="851">
        <f>IFERROR(IF(C47="",1.1,IF(X47="",1,IF($C47=1,VLOOKUP($B47,'Werkschema - Rekening'!$B$2:$M$46,12,FALSE),IF($C47=2,Instellingen!M$16,IF($C47=3,Instellingen!N$16,IF($C47=4,Q47))))+$D47)+$Z47),1.1)</f>
        <v/>
      </c>
      <c r="AL47" s="852">
        <f>IF($B47="","",IFERROR(VLOOKUP($B47,'Werkschema - Rekening'!$B$2:$P$46,13,FALSE),""))</f>
        <v/>
      </c>
      <c r="AM47" s="851">
        <f>IFERROR(IF(C47="",1.1,IF(Y47="",1,IF($C47=1,VLOOKUP($B47,'Werkschema - Rekening'!$B$2:$O$46,14,FALSE),IF($C47=2,Instellingen!O$16,IF($C47=3,Instellingen!P$16,IF($C47=4,R47))))+$D47)+$Z47),1.1)</f>
        <v/>
      </c>
      <c r="AN47" s="852">
        <f>IF($B47="","",IFERROR(VLOOKUP($B47,'Werkschema - Rekening'!$B$2:$P$46,15,FALSE),""))</f>
        <v/>
      </c>
      <c r="AO47" s="852">
        <f>A47</f>
        <v/>
      </c>
      <c r="AP47" s="852">
        <f>B47</f>
        <v/>
      </c>
    </row>
    <row r="48" ht="12.6" customHeight="1">
      <c r="A48" s="830">
        <f>'Aanpassen Werkschema'!B78</f>
        <v/>
      </c>
      <c r="B48" s="569">
        <f>'Aanpassen Werkschema'!C78</f>
        <v/>
      </c>
      <c r="C48" s="569">
        <f>IF('Aanpassen Werkschema'!D78="geplande taak",1,IF('Aanpassen Werkschema'!D78="openingstijd",2,IF('Aanpassen Werkschema'!D78="sluitingstijd",3,IF('Aanpassen Werkschema'!D78="vaste tijd",4,""))))</f>
        <v/>
      </c>
      <c r="D48" s="849">
        <f>'Aanpassen Werkschema'!E78</f>
        <v/>
      </c>
      <c r="E48" s="569">
        <f>IF('Aanpassen Werkschema'!F78="v","x","")</f>
        <v/>
      </c>
      <c r="F48" s="569">
        <f>IF('Aanpassen Werkschema'!G78="v","x","")</f>
        <v/>
      </c>
      <c r="G48" s="569">
        <f>IF('Aanpassen Werkschema'!H78="v","x","")</f>
        <v/>
      </c>
      <c r="H48" s="569">
        <f>IF('Aanpassen Werkschema'!I78="v","x","")</f>
        <v/>
      </c>
      <c r="I48" s="569">
        <f>IF('Aanpassen Werkschema'!J78="v","x","")</f>
        <v/>
      </c>
      <c r="J48" s="569">
        <f>IF('Aanpassen Werkschema'!K78="v","x","")</f>
        <v/>
      </c>
      <c r="K48" s="569">
        <f>IF('Aanpassen Werkschema'!L78="v","x","")</f>
        <v/>
      </c>
      <c r="L48" s="571">
        <f>IF('Aanpassen Werkschema'!M78&gt;0,'Aanpassen Werkschema'!M78,"")</f>
        <v/>
      </c>
      <c r="M48" s="571">
        <f>IF('Aanpassen Werkschema'!N78&gt;0,'Aanpassen Werkschema'!N78,"")</f>
        <v/>
      </c>
      <c r="N48" s="571">
        <f>IF('Aanpassen Werkschema'!O78&gt;0,'Aanpassen Werkschema'!O78,"")</f>
        <v/>
      </c>
      <c r="O48" s="571">
        <f>IF('Aanpassen Werkschema'!P78&gt;0,'Aanpassen Werkschema'!P78,"")</f>
        <v/>
      </c>
      <c r="P48" s="571">
        <f>IF('Aanpassen Werkschema'!Q78&gt;0,'Aanpassen Werkschema'!Q78,"")</f>
        <v/>
      </c>
      <c r="Q48" s="571">
        <f>IF('Aanpassen Werkschema'!R78&gt;0,'Aanpassen Werkschema'!R78,"")</f>
        <v/>
      </c>
      <c r="R48" s="571">
        <f>IF('Aanpassen Werkschema'!S78&gt;0,'Aanpassen Werkschema'!S78,"")</f>
        <v/>
      </c>
      <c r="S48" s="569">
        <f>IF('Aanpassen Werkschema'!T78="x","",IF('Aanpassen Werkschema'!N78="v","x",IF(E48="","",IF(E48="x","x"))))</f>
        <v/>
      </c>
      <c r="T48" s="569">
        <f>IF('Aanpassen Werkschema'!U78="x","",IF('Aanpassen Werkschema'!O78="v","x",IF(F48="","",IF(F48="x","x"))))</f>
        <v/>
      </c>
      <c r="U48" s="569">
        <f>IF('Aanpassen Werkschema'!V78="x","",IF('Aanpassen Werkschema'!P78="v","x",IF(G48="","",IF(G48="x","x"))))</f>
        <v/>
      </c>
      <c r="V48" s="569">
        <f>IF('Aanpassen Werkschema'!W78="x","",IF('Aanpassen Werkschema'!Q78="v","x",IF(H48="","",IF(H48="x","x"))))</f>
        <v/>
      </c>
      <c r="W48" s="569">
        <f>IF('Aanpassen Werkschema'!X78="x","",IF('Aanpassen Werkschema'!R78="v","x",IF(I48="","",IF(I48="x","x"))))</f>
        <v/>
      </c>
      <c r="X48" s="569">
        <f>IF('Aanpassen Werkschema'!Y78="x","",IF('Aanpassen Werkschema'!S78="v","x",IF(J48="","",IF(J48="x","x"))))</f>
        <v/>
      </c>
      <c r="Y48" s="569">
        <f>IF('Aanpassen Werkschema'!Z78="x","",IF('Aanpassen Werkschema'!T78="v","x",IF(K48="","",IF(K48="x","x"))))</f>
        <v/>
      </c>
      <c r="Z48" s="850">
        <f>Z47+0.0000000001</f>
        <v/>
      </c>
      <c r="AA48" s="851">
        <f>IFERROR(IF(C48="",1.1,IF(S48="",1,IF($C48=1,VLOOKUP($B48,'Werkschema - Rekening'!$B$2:$C$46,2,FALSE),IF($C48=2,Instellingen!C$16,IF($C48=3,Instellingen!D$16,IF($C48=4,L48))))+$D48)+$Z48),1.1)</f>
        <v/>
      </c>
      <c r="AB48" s="852">
        <f>IF($B48="","",IFERROR(VLOOKUP($B48,'Werkschema - Rekening'!$B$2:$P$46,3,FALSE),""))</f>
        <v/>
      </c>
      <c r="AC48" s="851">
        <f>IFERROR(IF(C48="",1.1,IF(T48="",1,IF($C48=1,VLOOKUP($B48,'Werkschema - Rekening'!$B$2:$E$46,4,FALSE),IF($C48=2,Instellingen!E$16,IF($C48=3,Instellingen!F$16,IF($C48=4,M48))))+$D48)+$Z48),1.1)</f>
        <v/>
      </c>
      <c r="AD48" s="852">
        <f>IF($B48="","",IFERROR(VLOOKUP($B48,'Werkschema - Rekening'!$B$2:$P$46,5,FALSE),""))</f>
        <v/>
      </c>
      <c r="AE48" s="851">
        <f>IFERROR(IF(C48="",1.1,IF(U48="",1,IF($C48=1,VLOOKUP($B48,'Werkschema - Rekening'!$B$2:$G$46,6,FALSE),IF($C48=2,Instellingen!G$16,IF($C48=3,Instellingen!H$16,IF($C48=4,N48))))+$D48)+$Z48),1.1)</f>
        <v/>
      </c>
      <c r="AF48" s="852">
        <f>IF($B48="","",IFERROR(VLOOKUP($B48,'Werkschema - Rekening'!$B$2:$P$46,7,FALSE),""))</f>
        <v/>
      </c>
      <c r="AG48" s="851">
        <f>IFERROR(IF(C48="",1.1,IF(V48="",1,IF($C48=1,VLOOKUP($B48,'Werkschema - Rekening'!$B$2:$I$46,8,FALSE),IF($C48=2,Instellingen!I$16,IF($C48=3,Instellingen!J$16,IF($C48=4,O48))))+$D48)+$Z48),1.1)</f>
        <v/>
      </c>
      <c r="AH48" s="852">
        <f>IF($B48="","",IFERROR(VLOOKUP($B48,'Werkschema - Rekening'!$B$2:$P$46,9,FALSE),""))</f>
        <v/>
      </c>
      <c r="AI48" s="851">
        <f>IFERROR(IF(C48="",1.1,IF(W48="",1,IF($C48=1,VLOOKUP($B48,'Werkschema - Rekening'!$B$2:$K$46,10,FALSE),IF($C48=2,Instellingen!K$16,IF($C48=3,Instellingen!L$16,IF($C48=4,P48))))+$D48)+$Z48),1.1)</f>
        <v/>
      </c>
      <c r="AJ48" s="852">
        <f>IF($B48="","",IFERROR(VLOOKUP($B48,'Werkschema - Rekening'!$B$2:$P$46,11,FALSE),""))</f>
        <v/>
      </c>
      <c r="AK48" s="851">
        <f>IFERROR(IF(C48="",1.1,IF(X48="",1,IF($C48=1,VLOOKUP($B48,'Werkschema - Rekening'!$B$2:$M$46,12,FALSE),IF($C48=2,Instellingen!M$16,IF($C48=3,Instellingen!N$16,IF($C48=4,Q48))))+$D48)+$Z48),1.1)</f>
        <v/>
      </c>
      <c r="AL48" s="852">
        <f>IF($B48="","",IFERROR(VLOOKUP($B48,'Werkschema - Rekening'!$B$2:$P$46,13,FALSE),""))</f>
        <v/>
      </c>
      <c r="AM48" s="851">
        <f>IFERROR(IF(C48="",1.1,IF(Y48="",1,IF($C48=1,VLOOKUP($B48,'Werkschema - Rekening'!$B$2:$O$46,14,FALSE),IF($C48=2,Instellingen!O$16,IF($C48=3,Instellingen!P$16,IF($C48=4,R48))))+$D48)+$Z48),1.1)</f>
        <v/>
      </c>
      <c r="AN48" s="852">
        <f>IF($B48="","",IFERROR(VLOOKUP($B48,'Werkschema - Rekening'!$B$2:$P$46,15,FALSE),""))</f>
        <v/>
      </c>
      <c r="AO48" s="852">
        <f>A48</f>
        <v/>
      </c>
      <c r="AP48" s="852">
        <f>B48</f>
        <v/>
      </c>
    </row>
    <row r="49" ht="12.6" customHeight="1">
      <c r="A49" s="830">
        <f>'Aanpassen Werkschema'!B79</f>
        <v/>
      </c>
      <c r="B49" s="569">
        <f>'Aanpassen Werkschema'!C79</f>
        <v/>
      </c>
      <c r="C49" s="569">
        <f>IF('Aanpassen Werkschema'!D79="geplande taak",1,IF('Aanpassen Werkschema'!D79="openingstijd",2,IF('Aanpassen Werkschema'!D79="sluitingstijd",3,IF('Aanpassen Werkschema'!D79="vaste tijd",4,""))))</f>
        <v/>
      </c>
      <c r="D49" s="849">
        <f>'Aanpassen Werkschema'!E79</f>
        <v/>
      </c>
      <c r="E49" s="569">
        <f>IF('Aanpassen Werkschema'!F79="v","x","")</f>
        <v/>
      </c>
      <c r="F49" s="569">
        <f>IF('Aanpassen Werkschema'!G79="v","x","")</f>
        <v/>
      </c>
      <c r="G49" s="569">
        <f>IF('Aanpassen Werkschema'!H79="v","x","")</f>
        <v/>
      </c>
      <c r="H49" s="569">
        <f>IF('Aanpassen Werkschema'!I79="v","x","")</f>
        <v/>
      </c>
      <c r="I49" s="569">
        <f>IF('Aanpassen Werkschema'!J79="v","x","")</f>
        <v/>
      </c>
      <c r="J49" s="569">
        <f>IF('Aanpassen Werkschema'!K79="v","x","")</f>
        <v/>
      </c>
      <c r="K49" s="569">
        <f>IF('Aanpassen Werkschema'!L79="v","x","")</f>
        <v/>
      </c>
      <c r="L49" s="571">
        <f>IF('Aanpassen Werkschema'!M79&gt;0,'Aanpassen Werkschema'!M79,"")</f>
        <v/>
      </c>
      <c r="M49" s="571">
        <f>IF('Aanpassen Werkschema'!N79&gt;0,'Aanpassen Werkschema'!N79,"")</f>
        <v/>
      </c>
      <c r="N49" s="571">
        <f>IF('Aanpassen Werkschema'!O79&gt;0,'Aanpassen Werkschema'!O79,"")</f>
        <v/>
      </c>
      <c r="O49" s="571">
        <f>IF('Aanpassen Werkschema'!P79&gt;0,'Aanpassen Werkschema'!P79,"")</f>
        <v/>
      </c>
      <c r="P49" s="571">
        <f>IF('Aanpassen Werkschema'!Q79&gt;0,'Aanpassen Werkschema'!Q79,"")</f>
        <v/>
      </c>
      <c r="Q49" s="571">
        <f>IF('Aanpassen Werkschema'!R79&gt;0,'Aanpassen Werkschema'!R79,"")</f>
        <v/>
      </c>
      <c r="R49" s="571">
        <f>IF('Aanpassen Werkschema'!S79&gt;0,'Aanpassen Werkschema'!S79,"")</f>
        <v/>
      </c>
      <c r="S49" s="569">
        <f>IF('Aanpassen Werkschema'!T79="x","",IF('Aanpassen Werkschema'!N79="v","x",IF(E49="","",IF(E49="x","x"))))</f>
        <v/>
      </c>
      <c r="T49" s="569">
        <f>IF('Aanpassen Werkschema'!U79="x","",IF('Aanpassen Werkschema'!O79="v","x",IF(F49="","",IF(F49="x","x"))))</f>
        <v/>
      </c>
      <c r="U49" s="569">
        <f>IF('Aanpassen Werkschema'!V79="x","",IF('Aanpassen Werkschema'!P79="v","x",IF(G49="","",IF(G49="x","x"))))</f>
        <v/>
      </c>
      <c r="V49" s="569">
        <f>IF('Aanpassen Werkschema'!W79="x","",IF('Aanpassen Werkschema'!Q79="v","x",IF(H49="","",IF(H49="x","x"))))</f>
        <v/>
      </c>
      <c r="W49" s="569">
        <f>IF('Aanpassen Werkschema'!X79="x","",IF('Aanpassen Werkschema'!R79="v","x",IF(I49="","",IF(I49="x","x"))))</f>
        <v/>
      </c>
      <c r="X49" s="569">
        <f>IF('Aanpassen Werkschema'!Y79="x","",IF('Aanpassen Werkschema'!S79="v","x",IF(J49="","",IF(J49="x","x"))))</f>
        <v/>
      </c>
      <c r="Y49" s="569">
        <f>IF('Aanpassen Werkschema'!Z79="x","",IF('Aanpassen Werkschema'!T79="v","x",IF(K49="","",IF(K49="x","x"))))</f>
        <v/>
      </c>
      <c r="Z49" s="850">
        <f>Z48+0.0000000001</f>
        <v/>
      </c>
      <c r="AA49" s="851">
        <f>IFERROR(IF(C49="",1.1,IF(S49="",1,IF($C49=1,VLOOKUP($B49,'Werkschema - Rekening'!$B$2:$C$46,2,FALSE),IF($C49=2,Instellingen!C$16,IF($C49=3,Instellingen!D$16,IF($C49=4,L49))))+$D49)+$Z49),1.1)</f>
        <v/>
      </c>
      <c r="AB49" s="852">
        <f>IF($B49="","",IFERROR(VLOOKUP($B49,'Werkschema - Rekening'!$B$2:$P$46,3,FALSE),""))</f>
        <v/>
      </c>
      <c r="AC49" s="851">
        <f>IFERROR(IF(C49="",1.1,IF(T49="",1,IF($C49=1,VLOOKUP($B49,'Werkschema - Rekening'!$B$2:$E$46,4,FALSE),IF($C49=2,Instellingen!E$16,IF($C49=3,Instellingen!F$16,IF($C49=4,M49))))+$D49)+$Z49),1.1)</f>
        <v/>
      </c>
      <c r="AD49" s="852">
        <f>IF($B49="","",IFERROR(VLOOKUP($B49,'Werkschema - Rekening'!$B$2:$P$46,5,FALSE),""))</f>
        <v/>
      </c>
      <c r="AE49" s="851">
        <f>IFERROR(IF(C49="",1.1,IF(U49="",1,IF($C49=1,VLOOKUP($B49,'Werkschema - Rekening'!$B$2:$G$46,6,FALSE),IF($C49=2,Instellingen!G$16,IF($C49=3,Instellingen!H$16,IF($C49=4,N49))))+$D49)+$Z49),1.1)</f>
        <v/>
      </c>
      <c r="AF49" s="852">
        <f>IF($B49="","",IFERROR(VLOOKUP($B49,'Werkschema - Rekening'!$B$2:$P$46,7,FALSE),""))</f>
        <v/>
      </c>
      <c r="AG49" s="851">
        <f>IFERROR(IF(C49="",1.1,IF(V49="",1,IF($C49=1,VLOOKUP($B49,'Werkschema - Rekening'!$B$2:$I$46,8,FALSE),IF($C49=2,Instellingen!I$16,IF($C49=3,Instellingen!J$16,IF($C49=4,O49))))+$D49)+$Z49),1.1)</f>
        <v/>
      </c>
      <c r="AH49" s="852">
        <f>IF($B49="","",IFERROR(VLOOKUP($B49,'Werkschema - Rekening'!$B$2:$P$46,9,FALSE),""))</f>
        <v/>
      </c>
      <c r="AI49" s="851">
        <f>IFERROR(IF(C49="",1.1,IF(W49="",1,IF($C49=1,VLOOKUP($B49,'Werkschema - Rekening'!$B$2:$K$46,10,FALSE),IF($C49=2,Instellingen!K$16,IF($C49=3,Instellingen!L$16,IF($C49=4,P49))))+$D49)+$Z49),1.1)</f>
        <v/>
      </c>
      <c r="AJ49" s="852">
        <f>IF($B49="","",IFERROR(VLOOKUP($B49,'Werkschema - Rekening'!$B$2:$P$46,11,FALSE),""))</f>
        <v/>
      </c>
      <c r="AK49" s="851">
        <f>IFERROR(IF(C49="",1.1,IF(X49="",1,IF($C49=1,VLOOKUP($B49,'Werkschema - Rekening'!$B$2:$M$46,12,FALSE),IF($C49=2,Instellingen!M$16,IF($C49=3,Instellingen!N$16,IF($C49=4,Q49))))+$D49)+$Z49),1.1)</f>
        <v/>
      </c>
      <c r="AL49" s="852">
        <f>IF($B49="","",IFERROR(VLOOKUP($B49,'Werkschema - Rekening'!$B$2:$P$46,13,FALSE),""))</f>
        <v/>
      </c>
      <c r="AM49" s="851">
        <f>IFERROR(IF(C49="",1.1,IF(Y49="",1,IF($C49=1,VLOOKUP($B49,'Werkschema - Rekening'!$B$2:$O$46,14,FALSE),IF($C49=2,Instellingen!O$16,IF($C49=3,Instellingen!P$16,IF($C49=4,R49))))+$D49)+$Z49),1.1)</f>
        <v/>
      </c>
      <c r="AN49" s="852">
        <f>IF($B49="","",IFERROR(VLOOKUP($B49,'Werkschema - Rekening'!$B$2:$P$46,15,FALSE),""))</f>
        <v/>
      </c>
      <c r="AO49" s="852">
        <f>A49</f>
        <v/>
      </c>
      <c r="AP49" s="852">
        <f>B49</f>
        <v/>
      </c>
    </row>
    <row r="50" ht="12.6" customHeight="1">
      <c r="A50" s="830">
        <f>'Aanpassen Werkschema'!B80</f>
        <v/>
      </c>
      <c r="B50" s="569">
        <f>'Aanpassen Werkschema'!C80</f>
        <v/>
      </c>
      <c r="C50" s="569">
        <f>IF('Aanpassen Werkschema'!D80="geplande taak",1,IF('Aanpassen Werkschema'!D80="openingstijd",2,IF('Aanpassen Werkschema'!D80="sluitingstijd",3,IF('Aanpassen Werkschema'!D80="vaste tijd",4,""))))</f>
        <v/>
      </c>
      <c r="D50" s="849">
        <f>'Aanpassen Werkschema'!E80</f>
        <v/>
      </c>
      <c r="E50" s="569">
        <f>IF('Aanpassen Werkschema'!F80="v","x","")</f>
        <v/>
      </c>
      <c r="F50" s="569">
        <f>IF('Aanpassen Werkschema'!G80="v","x","")</f>
        <v/>
      </c>
      <c r="G50" s="569">
        <f>IF('Aanpassen Werkschema'!H80="v","x","")</f>
        <v/>
      </c>
      <c r="H50" s="569">
        <f>IF('Aanpassen Werkschema'!I80="v","x","")</f>
        <v/>
      </c>
      <c r="I50" s="569">
        <f>IF('Aanpassen Werkschema'!J80="v","x","")</f>
        <v/>
      </c>
      <c r="J50" s="569">
        <f>IF('Aanpassen Werkschema'!K80="v","x","")</f>
        <v/>
      </c>
      <c r="K50" s="569">
        <f>IF('Aanpassen Werkschema'!L80="v","x","")</f>
        <v/>
      </c>
      <c r="L50" s="571">
        <f>IF('Aanpassen Werkschema'!M80&gt;0,'Aanpassen Werkschema'!M80,"")</f>
        <v/>
      </c>
      <c r="M50" s="571">
        <f>IF('Aanpassen Werkschema'!N80&gt;0,'Aanpassen Werkschema'!N80,"")</f>
        <v/>
      </c>
      <c r="N50" s="571">
        <f>IF('Aanpassen Werkschema'!O80&gt;0,'Aanpassen Werkschema'!O80,"")</f>
        <v/>
      </c>
      <c r="O50" s="571">
        <f>IF('Aanpassen Werkschema'!P80&gt;0,'Aanpassen Werkschema'!P80,"")</f>
        <v/>
      </c>
      <c r="P50" s="571">
        <f>IF('Aanpassen Werkschema'!Q80&gt;0,'Aanpassen Werkschema'!Q80,"")</f>
        <v/>
      </c>
      <c r="Q50" s="571">
        <f>IF('Aanpassen Werkschema'!R80&gt;0,'Aanpassen Werkschema'!R80,"")</f>
        <v/>
      </c>
      <c r="R50" s="571">
        <f>IF('Aanpassen Werkschema'!S80&gt;0,'Aanpassen Werkschema'!S80,"")</f>
        <v/>
      </c>
      <c r="S50" s="569">
        <f>IF('Aanpassen Werkschema'!T80="x","",IF('Aanpassen Werkschema'!N80="v","x",IF(E50="","",IF(E50="x","x"))))</f>
        <v/>
      </c>
      <c r="T50" s="569">
        <f>IF('Aanpassen Werkschema'!U80="x","",IF('Aanpassen Werkschema'!O80="v","x",IF(F50="","",IF(F50="x","x"))))</f>
        <v/>
      </c>
      <c r="U50" s="569">
        <f>IF('Aanpassen Werkschema'!V80="x","",IF('Aanpassen Werkschema'!P80="v","x",IF(G50="","",IF(G50="x","x"))))</f>
        <v/>
      </c>
      <c r="V50" s="569">
        <f>IF('Aanpassen Werkschema'!W80="x","",IF('Aanpassen Werkschema'!Q80="v","x",IF(H50="","",IF(H50="x","x"))))</f>
        <v/>
      </c>
      <c r="W50" s="569">
        <f>IF('Aanpassen Werkschema'!X80="x","",IF('Aanpassen Werkschema'!R80="v","x",IF(I50="","",IF(I50="x","x"))))</f>
        <v/>
      </c>
      <c r="X50" s="569">
        <f>IF('Aanpassen Werkschema'!Y80="x","",IF('Aanpassen Werkschema'!S80="v","x",IF(J50="","",IF(J50="x","x"))))</f>
        <v/>
      </c>
      <c r="Y50" s="569">
        <f>IF('Aanpassen Werkschema'!Z80="x","",IF('Aanpassen Werkschema'!T80="v","x",IF(K50="","",IF(K50="x","x"))))</f>
        <v/>
      </c>
      <c r="Z50" s="850">
        <f>Z49+0.0000000001</f>
        <v/>
      </c>
      <c r="AA50" s="851">
        <f>IFERROR(IF(C50="",1.1,IF(S50="",1,IF($C50=1,VLOOKUP($B50,'Werkschema - Rekening'!$B$2:$C$46,2,FALSE),IF($C50=2,Instellingen!C$16,IF($C50=3,Instellingen!D$16,IF($C50=4,L50))))+$D50)+$Z50),1.1)</f>
        <v/>
      </c>
      <c r="AB50" s="852">
        <f>IF($B50="","",IFERROR(VLOOKUP($B50,'Werkschema - Rekening'!$B$2:$P$46,3,FALSE),""))</f>
        <v/>
      </c>
      <c r="AC50" s="851">
        <f>IFERROR(IF(C50="",1.1,IF(T50="",1,IF($C50=1,VLOOKUP($B50,'Werkschema - Rekening'!$B$2:$E$46,4,FALSE),IF($C50=2,Instellingen!E$16,IF($C50=3,Instellingen!F$16,IF($C50=4,M50))))+$D50)+$Z50),1.1)</f>
        <v/>
      </c>
      <c r="AD50" s="852">
        <f>IF($B50="","",IFERROR(VLOOKUP($B50,'Werkschema - Rekening'!$B$2:$P$46,5,FALSE),""))</f>
        <v/>
      </c>
      <c r="AE50" s="851">
        <f>IFERROR(IF(C50="",1.1,IF(U50="",1,IF($C50=1,VLOOKUP($B50,'Werkschema - Rekening'!$B$2:$G$46,6,FALSE),IF($C50=2,Instellingen!G$16,IF($C50=3,Instellingen!H$16,IF($C50=4,N50))))+$D50)+$Z50),1.1)</f>
        <v/>
      </c>
      <c r="AF50" s="852">
        <f>IF($B50="","",IFERROR(VLOOKUP($B50,'Werkschema - Rekening'!$B$2:$P$46,7,FALSE),""))</f>
        <v/>
      </c>
      <c r="AG50" s="851">
        <f>IFERROR(IF(C50="",1.1,IF(V50="",1,IF($C50=1,VLOOKUP($B50,'Werkschema - Rekening'!$B$2:$I$46,8,FALSE),IF($C50=2,Instellingen!I$16,IF($C50=3,Instellingen!J$16,IF($C50=4,O50))))+$D50)+$Z50),1.1)</f>
        <v/>
      </c>
      <c r="AH50" s="852">
        <f>IF($B50="","",IFERROR(VLOOKUP($B50,'Werkschema - Rekening'!$B$2:$P$46,9,FALSE),""))</f>
        <v/>
      </c>
      <c r="AI50" s="851">
        <f>IFERROR(IF(C50="",1.1,IF(W50="",1,IF($C50=1,VLOOKUP($B50,'Werkschema - Rekening'!$B$2:$K$46,10,FALSE),IF($C50=2,Instellingen!K$16,IF($C50=3,Instellingen!L$16,IF($C50=4,P50))))+$D50)+$Z50),1.1)</f>
        <v/>
      </c>
      <c r="AJ50" s="852">
        <f>IF($B50="","",IFERROR(VLOOKUP($B50,'Werkschema - Rekening'!$B$2:$P$46,11,FALSE),""))</f>
        <v/>
      </c>
      <c r="AK50" s="851">
        <f>IFERROR(IF(C50="",1.1,IF(X50="",1,IF($C50=1,VLOOKUP($B50,'Werkschema - Rekening'!$B$2:$M$46,12,FALSE),IF($C50=2,Instellingen!M$16,IF($C50=3,Instellingen!N$16,IF($C50=4,Q50))))+$D50)+$Z50),1.1)</f>
        <v/>
      </c>
      <c r="AL50" s="852">
        <f>IF($B50="","",IFERROR(VLOOKUP($B50,'Werkschema - Rekening'!$B$2:$P$46,13,FALSE),""))</f>
        <v/>
      </c>
      <c r="AM50" s="851">
        <f>IFERROR(IF(C50="",1.1,IF(Y50="",1,IF($C50=1,VLOOKUP($B50,'Werkschema - Rekening'!$B$2:$O$46,14,FALSE),IF($C50=2,Instellingen!O$16,IF($C50=3,Instellingen!P$16,IF($C50=4,R50))))+$D50)+$Z50),1.1)</f>
        <v/>
      </c>
      <c r="AN50" s="852">
        <f>IF($B50="","",IFERROR(VLOOKUP($B50,'Werkschema - Rekening'!$B$2:$P$46,15,FALSE),""))</f>
        <v/>
      </c>
      <c r="AO50" s="852">
        <f>A50</f>
        <v/>
      </c>
      <c r="AP50" s="852">
        <f>B50</f>
        <v/>
      </c>
    </row>
    <row r="51" ht="12.6" customHeight="1">
      <c r="A51" s="830">
        <f>'Aanpassen Werkschema'!B81</f>
        <v/>
      </c>
      <c r="B51" s="569">
        <f>'Aanpassen Werkschema'!C81</f>
        <v/>
      </c>
      <c r="C51" s="569">
        <f>IF('Aanpassen Werkschema'!D81="geplande taak",1,IF('Aanpassen Werkschema'!D81="openingstijd",2,IF('Aanpassen Werkschema'!D81="sluitingstijd",3,IF('Aanpassen Werkschema'!D81="vaste tijd",4,""))))</f>
        <v/>
      </c>
      <c r="D51" s="849">
        <f>'Aanpassen Werkschema'!E81</f>
        <v/>
      </c>
      <c r="E51" s="569">
        <f>IF('Aanpassen Werkschema'!F81="v","x","")</f>
        <v/>
      </c>
      <c r="F51" s="569">
        <f>IF('Aanpassen Werkschema'!G81="v","x","")</f>
        <v/>
      </c>
      <c r="G51" s="569">
        <f>IF('Aanpassen Werkschema'!H81="v","x","")</f>
        <v/>
      </c>
      <c r="H51" s="569">
        <f>IF('Aanpassen Werkschema'!I81="v","x","")</f>
        <v/>
      </c>
      <c r="I51" s="569">
        <f>IF('Aanpassen Werkschema'!J81="v","x","")</f>
        <v/>
      </c>
      <c r="J51" s="569">
        <f>IF('Aanpassen Werkschema'!K81="v","x","")</f>
        <v/>
      </c>
      <c r="K51" s="569">
        <f>IF('Aanpassen Werkschema'!L81="v","x","")</f>
        <v/>
      </c>
      <c r="L51" s="571">
        <f>IF('Aanpassen Werkschema'!M81&gt;0,'Aanpassen Werkschema'!M81,"")</f>
        <v/>
      </c>
      <c r="M51" s="571">
        <f>IF('Aanpassen Werkschema'!N81&gt;0,'Aanpassen Werkschema'!N81,"")</f>
        <v/>
      </c>
      <c r="N51" s="571">
        <f>IF('Aanpassen Werkschema'!O81&gt;0,'Aanpassen Werkschema'!O81,"")</f>
        <v/>
      </c>
      <c r="O51" s="571">
        <f>IF('Aanpassen Werkschema'!P81&gt;0,'Aanpassen Werkschema'!P81,"")</f>
        <v/>
      </c>
      <c r="P51" s="571">
        <f>IF('Aanpassen Werkschema'!Q81&gt;0,'Aanpassen Werkschema'!Q81,"")</f>
        <v/>
      </c>
      <c r="Q51" s="571">
        <f>IF('Aanpassen Werkschema'!R81&gt;0,'Aanpassen Werkschema'!R81,"")</f>
        <v/>
      </c>
      <c r="R51" s="571">
        <f>IF('Aanpassen Werkschema'!S81&gt;0,'Aanpassen Werkschema'!S81,"")</f>
        <v/>
      </c>
      <c r="S51" s="569">
        <f>IF('Aanpassen Werkschema'!T81="x","",IF('Aanpassen Werkschema'!N81="v","x",IF(E51="","",IF(E51="x","x"))))</f>
        <v/>
      </c>
      <c r="T51" s="569">
        <f>IF('Aanpassen Werkschema'!U81="x","",IF('Aanpassen Werkschema'!O81="v","x",IF(F51="","",IF(F51="x","x"))))</f>
        <v/>
      </c>
      <c r="U51" s="569">
        <f>IF('Aanpassen Werkschema'!V81="x","",IF('Aanpassen Werkschema'!P81="v","x",IF(G51="","",IF(G51="x","x"))))</f>
        <v/>
      </c>
      <c r="V51" s="569">
        <f>IF('Aanpassen Werkschema'!W81="x","",IF('Aanpassen Werkschema'!Q81="v","x",IF(H51="","",IF(H51="x","x"))))</f>
        <v/>
      </c>
      <c r="W51" s="569">
        <f>IF('Aanpassen Werkschema'!X81="x","",IF('Aanpassen Werkschema'!R81="v","x",IF(I51="","",IF(I51="x","x"))))</f>
        <v/>
      </c>
      <c r="X51" s="569">
        <f>IF('Aanpassen Werkschema'!Y81="x","",IF('Aanpassen Werkschema'!S81="v","x",IF(J51="","",IF(J51="x","x"))))</f>
        <v/>
      </c>
      <c r="Y51" s="569">
        <f>IF('Aanpassen Werkschema'!Z81="x","",IF('Aanpassen Werkschema'!T81="v","x",IF(K51="","",IF(K51="x","x"))))</f>
        <v/>
      </c>
      <c r="Z51" s="850">
        <f>Z50+0.0000000001</f>
        <v/>
      </c>
      <c r="AA51" s="851">
        <f>IFERROR(IF(C51="",1.1,IF(S51="",1,IF($C51=1,VLOOKUP($B51,'Werkschema - Rekening'!$B$2:$C$46,2,FALSE),IF($C51=2,Instellingen!C$16,IF($C51=3,Instellingen!D$16,IF($C51=4,L51))))+$D51)+$Z51),1.1)</f>
        <v/>
      </c>
      <c r="AB51" s="852">
        <f>IF($B51="","",IFERROR(VLOOKUP($B51,'Werkschema - Rekening'!$B$2:$P$46,3,FALSE),""))</f>
        <v/>
      </c>
      <c r="AC51" s="851">
        <f>IFERROR(IF(C51="",1.1,IF(T51="",1,IF($C51=1,VLOOKUP($B51,'Werkschema - Rekening'!$B$2:$E$46,4,FALSE),IF($C51=2,Instellingen!E$16,IF($C51=3,Instellingen!F$16,IF($C51=4,M51))))+$D51)+$Z51),1.1)</f>
        <v/>
      </c>
      <c r="AD51" s="852">
        <f>IF($B51="","",IFERROR(VLOOKUP($B51,'Werkschema - Rekening'!$B$2:$P$46,5,FALSE),""))</f>
        <v/>
      </c>
      <c r="AE51" s="851">
        <f>IFERROR(IF(C51="",1.1,IF(U51="",1,IF($C51=1,VLOOKUP($B51,'Werkschema - Rekening'!$B$2:$G$46,6,FALSE),IF($C51=2,Instellingen!G$16,IF($C51=3,Instellingen!H$16,IF($C51=4,N51))))+$D51)+$Z51),1.1)</f>
        <v/>
      </c>
      <c r="AF51" s="852">
        <f>IF($B51="","",IFERROR(VLOOKUP($B51,'Werkschema - Rekening'!$B$2:$P$46,7,FALSE),""))</f>
        <v/>
      </c>
      <c r="AG51" s="851">
        <f>IFERROR(IF(C51="",1.1,IF(V51="",1,IF($C51=1,VLOOKUP($B51,'Werkschema - Rekening'!$B$2:$I$46,8,FALSE),IF($C51=2,Instellingen!I$16,IF($C51=3,Instellingen!J$16,IF($C51=4,O51))))+$D51)+$Z51),1.1)</f>
        <v/>
      </c>
      <c r="AH51" s="852">
        <f>IF($B51="","",IFERROR(VLOOKUP($B51,'Werkschema - Rekening'!$B$2:$P$46,9,FALSE),""))</f>
        <v/>
      </c>
      <c r="AI51" s="851">
        <f>IFERROR(IF(C51="",1.1,IF(W51="",1,IF($C51=1,VLOOKUP($B51,'Werkschema - Rekening'!$B$2:$K$46,10,FALSE),IF($C51=2,Instellingen!K$16,IF($C51=3,Instellingen!L$16,IF($C51=4,P51))))+$D51)+$Z51),1.1)</f>
        <v/>
      </c>
      <c r="AJ51" s="852">
        <f>IF($B51="","",IFERROR(VLOOKUP($B51,'Werkschema - Rekening'!$B$2:$P$46,11,FALSE),""))</f>
        <v/>
      </c>
      <c r="AK51" s="851">
        <f>IFERROR(IF(C51="",1.1,IF(X51="",1,IF($C51=1,VLOOKUP($B51,'Werkschema - Rekening'!$B$2:$M$46,12,FALSE),IF($C51=2,Instellingen!M$16,IF($C51=3,Instellingen!N$16,IF($C51=4,Q51))))+$D51)+$Z51),1.1)</f>
        <v/>
      </c>
      <c r="AL51" s="852">
        <f>IF($B51="","",IFERROR(VLOOKUP($B51,'Werkschema - Rekening'!$B$2:$P$46,13,FALSE),""))</f>
        <v/>
      </c>
      <c r="AM51" s="851">
        <f>IFERROR(IF(C51="",1.1,IF(Y51="",1,IF($C51=1,VLOOKUP($B51,'Werkschema - Rekening'!$B$2:$O$46,14,FALSE),IF($C51=2,Instellingen!O$16,IF($C51=3,Instellingen!P$16,IF($C51=4,R51))))+$D51)+$Z51),1.1)</f>
        <v/>
      </c>
      <c r="AN51" s="852">
        <f>IF($B51="","",IFERROR(VLOOKUP($B51,'Werkschema - Rekening'!$B$2:$P$46,15,FALSE),""))</f>
        <v/>
      </c>
      <c r="AO51" s="852">
        <f>A51</f>
        <v/>
      </c>
      <c r="AP51" s="852">
        <f>B51</f>
        <v/>
      </c>
    </row>
    <row r="52" ht="12.6" customHeight="1">
      <c r="A52" s="830">
        <f>'Aanpassen Werkschema'!B82</f>
        <v/>
      </c>
      <c r="B52" s="569">
        <f>'Aanpassen Werkschema'!C82</f>
        <v/>
      </c>
      <c r="C52" s="569">
        <f>IF('Aanpassen Werkschema'!D82="geplande taak",1,IF('Aanpassen Werkschema'!D82="openingstijd",2,IF('Aanpassen Werkschema'!D82="sluitingstijd",3,IF('Aanpassen Werkschema'!D82="vaste tijd",4,""))))</f>
        <v/>
      </c>
      <c r="D52" s="849">
        <f>'Aanpassen Werkschema'!E82</f>
        <v/>
      </c>
      <c r="E52" s="569">
        <f>IF('Aanpassen Werkschema'!F82="v","x","")</f>
        <v/>
      </c>
      <c r="F52" s="569">
        <f>IF('Aanpassen Werkschema'!G82="v","x","")</f>
        <v/>
      </c>
      <c r="G52" s="569">
        <f>IF('Aanpassen Werkschema'!H82="v","x","")</f>
        <v/>
      </c>
      <c r="H52" s="569">
        <f>IF('Aanpassen Werkschema'!I82="v","x","")</f>
        <v/>
      </c>
      <c r="I52" s="569">
        <f>IF('Aanpassen Werkschema'!J82="v","x","")</f>
        <v/>
      </c>
      <c r="J52" s="569">
        <f>IF('Aanpassen Werkschema'!K82="v","x","")</f>
        <v/>
      </c>
      <c r="K52" s="569">
        <f>IF('Aanpassen Werkschema'!L82="v","x","")</f>
        <v/>
      </c>
      <c r="L52" s="571">
        <f>IF('Aanpassen Werkschema'!M82&gt;0,'Aanpassen Werkschema'!M82,"")</f>
        <v/>
      </c>
      <c r="M52" s="571">
        <f>IF('Aanpassen Werkschema'!N82&gt;0,'Aanpassen Werkschema'!N82,"")</f>
        <v/>
      </c>
      <c r="N52" s="571">
        <f>IF('Aanpassen Werkschema'!O82&gt;0,'Aanpassen Werkschema'!O82,"")</f>
        <v/>
      </c>
      <c r="O52" s="571">
        <f>IF('Aanpassen Werkschema'!P82&gt;0,'Aanpassen Werkschema'!P82,"")</f>
        <v/>
      </c>
      <c r="P52" s="571">
        <f>IF('Aanpassen Werkschema'!Q82&gt;0,'Aanpassen Werkschema'!Q82,"")</f>
        <v/>
      </c>
      <c r="Q52" s="571">
        <f>IF('Aanpassen Werkschema'!R82&gt;0,'Aanpassen Werkschema'!R82,"")</f>
        <v/>
      </c>
      <c r="R52" s="571">
        <f>IF('Aanpassen Werkschema'!S82&gt;0,'Aanpassen Werkschema'!S82,"")</f>
        <v/>
      </c>
      <c r="S52" s="569">
        <f>IF('Aanpassen Werkschema'!T82="x","",IF('Aanpassen Werkschema'!N82="v","x",IF(E52="","",IF(E52="x","x"))))</f>
        <v/>
      </c>
      <c r="T52" s="569">
        <f>IF('Aanpassen Werkschema'!U82="x","",IF('Aanpassen Werkschema'!O82="v","x",IF(F52="","",IF(F52="x","x"))))</f>
        <v/>
      </c>
      <c r="U52" s="569">
        <f>IF('Aanpassen Werkschema'!V82="x","",IF('Aanpassen Werkschema'!P82="v","x",IF(G52="","",IF(G52="x","x"))))</f>
        <v/>
      </c>
      <c r="V52" s="569">
        <f>IF('Aanpassen Werkschema'!W82="x","",IF('Aanpassen Werkschema'!Q82="v","x",IF(H52="","",IF(H52="x","x"))))</f>
        <v/>
      </c>
      <c r="W52" s="569">
        <f>IF('Aanpassen Werkschema'!X82="x","",IF('Aanpassen Werkschema'!R82="v","x",IF(I52="","",IF(I52="x","x"))))</f>
        <v/>
      </c>
      <c r="X52" s="569">
        <f>IF('Aanpassen Werkschema'!Y82="x","",IF('Aanpassen Werkschema'!S82="v","x",IF(J52="","",IF(J52="x","x"))))</f>
        <v/>
      </c>
      <c r="Y52" s="569">
        <f>IF('Aanpassen Werkschema'!Z82="x","",IF('Aanpassen Werkschema'!T82="v","x",IF(K52="","",IF(K52="x","x"))))</f>
        <v/>
      </c>
      <c r="Z52" s="850">
        <f>Z51+0.0000000001</f>
        <v/>
      </c>
      <c r="AA52" s="851">
        <f>IFERROR(IF(C52="",1.1,IF(S52="",1,IF($C52=1,VLOOKUP($B52,'Werkschema - Rekening'!$B$2:$C$46,2,FALSE),IF($C52=2,Instellingen!C$16,IF($C52=3,Instellingen!D$16,IF($C52=4,L52))))+$D52)+$Z52),1.1)</f>
        <v/>
      </c>
      <c r="AB52" s="852">
        <f>IF($B52="","",IFERROR(VLOOKUP($B52,'Werkschema - Rekening'!$B$2:$P$46,3,FALSE),""))</f>
        <v/>
      </c>
      <c r="AC52" s="851">
        <f>IFERROR(IF(C52="",1.1,IF(T52="",1,IF($C52=1,VLOOKUP($B52,'Werkschema - Rekening'!$B$2:$E$46,4,FALSE),IF($C52=2,Instellingen!E$16,IF($C52=3,Instellingen!F$16,IF($C52=4,M52))))+$D52)+$Z52),1.1)</f>
        <v/>
      </c>
      <c r="AD52" s="852">
        <f>IF($B52="","",IFERROR(VLOOKUP($B52,'Werkschema - Rekening'!$B$2:$P$46,5,FALSE),""))</f>
        <v/>
      </c>
      <c r="AE52" s="851">
        <f>IFERROR(IF(C52="",1.1,IF(U52="",1,IF($C52=1,VLOOKUP($B52,'Werkschema - Rekening'!$B$2:$G$46,6,FALSE),IF($C52=2,Instellingen!G$16,IF($C52=3,Instellingen!H$16,IF($C52=4,N52))))+$D52)+$Z52),1.1)</f>
        <v/>
      </c>
      <c r="AF52" s="852">
        <f>IF($B52="","",IFERROR(VLOOKUP($B52,'Werkschema - Rekening'!$B$2:$P$46,7,FALSE),""))</f>
        <v/>
      </c>
      <c r="AG52" s="851">
        <f>IFERROR(IF(C52="",1.1,IF(V52="",1,IF($C52=1,VLOOKUP($B52,'Werkschema - Rekening'!$B$2:$I$46,8,FALSE),IF($C52=2,Instellingen!I$16,IF($C52=3,Instellingen!J$16,IF($C52=4,O52))))+$D52)+$Z52),1.1)</f>
        <v/>
      </c>
      <c r="AH52" s="852">
        <f>IF($B52="","",IFERROR(VLOOKUP($B52,'Werkschema - Rekening'!$B$2:$P$46,9,FALSE),""))</f>
        <v/>
      </c>
      <c r="AI52" s="851">
        <f>IFERROR(IF(C52="",1.1,IF(W52="",1,IF($C52=1,VLOOKUP($B52,'Werkschema - Rekening'!$B$2:$K$46,10,FALSE),IF($C52=2,Instellingen!K$16,IF($C52=3,Instellingen!L$16,IF($C52=4,P52))))+$D52)+$Z52),1.1)</f>
        <v/>
      </c>
      <c r="AJ52" s="852">
        <f>IF($B52="","",IFERROR(VLOOKUP($B52,'Werkschema - Rekening'!$B$2:$P$46,11,FALSE),""))</f>
        <v/>
      </c>
      <c r="AK52" s="851">
        <f>IFERROR(IF(C52="",1.1,IF(X52="",1,IF($C52=1,VLOOKUP($B52,'Werkschema - Rekening'!$B$2:$M$46,12,FALSE),IF($C52=2,Instellingen!M$16,IF($C52=3,Instellingen!N$16,IF($C52=4,Q52))))+$D52)+$Z52),1.1)</f>
        <v/>
      </c>
      <c r="AL52" s="852">
        <f>IF($B52="","",IFERROR(VLOOKUP($B52,'Werkschema - Rekening'!$B$2:$P$46,13,FALSE),""))</f>
        <v/>
      </c>
      <c r="AM52" s="851">
        <f>IFERROR(IF(C52="",1.1,IF(Y52="",1,IF($C52=1,VLOOKUP($B52,'Werkschema - Rekening'!$B$2:$O$46,14,FALSE),IF($C52=2,Instellingen!O$16,IF($C52=3,Instellingen!P$16,IF($C52=4,R52))))+$D52)+$Z52),1.1)</f>
        <v/>
      </c>
      <c r="AN52" s="852">
        <f>IF($B52="","",IFERROR(VLOOKUP($B52,'Werkschema - Rekening'!$B$2:$P$46,15,FALSE),""))</f>
        <v/>
      </c>
      <c r="AO52" s="852">
        <f>A52</f>
        <v/>
      </c>
      <c r="AP52" s="852">
        <f>B52</f>
        <v/>
      </c>
    </row>
    <row r="53" ht="12.6" customHeight="1">
      <c r="A53" s="830">
        <f>'Aanpassen Werkschema'!B83</f>
        <v/>
      </c>
      <c r="B53" s="569">
        <f>'Aanpassen Werkschema'!C83</f>
        <v/>
      </c>
      <c r="C53" s="569">
        <f>IF('Aanpassen Werkschema'!D83="geplande taak",1,IF('Aanpassen Werkschema'!D83="openingstijd",2,IF('Aanpassen Werkschema'!D83="sluitingstijd",3,IF('Aanpassen Werkschema'!D83="vaste tijd",4,""))))</f>
        <v/>
      </c>
      <c r="D53" s="849">
        <f>'Aanpassen Werkschema'!E83</f>
        <v/>
      </c>
      <c r="E53" s="569">
        <f>IF('Aanpassen Werkschema'!F83="v","x","")</f>
        <v/>
      </c>
      <c r="F53" s="569">
        <f>IF('Aanpassen Werkschema'!G83="v","x","")</f>
        <v/>
      </c>
      <c r="G53" s="569">
        <f>IF('Aanpassen Werkschema'!H83="v","x","")</f>
        <v/>
      </c>
      <c r="H53" s="569">
        <f>IF('Aanpassen Werkschema'!I83="v","x","")</f>
        <v/>
      </c>
      <c r="I53" s="569">
        <f>IF('Aanpassen Werkschema'!J83="v","x","")</f>
        <v/>
      </c>
      <c r="J53" s="569">
        <f>IF('Aanpassen Werkschema'!K83="v","x","")</f>
        <v/>
      </c>
      <c r="K53" s="569">
        <f>IF('Aanpassen Werkschema'!L83="v","x","")</f>
        <v/>
      </c>
      <c r="L53" s="571">
        <f>IF('Aanpassen Werkschema'!M83&gt;0,'Aanpassen Werkschema'!M83,"")</f>
        <v/>
      </c>
      <c r="M53" s="571">
        <f>IF('Aanpassen Werkschema'!N83&gt;0,'Aanpassen Werkschema'!N83,"")</f>
        <v/>
      </c>
      <c r="N53" s="571">
        <f>IF('Aanpassen Werkschema'!O83&gt;0,'Aanpassen Werkschema'!O83,"")</f>
        <v/>
      </c>
      <c r="O53" s="571">
        <f>IF('Aanpassen Werkschema'!P83&gt;0,'Aanpassen Werkschema'!P83,"")</f>
        <v/>
      </c>
      <c r="P53" s="571">
        <f>IF('Aanpassen Werkschema'!Q83&gt;0,'Aanpassen Werkschema'!Q83,"")</f>
        <v/>
      </c>
      <c r="Q53" s="571">
        <f>IF('Aanpassen Werkschema'!R83&gt;0,'Aanpassen Werkschema'!R83,"")</f>
        <v/>
      </c>
      <c r="R53" s="571">
        <f>IF('Aanpassen Werkschema'!S83&gt;0,'Aanpassen Werkschema'!S83,"")</f>
        <v/>
      </c>
      <c r="S53" s="569">
        <f>IF('Aanpassen Werkschema'!T83="x","",IF('Aanpassen Werkschema'!N83="v","x",IF(E53="","",IF(E53="x","x"))))</f>
        <v/>
      </c>
      <c r="T53" s="569">
        <f>IF('Aanpassen Werkschema'!U83="x","",IF('Aanpassen Werkschema'!O83="v","x",IF(F53="","",IF(F53="x","x"))))</f>
        <v/>
      </c>
      <c r="U53" s="569">
        <f>IF('Aanpassen Werkschema'!V83="x","",IF('Aanpassen Werkschema'!P83="v","x",IF(G53="","",IF(G53="x","x"))))</f>
        <v/>
      </c>
      <c r="V53" s="569">
        <f>IF('Aanpassen Werkschema'!W83="x","",IF('Aanpassen Werkschema'!Q83="v","x",IF(H53="","",IF(H53="x","x"))))</f>
        <v/>
      </c>
      <c r="W53" s="569">
        <f>IF('Aanpassen Werkschema'!X83="x","",IF('Aanpassen Werkschema'!R83="v","x",IF(I53="","",IF(I53="x","x"))))</f>
        <v/>
      </c>
      <c r="X53" s="569">
        <f>IF('Aanpassen Werkschema'!Y83="x","",IF('Aanpassen Werkschema'!S83="v","x",IF(J53="","",IF(J53="x","x"))))</f>
        <v/>
      </c>
      <c r="Y53" s="569">
        <f>IF('Aanpassen Werkschema'!Z83="x","",IF('Aanpassen Werkschema'!T83="v","x",IF(K53="","",IF(K53="x","x"))))</f>
        <v/>
      </c>
      <c r="Z53" s="850">
        <f>Z52+0.0000000001</f>
        <v/>
      </c>
      <c r="AA53" s="851">
        <f>IFERROR(IF(C53="",1.1,IF(S53="",1,IF($C53=1,VLOOKUP($B53,'Werkschema - Rekening'!$B$2:$C$46,2,FALSE),IF($C53=2,Instellingen!C$16,IF($C53=3,Instellingen!D$16,IF($C53=4,L53))))+$D53)+$Z53),1.1)</f>
        <v/>
      </c>
      <c r="AB53" s="852">
        <f>IF($B53="","",IFERROR(VLOOKUP($B53,'Werkschema - Rekening'!$B$2:$P$46,3,FALSE),""))</f>
        <v/>
      </c>
      <c r="AC53" s="851">
        <f>IFERROR(IF(C53="",1.1,IF(T53="",1,IF($C53=1,VLOOKUP($B53,'Werkschema - Rekening'!$B$2:$E$46,4,FALSE),IF($C53=2,Instellingen!E$16,IF($C53=3,Instellingen!F$16,IF($C53=4,M53))))+$D53)+$Z53),1.1)</f>
        <v/>
      </c>
      <c r="AD53" s="852">
        <f>IF($B53="","",IFERROR(VLOOKUP($B53,'Werkschema - Rekening'!$B$2:$P$46,5,FALSE),""))</f>
        <v/>
      </c>
      <c r="AE53" s="851">
        <f>IFERROR(IF(C53="",1.1,IF(U53="",1,IF($C53=1,VLOOKUP($B53,'Werkschema - Rekening'!$B$2:$G$46,6,FALSE),IF($C53=2,Instellingen!G$16,IF($C53=3,Instellingen!H$16,IF($C53=4,N53))))+$D53)+$Z53),1.1)</f>
        <v/>
      </c>
      <c r="AF53" s="852">
        <f>IF($B53="","",IFERROR(VLOOKUP($B53,'Werkschema - Rekening'!$B$2:$P$46,7,FALSE),""))</f>
        <v/>
      </c>
      <c r="AG53" s="851">
        <f>IFERROR(IF(C53="",1.1,IF(V53="",1,IF($C53=1,VLOOKUP($B53,'Werkschema - Rekening'!$B$2:$I$46,8,FALSE),IF($C53=2,Instellingen!I$16,IF($C53=3,Instellingen!J$16,IF($C53=4,O53))))+$D53)+$Z53),1.1)</f>
        <v/>
      </c>
      <c r="AH53" s="852">
        <f>IF($B53="","",IFERROR(VLOOKUP($B53,'Werkschema - Rekening'!$B$2:$P$46,9,FALSE),""))</f>
        <v/>
      </c>
      <c r="AI53" s="851">
        <f>IFERROR(IF(C53="",1.1,IF(W53="",1,IF($C53=1,VLOOKUP($B53,'Werkschema - Rekening'!$B$2:$K$46,10,FALSE),IF($C53=2,Instellingen!K$16,IF($C53=3,Instellingen!L$16,IF($C53=4,P53))))+$D53)+$Z53),1.1)</f>
        <v/>
      </c>
      <c r="AJ53" s="852">
        <f>IF($B53="","",IFERROR(VLOOKUP($B53,'Werkschema - Rekening'!$B$2:$P$46,11,FALSE),""))</f>
        <v/>
      </c>
      <c r="AK53" s="851">
        <f>IFERROR(IF(C53="",1.1,IF(X53="",1,IF($C53=1,VLOOKUP($B53,'Werkschema - Rekening'!$B$2:$M$46,12,FALSE),IF($C53=2,Instellingen!M$16,IF($C53=3,Instellingen!N$16,IF($C53=4,Q53))))+$D53)+$Z53),1.1)</f>
        <v/>
      </c>
      <c r="AL53" s="852">
        <f>IF($B53="","",IFERROR(VLOOKUP($B53,'Werkschema - Rekening'!$B$2:$P$46,13,FALSE),""))</f>
        <v/>
      </c>
      <c r="AM53" s="851">
        <f>IFERROR(IF(C53="",1.1,IF(Y53="",1,IF($C53=1,VLOOKUP($B53,'Werkschema - Rekening'!$B$2:$O$46,14,FALSE),IF($C53=2,Instellingen!O$16,IF($C53=3,Instellingen!P$16,IF($C53=4,R53))))+$D53)+$Z53),1.1)</f>
        <v/>
      </c>
      <c r="AN53" s="852">
        <f>IF($B53="","",IFERROR(VLOOKUP($B53,'Werkschema - Rekening'!$B$2:$P$46,15,FALSE),""))</f>
        <v/>
      </c>
      <c r="AO53" s="852">
        <f>A53</f>
        <v/>
      </c>
      <c r="AP53" s="852">
        <f>B53</f>
        <v/>
      </c>
    </row>
    <row r="54" ht="12.6" customHeight="1">
      <c r="A54" s="830">
        <f>'Aanpassen Werkschema'!B84</f>
        <v/>
      </c>
      <c r="B54" s="569">
        <f>'Aanpassen Werkschema'!C84</f>
        <v/>
      </c>
      <c r="C54" s="569">
        <f>IF('Aanpassen Werkschema'!D84="geplande taak",1,IF('Aanpassen Werkschema'!D84="openingstijd",2,IF('Aanpassen Werkschema'!D84="sluitingstijd",3,IF('Aanpassen Werkschema'!D84="vaste tijd",4,""))))</f>
        <v/>
      </c>
      <c r="D54" s="849">
        <f>'Aanpassen Werkschema'!E84</f>
        <v/>
      </c>
      <c r="E54" s="569">
        <f>IF('Aanpassen Werkschema'!F84="v","x","")</f>
        <v/>
      </c>
      <c r="F54" s="569">
        <f>IF('Aanpassen Werkschema'!G84="v","x","")</f>
        <v/>
      </c>
      <c r="G54" s="569">
        <f>IF('Aanpassen Werkschema'!H84="v","x","")</f>
        <v/>
      </c>
      <c r="H54" s="569">
        <f>IF('Aanpassen Werkschema'!I84="v","x","")</f>
        <v/>
      </c>
      <c r="I54" s="569">
        <f>IF('Aanpassen Werkschema'!J84="v","x","")</f>
        <v/>
      </c>
      <c r="J54" s="569">
        <f>IF('Aanpassen Werkschema'!K84="v","x","")</f>
        <v/>
      </c>
      <c r="K54" s="569">
        <f>IF('Aanpassen Werkschema'!L84="v","x","")</f>
        <v/>
      </c>
      <c r="L54" s="571">
        <f>IF('Aanpassen Werkschema'!M84&gt;0,'Aanpassen Werkschema'!M84,"")</f>
        <v/>
      </c>
      <c r="M54" s="571">
        <f>IF('Aanpassen Werkschema'!N84&gt;0,'Aanpassen Werkschema'!N84,"")</f>
        <v/>
      </c>
      <c r="N54" s="571">
        <f>IF('Aanpassen Werkschema'!O84&gt;0,'Aanpassen Werkschema'!O84,"")</f>
        <v/>
      </c>
      <c r="O54" s="571">
        <f>IF('Aanpassen Werkschema'!P84&gt;0,'Aanpassen Werkschema'!P84,"")</f>
        <v/>
      </c>
      <c r="P54" s="571">
        <f>IF('Aanpassen Werkschema'!Q84&gt;0,'Aanpassen Werkschema'!Q84,"")</f>
        <v/>
      </c>
      <c r="Q54" s="571">
        <f>IF('Aanpassen Werkschema'!R84&gt;0,'Aanpassen Werkschema'!R84,"")</f>
        <v/>
      </c>
      <c r="R54" s="571">
        <f>IF('Aanpassen Werkschema'!S84&gt;0,'Aanpassen Werkschema'!S84,"")</f>
        <v/>
      </c>
      <c r="S54" s="569">
        <f>IF('Aanpassen Werkschema'!T84="x","",IF('Aanpassen Werkschema'!N84="v","x",IF(E54="","",IF(E54="x","x"))))</f>
        <v/>
      </c>
      <c r="T54" s="569">
        <f>IF('Aanpassen Werkschema'!U84="x","",IF('Aanpassen Werkschema'!O84="v","x",IF(F54="","",IF(F54="x","x"))))</f>
        <v/>
      </c>
      <c r="U54" s="569">
        <f>IF('Aanpassen Werkschema'!V84="x","",IF('Aanpassen Werkschema'!P84="v","x",IF(G54="","",IF(G54="x","x"))))</f>
        <v/>
      </c>
      <c r="V54" s="569">
        <f>IF('Aanpassen Werkschema'!W84="x","",IF('Aanpassen Werkschema'!Q84="v","x",IF(H54="","",IF(H54="x","x"))))</f>
        <v/>
      </c>
      <c r="W54" s="569">
        <f>IF('Aanpassen Werkschema'!X84="x","",IF('Aanpassen Werkschema'!R84="v","x",IF(I54="","",IF(I54="x","x"))))</f>
        <v/>
      </c>
      <c r="X54" s="569">
        <f>IF('Aanpassen Werkschema'!Y84="x","",IF('Aanpassen Werkschema'!S84="v","x",IF(J54="","",IF(J54="x","x"))))</f>
        <v/>
      </c>
      <c r="Y54" s="569">
        <f>IF('Aanpassen Werkschema'!Z84="x","",IF('Aanpassen Werkschema'!T84="v","x",IF(K54="","",IF(K54="x","x"))))</f>
        <v/>
      </c>
      <c r="Z54" s="850">
        <f>Z53+0.0000000001</f>
        <v/>
      </c>
      <c r="AA54" s="851">
        <f>IFERROR(IF(C54="",1.1,IF(S54="",1,IF($C54=1,VLOOKUP($B54,'Werkschema - Rekening'!$B$2:$C$46,2,FALSE),IF($C54=2,Instellingen!C$16,IF($C54=3,Instellingen!D$16,IF($C54=4,L54))))+$D54)+$Z54),1.1)</f>
        <v/>
      </c>
      <c r="AB54" s="852">
        <f>IF($B54="","",IFERROR(VLOOKUP($B54,'Werkschema - Rekening'!$B$2:$P$46,3,FALSE),""))</f>
        <v/>
      </c>
      <c r="AC54" s="851">
        <f>IFERROR(IF(C54="",1.1,IF(T54="",1,IF($C54=1,VLOOKUP($B54,'Werkschema - Rekening'!$B$2:$E$46,4,FALSE),IF($C54=2,Instellingen!E$16,IF($C54=3,Instellingen!F$16,IF($C54=4,M54))))+$D54)+$Z54),1.1)</f>
        <v/>
      </c>
      <c r="AD54" s="852">
        <f>IF($B54="","",IFERROR(VLOOKUP($B54,'Werkschema - Rekening'!$B$2:$P$46,5,FALSE),""))</f>
        <v/>
      </c>
      <c r="AE54" s="851">
        <f>IFERROR(IF(C54="",1.1,IF(U54="",1,IF($C54=1,VLOOKUP($B54,'Werkschema - Rekening'!$B$2:$G$46,6,FALSE),IF($C54=2,Instellingen!G$16,IF($C54=3,Instellingen!H$16,IF($C54=4,N54))))+$D54)+$Z54),1.1)</f>
        <v/>
      </c>
      <c r="AF54" s="852">
        <f>IF($B54="","",IFERROR(VLOOKUP($B54,'Werkschema - Rekening'!$B$2:$P$46,7,FALSE),""))</f>
        <v/>
      </c>
      <c r="AG54" s="851">
        <f>IFERROR(IF(C54="",1.1,IF(V54="",1,IF($C54=1,VLOOKUP($B54,'Werkschema - Rekening'!$B$2:$I$46,8,FALSE),IF($C54=2,Instellingen!I$16,IF($C54=3,Instellingen!J$16,IF($C54=4,O54))))+$D54)+$Z54),1.1)</f>
        <v/>
      </c>
      <c r="AH54" s="852">
        <f>IF($B54="","",IFERROR(VLOOKUP($B54,'Werkschema - Rekening'!$B$2:$P$46,9,FALSE),""))</f>
        <v/>
      </c>
      <c r="AI54" s="851">
        <f>IFERROR(IF(C54="",1.1,IF(W54="",1,IF($C54=1,VLOOKUP($B54,'Werkschema - Rekening'!$B$2:$K$46,10,FALSE),IF($C54=2,Instellingen!K$16,IF($C54=3,Instellingen!L$16,IF($C54=4,P54))))+$D54)+$Z54),1.1)</f>
        <v/>
      </c>
      <c r="AJ54" s="852">
        <f>IF($B54="","",IFERROR(VLOOKUP($B54,'Werkschema - Rekening'!$B$2:$P$46,11,FALSE),""))</f>
        <v/>
      </c>
      <c r="AK54" s="851">
        <f>IFERROR(IF(C54="",1.1,IF(X54="",1,IF($C54=1,VLOOKUP($B54,'Werkschema - Rekening'!$B$2:$M$46,12,FALSE),IF($C54=2,Instellingen!M$16,IF($C54=3,Instellingen!N$16,IF($C54=4,Q54))))+$D54)+$Z54),1.1)</f>
        <v/>
      </c>
      <c r="AL54" s="852">
        <f>IF($B54="","",IFERROR(VLOOKUP($B54,'Werkschema - Rekening'!$B$2:$P$46,13,FALSE),""))</f>
        <v/>
      </c>
      <c r="AM54" s="851">
        <f>IFERROR(IF(C54="",1.1,IF(Y54="",1,IF($C54=1,VLOOKUP($B54,'Werkschema - Rekening'!$B$2:$O$46,14,FALSE),IF($C54=2,Instellingen!O$16,IF($C54=3,Instellingen!P$16,IF($C54=4,R54))))+$D54)+$Z54),1.1)</f>
        <v/>
      </c>
      <c r="AN54" s="852">
        <f>IF($B54="","",IFERROR(VLOOKUP($B54,'Werkschema - Rekening'!$B$2:$P$46,15,FALSE),""))</f>
        <v/>
      </c>
      <c r="AO54" s="852">
        <f>A54</f>
        <v/>
      </c>
      <c r="AP54" s="852">
        <f>B54</f>
        <v/>
      </c>
    </row>
    <row r="55" ht="12.6" customHeight="1">
      <c r="A55" s="830">
        <f>'Aanpassen Werkschema'!B85</f>
        <v/>
      </c>
      <c r="B55" s="569">
        <f>'Aanpassen Werkschema'!C85</f>
        <v/>
      </c>
      <c r="C55" s="569">
        <f>IF('Aanpassen Werkschema'!D85="geplande taak",1,IF('Aanpassen Werkschema'!D85="openingstijd",2,IF('Aanpassen Werkschema'!D85="sluitingstijd",3,IF('Aanpassen Werkschema'!D85="vaste tijd",4,""))))</f>
        <v/>
      </c>
      <c r="D55" s="849">
        <f>'Aanpassen Werkschema'!E85</f>
        <v/>
      </c>
      <c r="E55" s="569">
        <f>IF('Aanpassen Werkschema'!F85="v","x","")</f>
        <v/>
      </c>
      <c r="F55" s="569">
        <f>IF('Aanpassen Werkschema'!G85="v","x","")</f>
        <v/>
      </c>
      <c r="G55" s="569">
        <f>IF('Aanpassen Werkschema'!H85="v","x","")</f>
        <v/>
      </c>
      <c r="H55" s="569">
        <f>IF('Aanpassen Werkschema'!I85="v","x","")</f>
        <v/>
      </c>
      <c r="I55" s="569">
        <f>IF('Aanpassen Werkschema'!J85="v","x","")</f>
        <v/>
      </c>
      <c r="J55" s="569">
        <f>IF('Aanpassen Werkschema'!K85="v","x","")</f>
        <v/>
      </c>
      <c r="K55" s="569">
        <f>IF('Aanpassen Werkschema'!L85="v","x","")</f>
        <v/>
      </c>
      <c r="L55" s="571">
        <f>IF('Aanpassen Werkschema'!M85&gt;0,'Aanpassen Werkschema'!M85,"")</f>
        <v/>
      </c>
      <c r="M55" s="571">
        <f>IF('Aanpassen Werkschema'!N85&gt;0,'Aanpassen Werkschema'!N85,"")</f>
        <v/>
      </c>
      <c r="N55" s="571">
        <f>IF('Aanpassen Werkschema'!O85&gt;0,'Aanpassen Werkschema'!O85,"")</f>
        <v/>
      </c>
      <c r="O55" s="571">
        <f>IF('Aanpassen Werkschema'!P85&gt;0,'Aanpassen Werkschema'!P85,"")</f>
        <v/>
      </c>
      <c r="P55" s="571">
        <f>IF('Aanpassen Werkschema'!Q85&gt;0,'Aanpassen Werkschema'!Q85,"")</f>
        <v/>
      </c>
      <c r="Q55" s="571">
        <f>IF('Aanpassen Werkschema'!R85&gt;0,'Aanpassen Werkschema'!R85,"")</f>
        <v/>
      </c>
      <c r="R55" s="571">
        <f>IF('Aanpassen Werkschema'!S85&gt;0,'Aanpassen Werkschema'!S85,"")</f>
        <v/>
      </c>
      <c r="S55" s="569">
        <f>IF('Aanpassen Werkschema'!T85="x","",IF('Aanpassen Werkschema'!N85="v","x",IF(E55="","",IF(E55="x","x"))))</f>
        <v/>
      </c>
      <c r="T55" s="569">
        <f>IF('Aanpassen Werkschema'!U85="x","",IF('Aanpassen Werkschema'!O85="v","x",IF(F55="","",IF(F55="x","x"))))</f>
        <v/>
      </c>
      <c r="U55" s="569">
        <f>IF('Aanpassen Werkschema'!V85="x","",IF('Aanpassen Werkschema'!P85="v","x",IF(G55="","",IF(G55="x","x"))))</f>
        <v/>
      </c>
      <c r="V55" s="569">
        <f>IF('Aanpassen Werkschema'!W85="x","",IF('Aanpassen Werkschema'!Q85="v","x",IF(H55="","",IF(H55="x","x"))))</f>
        <v/>
      </c>
      <c r="W55" s="569">
        <f>IF('Aanpassen Werkschema'!X85="x","",IF('Aanpassen Werkschema'!R85="v","x",IF(I55="","",IF(I55="x","x"))))</f>
        <v/>
      </c>
      <c r="X55" s="569">
        <f>IF('Aanpassen Werkschema'!Y85="x","",IF('Aanpassen Werkschema'!S85="v","x",IF(J55="","",IF(J55="x","x"))))</f>
        <v/>
      </c>
      <c r="Y55" s="569">
        <f>IF('Aanpassen Werkschema'!Z85="x","",IF('Aanpassen Werkschema'!T85="v","x",IF(K55="","",IF(K55="x","x"))))</f>
        <v/>
      </c>
      <c r="Z55" s="850">
        <f>Z54+0.0000000001</f>
        <v/>
      </c>
      <c r="AA55" s="851">
        <f>IFERROR(IF(C55="",1.1,IF(S55="",1,IF($C55=1,VLOOKUP($B55,'Werkschema - Rekening'!$B$2:$C$46,2,FALSE),IF($C55=2,Instellingen!C$16,IF($C55=3,Instellingen!D$16,IF($C55=4,L55))))+$D55)+$Z55),1.1)</f>
        <v/>
      </c>
      <c r="AB55" s="852">
        <f>IF($B55="","",IFERROR(VLOOKUP($B55,'Werkschema - Rekening'!$B$2:$P$46,3,FALSE),""))</f>
        <v/>
      </c>
      <c r="AC55" s="851">
        <f>IFERROR(IF(C55="",1.1,IF(T55="",1,IF($C55=1,VLOOKUP($B55,'Werkschema - Rekening'!$B$2:$E$46,4,FALSE),IF($C55=2,Instellingen!E$16,IF($C55=3,Instellingen!F$16,IF($C55=4,M55))))+$D55)+$Z55),1.1)</f>
        <v/>
      </c>
      <c r="AD55" s="852">
        <f>IF($B55="","",IFERROR(VLOOKUP($B55,'Werkschema - Rekening'!$B$2:$P$46,5,FALSE),""))</f>
        <v/>
      </c>
      <c r="AE55" s="851">
        <f>IFERROR(IF(C55="",1.1,IF(U55="",1,IF($C55=1,VLOOKUP($B55,'Werkschema - Rekening'!$B$2:$G$46,6,FALSE),IF($C55=2,Instellingen!G$16,IF($C55=3,Instellingen!H$16,IF($C55=4,N55))))+$D55)+$Z55),1.1)</f>
        <v/>
      </c>
      <c r="AF55" s="852">
        <f>IF($B55="","",IFERROR(VLOOKUP($B55,'Werkschema - Rekening'!$B$2:$P$46,7,FALSE),""))</f>
        <v/>
      </c>
      <c r="AG55" s="851">
        <f>IFERROR(IF(C55="",1.1,IF(V55="",1,IF($C55=1,VLOOKUP($B55,'Werkschema - Rekening'!$B$2:$I$46,8,FALSE),IF($C55=2,Instellingen!I$16,IF($C55=3,Instellingen!J$16,IF($C55=4,O55))))+$D55)+$Z55),1.1)</f>
        <v/>
      </c>
      <c r="AH55" s="852">
        <f>IF($B55="","",IFERROR(VLOOKUP($B55,'Werkschema - Rekening'!$B$2:$P$46,9,FALSE),""))</f>
        <v/>
      </c>
      <c r="AI55" s="851">
        <f>IFERROR(IF(C55="",1.1,IF(W55="",1,IF($C55=1,VLOOKUP($B55,'Werkschema - Rekening'!$B$2:$K$46,10,FALSE),IF($C55=2,Instellingen!K$16,IF($C55=3,Instellingen!L$16,IF($C55=4,P55))))+$D55)+$Z55),1.1)</f>
        <v/>
      </c>
      <c r="AJ55" s="852">
        <f>IF($B55="","",IFERROR(VLOOKUP($B55,'Werkschema - Rekening'!$B$2:$P$46,11,FALSE),""))</f>
        <v/>
      </c>
      <c r="AK55" s="851">
        <f>IFERROR(IF(C55="",1.1,IF(X55="",1,IF($C55=1,VLOOKUP($B55,'Werkschema - Rekening'!$B$2:$M$46,12,FALSE),IF($C55=2,Instellingen!M$16,IF($C55=3,Instellingen!N$16,IF($C55=4,Q55))))+$D55)+$Z55),1.1)</f>
        <v/>
      </c>
      <c r="AL55" s="852">
        <f>IF($B55="","",IFERROR(VLOOKUP($B55,'Werkschema - Rekening'!$B$2:$P$46,13,FALSE),""))</f>
        <v/>
      </c>
      <c r="AM55" s="851">
        <f>IFERROR(IF(C55="",1.1,IF(Y55="",1,IF($C55=1,VLOOKUP($B55,'Werkschema - Rekening'!$B$2:$O$46,14,FALSE),IF($C55=2,Instellingen!O$16,IF($C55=3,Instellingen!P$16,IF($C55=4,R55))))+$D55)+$Z55),1.1)</f>
        <v/>
      </c>
      <c r="AN55" s="852">
        <f>IF($B55="","",IFERROR(VLOOKUP($B55,'Werkschema - Rekening'!$B$2:$P$46,15,FALSE),""))</f>
        <v/>
      </c>
      <c r="AO55" s="852">
        <f>A55</f>
        <v/>
      </c>
      <c r="AP55" s="852">
        <f>B55</f>
        <v/>
      </c>
    </row>
    <row r="56" ht="12.6" customHeight="1">
      <c r="A56" s="830">
        <f>'Aanpassen Werkschema'!B86</f>
        <v/>
      </c>
      <c r="B56" s="569">
        <f>'Aanpassen Werkschema'!C86</f>
        <v/>
      </c>
      <c r="C56" s="569">
        <f>IF('Aanpassen Werkschema'!D86="geplande taak",1,IF('Aanpassen Werkschema'!D86="openingstijd",2,IF('Aanpassen Werkschema'!D86="sluitingstijd",3,IF('Aanpassen Werkschema'!D86="vaste tijd",4,""))))</f>
        <v/>
      </c>
      <c r="D56" s="849">
        <f>'Aanpassen Werkschema'!E86</f>
        <v/>
      </c>
      <c r="E56" s="569">
        <f>IF('Aanpassen Werkschema'!F86="v","x","")</f>
        <v/>
      </c>
      <c r="F56" s="569">
        <f>IF('Aanpassen Werkschema'!G86="v","x","")</f>
        <v/>
      </c>
      <c r="G56" s="569">
        <f>IF('Aanpassen Werkschema'!H86="v","x","")</f>
        <v/>
      </c>
      <c r="H56" s="569">
        <f>IF('Aanpassen Werkschema'!I86="v","x","")</f>
        <v/>
      </c>
      <c r="I56" s="569">
        <f>IF('Aanpassen Werkschema'!J86="v","x","")</f>
        <v/>
      </c>
      <c r="J56" s="569">
        <f>IF('Aanpassen Werkschema'!K86="v","x","")</f>
        <v/>
      </c>
      <c r="K56" s="569">
        <f>IF('Aanpassen Werkschema'!L86="v","x","")</f>
        <v/>
      </c>
      <c r="L56" s="571">
        <f>IF('Aanpassen Werkschema'!M86&gt;0,'Aanpassen Werkschema'!M86,"")</f>
        <v/>
      </c>
      <c r="M56" s="571">
        <f>IF('Aanpassen Werkschema'!N86&gt;0,'Aanpassen Werkschema'!N86,"")</f>
        <v/>
      </c>
      <c r="N56" s="571">
        <f>IF('Aanpassen Werkschema'!O86&gt;0,'Aanpassen Werkschema'!O86,"")</f>
        <v/>
      </c>
      <c r="O56" s="571">
        <f>IF('Aanpassen Werkschema'!P86&gt;0,'Aanpassen Werkschema'!P86,"")</f>
        <v/>
      </c>
      <c r="P56" s="571">
        <f>IF('Aanpassen Werkschema'!Q86&gt;0,'Aanpassen Werkschema'!Q86,"")</f>
        <v/>
      </c>
      <c r="Q56" s="571">
        <f>IF('Aanpassen Werkschema'!R86&gt;0,'Aanpassen Werkschema'!R86,"")</f>
        <v/>
      </c>
      <c r="R56" s="571">
        <f>IF('Aanpassen Werkschema'!S86&gt;0,'Aanpassen Werkschema'!S86,"")</f>
        <v/>
      </c>
      <c r="S56" s="569">
        <f>IF('Aanpassen Werkschema'!T86="x","",IF('Aanpassen Werkschema'!N86="v","x",IF(E56="","",IF(E56="x","x"))))</f>
        <v/>
      </c>
      <c r="T56" s="569">
        <f>IF('Aanpassen Werkschema'!U86="x","",IF('Aanpassen Werkschema'!O86="v","x",IF(F56="","",IF(F56="x","x"))))</f>
        <v/>
      </c>
      <c r="U56" s="569">
        <f>IF('Aanpassen Werkschema'!V86="x","",IF('Aanpassen Werkschema'!P86="v","x",IF(G56="","",IF(G56="x","x"))))</f>
        <v/>
      </c>
      <c r="V56" s="569">
        <f>IF('Aanpassen Werkschema'!W86="x","",IF('Aanpassen Werkschema'!Q86="v","x",IF(H56="","",IF(H56="x","x"))))</f>
        <v/>
      </c>
      <c r="W56" s="569">
        <f>IF('Aanpassen Werkschema'!X86="x","",IF('Aanpassen Werkschema'!R86="v","x",IF(I56="","",IF(I56="x","x"))))</f>
        <v/>
      </c>
      <c r="X56" s="569">
        <f>IF('Aanpassen Werkschema'!Y86="x","",IF('Aanpassen Werkschema'!S86="v","x",IF(J56="","",IF(J56="x","x"))))</f>
        <v/>
      </c>
      <c r="Y56" s="569">
        <f>IF('Aanpassen Werkschema'!Z86="x","",IF('Aanpassen Werkschema'!T86="v","x",IF(K56="","",IF(K56="x","x"))))</f>
        <v/>
      </c>
      <c r="Z56" s="850">
        <f>Z55+0.0000000001</f>
        <v/>
      </c>
      <c r="AA56" s="851">
        <f>IFERROR(IF(C56="",1.1,IF(S56="",1,IF($C56=1,VLOOKUP($B56,'Werkschema - Rekening'!$B$2:$C$46,2,FALSE),IF($C56=2,Instellingen!C$16,IF($C56=3,Instellingen!D$16,IF($C56=4,L56))))+$D56)+$Z56),1.1)</f>
        <v/>
      </c>
      <c r="AB56" s="852">
        <f>IF($B56="","",IFERROR(VLOOKUP($B56,'Werkschema - Rekening'!$B$2:$P$46,3,FALSE),""))</f>
        <v/>
      </c>
      <c r="AC56" s="851">
        <f>IFERROR(IF(C56="",1.1,IF(T56="",1,IF($C56=1,VLOOKUP($B56,'Werkschema - Rekening'!$B$2:$E$46,4,FALSE),IF($C56=2,Instellingen!E$16,IF($C56=3,Instellingen!F$16,IF($C56=4,M56))))+$D56)+$Z56),1.1)</f>
        <v/>
      </c>
      <c r="AD56" s="852">
        <f>IF($B56="","",IFERROR(VLOOKUP($B56,'Werkschema - Rekening'!$B$2:$P$46,5,FALSE),""))</f>
        <v/>
      </c>
      <c r="AE56" s="851">
        <f>IFERROR(IF(C56="",1.1,IF(U56="",1,IF($C56=1,VLOOKUP($B56,'Werkschema - Rekening'!$B$2:$G$46,6,FALSE),IF($C56=2,Instellingen!G$16,IF($C56=3,Instellingen!H$16,IF($C56=4,N56))))+$D56)+$Z56),1.1)</f>
        <v/>
      </c>
      <c r="AF56" s="852">
        <f>IF($B56="","",IFERROR(VLOOKUP($B56,'Werkschema - Rekening'!$B$2:$P$46,7,FALSE),""))</f>
        <v/>
      </c>
      <c r="AG56" s="851">
        <f>IFERROR(IF(C56="",1.1,IF(V56="",1,IF($C56=1,VLOOKUP($B56,'Werkschema - Rekening'!$B$2:$I$46,8,FALSE),IF($C56=2,Instellingen!I$16,IF($C56=3,Instellingen!J$16,IF($C56=4,O56))))+$D56)+$Z56),1.1)</f>
        <v/>
      </c>
      <c r="AH56" s="852">
        <f>IF($B56="","",IFERROR(VLOOKUP($B56,'Werkschema - Rekening'!$B$2:$P$46,9,FALSE),""))</f>
        <v/>
      </c>
      <c r="AI56" s="851">
        <f>IFERROR(IF(C56="",1.1,IF(W56="",1,IF($C56=1,VLOOKUP($B56,'Werkschema - Rekening'!$B$2:$K$46,10,FALSE),IF($C56=2,Instellingen!K$16,IF($C56=3,Instellingen!L$16,IF($C56=4,P56))))+$D56)+$Z56),1.1)</f>
        <v/>
      </c>
      <c r="AJ56" s="852">
        <f>IF($B56="","",IFERROR(VLOOKUP($B56,'Werkschema - Rekening'!$B$2:$P$46,11,FALSE),""))</f>
        <v/>
      </c>
      <c r="AK56" s="851">
        <f>IFERROR(IF(C56="",1.1,IF(X56="",1,IF($C56=1,VLOOKUP($B56,'Werkschema - Rekening'!$B$2:$M$46,12,FALSE),IF($C56=2,Instellingen!M$16,IF($C56=3,Instellingen!N$16,IF($C56=4,Q56))))+$D56)+$Z56),1.1)</f>
        <v/>
      </c>
      <c r="AL56" s="852">
        <f>IF($B56="","",IFERROR(VLOOKUP($B56,'Werkschema - Rekening'!$B$2:$P$46,13,FALSE),""))</f>
        <v/>
      </c>
      <c r="AM56" s="851">
        <f>IFERROR(IF(C56="",1.1,IF(Y56="",1,IF($C56=1,VLOOKUP($B56,'Werkschema - Rekening'!$B$2:$O$46,14,FALSE),IF($C56=2,Instellingen!O$16,IF($C56=3,Instellingen!P$16,IF($C56=4,R56))))+$D56)+$Z56),1.1)</f>
        <v/>
      </c>
      <c r="AN56" s="852">
        <f>IF($B56="","",IFERROR(VLOOKUP($B56,'Werkschema - Rekening'!$B$2:$P$46,15,FALSE),""))</f>
        <v/>
      </c>
      <c r="AO56" s="852">
        <f>A56</f>
        <v/>
      </c>
      <c r="AP56" s="852">
        <f>B56</f>
        <v/>
      </c>
    </row>
    <row r="57" ht="12.6" customHeight="1">
      <c r="A57" s="830">
        <f>'Aanpassen Werkschema'!B87</f>
        <v/>
      </c>
      <c r="B57" s="569">
        <f>'Aanpassen Werkschema'!C87</f>
        <v/>
      </c>
      <c r="C57" s="569">
        <f>IF('Aanpassen Werkschema'!D87="geplande taak",1,IF('Aanpassen Werkschema'!D87="openingstijd",2,IF('Aanpassen Werkschema'!D87="sluitingstijd",3,IF('Aanpassen Werkschema'!D87="vaste tijd",4,""))))</f>
        <v/>
      </c>
      <c r="D57" s="849">
        <f>'Aanpassen Werkschema'!E87</f>
        <v/>
      </c>
      <c r="E57" s="569">
        <f>IF('Aanpassen Werkschema'!F87="v","x","")</f>
        <v/>
      </c>
      <c r="F57" s="569">
        <f>IF('Aanpassen Werkschema'!G87="v","x","")</f>
        <v/>
      </c>
      <c r="G57" s="569">
        <f>IF('Aanpassen Werkschema'!H87="v","x","")</f>
        <v/>
      </c>
      <c r="H57" s="569">
        <f>IF('Aanpassen Werkschema'!I87="v","x","")</f>
        <v/>
      </c>
      <c r="I57" s="569">
        <f>IF('Aanpassen Werkschema'!J87="v","x","")</f>
        <v/>
      </c>
      <c r="J57" s="569">
        <f>IF('Aanpassen Werkschema'!K87="v","x","")</f>
        <v/>
      </c>
      <c r="K57" s="569">
        <f>IF('Aanpassen Werkschema'!L87="v","x","")</f>
        <v/>
      </c>
      <c r="L57" s="571">
        <f>IF('Aanpassen Werkschema'!M87&gt;0,'Aanpassen Werkschema'!M87,"")</f>
        <v/>
      </c>
      <c r="M57" s="571">
        <f>IF('Aanpassen Werkschema'!N87&gt;0,'Aanpassen Werkschema'!N87,"")</f>
        <v/>
      </c>
      <c r="N57" s="571">
        <f>IF('Aanpassen Werkschema'!O87&gt;0,'Aanpassen Werkschema'!O87,"")</f>
        <v/>
      </c>
      <c r="O57" s="571">
        <f>IF('Aanpassen Werkschema'!P87&gt;0,'Aanpassen Werkschema'!P87,"")</f>
        <v/>
      </c>
      <c r="P57" s="571">
        <f>IF('Aanpassen Werkschema'!Q87&gt;0,'Aanpassen Werkschema'!Q87,"")</f>
        <v/>
      </c>
      <c r="Q57" s="571">
        <f>IF('Aanpassen Werkschema'!R87&gt;0,'Aanpassen Werkschema'!R87,"")</f>
        <v/>
      </c>
      <c r="R57" s="571">
        <f>IF('Aanpassen Werkschema'!S87&gt;0,'Aanpassen Werkschema'!S87,"")</f>
        <v/>
      </c>
      <c r="S57" s="569">
        <f>IF('Aanpassen Werkschema'!T87="x","",IF('Aanpassen Werkschema'!N87="v","x",IF(E57="","",IF(E57="x","x"))))</f>
        <v/>
      </c>
      <c r="T57" s="569">
        <f>IF('Aanpassen Werkschema'!U87="x","",IF('Aanpassen Werkschema'!O87="v","x",IF(F57="","",IF(F57="x","x"))))</f>
        <v/>
      </c>
      <c r="U57" s="569">
        <f>IF('Aanpassen Werkschema'!V87="x","",IF('Aanpassen Werkschema'!P87="v","x",IF(G57="","",IF(G57="x","x"))))</f>
        <v/>
      </c>
      <c r="V57" s="569">
        <f>IF('Aanpassen Werkschema'!W87="x","",IF('Aanpassen Werkschema'!Q87="v","x",IF(H57="","",IF(H57="x","x"))))</f>
        <v/>
      </c>
      <c r="W57" s="569">
        <f>IF('Aanpassen Werkschema'!X87="x","",IF('Aanpassen Werkschema'!R87="v","x",IF(I57="","",IF(I57="x","x"))))</f>
        <v/>
      </c>
      <c r="X57" s="569">
        <f>IF('Aanpassen Werkschema'!Y87="x","",IF('Aanpassen Werkschema'!S87="v","x",IF(J57="","",IF(J57="x","x"))))</f>
        <v/>
      </c>
      <c r="Y57" s="569">
        <f>IF('Aanpassen Werkschema'!Z87="x","",IF('Aanpassen Werkschema'!T87="v","x",IF(K57="","",IF(K57="x","x"))))</f>
        <v/>
      </c>
      <c r="Z57" s="850">
        <f>Z56+0.0000000001</f>
        <v/>
      </c>
      <c r="AA57" s="851">
        <f>IFERROR(IF(C57="",1.1,IF(S57="",1,IF($C57=1,VLOOKUP($B57,'Werkschema - Rekening'!$B$2:$C$46,2,FALSE),IF($C57=2,Instellingen!C$16,IF($C57=3,Instellingen!D$16,IF($C57=4,L57))))+$D57)+$Z57),1.1)</f>
        <v/>
      </c>
      <c r="AB57" s="852">
        <f>IF($B57="","",IFERROR(VLOOKUP($B57,'Werkschema - Rekening'!$B$2:$P$46,3,FALSE),""))</f>
        <v/>
      </c>
      <c r="AC57" s="851">
        <f>IFERROR(IF(C57="",1.1,IF(T57="",1,IF($C57=1,VLOOKUP($B57,'Werkschema - Rekening'!$B$2:$E$46,4,FALSE),IF($C57=2,Instellingen!E$16,IF($C57=3,Instellingen!F$16,IF($C57=4,M57))))+$D57)+$Z57),1.1)</f>
        <v/>
      </c>
      <c r="AD57" s="852">
        <f>IF($B57="","",IFERROR(VLOOKUP($B57,'Werkschema - Rekening'!$B$2:$P$46,5,FALSE),""))</f>
        <v/>
      </c>
      <c r="AE57" s="851">
        <f>IFERROR(IF(C57="",1.1,IF(U57="",1,IF($C57=1,VLOOKUP($B57,'Werkschema - Rekening'!$B$2:$G$46,6,FALSE),IF($C57=2,Instellingen!G$16,IF($C57=3,Instellingen!H$16,IF($C57=4,N57))))+$D57)+$Z57),1.1)</f>
        <v/>
      </c>
      <c r="AF57" s="852">
        <f>IF($B57="","",IFERROR(VLOOKUP($B57,'Werkschema - Rekening'!$B$2:$P$46,7,FALSE),""))</f>
        <v/>
      </c>
      <c r="AG57" s="851">
        <f>IFERROR(IF(C57="",1.1,IF(V57="",1,IF($C57=1,VLOOKUP($B57,'Werkschema - Rekening'!$B$2:$I$46,8,FALSE),IF($C57=2,Instellingen!I$16,IF($C57=3,Instellingen!J$16,IF($C57=4,O57))))+$D57)+$Z57),1.1)</f>
        <v/>
      </c>
      <c r="AH57" s="852">
        <f>IF($B57="","",IFERROR(VLOOKUP($B57,'Werkschema - Rekening'!$B$2:$P$46,9,FALSE),""))</f>
        <v/>
      </c>
      <c r="AI57" s="851">
        <f>IFERROR(IF(C57="",1.1,IF(W57="",1,IF($C57=1,VLOOKUP($B57,'Werkschema - Rekening'!$B$2:$K$46,10,FALSE),IF($C57=2,Instellingen!K$16,IF($C57=3,Instellingen!L$16,IF($C57=4,P57))))+$D57)+$Z57),1.1)</f>
        <v/>
      </c>
      <c r="AJ57" s="852">
        <f>IF($B57="","",IFERROR(VLOOKUP($B57,'Werkschema - Rekening'!$B$2:$P$46,11,FALSE),""))</f>
        <v/>
      </c>
      <c r="AK57" s="851">
        <f>IFERROR(IF(C57="",1.1,IF(X57="",1,IF($C57=1,VLOOKUP($B57,'Werkschema - Rekening'!$B$2:$M$46,12,FALSE),IF($C57=2,Instellingen!M$16,IF($C57=3,Instellingen!N$16,IF($C57=4,Q57))))+$D57)+$Z57),1.1)</f>
        <v/>
      </c>
      <c r="AL57" s="852">
        <f>IF($B57="","",IFERROR(VLOOKUP($B57,'Werkschema - Rekening'!$B$2:$P$46,13,FALSE),""))</f>
        <v/>
      </c>
      <c r="AM57" s="851">
        <f>IFERROR(IF(C57="",1.1,IF(Y57="",1,IF($C57=1,VLOOKUP($B57,'Werkschema - Rekening'!$B$2:$O$46,14,FALSE),IF($C57=2,Instellingen!O$16,IF($C57=3,Instellingen!P$16,IF($C57=4,R57))))+$D57)+$Z57),1.1)</f>
        <v/>
      </c>
      <c r="AN57" s="852">
        <f>IF($B57="","",IFERROR(VLOOKUP($B57,'Werkschema - Rekening'!$B$2:$P$46,15,FALSE),""))</f>
        <v/>
      </c>
      <c r="AO57" s="852">
        <f>A57</f>
        <v/>
      </c>
      <c r="AP57" s="852">
        <f>B57</f>
        <v/>
      </c>
    </row>
    <row r="58" ht="12.6" customHeight="1">
      <c r="A58" s="830">
        <f>'Aanpassen Werkschema'!B88</f>
        <v/>
      </c>
      <c r="B58" s="569">
        <f>'Aanpassen Werkschema'!C88</f>
        <v/>
      </c>
      <c r="C58" s="569">
        <f>IF('Aanpassen Werkschema'!D88="geplande taak",1,IF('Aanpassen Werkschema'!D88="openingstijd",2,IF('Aanpassen Werkschema'!D88="sluitingstijd",3,IF('Aanpassen Werkschema'!D88="vaste tijd",4,""))))</f>
        <v/>
      </c>
      <c r="D58" s="849">
        <f>'Aanpassen Werkschema'!E88</f>
        <v/>
      </c>
      <c r="E58" s="569">
        <f>IF('Aanpassen Werkschema'!F88="v","x","")</f>
        <v/>
      </c>
      <c r="F58" s="569">
        <f>IF('Aanpassen Werkschema'!G88="v","x","")</f>
        <v/>
      </c>
      <c r="G58" s="569">
        <f>IF('Aanpassen Werkschema'!H88="v","x","")</f>
        <v/>
      </c>
      <c r="H58" s="569">
        <f>IF('Aanpassen Werkschema'!I88="v","x","")</f>
        <v/>
      </c>
      <c r="I58" s="569">
        <f>IF('Aanpassen Werkschema'!J88="v","x","")</f>
        <v/>
      </c>
      <c r="J58" s="569">
        <f>IF('Aanpassen Werkschema'!K88="v","x","")</f>
        <v/>
      </c>
      <c r="K58" s="569">
        <f>IF('Aanpassen Werkschema'!L88="v","x","")</f>
        <v/>
      </c>
      <c r="L58" s="571">
        <f>IF('Aanpassen Werkschema'!M88&gt;0,'Aanpassen Werkschema'!M88,"")</f>
        <v/>
      </c>
      <c r="M58" s="571">
        <f>IF('Aanpassen Werkschema'!N88&gt;0,'Aanpassen Werkschema'!N88,"")</f>
        <v/>
      </c>
      <c r="N58" s="571">
        <f>IF('Aanpassen Werkschema'!O88&gt;0,'Aanpassen Werkschema'!O88,"")</f>
        <v/>
      </c>
      <c r="O58" s="571">
        <f>IF('Aanpassen Werkschema'!P88&gt;0,'Aanpassen Werkschema'!P88,"")</f>
        <v/>
      </c>
      <c r="P58" s="571">
        <f>IF('Aanpassen Werkschema'!Q88&gt;0,'Aanpassen Werkschema'!Q88,"")</f>
        <v/>
      </c>
      <c r="Q58" s="571">
        <f>IF('Aanpassen Werkschema'!R88&gt;0,'Aanpassen Werkschema'!R88,"")</f>
        <v/>
      </c>
      <c r="R58" s="571">
        <f>IF('Aanpassen Werkschema'!S88&gt;0,'Aanpassen Werkschema'!S88,"")</f>
        <v/>
      </c>
      <c r="S58" s="569">
        <f>IF('Aanpassen Werkschema'!T88="x","",IF('Aanpassen Werkschema'!N88="v","x",IF(E58="","",IF(E58="x","x"))))</f>
        <v/>
      </c>
      <c r="T58" s="569">
        <f>IF('Aanpassen Werkschema'!U88="x","",IF('Aanpassen Werkschema'!O88="v","x",IF(F58="","",IF(F58="x","x"))))</f>
        <v/>
      </c>
      <c r="U58" s="569">
        <f>IF('Aanpassen Werkschema'!V88="x","",IF('Aanpassen Werkschema'!P88="v","x",IF(G58="","",IF(G58="x","x"))))</f>
        <v/>
      </c>
      <c r="V58" s="569">
        <f>IF('Aanpassen Werkschema'!W88="x","",IF('Aanpassen Werkschema'!Q88="v","x",IF(H58="","",IF(H58="x","x"))))</f>
        <v/>
      </c>
      <c r="W58" s="569">
        <f>IF('Aanpassen Werkschema'!X88="x","",IF('Aanpassen Werkschema'!R88="v","x",IF(I58="","",IF(I58="x","x"))))</f>
        <v/>
      </c>
      <c r="X58" s="569">
        <f>IF('Aanpassen Werkschema'!Y88="x","",IF('Aanpassen Werkschema'!S88="v","x",IF(J58="","",IF(J58="x","x"))))</f>
        <v/>
      </c>
      <c r="Y58" s="569">
        <f>IF('Aanpassen Werkschema'!Z88="x","",IF('Aanpassen Werkschema'!T88="v","x",IF(K58="","",IF(K58="x","x"))))</f>
        <v/>
      </c>
      <c r="Z58" s="850">
        <f>Z57+0.0000000001</f>
        <v/>
      </c>
      <c r="AA58" s="851">
        <f>IFERROR(IF(C58="",1.1,IF(S58="",1,IF($C58=1,VLOOKUP($B58,'Werkschema - Rekening'!$B$2:$C$46,2,FALSE),IF($C58=2,Instellingen!C$16,IF($C58=3,Instellingen!D$16,IF($C58=4,L58))))+$D58)+$Z58),1.1)</f>
        <v/>
      </c>
      <c r="AB58" s="852">
        <f>IF($B58="","",IFERROR(VLOOKUP($B58,'Werkschema - Rekening'!$B$2:$P$46,3,FALSE),""))</f>
        <v/>
      </c>
      <c r="AC58" s="851">
        <f>IFERROR(IF(C58="",1.1,IF(T58="",1,IF($C58=1,VLOOKUP($B58,'Werkschema - Rekening'!$B$2:$E$46,4,FALSE),IF($C58=2,Instellingen!E$16,IF($C58=3,Instellingen!F$16,IF($C58=4,M58))))+$D58)+$Z58),1.1)</f>
        <v/>
      </c>
      <c r="AD58" s="852">
        <f>IF($B58="","",IFERROR(VLOOKUP($B58,'Werkschema - Rekening'!$B$2:$P$46,5,FALSE),""))</f>
        <v/>
      </c>
      <c r="AE58" s="851">
        <f>IFERROR(IF(C58="",1.1,IF(U58="",1,IF($C58=1,VLOOKUP($B58,'Werkschema - Rekening'!$B$2:$G$46,6,FALSE),IF($C58=2,Instellingen!G$16,IF($C58=3,Instellingen!H$16,IF($C58=4,N58))))+$D58)+$Z58),1.1)</f>
        <v/>
      </c>
      <c r="AF58" s="852">
        <f>IF($B58="","",IFERROR(VLOOKUP($B58,'Werkschema - Rekening'!$B$2:$P$46,7,FALSE),""))</f>
        <v/>
      </c>
      <c r="AG58" s="851">
        <f>IFERROR(IF(C58="",1.1,IF(V58="",1,IF($C58=1,VLOOKUP($B58,'Werkschema - Rekening'!$B$2:$I$46,8,FALSE),IF($C58=2,Instellingen!I$16,IF($C58=3,Instellingen!J$16,IF($C58=4,O58))))+$D58)+$Z58),1.1)</f>
        <v/>
      </c>
      <c r="AH58" s="852">
        <f>IF($B58="","",IFERROR(VLOOKUP($B58,'Werkschema - Rekening'!$B$2:$P$46,9,FALSE),""))</f>
        <v/>
      </c>
      <c r="AI58" s="851">
        <f>IFERROR(IF(C58="",1.1,IF(W58="",1,IF($C58=1,VLOOKUP($B58,'Werkschema - Rekening'!$B$2:$K$46,10,FALSE),IF($C58=2,Instellingen!K$16,IF($C58=3,Instellingen!L$16,IF($C58=4,P58))))+$D58)+$Z58),1.1)</f>
        <v/>
      </c>
      <c r="AJ58" s="852">
        <f>IF($B58="","",IFERROR(VLOOKUP($B58,'Werkschema - Rekening'!$B$2:$P$46,11,FALSE),""))</f>
        <v/>
      </c>
      <c r="AK58" s="851">
        <f>IFERROR(IF(C58="",1.1,IF(X58="",1,IF($C58=1,VLOOKUP($B58,'Werkschema - Rekening'!$B$2:$M$46,12,FALSE),IF($C58=2,Instellingen!M$16,IF($C58=3,Instellingen!N$16,IF($C58=4,Q58))))+$D58)+$Z58),1.1)</f>
        <v/>
      </c>
      <c r="AL58" s="852">
        <f>IF($B58="","",IFERROR(VLOOKUP($B58,'Werkschema - Rekening'!$B$2:$P$46,13,FALSE),""))</f>
        <v/>
      </c>
      <c r="AM58" s="851">
        <f>IFERROR(IF(C58="",1.1,IF(Y58="",1,IF($C58=1,VLOOKUP($B58,'Werkschema - Rekening'!$B$2:$O$46,14,FALSE),IF($C58=2,Instellingen!O$16,IF($C58=3,Instellingen!P$16,IF($C58=4,R58))))+$D58)+$Z58),1.1)</f>
        <v/>
      </c>
      <c r="AN58" s="852">
        <f>IF($B58="","",IFERROR(VLOOKUP($B58,'Werkschema - Rekening'!$B$2:$P$46,15,FALSE),""))</f>
        <v/>
      </c>
      <c r="AO58" s="852">
        <f>A58</f>
        <v/>
      </c>
      <c r="AP58" s="852">
        <f>B58</f>
        <v/>
      </c>
    </row>
    <row r="59" ht="12.6" customHeight="1">
      <c r="A59" s="830">
        <f>'Aanpassen Werkschema'!B89</f>
        <v/>
      </c>
      <c r="B59" s="569">
        <f>'Aanpassen Werkschema'!C89</f>
        <v/>
      </c>
      <c r="C59" s="569">
        <f>IF('Aanpassen Werkschema'!D89="geplande taak",1,IF('Aanpassen Werkschema'!D89="openingstijd",2,IF('Aanpassen Werkschema'!D89="sluitingstijd",3,IF('Aanpassen Werkschema'!D89="vaste tijd",4,""))))</f>
        <v/>
      </c>
      <c r="D59" s="849">
        <f>'Aanpassen Werkschema'!E89</f>
        <v/>
      </c>
      <c r="E59" s="569">
        <f>IF('Aanpassen Werkschema'!F89="v","x","")</f>
        <v/>
      </c>
      <c r="F59" s="569">
        <f>IF('Aanpassen Werkschema'!G89="v","x","")</f>
        <v/>
      </c>
      <c r="G59" s="569">
        <f>IF('Aanpassen Werkschema'!H89="v","x","")</f>
        <v/>
      </c>
      <c r="H59" s="569">
        <f>IF('Aanpassen Werkschema'!I89="v","x","")</f>
        <v/>
      </c>
      <c r="I59" s="569">
        <f>IF('Aanpassen Werkschema'!J89="v","x","")</f>
        <v/>
      </c>
      <c r="J59" s="569">
        <f>IF('Aanpassen Werkschema'!K89="v","x","")</f>
        <v/>
      </c>
      <c r="K59" s="569">
        <f>IF('Aanpassen Werkschema'!L89="v","x","")</f>
        <v/>
      </c>
      <c r="L59" s="571">
        <f>IF('Aanpassen Werkschema'!M89&gt;0,'Aanpassen Werkschema'!M89,"")</f>
        <v/>
      </c>
      <c r="M59" s="571">
        <f>IF('Aanpassen Werkschema'!N89&gt;0,'Aanpassen Werkschema'!N89,"")</f>
        <v/>
      </c>
      <c r="N59" s="571">
        <f>IF('Aanpassen Werkschema'!O89&gt;0,'Aanpassen Werkschema'!O89,"")</f>
        <v/>
      </c>
      <c r="O59" s="571">
        <f>IF('Aanpassen Werkschema'!P89&gt;0,'Aanpassen Werkschema'!P89,"")</f>
        <v/>
      </c>
      <c r="P59" s="571">
        <f>IF('Aanpassen Werkschema'!Q89&gt;0,'Aanpassen Werkschema'!Q89,"")</f>
        <v/>
      </c>
      <c r="Q59" s="571">
        <f>IF('Aanpassen Werkschema'!R89&gt;0,'Aanpassen Werkschema'!R89,"")</f>
        <v/>
      </c>
      <c r="R59" s="571">
        <f>IF('Aanpassen Werkschema'!S89&gt;0,'Aanpassen Werkschema'!S89,"")</f>
        <v/>
      </c>
      <c r="S59" s="569">
        <f>IF('Aanpassen Werkschema'!T89="x","",IF('Aanpassen Werkschema'!N89="v","x",IF(E59="","",IF(E59="x","x"))))</f>
        <v/>
      </c>
      <c r="T59" s="569">
        <f>IF('Aanpassen Werkschema'!U89="x","",IF('Aanpassen Werkschema'!O89="v","x",IF(F59="","",IF(F59="x","x"))))</f>
        <v/>
      </c>
      <c r="U59" s="569">
        <f>IF('Aanpassen Werkschema'!V89="x","",IF('Aanpassen Werkschema'!P89="v","x",IF(G59="","",IF(G59="x","x"))))</f>
        <v/>
      </c>
      <c r="V59" s="569">
        <f>IF('Aanpassen Werkschema'!W89="x","",IF('Aanpassen Werkschema'!Q89="v","x",IF(H59="","",IF(H59="x","x"))))</f>
        <v/>
      </c>
      <c r="W59" s="569">
        <f>IF('Aanpassen Werkschema'!X89="x","",IF('Aanpassen Werkschema'!R89="v","x",IF(I59="","",IF(I59="x","x"))))</f>
        <v/>
      </c>
      <c r="X59" s="569">
        <f>IF('Aanpassen Werkschema'!Y89="x","",IF('Aanpassen Werkschema'!S89="v","x",IF(J59="","",IF(J59="x","x"))))</f>
        <v/>
      </c>
      <c r="Y59" s="569">
        <f>IF('Aanpassen Werkschema'!Z89="x","",IF('Aanpassen Werkschema'!T89="v","x",IF(K59="","",IF(K59="x","x"))))</f>
        <v/>
      </c>
      <c r="Z59" s="850">
        <f>Z58+0.0000000001</f>
        <v/>
      </c>
      <c r="AA59" s="851">
        <f>IFERROR(IF(C59="",1.1,IF(S59="",1,IF($C59=1,VLOOKUP($B59,'Werkschema - Rekening'!$B$2:$C$46,2,FALSE),IF($C59=2,Instellingen!C$16,IF($C59=3,Instellingen!D$16,IF($C59=4,L59))))+$D59)+$Z59),1.1)</f>
        <v/>
      </c>
      <c r="AB59" s="852">
        <f>IF($B59="","",IFERROR(VLOOKUP($B59,'Werkschema - Rekening'!$B$2:$P$46,3,FALSE),""))</f>
        <v/>
      </c>
      <c r="AC59" s="851">
        <f>IFERROR(IF(C59="",1.1,IF(T59="",1,IF($C59=1,VLOOKUP($B59,'Werkschema - Rekening'!$B$2:$E$46,4,FALSE),IF($C59=2,Instellingen!E$16,IF($C59=3,Instellingen!F$16,IF($C59=4,M59))))+$D59)+$Z59),1.1)</f>
        <v/>
      </c>
      <c r="AD59" s="852">
        <f>IF($B59="","",IFERROR(VLOOKUP($B59,'Werkschema - Rekening'!$B$2:$P$46,5,FALSE),""))</f>
        <v/>
      </c>
      <c r="AE59" s="851">
        <f>IFERROR(IF(C59="",1.1,IF(U59="",1,IF($C59=1,VLOOKUP($B59,'Werkschema - Rekening'!$B$2:$G$46,6,FALSE),IF($C59=2,Instellingen!G$16,IF($C59=3,Instellingen!H$16,IF($C59=4,N59))))+$D59)+$Z59),1.1)</f>
        <v/>
      </c>
      <c r="AF59" s="852">
        <f>IF($B59="","",IFERROR(VLOOKUP($B59,'Werkschema - Rekening'!$B$2:$P$46,7,FALSE),""))</f>
        <v/>
      </c>
      <c r="AG59" s="851">
        <f>IFERROR(IF(C59="",1.1,IF(V59="",1,IF($C59=1,VLOOKUP($B59,'Werkschema - Rekening'!$B$2:$I$46,8,FALSE),IF($C59=2,Instellingen!I$16,IF($C59=3,Instellingen!J$16,IF($C59=4,O59))))+$D59)+$Z59),1.1)</f>
        <v/>
      </c>
      <c r="AH59" s="852">
        <f>IF($B59="","",IFERROR(VLOOKUP($B59,'Werkschema - Rekening'!$B$2:$P$46,9,FALSE),""))</f>
        <v/>
      </c>
      <c r="AI59" s="851">
        <f>IFERROR(IF(C59="",1.1,IF(W59="",1,IF($C59=1,VLOOKUP($B59,'Werkschema - Rekening'!$B$2:$K$46,10,FALSE),IF($C59=2,Instellingen!K$16,IF($C59=3,Instellingen!L$16,IF($C59=4,P59))))+$D59)+$Z59),1.1)</f>
        <v/>
      </c>
      <c r="AJ59" s="852">
        <f>IF($B59="","",IFERROR(VLOOKUP($B59,'Werkschema - Rekening'!$B$2:$P$46,11,FALSE),""))</f>
        <v/>
      </c>
      <c r="AK59" s="851">
        <f>IFERROR(IF(C59="",1.1,IF(X59="",1,IF($C59=1,VLOOKUP($B59,'Werkschema - Rekening'!$B$2:$M$46,12,FALSE),IF($C59=2,Instellingen!M$16,IF($C59=3,Instellingen!N$16,IF($C59=4,Q59))))+$D59)+$Z59),1.1)</f>
        <v/>
      </c>
      <c r="AL59" s="852">
        <f>IF($B59="","",IFERROR(VLOOKUP($B59,'Werkschema - Rekening'!$B$2:$P$46,13,FALSE),""))</f>
        <v/>
      </c>
      <c r="AM59" s="851">
        <f>IFERROR(IF(C59="",1.1,IF(Y59="",1,IF($C59=1,VLOOKUP($B59,'Werkschema - Rekening'!$B$2:$O$46,14,FALSE),IF($C59=2,Instellingen!O$16,IF($C59=3,Instellingen!P$16,IF($C59=4,R59))))+$D59)+$Z59),1.1)</f>
        <v/>
      </c>
      <c r="AN59" s="852">
        <f>IF($B59="","",IFERROR(VLOOKUP($B59,'Werkschema - Rekening'!$B$2:$P$46,15,FALSE),""))</f>
        <v/>
      </c>
      <c r="AO59" s="852">
        <f>A59</f>
        <v/>
      </c>
      <c r="AP59" s="852">
        <f>B59</f>
        <v/>
      </c>
    </row>
    <row r="60" ht="12.6" customHeight="1">
      <c r="A60" s="830">
        <f>'Aanpassen Werkschema'!B90</f>
        <v/>
      </c>
      <c r="B60" s="569">
        <f>'Aanpassen Werkschema'!C90</f>
        <v/>
      </c>
      <c r="C60" s="569">
        <f>IF('Aanpassen Werkschema'!D90="geplande taak",1,IF('Aanpassen Werkschema'!D90="openingstijd",2,IF('Aanpassen Werkschema'!D90="sluitingstijd",3,IF('Aanpassen Werkschema'!D90="vaste tijd",4,""))))</f>
        <v/>
      </c>
      <c r="D60" s="849">
        <f>'Aanpassen Werkschema'!E90</f>
        <v/>
      </c>
      <c r="E60" s="569">
        <f>IF('Aanpassen Werkschema'!F90="v","x","")</f>
        <v/>
      </c>
      <c r="F60" s="569">
        <f>IF('Aanpassen Werkschema'!G90="v","x","")</f>
        <v/>
      </c>
      <c r="G60" s="569">
        <f>IF('Aanpassen Werkschema'!H90="v","x","")</f>
        <v/>
      </c>
      <c r="H60" s="569">
        <f>IF('Aanpassen Werkschema'!I90="v","x","")</f>
        <v/>
      </c>
      <c r="I60" s="569">
        <f>IF('Aanpassen Werkschema'!J90="v","x","")</f>
        <v/>
      </c>
      <c r="J60" s="569">
        <f>IF('Aanpassen Werkschema'!K90="v","x","")</f>
        <v/>
      </c>
      <c r="K60" s="569">
        <f>IF('Aanpassen Werkschema'!L90="v","x","")</f>
        <v/>
      </c>
      <c r="L60" s="571">
        <f>IF('Aanpassen Werkschema'!M90&gt;0,'Aanpassen Werkschema'!M90,"")</f>
        <v/>
      </c>
      <c r="M60" s="571">
        <f>IF('Aanpassen Werkschema'!N90&gt;0,'Aanpassen Werkschema'!N90,"")</f>
        <v/>
      </c>
      <c r="N60" s="571">
        <f>IF('Aanpassen Werkschema'!O90&gt;0,'Aanpassen Werkschema'!O90,"")</f>
        <v/>
      </c>
      <c r="O60" s="571">
        <f>IF('Aanpassen Werkschema'!P90&gt;0,'Aanpassen Werkschema'!P90,"")</f>
        <v/>
      </c>
      <c r="P60" s="571">
        <f>IF('Aanpassen Werkschema'!Q90&gt;0,'Aanpassen Werkschema'!Q90,"")</f>
        <v/>
      </c>
      <c r="Q60" s="571">
        <f>IF('Aanpassen Werkschema'!R90&gt;0,'Aanpassen Werkschema'!R90,"")</f>
        <v/>
      </c>
      <c r="R60" s="571">
        <f>IF('Aanpassen Werkschema'!S90&gt;0,'Aanpassen Werkschema'!S90,"")</f>
        <v/>
      </c>
      <c r="S60" s="569">
        <f>IF('Aanpassen Werkschema'!T90="x","",IF('Aanpassen Werkschema'!N90="v","x",IF(E60="","",IF(E60="x","x"))))</f>
        <v/>
      </c>
      <c r="T60" s="569">
        <f>IF('Aanpassen Werkschema'!U90="x","",IF('Aanpassen Werkschema'!O90="v","x",IF(F60="","",IF(F60="x","x"))))</f>
        <v/>
      </c>
      <c r="U60" s="569">
        <f>IF('Aanpassen Werkschema'!V90="x","",IF('Aanpassen Werkschema'!P90="v","x",IF(G60="","",IF(G60="x","x"))))</f>
        <v/>
      </c>
      <c r="V60" s="569">
        <f>IF('Aanpassen Werkschema'!W90="x","",IF('Aanpassen Werkschema'!Q90="v","x",IF(H60="","",IF(H60="x","x"))))</f>
        <v/>
      </c>
      <c r="W60" s="569">
        <f>IF('Aanpassen Werkschema'!X90="x","",IF('Aanpassen Werkschema'!R90="v","x",IF(I60="","",IF(I60="x","x"))))</f>
        <v/>
      </c>
      <c r="X60" s="569">
        <f>IF('Aanpassen Werkschema'!Y90="x","",IF('Aanpassen Werkschema'!S90="v","x",IF(J60="","",IF(J60="x","x"))))</f>
        <v/>
      </c>
      <c r="Y60" s="569">
        <f>IF('Aanpassen Werkschema'!Z90="x","",IF('Aanpassen Werkschema'!T90="v","x",IF(K60="","",IF(K60="x","x"))))</f>
        <v/>
      </c>
      <c r="Z60" s="850">
        <f>Z59+0.0000000001</f>
        <v/>
      </c>
      <c r="AA60" s="851">
        <f>IFERROR(IF(C60="",1.1,IF(S60="",1,IF($C60=1,VLOOKUP($B60,'Werkschema - Rekening'!$B$2:$C$46,2,FALSE),IF($C60=2,Instellingen!C$16,IF($C60=3,Instellingen!D$16,IF($C60=4,L60))))+$D60)+$Z60),1.1)</f>
        <v/>
      </c>
      <c r="AB60" s="852">
        <f>IF($B60="","",IFERROR(VLOOKUP($B60,'Werkschema - Rekening'!$B$2:$P$46,3,FALSE),""))</f>
        <v/>
      </c>
      <c r="AC60" s="851">
        <f>IFERROR(IF(C60="",1.1,IF(T60="",1,IF($C60=1,VLOOKUP($B60,'Werkschema - Rekening'!$B$2:$E$46,4,FALSE),IF($C60=2,Instellingen!E$16,IF($C60=3,Instellingen!F$16,IF($C60=4,M60))))+$D60)+$Z60),1.1)</f>
        <v/>
      </c>
      <c r="AD60" s="852">
        <f>IF($B60="","",IFERROR(VLOOKUP($B60,'Werkschema - Rekening'!$B$2:$P$46,5,FALSE),""))</f>
        <v/>
      </c>
      <c r="AE60" s="851">
        <f>IFERROR(IF(C60="",1.1,IF(U60="",1,IF($C60=1,VLOOKUP($B60,'Werkschema - Rekening'!$B$2:$G$46,6,FALSE),IF($C60=2,Instellingen!G$16,IF($C60=3,Instellingen!H$16,IF($C60=4,N60))))+$D60)+$Z60),1.1)</f>
        <v/>
      </c>
      <c r="AF60" s="852">
        <f>IF($B60="","",IFERROR(VLOOKUP($B60,'Werkschema - Rekening'!$B$2:$P$46,7,FALSE),""))</f>
        <v/>
      </c>
      <c r="AG60" s="851">
        <f>IFERROR(IF(C60="",1.1,IF(V60="",1,IF($C60=1,VLOOKUP($B60,'Werkschema - Rekening'!$B$2:$I$46,8,FALSE),IF($C60=2,Instellingen!I$16,IF($C60=3,Instellingen!J$16,IF($C60=4,O60))))+$D60)+$Z60),1.1)</f>
        <v/>
      </c>
      <c r="AH60" s="852">
        <f>IF($B60="","",IFERROR(VLOOKUP($B60,'Werkschema - Rekening'!$B$2:$P$46,9,FALSE),""))</f>
        <v/>
      </c>
      <c r="AI60" s="851">
        <f>IFERROR(IF(C60="",1.1,IF(W60="",1,IF($C60=1,VLOOKUP($B60,'Werkschema - Rekening'!$B$2:$K$46,10,FALSE),IF($C60=2,Instellingen!K$16,IF($C60=3,Instellingen!L$16,IF($C60=4,P60))))+$D60)+$Z60),1.1)</f>
        <v/>
      </c>
      <c r="AJ60" s="852">
        <f>IF($B60="","",IFERROR(VLOOKUP($B60,'Werkschema - Rekening'!$B$2:$P$46,11,FALSE),""))</f>
        <v/>
      </c>
      <c r="AK60" s="851">
        <f>IFERROR(IF(C60="",1.1,IF(X60="",1,IF($C60=1,VLOOKUP($B60,'Werkschema - Rekening'!$B$2:$M$46,12,FALSE),IF($C60=2,Instellingen!M$16,IF($C60=3,Instellingen!N$16,IF($C60=4,Q60))))+$D60)+$Z60),1.1)</f>
        <v/>
      </c>
      <c r="AL60" s="852">
        <f>IF($B60="","",IFERROR(VLOOKUP($B60,'Werkschema - Rekening'!$B$2:$P$46,13,FALSE),""))</f>
        <v/>
      </c>
      <c r="AM60" s="851">
        <f>IFERROR(IF(C60="",1.1,IF(Y60="",1,IF($C60=1,VLOOKUP($B60,'Werkschema - Rekening'!$B$2:$O$46,14,FALSE),IF($C60=2,Instellingen!O$16,IF($C60=3,Instellingen!P$16,IF($C60=4,R60))))+$D60)+$Z60),1.1)</f>
        <v/>
      </c>
      <c r="AN60" s="852">
        <f>IF($B60="","",IFERROR(VLOOKUP($B60,'Werkschema - Rekening'!$B$2:$P$46,15,FALSE),""))</f>
        <v/>
      </c>
      <c r="AO60" s="852">
        <f>A60</f>
        <v/>
      </c>
      <c r="AP60" s="852">
        <f>B60</f>
        <v/>
      </c>
    </row>
    <row r="61" ht="12.6" customHeight="1">
      <c r="A61" s="830">
        <f>'Aanpassen Werkschema'!B91</f>
        <v/>
      </c>
      <c r="B61" s="569">
        <f>'Aanpassen Werkschema'!C91</f>
        <v/>
      </c>
      <c r="C61" s="569">
        <f>IF('Aanpassen Werkschema'!D91="geplande taak",1,IF('Aanpassen Werkschema'!D91="openingstijd",2,IF('Aanpassen Werkschema'!D91="sluitingstijd",3,IF('Aanpassen Werkschema'!D91="vaste tijd",4,""))))</f>
        <v/>
      </c>
      <c r="D61" s="849">
        <f>'Aanpassen Werkschema'!E91</f>
        <v/>
      </c>
      <c r="E61" s="569">
        <f>IF('Aanpassen Werkschema'!F91="v","x","")</f>
        <v/>
      </c>
      <c r="F61" s="569">
        <f>IF('Aanpassen Werkschema'!G91="v","x","")</f>
        <v/>
      </c>
      <c r="G61" s="569">
        <f>IF('Aanpassen Werkschema'!H91="v","x","")</f>
        <v/>
      </c>
      <c r="H61" s="569">
        <f>IF('Aanpassen Werkschema'!I91="v","x","")</f>
        <v/>
      </c>
      <c r="I61" s="569">
        <f>IF('Aanpassen Werkschema'!J91="v","x","")</f>
        <v/>
      </c>
      <c r="J61" s="569">
        <f>IF('Aanpassen Werkschema'!K91="v","x","")</f>
        <v/>
      </c>
      <c r="K61" s="569">
        <f>IF('Aanpassen Werkschema'!L91="v","x","")</f>
        <v/>
      </c>
      <c r="L61" s="571">
        <f>IF('Aanpassen Werkschema'!M91&gt;0,'Aanpassen Werkschema'!M91,"")</f>
        <v/>
      </c>
      <c r="M61" s="571">
        <f>IF('Aanpassen Werkschema'!N91&gt;0,'Aanpassen Werkschema'!N91,"")</f>
        <v/>
      </c>
      <c r="N61" s="571">
        <f>IF('Aanpassen Werkschema'!O91&gt;0,'Aanpassen Werkschema'!O91,"")</f>
        <v/>
      </c>
      <c r="O61" s="571">
        <f>IF('Aanpassen Werkschema'!P91&gt;0,'Aanpassen Werkschema'!P91,"")</f>
        <v/>
      </c>
      <c r="P61" s="571">
        <f>IF('Aanpassen Werkschema'!Q91&gt;0,'Aanpassen Werkschema'!Q91,"")</f>
        <v/>
      </c>
      <c r="Q61" s="571">
        <f>IF('Aanpassen Werkschema'!R91&gt;0,'Aanpassen Werkschema'!R91,"")</f>
        <v/>
      </c>
      <c r="R61" s="571">
        <f>IF('Aanpassen Werkschema'!S91&gt;0,'Aanpassen Werkschema'!S91,"")</f>
        <v/>
      </c>
      <c r="S61" s="569">
        <f>IF('Aanpassen Werkschema'!T91="x","",IF('Aanpassen Werkschema'!N91="v","x",IF(E61="","",IF(E61="x","x"))))</f>
        <v/>
      </c>
      <c r="T61" s="569">
        <f>IF('Aanpassen Werkschema'!U91="x","",IF('Aanpassen Werkschema'!O91="v","x",IF(F61="","",IF(F61="x","x"))))</f>
        <v/>
      </c>
      <c r="U61" s="569">
        <f>IF('Aanpassen Werkschema'!V91="x","",IF('Aanpassen Werkschema'!P91="v","x",IF(G61="","",IF(G61="x","x"))))</f>
        <v/>
      </c>
      <c r="V61" s="569">
        <f>IF('Aanpassen Werkschema'!W91="x","",IF('Aanpassen Werkschema'!Q91="v","x",IF(H61="","",IF(H61="x","x"))))</f>
        <v/>
      </c>
      <c r="W61" s="569">
        <f>IF('Aanpassen Werkschema'!X91="x","",IF('Aanpassen Werkschema'!R91="v","x",IF(I61="","",IF(I61="x","x"))))</f>
        <v/>
      </c>
      <c r="X61" s="569">
        <f>IF('Aanpassen Werkschema'!Y91="x","",IF('Aanpassen Werkschema'!S91="v","x",IF(J61="","",IF(J61="x","x"))))</f>
        <v/>
      </c>
      <c r="Y61" s="569">
        <f>IF('Aanpassen Werkschema'!Z91="x","",IF('Aanpassen Werkschema'!T91="v","x",IF(K61="","",IF(K61="x","x"))))</f>
        <v/>
      </c>
      <c r="Z61" s="850">
        <f>Z60+0.0000000001</f>
        <v/>
      </c>
      <c r="AA61" s="851">
        <f>IFERROR(IF(C61="",1.1,IF(S61="",1,IF($C61=1,VLOOKUP($B61,'Werkschema - Rekening'!$B$2:$C$46,2,FALSE),IF($C61=2,Instellingen!C$16,IF($C61=3,Instellingen!D$16,IF($C61=4,L61))))+$D61)+$Z61),1.1)</f>
        <v/>
      </c>
      <c r="AB61" s="852">
        <f>IF($B61="","",IFERROR(VLOOKUP($B61,'Werkschema - Rekening'!$B$2:$P$46,3,FALSE),""))</f>
        <v/>
      </c>
      <c r="AC61" s="851">
        <f>IFERROR(IF(C61="",1.1,IF(T61="",1,IF($C61=1,VLOOKUP($B61,'Werkschema - Rekening'!$B$2:$E$46,4,FALSE),IF($C61=2,Instellingen!E$16,IF($C61=3,Instellingen!F$16,IF($C61=4,M61))))+$D61)+$Z61),1.1)</f>
        <v/>
      </c>
      <c r="AD61" s="852">
        <f>IF($B61="","",IFERROR(VLOOKUP($B61,'Werkschema - Rekening'!$B$2:$P$46,5,FALSE),""))</f>
        <v/>
      </c>
      <c r="AE61" s="851">
        <f>IFERROR(IF(C61="",1.1,IF(U61="",1,IF($C61=1,VLOOKUP($B61,'Werkschema - Rekening'!$B$2:$G$46,6,FALSE),IF($C61=2,Instellingen!G$16,IF($C61=3,Instellingen!H$16,IF($C61=4,N61))))+$D61)+$Z61),1.1)</f>
        <v/>
      </c>
      <c r="AF61" s="852">
        <f>IF($B61="","",IFERROR(VLOOKUP($B61,'Werkschema - Rekening'!$B$2:$P$46,7,FALSE),""))</f>
        <v/>
      </c>
      <c r="AG61" s="851">
        <f>IFERROR(IF(C61="",1.1,IF(V61="",1,IF($C61=1,VLOOKUP($B61,'Werkschema - Rekening'!$B$2:$I$46,8,FALSE),IF($C61=2,Instellingen!I$16,IF($C61=3,Instellingen!J$16,IF($C61=4,O61))))+$D61)+$Z61),1.1)</f>
        <v/>
      </c>
      <c r="AH61" s="852">
        <f>IF($B61="","",IFERROR(VLOOKUP($B61,'Werkschema - Rekening'!$B$2:$P$46,9,FALSE),""))</f>
        <v/>
      </c>
      <c r="AI61" s="851">
        <f>IFERROR(IF(C61="",1.1,IF(W61="",1,IF($C61=1,VLOOKUP($B61,'Werkschema - Rekening'!$B$2:$K$46,10,FALSE),IF($C61=2,Instellingen!K$16,IF($C61=3,Instellingen!L$16,IF($C61=4,P61))))+$D61)+$Z61),1.1)</f>
        <v/>
      </c>
      <c r="AJ61" s="852">
        <f>IF($B61="","",IFERROR(VLOOKUP($B61,'Werkschema - Rekening'!$B$2:$P$46,11,FALSE),""))</f>
        <v/>
      </c>
      <c r="AK61" s="851">
        <f>IFERROR(IF(C61="",1.1,IF(X61="",1,IF($C61=1,VLOOKUP($B61,'Werkschema - Rekening'!$B$2:$M$46,12,FALSE),IF($C61=2,Instellingen!M$16,IF($C61=3,Instellingen!N$16,IF($C61=4,Q61))))+$D61)+$Z61),1.1)</f>
        <v/>
      </c>
      <c r="AL61" s="852">
        <f>IF($B61="","",IFERROR(VLOOKUP($B61,'Werkschema - Rekening'!$B$2:$P$46,13,FALSE),""))</f>
        <v/>
      </c>
      <c r="AM61" s="851">
        <f>IFERROR(IF(C61="",1.1,IF(Y61="",1,IF($C61=1,VLOOKUP($B61,'Werkschema - Rekening'!$B$2:$O$46,14,FALSE),IF($C61=2,Instellingen!O$16,IF($C61=3,Instellingen!P$16,IF($C61=4,R61))))+$D61)+$Z61),1.1)</f>
        <v/>
      </c>
      <c r="AN61" s="852">
        <f>IF($B61="","",IFERROR(VLOOKUP($B61,'Werkschema - Rekening'!$B$2:$P$46,15,FALSE),""))</f>
        <v/>
      </c>
      <c r="AO61" s="852">
        <f>A61</f>
        <v/>
      </c>
      <c r="AP61" s="852">
        <f>B61</f>
        <v/>
      </c>
    </row>
    <row r="62" ht="12.6" customHeight="1">
      <c r="A62" s="830">
        <f>'Aanpassen Werkschema'!B92</f>
        <v/>
      </c>
      <c r="B62" s="569">
        <f>'Aanpassen Werkschema'!C92</f>
        <v/>
      </c>
      <c r="C62" s="569">
        <f>IF('Aanpassen Werkschema'!D92="geplande taak",1,IF('Aanpassen Werkschema'!D92="openingstijd",2,IF('Aanpassen Werkschema'!D92="sluitingstijd",3,IF('Aanpassen Werkschema'!D92="vaste tijd",4,""))))</f>
        <v/>
      </c>
      <c r="D62" s="849">
        <f>'Aanpassen Werkschema'!E92</f>
        <v/>
      </c>
      <c r="E62" s="569">
        <f>IF('Aanpassen Werkschema'!F92="v","x","")</f>
        <v/>
      </c>
      <c r="F62" s="569">
        <f>IF('Aanpassen Werkschema'!G92="v","x","")</f>
        <v/>
      </c>
      <c r="G62" s="569">
        <f>IF('Aanpassen Werkschema'!H92="v","x","")</f>
        <v/>
      </c>
      <c r="H62" s="569">
        <f>IF('Aanpassen Werkschema'!I92="v","x","")</f>
        <v/>
      </c>
      <c r="I62" s="569">
        <f>IF('Aanpassen Werkschema'!J92="v","x","")</f>
        <v/>
      </c>
      <c r="J62" s="569">
        <f>IF('Aanpassen Werkschema'!K92="v","x","")</f>
        <v/>
      </c>
      <c r="K62" s="569">
        <f>IF('Aanpassen Werkschema'!L92="v","x","")</f>
        <v/>
      </c>
      <c r="L62" s="571">
        <f>IF('Aanpassen Werkschema'!M92&gt;0,'Aanpassen Werkschema'!M92,"")</f>
        <v/>
      </c>
      <c r="M62" s="571">
        <f>IF('Aanpassen Werkschema'!N92&gt;0,'Aanpassen Werkschema'!N92,"")</f>
        <v/>
      </c>
      <c r="N62" s="571">
        <f>IF('Aanpassen Werkschema'!O92&gt;0,'Aanpassen Werkschema'!O92,"")</f>
        <v/>
      </c>
      <c r="O62" s="571">
        <f>IF('Aanpassen Werkschema'!P92&gt;0,'Aanpassen Werkschema'!P92,"")</f>
        <v/>
      </c>
      <c r="P62" s="571">
        <f>IF('Aanpassen Werkschema'!Q92&gt;0,'Aanpassen Werkschema'!Q92,"")</f>
        <v/>
      </c>
      <c r="Q62" s="571">
        <f>IF('Aanpassen Werkschema'!R92&gt;0,'Aanpassen Werkschema'!R92,"")</f>
        <v/>
      </c>
      <c r="R62" s="571">
        <f>IF('Aanpassen Werkschema'!S92&gt;0,'Aanpassen Werkschema'!S92,"")</f>
        <v/>
      </c>
      <c r="S62" s="569">
        <f>IF('Aanpassen Werkschema'!T92="x","",IF('Aanpassen Werkschema'!N92="v","x",IF(E62="","",IF(E62="x","x"))))</f>
        <v/>
      </c>
      <c r="T62" s="569">
        <f>IF('Aanpassen Werkschema'!U92="x","",IF('Aanpassen Werkschema'!O92="v","x",IF(F62="","",IF(F62="x","x"))))</f>
        <v/>
      </c>
      <c r="U62" s="569">
        <f>IF('Aanpassen Werkschema'!V92="x","",IF('Aanpassen Werkschema'!P92="v","x",IF(G62="","",IF(G62="x","x"))))</f>
        <v/>
      </c>
      <c r="V62" s="569">
        <f>IF('Aanpassen Werkschema'!W92="x","",IF('Aanpassen Werkschema'!Q92="v","x",IF(H62="","",IF(H62="x","x"))))</f>
        <v/>
      </c>
      <c r="W62" s="569">
        <f>IF('Aanpassen Werkschema'!X92="x","",IF('Aanpassen Werkschema'!R92="v","x",IF(I62="","",IF(I62="x","x"))))</f>
        <v/>
      </c>
      <c r="X62" s="569">
        <f>IF('Aanpassen Werkschema'!Y92="x","",IF('Aanpassen Werkschema'!S92="v","x",IF(J62="","",IF(J62="x","x"))))</f>
        <v/>
      </c>
      <c r="Y62" s="569">
        <f>IF('Aanpassen Werkschema'!Z92="x","",IF('Aanpassen Werkschema'!T92="v","x",IF(K62="","",IF(K62="x","x"))))</f>
        <v/>
      </c>
      <c r="Z62" s="850">
        <f>Z61+0.0000000001</f>
        <v/>
      </c>
      <c r="AA62" s="851">
        <f>IFERROR(IF(C62="",1.1,IF(S62="",1,IF($C62=1,VLOOKUP($B62,'Werkschema - Rekening'!$B$2:$C$46,2,FALSE),IF($C62=2,Instellingen!C$16,IF($C62=3,Instellingen!D$16,IF($C62=4,L62))))+$D62)+$Z62),1.1)</f>
        <v/>
      </c>
      <c r="AB62" s="852">
        <f>IF($B62="","",IFERROR(VLOOKUP($B62,'Werkschema - Rekening'!$B$2:$P$46,3,FALSE),""))</f>
        <v/>
      </c>
      <c r="AC62" s="851">
        <f>IFERROR(IF(C62="",1.1,IF(T62="",1,IF($C62=1,VLOOKUP($B62,'Werkschema - Rekening'!$B$2:$E$46,4,FALSE),IF($C62=2,Instellingen!E$16,IF($C62=3,Instellingen!F$16,IF($C62=4,M62))))+$D62)+$Z62),1.1)</f>
        <v/>
      </c>
      <c r="AD62" s="852">
        <f>IF($B62="","",IFERROR(VLOOKUP($B62,'Werkschema - Rekening'!$B$2:$P$46,5,FALSE),""))</f>
        <v/>
      </c>
      <c r="AE62" s="851">
        <f>IFERROR(IF(C62="",1.1,IF(U62="",1,IF($C62=1,VLOOKUP($B62,'Werkschema - Rekening'!$B$2:$G$46,6,FALSE),IF($C62=2,Instellingen!G$16,IF($C62=3,Instellingen!H$16,IF($C62=4,N62))))+$D62)+$Z62),1.1)</f>
        <v/>
      </c>
      <c r="AF62" s="852">
        <f>IF($B62="","",IFERROR(VLOOKUP($B62,'Werkschema - Rekening'!$B$2:$P$46,7,FALSE),""))</f>
        <v/>
      </c>
      <c r="AG62" s="851">
        <f>IFERROR(IF(C62="",1.1,IF(V62="",1,IF($C62=1,VLOOKUP($B62,'Werkschema - Rekening'!$B$2:$I$46,8,FALSE),IF($C62=2,Instellingen!I$16,IF($C62=3,Instellingen!J$16,IF($C62=4,O62))))+$D62)+$Z62),1.1)</f>
        <v/>
      </c>
      <c r="AH62" s="852">
        <f>IF($B62="","",IFERROR(VLOOKUP($B62,'Werkschema - Rekening'!$B$2:$P$46,9,FALSE),""))</f>
        <v/>
      </c>
      <c r="AI62" s="851">
        <f>IFERROR(IF(C62="",1.1,IF(W62="",1,IF($C62=1,VLOOKUP($B62,'Werkschema - Rekening'!$B$2:$K$46,10,FALSE),IF($C62=2,Instellingen!K$16,IF($C62=3,Instellingen!L$16,IF($C62=4,P62))))+$D62)+$Z62),1.1)</f>
        <v/>
      </c>
      <c r="AJ62" s="852">
        <f>IF($B62="","",IFERROR(VLOOKUP($B62,'Werkschema - Rekening'!$B$2:$P$46,11,FALSE),""))</f>
        <v/>
      </c>
      <c r="AK62" s="851">
        <f>IFERROR(IF(C62="",1.1,IF(X62="",1,IF($C62=1,VLOOKUP($B62,'Werkschema - Rekening'!$B$2:$M$46,12,FALSE),IF($C62=2,Instellingen!M$16,IF($C62=3,Instellingen!N$16,IF($C62=4,Q62))))+$D62)+$Z62),1.1)</f>
        <v/>
      </c>
      <c r="AL62" s="852">
        <f>IF($B62="","",IFERROR(VLOOKUP($B62,'Werkschema - Rekening'!$B$2:$P$46,13,FALSE),""))</f>
        <v/>
      </c>
      <c r="AM62" s="851">
        <f>IFERROR(IF(C62="",1.1,IF(Y62="",1,IF($C62=1,VLOOKUP($B62,'Werkschema - Rekening'!$B$2:$O$46,14,FALSE),IF($C62=2,Instellingen!O$16,IF($C62=3,Instellingen!P$16,IF($C62=4,R62))))+$D62)+$Z62),1.1)</f>
        <v/>
      </c>
      <c r="AN62" s="852">
        <f>IF($B62="","",IFERROR(VLOOKUP($B62,'Werkschema - Rekening'!$B$2:$P$46,15,FALSE),""))</f>
        <v/>
      </c>
      <c r="AO62" s="852">
        <f>A62</f>
        <v/>
      </c>
      <c r="AP62" s="852">
        <f>B62</f>
        <v/>
      </c>
    </row>
    <row r="63" ht="12.6" customHeight="1">
      <c r="A63" s="830">
        <f>'Aanpassen Werkschema'!B93</f>
        <v/>
      </c>
      <c r="B63" s="569">
        <f>'Aanpassen Werkschema'!C93</f>
        <v/>
      </c>
      <c r="C63" s="569">
        <f>IF('Aanpassen Werkschema'!D93="geplande taak",1,IF('Aanpassen Werkschema'!D93="openingstijd",2,IF('Aanpassen Werkschema'!D93="sluitingstijd",3,IF('Aanpassen Werkschema'!D93="vaste tijd",4,""))))</f>
        <v/>
      </c>
      <c r="D63" s="849">
        <f>'Aanpassen Werkschema'!E93</f>
        <v/>
      </c>
      <c r="E63" s="569">
        <f>IF('Aanpassen Werkschema'!F93="v","x","")</f>
        <v/>
      </c>
      <c r="F63" s="569">
        <f>IF('Aanpassen Werkschema'!G93="v","x","")</f>
        <v/>
      </c>
      <c r="G63" s="569">
        <f>IF('Aanpassen Werkschema'!H93="v","x","")</f>
        <v/>
      </c>
      <c r="H63" s="569">
        <f>IF('Aanpassen Werkschema'!I93="v","x","")</f>
        <v/>
      </c>
      <c r="I63" s="569">
        <f>IF('Aanpassen Werkschema'!J93="v","x","")</f>
        <v/>
      </c>
      <c r="J63" s="569">
        <f>IF('Aanpassen Werkschema'!K93="v","x","")</f>
        <v/>
      </c>
      <c r="K63" s="569">
        <f>IF('Aanpassen Werkschema'!L93="v","x","")</f>
        <v/>
      </c>
      <c r="L63" s="571">
        <f>IF('Aanpassen Werkschema'!M93&gt;0,'Aanpassen Werkschema'!M93,"")</f>
        <v/>
      </c>
      <c r="M63" s="571">
        <f>IF('Aanpassen Werkschema'!N93&gt;0,'Aanpassen Werkschema'!N93,"")</f>
        <v/>
      </c>
      <c r="N63" s="571">
        <f>IF('Aanpassen Werkschema'!O93&gt;0,'Aanpassen Werkschema'!O93,"")</f>
        <v/>
      </c>
      <c r="O63" s="571">
        <f>IF('Aanpassen Werkschema'!P93&gt;0,'Aanpassen Werkschema'!P93,"")</f>
        <v/>
      </c>
      <c r="P63" s="571">
        <f>IF('Aanpassen Werkschema'!Q93&gt;0,'Aanpassen Werkschema'!Q93,"")</f>
        <v/>
      </c>
      <c r="Q63" s="571">
        <f>IF('Aanpassen Werkschema'!R93&gt;0,'Aanpassen Werkschema'!R93,"")</f>
        <v/>
      </c>
      <c r="R63" s="571">
        <f>IF('Aanpassen Werkschema'!S93&gt;0,'Aanpassen Werkschema'!S93,"")</f>
        <v/>
      </c>
      <c r="S63" s="569">
        <f>IF('Aanpassen Werkschema'!T93="x","",IF('Aanpassen Werkschema'!N93="v","x",IF(E63="","",IF(E63="x","x"))))</f>
        <v/>
      </c>
      <c r="T63" s="569">
        <f>IF('Aanpassen Werkschema'!U93="x","",IF('Aanpassen Werkschema'!O93="v","x",IF(F63="","",IF(F63="x","x"))))</f>
        <v/>
      </c>
      <c r="U63" s="569">
        <f>IF('Aanpassen Werkschema'!V93="x","",IF('Aanpassen Werkschema'!P93="v","x",IF(G63="","",IF(G63="x","x"))))</f>
        <v/>
      </c>
      <c r="V63" s="569">
        <f>IF('Aanpassen Werkschema'!W93="x","",IF('Aanpassen Werkschema'!Q93="v","x",IF(H63="","",IF(H63="x","x"))))</f>
        <v/>
      </c>
      <c r="W63" s="569">
        <f>IF('Aanpassen Werkschema'!X93="x","",IF('Aanpassen Werkschema'!R93="v","x",IF(I63="","",IF(I63="x","x"))))</f>
        <v/>
      </c>
      <c r="X63" s="569">
        <f>IF('Aanpassen Werkschema'!Y93="x","",IF('Aanpassen Werkschema'!S93="v","x",IF(J63="","",IF(J63="x","x"))))</f>
        <v/>
      </c>
      <c r="Y63" s="569">
        <f>IF('Aanpassen Werkschema'!Z93="x","",IF('Aanpassen Werkschema'!T93="v","x",IF(K63="","",IF(K63="x","x"))))</f>
        <v/>
      </c>
      <c r="Z63" s="850">
        <f>Z62+0.0000000001</f>
        <v/>
      </c>
      <c r="AA63" s="851">
        <f>IFERROR(IF(C63="",1.1,IF(S63="",1,IF($C63=1,VLOOKUP($B63,'Werkschema - Rekening'!$B$2:$C$46,2,FALSE),IF($C63=2,Instellingen!C$16,IF($C63=3,Instellingen!D$16,IF($C63=4,L63))))+$D63)+$Z63),1.1)</f>
        <v/>
      </c>
      <c r="AB63" s="852">
        <f>IF($B63="","",IFERROR(VLOOKUP($B63,'Werkschema - Rekening'!$B$2:$P$46,3,FALSE),""))</f>
        <v/>
      </c>
      <c r="AC63" s="851">
        <f>IFERROR(IF(C63="",1.1,IF(T63="",1,IF($C63=1,VLOOKUP($B63,'Werkschema - Rekening'!$B$2:$E$46,4,FALSE),IF($C63=2,Instellingen!E$16,IF($C63=3,Instellingen!F$16,IF($C63=4,M63))))+$D63)+$Z63),1.1)</f>
        <v/>
      </c>
      <c r="AD63" s="852">
        <f>IF($B63="","",IFERROR(VLOOKUP($B63,'Werkschema - Rekening'!$B$2:$P$46,5,FALSE),""))</f>
        <v/>
      </c>
      <c r="AE63" s="851">
        <f>IFERROR(IF(C63="",1.1,IF(U63="",1,IF($C63=1,VLOOKUP($B63,'Werkschema - Rekening'!$B$2:$G$46,6,FALSE),IF($C63=2,Instellingen!G$16,IF($C63=3,Instellingen!H$16,IF($C63=4,N63))))+$D63)+$Z63),1.1)</f>
        <v/>
      </c>
      <c r="AF63" s="852">
        <f>IF($B63="","",IFERROR(VLOOKUP($B63,'Werkschema - Rekening'!$B$2:$P$46,7,FALSE),""))</f>
        <v/>
      </c>
      <c r="AG63" s="851">
        <f>IFERROR(IF(C63="",1.1,IF(V63="",1,IF($C63=1,VLOOKUP($B63,'Werkschema - Rekening'!$B$2:$I$46,8,FALSE),IF($C63=2,Instellingen!I$16,IF($C63=3,Instellingen!J$16,IF($C63=4,O63))))+$D63)+$Z63),1.1)</f>
        <v/>
      </c>
      <c r="AH63" s="852">
        <f>IF($B63="","",IFERROR(VLOOKUP($B63,'Werkschema - Rekening'!$B$2:$P$46,9,FALSE),""))</f>
        <v/>
      </c>
      <c r="AI63" s="851">
        <f>IFERROR(IF(C63="",1.1,IF(W63="",1,IF($C63=1,VLOOKUP($B63,'Werkschema - Rekening'!$B$2:$K$46,10,FALSE),IF($C63=2,Instellingen!K$16,IF($C63=3,Instellingen!L$16,IF($C63=4,P63))))+$D63)+$Z63),1.1)</f>
        <v/>
      </c>
      <c r="AJ63" s="852">
        <f>IF($B63="","",IFERROR(VLOOKUP($B63,'Werkschema - Rekening'!$B$2:$P$46,11,FALSE),""))</f>
        <v/>
      </c>
      <c r="AK63" s="851">
        <f>IFERROR(IF(C63="",1.1,IF(X63="",1,IF($C63=1,VLOOKUP($B63,'Werkschema - Rekening'!$B$2:$M$46,12,FALSE),IF($C63=2,Instellingen!M$16,IF($C63=3,Instellingen!N$16,IF($C63=4,Q63))))+$D63)+$Z63),1.1)</f>
        <v/>
      </c>
      <c r="AL63" s="852">
        <f>IF($B63="","",IFERROR(VLOOKUP($B63,'Werkschema - Rekening'!$B$2:$P$46,13,FALSE),""))</f>
        <v/>
      </c>
      <c r="AM63" s="851">
        <f>IFERROR(IF(C63="",1.1,IF(Y63="",1,IF($C63=1,VLOOKUP($B63,'Werkschema - Rekening'!$B$2:$O$46,14,FALSE),IF($C63=2,Instellingen!O$16,IF($C63=3,Instellingen!P$16,IF($C63=4,R63))))+$D63)+$Z63),1.1)</f>
        <v/>
      </c>
      <c r="AN63" s="852">
        <f>IF($B63="","",IFERROR(VLOOKUP($B63,'Werkschema - Rekening'!$B$2:$P$46,15,FALSE),""))</f>
        <v/>
      </c>
      <c r="AO63" s="852">
        <f>A63</f>
        <v/>
      </c>
      <c r="AP63" s="852">
        <f>B63</f>
        <v/>
      </c>
    </row>
    <row r="64" ht="12.6" customHeight="1">
      <c r="A64" s="830">
        <f>'Aanpassen Werkschema'!B94</f>
        <v/>
      </c>
      <c r="B64" s="569">
        <f>'Aanpassen Werkschema'!C94</f>
        <v/>
      </c>
      <c r="C64" s="569">
        <f>IF('Aanpassen Werkschema'!D94="geplande taak",1,IF('Aanpassen Werkschema'!D94="openingstijd",2,IF('Aanpassen Werkschema'!D94="sluitingstijd",3,IF('Aanpassen Werkschema'!D94="vaste tijd",4,""))))</f>
        <v/>
      </c>
      <c r="D64" s="849">
        <f>'Aanpassen Werkschema'!E94</f>
        <v/>
      </c>
      <c r="E64" s="569">
        <f>IF('Aanpassen Werkschema'!F94="v","x","")</f>
        <v/>
      </c>
      <c r="F64" s="569">
        <f>IF('Aanpassen Werkschema'!G94="v","x","")</f>
        <v/>
      </c>
      <c r="G64" s="569">
        <f>IF('Aanpassen Werkschema'!H94="v","x","")</f>
        <v/>
      </c>
      <c r="H64" s="569">
        <f>IF('Aanpassen Werkschema'!I94="v","x","")</f>
        <v/>
      </c>
      <c r="I64" s="569">
        <f>IF('Aanpassen Werkschema'!J94="v","x","")</f>
        <v/>
      </c>
      <c r="J64" s="569">
        <f>IF('Aanpassen Werkschema'!K94="v","x","")</f>
        <v/>
      </c>
      <c r="K64" s="569">
        <f>IF('Aanpassen Werkschema'!L94="v","x","")</f>
        <v/>
      </c>
      <c r="L64" s="571">
        <f>IF('Aanpassen Werkschema'!M94&gt;0,'Aanpassen Werkschema'!M94,"")</f>
        <v/>
      </c>
      <c r="M64" s="571">
        <f>IF('Aanpassen Werkschema'!N94&gt;0,'Aanpassen Werkschema'!N94,"")</f>
        <v/>
      </c>
      <c r="N64" s="571">
        <f>IF('Aanpassen Werkschema'!O94&gt;0,'Aanpassen Werkschema'!O94,"")</f>
        <v/>
      </c>
      <c r="O64" s="571">
        <f>IF('Aanpassen Werkschema'!P94&gt;0,'Aanpassen Werkschema'!P94,"")</f>
        <v/>
      </c>
      <c r="P64" s="571">
        <f>IF('Aanpassen Werkschema'!Q94&gt;0,'Aanpassen Werkschema'!Q94,"")</f>
        <v/>
      </c>
      <c r="Q64" s="571">
        <f>IF('Aanpassen Werkschema'!R94&gt;0,'Aanpassen Werkschema'!R94,"")</f>
        <v/>
      </c>
      <c r="R64" s="571">
        <f>IF('Aanpassen Werkschema'!S94&gt;0,'Aanpassen Werkschema'!S94,"")</f>
        <v/>
      </c>
      <c r="S64" s="569">
        <f>IF('Aanpassen Werkschema'!T94="x","",IF('Aanpassen Werkschema'!N94="v","x",IF(E64="","",IF(E64="x","x"))))</f>
        <v/>
      </c>
      <c r="T64" s="569">
        <f>IF('Aanpassen Werkschema'!U94="x","",IF('Aanpassen Werkschema'!O94="v","x",IF(F64="","",IF(F64="x","x"))))</f>
        <v/>
      </c>
      <c r="U64" s="569">
        <f>IF('Aanpassen Werkschema'!V94="x","",IF('Aanpassen Werkschema'!P94="v","x",IF(G64="","",IF(G64="x","x"))))</f>
        <v/>
      </c>
      <c r="V64" s="569">
        <f>IF('Aanpassen Werkschema'!W94="x","",IF('Aanpassen Werkschema'!Q94="v","x",IF(H64="","",IF(H64="x","x"))))</f>
        <v/>
      </c>
      <c r="W64" s="569">
        <f>IF('Aanpassen Werkschema'!X94="x","",IF('Aanpassen Werkschema'!R94="v","x",IF(I64="","",IF(I64="x","x"))))</f>
        <v/>
      </c>
      <c r="X64" s="569">
        <f>IF('Aanpassen Werkschema'!Y94="x","",IF('Aanpassen Werkschema'!S94="v","x",IF(J64="","",IF(J64="x","x"))))</f>
        <v/>
      </c>
      <c r="Y64" s="569">
        <f>IF('Aanpassen Werkschema'!Z94="x","",IF('Aanpassen Werkschema'!T94="v","x",IF(K64="","",IF(K64="x","x"))))</f>
        <v/>
      </c>
      <c r="Z64" s="850">
        <f>Z63+0.0000000001</f>
        <v/>
      </c>
      <c r="AA64" s="851">
        <f>IFERROR(IF(C64="",1.1,IF(S64="",1,IF($C64=1,VLOOKUP($B64,'Werkschema - Rekening'!$B$2:$C$46,2,FALSE),IF($C64=2,Instellingen!C$16,IF($C64=3,Instellingen!D$16,IF($C64=4,L64))))+$D64)+$Z64),1.1)</f>
        <v/>
      </c>
      <c r="AB64" s="852">
        <f>IF($B64="","",IFERROR(VLOOKUP($B64,'Werkschema - Rekening'!$B$2:$P$46,3,FALSE),""))</f>
        <v/>
      </c>
      <c r="AC64" s="851">
        <f>IFERROR(IF(C64="",1.1,IF(T64="",1,IF($C64=1,VLOOKUP($B64,'Werkschema - Rekening'!$B$2:$E$46,4,FALSE),IF($C64=2,Instellingen!E$16,IF($C64=3,Instellingen!F$16,IF($C64=4,M64))))+$D64)+$Z64),1.1)</f>
        <v/>
      </c>
      <c r="AD64" s="852">
        <f>IF($B64="","",IFERROR(VLOOKUP($B64,'Werkschema - Rekening'!$B$2:$P$46,5,FALSE),""))</f>
        <v/>
      </c>
      <c r="AE64" s="851">
        <f>IFERROR(IF(C64="",1.1,IF(U64="",1,IF($C64=1,VLOOKUP($B64,'Werkschema - Rekening'!$B$2:$G$46,6,FALSE),IF($C64=2,Instellingen!G$16,IF($C64=3,Instellingen!H$16,IF($C64=4,N64))))+$D64)+$Z64),1.1)</f>
        <v/>
      </c>
      <c r="AF64" s="852">
        <f>IF($B64="","",IFERROR(VLOOKUP($B64,'Werkschema - Rekening'!$B$2:$P$46,7,FALSE),""))</f>
        <v/>
      </c>
      <c r="AG64" s="851">
        <f>IFERROR(IF(C64="",1.1,IF(V64="",1,IF($C64=1,VLOOKUP($B64,'Werkschema - Rekening'!$B$2:$I$46,8,FALSE),IF($C64=2,Instellingen!I$16,IF($C64=3,Instellingen!J$16,IF($C64=4,O64))))+$D64)+$Z64),1.1)</f>
        <v/>
      </c>
      <c r="AH64" s="852">
        <f>IF($B64="","",IFERROR(VLOOKUP($B64,'Werkschema - Rekening'!$B$2:$P$46,9,FALSE),""))</f>
        <v/>
      </c>
      <c r="AI64" s="851">
        <f>IFERROR(IF(C64="",1.1,IF(W64="",1,IF($C64=1,VLOOKUP($B64,'Werkschema - Rekening'!$B$2:$K$46,10,FALSE),IF($C64=2,Instellingen!K$16,IF($C64=3,Instellingen!L$16,IF($C64=4,P64))))+$D64)+$Z64),1.1)</f>
        <v/>
      </c>
      <c r="AJ64" s="852">
        <f>IF($B64="","",IFERROR(VLOOKUP($B64,'Werkschema - Rekening'!$B$2:$P$46,11,FALSE),""))</f>
        <v/>
      </c>
      <c r="AK64" s="851">
        <f>IFERROR(IF(C64="",1.1,IF(X64="",1,IF($C64=1,VLOOKUP($B64,'Werkschema - Rekening'!$B$2:$M$46,12,FALSE),IF($C64=2,Instellingen!M$16,IF($C64=3,Instellingen!N$16,IF($C64=4,Q64))))+$D64)+$Z64),1.1)</f>
        <v/>
      </c>
      <c r="AL64" s="852">
        <f>IF($B64="","",IFERROR(VLOOKUP($B64,'Werkschema - Rekening'!$B$2:$P$46,13,FALSE),""))</f>
        <v/>
      </c>
      <c r="AM64" s="851">
        <f>IFERROR(IF(C64="",1.1,IF(Y64="",1,IF($C64=1,VLOOKUP($B64,'Werkschema - Rekening'!$B$2:$O$46,14,FALSE),IF($C64=2,Instellingen!O$16,IF($C64=3,Instellingen!P$16,IF($C64=4,R64))))+$D64)+$Z64),1.1)</f>
        <v/>
      </c>
      <c r="AN64" s="852">
        <f>IF($B64="","",IFERROR(VLOOKUP($B64,'Werkschema - Rekening'!$B$2:$P$46,15,FALSE),""))</f>
        <v/>
      </c>
      <c r="AO64" s="852">
        <f>A64</f>
        <v/>
      </c>
      <c r="AP64" s="852">
        <f>B64</f>
        <v/>
      </c>
    </row>
    <row r="65" ht="12.6" customHeight="1">
      <c r="A65" s="830">
        <f>'Aanpassen Werkschema'!B95</f>
        <v/>
      </c>
      <c r="B65" s="569">
        <f>'Aanpassen Werkschema'!C95</f>
        <v/>
      </c>
      <c r="C65" s="569">
        <f>IF('Aanpassen Werkschema'!D95="geplande taak",1,IF('Aanpassen Werkschema'!D95="openingstijd",2,IF('Aanpassen Werkschema'!D95="sluitingstijd",3,IF('Aanpassen Werkschema'!D95="vaste tijd",4,""))))</f>
        <v/>
      </c>
      <c r="D65" s="849">
        <f>'Aanpassen Werkschema'!E95</f>
        <v/>
      </c>
      <c r="E65" s="569">
        <f>IF('Aanpassen Werkschema'!F95="v","x","")</f>
        <v/>
      </c>
      <c r="F65" s="569">
        <f>IF('Aanpassen Werkschema'!G95="v","x","")</f>
        <v/>
      </c>
      <c r="G65" s="569">
        <f>IF('Aanpassen Werkschema'!H95="v","x","")</f>
        <v/>
      </c>
      <c r="H65" s="569">
        <f>IF('Aanpassen Werkschema'!I95="v","x","")</f>
        <v/>
      </c>
      <c r="I65" s="569">
        <f>IF('Aanpassen Werkschema'!J95="v","x","")</f>
        <v/>
      </c>
      <c r="J65" s="569">
        <f>IF('Aanpassen Werkschema'!K95="v","x","")</f>
        <v/>
      </c>
      <c r="K65" s="569">
        <f>IF('Aanpassen Werkschema'!L95="v","x","")</f>
        <v/>
      </c>
      <c r="L65" s="571">
        <f>IF('Aanpassen Werkschema'!M95&gt;0,'Aanpassen Werkschema'!M95,"")</f>
        <v/>
      </c>
      <c r="M65" s="571">
        <f>IF('Aanpassen Werkschema'!N95&gt;0,'Aanpassen Werkschema'!N95,"")</f>
        <v/>
      </c>
      <c r="N65" s="571">
        <f>IF('Aanpassen Werkschema'!O95&gt;0,'Aanpassen Werkschema'!O95,"")</f>
        <v/>
      </c>
      <c r="O65" s="571">
        <f>IF('Aanpassen Werkschema'!P95&gt;0,'Aanpassen Werkschema'!P95,"")</f>
        <v/>
      </c>
      <c r="P65" s="571">
        <f>IF('Aanpassen Werkschema'!Q95&gt;0,'Aanpassen Werkschema'!Q95,"")</f>
        <v/>
      </c>
      <c r="Q65" s="571">
        <f>IF('Aanpassen Werkschema'!R95&gt;0,'Aanpassen Werkschema'!R95,"")</f>
        <v/>
      </c>
      <c r="R65" s="571">
        <f>IF('Aanpassen Werkschema'!S95&gt;0,'Aanpassen Werkschema'!S95,"")</f>
        <v/>
      </c>
      <c r="S65" s="569">
        <f>IF('Aanpassen Werkschema'!T95="x","",IF('Aanpassen Werkschema'!N95="v","x",IF(E65="","",IF(E65="x","x"))))</f>
        <v/>
      </c>
      <c r="T65" s="569">
        <f>IF('Aanpassen Werkschema'!U95="x","",IF('Aanpassen Werkschema'!O95="v","x",IF(F65="","",IF(F65="x","x"))))</f>
        <v/>
      </c>
      <c r="U65" s="569">
        <f>IF('Aanpassen Werkschema'!V95="x","",IF('Aanpassen Werkschema'!P95="v","x",IF(G65="","",IF(G65="x","x"))))</f>
        <v/>
      </c>
      <c r="V65" s="569">
        <f>IF('Aanpassen Werkschema'!W95="x","",IF('Aanpassen Werkschema'!Q95="v","x",IF(H65="","",IF(H65="x","x"))))</f>
        <v/>
      </c>
      <c r="W65" s="569">
        <f>IF('Aanpassen Werkschema'!X95="x","",IF('Aanpassen Werkschema'!R95="v","x",IF(I65="","",IF(I65="x","x"))))</f>
        <v/>
      </c>
      <c r="X65" s="569">
        <f>IF('Aanpassen Werkschema'!Y95="x","",IF('Aanpassen Werkschema'!S95="v","x",IF(J65="","",IF(J65="x","x"))))</f>
        <v/>
      </c>
      <c r="Y65" s="569">
        <f>IF('Aanpassen Werkschema'!Z95="x","",IF('Aanpassen Werkschema'!T95="v","x",IF(K65="","",IF(K65="x","x"))))</f>
        <v/>
      </c>
      <c r="Z65" s="850">
        <f>Z64+0.0000000001</f>
        <v/>
      </c>
      <c r="AA65" s="851">
        <f>IFERROR(IF(C65="",1.1,IF(S65="",1,IF($C65=1,VLOOKUP($B65,'Werkschema - Rekening'!$B$2:$C$46,2,FALSE),IF($C65=2,Instellingen!C$16,IF($C65=3,Instellingen!D$16,IF($C65=4,L65))))+$D65)+$Z65),1.1)</f>
        <v/>
      </c>
      <c r="AB65" s="852">
        <f>IF($B65="","",IFERROR(VLOOKUP($B65,'Werkschema - Rekening'!$B$2:$P$46,3,FALSE),""))</f>
        <v/>
      </c>
      <c r="AC65" s="851">
        <f>IFERROR(IF(C65="",1.1,IF(T65="",1,IF($C65=1,VLOOKUP($B65,'Werkschema - Rekening'!$B$2:$E$46,4,FALSE),IF($C65=2,Instellingen!E$16,IF($C65=3,Instellingen!F$16,IF($C65=4,M65))))+$D65)+$Z65),1.1)</f>
        <v/>
      </c>
      <c r="AD65" s="852">
        <f>IF($B65="","",IFERROR(VLOOKUP($B65,'Werkschema - Rekening'!$B$2:$P$46,5,FALSE),""))</f>
        <v/>
      </c>
      <c r="AE65" s="851">
        <f>IFERROR(IF(C65="",1.1,IF(U65="",1,IF($C65=1,VLOOKUP($B65,'Werkschema - Rekening'!$B$2:$G$46,6,FALSE),IF($C65=2,Instellingen!G$16,IF($C65=3,Instellingen!H$16,IF($C65=4,N65))))+$D65)+$Z65),1.1)</f>
        <v/>
      </c>
      <c r="AF65" s="852">
        <f>IF($B65="","",IFERROR(VLOOKUP($B65,'Werkschema - Rekening'!$B$2:$P$46,7,FALSE),""))</f>
        <v/>
      </c>
      <c r="AG65" s="851">
        <f>IFERROR(IF(C65="",1.1,IF(V65="",1,IF($C65=1,VLOOKUP($B65,'Werkschema - Rekening'!$B$2:$I$46,8,FALSE),IF($C65=2,Instellingen!I$16,IF($C65=3,Instellingen!J$16,IF($C65=4,O65))))+$D65)+$Z65),1.1)</f>
        <v/>
      </c>
      <c r="AH65" s="852">
        <f>IF($B65="","",IFERROR(VLOOKUP($B65,'Werkschema - Rekening'!$B$2:$P$46,9,FALSE),""))</f>
        <v/>
      </c>
      <c r="AI65" s="851">
        <f>IFERROR(IF(C65="",1.1,IF(W65="",1,IF($C65=1,VLOOKUP($B65,'Werkschema - Rekening'!$B$2:$K$46,10,FALSE),IF($C65=2,Instellingen!K$16,IF($C65=3,Instellingen!L$16,IF($C65=4,P65))))+$D65)+$Z65),1.1)</f>
        <v/>
      </c>
      <c r="AJ65" s="852">
        <f>IF($B65="","",IFERROR(VLOOKUP($B65,'Werkschema - Rekening'!$B$2:$P$46,11,FALSE),""))</f>
        <v/>
      </c>
      <c r="AK65" s="851">
        <f>IFERROR(IF(C65="",1.1,IF(X65="",1,IF($C65=1,VLOOKUP($B65,'Werkschema - Rekening'!$B$2:$M$46,12,FALSE),IF($C65=2,Instellingen!M$16,IF($C65=3,Instellingen!N$16,IF($C65=4,Q65))))+$D65)+$Z65),1.1)</f>
        <v/>
      </c>
      <c r="AL65" s="852">
        <f>IF($B65="","",IFERROR(VLOOKUP($B65,'Werkschema - Rekening'!$B$2:$P$46,13,FALSE),""))</f>
        <v/>
      </c>
      <c r="AM65" s="851">
        <f>IFERROR(IF(C65="",1.1,IF(Y65="",1,IF($C65=1,VLOOKUP($B65,'Werkschema - Rekening'!$B$2:$O$46,14,FALSE),IF($C65=2,Instellingen!O$16,IF($C65=3,Instellingen!P$16,IF($C65=4,R65))))+$D65)+$Z65),1.1)</f>
        <v/>
      </c>
      <c r="AN65" s="852">
        <f>IF($B65="","",IFERROR(VLOOKUP($B65,'Werkschema - Rekening'!$B$2:$P$46,15,FALSE),""))</f>
        <v/>
      </c>
      <c r="AO65" s="852">
        <f>A65</f>
        <v/>
      </c>
      <c r="AP65" s="852">
        <f>B65</f>
        <v/>
      </c>
    </row>
    <row r="66" ht="12.6" customHeight="1">
      <c r="A66" s="830">
        <f>'Aanpassen Werkschema'!B96</f>
        <v/>
      </c>
      <c r="B66" s="569">
        <f>'Aanpassen Werkschema'!C96</f>
        <v/>
      </c>
      <c r="C66" s="569">
        <f>IF('Aanpassen Werkschema'!D96="geplande taak",1,IF('Aanpassen Werkschema'!D96="openingstijd",2,IF('Aanpassen Werkschema'!D96="sluitingstijd",3,IF('Aanpassen Werkschema'!D96="vaste tijd",4,""))))</f>
        <v/>
      </c>
      <c r="D66" s="849">
        <f>'Aanpassen Werkschema'!#REF!</f>
        <v/>
      </c>
      <c r="E66" s="569">
        <f>IF('Aanpassen Werkschema'!F96="v","x","")</f>
        <v/>
      </c>
      <c r="F66" s="569">
        <f>IF('Aanpassen Werkschema'!G96="v","x","")</f>
        <v/>
      </c>
      <c r="G66" s="569">
        <f>IF('Aanpassen Werkschema'!H96="v","x","")</f>
        <v/>
      </c>
      <c r="H66" s="569">
        <f>IF('Aanpassen Werkschema'!I96="v","x","")</f>
        <v/>
      </c>
      <c r="I66" s="569">
        <f>IF('Aanpassen Werkschema'!J96="v","x","")</f>
        <v/>
      </c>
      <c r="J66" s="569">
        <f>IF('Aanpassen Werkschema'!K96="v","x","")</f>
        <v/>
      </c>
      <c r="K66" s="569">
        <f>IF('Aanpassen Werkschema'!L96="v","x","")</f>
        <v/>
      </c>
      <c r="L66" s="571">
        <f>IF('Aanpassen Werkschema'!M96&gt;0,'Aanpassen Werkschema'!M96,"")</f>
        <v/>
      </c>
      <c r="M66" s="571">
        <f>IF('Aanpassen Werkschema'!N96&gt;0,'Aanpassen Werkschema'!N96,"")</f>
        <v/>
      </c>
      <c r="N66" s="571">
        <f>IF('Aanpassen Werkschema'!O96&gt;0,'Aanpassen Werkschema'!O96,"")</f>
        <v/>
      </c>
      <c r="O66" s="571">
        <f>IF('Aanpassen Werkschema'!P96&gt;0,'Aanpassen Werkschema'!P96,"")</f>
        <v/>
      </c>
      <c r="P66" s="571">
        <f>IF('Aanpassen Werkschema'!Q96&gt;0,'Aanpassen Werkschema'!Q96,"")</f>
        <v/>
      </c>
      <c r="Q66" s="571">
        <f>IF('Aanpassen Werkschema'!R96&gt;0,'Aanpassen Werkschema'!R96,"")</f>
        <v/>
      </c>
      <c r="R66" s="571">
        <f>IF('Aanpassen Werkschema'!S96&gt;0,'Aanpassen Werkschema'!S96,"")</f>
        <v/>
      </c>
      <c r="S66" s="569">
        <f>IF('Aanpassen Werkschema'!T96="x","",IF('Aanpassen Werkschema'!N96="v","x",IF(E66="","",IF(E66="x","x"))))</f>
        <v/>
      </c>
      <c r="T66" s="569">
        <f>IF('Aanpassen Werkschema'!U96="x","",IF('Aanpassen Werkschema'!O96="v","x",IF(F66="","",IF(F66="x","x"))))</f>
        <v/>
      </c>
      <c r="U66" s="569">
        <f>IF('Aanpassen Werkschema'!V96="x","",IF('Aanpassen Werkschema'!P96="v","x",IF(G66="","",IF(G66="x","x"))))</f>
        <v/>
      </c>
      <c r="V66" s="569">
        <f>IF('Aanpassen Werkschema'!W96="x","",IF('Aanpassen Werkschema'!Q96="v","x",IF(H66="","",IF(H66="x","x"))))</f>
        <v/>
      </c>
      <c r="W66" s="569">
        <f>IF('Aanpassen Werkschema'!X96="x","",IF('Aanpassen Werkschema'!R96="v","x",IF(I66="","",IF(I66="x","x"))))</f>
        <v/>
      </c>
      <c r="X66" s="569">
        <f>IF('Aanpassen Werkschema'!Y96="x","",IF('Aanpassen Werkschema'!S96="v","x",IF(J66="","",IF(J66="x","x"))))</f>
        <v/>
      </c>
      <c r="Y66" s="569">
        <f>IF('Aanpassen Werkschema'!Z96="x","",IF('Aanpassen Werkschema'!T96="v","x",IF(K66="","",IF(K66="x","x"))))</f>
        <v/>
      </c>
      <c r="Z66" s="850">
        <f>Z65+0.0000000001</f>
        <v/>
      </c>
      <c r="AA66" s="851">
        <f>IFERROR(IF(C66="",1.1,IF(S66="",1,IF($C66=1,VLOOKUP($B66,'Werkschema - Rekening'!$B$2:$C$46,2,FALSE),IF($C66=2,Instellingen!C$16,IF($C66=3,Instellingen!D$16,IF($C66=4,L66))))+$D66)+$Z66),1.1)</f>
        <v/>
      </c>
      <c r="AB66" s="852">
        <f>IF($B66="","",IFERROR(VLOOKUP($B66,'Werkschema - Rekening'!$B$2:$P$46,3,FALSE),""))</f>
        <v/>
      </c>
      <c r="AC66" s="851">
        <f>IFERROR(IF(C66="",1.1,IF(T66="",1,IF($C66=1,VLOOKUP($B66,'Werkschema - Rekening'!$B$2:$E$46,4,FALSE),IF($C66=2,Instellingen!E$16,IF($C66=3,Instellingen!F$16,IF($C66=4,M66))))+$D66)+$Z66),1.1)</f>
        <v/>
      </c>
      <c r="AD66" s="852">
        <f>IF($B66="","",IFERROR(VLOOKUP($B66,'Werkschema - Rekening'!$B$2:$P$46,5,FALSE),""))</f>
        <v/>
      </c>
      <c r="AE66" s="851">
        <f>IFERROR(IF(C66="",1.1,IF(U66="",1,IF($C66=1,VLOOKUP($B66,'Werkschema - Rekening'!$B$2:$G$46,6,FALSE),IF($C66=2,Instellingen!G$16,IF($C66=3,Instellingen!H$16,IF($C66=4,N66))))+$D66)+$Z66),1.1)</f>
        <v/>
      </c>
      <c r="AF66" s="852">
        <f>IF($B66="","",IFERROR(VLOOKUP($B66,'Werkschema - Rekening'!$B$2:$P$46,7,FALSE),""))</f>
        <v/>
      </c>
      <c r="AG66" s="851">
        <f>IFERROR(IF(C66="",1.1,IF(V66="",1,IF($C66=1,VLOOKUP($B66,'Werkschema - Rekening'!$B$2:$I$46,8,FALSE),IF($C66=2,Instellingen!I$16,IF($C66=3,Instellingen!J$16,IF($C66=4,O66))))+$D66)+$Z66),1.1)</f>
        <v/>
      </c>
      <c r="AH66" s="852">
        <f>IF($B66="","",IFERROR(VLOOKUP($B66,'Werkschema - Rekening'!$B$2:$P$46,9,FALSE),""))</f>
        <v/>
      </c>
      <c r="AI66" s="851">
        <f>IFERROR(IF(C66="",1.1,IF(W66="",1,IF($C66=1,VLOOKUP($B66,'Werkschema - Rekening'!$B$2:$K$46,10,FALSE),IF($C66=2,Instellingen!K$16,IF($C66=3,Instellingen!L$16,IF($C66=4,P66))))+$D66)+$Z66),1.1)</f>
        <v/>
      </c>
      <c r="AJ66" s="852">
        <f>IF($B66="","",IFERROR(VLOOKUP($B66,'Werkschema - Rekening'!$B$2:$P$46,11,FALSE),""))</f>
        <v/>
      </c>
      <c r="AK66" s="851">
        <f>IFERROR(IF(C66="",1.1,IF(X66="",1,IF($C66=1,VLOOKUP($B66,'Werkschema - Rekening'!$B$2:$M$46,12,FALSE),IF($C66=2,Instellingen!M$16,IF($C66=3,Instellingen!N$16,IF($C66=4,Q66))))+$D66)+$Z66),1.1)</f>
        <v/>
      </c>
      <c r="AL66" s="852">
        <f>IF($B66="","",IFERROR(VLOOKUP($B66,'Werkschema - Rekening'!$B$2:$P$46,13,FALSE),""))</f>
        <v/>
      </c>
      <c r="AM66" s="851">
        <f>IFERROR(IF(C66="",1.1,IF(Y66="",1,IF($C66=1,VLOOKUP($B66,'Werkschema - Rekening'!$B$2:$O$46,14,FALSE),IF($C66=2,Instellingen!O$16,IF($C66=3,Instellingen!P$16,IF($C66=4,R66))))+$D66)+$Z66),1.1)</f>
        <v/>
      </c>
      <c r="AN66" s="852">
        <f>IF($B66="","",IFERROR(VLOOKUP($B66,'Werkschema - Rekening'!$B$2:$P$46,15,FALSE),""))</f>
        <v/>
      </c>
      <c r="AO66" s="852">
        <f>A66</f>
        <v/>
      </c>
      <c r="AP66" s="852">
        <f>B66</f>
        <v/>
      </c>
    </row>
    <row r="67" ht="12.6" customHeight="1">
      <c r="A67" s="830">
        <f>'Aanpassen Werkschema'!B97</f>
        <v/>
      </c>
      <c r="B67" s="569">
        <f>'Aanpassen Werkschema'!C97</f>
        <v/>
      </c>
      <c r="C67" s="569">
        <f>IF('Aanpassen Werkschema'!D97="geplande taak",1,IF('Aanpassen Werkschema'!D97="openingstijd",2,IF('Aanpassen Werkschema'!D97="sluitingstijd",3,IF('Aanpassen Werkschema'!D97="vaste tijd",4,""))))</f>
        <v/>
      </c>
      <c r="D67" s="849">
        <f>'Aanpassen Werkschema'!E97</f>
        <v/>
      </c>
      <c r="E67" s="569">
        <f>IF('Aanpassen Werkschema'!F97="v","x","")</f>
        <v/>
      </c>
      <c r="F67" s="569">
        <f>IF('Aanpassen Werkschema'!G97="v","x","")</f>
        <v/>
      </c>
      <c r="G67" s="569">
        <f>IF('Aanpassen Werkschema'!H97="v","x","")</f>
        <v/>
      </c>
      <c r="H67" s="569">
        <f>IF('Aanpassen Werkschema'!I97="v","x","")</f>
        <v/>
      </c>
      <c r="I67" s="569">
        <f>IF('Aanpassen Werkschema'!J97="v","x","")</f>
        <v/>
      </c>
      <c r="J67" s="569">
        <f>IF('Aanpassen Werkschema'!K97="v","x","")</f>
        <v/>
      </c>
      <c r="K67" s="569">
        <f>IF('Aanpassen Werkschema'!L97="v","x","")</f>
        <v/>
      </c>
      <c r="L67" s="571">
        <f>IF('Aanpassen Werkschema'!M97&gt;0,'Aanpassen Werkschema'!M97,"")</f>
        <v/>
      </c>
      <c r="M67" s="571">
        <f>IF('Aanpassen Werkschema'!N97&gt;0,'Aanpassen Werkschema'!N97,"")</f>
        <v/>
      </c>
      <c r="N67" s="571">
        <f>IF('Aanpassen Werkschema'!O97&gt;0,'Aanpassen Werkschema'!O97,"")</f>
        <v/>
      </c>
      <c r="O67" s="571">
        <f>IF('Aanpassen Werkschema'!P97&gt;0,'Aanpassen Werkschema'!P97,"")</f>
        <v/>
      </c>
      <c r="P67" s="571">
        <f>IF('Aanpassen Werkschema'!Q97&gt;0,'Aanpassen Werkschema'!Q97,"")</f>
        <v/>
      </c>
      <c r="Q67" s="571">
        <f>IF('Aanpassen Werkschema'!R97&gt;0,'Aanpassen Werkschema'!R97,"")</f>
        <v/>
      </c>
      <c r="R67" s="571">
        <f>IF('Aanpassen Werkschema'!S97&gt;0,'Aanpassen Werkschema'!S97,"")</f>
        <v/>
      </c>
      <c r="S67" s="569">
        <f>IF('Aanpassen Werkschema'!T97="x","",IF('Aanpassen Werkschema'!N97="v","x",IF(E67="","",IF(E67="x","x"))))</f>
        <v/>
      </c>
      <c r="T67" s="569">
        <f>IF('Aanpassen Werkschema'!U97="x","",IF('Aanpassen Werkschema'!O97="v","x",IF(F67="","",IF(F67="x","x"))))</f>
        <v/>
      </c>
      <c r="U67" s="569">
        <f>IF('Aanpassen Werkschema'!V97="x","",IF('Aanpassen Werkschema'!P97="v","x",IF(G67="","",IF(G67="x","x"))))</f>
        <v/>
      </c>
      <c r="V67" s="569">
        <f>IF('Aanpassen Werkschema'!W97="x","",IF('Aanpassen Werkschema'!Q97="v","x",IF(H67="","",IF(H67="x","x"))))</f>
        <v/>
      </c>
      <c r="W67" s="569">
        <f>IF('Aanpassen Werkschema'!X97="x","",IF('Aanpassen Werkschema'!R97="v","x",IF(I67="","",IF(I67="x","x"))))</f>
        <v/>
      </c>
      <c r="X67" s="569">
        <f>IF('Aanpassen Werkschema'!Y97="x","",IF('Aanpassen Werkschema'!S97="v","x",IF(J67="","",IF(J67="x","x"))))</f>
        <v/>
      </c>
      <c r="Y67" s="569">
        <f>IF('Aanpassen Werkschema'!Z97="x","",IF('Aanpassen Werkschema'!T97="v","x",IF(K67="","",IF(K67="x","x"))))</f>
        <v/>
      </c>
      <c r="Z67" s="850">
        <f>Z66+0.0000000001</f>
        <v/>
      </c>
      <c r="AA67" s="851">
        <f>IFERROR(IF(C67="",1.1,IF(S67="",1,IF($C67=1,VLOOKUP($B67,'Werkschema - Rekening'!$B$2:$C$46,2,FALSE),IF($C67=2,Instellingen!C$16,IF($C67=3,Instellingen!D$16,IF($C67=4,L67))))+$D67)+$Z67),1.1)</f>
        <v/>
      </c>
      <c r="AB67" s="852">
        <f>IF($B67="","",IFERROR(VLOOKUP($B67,'Werkschema - Rekening'!$B$2:$P$46,3,FALSE),""))</f>
        <v/>
      </c>
      <c r="AC67" s="851">
        <f>IFERROR(IF(C67="",1.1,IF(T67="",1,IF($C67=1,VLOOKUP($B67,'Werkschema - Rekening'!$B$2:$E$46,4,FALSE),IF($C67=2,Instellingen!E$16,IF($C67=3,Instellingen!F$16,IF($C67=4,M67))))+$D67)+$Z67),1.1)</f>
        <v/>
      </c>
      <c r="AD67" s="852">
        <f>IF($B67="","",IFERROR(VLOOKUP($B67,'Werkschema - Rekening'!$B$2:$P$46,5,FALSE),""))</f>
        <v/>
      </c>
      <c r="AE67" s="851">
        <f>IFERROR(IF(C67="",1.1,IF(U67="",1,IF($C67=1,VLOOKUP($B67,'Werkschema - Rekening'!$B$2:$G$46,6,FALSE),IF($C67=2,Instellingen!G$16,IF($C67=3,Instellingen!H$16,IF($C67=4,N67))))+$D67)+$Z67),1.1)</f>
        <v/>
      </c>
      <c r="AF67" s="852">
        <f>IF($B67="","",IFERROR(VLOOKUP($B67,'Werkschema - Rekening'!$B$2:$P$46,7,FALSE),""))</f>
        <v/>
      </c>
      <c r="AG67" s="851">
        <f>IFERROR(IF(C67="",1.1,IF(V67="",1,IF($C67=1,VLOOKUP($B67,'Werkschema - Rekening'!$B$2:$I$46,8,FALSE),IF($C67=2,Instellingen!I$16,IF($C67=3,Instellingen!J$16,IF($C67=4,O67))))+$D67)+$Z67),1.1)</f>
        <v/>
      </c>
      <c r="AH67" s="852">
        <f>IF($B67="","",IFERROR(VLOOKUP($B67,'Werkschema - Rekening'!$B$2:$P$46,9,FALSE),""))</f>
        <v/>
      </c>
      <c r="AI67" s="851">
        <f>IFERROR(IF(C67="",1.1,IF(W67="",1,IF($C67=1,VLOOKUP($B67,'Werkschema - Rekening'!$B$2:$K$46,10,FALSE),IF($C67=2,Instellingen!K$16,IF($C67=3,Instellingen!L$16,IF($C67=4,P67))))+$D67)+$Z67),1.1)</f>
        <v/>
      </c>
      <c r="AJ67" s="852">
        <f>IF($B67="","",IFERROR(VLOOKUP($B67,'Werkschema - Rekening'!$B$2:$P$46,11,FALSE),""))</f>
        <v/>
      </c>
      <c r="AK67" s="851">
        <f>IFERROR(IF(C67="",1.1,IF(X67="",1,IF($C67=1,VLOOKUP($B67,'Werkschema - Rekening'!$B$2:$M$46,12,FALSE),IF($C67=2,Instellingen!M$16,IF($C67=3,Instellingen!N$16,IF($C67=4,Q67))))+$D67)+$Z67),1.1)</f>
        <v/>
      </c>
      <c r="AL67" s="852">
        <f>IF($B67="","",IFERROR(VLOOKUP($B67,'Werkschema - Rekening'!$B$2:$P$46,13,FALSE),""))</f>
        <v/>
      </c>
      <c r="AM67" s="851">
        <f>IFERROR(IF(C67="",1.1,IF(Y67="",1,IF($C67=1,VLOOKUP($B67,'Werkschema - Rekening'!$B$2:$O$46,14,FALSE),IF($C67=2,Instellingen!O$16,IF($C67=3,Instellingen!P$16,IF($C67=4,R67))))+$D67)+$Z67),1.1)</f>
        <v/>
      </c>
      <c r="AN67" s="852">
        <f>IF($B67="","",IFERROR(VLOOKUP($B67,'Werkschema - Rekening'!$B$2:$P$46,15,FALSE),""))</f>
        <v/>
      </c>
      <c r="AO67" s="852">
        <f>A67</f>
        <v/>
      </c>
      <c r="AP67" s="852">
        <f>B67</f>
        <v/>
      </c>
    </row>
    <row r="68" ht="12.6" customHeight="1">
      <c r="A68" s="830">
        <f>'Aanpassen Werkschema'!B98</f>
        <v/>
      </c>
      <c r="B68" s="569">
        <f>'Aanpassen Werkschema'!C98</f>
        <v/>
      </c>
      <c r="C68" s="569">
        <f>IF('Aanpassen Werkschema'!D98="geplande taak",1,IF('Aanpassen Werkschema'!D98="openingstijd",2,IF('Aanpassen Werkschema'!D98="sluitingstijd",3,IF('Aanpassen Werkschema'!D98="vaste tijd",4,""))))</f>
        <v/>
      </c>
      <c r="D68" s="849">
        <f>'Aanpassen Werkschema'!E98</f>
        <v/>
      </c>
      <c r="E68" s="569">
        <f>IF('Aanpassen Werkschema'!F98="v","x","")</f>
        <v/>
      </c>
      <c r="F68" s="569">
        <f>IF('Aanpassen Werkschema'!G98="v","x","")</f>
        <v/>
      </c>
      <c r="G68" s="569">
        <f>IF('Aanpassen Werkschema'!H98="v","x","")</f>
        <v/>
      </c>
      <c r="H68" s="569">
        <f>IF('Aanpassen Werkschema'!I98="v","x","")</f>
        <v/>
      </c>
      <c r="I68" s="569">
        <f>IF('Aanpassen Werkschema'!J98="v","x","")</f>
        <v/>
      </c>
      <c r="J68" s="569">
        <f>IF('Aanpassen Werkschema'!K98="v","x","")</f>
        <v/>
      </c>
      <c r="K68" s="569">
        <f>IF('Aanpassen Werkschema'!L98="v","x","")</f>
        <v/>
      </c>
      <c r="L68" s="571">
        <f>IF('Aanpassen Werkschema'!M98&gt;0,'Aanpassen Werkschema'!M98,"")</f>
        <v/>
      </c>
      <c r="M68" s="571">
        <f>IF('Aanpassen Werkschema'!N98&gt;0,'Aanpassen Werkschema'!N98,"")</f>
        <v/>
      </c>
      <c r="N68" s="571">
        <f>IF('Aanpassen Werkschema'!O98&gt;0,'Aanpassen Werkschema'!O98,"")</f>
        <v/>
      </c>
      <c r="O68" s="571">
        <f>IF('Aanpassen Werkschema'!P98&gt;0,'Aanpassen Werkschema'!P98,"")</f>
        <v/>
      </c>
      <c r="P68" s="571">
        <f>IF('Aanpassen Werkschema'!Q98&gt;0,'Aanpassen Werkschema'!Q98,"")</f>
        <v/>
      </c>
      <c r="Q68" s="571">
        <f>IF('Aanpassen Werkschema'!R98&gt;0,'Aanpassen Werkschema'!R98,"")</f>
        <v/>
      </c>
      <c r="R68" s="571">
        <f>IF('Aanpassen Werkschema'!S98&gt;0,'Aanpassen Werkschema'!S98,"")</f>
        <v/>
      </c>
      <c r="S68" s="569">
        <f>IF('Aanpassen Werkschema'!T98="x","",IF('Aanpassen Werkschema'!N98="v","x",IF(E68="","",IF(E68="x","x"))))</f>
        <v/>
      </c>
      <c r="T68" s="569">
        <f>IF('Aanpassen Werkschema'!U98="x","",IF('Aanpassen Werkschema'!O98="v","x",IF(F68="","",IF(F68="x","x"))))</f>
        <v/>
      </c>
      <c r="U68" s="569">
        <f>IF('Aanpassen Werkschema'!V98="x","",IF('Aanpassen Werkschema'!P98="v","x",IF(G68="","",IF(G68="x","x"))))</f>
        <v/>
      </c>
      <c r="V68" s="569">
        <f>IF('Aanpassen Werkschema'!W98="x","",IF('Aanpassen Werkschema'!Q98="v","x",IF(H68="","",IF(H68="x","x"))))</f>
        <v/>
      </c>
      <c r="W68" s="569">
        <f>IF('Aanpassen Werkschema'!X98="x","",IF('Aanpassen Werkschema'!R98="v","x",IF(I68="","",IF(I68="x","x"))))</f>
        <v/>
      </c>
      <c r="X68" s="569">
        <f>IF('Aanpassen Werkschema'!Y98="x","",IF('Aanpassen Werkschema'!S98="v","x",IF(J68="","",IF(J68="x","x"))))</f>
        <v/>
      </c>
      <c r="Y68" s="569">
        <f>IF('Aanpassen Werkschema'!Z98="x","",IF('Aanpassen Werkschema'!T98="v","x",IF(K68="","",IF(K68="x","x"))))</f>
        <v/>
      </c>
      <c r="Z68" s="850">
        <f>Z67+0.0000000001</f>
        <v/>
      </c>
      <c r="AA68" s="851">
        <f>IFERROR(IF(C68="",1.1,IF(S68="",1,IF($C68=1,VLOOKUP($B68,'Werkschema - Rekening'!$B$2:$C$46,2,FALSE),IF($C68=2,Instellingen!C$16,IF($C68=3,Instellingen!D$16,IF($C68=4,L68))))+$D68)+$Z68),1.1)</f>
        <v/>
      </c>
      <c r="AB68" s="852">
        <f>IF($B68="","",IFERROR(VLOOKUP($B68,'Werkschema - Rekening'!$B$2:$P$46,3,FALSE),""))</f>
        <v/>
      </c>
      <c r="AC68" s="851">
        <f>IFERROR(IF(C68="",1.1,IF(T68="",1,IF($C68=1,VLOOKUP($B68,'Werkschema - Rekening'!$B$2:$E$46,4,FALSE),IF($C68=2,Instellingen!E$16,IF($C68=3,Instellingen!F$16,IF($C68=4,M68))))+$D68)+$Z68),1.1)</f>
        <v/>
      </c>
      <c r="AD68" s="852">
        <f>IF($B68="","",IFERROR(VLOOKUP($B68,'Werkschema - Rekening'!$B$2:$P$46,5,FALSE),""))</f>
        <v/>
      </c>
      <c r="AE68" s="851">
        <f>IFERROR(IF(C68="",1.1,IF(U68="",1,IF($C68=1,VLOOKUP($B68,'Werkschema - Rekening'!$B$2:$G$46,6,FALSE),IF($C68=2,Instellingen!G$16,IF($C68=3,Instellingen!H$16,IF($C68=4,N68))))+$D68)+$Z68),1.1)</f>
        <v/>
      </c>
      <c r="AF68" s="852">
        <f>IF($B68="","",IFERROR(VLOOKUP($B68,'Werkschema - Rekening'!$B$2:$P$46,7,FALSE),""))</f>
        <v/>
      </c>
      <c r="AG68" s="851">
        <f>IFERROR(IF(C68="",1.1,IF(V68="",1,IF($C68=1,VLOOKUP($B68,'Werkschema - Rekening'!$B$2:$I$46,8,FALSE),IF($C68=2,Instellingen!I$16,IF($C68=3,Instellingen!J$16,IF($C68=4,O68))))+$D68)+$Z68),1.1)</f>
        <v/>
      </c>
      <c r="AH68" s="852">
        <f>IF($B68="","",IFERROR(VLOOKUP($B68,'Werkschema - Rekening'!$B$2:$P$46,9,FALSE),""))</f>
        <v/>
      </c>
      <c r="AI68" s="851">
        <f>IFERROR(IF(C68="",1.1,IF(W68="",1,IF($C68=1,VLOOKUP($B68,'Werkschema - Rekening'!$B$2:$K$46,10,FALSE),IF($C68=2,Instellingen!K$16,IF($C68=3,Instellingen!L$16,IF($C68=4,P68))))+$D68)+$Z68),1.1)</f>
        <v/>
      </c>
      <c r="AJ68" s="852">
        <f>IF($B68="","",IFERROR(VLOOKUP($B68,'Werkschema - Rekening'!$B$2:$P$46,11,FALSE),""))</f>
        <v/>
      </c>
      <c r="AK68" s="851">
        <f>IFERROR(IF(C68="",1.1,IF(X68="",1,IF($C68=1,VLOOKUP($B68,'Werkschema - Rekening'!$B$2:$M$46,12,FALSE),IF($C68=2,Instellingen!M$16,IF($C68=3,Instellingen!N$16,IF($C68=4,Q68))))+$D68)+$Z68),1.1)</f>
        <v/>
      </c>
      <c r="AL68" s="852">
        <f>IF($B68="","",IFERROR(VLOOKUP($B68,'Werkschema - Rekening'!$B$2:$P$46,13,FALSE),""))</f>
        <v/>
      </c>
      <c r="AM68" s="851">
        <f>IFERROR(IF(C68="",1.1,IF(Y68="",1,IF($C68=1,VLOOKUP($B68,'Werkschema - Rekening'!$B$2:$O$46,14,FALSE),IF($C68=2,Instellingen!O$16,IF($C68=3,Instellingen!P$16,IF($C68=4,R68))))+$D68)+$Z68),1.1)</f>
        <v/>
      </c>
      <c r="AN68" s="852">
        <f>IF($B68="","",IFERROR(VLOOKUP($B68,'Werkschema - Rekening'!$B$2:$P$46,15,FALSE),""))</f>
        <v/>
      </c>
      <c r="AO68" s="852">
        <f>A68</f>
        <v/>
      </c>
      <c r="AP68" s="852">
        <f>B68</f>
        <v/>
      </c>
    </row>
    <row r="69" ht="12.6" customHeight="1">
      <c r="A69" s="830">
        <f>'Aanpassen Werkschema'!B99</f>
        <v/>
      </c>
      <c r="B69" s="569">
        <f>'Aanpassen Werkschema'!C99</f>
        <v/>
      </c>
      <c r="C69" s="569">
        <f>IF('Aanpassen Werkschema'!D99="geplande taak",1,IF('Aanpassen Werkschema'!D99="openingstijd",2,IF('Aanpassen Werkschema'!D99="sluitingstijd",3,IF('Aanpassen Werkschema'!D99="vaste tijd",4,""))))</f>
        <v/>
      </c>
      <c r="D69" s="849">
        <f>'Aanpassen Werkschema'!E99</f>
        <v/>
      </c>
      <c r="E69" s="569">
        <f>IF('Aanpassen Werkschema'!F99="v","x","")</f>
        <v/>
      </c>
      <c r="F69" s="569">
        <f>IF('Aanpassen Werkschema'!G99="v","x","")</f>
        <v/>
      </c>
      <c r="G69" s="569">
        <f>IF('Aanpassen Werkschema'!H99="v","x","")</f>
        <v/>
      </c>
      <c r="H69" s="569">
        <f>IF('Aanpassen Werkschema'!I99="v","x","")</f>
        <v/>
      </c>
      <c r="I69" s="569">
        <f>IF('Aanpassen Werkschema'!J99="v","x","")</f>
        <v/>
      </c>
      <c r="J69" s="569">
        <f>IF('Aanpassen Werkschema'!K99="v","x","")</f>
        <v/>
      </c>
      <c r="K69" s="569">
        <f>IF('Aanpassen Werkschema'!L99="v","x","")</f>
        <v/>
      </c>
      <c r="L69" s="571">
        <f>IF('Aanpassen Werkschema'!M99&gt;0,'Aanpassen Werkschema'!M99,"")</f>
        <v/>
      </c>
      <c r="M69" s="571">
        <f>IF('Aanpassen Werkschema'!N99&gt;0,'Aanpassen Werkschema'!N99,"")</f>
        <v/>
      </c>
      <c r="N69" s="571">
        <f>IF('Aanpassen Werkschema'!O99&gt;0,'Aanpassen Werkschema'!O99,"")</f>
        <v/>
      </c>
      <c r="O69" s="571">
        <f>IF('Aanpassen Werkschema'!P99&gt;0,'Aanpassen Werkschema'!P99,"")</f>
        <v/>
      </c>
      <c r="P69" s="571">
        <f>IF('Aanpassen Werkschema'!Q99&gt;0,'Aanpassen Werkschema'!Q99,"")</f>
        <v/>
      </c>
      <c r="Q69" s="571">
        <f>IF('Aanpassen Werkschema'!R99&gt;0,'Aanpassen Werkschema'!R99,"")</f>
        <v/>
      </c>
      <c r="R69" s="571">
        <f>IF('Aanpassen Werkschema'!S99&gt;0,'Aanpassen Werkschema'!S99,"")</f>
        <v/>
      </c>
      <c r="S69" s="569">
        <f>IF('Aanpassen Werkschema'!T99="x","",IF('Aanpassen Werkschema'!N99="v","x",IF(E69="","",IF(E69="x","x"))))</f>
        <v/>
      </c>
      <c r="T69" s="569">
        <f>IF('Aanpassen Werkschema'!U99="x","",IF('Aanpassen Werkschema'!O99="v","x",IF(F69="","",IF(F69="x","x"))))</f>
        <v/>
      </c>
      <c r="U69" s="569">
        <f>IF('Aanpassen Werkschema'!V99="x","",IF('Aanpassen Werkschema'!P99="v","x",IF(G69="","",IF(G69="x","x"))))</f>
        <v/>
      </c>
      <c r="V69" s="569">
        <f>IF('Aanpassen Werkschema'!W99="x","",IF('Aanpassen Werkschema'!Q99="v","x",IF(H69="","",IF(H69="x","x"))))</f>
        <v/>
      </c>
      <c r="W69" s="569">
        <f>IF('Aanpassen Werkschema'!X99="x","",IF('Aanpassen Werkschema'!R99="v","x",IF(I69="","",IF(I69="x","x"))))</f>
        <v/>
      </c>
      <c r="X69" s="569">
        <f>IF('Aanpassen Werkschema'!Y99="x","",IF('Aanpassen Werkschema'!S99="v","x",IF(J69="","",IF(J69="x","x"))))</f>
        <v/>
      </c>
      <c r="Y69" s="569">
        <f>IF('Aanpassen Werkschema'!Z99="x","",IF('Aanpassen Werkschema'!T99="v","x",IF(K69="","",IF(K69="x","x"))))</f>
        <v/>
      </c>
      <c r="Z69" s="850">
        <f>Z68+0.0000000001</f>
        <v/>
      </c>
      <c r="AA69" s="851">
        <f>IFERROR(IF(C69="",1.1,IF(S69="",1,IF($C69=1,VLOOKUP($B69,'Werkschema - Rekening'!$B$2:$C$46,2,FALSE),IF($C69=2,Instellingen!C$16,IF($C69=3,Instellingen!D$16,IF($C69=4,L69))))+$D69)+$Z69),1.1)</f>
        <v/>
      </c>
      <c r="AB69" s="852">
        <f>IF($B69="","",IFERROR(VLOOKUP($B69,'Werkschema - Rekening'!$B$2:$P$46,3,FALSE),""))</f>
        <v/>
      </c>
      <c r="AC69" s="851">
        <f>IFERROR(IF(C69="",1.1,IF(T69="",1,IF($C69=1,VLOOKUP($B69,'Werkschema - Rekening'!$B$2:$E$46,4,FALSE),IF($C69=2,Instellingen!E$16,IF($C69=3,Instellingen!F$16,IF($C69=4,M69))))+$D69)+$Z69),1.1)</f>
        <v/>
      </c>
      <c r="AD69" s="852">
        <f>IF($B69="","",IFERROR(VLOOKUP($B69,'Werkschema - Rekening'!$B$2:$P$46,5,FALSE),""))</f>
        <v/>
      </c>
      <c r="AE69" s="851">
        <f>IFERROR(IF(C69="",1.1,IF(U69="",1,IF($C69=1,VLOOKUP($B69,'Werkschema - Rekening'!$B$2:$G$46,6,FALSE),IF($C69=2,Instellingen!G$16,IF($C69=3,Instellingen!H$16,IF($C69=4,N69))))+$D69)+$Z69),1.1)</f>
        <v/>
      </c>
      <c r="AF69" s="852">
        <f>IF($B69="","",IFERROR(VLOOKUP($B69,'Werkschema - Rekening'!$B$2:$P$46,7,FALSE),""))</f>
        <v/>
      </c>
      <c r="AG69" s="851">
        <f>IFERROR(IF(C69="",1.1,IF(V69="",1,IF($C69=1,VLOOKUP($B69,'Werkschema - Rekening'!$B$2:$I$46,8,FALSE),IF($C69=2,Instellingen!I$16,IF($C69=3,Instellingen!J$16,IF($C69=4,O69))))+$D69)+$Z69),1.1)</f>
        <v/>
      </c>
      <c r="AH69" s="852">
        <f>IF($B69="","",IFERROR(VLOOKUP($B69,'Werkschema - Rekening'!$B$2:$P$46,9,FALSE),""))</f>
        <v/>
      </c>
      <c r="AI69" s="851">
        <f>IFERROR(IF(C69="",1.1,IF(W69="",1,IF($C69=1,VLOOKUP($B69,'Werkschema - Rekening'!$B$2:$K$46,10,FALSE),IF($C69=2,Instellingen!K$16,IF($C69=3,Instellingen!L$16,IF($C69=4,P69))))+$D69)+$Z69),1.1)</f>
        <v/>
      </c>
      <c r="AJ69" s="852">
        <f>IF($B69="","",IFERROR(VLOOKUP($B69,'Werkschema - Rekening'!$B$2:$P$46,11,FALSE),""))</f>
        <v/>
      </c>
      <c r="AK69" s="851">
        <f>IFERROR(IF(C69="",1.1,IF(X69="",1,IF($C69=1,VLOOKUP($B69,'Werkschema - Rekening'!$B$2:$M$46,12,FALSE),IF($C69=2,Instellingen!M$16,IF($C69=3,Instellingen!N$16,IF($C69=4,Q69))))+$D69)+$Z69),1.1)</f>
        <v/>
      </c>
      <c r="AL69" s="852">
        <f>IF($B69="","",IFERROR(VLOOKUP($B69,'Werkschema - Rekening'!$B$2:$P$46,13,FALSE),""))</f>
        <v/>
      </c>
      <c r="AM69" s="851">
        <f>IFERROR(IF(C69="",1.1,IF(Y69="",1,IF($C69=1,VLOOKUP($B69,'Werkschema - Rekening'!$B$2:$O$46,14,FALSE),IF($C69=2,Instellingen!O$16,IF($C69=3,Instellingen!P$16,IF($C69=4,R69))))+$D69)+$Z69),1.1)</f>
        <v/>
      </c>
      <c r="AN69" s="852">
        <f>IF($B69="","",IFERROR(VLOOKUP($B69,'Werkschema - Rekening'!$B$2:$P$46,15,FALSE),""))</f>
        <v/>
      </c>
      <c r="AO69" s="852">
        <f>A69</f>
        <v/>
      </c>
      <c r="AP69" s="852">
        <f>B69</f>
        <v/>
      </c>
    </row>
    <row r="70" ht="12.6" customHeight="1">
      <c r="A70" s="830">
        <f>'Aanpassen Werkschema'!B100</f>
        <v/>
      </c>
      <c r="B70" s="569">
        <f>'Aanpassen Werkschema'!C100</f>
        <v/>
      </c>
      <c r="C70" s="569">
        <f>IF('Aanpassen Werkschema'!D100="geplande taak",1,IF('Aanpassen Werkschema'!D100="openingstijd",2,IF('Aanpassen Werkschema'!D100="sluitingstijd",3,IF('Aanpassen Werkschema'!D100="vaste tijd",4,""))))</f>
        <v/>
      </c>
      <c r="D70" s="849">
        <f>'Aanpassen Werkschema'!E100</f>
        <v/>
      </c>
      <c r="E70" s="569">
        <f>IF('Aanpassen Werkschema'!F100="v","x","")</f>
        <v/>
      </c>
      <c r="F70" s="569">
        <f>IF('Aanpassen Werkschema'!G100="v","x","")</f>
        <v/>
      </c>
      <c r="G70" s="569">
        <f>IF('Aanpassen Werkschema'!H100="v","x","")</f>
        <v/>
      </c>
      <c r="H70" s="569">
        <f>IF('Aanpassen Werkschema'!I100="v","x","")</f>
        <v/>
      </c>
      <c r="I70" s="569">
        <f>IF('Aanpassen Werkschema'!J100="v","x","")</f>
        <v/>
      </c>
      <c r="J70" s="569">
        <f>IF('Aanpassen Werkschema'!K100="v","x","")</f>
        <v/>
      </c>
      <c r="K70" s="569">
        <f>IF('Aanpassen Werkschema'!L100="v","x","")</f>
        <v/>
      </c>
      <c r="L70" s="571">
        <f>IF('Aanpassen Werkschema'!M100&gt;0,'Aanpassen Werkschema'!M100,"")</f>
        <v/>
      </c>
      <c r="M70" s="571">
        <f>IF('Aanpassen Werkschema'!N100&gt;0,'Aanpassen Werkschema'!N100,"")</f>
        <v/>
      </c>
      <c r="N70" s="571">
        <f>IF('Aanpassen Werkschema'!O100&gt;0,'Aanpassen Werkschema'!O100,"")</f>
        <v/>
      </c>
      <c r="O70" s="571">
        <f>IF('Aanpassen Werkschema'!P100&gt;0,'Aanpassen Werkschema'!P100,"")</f>
        <v/>
      </c>
      <c r="P70" s="571">
        <f>IF('Aanpassen Werkschema'!Q100&gt;0,'Aanpassen Werkschema'!Q100,"")</f>
        <v/>
      </c>
      <c r="Q70" s="571">
        <f>IF('Aanpassen Werkschema'!R100&gt;0,'Aanpassen Werkschema'!R100,"")</f>
        <v/>
      </c>
      <c r="R70" s="571">
        <f>IF('Aanpassen Werkschema'!S100&gt;0,'Aanpassen Werkschema'!S100,"")</f>
        <v/>
      </c>
      <c r="S70" s="569">
        <f>IF('Aanpassen Werkschema'!T100="x","",IF('Aanpassen Werkschema'!N100="v","x",IF(E70="","",IF(E70="x","x"))))</f>
        <v/>
      </c>
      <c r="T70" s="569">
        <f>IF('Aanpassen Werkschema'!U100="x","",IF('Aanpassen Werkschema'!O100="v","x",IF(F70="","",IF(F70="x","x"))))</f>
        <v/>
      </c>
      <c r="U70" s="569">
        <f>IF('Aanpassen Werkschema'!V100="x","",IF('Aanpassen Werkschema'!P100="v","x",IF(G70="","",IF(G70="x","x"))))</f>
        <v/>
      </c>
      <c r="V70" s="569">
        <f>IF('Aanpassen Werkschema'!W100="x","",IF('Aanpassen Werkschema'!Q100="v","x",IF(H70="","",IF(H70="x","x"))))</f>
        <v/>
      </c>
      <c r="W70" s="569">
        <f>IF('Aanpassen Werkschema'!X100="x","",IF('Aanpassen Werkschema'!R100="v","x",IF(I70="","",IF(I70="x","x"))))</f>
        <v/>
      </c>
      <c r="X70" s="569">
        <f>IF('Aanpassen Werkschema'!Y100="x","",IF('Aanpassen Werkschema'!S100="v","x",IF(J70="","",IF(J70="x","x"))))</f>
        <v/>
      </c>
      <c r="Y70" s="569">
        <f>IF('Aanpassen Werkschema'!Z100="x","",IF('Aanpassen Werkschema'!T100="v","x",IF(K70="","",IF(K70="x","x"))))</f>
        <v/>
      </c>
      <c r="Z70" s="850">
        <f>Z69+0.0000000001</f>
        <v/>
      </c>
      <c r="AA70" s="851">
        <f>IFERROR(IF(C70="",1.1,IF(S70="",1,IF($C70=1,VLOOKUP($B70,'Werkschema - Rekening'!$B$2:$C$46,2,FALSE),IF($C70=2,Instellingen!C$16,IF($C70=3,Instellingen!D$16,IF($C70=4,L70))))+$D70)+$Z70),1.1)</f>
        <v/>
      </c>
      <c r="AB70" s="852">
        <f>IF($B70="","",IFERROR(VLOOKUP($B70,'Werkschema - Rekening'!$B$2:$P$46,3,FALSE),""))</f>
        <v/>
      </c>
      <c r="AC70" s="851">
        <f>IFERROR(IF(C70="",1.1,IF(T70="",1,IF($C70=1,VLOOKUP($B70,'Werkschema - Rekening'!$B$2:$E$46,4,FALSE),IF($C70=2,Instellingen!E$16,IF($C70=3,Instellingen!F$16,IF($C70=4,M70))))+$D70)+$Z70),1.1)</f>
        <v/>
      </c>
      <c r="AD70" s="852">
        <f>IF($B70="","",IFERROR(VLOOKUP($B70,'Werkschema - Rekening'!$B$2:$P$46,5,FALSE),""))</f>
        <v/>
      </c>
      <c r="AE70" s="851">
        <f>IFERROR(IF(C70="",1.1,IF(U70="",1,IF($C70=1,VLOOKUP($B70,'Werkschema - Rekening'!$B$2:$G$46,6,FALSE),IF($C70=2,Instellingen!G$16,IF($C70=3,Instellingen!H$16,IF($C70=4,N70))))+$D70)+$Z70),1.1)</f>
        <v/>
      </c>
      <c r="AF70" s="852">
        <f>IF($B70="","",IFERROR(VLOOKUP($B70,'Werkschema - Rekening'!$B$2:$P$46,7,FALSE),""))</f>
        <v/>
      </c>
      <c r="AG70" s="851">
        <f>IFERROR(IF(C70="",1.1,IF(V70="",1,IF($C70=1,VLOOKUP($B70,'Werkschema - Rekening'!$B$2:$I$46,8,FALSE),IF($C70=2,Instellingen!I$16,IF($C70=3,Instellingen!J$16,IF($C70=4,O70))))+$D70)+$Z70),1.1)</f>
        <v/>
      </c>
      <c r="AH70" s="852">
        <f>IF($B70="","",IFERROR(VLOOKUP($B70,'Werkschema - Rekening'!$B$2:$P$46,9,FALSE),""))</f>
        <v/>
      </c>
      <c r="AI70" s="851">
        <f>IFERROR(IF(C70="",1.1,IF(W70="",1,IF($C70=1,VLOOKUP($B70,'Werkschema - Rekening'!$B$2:$K$46,10,FALSE),IF($C70=2,Instellingen!K$16,IF($C70=3,Instellingen!L$16,IF($C70=4,P70))))+$D70)+$Z70),1.1)</f>
        <v/>
      </c>
      <c r="AJ70" s="852">
        <f>IF($B70="","",IFERROR(VLOOKUP($B70,'Werkschema - Rekening'!$B$2:$P$46,11,FALSE),""))</f>
        <v/>
      </c>
      <c r="AK70" s="851">
        <f>IFERROR(IF(C70="",1.1,IF(X70="",1,IF($C70=1,VLOOKUP($B70,'Werkschema - Rekening'!$B$2:$M$46,12,FALSE),IF($C70=2,Instellingen!M$16,IF($C70=3,Instellingen!N$16,IF($C70=4,Q70))))+$D70)+$Z70),1.1)</f>
        <v/>
      </c>
      <c r="AL70" s="852">
        <f>IF($B70="","",IFERROR(VLOOKUP($B70,'Werkschema - Rekening'!$B$2:$P$46,13,FALSE),""))</f>
        <v/>
      </c>
      <c r="AM70" s="851">
        <f>IFERROR(IF(C70="",1.1,IF(Y70="",1,IF($C70=1,VLOOKUP($B70,'Werkschema - Rekening'!$B$2:$O$46,14,FALSE),IF($C70=2,Instellingen!O$16,IF($C70=3,Instellingen!P$16,IF($C70=4,R70))))+$D70)+$Z70),1.1)</f>
        <v/>
      </c>
      <c r="AN70" s="852">
        <f>IF($B70="","",IFERROR(VLOOKUP($B70,'Werkschema - Rekening'!$B$2:$P$46,15,FALSE),""))</f>
        <v/>
      </c>
      <c r="AO70" s="852">
        <f>A70</f>
        <v/>
      </c>
      <c r="AP70" s="852">
        <f>B70</f>
        <v/>
      </c>
    </row>
    <row r="71" ht="12.6" customHeight="1">
      <c r="A71" s="830">
        <f>'Aanpassen Werkschema'!B101</f>
        <v/>
      </c>
      <c r="B71" s="569">
        <f>'Aanpassen Werkschema'!C101</f>
        <v/>
      </c>
      <c r="C71" s="569">
        <f>IF('Aanpassen Werkschema'!D101="geplande taak",1,IF('Aanpassen Werkschema'!D101="openingstijd",2,IF('Aanpassen Werkschema'!D101="sluitingstijd",3,IF('Aanpassen Werkschema'!D101="vaste tijd",4,""))))</f>
        <v/>
      </c>
      <c r="D71" s="849">
        <f>'Aanpassen Werkschema'!E101</f>
        <v/>
      </c>
      <c r="E71" s="569">
        <f>IF('Aanpassen Werkschema'!F101="v","x","")</f>
        <v/>
      </c>
      <c r="F71" s="569">
        <f>IF('Aanpassen Werkschema'!G101="v","x","")</f>
        <v/>
      </c>
      <c r="G71" s="569">
        <f>IF('Aanpassen Werkschema'!H101="v","x","")</f>
        <v/>
      </c>
      <c r="H71" s="569">
        <f>IF('Aanpassen Werkschema'!I101="v","x","")</f>
        <v/>
      </c>
      <c r="I71" s="569">
        <f>IF('Aanpassen Werkschema'!J101="v","x","")</f>
        <v/>
      </c>
      <c r="J71" s="569">
        <f>IF('Aanpassen Werkschema'!K101="v","x","")</f>
        <v/>
      </c>
      <c r="K71" s="569">
        <f>IF('Aanpassen Werkschema'!L101="v","x","")</f>
        <v/>
      </c>
      <c r="L71" s="571">
        <f>IF('Aanpassen Werkschema'!M101&gt;0,'Aanpassen Werkschema'!M101,"")</f>
        <v/>
      </c>
      <c r="M71" s="571">
        <f>IF('Aanpassen Werkschema'!N101&gt;0,'Aanpassen Werkschema'!N101,"")</f>
        <v/>
      </c>
      <c r="N71" s="571">
        <f>IF('Aanpassen Werkschema'!O101&gt;0,'Aanpassen Werkschema'!O101,"")</f>
        <v/>
      </c>
      <c r="O71" s="571">
        <f>IF('Aanpassen Werkschema'!P101&gt;0,'Aanpassen Werkschema'!P101,"")</f>
        <v/>
      </c>
      <c r="P71" s="571">
        <f>IF('Aanpassen Werkschema'!Q101&gt;0,'Aanpassen Werkschema'!Q101,"")</f>
        <v/>
      </c>
      <c r="Q71" s="571">
        <f>IF('Aanpassen Werkschema'!R101&gt;0,'Aanpassen Werkschema'!R101,"")</f>
        <v/>
      </c>
      <c r="R71" s="571">
        <f>IF('Aanpassen Werkschema'!S101&gt;0,'Aanpassen Werkschema'!S101,"")</f>
        <v/>
      </c>
      <c r="S71" s="569">
        <f>IF('Aanpassen Werkschema'!T101="x","",IF('Aanpassen Werkschema'!N101="v","x",IF(E71="","",IF(E71="x","x"))))</f>
        <v/>
      </c>
      <c r="T71" s="569">
        <f>IF('Aanpassen Werkschema'!U101="x","",IF('Aanpassen Werkschema'!O101="v","x",IF(F71="","",IF(F71="x","x"))))</f>
        <v/>
      </c>
      <c r="U71" s="569">
        <f>IF('Aanpassen Werkschema'!V101="x","",IF('Aanpassen Werkschema'!P101="v","x",IF(G71="","",IF(G71="x","x"))))</f>
        <v/>
      </c>
      <c r="V71" s="569">
        <f>IF('Aanpassen Werkschema'!W101="x","",IF('Aanpassen Werkschema'!Q101="v","x",IF(H71="","",IF(H71="x","x"))))</f>
        <v/>
      </c>
      <c r="W71" s="569">
        <f>IF('Aanpassen Werkschema'!X101="x","",IF('Aanpassen Werkschema'!R101="v","x",IF(I71="","",IF(I71="x","x"))))</f>
        <v/>
      </c>
      <c r="X71" s="569">
        <f>IF('Aanpassen Werkschema'!Y101="x","",IF('Aanpassen Werkschema'!S101="v","x",IF(J71="","",IF(J71="x","x"))))</f>
        <v/>
      </c>
      <c r="Y71" s="569">
        <f>IF('Aanpassen Werkschema'!Z101="x","",IF('Aanpassen Werkschema'!T101="v","x",IF(K71="","",IF(K71="x","x"))))</f>
        <v/>
      </c>
      <c r="Z71" s="850">
        <f>Z70+0.0000000001</f>
        <v/>
      </c>
      <c r="AA71" s="851">
        <f>IFERROR(IF(C71="",1.1,IF(S71="",1,IF($C71=1,VLOOKUP($B71,'Werkschema - Rekening'!$B$2:$C$46,2,FALSE),IF($C71=2,Instellingen!C$16,IF($C71=3,Instellingen!D$16,IF($C71=4,L71))))+$D71)+$Z71),1.1)</f>
        <v/>
      </c>
      <c r="AB71" s="852">
        <f>IF($B71="","",IFERROR(VLOOKUP($B71,'Werkschema - Rekening'!$B$2:$P$46,3,FALSE),""))</f>
        <v/>
      </c>
      <c r="AC71" s="851">
        <f>IFERROR(IF(C71="",1.1,IF(T71="",1,IF($C71=1,VLOOKUP($B71,'Werkschema - Rekening'!$B$2:$E$46,4,FALSE),IF($C71=2,Instellingen!E$16,IF($C71=3,Instellingen!F$16,IF($C71=4,M71))))+$D71)+$Z71),1.1)</f>
        <v/>
      </c>
      <c r="AD71" s="852">
        <f>IF($B71="","",IFERROR(VLOOKUP($B71,'Werkschema - Rekening'!$B$2:$P$46,5,FALSE),""))</f>
        <v/>
      </c>
      <c r="AE71" s="851">
        <f>IFERROR(IF(C71="",1.1,IF(U71="",1,IF($C71=1,VLOOKUP($B71,'Werkschema - Rekening'!$B$2:$G$46,6,FALSE),IF($C71=2,Instellingen!G$16,IF($C71=3,Instellingen!H$16,IF($C71=4,N71))))+$D71)+$Z71),1.1)</f>
        <v/>
      </c>
      <c r="AF71" s="852">
        <f>IF($B71="","",IFERROR(VLOOKUP($B71,'Werkschema - Rekening'!$B$2:$P$46,7,FALSE),""))</f>
        <v/>
      </c>
      <c r="AG71" s="851">
        <f>IFERROR(IF(C71="",1.1,IF(V71="",1,IF($C71=1,VLOOKUP($B71,'Werkschema - Rekening'!$B$2:$I$46,8,FALSE),IF($C71=2,Instellingen!I$16,IF($C71=3,Instellingen!J$16,IF($C71=4,O71))))+$D71)+$Z71),1.1)</f>
        <v/>
      </c>
      <c r="AH71" s="852">
        <f>IF($B71="","",IFERROR(VLOOKUP($B71,'Werkschema - Rekening'!$B$2:$P$46,9,FALSE),""))</f>
        <v/>
      </c>
      <c r="AI71" s="851">
        <f>IFERROR(IF(C71="",1.1,IF(W71="",1,IF($C71=1,VLOOKUP($B71,'Werkschema - Rekening'!$B$2:$K$46,10,FALSE),IF($C71=2,Instellingen!K$16,IF($C71=3,Instellingen!L$16,IF($C71=4,P71))))+$D71)+$Z71),1.1)</f>
        <v/>
      </c>
      <c r="AJ71" s="852">
        <f>IF($B71="","",IFERROR(VLOOKUP($B71,'Werkschema - Rekening'!$B$2:$P$46,11,FALSE),""))</f>
        <v/>
      </c>
      <c r="AK71" s="851">
        <f>IFERROR(IF(C71="",1.1,IF(X71="",1,IF($C71=1,VLOOKUP($B71,'Werkschema - Rekening'!$B$2:$M$46,12,FALSE),IF($C71=2,Instellingen!M$16,IF($C71=3,Instellingen!N$16,IF($C71=4,Q71))))+$D71)+$Z71),1.1)</f>
        <v/>
      </c>
      <c r="AL71" s="852">
        <f>IF($B71="","",IFERROR(VLOOKUP($B71,'Werkschema - Rekening'!$B$2:$P$46,13,FALSE),""))</f>
        <v/>
      </c>
      <c r="AM71" s="851">
        <f>IFERROR(IF(C71="",1.1,IF(Y71="",1,IF($C71=1,VLOOKUP($B71,'Werkschema - Rekening'!$B$2:$O$46,14,FALSE),IF($C71=2,Instellingen!O$16,IF($C71=3,Instellingen!P$16,IF($C71=4,R71))))+$D71)+$Z71),1.1)</f>
        <v/>
      </c>
      <c r="AN71" s="852">
        <f>IF($B71="","",IFERROR(VLOOKUP($B71,'Werkschema - Rekening'!$B$2:$P$46,15,FALSE),""))</f>
        <v/>
      </c>
      <c r="AO71" s="852">
        <f>A71</f>
        <v/>
      </c>
      <c r="AP71" s="852">
        <f>B71</f>
        <v/>
      </c>
    </row>
    <row r="72" ht="12.6" customHeight="1">
      <c r="A72" s="830">
        <f>'Aanpassen Werkschema'!B102</f>
        <v/>
      </c>
      <c r="B72" s="569">
        <f>'Aanpassen Werkschema'!C102</f>
        <v/>
      </c>
      <c r="C72" s="569">
        <f>IF('Aanpassen Werkschema'!D102="geplande taak",1,IF('Aanpassen Werkschema'!D102="openingstijd",2,IF('Aanpassen Werkschema'!D102="sluitingstijd",3,IF('Aanpassen Werkschema'!D102="vaste tijd",4,""))))</f>
        <v/>
      </c>
      <c r="D72" s="849">
        <f>'Aanpassen Werkschema'!E102</f>
        <v/>
      </c>
      <c r="E72" s="569">
        <f>IF('Aanpassen Werkschema'!F102="v","x","")</f>
        <v/>
      </c>
      <c r="F72" s="569">
        <f>IF('Aanpassen Werkschema'!G102="v","x","")</f>
        <v/>
      </c>
      <c r="G72" s="569">
        <f>IF('Aanpassen Werkschema'!H102="v","x","")</f>
        <v/>
      </c>
      <c r="H72" s="569">
        <f>IF('Aanpassen Werkschema'!I102="v","x","")</f>
        <v/>
      </c>
      <c r="I72" s="569">
        <f>IF('Aanpassen Werkschema'!J102="v","x","")</f>
        <v/>
      </c>
      <c r="J72" s="569">
        <f>IF('Aanpassen Werkschema'!K102="v","x","")</f>
        <v/>
      </c>
      <c r="K72" s="569">
        <f>IF('Aanpassen Werkschema'!L102="v","x","")</f>
        <v/>
      </c>
      <c r="L72" s="571">
        <f>IF('Aanpassen Werkschema'!M102&gt;0,'Aanpassen Werkschema'!M102,"")</f>
        <v/>
      </c>
      <c r="M72" s="571">
        <f>IF('Aanpassen Werkschema'!N102&gt;0,'Aanpassen Werkschema'!N102,"")</f>
        <v/>
      </c>
      <c r="N72" s="571">
        <f>IF('Aanpassen Werkschema'!O102&gt;0,'Aanpassen Werkschema'!O102,"")</f>
        <v/>
      </c>
      <c r="O72" s="571">
        <f>IF('Aanpassen Werkschema'!P102&gt;0,'Aanpassen Werkschema'!P102,"")</f>
        <v/>
      </c>
      <c r="P72" s="571">
        <f>IF('Aanpassen Werkschema'!Q102&gt;0,'Aanpassen Werkschema'!Q102,"")</f>
        <v/>
      </c>
      <c r="Q72" s="571">
        <f>IF('Aanpassen Werkschema'!R102&gt;0,'Aanpassen Werkschema'!R102,"")</f>
        <v/>
      </c>
      <c r="R72" s="571">
        <f>IF('Aanpassen Werkschema'!S102&gt;0,'Aanpassen Werkschema'!S102,"")</f>
        <v/>
      </c>
      <c r="S72" s="569">
        <f>IF('Aanpassen Werkschema'!T102="x","",IF('Aanpassen Werkschema'!N102="v","x",IF(E72="","",IF(E72="x","x"))))</f>
        <v/>
      </c>
      <c r="T72" s="569">
        <f>IF('Aanpassen Werkschema'!U102="x","",IF('Aanpassen Werkschema'!O102="v","x",IF(F72="","",IF(F72="x","x"))))</f>
        <v/>
      </c>
      <c r="U72" s="569">
        <f>IF('Aanpassen Werkschema'!V102="x","",IF('Aanpassen Werkschema'!P102="v","x",IF(G72="","",IF(G72="x","x"))))</f>
        <v/>
      </c>
      <c r="V72" s="569">
        <f>IF('Aanpassen Werkschema'!W102="x","",IF('Aanpassen Werkschema'!Q102="v","x",IF(H72="","",IF(H72="x","x"))))</f>
        <v/>
      </c>
      <c r="W72" s="569">
        <f>IF('Aanpassen Werkschema'!X102="x","",IF('Aanpassen Werkschema'!R102="v","x",IF(I72="","",IF(I72="x","x"))))</f>
        <v/>
      </c>
      <c r="X72" s="569">
        <f>IF('Aanpassen Werkschema'!Y102="x","",IF('Aanpassen Werkschema'!S102="v","x",IF(J72="","",IF(J72="x","x"))))</f>
        <v/>
      </c>
      <c r="Y72" s="569">
        <f>IF('Aanpassen Werkschema'!Z102="x","",IF('Aanpassen Werkschema'!T102="v","x",IF(K72="","",IF(K72="x","x"))))</f>
        <v/>
      </c>
      <c r="Z72" s="850">
        <f>Z71+0.0000000001</f>
        <v/>
      </c>
      <c r="AA72" s="851">
        <f>IFERROR(IF(C72="",1.1,IF(S72="",1,IF($C72=1,VLOOKUP($B72,'Werkschema - Rekening'!$B$2:$C$46,2,FALSE),IF($C72=2,Instellingen!C$16,IF($C72=3,Instellingen!D$16,IF($C72=4,L72))))+$D72)+$Z72),1.1)</f>
        <v/>
      </c>
      <c r="AB72" s="852">
        <f>IF($B72="","",IFERROR(VLOOKUP($B72,'Werkschema - Rekening'!$B$2:$P$46,3,FALSE),""))</f>
        <v/>
      </c>
      <c r="AC72" s="851">
        <f>IFERROR(IF(C72="",1.1,IF(T72="",1,IF($C72=1,VLOOKUP($B72,'Werkschema - Rekening'!$B$2:$E$46,4,FALSE),IF($C72=2,Instellingen!E$16,IF($C72=3,Instellingen!F$16,IF($C72=4,M72))))+$D72)+$Z72),1.1)</f>
        <v/>
      </c>
      <c r="AD72" s="852">
        <f>IF($B72="","",IFERROR(VLOOKUP($B72,'Werkschema - Rekening'!$B$2:$P$46,5,FALSE),""))</f>
        <v/>
      </c>
      <c r="AE72" s="851">
        <f>IFERROR(IF(C72="",1.1,IF(U72="",1,IF($C72=1,VLOOKUP($B72,'Werkschema - Rekening'!$B$2:$G$46,6,FALSE),IF($C72=2,Instellingen!G$16,IF($C72=3,Instellingen!H$16,IF($C72=4,N72))))+$D72)+$Z72),1.1)</f>
        <v/>
      </c>
      <c r="AF72" s="852">
        <f>IF($B72="","",IFERROR(VLOOKUP($B72,'Werkschema - Rekening'!$B$2:$P$46,7,FALSE),""))</f>
        <v/>
      </c>
      <c r="AG72" s="851">
        <f>IFERROR(IF(C72="",1.1,IF(V72="",1,IF($C72=1,VLOOKUP($B72,'Werkschema - Rekening'!$B$2:$I$46,8,FALSE),IF($C72=2,Instellingen!I$16,IF($C72=3,Instellingen!J$16,IF($C72=4,O72))))+$D72)+$Z72),1.1)</f>
        <v/>
      </c>
      <c r="AH72" s="852">
        <f>IF($B72="","",IFERROR(VLOOKUP($B72,'Werkschema - Rekening'!$B$2:$P$46,9,FALSE),""))</f>
        <v/>
      </c>
      <c r="AI72" s="851">
        <f>IFERROR(IF(C72="",1.1,IF(W72="",1,IF($C72=1,VLOOKUP($B72,'Werkschema - Rekening'!$B$2:$K$46,10,FALSE),IF($C72=2,Instellingen!K$16,IF($C72=3,Instellingen!L$16,IF($C72=4,P72))))+$D72)+$Z72),1.1)</f>
        <v/>
      </c>
      <c r="AJ72" s="852">
        <f>IF($B72="","",IFERROR(VLOOKUP($B72,'Werkschema - Rekening'!$B$2:$P$46,11,FALSE),""))</f>
        <v/>
      </c>
      <c r="AK72" s="851">
        <f>IFERROR(IF(C72="",1.1,IF(X72="",1,IF($C72=1,VLOOKUP($B72,'Werkschema - Rekening'!$B$2:$M$46,12,FALSE),IF($C72=2,Instellingen!M$16,IF($C72=3,Instellingen!N$16,IF($C72=4,Q72))))+$D72)+$Z72),1.1)</f>
        <v/>
      </c>
      <c r="AL72" s="852">
        <f>IF($B72="","",IFERROR(VLOOKUP($B72,'Werkschema - Rekening'!$B$2:$P$46,13,FALSE),""))</f>
        <v/>
      </c>
      <c r="AM72" s="851">
        <f>IFERROR(IF(C72="",1.1,IF(Y72="",1,IF($C72=1,VLOOKUP($B72,'Werkschema - Rekening'!$B$2:$O$46,14,FALSE),IF($C72=2,Instellingen!O$16,IF($C72=3,Instellingen!P$16,IF($C72=4,R72))))+$D72)+$Z72),1.1)</f>
        <v/>
      </c>
      <c r="AN72" s="852">
        <f>IF($B72="","",IFERROR(VLOOKUP($B72,'Werkschema - Rekening'!$B$2:$P$46,15,FALSE),""))</f>
        <v/>
      </c>
      <c r="AO72" s="852">
        <f>A72</f>
        <v/>
      </c>
      <c r="AP72" s="852">
        <f>B72</f>
        <v/>
      </c>
    </row>
    <row r="73" ht="12.6" customHeight="1">
      <c r="A73" s="830">
        <f>'Aanpassen Werkschema'!B103</f>
        <v/>
      </c>
      <c r="B73" s="569">
        <f>'Aanpassen Werkschema'!C103</f>
        <v/>
      </c>
      <c r="C73" s="569">
        <f>IF('Aanpassen Werkschema'!D103="geplande taak",1,IF('Aanpassen Werkschema'!D103="openingstijd",2,IF('Aanpassen Werkschema'!D103="sluitingstijd",3,IF('Aanpassen Werkschema'!D103="vaste tijd",4,""))))</f>
        <v/>
      </c>
      <c r="D73" s="849">
        <f>'Aanpassen Werkschema'!E103</f>
        <v/>
      </c>
      <c r="E73" s="569">
        <f>IF('Aanpassen Werkschema'!F103="v","x","")</f>
        <v/>
      </c>
      <c r="F73" s="569">
        <f>IF('Aanpassen Werkschema'!G103="v","x","")</f>
        <v/>
      </c>
      <c r="G73" s="569">
        <f>IF('Aanpassen Werkschema'!H103="v","x","")</f>
        <v/>
      </c>
      <c r="H73" s="569">
        <f>IF('Aanpassen Werkschema'!I103="v","x","")</f>
        <v/>
      </c>
      <c r="I73" s="569">
        <f>IF('Aanpassen Werkschema'!J103="v","x","")</f>
        <v/>
      </c>
      <c r="J73" s="569">
        <f>IF('Aanpassen Werkschema'!K103="v","x","")</f>
        <v/>
      </c>
      <c r="K73" s="569">
        <f>IF('Aanpassen Werkschema'!L103="v","x","")</f>
        <v/>
      </c>
      <c r="L73" s="571">
        <f>IF('Aanpassen Werkschema'!M103&gt;0,'Aanpassen Werkschema'!M103,"")</f>
        <v/>
      </c>
      <c r="M73" s="571">
        <f>IF('Aanpassen Werkschema'!N103&gt;0,'Aanpassen Werkschema'!N103,"")</f>
        <v/>
      </c>
      <c r="N73" s="571">
        <f>IF('Aanpassen Werkschema'!O103&gt;0,'Aanpassen Werkschema'!O103,"")</f>
        <v/>
      </c>
      <c r="O73" s="571">
        <f>IF('Aanpassen Werkschema'!P103&gt;0,'Aanpassen Werkschema'!P103,"")</f>
        <v/>
      </c>
      <c r="P73" s="571">
        <f>IF('Aanpassen Werkschema'!Q103&gt;0,'Aanpassen Werkschema'!Q103,"")</f>
        <v/>
      </c>
      <c r="Q73" s="571">
        <f>IF('Aanpassen Werkschema'!R103&gt;0,'Aanpassen Werkschema'!R103,"")</f>
        <v/>
      </c>
      <c r="R73" s="571">
        <f>IF('Aanpassen Werkschema'!S103&gt;0,'Aanpassen Werkschema'!S103,"")</f>
        <v/>
      </c>
      <c r="S73" s="569">
        <f>IF('Aanpassen Werkschema'!T103="x","",IF('Aanpassen Werkschema'!N103="v","x",IF(E73="","",IF(E73="x","x"))))</f>
        <v/>
      </c>
      <c r="T73" s="569">
        <f>IF('Aanpassen Werkschema'!U103="x","",IF('Aanpassen Werkschema'!O103="v","x",IF(F73="","",IF(F73="x","x"))))</f>
        <v/>
      </c>
      <c r="U73" s="569">
        <f>IF('Aanpassen Werkschema'!V103="x","",IF('Aanpassen Werkschema'!P103="v","x",IF(G73="","",IF(G73="x","x"))))</f>
        <v/>
      </c>
      <c r="V73" s="569">
        <f>IF('Aanpassen Werkschema'!W103="x","",IF('Aanpassen Werkschema'!Q103="v","x",IF(H73="","",IF(H73="x","x"))))</f>
        <v/>
      </c>
      <c r="W73" s="569">
        <f>IF('Aanpassen Werkschema'!X103="x","",IF('Aanpassen Werkschema'!R103="v","x",IF(I73="","",IF(I73="x","x"))))</f>
        <v/>
      </c>
      <c r="X73" s="569">
        <f>IF('Aanpassen Werkschema'!Y103="x","",IF('Aanpassen Werkschema'!S103="v","x",IF(J73="","",IF(J73="x","x"))))</f>
        <v/>
      </c>
      <c r="Y73" s="569">
        <f>IF('Aanpassen Werkschema'!Z103="x","",IF('Aanpassen Werkschema'!T103="v","x",IF(K73="","",IF(K73="x","x"))))</f>
        <v/>
      </c>
      <c r="Z73" s="850">
        <f>Z72+0.0000000001</f>
        <v/>
      </c>
      <c r="AA73" s="851">
        <f>IFERROR(IF(C73="",1.1,IF(S73="",1,IF($C73=1,VLOOKUP($B73,'Werkschema - Rekening'!$B$2:$C$46,2,FALSE),IF($C73=2,Instellingen!C$16,IF($C73=3,Instellingen!D$16,IF($C73=4,L73))))+$D73)+$Z73),1.1)</f>
        <v/>
      </c>
      <c r="AB73" s="852">
        <f>IF($B73="","",IFERROR(VLOOKUP($B73,'Werkschema - Rekening'!$B$2:$P$46,3,FALSE),""))</f>
        <v/>
      </c>
      <c r="AC73" s="851">
        <f>IFERROR(IF(C73="",1.1,IF(T73="",1,IF($C73=1,VLOOKUP($B73,'Werkschema - Rekening'!$B$2:$E$46,4,FALSE),IF($C73=2,Instellingen!E$16,IF($C73=3,Instellingen!F$16,IF($C73=4,M73))))+$D73)+$Z73),1.1)</f>
        <v/>
      </c>
      <c r="AD73" s="852">
        <f>IF($B73="","",IFERROR(VLOOKUP($B73,'Werkschema - Rekening'!$B$2:$P$46,5,FALSE),""))</f>
        <v/>
      </c>
      <c r="AE73" s="851">
        <f>IFERROR(IF(C73="",1.1,IF(U73="",1,IF($C73=1,VLOOKUP($B73,'Werkschema - Rekening'!$B$2:$G$46,6,FALSE),IF($C73=2,Instellingen!G$16,IF($C73=3,Instellingen!H$16,IF($C73=4,N73))))+$D73)+$Z73),1.1)</f>
        <v/>
      </c>
      <c r="AF73" s="852">
        <f>IF($B73="","",IFERROR(VLOOKUP($B73,'Werkschema - Rekening'!$B$2:$P$46,7,FALSE),""))</f>
        <v/>
      </c>
      <c r="AG73" s="851">
        <f>IFERROR(IF(C73="",1.1,IF(V73="",1,IF($C73=1,VLOOKUP($B73,'Werkschema - Rekening'!$B$2:$I$46,8,FALSE),IF($C73=2,Instellingen!I$16,IF($C73=3,Instellingen!J$16,IF($C73=4,O73))))+$D73)+$Z73),1.1)</f>
        <v/>
      </c>
      <c r="AH73" s="852">
        <f>IF($B73="","",IFERROR(VLOOKUP($B73,'Werkschema - Rekening'!$B$2:$P$46,9,FALSE),""))</f>
        <v/>
      </c>
      <c r="AI73" s="851">
        <f>IFERROR(IF(C73="",1.1,IF(W73="",1,IF($C73=1,VLOOKUP($B73,'Werkschema - Rekening'!$B$2:$K$46,10,FALSE),IF($C73=2,Instellingen!K$16,IF($C73=3,Instellingen!L$16,IF($C73=4,P73))))+$D73)+$Z73),1.1)</f>
        <v/>
      </c>
      <c r="AJ73" s="852">
        <f>IF($B73="","",IFERROR(VLOOKUP($B73,'Werkschema - Rekening'!$B$2:$P$46,11,FALSE),""))</f>
        <v/>
      </c>
      <c r="AK73" s="851">
        <f>IFERROR(IF(C73="",1.1,IF(X73="",1,IF($C73=1,VLOOKUP($B73,'Werkschema - Rekening'!$B$2:$M$46,12,FALSE),IF($C73=2,Instellingen!M$16,IF($C73=3,Instellingen!N$16,IF($C73=4,Q73))))+$D73)+$Z73),1.1)</f>
        <v/>
      </c>
      <c r="AL73" s="852">
        <f>IF($B73="","",IFERROR(VLOOKUP($B73,'Werkschema - Rekening'!$B$2:$P$46,13,FALSE),""))</f>
        <v/>
      </c>
      <c r="AM73" s="851">
        <f>IFERROR(IF(C73="",1.1,IF(Y73="",1,IF($C73=1,VLOOKUP($B73,'Werkschema - Rekening'!$B$2:$O$46,14,FALSE),IF($C73=2,Instellingen!O$16,IF($C73=3,Instellingen!P$16,IF($C73=4,R73))))+$D73)+$Z73),1.1)</f>
        <v/>
      </c>
      <c r="AN73" s="852">
        <f>IF($B73="","",IFERROR(VLOOKUP($B73,'Werkschema - Rekening'!$B$2:$P$46,15,FALSE),""))</f>
        <v/>
      </c>
      <c r="AO73" s="852">
        <f>A73</f>
        <v/>
      </c>
      <c r="AP73" s="852">
        <f>B73</f>
        <v/>
      </c>
    </row>
    <row r="74" ht="12.6" customHeight="1">
      <c r="A74" s="830">
        <f>'Aanpassen Werkschema'!B104</f>
        <v/>
      </c>
      <c r="B74" s="569">
        <f>'Aanpassen Werkschema'!C104</f>
        <v/>
      </c>
      <c r="C74" s="569">
        <f>IF('Aanpassen Werkschema'!D104="geplande taak",1,IF('Aanpassen Werkschema'!D104="openingstijd",2,IF('Aanpassen Werkschema'!D104="sluitingstijd",3,IF('Aanpassen Werkschema'!D104="vaste tijd",4,""))))</f>
        <v/>
      </c>
      <c r="D74" s="849">
        <f>'Aanpassen Werkschema'!E104</f>
        <v/>
      </c>
      <c r="E74" s="569">
        <f>IF('Aanpassen Werkschema'!F104="v","x","")</f>
        <v/>
      </c>
      <c r="F74" s="569">
        <f>IF('Aanpassen Werkschema'!G104="v","x","")</f>
        <v/>
      </c>
      <c r="G74" s="569">
        <f>IF('Aanpassen Werkschema'!H104="v","x","")</f>
        <v/>
      </c>
      <c r="H74" s="569">
        <f>IF('Aanpassen Werkschema'!I104="v","x","")</f>
        <v/>
      </c>
      <c r="I74" s="569">
        <f>IF('Aanpassen Werkschema'!J104="v","x","")</f>
        <v/>
      </c>
      <c r="J74" s="569">
        <f>IF('Aanpassen Werkschema'!K104="v","x","")</f>
        <v/>
      </c>
      <c r="K74" s="569">
        <f>IF('Aanpassen Werkschema'!L104="v","x","")</f>
        <v/>
      </c>
      <c r="L74" s="571">
        <f>IF('Aanpassen Werkschema'!M104&gt;0,'Aanpassen Werkschema'!M104,"")</f>
        <v/>
      </c>
      <c r="M74" s="571">
        <f>IF('Aanpassen Werkschema'!N104&gt;0,'Aanpassen Werkschema'!N104,"")</f>
        <v/>
      </c>
      <c r="N74" s="571">
        <f>IF('Aanpassen Werkschema'!O104&gt;0,'Aanpassen Werkschema'!O104,"")</f>
        <v/>
      </c>
      <c r="O74" s="571">
        <f>IF('Aanpassen Werkschema'!P104&gt;0,'Aanpassen Werkschema'!P104,"")</f>
        <v/>
      </c>
      <c r="P74" s="571">
        <f>IF('Aanpassen Werkschema'!Q104&gt;0,'Aanpassen Werkschema'!Q104,"")</f>
        <v/>
      </c>
      <c r="Q74" s="571">
        <f>IF('Aanpassen Werkschema'!R104&gt;0,'Aanpassen Werkschema'!R104,"")</f>
        <v/>
      </c>
      <c r="R74" s="571">
        <f>IF('Aanpassen Werkschema'!S104&gt;0,'Aanpassen Werkschema'!S104,"")</f>
        <v/>
      </c>
      <c r="S74" s="569">
        <f>IF('Aanpassen Werkschema'!T104="x","",IF('Aanpassen Werkschema'!N104="v","x",IF(E74="","",IF(E74="x","x"))))</f>
        <v/>
      </c>
      <c r="T74" s="569">
        <f>IF('Aanpassen Werkschema'!U104="x","",IF('Aanpassen Werkschema'!O104="v","x",IF(F74="","",IF(F74="x","x"))))</f>
        <v/>
      </c>
      <c r="U74" s="569">
        <f>IF('Aanpassen Werkschema'!V104="x","",IF('Aanpassen Werkschema'!P104="v","x",IF(G74="","",IF(G74="x","x"))))</f>
        <v/>
      </c>
      <c r="V74" s="569">
        <f>IF('Aanpassen Werkschema'!W104="x","",IF('Aanpassen Werkschema'!Q104="v","x",IF(H74="","",IF(H74="x","x"))))</f>
        <v/>
      </c>
      <c r="W74" s="569">
        <f>IF('Aanpassen Werkschema'!X104="x","",IF('Aanpassen Werkschema'!R104="v","x",IF(I74="","",IF(I74="x","x"))))</f>
        <v/>
      </c>
      <c r="X74" s="569">
        <f>IF('Aanpassen Werkschema'!Y104="x","",IF('Aanpassen Werkschema'!S104="v","x",IF(J74="","",IF(J74="x","x"))))</f>
        <v/>
      </c>
      <c r="Y74" s="569">
        <f>IF('Aanpassen Werkschema'!Z104="x","",IF('Aanpassen Werkschema'!T104="v","x",IF(K74="","",IF(K74="x","x"))))</f>
        <v/>
      </c>
      <c r="Z74" s="850">
        <f>Z73+0.0000000001</f>
        <v/>
      </c>
      <c r="AA74" s="851">
        <f>IFERROR(IF(C74="",1.1,IF(S74="",1,IF($C74=1,VLOOKUP($B74,'Werkschema - Rekening'!$B$2:$C$46,2,FALSE),IF($C74=2,Instellingen!C$16,IF($C74=3,Instellingen!D$16,IF($C74=4,L74))))+$D74)+$Z74),1.1)</f>
        <v/>
      </c>
      <c r="AB74" s="852">
        <f>IF($B74="","",IFERROR(VLOOKUP($B74,'Werkschema - Rekening'!$B$2:$P$46,3,FALSE),""))</f>
        <v/>
      </c>
      <c r="AC74" s="851">
        <f>IFERROR(IF(C74="",1.1,IF(T74="",1,IF($C74=1,VLOOKUP($B74,'Werkschema - Rekening'!$B$2:$E$46,4,FALSE),IF($C74=2,Instellingen!E$16,IF($C74=3,Instellingen!F$16,IF($C74=4,M74))))+$D74)+$Z74),1.1)</f>
        <v/>
      </c>
      <c r="AD74" s="852">
        <f>IF($B74="","",IFERROR(VLOOKUP($B74,'Werkschema - Rekening'!$B$2:$P$46,5,FALSE),""))</f>
        <v/>
      </c>
      <c r="AE74" s="851">
        <f>IFERROR(IF(C74="",1.1,IF(U74="",1,IF($C74=1,VLOOKUP($B74,'Werkschema - Rekening'!$B$2:$G$46,6,FALSE),IF($C74=2,Instellingen!G$16,IF($C74=3,Instellingen!H$16,IF($C74=4,N74))))+$D74)+$Z74),1.1)</f>
        <v/>
      </c>
      <c r="AF74" s="852">
        <f>IF($B74="","",IFERROR(VLOOKUP($B74,'Werkschema - Rekening'!$B$2:$P$46,7,FALSE),""))</f>
        <v/>
      </c>
      <c r="AG74" s="851">
        <f>IFERROR(IF(C74="",1.1,IF(V74="",1,IF($C74=1,VLOOKUP($B74,'Werkschema - Rekening'!$B$2:$I$46,8,FALSE),IF($C74=2,Instellingen!I$16,IF($C74=3,Instellingen!J$16,IF($C74=4,O74))))+$D74)+$Z74),1.1)</f>
        <v/>
      </c>
      <c r="AH74" s="852">
        <f>IF($B74="","",IFERROR(VLOOKUP($B74,'Werkschema - Rekening'!$B$2:$P$46,9,FALSE),""))</f>
        <v/>
      </c>
      <c r="AI74" s="851">
        <f>IFERROR(IF(C74="",1.1,IF(W74="",1,IF($C74=1,VLOOKUP($B74,'Werkschema - Rekening'!$B$2:$K$46,10,FALSE),IF($C74=2,Instellingen!K$16,IF($C74=3,Instellingen!L$16,IF($C74=4,P74))))+$D74)+$Z74),1.1)</f>
        <v/>
      </c>
      <c r="AJ74" s="852">
        <f>IF($B74="","",IFERROR(VLOOKUP($B74,'Werkschema - Rekening'!$B$2:$P$46,11,FALSE),""))</f>
        <v/>
      </c>
      <c r="AK74" s="851">
        <f>IFERROR(IF(C74="",1.1,IF(X74="",1,IF($C74=1,VLOOKUP($B74,'Werkschema - Rekening'!$B$2:$M$46,12,FALSE),IF($C74=2,Instellingen!M$16,IF($C74=3,Instellingen!N$16,IF($C74=4,Q74))))+$D74)+$Z74),1.1)</f>
        <v/>
      </c>
      <c r="AL74" s="852">
        <f>IF($B74="","",IFERROR(VLOOKUP($B74,'Werkschema - Rekening'!$B$2:$P$46,13,FALSE),""))</f>
        <v/>
      </c>
      <c r="AM74" s="851">
        <f>IFERROR(IF(C74="",1.1,IF(Y74="",1,IF($C74=1,VLOOKUP($B74,'Werkschema - Rekening'!$B$2:$O$46,14,FALSE),IF($C74=2,Instellingen!O$16,IF($C74=3,Instellingen!P$16,IF($C74=4,R74))))+$D74)+$Z74),1.1)</f>
        <v/>
      </c>
      <c r="AN74" s="852">
        <f>IF($B74="","",IFERROR(VLOOKUP($B74,'Werkschema - Rekening'!$B$2:$P$46,15,FALSE),""))</f>
        <v/>
      </c>
      <c r="AO74" s="852">
        <f>A74</f>
        <v/>
      </c>
      <c r="AP74" s="852">
        <f>B74</f>
        <v/>
      </c>
    </row>
    <row r="75" ht="12.6" customHeight="1">
      <c r="A75" s="830">
        <f>'Aanpassen Werkschema'!B105</f>
        <v/>
      </c>
      <c r="B75" s="569">
        <f>'Aanpassen Werkschema'!C105</f>
        <v/>
      </c>
      <c r="C75" s="569">
        <f>IF('Aanpassen Werkschema'!D105="geplande taak",1,IF('Aanpassen Werkschema'!D105="openingstijd",2,IF('Aanpassen Werkschema'!D105="sluitingstijd",3,IF('Aanpassen Werkschema'!D105="vaste tijd",4,""))))</f>
        <v/>
      </c>
      <c r="D75" s="849">
        <f>'Aanpassen Werkschema'!E105</f>
        <v/>
      </c>
      <c r="E75" s="569">
        <f>IF('Aanpassen Werkschema'!F105="v","x","")</f>
        <v/>
      </c>
      <c r="F75" s="569">
        <f>IF('Aanpassen Werkschema'!G105="v","x","")</f>
        <v/>
      </c>
      <c r="G75" s="569">
        <f>IF('Aanpassen Werkschema'!H105="v","x","")</f>
        <v/>
      </c>
      <c r="H75" s="569">
        <f>IF('Aanpassen Werkschema'!I105="v","x","")</f>
        <v/>
      </c>
      <c r="I75" s="569">
        <f>IF('Aanpassen Werkschema'!J105="v","x","")</f>
        <v/>
      </c>
      <c r="J75" s="569">
        <f>IF('Aanpassen Werkschema'!K105="v","x","")</f>
        <v/>
      </c>
      <c r="K75" s="569">
        <f>IF('Aanpassen Werkschema'!L105="v","x","")</f>
        <v/>
      </c>
      <c r="L75" s="571">
        <f>IF('Aanpassen Werkschema'!M105&gt;0,'Aanpassen Werkschema'!M105,"")</f>
        <v/>
      </c>
      <c r="M75" s="571">
        <f>IF('Aanpassen Werkschema'!N105&gt;0,'Aanpassen Werkschema'!N105,"")</f>
        <v/>
      </c>
      <c r="N75" s="571">
        <f>IF('Aanpassen Werkschema'!O105&gt;0,'Aanpassen Werkschema'!O105,"")</f>
        <v/>
      </c>
      <c r="O75" s="571">
        <f>IF('Aanpassen Werkschema'!P105&gt;0,'Aanpassen Werkschema'!P105,"")</f>
        <v/>
      </c>
      <c r="P75" s="571">
        <f>IF('Aanpassen Werkschema'!Q105&gt;0,'Aanpassen Werkschema'!Q105,"")</f>
        <v/>
      </c>
      <c r="Q75" s="571">
        <f>IF('Aanpassen Werkschema'!R105&gt;0,'Aanpassen Werkschema'!R105,"")</f>
        <v/>
      </c>
      <c r="R75" s="571">
        <f>IF('Aanpassen Werkschema'!S105&gt;0,'Aanpassen Werkschema'!S105,"")</f>
        <v/>
      </c>
      <c r="S75" s="569">
        <f>IF('Aanpassen Werkschema'!T105="x","",IF('Aanpassen Werkschema'!N105="v","x",IF(E75="","",IF(E75="x","x"))))</f>
        <v/>
      </c>
      <c r="T75" s="569">
        <f>IF('Aanpassen Werkschema'!U105="x","",IF('Aanpassen Werkschema'!O105="v","x",IF(F75="","",IF(F75="x","x"))))</f>
        <v/>
      </c>
      <c r="U75" s="569">
        <f>IF('Aanpassen Werkschema'!V105="x","",IF('Aanpassen Werkschema'!P105="v","x",IF(G75="","",IF(G75="x","x"))))</f>
        <v/>
      </c>
      <c r="V75" s="569">
        <f>IF('Aanpassen Werkschema'!W105="x","",IF('Aanpassen Werkschema'!Q105="v","x",IF(H75="","",IF(H75="x","x"))))</f>
        <v/>
      </c>
      <c r="W75" s="569">
        <f>IF('Aanpassen Werkschema'!X105="x","",IF('Aanpassen Werkschema'!R105="v","x",IF(I75="","",IF(I75="x","x"))))</f>
        <v/>
      </c>
      <c r="X75" s="569">
        <f>IF('Aanpassen Werkschema'!Y105="x","",IF('Aanpassen Werkschema'!S105="v","x",IF(J75="","",IF(J75="x","x"))))</f>
        <v/>
      </c>
      <c r="Y75" s="569">
        <f>IF('Aanpassen Werkschema'!Z105="x","",IF('Aanpassen Werkschema'!T105="v","x",IF(K75="","",IF(K75="x","x"))))</f>
        <v/>
      </c>
      <c r="Z75" s="850">
        <f>Z74+0.0000000001</f>
        <v/>
      </c>
      <c r="AA75" s="851">
        <f>IFERROR(IF(C75="",1.1,IF(S75="",1,IF($C75=1,VLOOKUP($B75,'Werkschema - Rekening'!$B$2:$C$46,2,FALSE),IF($C75=2,Instellingen!C$16,IF($C75=3,Instellingen!D$16,IF($C75=4,L75))))+$D75)+$Z75),1.1)</f>
        <v/>
      </c>
      <c r="AB75" s="852">
        <f>IF($B75="","",IFERROR(VLOOKUP($B75,'Werkschema - Rekening'!$B$2:$P$46,3,FALSE),""))</f>
        <v/>
      </c>
      <c r="AC75" s="851">
        <f>IFERROR(IF(C75="",1.1,IF(T75="",1,IF($C75=1,VLOOKUP($B75,'Werkschema - Rekening'!$B$2:$E$46,4,FALSE),IF($C75=2,Instellingen!E$16,IF($C75=3,Instellingen!F$16,IF($C75=4,M75))))+$D75)+$Z75),1.1)</f>
        <v/>
      </c>
      <c r="AD75" s="852">
        <f>IF($B75="","",IFERROR(VLOOKUP($B75,'Werkschema - Rekening'!$B$2:$P$46,5,FALSE),""))</f>
        <v/>
      </c>
      <c r="AE75" s="851">
        <f>IFERROR(IF(C75="",1.1,IF(U75="",1,IF($C75=1,VLOOKUP($B75,'Werkschema - Rekening'!$B$2:$G$46,6,FALSE),IF($C75=2,Instellingen!G$16,IF($C75=3,Instellingen!H$16,IF($C75=4,N75))))+$D75)+$Z75),1.1)</f>
        <v/>
      </c>
      <c r="AF75" s="852">
        <f>IF($B75="","",IFERROR(VLOOKUP($B75,'Werkschema - Rekening'!$B$2:$P$46,7,FALSE),""))</f>
        <v/>
      </c>
      <c r="AG75" s="851">
        <f>IFERROR(IF(C75="",1.1,IF(V75="",1,IF($C75=1,VLOOKUP($B75,'Werkschema - Rekening'!$B$2:$I$46,8,FALSE),IF($C75=2,Instellingen!I$16,IF($C75=3,Instellingen!J$16,IF($C75=4,O75))))+$D75)+$Z75),1.1)</f>
        <v/>
      </c>
      <c r="AH75" s="852">
        <f>IF($B75="","",IFERROR(VLOOKUP($B75,'Werkschema - Rekening'!$B$2:$P$46,9,FALSE),""))</f>
        <v/>
      </c>
      <c r="AI75" s="851">
        <f>IFERROR(IF(C75="",1.1,IF(W75="",1,IF($C75=1,VLOOKUP($B75,'Werkschema - Rekening'!$B$2:$K$46,10,FALSE),IF($C75=2,Instellingen!K$16,IF($C75=3,Instellingen!L$16,IF($C75=4,P75))))+$D75)+$Z75),1.1)</f>
        <v/>
      </c>
      <c r="AJ75" s="852">
        <f>IF($B75="","",IFERROR(VLOOKUP($B75,'Werkschema - Rekening'!$B$2:$P$46,11,FALSE),""))</f>
        <v/>
      </c>
      <c r="AK75" s="851">
        <f>IFERROR(IF(C75="",1.1,IF(X75="",1,IF($C75=1,VLOOKUP($B75,'Werkschema - Rekening'!$B$2:$M$46,12,FALSE),IF($C75=2,Instellingen!M$16,IF($C75=3,Instellingen!N$16,IF($C75=4,Q75))))+$D75)+$Z75),1.1)</f>
        <v/>
      </c>
      <c r="AL75" s="852">
        <f>IF($B75="","",IFERROR(VLOOKUP($B75,'Werkschema - Rekening'!$B$2:$P$46,13,FALSE),""))</f>
        <v/>
      </c>
      <c r="AM75" s="851">
        <f>IFERROR(IF(C75="",1.1,IF(Y75="",1,IF($C75=1,VLOOKUP($B75,'Werkschema - Rekening'!$B$2:$O$46,14,FALSE),IF($C75=2,Instellingen!O$16,IF($C75=3,Instellingen!P$16,IF($C75=4,R75))))+$D75)+$Z75),1.1)</f>
        <v/>
      </c>
      <c r="AN75" s="852">
        <f>IF($B75="","",IFERROR(VLOOKUP($B75,'Werkschema - Rekening'!$B$2:$P$46,15,FALSE),""))</f>
        <v/>
      </c>
      <c r="AO75" s="852">
        <f>A75</f>
        <v/>
      </c>
      <c r="AP75" s="852">
        <f>B75</f>
        <v/>
      </c>
    </row>
    <row r="76" ht="12.6" customHeight="1">
      <c r="A76" s="830">
        <f>'Aanpassen Werkschema'!B106</f>
        <v/>
      </c>
      <c r="B76" s="569">
        <f>'Aanpassen Werkschema'!C106</f>
        <v/>
      </c>
      <c r="C76" s="569">
        <f>IF('Aanpassen Werkschema'!D106="geplande taak",1,IF('Aanpassen Werkschema'!D106="openingstijd",2,IF('Aanpassen Werkschema'!D106="sluitingstijd",3,IF('Aanpassen Werkschema'!D106="vaste tijd",4,""))))</f>
        <v/>
      </c>
      <c r="D76" s="849">
        <f>'Aanpassen Werkschema'!E106</f>
        <v/>
      </c>
      <c r="E76" s="569">
        <f>IF('Aanpassen Werkschema'!F106="v","x","")</f>
        <v/>
      </c>
      <c r="F76" s="569">
        <f>IF('Aanpassen Werkschema'!G106="v","x","")</f>
        <v/>
      </c>
      <c r="G76" s="569">
        <f>IF('Aanpassen Werkschema'!H106="v","x","")</f>
        <v/>
      </c>
      <c r="H76" s="569">
        <f>IF('Aanpassen Werkschema'!I106="v","x","")</f>
        <v/>
      </c>
      <c r="I76" s="569">
        <f>IF('Aanpassen Werkschema'!J106="v","x","")</f>
        <v/>
      </c>
      <c r="J76" s="569">
        <f>IF('Aanpassen Werkschema'!K106="v","x","")</f>
        <v/>
      </c>
      <c r="K76" s="569">
        <f>IF('Aanpassen Werkschema'!L106="v","x","")</f>
        <v/>
      </c>
      <c r="L76" s="571">
        <f>IF('Aanpassen Werkschema'!M106&gt;0,'Aanpassen Werkschema'!M106,"")</f>
        <v/>
      </c>
      <c r="M76" s="571">
        <f>IF('Aanpassen Werkschema'!N106&gt;0,'Aanpassen Werkschema'!N106,"")</f>
        <v/>
      </c>
      <c r="N76" s="571">
        <f>IF('Aanpassen Werkschema'!O106&gt;0,'Aanpassen Werkschema'!O106,"")</f>
        <v/>
      </c>
      <c r="O76" s="571">
        <f>IF('Aanpassen Werkschema'!P106&gt;0,'Aanpassen Werkschema'!P106,"")</f>
        <v/>
      </c>
      <c r="P76" s="571">
        <f>IF('Aanpassen Werkschema'!Q106&gt;0,'Aanpassen Werkschema'!Q106,"")</f>
        <v/>
      </c>
      <c r="Q76" s="571">
        <f>IF('Aanpassen Werkschema'!R106&gt;0,'Aanpassen Werkschema'!R106,"")</f>
        <v/>
      </c>
      <c r="R76" s="571">
        <f>IF('Aanpassen Werkschema'!S106&gt;0,'Aanpassen Werkschema'!S106,"")</f>
        <v/>
      </c>
      <c r="S76" s="569">
        <f>IF('Aanpassen Werkschema'!T106="x","",IF('Aanpassen Werkschema'!N106="v","x",IF(E76="","",IF(E76="x","x"))))</f>
        <v/>
      </c>
      <c r="T76" s="569">
        <f>IF('Aanpassen Werkschema'!U106="x","",IF('Aanpassen Werkschema'!O106="v","x",IF(F76="","",IF(F76="x","x"))))</f>
        <v/>
      </c>
      <c r="U76" s="569">
        <f>IF('Aanpassen Werkschema'!V106="x","",IF('Aanpassen Werkschema'!P106="v","x",IF(G76="","",IF(G76="x","x"))))</f>
        <v/>
      </c>
      <c r="V76" s="569">
        <f>IF('Aanpassen Werkschema'!W106="x","",IF('Aanpassen Werkschema'!Q106="v","x",IF(H76="","",IF(H76="x","x"))))</f>
        <v/>
      </c>
      <c r="W76" s="569">
        <f>IF('Aanpassen Werkschema'!X106="x","",IF('Aanpassen Werkschema'!R106="v","x",IF(I76="","",IF(I76="x","x"))))</f>
        <v/>
      </c>
      <c r="X76" s="569">
        <f>IF('Aanpassen Werkschema'!Y106="x","",IF('Aanpassen Werkschema'!S106="v","x",IF(J76="","",IF(J76="x","x"))))</f>
        <v/>
      </c>
      <c r="Y76" s="569">
        <f>IF('Aanpassen Werkschema'!Z106="x","",IF('Aanpassen Werkschema'!T106="v","x",IF(K76="","",IF(K76="x","x"))))</f>
        <v/>
      </c>
      <c r="Z76" s="850">
        <f>Z75+0.0000000001</f>
        <v/>
      </c>
      <c r="AA76" s="851">
        <f>IFERROR(IF(C76="",1.1,IF(S76="",1,IF($C76=1,VLOOKUP($B76,'Werkschema - Rekening'!$B$2:$C$46,2,FALSE),IF($C76=2,Instellingen!C$16,IF($C76=3,Instellingen!D$16,IF($C76=4,L76))))+$D76)+$Z76),1.1)</f>
        <v/>
      </c>
      <c r="AB76" s="852">
        <f>IF($B76="","",IFERROR(VLOOKUP($B76,'Werkschema - Rekening'!$B$2:$P$46,3,FALSE),""))</f>
        <v/>
      </c>
      <c r="AC76" s="851">
        <f>IFERROR(IF(C76="",1.1,IF(T76="",1,IF($C76=1,VLOOKUP($B76,'Werkschema - Rekening'!$B$2:$E$46,4,FALSE),IF($C76=2,Instellingen!E$16,IF($C76=3,Instellingen!F$16,IF($C76=4,M76))))+$D76)+$Z76),1.1)</f>
        <v/>
      </c>
      <c r="AD76" s="852">
        <f>IF($B76="","",IFERROR(VLOOKUP($B76,'Werkschema - Rekening'!$B$2:$P$46,5,FALSE),""))</f>
        <v/>
      </c>
      <c r="AE76" s="851">
        <f>IFERROR(IF(C76="",1.1,IF(U76="",1,IF($C76=1,VLOOKUP($B76,'Werkschema - Rekening'!$B$2:$G$46,6,FALSE),IF($C76=2,Instellingen!G$16,IF($C76=3,Instellingen!H$16,IF($C76=4,N76))))+$D76)+$Z76),1.1)</f>
        <v/>
      </c>
      <c r="AF76" s="852">
        <f>IF($B76="","",IFERROR(VLOOKUP($B76,'Werkschema - Rekening'!$B$2:$P$46,7,FALSE),""))</f>
        <v/>
      </c>
      <c r="AG76" s="851">
        <f>IFERROR(IF(C76="",1.1,IF(V76="",1,IF($C76=1,VLOOKUP($B76,'Werkschema - Rekening'!$B$2:$I$46,8,FALSE),IF($C76=2,Instellingen!I$16,IF($C76=3,Instellingen!J$16,IF($C76=4,O76))))+$D76)+$Z76),1.1)</f>
        <v/>
      </c>
      <c r="AH76" s="852">
        <f>IF($B76="","",IFERROR(VLOOKUP($B76,'Werkschema - Rekening'!$B$2:$P$46,9,FALSE),""))</f>
        <v/>
      </c>
      <c r="AI76" s="851">
        <f>IFERROR(IF(C76="",1.1,IF(W76="",1,IF($C76=1,VLOOKUP($B76,'Werkschema - Rekening'!$B$2:$K$46,10,FALSE),IF($C76=2,Instellingen!K$16,IF($C76=3,Instellingen!L$16,IF($C76=4,P76))))+$D76)+$Z76),1.1)</f>
        <v/>
      </c>
      <c r="AJ76" s="852">
        <f>IF($B76="","",IFERROR(VLOOKUP($B76,'Werkschema - Rekening'!$B$2:$P$46,11,FALSE),""))</f>
        <v/>
      </c>
      <c r="AK76" s="851">
        <f>IFERROR(IF(C76="",1.1,IF(X76="",1,IF($C76=1,VLOOKUP($B76,'Werkschema - Rekening'!$B$2:$M$46,12,FALSE),IF($C76=2,Instellingen!M$16,IF($C76=3,Instellingen!N$16,IF($C76=4,Q76))))+$D76)+$Z76),1.1)</f>
        <v/>
      </c>
      <c r="AL76" s="852">
        <f>IF($B76="","",IFERROR(VLOOKUP($B76,'Werkschema - Rekening'!$B$2:$P$46,13,FALSE),""))</f>
        <v/>
      </c>
      <c r="AM76" s="851">
        <f>IFERROR(IF(C76="",1.1,IF(Y76="",1,IF($C76=1,VLOOKUP($B76,'Werkschema - Rekening'!$B$2:$O$46,14,FALSE),IF($C76=2,Instellingen!O$16,IF($C76=3,Instellingen!P$16,IF($C76=4,R76))))+$D76)+$Z76),1.1)</f>
        <v/>
      </c>
      <c r="AN76" s="852">
        <f>IF($B76="","",IFERROR(VLOOKUP($B76,'Werkschema - Rekening'!$B$2:$P$46,15,FALSE),""))</f>
        <v/>
      </c>
      <c r="AO76" s="852">
        <f>A76</f>
        <v/>
      </c>
      <c r="AP76" s="852">
        <f>B76</f>
        <v/>
      </c>
    </row>
    <row r="77" ht="12.6" customHeight="1">
      <c r="A77" s="830">
        <f>'Aanpassen Werkschema'!B107</f>
        <v/>
      </c>
      <c r="B77" s="569">
        <f>'Aanpassen Werkschema'!C107</f>
        <v/>
      </c>
      <c r="C77" s="569">
        <f>IF('Aanpassen Werkschema'!D107="geplande taak",1,IF('Aanpassen Werkschema'!D107="openingstijd",2,IF('Aanpassen Werkschema'!D107="sluitingstijd",3,IF('Aanpassen Werkschema'!D107="vaste tijd",4,""))))</f>
        <v/>
      </c>
      <c r="D77" s="849">
        <f>'Aanpassen Werkschema'!E107</f>
        <v/>
      </c>
      <c r="E77" s="569">
        <f>IF('Aanpassen Werkschema'!F107="v","x","")</f>
        <v/>
      </c>
      <c r="F77" s="569">
        <f>IF('Aanpassen Werkschema'!G107="v","x","")</f>
        <v/>
      </c>
      <c r="G77" s="569">
        <f>IF('Aanpassen Werkschema'!H107="v","x","")</f>
        <v/>
      </c>
      <c r="H77" s="569">
        <f>IF('Aanpassen Werkschema'!I107="v","x","")</f>
        <v/>
      </c>
      <c r="I77" s="569">
        <f>IF('Aanpassen Werkschema'!J107="v","x","")</f>
        <v/>
      </c>
      <c r="J77" s="569">
        <f>IF('Aanpassen Werkschema'!K107="v","x","")</f>
        <v/>
      </c>
      <c r="K77" s="569">
        <f>IF('Aanpassen Werkschema'!L107="v","x","")</f>
        <v/>
      </c>
      <c r="L77" s="571">
        <f>IF('Aanpassen Werkschema'!M107&gt;0,'Aanpassen Werkschema'!M107,"")</f>
        <v/>
      </c>
      <c r="M77" s="571">
        <f>IF('Aanpassen Werkschema'!N107&gt;0,'Aanpassen Werkschema'!N107,"")</f>
        <v/>
      </c>
      <c r="N77" s="571">
        <f>IF('Aanpassen Werkschema'!O107&gt;0,'Aanpassen Werkschema'!O107,"")</f>
        <v/>
      </c>
      <c r="O77" s="571">
        <f>IF('Aanpassen Werkschema'!P107&gt;0,'Aanpassen Werkschema'!P107,"")</f>
        <v/>
      </c>
      <c r="P77" s="571">
        <f>IF('Aanpassen Werkschema'!Q107&gt;0,'Aanpassen Werkschema'!Q107,"")</f>
        <v/>
      </c>
      <c r="Q77" s="571">
        <f>IF('Aanpassen Werkschema'!R107&gt;0,'Aanpassen Werkschema'!R107,"")</f>
        <v/>
      </c>
      <c r="R77" s="571">
        <f>IF('Aanpassen Werkschema'!S107&gt;0,'Aanpassen Werkschema'!S107,"")</f>
        <v/>
      </c>
      <c r="S77" s="569">
        <f>IF('Aanpassen Werkschema'!T107="x","",IF('Aanpassen Werkschema'!N107="v","x",IF(E77="","",IF(E77="x","x"))))</f>
        <v/>
      </c>
      <c r="T77" s="569">
        <f>IF('Aanpassen Werkschema'!U107="x","",IF('Aanpassen Werkschema'!O107="v","x",IF(F77="","",IF(F77="x","x"))))</f>
        <v/>
      </c>
      <c r="U77" s="569">
        <f>IF('Aanpassen Werkschema'!V107="x","",IF('Aanpassen Werkschema'!P107="v","x",IF(G77="","",IF(G77="x","x"))))</f>
        <v/>
      </c>
      <c r="V77" s="569">
        <f>IF('Aanpassen Werkschema'!W107="x","",IF('Aanpassen Werkschema'!Q107="v","x",IF(H77="","",IF(H77="x","x"))))</f>
        <v/>
      </c>
      <c r="W77" s="569">
        <f>IF('Aanpassen Werkschema'!X107="x","",IF('Aanpassen Werkschema'!R107="v","x",IF(I77="","",IF(I77="x","x"))))</f>
        <v/>
      </c>
      <c r="X77" s="569">
        <f>IF('Aanpassen Werkschema'!Y107="x","",IF('Aanpassen Werkschema'!S107="v","x",IF(J77="","",IF(J77="x","x"))))</f>
        <v/>
      </c>
      <c r="Y77" s="569">
        <f>IF('Aanpassen Werkschema'!Z107="x","",IF('Aanpassen Werkschema'!T107="v","x",IF(K77="","",IF(K77="x","x"))))</f>
        <v/>
      </c>
      <c r="Z77" s="850">
        <f>Z76+0.0000000001</f>
        <v/>
      </c>
      <c r="AA77" s="851">
        <f>IFERROR(IF(C77="",1.1,IF(S77="",1,IF($C77=1,VLOOKUP($B77,'Werkschema - Rekening'!$B$2:$C$46,2,FALSE),IF($C77=2,Instellingen!C$16,IF($C77=3,Instellingen!D$16,IF($C77=4,L77))))+$D77)+$Z77),1.1)</f>
        <v/>
      </c>
      <c r="AB77" s="852">
        <f>IF($B77="","",IFERROR(VLOOKUP($B77,'Werkschema - Rekening'!$B$2:$P$46,3,FALSE),""))</f>
        <v/>
      </c>
      <c r="AC77" s="851">
        <f>IFERROR(IF(C77="",1.1,IF(T77="",1,IF($C77=1,VLOOKUP($B77,'Werkschema - Rekening'!$B$2:$E$46,4,FALSE),IF($C77=2,Instellingen!E$16,IF($C77=3,Instellingen!F$16,IF($C77=4,M77))))+$D77)+$Z77),1.1)</f>
        <v/>
      </c>
      <c r="AD77" s="852">
        <f>IF($B77="","",IFERROR(VLOOKUP($B77,'Werkschema - Rekening'!$B$2:$P$46,5,FALSE),""))</f>
        <v/>
      </c>
      <c r="AE77" s="851">
        <f>IFERROR(IF(C77="",1.1,IF(U77="",1,IF($C77=1,VLOOKUP($B77,'Werkschema - Rekening'!$B$2:$G$46,6,FALSE),IF($C77=2,Instellingen!G$16,IF($C77=3,Instellingen!H$16,IF($C77=4,N77))))+$D77)+$Z77),1.1)</f>
        <v/>
      </c>
      <c r="AF77" s="852">
        <f>IF($B77="","",IFERROR(VLOOKUP($B77,'Werkschema - Rekening'!$B$2:$P$46,7,FALSE),""))</f>
        <v/>
      </c>
      <c r="AG77" s="851">
        <f>IFERROR(IF(C77="",1.1,IF(V77="",1,IF($C77=1,VLOOKUP($B77,'Werkschema - Rekening'!$B$2:$I$46,8,FALSE),IF($C77=2,Instellingen!I$16,IF($C77=3,Instellingen!J$16,IF($C77=4,O77))))+$D77)+$Z77),1.1)</f>
        <v/>
      </c>
      <c r="AH77" s="852">
        <f>IF($B77="","",IFERROR(VLOOKUP($B77,'Werkschema - Rekening'!$B$2:$P$46,9,FALSE),""))</f>
        <v/>
      </c>
      <c r="AI77" s="851">
        <f>IFERROR(IF(C77="",1.1,IF(W77="",1,IF($C77=1,VLOOKUP($B77,'Werkschema - Rekening'!$B$2:$K$46,10,FALSE),IF($C77=2,Instellingen!K$16,IF($C77=3,Instellingen!L$16,IF($C77=4,P77))))+$D77)+$Z77),1.1)</f>
        <v/>
      </c>
      <c r="AJ77" s="852">
        <f>IF($B77="","",IFERROR(VLOOKUP($B77,'Werkschema - Rekening'!$B$2:$P$46,11,FALSE),""))</f>
        <v/>
      </c>
      <c r="AK77" s="851">
        <f>IFERROR(IF(C77="",1.1,IF(X77="",1,IF($C77=1,VLOOKUP($B77,'Werkschema - Rekening'!$B$2:$M$46,12,FALSE),IF($C77=2,Instellingen!M$16,IF($C77=3,Instellingen!N$16,IF($C77=4,Q77))))+$D77)+$Z77),1.1)</f>
        <v/>
      </c>
      <c r="AL77" s="852">
        <f>IF($B77="","",IFERROR(VLOOKUP($B77,'Werkschema - Rekening'!$B$2:$P$46,13,FALSE),""))</f>
        <v/>
      </c>
      <c r="AM77" s="851">
        <f>IFERROR(IF(C77="",1.1,IF(Y77="",1,IF($C77=1,VLOOKUP($B77,'Werkschema - Rekening'!$B$2:$O$46,14,FALSE),IF($C77=2,Instellingen!O$16,IF($C77=3,Instellingen!P$16,IF($C77=4,R77))))+$D77)+$Z77),1.1)</f>
        <v/>
      </c>
      <c r="AN77" s="852">
        <f>IF($B77="","",IFERROR(VLOOKUP($B77,'Werkschema - Rekening'!$B$2:$P$46,15,FALSE),""))</f>
        <v/>
      </c>
      <c r="AO77" s="852">
        <f>A77</f>
        <v/>
      </c>
      <c r="AP77" s="852">
        <f>B77</f>
        <v/>
      </c>
    </row>
    <row r="78" ht="12.6" customHeight="1">
      <c r="A78" s="830">
        <f>'Aanpassen Werkschema'!B108</f>
        <v/>
      </c>
      <c r="B78" s="569">
        <f>'Aanpassen Werkschema'!C108</f>
        <v/>
      </c>
      <c r="C78" s="569">
        <f>IF('Aanpassen Werkschema'!D108="geplande taak",1,IF('Aanpassen Werkschema'!D108="openingstijd",2,IF('Aanpassen Werkschema'!D108="sluitingstijd",3,IF('Aanpassen Werkschema'!D108="vaste tijd",4,""))))</f>
        <v/>
      </c>
      <c r="D78" s="849">
        <f>'Aanpassen Werkschema'!E108</f>
        <v/>
      </c>
      <c r="E78" s="569">
        <f>IF('Aanpassen Werkschema'!F108="v","x","")</f>
        <v/>
      </c>
      <c r="F78" s="569">
        <f>IF('Aanpassen Werkschema'!G108="v","x","")</f>
        <v/>
      </c>
      <c r="G78" s="569">
        <f>IF('Aanpassen Werkschema'!H108="v","x","")</f>
        <v/>
      </c>
      <c r="H78" s="569">
        <f>IF('Aanpassen Werkschema'!I108="v","x","")</f>
        <v/>
      </c>
      <c r="I78" s="569">
        <f>IF('Aanpassen Werkschema'!J108="v","x","")</f>
        <v/>
      </c>
      <c r="J78" s="569">
        <f>IF('Aanpassen Werkschema'!K108="v","x","")</f>
        <v/>
      </c>
      <c r="K78" s="569">
        <f>IF('Aanpassen Werkschema'!L108="v","x","")</f>
        <v/>
      </c>
      <c r="L78" s="571">
        <f>IF('Aanpassen Werkschema'!M108&gt;0,'Aanpassen Werkschema'!M108,"")</f>
        <v/>
      </c>
      <c r="M78" s="571">
        <f>IF('Aanpassen Werkschema'!N108&gt;0,'Aanpassen Werkschema'!N108,"")</f>
        <v/>
      </c>
      <c r="N78" s="571">
        <f>IF('Aanpassen Werkschema'!O108&gt;0,'Aanpassen Werkschema'!O108,"")</f>
        <v/>
      </c>
      <c r="O78" s="571">
        <f>IF('Aanpassen Werkschema'!P108&gt;0,'Aanpassen Werkschema'!P108,"")</f>
        <v/>
      </c>
      <c r="P78" s="571">
        <f>IF('Aanpassen Werkschema'!Q108&gt;0,'Aanpassen Werkschema'!Q108,"")</f>
        <v/>
      </c>
      <c r="Q78" s="571">
        <f>IF('Aanpassen Werkschema'!R108&gt;0,'Aanpassen Werkschema'!R108,"")</f>
        <v/>
      </c>
      <c r="R78" s="571">
        <f>IF('Aanpassen Werkschema'!S108&gt;0,'Aanpassen Werkschema'!S108,"")</f>
        <v/>
      </c>
      <c r="S78" s="569">
        <f>IF('Aanpassen Werkschema'!T108="x","",IF('Aanpassen Werkschema'!N108="v","x",IF(E78="","",IF(E78="x","x"))))</f>
        <v/>
      </c>
      <c r="T78" s="569">
        <f>IF('Aanpassen Werkschema'!U108="x","",IF('Aanpassen Werkschema'!O108="v","x",IF(F78="","",IF(F78="x","x"))))</f>
        <v/>
      </c>
      <c r="U78" s="569">
        <f>IF('Aanpassen Werkschema'!V108="x","",IF('Aanpassen Werkschema'!P108="v","x",IF(G78="","",IF(G78="x","x"))))</f>
        <v/>
      </c>
      <c r="V78" s="569">
        <f>IF('Aanpassen Werkschema'!W108="x","",IF('Aanpassen Werkschema'!Q108="v","x",IF(H78="","",IF(H78="x","x"))))</f>
        <v/>
      </c>
      <c r="W78" s="569">
        <f>IF('Aanpassen Werkschema'!X108="x","",IF('Aanpassen Werkschema'!R108="v","x",IF(I78="","",IF(I78="x","x"))))</f>
        <v/>
      </c>
      <c r="X78" s="569">
        <f>IF('Aanpassen Werkschema'!Y108="x","",IF('Aanpassen Werkschema'!S108="v","x",IF(J78="","",IF(J78="x","x"))))</f>
        <v/>
      </c>
      <c r="Y78" s="569">
        <f>IF('Aanpassen Werkschema'!Z108="x","",IF('Aanpassen Werkschema'!T108="v","x",IF(K78="","",IF(K78="x","x"))))</f>
        <v/>
      </c>
      <c r="Z78" s="850">
        <f>Z77+0.0000000001</f>
        <v/>
      </c>
      <c r="AA78" s="851">
        <f>IFERROR(IF(C78="",1.1,IF(S78="",1,IF($C78=1,VLOOKUP($B78,'Werkschema - Rekening'!$B$2:$C$46,2,FALSE),IF($C78=2,Instellingen!C$16,IF($C78=3,Instellingen!D$16,IF($C78=4,L78))))+$D78)+$Z78),1.1)</f>
        <v/>
      </c>
      <c r="AB78" s="852">
        <f>IF($B78="","",IFERROR(VLOOKUP($B78,'Werkschema - Rekening'!$B$2:$P$46,3,FALSE),""))</f>
        <v/>
      </c>
      <c r="AC78" s="851">
        <f>IFERROR(IF(C78="",1.1,IF(T78="",1,IF($C78=1,VLOOKUP($B78,'Werkschema - Rekening'!$B$2:$E$46,4,FALSE),IF($C78=2,Instellingen!E$16,IF($C78=3,Instellingen!F$16,IF($C78=4,M78))))+$D78)+$Z78),1.1)</f>
        <v/>
      </c>
      <c r="AD78" s="852">
        <f>IF($B78="","",IFERROR(VLOOKUP($B78,'Werkschema - Rekening'!$B$2:$P$46,5,FALSE),""))</f>
        <v/>
      </c>
      <c r="AE78" s="851">
        <f>IFERROR(IF(C78="",1.1,IF(U78="",1,IF($C78=1,VLOOKUP($B78,'Werkschema - Rekening'!$B$2:$G$46,6,FALSE),IF($C78=2,Instellingen!G$16,IF($C78=3,Instellingen!H$16,IF($C78=4,N78))))+$D78)+$Z78),1.1)</f>
        <v/>
      </c>
      <c r="AF78" s="852">
        <f>IF($B78="","",IFERROR(VLOOKUP($B78,'Werkschema - Rekening'!$B$2:$P$46,7,FALSE),""))</f>
        <v/>
      </c>
      <c r="AG78" s="851">
        <f>IFERROR(IF(C78="",1.1,IF(V78="",1,IF($C78=1,VLOOKUP($B78,'Werkschema - Rekening'!$B$2:$I$46,8,FALSE),IF($C78=2,Instellingen!I$16,IF($C78=3,Instellingen!J$16,IF($C78=4,O78))))+$D78)+$Z78),1.1)</f>
        <v/>
      </c>
      <c r="AH78" s="852">
        <f>IF($B78="","",IFERROR(VLOOKUP($B78,'Werkschema - Rekening'!$B$2:$P$46,9,FALSE),""))</f>
        <v/>
      </c>
      <c r="AI78" s="851">
        <f>IFERROR(IF(C78="",1.1,IF(W78="",1,IF($C78=1,VLOOKUP($B78,'Werkschema - Rekening'!$B$2:$K$46,10,FALSE),IF($C78=2,Instellingen!K$16,IF($C78=3,Instellingen!L$16,IF($C78=4,P78))))+$D78)+$Z78),1.1)</f>
        <v/>
      </c>
      <c r="AJ78" s="852">
        <f>IF($B78="","",IFERROR(VLOOKUP($B78,'Werkschema - Rekening'!$B$2:$P$46,11,FALSE),""))</f>
        <v/>
      </c>
      <c r="AK78" s="851">
        <f>IFERROR(IF(C78="",1.1,IF(X78="",1,IF($C78=1,VLOOKUP($B78,'Werkschema - Rekening'!$B$2:$M$46,12,FALSE),IF($C78=2,Instellingen!M$16,IF($C78=3,Instellingen!N$16,IF($C78=4,Q78))))+$D78)+$Z78),1.1)</f>
        <v/>
      </c>
      <c r="AL78" s="852">
        <f>IF($B78="","",IFERROR(VLOOKUP($B78,'Werkschema - Rekening'!$B$2:$P$46,13,FALSE),""))</f>
        <v/>
      </c>
      <c r="AM78" s="851">
        <f>IFERROR(IF(C78="",1.1,IF(Y78="",1,IF($C78=1,VLOOKUP($B78,'Werkschema - Rekening'!$B$2:$O$46,14,FALSE),IF($C78=2,Instellingen!O$16,IF($C78=3,Instellingen!P$16,IF($C78=4,R78))))+$D78)+$Z78),1.1)</f>
        <v/>
      </c>
      <c r="AN78" s="852">
        <f>IF($B78="","",IFERROR(VLOOKUP($B78,'Werkschema - Rekening'!$B$2:$P$46,15,FALSE),""))</f>
        <v/>
      </c>
      <c r="AO78" s="852">
        <f>A78</f>
        <v/>
      </c>
      <c r="AP78" s="852">
        <f>B78</f>
        <v/>
      </c>
    </row>
    <row r="79" ht="12.6" customHeight="1">
      <c r="A79" s="830">
        <f>'Aanpassen Werkschema'!B109</f>
        <v/>
      </c>
      <c r="B79" s="569">
        <f>'Aanpassen Werkschema'!C109</f>
        <v/>
      </c>
      <c r="C79" s="569">
        <f>IF('Aanpassen Werkschema'!D109="geplande taak",1,IF('Aanpassen Werkschema'!D109="openingstijd",2,IF('Aanpassen Werkschema'!D109="sluitingstijd",3,IF('Aanpassen Werkschema'!D109="vaste tijd",4,""))))</f>
        <v/>
      </c>
      <c r="D79" s="849">
        <f>'Aanpassen Werkschema'!E109</f>
        <v/>
      </c>
      <c r="E79" s="569">
        <f>IF('Aanpassen Werkschema'!F109="v","x","")</f>
        <v/>
      </c>
      <c r="F79" s="569">
        <f>IF('Aanpassen Werkschema'!G109="v","x","")</f>
        <v/>
      </c>
      <c r="G79" s="569">
        <f>IF('Aanpassen Werkschema'!H109="v","x","")</f>
        <v/>
      </c>
      <c r="H79" s="569">
        <f>IF('Aanpassen Werkschema'!I109="v","x","")</f>
        <v/>
      </c>
      <c r="I79" s="569">
        <f>IF('Aanpassen Werkschema'!J109="v","x","")</f>
        <v/>
      </c>
      <c r="J79" s="569">
        <f>IF('Aanpassen Werkschema'!K109="v","x","")</f>
        <v/>
      </c>
      <c r="K79" s="569">
        <f>IF('Aanpassen Werkschema'!L109="v","x","")</f>
        <v/>
      </c>
      <c r="L79" s="571">
        <f>IF('Aanpassen Werkschema'!M109&gt;0,'Aanpassen Werkschema'!M109,"")</f>
        <v/>
      </c>
      <c r="M79" s="571">
        <f>IF('Aanpassen Werkschema'!N109&gt;0,'Aanpassen Werkschema'!N109,"")</f>
        <v/>
      </c>
      <c r="N79" s="571">
        <f>IF('Aanpassen Werkschema'!O109&gt;0,'Aanpassen Werkschema'!O109,"")</f>
        <v/>
      </c>
      <c r="O79" s="571">
        <f>IF('Aanpassen Werkschema'!P109&gt;0,'Aanpassen Werkschema'!P109,"")</f>
        <v/>
      </c>
      <c r="P79" s="571">
        <f>IF('Aanpassen Werkschema'!Q109&gt;0,'Aanpassen Werkschema'!Q109,"")</f>
        <v/>
      </c>
      <c r="Q79" s="571">
        <f>IF('Aanpassen Werkschema'!R109&gt;0,'Aanpassen Werkschema'!R109,"")</f>
        <v/>
      </c>
      <c r="R79" s="571">
        <f>IF('Aanpassen Werkschema'!S109&gt;0,'Aanpassen Werkschema'!S109,"")</f>
        <v/>
      </c>
      <c r="S79" s="569">
        <f>IF('Aanpassen Werkschema'!T109="x","",IF('Aanpassen Werkschema'!N109="v","x",IF(E79="","",IF(E79="x","x"))))</f>
        <v/>
      </c>
      <c r="T79" s="569">
        <f>IF('Aanpassen Werkschema'!U109="x","",IF('Aanpassen Werkschema'!O109="v","x",IF(F79="","",IF(F79="x","x"))))</f>
        <v/>
      </c>
      <c r="U79" s="569">
        <f>IF('Aanpassen Werkschema'!V109="x","",IF('Aanpassen Werkschema'!P109="v","x",IF(G79="","",IF(G79="x","x"))))</f>
        <v/>
      </c>
      <c r="V79" s="569">
        <f>IF('Aanpassen Werkschema'!W109="x","",IF('Aanpassen Werkschema'!Q109="v","x",IF(H79="","",IF(H79="x","x"))))</f>
        <v/>
      </c>
      <c r="W79" s="569">
        <f>IF('Aanpassen Werkschema'!X109="x","",IF('Aanpassen Werkschema'!R109="v","x",IF(I79="","",IF(I79="x","x"))))</f>
        <v/>
      </c>
      <c r="X79" s="569">
        <f>IF('Aanpassen Werkschema'!Y109="x","",IF('Aanpassen Werkschema'!S109="v","x",IF(J79="","",IF(J79="x","x"))))</f>
        <v/>
      </c>
      <c r="Y79" s="569">
        <f>IF('Aanpassen Werkschema'!Z109="x","",IF('Aanpassen Werkschema'!T109="v","x",IF(K79="","",IF(K79="x","x"))))</f>
        <v/>
      </c>
      <c r="Z79" s="850">
        <f>Z78+0.0000000001</f>
        <v/>
      </c>
      <c r="AA79" s="851">
        <f>IFERROR(IF(C79="",1.1,IF(S79="",1,IF($C79=1,VLOOKUP($B79,'Werkschema - Rekening'!$B$2:$C$46,2,FALSE),IF($C79=2,Instellingen!C$16,IF($C79=3,Instellingen!D$16,IF($C79=4,L79))))+$D79)+$Z79),1.1)</f>
        <v/>
      </c>
      <c r="AB79" s="852">
        <f>IF($B79="","",IFERROR(VLOOKUP($B79,'Werkschema - Rekening'!$B$2:$P$46,3,FALSE),""))</f>
        <v/>
      </c>
      <c r="AC79" s="851">
        <f>IFERROR(IF(C79="",1.1,IF(T79="",1,IF($C79=1,VLOOKUP($B79,'Werkschema - Rekening'!$B$2:$E$46,4,FALSE),IF($C79=2,Instellingen!E$16,IF($C79=3,Instellingen!F$16,IF($C79=4,M79))))+$D79)+$Z79),1.1)</f>
        <v/>
      </c>
      <c r="AD79" s="852">
        <f>IF($B79="","",IFERROR(VLOOKUP($B79,'Werkschema - Rekening'!$B$2:$P$46,5,FALSE),""))</f>
        <v/>
      </c>
      <c r="AE79" s="851">
        <f>IFERROR(IF(C79="",1.1,IF(U79="",1,IF($C79=1,VLOOKUP($B79,'Werkschema - Rekening'!$B$2:$G$46,6,FALSE),IF($C79=2,Instellingen!G$16,IF($C79=3,Instellingen!H$16,IF($C79=4,N79))))+$D79)+$Z79),1.1)</f>
        <v/>
      </c>
      <c r="AF79" s="852">
        <f>IF($B79="","",IFERROR(VLOOKUP($B79,'Werkschema - Rekening'!$B$2:$P$46,7,FALSE),""))</f>
        <v/>
      </c>
      <c r="AG79" s="851">
        <f>IFERROR(IF(C79="",1.1,IF(V79="",1,IF($C79=1,VLOOKUP($B79,'Werkschema - Rekening'!$B$2:$I$46,8,FALSE),IF($C79=2,Instellingen!I$16,IF($C79=3,Instellingen!J$16,IF($C79=4,O79))))+$D79)+$Z79),1.1)</f>
        <v/>
      </c>
      <c r="AH79" s="852">
        <f>IF($B79="","",IFERROR(VLOOKUP($B79,'Werkschema - Rekening'!$B$2:$P$46,9,FALSE),""))</f>
        <v/>
      </c>
      <c r="AI79" s="851">
        <f>IFERROR(IF(C79="",1.1,IF(W79="",1,IF($C79=1,VLOOKUP($B79,'Werkschema - Rekening'!$B$2:$K$46,10,FALSE),IF($C79=2,Instellingen!K$16,IF($C79=3,Instellingen!L$16,IF($C79=4,P79))))+$D79)+$Z79),1.1)</f>
        <v/>
      </c>
      <c r="AJ79" s="852">
        <f>IF($B79="","",IFERROR(VLOOKUP($B79,'Werkschema - Rekening'!$B$2:$P$46,11,FALSE),""))</f>
        <v/>
      </c>
      <c r="AK79" s="851">
        <f>IFERROR(IF(C79="",1.1,IF(X79="",1,IF($C79=1,VLOOKUP($B79,'Werkschema - Rekening'!$B$2:$M$46,12,FALSE),IF($C79=2,Instellingen!M$16,IF($C79=3,Instellingen!N$16,IF($C79=4,Q79))))+$D79)+$Z79),1.1)</f>
        <v/>
      </c>
      <c r="AL79" s="852">
        <f>IF($B79="","",IFERROR(VLOOKUP($B79,'Werkschema - Rekening'!$B$2:$P$46,13,FALSE),""))</f>
        <v/>
      </c>
      <c r="AM79" s="851">
        <f>IFERROR(IF(C79="",1.1,IF(Y79="",1,IF($C79=1,VLOOKUP($B79,'Werkschema - Rekening'!$B$2:$O$46,14,FALSE),IF($C79=2,Instellingen!O$16,IF($C79=3,Instellingen!P$16,IF($C79=4,R79))))+$D79)+$Z79),1.1)</f>
        <v/>
      </c>
      <c r="AN79" s="852">
        <f>IF($B79="","",IFERROR(VLOOKUP($B79,'Werkschema - Rekening'!$B$2:$P$46,15,FALSE),""))</f>
        <v/>
      </c>
      <c r="AO79" s="852">
        <f>A79</f>
        <v/>
      </c>
      <c r="AP79" s="852">
        <f>B79</f>
        <v/>
      </c>
    </row>
    <row r="80" ht="12.6" customHeight="1">
      <c r="A80" s="830">
        <f>'Aanpassen Werkschema'!B110</f>
        <v/>
      </c>
      <c r="B80" s="569">
        <f>'Aanpassen Werkschema'!C110</f>
        <v/>
      </c>
      <c r="C80" s="569">
        <f>IF('Aanpassen Werkschema'!D110="geplande taak",1,IF('Aanpassen Werkschema'!D110="openingstijd",2,IF('Aanpassen Werkschema'!D110="sluitingstijd",3,IF('Aanpassen Werkschema'!D110="vaste tijd",4,""))))</f>
        <v/>
      </c>
      <c r="D80" s="849">
        <f>'Aanpassen Werkschema'!E110</f>
        <v/>
      </c>
      <c r="E80" s="569">
        <f>IF('Aanpassen Werkschema'!F110="v","x","")</f>
        <v/>
      </c>
      <c r="F80" s="569">
        <f>IF('Aanpassen Werkschema'!G110="v","x","")</f>
        <v/>
      </c>
      <c r="G80" s="569">
        <f>IF('Aanpassen Werkschema'!H110="v","x","")</f>
        <v/>
      </c>
      <c r="H80" s="569">
        <f>IF('Aanpassen Werkschema'!I110="v","x","")</f>
        <v/>
      </c>
      <c r="I80" s="569">
        <f>IF('Aanpassen Werkschema'!J110="v","x","")</f>
        <v/>
      </c>
      <c r="J80" s="569">
        <f>IF('Aanpassen Werkschema'!K110="v","x","")</f>
        <v/>
      </c>
      <c r="K80" s="569">
        <f>IF('Aanpassen Werkschema'!L110="v","x","")</f>
        <v/>
      </c>
      <c r="L80" s="571">
        <f>IF('Aanpassen Werkschema'!M110&gt;0,'Aanpassen Werkschema'!M110,"")</f>
        <v/>
      </c>
      <c r="M80" s="571">
        <f>IF('Aanpassen Werkschema'!N110&gt;0,'Aanpassen Werkschema'!N110,"")</f>
        <v/>
      </c>
      <c r="N80" s="571">
        <f>IF('Aanpassen Werkschema'!O110&gt;0,'Aanpassen Werkschema'!O110,"")</f>
        <v/>
      </c>
      <c r="O80" s="571">
        <f>IF('Aanpassen Werkschema'!P110&gt;0,'Aanpassen Werkschema'!P110,"")</f>
        <v/>
      </c>
      <c r="P80" s="571">
        <f>IF('Aanpassen Werkschema'!Q110&gt;0,'Aanpassen Werkschema'!Q110,"")</f>
        <v/>
      </c>
      <c r="Q80" s="571">
        <f>IF('Aanpassen Werkschema'!R110&gt;0,'Aanpassen Werkschema'!R110,"")</f>
        <v/>
      </c>
      <c r="R80" s="571">
        <f>IF('Aanpassen Werkschema'!S110&gt;0,'Aanpassen Werkschema'!S110,"")</f>
        <v/>
      </c>
      <c r="S80" s="569">
        <f>IF('Aanpassen Werkschema'!T110="x","",IF('Aanpassen Werkschema'!N110="v","x",IF(E80="","",IF(E80="x","x"))))</f>
        <v/>
      </c>
      <c r="T80" s="569">
        <f>IF('Aanpassen Werkschema'!U110="x","",IF('Aanpassen Werkschema'!O110="v","x",IF(F80="","",IF(F80="x","x"))))</f>
        <v/>
      </c>
      <c r="U80" s="569">
        <f>IF('Aanpassen Werkschema'!V110="x","",IF('Aanpassen Werkschema'!P110="v","x",IF(G80="","",IF(G80="x","x"))))</f>
        <v/>
      </c>
      <c r="V80" s="569">
        <f>IF('Aanpassen Werkschema'!W110="x","",IF('Aanpassen Werkschema'!Q110="v","x",IF(H80="","",IF(H80="x","x"))))</f>
        <v/>
      </c>
      <c r="W80" s="569">
        <f>IF('Aanpassen Werkschema'!X110="x","",IF('Aanpassen Werkschema'!R110="v","x",IF(I80="","",IF(I80="x","x"))))</f>
        <v/>
      </c>
      <c r="X80" s="569">
        <f>IF('Aanpassen Werkschema'!Y110="x","",IF('Aanpassen Werkschema'!S110="v","x",IF(J80="","",IF(J80="x","x"))))</f>
        <v/>
      </c>
      <c r="Y80" s="569">
        <f>IF('Aanpassen Werkschema'!Z110="x","",IF('Aanpassen Werkschema'!T110="v","x",IF(K80="","",IF(K80="x","x"))))</f>
        <v/>
      </c>
      <c r="Z80" s="850">
        <f>Z79+0.0000000001</f>
        <v/>
      </c>
      <c r="AA80" s="851">
        <f>IFERROR(IF(C80="",1.1,IF(S80="",1,IF($C80=1,VLOOKUP($B80,'Werkschema - Rekening'!$B$2:$C$46,2,FALSE),IF($C80=2,Instellingen!C$16,IF($C80=3,Instellingen!D$16,IF($C80=4,L80))))+$D80)+$Z80),1.1)</f>
        <v/>
      </c>
      <c r="AB80" s="852">
        <f>IF($B80="","",IFERROR(VLOOKUP($B80,'Werkschema - Rekening'!$B$2:$P$46,3,FALSE),""))</f>
        <v/>
      </c>
      <c r="AC80" s="851">
        <f>IFERROR(IF(C80="",1.1,IF(T80="",1,IF($C80=1,VLOOKUP($B80,'Werkschema - Rekening'!$B$2:$E$46,4,FALSE),IF($C80=2,Instellingen!E$16,IF($C80=3,Instellingen!F$16,IF($C80=4,M80))))+$D80)+$Z80),1.1)</f>
        <v/>
      </c>
      <c r="AD80" s="852">
        <f>IF($B80="","",IFERROR(VLOOKUP($B80,'Werkschema - Rekening'!$B$2:$P$46,5,FALSE),""))</f>
        <v/>
      </c>
      <c r="AE80" s="851">
        <f>IFERROR(IF(C80="",1.1,IF(U80="",1,IF($C80=1,VLOOKUP($B80,'Werkschema - Rekening'!$B$2:$G$46,6,FALSE),IF($C80=2,Instellingen!G$16,IF($C80=3,Instellingen!H$16,IF($C80=4,N80))))+$D80)+$Z80),1.1)</f>
        <v/>
      </c>
      <c r="AF80" s="852">
        <f>IF($B80="","",IFERROR(VLOOKUP($B80,'Werkschema - Rekening'!$B$2:$P$46,7,FALSE),""))</f>
        <v/>
      </c>
      <c r="AG80" s="851">
        <f>IFERROR(IF(C80="",1.1,IF(V80="",1,IF($C80=1,VLOOKUP($B80,'Werkschema - Rekening'!$B$2:$I$46,8,FALSE),IF($C80=2,Instellingen!I$16,IF($C80=3,Instellingen!J$16,IF($C80=4,O80))))+$D80)+$Z80),1.1)</f>
        <v/>
      </c>
      <c r="AH80" s="852">
        <f>IF($B80="","",IFERROR(VLOOKUP($B80,'Werkschema - Rekening'!$B$2:$P$46,9,FALSE),""))</f>
        <v/>
      </c>
      <c r="AI80" s="851">
        <f>IFERROR(IF(C80="",1.1,IF(W80="",1,IF($C80=1,VLOOKUP($B80,'Werkschema - Rekening'!$B$2:$K$46,10,FALSE),IF($C80=2,Instellingen!K$16,IF($C80=3,Instellingen!L$16,IF($C80=4,P80))))+$D80)+$Z80),1.1)</f>
        <v/>
      </c>
      <c r="AJ80" s="852">
        <f>IF($B80="","",IFERROR(VLOOKUP($B80,'Werkschema - Rekening'!$B$2:$P$46,11,FALSE),""))</f>
        <v/>
      </c>
      <c r="AK80" s="851">
        <f>IFERROR(IF(C80="",1.1,IF(X80="",1,IF($C80=1,VLOOKUP($B80,'Werkschema - Rekening'!$B$2:$M$46,12,FALSE),IF($C80=2,Instellingen!M$16,IF($C80=3,Instellingen!N$16,IF($C80=4,Q80))))+$D80)+$Z80),1.1)</f>
        <v/>
      </c>
      <c r="AL80" s="852">
        <f>IF($B80="","",IFERROR(VLOOKUP($B80,'Werkschema - Rekening'!$B$2:$P$46,13,FALSE),""))</f>
        <v/>
      </c>
      <c r="AM80" s="851">
        <f>IFERROR(IF(C80="",1.1,IF(Y80="",1,IF($C80=1,VLOOKUP($B80,'Werkschema - Rekening'!$B$2:$O$46,14,FALSE),IF($C80=2,Instellingen!O$16,IF($C80=3,Instellingen!P$16,IF($C80=4,R80))))+$D80)+$Z80),1.1)</f>
        <v/>
      </c>
      <c r="AN80" s="852">
        <f>IF($B80="","",IFERROR(VLOOKUP($B80,'Werkschema - Rekening'!$B$2:$P$46,15,FALSE),""))</f>
        <v/>
      </c>
      <c r="AO80" s="852">
        <f>A80</f>
        <v/>
      </c>
      <c r="AP80" s="852">
        <f>B80</f>
        <v/>
      </c>
    </row>
    <row r="81" ht="12.6" customHeight="1">
      <c r="A81" s="830">
        <f>'Aanpassen Werkschema'!B111</f>
        <v/>
      </c>
      <c r="B81" s="569">
        <f>'Aanpassen Werkschema'!C111</f>
        <v/>
      </c>
      <c r="C81" s="569">
        <f>IF('Aanpassen Werkschema'!D111="geplande taak",1,IF('Aanpassen Werkschema'!D111="openingstijd",2,IF('Aanpassen Werkschema'!D111="sluitingstijd",3,IF('Aanpassen Werkschema'!D111="vaste tijd",4,""))))</f>
        <v/>
      </c>
      <c r="D81" s="849">
        <f>'Aanpassen Werkschema'!E111</f>
        <v/>
      </c>
      <c r="E81" s="569">
        <f>IF('Aanpassen Werkschema'!F111="v","x","")</f>
        <v/>
      </c>
      <c r="F81" s="569">
        <f>IF('Aanpassen Werkschema'!G111="v","x","")</f>
        <v/>
      </c>
      <c r="G81" s="569">
        <f>IF('Aanpassen Werkschema'!H111="v","x","")</f>
        <v/>
      </c>
      <c r="H81" s="569">
        <f>IF('Aanpassen Werkschema'!I111="v","x","")</f>
        <v/>
      </c>
      <c r="I81" s="569">
        <f>IF('Aanpassen Werkschema'!J111="v","x","")</f>
        <v/>
      </c>
      <c r="J81" s="569">
        <f>IF('Aanpassen Werkschema'!K111="v","x","")</f>
        <v/>
      </c>
      <c r="K81" s="569">
        <f>IF('Aanpassen Werkschema'!L111="v","x","")</f>
        <v/>
      </c>
      <c r="L81" s="571">
        <f>IF('Aanpassen Werkschema'!M111&gt;0,'Aanpassen Werkschema'!M111,"")</f>
        <v/>
      </c>
      <c r="M81" s="571">
        <f>IF('Aanpassen Werkschema'!N111&gt;0,'Aanpassen Werkschema'!N111,"")</f>
        <v/>
      </c>
      <c r="N81" s="571">
        <f>IF('Aanpassen Werkschema'!O111&gt;0,'Aanpassen Werkschema'!O111,"")</f>
        <v/>
      </c>
      <c r="O81" s="571">
        <f>IF('Aanpassen Werkschema'!P111&gt;0,'Aanpassen Werkschema'!P111,"")</f>
        <v/>
      </c>
      <c r="P81" s="571">
        <f>IF('Aanpassen Werkschema'!Q111&gt;0,'Aanpassen Werkschema'!Q111,"")</f>
        <v/>
      </c>
      <c r="Q81" s="571">
        <f>IF('Aanpassen Werkschema'!R111&gt;0,'Aanpassen Werkschema'!R111,"")</f>
        <v/>
      </c>
      <c r="R81" s="571">
        <f>IF('Aanpassen Werkschema'!S111&gt;0,'Aanpassen Werkschema'!S111,"")</f>
        <v/>
      </c>
      <c r="S81" s="569">
        <f>IF('Aanpassen Werkschema'!T111="x","",IF('Aanpassen Werkschema'!N111="v","x",IF(E81="","",IF(E81="x","x"))))</f>
        <v/>
      </c>
      <c r="T81" s="569">
        <f>IF('Aanpassen Werkschema'!U111="x","",IF('Aanpassen Werkschema'!O111="v","x",IF(F81="","",IF(F81="x","x"))))</f>
        <v/>
      </c>
      <c r="U81" s="569">
        <f>IF('Aanpassen Werkschema'!V111="x","",IF('Aanpassen Werkschema'!P111="v","x",IF(G81="","",IF(G81="x","x"))))</f>
        <v/>
      </c>
      <c r="V81" s="569">
        <f>IF('Aanpassen Werkschema'!W111="x","",IF('Aanpassen Werkschema'!Q111="v","x",IF(H81="","",IF(H81="x","x"))))</f>
        <v/>
      </c>
      <c r="W81" s="569">
        <f>IF('Aanpassen Werkschema'!X111="x","",IF('Aanpassen Werkschema'!R111="v","x",IF(I81="","",IF(I81="x","x"))))</f>
        <v/>
      </c>
      <c r="X81" s="569">
        <f>IF('Aanpassen Werkschema'!Y111="x","",IF('Aanpassen Werkschema'!S111="v","x",IF(J81="","",IF(J81="x","x"))))</f>
        <v/>
      </c>
      <c r="Y81" s="569">
        <f>IF('Aanpassen Werkschema'!Z111="x","",IF('Aanpassen Werkschema'!T111="v","x",IF(K81="","",IF(K81="x","x"))))</f>
        <v/>
      </c>
      <c r="Z81" s="850">
        <f>Z80+0.0000000001</f>
        <v/>
      </c>
      <c r="AA81" s="851">
        <f>IFERROR(IF(C81="",1.1,IF(S81="",1,IF($C81=1,VLOOKUP($B81,'Werkschema - Rekening'!$B$2:$C$46,2,FALSE),IF($C81=2,Instellingen!C$16,IF($C81=3,Instellingen!D$16,IF($C81=4,L81))))+$D81)+$Z81),1.1)</f>
        <v/>
      </c>
      <c r="AB81" s="852">
        <f>IF($B81="","",IFERROR(VLOOKUP($B81,'Werkschema - Rekening'!$B$2:$P$46,3,FALSE),""))</f>
        <v/>
      </c>
      <c r="AC81" s="851">
        <f>IFERROR(IF(C81="",1.1,IF(T81="",1,IF($C81=1,VLOOKUP($B81,'Werkschema - Rekening'!$B$2:$E$46,4,FALSE),IF($C81=2,Instellingen!E$16,IF($C81=3,Instellingen!F$16,IF($C81=4,M81))))+$D81)+$Z81),1.1)</f>
        <v/>
      </c>
      <c r="AD81" s="852">
        <f>IF($B81="","",IFERROR(VLOOKUP($B81,'Werkschema - Rekening'!$B$2:$P$46,5,FALSE),""))</f>
        <v/>
      </c>
      <c r="AE81" s="851">
        <f>IFERROR(IF(C81="",1.1,IF(U81="",1,IF($C81=1,VLOOKUP($B81,'Werkschema - Rekening'!$B$2:$G$46,6,FALSE),IF($C81=2,Instellingen!G$16,IF($C81=3,Instellingen!H$16,IF($C81=4,N81))))+$D81)+$Z81),1.1)</f>
        <v/>
      </c>
      <c r="AF81" s="852">
        <f>IF($B81="","",IFERROR(VLOOKUP($B81,'Werkschema - Rekening'!$B$2:$P$46,7,FALSE),""))</f>
        <v/>
      </c>
      <c r="AG81" s="851">
        <f>IFERROR(IF(C81="",1.1,IF(V81="",1,IF($C81=1,VLOOKUP($B81,'Werkschema - Rekening'!$B$2:$I$46,8,FALSE),IF($C81=2,Instellingen!I$16,IF($C81=3,Instellingen!J$16,IF($C81=4,O81))))+$D81)+$Z81),1.1)</f>
        <v/>
      </c>
      <c r="AH81" s="852">
        <f>IF($B81="","",IFERROR(VLOOKUP($B81,'Werkschema - Rekening'!$B$2:$P$46,9,FALSE),""))</f>
        <v/>
      </c>
      <c r="AI81" s="851">
        <f>IFERROR(IF(C81="",1.1,IF(W81="",1,IF($C81=1,VLOOKUP($B81,'Werkschema - Rekening'!$B$2:$K$46,10,FALSE),IF($C81=2,Instellingen!K$16,IF($C81=3,Instellingen!L$16,IF($C81=4,P81))))+$D81)+$Z81),1.1)</f>
        <v/>
      </c>
      <c r="AJ81" s="852">
        <f>IF($B81="","",IFERROR(VLOOKUP($B81,'Werkschema - Rekening'!$B$2:$P$46,11,FALSE),""))</f>
        <v/>
      </c>
      <c r="AK81" s="851">
        <f>IFERROR(IF(C81="",1.1,IF(X81="",1,IF($C81=1,VLOOKUP($B81,'Werkschema - Rekening'!$B$2:$M$46,12,FALSE),IF($C81=2,Instellingen!M$16,IF($C81=3,Instellingen!N$16,IF($C81=4,Q81))))+$D81)+$Z81),1.1)</f>
        <v/>
      </c>
      <c r="AL81" s="852">
        <f>IF($B81="","",IFERROR(VLOOKUP($B81,'Werkschema - Rekening'!$B$2:$P$46,13,FALSE),""))</f>
        <v/>
      </c>
      <c r="AM81" s="851">
        <f>IFERROR(IF(C81="",1.1,IF(Y81="",1,IF($C81=1,VLOOKUP($B81,'Werkschema - Rekening'!$B$2:$O$46,14,FALSE),IF($C81=2,Instellingen!O$16,IF($C81=3,Instellingen!P$16,IF($C81=4,R81))))+$D81)+$Z81),1.1)</f>
        <v/>
      </c>
      <c r="AN81" s="852">
        <f>IF($B81="","",IFERROR(VLOOKUP($B81,'Werkschema - Rekening'!$B$2:$P$46,15,FALSE),""))</f>
        <v/>
      </c>
      <c r="AO81" s="852">
        <f>A81</f>
        <v/>
      </c>
      <c r="AP81" s="852">
        <f>B81</f>
        <v/>
      </c>
    </row>
    <row r="82" ht="12.6" customHeight="1">
      <c r="A82" s="830">
        <f>'Aanpassen Werkschema'!B112</f>
        <v/>
      </c>
      <c r="B82" s="569">
        <f>'Aanpassen Werkschema'!C112</f>
        <v/>
      </c>
      <c r="C82" s="569">
        <f>IF('Aanpassen Werkschema'!D112="geplande taak",1,IF('Aanpassen Werkschema'!D112="openingstijd",2,IF('Aanpassen Werkschema'!D112="sluitingstijd",3,IF('Aanpassen Werkschema'!D112="vaste tijd",4,""))))</f>
        <v/>
      </c>
      <c r="D82" s="849">
        <f>'Aanpassen Werkschema'!E112</f>
        <v/>
      </c>
      <c r="E82" s="569">
        <f>IF('Aanpassen Werkschema'!F112="v","x","")</f>
        <v/>
      </c>
      <c r="F82" s="569">
        <f>IF('Aanpassen Werkschema'!G112="v","x","")</f>
        <v/>
      </c>
      <c r="G82" s="569">
        <f>IF('Aanpassen Werkschema'!H112="v","x","")</f>
        <v/>
      </c>
      <c r="H82" s="569">
        <f>IF('Aanpassen Werkschema'!I112="v","x","")</f>
        <v/>
      </c>
      <c r="I82" s="569">
        <f>IF('Aanpassen Werkschema'!J112="v","x","")</f>
        <v/>
      </c>
      <c r="J82" s="569">
        <f>IF('Aanpassen Werkschema'!K112="v","x","")</f>
        <v/>
      </c>
      <c r="K82" s="569">
        <f>IF('Aanpassen Werkschema'!L112="v","x","")</f>
        <v/>
      </c>
      <c r="L82" s="571">
        <f>IF('Aanpassen Werkschema'!M112&gt;0,'Aanpassen Werkschema'!M112,"")</f>
        <v/>
      </c>
      <c r="M82" s="571">
        <f>IF('Aanpassen Werkschema'!N112&gt;0,'Aanpassen Werkschema'!N112,"")</f>
        <v/>
      </c>
      <c r="N82" s="571">
        <f>IF('Aanpassen Werkschema'!O112&gt;0,'Aanpassen Werkschema'!O112,"")</f>
        <v/>
      </c>
      <c r="O82" s="571">
        <f>IF('Aanpassen Werkschema'!P112&gt;0,'Aanpassen Werkschema'!P112,"")</f>
        <v/>
      </c>
      <c r="P82" s="571">
        <f>IF('Aanpassen Werkschema'!Q112&gt;0,'Aanpassen Werkschema'!Q112,"")</f>
        <v/>
      </c>
      <c r="Q82" s="571">
        <f>IF('Aanpassen Werkschema'!R112&gt;0,'Aanpassen Werkschema'!R112,"")</f>
        <v/>
      </c>
      <c r="R82" s="571">
        <f>IF('Aanpassen Werkschema'!S112&gt;0,'Aanpassen Werkschema'!S112,"")</f>
        <v/>
      </c>
      <c r="S82" s="569">
        <f>IF('Aanpassen Werkschema'!T112="x","",IF('Aanpassen Werkschema'!N112="v","x",IF(E82="","",IF(E82="x","x"))))</f>
        <v/>
      </c>
      <c r="T82" s="569">
        <f>IF('Aanpassen Werkschema'!U112="x","",IF('Aanpassen Werkschema'!O112="v","x",IF(F82="","",IF(F82="x","x"))))</f>
        <v/>
      </c>
      <c r="U82" s="569">
        <f>IF('Aanpassen Werkschema'!V112="x","",IF('Aanpassen Werkschema'!P112="v","x",IF(G82="","",IF(G82="x","x"))))</f>
        <v/>
      </c>
      <c r="V82" s="569">
        <f>IF('Aanpassen Werkschema'!W112="x","",IF('Aanpassen Werkschema'!Q112="v","x",IF(H82="","",IF(H82="x","x"))))</f>
        <v/>
      </c>
      <c r="W82" s="569">
        <f>IF('Aanpassen Werkschema'!X112="x","",IF('Aanpassen Werkschema'!R112="v","x",IF(I82="","",IF(I82="x","x"))))</f>
        <v/>
      </c>
      <c r="X82" s="569">
        <f>IF('Aanpassen Werkschema'!Y112="x","",IF('Aanpassen Werkschema'!S112="v","x",IF(J82="","",IF(J82="x","x"))))</f>
        <v/>
      </c>
      <c r="Y82" s="569">
        <f>IF('Aanpassen Werkschema'!Z112="x","",IF('Aanpassen Werkschema'!T112="v","x",IF(K82="","",IF(K82="x","x"))))</f>
        <v/>
      </c>
      <c r="Z82" s="850">
        <f>Z81+0.0000000001</f>
        <v/>
      </c>
      <c r="AA82" s="851">
        <f>IFERROR(IF(C82="",1.1,IF(S82="",1,IF($C82=1,VLOOKUP($B82,'Werkschema - Rekening'!$B$2:$C$46,2,FALSE),IF($C82=2,Instellingen!C$16,IF($C82=3,Instellingen!D$16,IF($C82=4,L82))))+$D82)+$Z82),1.1)</f>
        <v/>
      </c>
      <c r="AB82" s="852">
        <f>IF($B82="","",IFERROR(VLOOKUP($B82,'Werkschema - Rekening'!$B$2:$P$46,3,FALSE),""))</f>
        <v/>
      </c>
      <c r="AC82" s="851">
        <f>IFERROR(IF(C82="",1.1,IF(T82="",1,IF($C82=1,VLOOKUP($B82,'Werkschema - Rekening'!$B$2:$E$46,4,FALSE),IF($C82=2,Instellingen!E$16,IF($C82=3,Instellingen!F$16,IF($C82=4,M82))))+$D82)+$Z82),1.1)</f>
        <v/>
      </c>
      <c r="AD82" s="852">
        <f>IF($B82="","",IFERROR(VLOOKUP($B82,'Werkschema - Rekening'!$B$2:$P$46,5,FALSE),""))</f>
        <v/>
      </c>
      <c r="AE82" s="851">
        <f>IFERROR(IF(C82="",1.1,IF(U82="",1,IF($C82=1,VLOOKUP($B82,'Werkschema - Rekening'!$B$2:$G$46,6,FALSE),IF($C82=2,Instellingen!G$16,IF($C82=3,Instellingen!H$16,IF($C82=4,N82))))+$D82)+$Z82),1.1)</f>
        <v/>
      </c>
      <c r="AF82" s="852">
        <f>IF($B82="","",IFERROR(VLOOKUP($B82,'Werkschema - Rekening'!$B$2:$P$46,7,FALSE),""))</f>
        <v/>
      </c>
      <c r="AG82" s="851">
        <f>IFERROR(IF(C82="",1.1,IF(V82="",1,IF($C82=1,VLOOKUP($B82,'Werkschema - Rekening'!$B$2:$I$46,8,FALSE),IF($C82=2,Instellingen!I$16,IF($C82=3,Instellingen!J$16,IF($C82=4,O82))))+$D82)+$Z82),1.1)</f>
        <v/>
      </c>
      <c r="AH82" s="852">
        <f>IF($B82="","",IFERROR(VLOOKUP($B82,'Werkschema - Rekening'!$B$2:$P$46,9,FALSE),""))</f>
        <v/>
      </c>
      <c r="AI82" s="851">
        <f>IFERROR(IF(C82="",1.1,IF(W82="",1,IF($C82=1,VLOOKUP($B82,'Werkschema - Rekening'!$B$2:$K$46,10,FALSE),IF($C82=2,Instellingen!K$16,IF($C82=3,Instellingen!L$16,IF($C82=4,P82))))+$D82)+$Z82),1.1)</f>
        <v/>
      </c>
      <c r="AJ82" s="852">
        <f>IF($B82="","",IFERROR(VLOOKUP($B82,'Werkschema - Rekening'!$B$2:$P$46,11,FALSE),""))</f>
        <v/>
      </c>
      <c r="AK82" s="851">
        <f>IFERROR(IF(C82="",1.1,IF(X82="",1,IF($C82=1,VLOOKUP($B82,'Werkschema - Rekening'!$B$2:$M$46,12,FALSE),IF($C82=2,Instellingen!M$16,IF($C82=3,Instellingen!N$16,IF($C82=4,Q82))))+$D82)+$Z82),1.1)</f>
        <v/>
      </c>
      <c r="AL82" s="852">
        <f>IF($B82="","",IFERROR(VLOOKUP($B82,'Werkschema - Rekening'!$B$2:$P$46,13,FALSE),""))</f>
        <v/>
      </c>
      <c r="AM82" s="851">
        <f>IFERROR(IF(C82="",1.1,IF(Y82="",1,IF($C82=1,VLOOKUP($B82,'Werkschema - Rekening'!$B$2:$O$46,14,FALSE),IF($C82=2,Instellingen!O$16,IF($C82=3,Instellingen!P$16,IF($C82=4,R82))))+$D82)+$Z82),1.1)</f>
        <v/>
      </c>
      <c r="AN82" s="852">
        <f>IF($B82="","",IFERROR(VLOOKUP($B82,'Werkschema - Rekening'!$B$2:$P$46,15,FALSE),""))</f>
        <v/>
      </c>
      <c r="AO82" s="852">
        <f>A82</f>
        <v/>
      </c>
      <c r="AP82" s="852">
        <f>B82</f>
        <v/>
      </c>
    </row>
    <row r="83" ht="12.6" customHeight="1">
      <c r="A83" s="830">
        <f>'Aanpassen Werkschema'!B113</f>
        <v/>
      </c>
      <c r="B83" s="569">
        <f>'Aanpassen Werkschema'!C113</f>
        <v/>
      </c>
      <c r="C83" s="569">
        <f>IF('Aanpassen Werkschema'!D113="geplande taak",1,IF('Aanpassen Werkschema'!D113="openingstijd",2,IF('Aanpassen Werkschema'!D113="sluitingstijd",3,IF('Aanpassen Werkschema'!D113="vaste tijd",4,""))))</f>
        <v/>
      </c>
      <c r="D83" s="849">
        <f>'Aanpassen Werkschema'!E113</f>
        <v/>
      </c>
      <c r="E83" s="569">
        <f>IF('Aanpassen Werkschema'!F113="v","x","")</f>
        <v/>
      </c>
      <c r="F83" s="569">
        <f>IF('Aanpassen Werkschema'!G113="v","x","")</f>
        <v/>
      </c>
      <c r="G83" s="569">
        <f>IF('Aanpassen Werkschema'!H113="v","x","")</f>
        <v/>
      </c>
      <c r="H83" s="569">
        <f>IF('Aanpassen Werkschema'!I113="v","x","")</f>
        <v/>
      </c>
      <c r="I83" s="569">
        <f>IF('Aanpassen Werkschema'!J113="v","x","")</f>
        <v/>
      </c>
      <c r="J83" s="569">
        <f>IF('Aanpassen Werkschema'!K113="v","x","")</f>
        <v/>
      </c>
      <c r="K83" s="569">
        <f>IF('Aanpassen Werkschema'!L113="v","x","")</f>
        <v/>
      </c>
      <c r="L83" s="571">
        <f>IF('Aanpassen Werkschema'!M113&gt;0,'Aanpassen Werkschema'!M113,"")</f>
        <v/>
      </c>
      <c r="M83" s="571">
        <f>IF('Aanpassen Werkschema'!N113&gt;0,'Aanpassen Werkschema'!N113,"")</f>
        <v/>
      </c>
      <c r="N83" s="571">
        <f>IF('Aanpassen Werkschema'!O113&gt;0,'Aanpassen Werkschema'!O113,"")</f>
        <v/>
      </c>
      <c r="O83" s="571">
        <f>IF('Aanpassen Werkschema'!P113&gt;0,'Aanpassen Werkschema'!P113,"")</f>
        <v/>
      </c>
      <c r="P83" s="571">
        <f>IF('Aanpassen Werkschema'!Q113&gt;0,'Aanpassen Werkschema'!Q113,"")</f>
        <v/>
      </c>
      <c r="Q83" s="571">
        <f>IF('Aanpassen Werkschema'!R113&gt;0,'Aanpassen Werkschema'!R113,"")</f>
        <v/>
      </c>
      <c r="R83" s="571">
        <f>IF('Aanpassen Werkschema'!S113&gt;0,'Aanpassen Werkschema'!S113,"")</f>
        <v/>
      </c>
      <c r="S83" s="569">
        <f>IF('Aanpassen Werkschema'!T113="x","",IF('Aanpassen Werkschema'!N113="v","x",IF(E83="","",IF(E83="x","x"))))</f>
        <v/>
      </c>
      <c r="T83" s="569">
        <f>IF('Aanpassen Werkschema'!U113="x","",IF('Aanpassen Werkschema'!O113="v","x",IF(F83="","",IF(F83="x","x"))))</f>
        <v/>
      </c>
      <c r="U83" s="569">
        <f>IF('Aanpassen Werkschema'!V113="x","",IF('Aanpassen Werkschema'!P113="v","x",IF(G83="","",IF(G83="x","x"))))</f>
        <v/>
      </c>
      <c r="V83" s="569">
        <f>IF('Aanpassen Werkschema'!W113="x","",IF('Aanpassen Werkschema'!Q113="v","x",IF(H83="","",IF(H83="x","x"))))</f>
        <v/>
      </c>
      <c r="W83" s="569">
        <f>IF('Aanpassen Werkschema'!X113="x","",IF('Aanpassen Werkschema'!R113="v","x",IF(I83="","",IF(I83="x","x"))))</f>
        <v/>
      </c>
      <c r="X83" s="569">
        <f>IF('Aanpassen Werkschema'!Y113="x","",IF('Aanpassen Werkschema'!S113="v","x",IF(J83="","",IF(J83="x","x"))))</f>
        <v/>
      </c>
      <c r="Y83" s="569">
        <f>IF('Aanpassen Werkschema'!Z113="x","",IF('Aanpassen Werkschema'!T113="v","x",IF(K83="","",IF(K83="x","x"))))</f>
        <v/>
      </c>
      <c r="Z83" s="850">
        <f>Z82+0.0000000001</f>
        <v/>
      </c>
      <c r="AA83" s="851">
        <f>IFERROR(IF(C83="",1.1,IF(S83="",1,IF($C83=1,VLOOKUP($B83,'Werkschema - Rekening'!$B$2:$C$46,2,FALSE),IF($C83=2,Instellingen!C$16,IF($C83=3,Instellingen!D$16,IF($C83=4,L83))))+$D83)+$Z83),1.1)</f>
        <v/>
      </c>
      <c r="AB83" s="852">
        <f>IF($B83="","",IFERROR(VLOOKUP($B83,'Werkschema - Rekening'!$B$2:$P$46,3,FALSE),""))</f>
        <v/>
      </c>
      <c r="AC83" s="851">
        <f>IFERROR(IF(C83="",1.1,IF(T83="",1,IF($C83=1,VLOOKUP($B83,'Werkschema - Rekening'!$B$2:$E$46,4,FALSE),IF($C83=2,Instellingen!E$16,IF($C83=3,Instellingen!F$16,IF($C83=4,M83))))+$D83)+$Z83),1.1)</f>
        <v/>
      </c>
      <c r="AD83" s="852">
        <f>IF($B83="","",IFERROR(VLOOKUP($B83,'Werkschema - Rekening'!$B$2:$P$46,5,FALSE),""))</f>
        <v/>
      </c>
      <c r="AE83" s="851">
        <f>IFERROR(IF(C83="",1.1,IF(U83="",1,IF($C83=1,VLOOKUP($B83,'Werkschema - Rekening'!$B$2:$G$46,6,FALSE),IF($C83=2,Instellingen!G$16,IF($C83=3,Instellingen!H$16,IF($C83=4,N83))))+$D83)+$Z83),1.1)</f>
        <v/>
      </c>
      <c r="AF83" s="852">
        <f>IF($B83="","",IFERROR(VLOOKUP($B83,'Werkschema - Rekening'!$B$2:$P$46,7,FALSE),""))</f>
        <v/>
      </c>
      <c r="AG83" s="851">
        <f>IFERROR(IF(C83="",1.1,IF(V83="",1,IF($C83=1,VLOOKUP($B83,'Werkschema - Rekening'!$B$2:$I$46,8,FALSE),IF($C83=2,Instellingen!I$16,IF($C83=3,Instellingen!J$16,IF($C83=4,O83))))+$D83)+$Z83),1.1)</f>
        <v/>
      </c>
      <c r="AH83" s="852">
        <f>IF($B83="","",IFERROR(VLOOKUP($B83,'Werkschema - Rekening'!$B$2:$P$46,9,FALSE),""))</f>
        <v/>
      </c>
      <c r="AI83" s="851">
        <f>IFERROR(IF(C83="",1.1,IF(W83="",1,IF($C83=1,VLOOKUP($B83,'Werkschema - Rekening'!$B$2:$K$46,10,FALSE),IF($C83=2,Instellingen!K$16,IF($C83=3,Instellingen!L$16,IF($C83=4,P83))))+$D83)+$Z83),1.1)</f>
        <v/>
      </c>
      <c r="AJ83" s="852">
        <f>IF($B83="","",IFERROR(VLOOKUP($B83,'Werkschema - Rekening'!$B$2:$P$46,11,FALSE),""))</f>
        <v/>
      </c>
      <c r="AK83" s="851">
        <f>IFERROR(IF(C83="",1.1,IF(X83="",1,IF($C83=1,VLOOKUP($B83,'Werkschema - Rekening'!$B$2:$M$46,12,FALSE),IF($C83=2,Instellingen!M$16,IF($C83=3,Instellingen!N$16,IF($C83=4,Q83))))+$D83)+$Z83),1.1)</f>
        <v/>
      </c>
      <c r="AL83" s="852">
        <f>IF($B83="","",IFERROR(VLOOKUP($B83,'Werkschema - Rekening'!$B$2:$P$46,13,FALSE),""))</f>
        <v/>
      </c>
      <c r="AM83" s="851">
        <f>IFERROR(IF(C83="",1.1,IF(Y83="",1,IF($C83=1,VLOOKUP($B83,'Werkschema - Rekening'!$B$2:$O$46,14,FALSE),IF($C83=2,Instellingen!O$16,IF($C83=3,Instellingen!P$16,IF($C83=4,R83))))+$D83)+$Z83),1.1)</f>
        <v/>
      </c>
      <c r="AN83" s="852">
        <f>IF($B83="","",IFERROR(VLOOKUP($B83,'Werkschema - Rekening'!$B$2:$P$46,15,FALSE),""))</f>
        <v/>
      </c>
      <c r="AO83" s="852">
        <f>A83</f>
        <v/>
      </c>
      <c r="AP83" s="852">
        <f>B83</f>
        <v/>
      </c>
    </row>
    <row r="84" ht="12.6" customHeight="1">
      <c r="A84" s="830">
        <f>'Aanpassen Werkschema'!B114</f>
        <v/>
      </c>
      <c r="B84" s="569">
        <f>'Aanpassen Werkschema'!C114</f>
        <v/>
      </c>
      <c r="C84" s="569">
        <f>IF('Aanpassen Werkschema'!D114="geplande taak",1,IF('Aanpassen Werkschema'!D114="openingstijd",2,IF('Aanpassen Werkschema'!D114="sluitingstijd",3,IF('Aanpassen Werkschema'!D114="vaste tijd",4,""))))</f>
        <v/>
      </c>
      <c r="D84" s="849">
        <f>'Aanpassen Werkschema'!E114</f>
        <v/>
      </c>
      <c r="E84" s="569">
        <f>IF('Aanpassen Werkschema'!F114="v","x","")</f>
        <v/>
      </c>
      <c r="F84" s="569">
        <f>IF('Aanpassen Werkschema'!G114="v","x","")</f>
        <v/>
      </c>
      <c r="G84" s="569">
        <f>IF('Aanpassen Werkschema'!H114="v","x","")</f>
        <v/>
      </c>
      <c r="H84" s="569">
        <f>IF('Aanpassen Werkschema'!I114="v","x","")</f>
        <v/>
      </c>
      <c r="I84" s="569">
        <f>IF('Aanpassen Werkschema'!J114="v","x","")</f>
        <v/>
      </c>
      <c r="J84" s="569">
        <f>IF('Aanpassen Werkschema'!K114="v","x","")</f>
        <v/>
      </c>
      <c r="K84" s="569">
        <f>IF('Aanpassen Werkschema'!L114="v","x","")</f>
        <v/>
      </c>
      <c r="L84" s="571">
        <f>IF('Aanpassen Werkschema'!M114&gt;0,'Aanpassen Werkschema'!M114,"")</f>
        <v/>
      </c>
      <c r="M84" s="571">
        <f>IF('Aanpassen Werkschema'!N114&gt;0,'Aanpassen Werkschema'!N114,"")</f>
        <v/>
      </c>
      <c r="N84" s="571">
        <f>IF('Aanpassen Werkschema'!O114&gt;0,'Aanpassen Werkschema'!O114,"")</f>
        <v/>
      </c>
      <c r="O84" s="571">
        <f>IF('Aanpassen Werkschema'!P114&gt;0,'Aanpassen Werkschema'!P114,"")</f>
        <v/>
      </c>
      <c r="P84" s="571">
        <f>IF('Aanpassen Werkschema'!Q114&gt;0,'Aanpassen Werkschema'!Q114,"")</f>
        <v/>
      </c>
      <c r="Q84" s="571">
        <f>IF('Aanpassen Werkschema'!R114&gt;0,'Aanpassen Werkschema'!R114,"")</f>
        <v/>
      </c>
      <c r="R84" s="571">
        <f>IF('Aanpassen Werkschema'!S114&gt;0,'Aanpassen Werkschema'!S114,"")</f>
        <v/>
      </c>
      <c r="S84" s="569">
        <f>IF('Aanpassen Werkschema'!T114="x","",IF('Aanpassen Werkschema'!N114="v","x",IF(E84="","",IF(E84="x","x"))))</f>
        <v/>
      </c>
      <c r="T84" s="569">
        <f>IF('Aanpassen Werkschema'!U114="x","",IF('Aanpassen Werkschema'!O114="v","x",IF(F84="","",IF(F84="x","x"))))</f>
        <v/>
      </c>
      <c r="U84" s="569">
        <f>IF('Aanpassen Werkschema'!V114="x","",IF('Aanpassen Werkschema'!P114="v","x",IF(G84="","",IF(G84="x","x"))))</f>
        <v/>
      </c>
      <c r="V84" s="569">
        <f>IF('Aanpassen Werkschema'!W114="x","",IF('Aanpassen Werkschema'!Q114="v","x",IF(H84="","",IF(H84="x","x"))))</f>
        <v/>
      </c>
      <c r="W84" s="569">
        <f>IF('Aanpassen Werkschema'!X114="x","",IF('Aanpassen Werkschema'!R114="v","x",IF(I84="","",IF(I84="x","x"))))</f>
        <v/>
      </c>
      <c r="X84" s="569">
        <f>IF('Aanpassen Werkschema'!Y114="x","",IF('Aanpassen Werkschema'!S114="v","x",IF(J84="","",IF(J84="x","x"))))</f>
        <v/>
      </c>
      <c r="Y84" s="569">
        <f>IF('Aanpassen Werkschema'!Z114="x","",IF('Aanpassen Werkschema'!T114="v","x",IF(K84="","",IF(K84="x","x"))))</f>
        <v/>
      </c>
      <c r="Z84" s="850">
        <f>Z83+0.0000000001</f>
        <v/>
      </c>
      <c r="AA84" s="851">
        <f>IFERROR(IF(C84="",1.1,IF(S84="",1,IF($C84=1,VLOOKUP($B84,'Werkschema - Rekening'!$B$2:$C$46,2,FALSE),IF($C84=2,Instellingen!C$16,IF($C84=3,Instellingen!D$16,IF($C84=4,L84))))+$D84)+$Z84),1.1)</f>
        <v/>
      </c>
      <c r="AB84" s="852">
        <f>IF($B84="","",IFERROR(VLOOKUP($B84,'Werkschema - Rekening'!$B$2:$P$46,3,FALSE),""))</f>
        <v/>
      </c>
      <c r="AC84" s="851">
        <f>IFERROR(IF(C84="",1.1,IF(T84="",1,IF($C84=1,VLOOKUP($B84,'Werkschema - Rekening'!$B$2:$E$46,4,FALSE),IF($C84=2,Instellingen!E$16,IF($C84=3,Instellingen!F$16,IF($C84=4,M84))))+$D84)+$Z84),1.1)</f>
        <v/>
      </c>
      <c r="AD84" s="852">
        <f>IF($B84="","",IFERROR(VLOOKUP($B84,'Werkschema - Rekening'!$B$2:$P$46,5,FALSE),""))</f>
        <v/>
      </c>
      <c r="AE84" s="851">
        <f>IFERROR(IF(C84="",1.1,IF(U84="",1,IF($C84=1,VLOOKUP($B84,'Werkschema - Rekening'!$B$2:$G$46,6,FALSE),IF($C84=2,Instellingen!G$16,IF($C84=3,Instellingen!H$16,IF($C84=4,N84))))+$D84)+$Z84),1.1)</f>
        <v/>
      </c>
      <c r="AF84" s="852">
        <f>IF($B84="","",IFERROR(VLOOKUP($B84,'Werkschema - Rekening'!$B$2:$P$46,7,FALSE),""))</f>
        <v/>
      </c>
      <c r="AG84" s="851">
        <f>IFERROR(IF(C84="",1.1,IF(V84="",1,IF($C84=1,VLOOKUP($B84,'Werkschema - Rekening'!$B$2:$I$46,8,FALSE),IF($C84=2,Instellingen!I$16,IF($C84=3,Instellingen!J$16,IF($C84=4,O84))))+$D84)+$Z84),1.1)</f>
        <v/>
      </c>
      <c r="AH84" s="852">
        <f>IF($B84="","",IFERROR(VLOOKUP($B84,'Werkschema - Rekening'!$B$2:$P$46,9,FALSE),""))</f>
        <v/>
      </c>
      <c r="AI84" s="851">
        <f>IFERROR(IF(C84="",1.1,IF(W84="",1,IF($C84=1,VLOOKUP($B84,'Werkschema - Rekening'!$B$2:$K$46,10,FALSE),IF($C84=2,Instellingen!K$16,IF($C84=3,Instellingen!L$16,IF($C84=4,P84))))+$D84)+$Z84),1.1)</f>
        <v/>
      </c>
      <c r="AJ84" s="852">
        <f>IF($B84="","",IFERROR(VLOOKUP($B84,'Werkschema - Rekening'!$B$2:$P$46,11,FALSE),""))</f>
        <v/>
      </c>
      <c r="AK84" s="851">
        <f>IFERROR(IF(C84="",1.1,IF(X84="",1,IF($C84=1,VLOOKUP($B84,'Werkschema - Rekening'!$B$2:$M$46,12,FALSE),IF($C84=2,Instellingen!M$16,IF($C84=3,Instellingen!N$16,IF($C84=4,Q84))))+$D84)+$Z84),1.1)</f>
        <v/>
      </c>
      <c r="AL84" s="852">
        <f>IF($B84="","",IFERROR(VLOOKUP($B84,'Werkschema - Rekening'!$B$2:$P$46,13,FALSE),""))</f>
        <v/>
      </c>
      <c r="AM84" s="851">
        <f>IFERROR(IF(C84="",1.1,IF(Y84="",1,IF($C84=1,VLOOKUP($B84,'Werkschema - Rekening'!$B$2:$O$46,14,FALSE),IF($C84=2,Instellingen!O$16,IF($C84=3,Instellingen!P$16,IF($C84=4,R84))))+$D84)+$Z84),1.1)</f>
        <v/>
      </c>
      <c r="AN84" s="852">
        <f>IF($B84="","",IFERROR(VLOOKUP($B84,'Werkschema - Rekening'!$B$2:$P$46,15,FALSE),""))</f>
        <v/>
      </c>
      <c r="AO84" s="852">
        <f>A84</f>
        <v/>
      </c>
      <c r="AP84" s="852">
        <f>B84</f>
        <v/>
      </c>
    </row>
    <row r="85" ht="12.6" customHeight="1">
      <c r="A85" s="830">
        <f>'Aanpassen Werkschema'!B115</f>
        <v/>
      </c>
      <c r="B85" s="569">
        <f>'Aanpassen Werkschema'!C115</f>
        <v/>
      </c>
      <c r="C85" s="569">
        <f>IF('Aanpassen Werkschema'!D115="geplande taak",1,IF('Aanpassen Werkschema'!D115="openingstijd",2,IF('Aanpassen Werkschema'!D115="sluitingstijd",3,IF('Aanpassen Werkschema'!D115="vaste tijd",4,""))))</f>
        <v/>
      </c>
      <c r="D85" s="849">
        <f>'Aanpassen Werkschema'!E115</f>
        <v/>
      </c>
      <c r="E85" s="569">
        <f>IF('Aanpassen Werkschema'!F115="v","x","")</f>
        <v/>
      </c>
      <c r="F85" s="569">
        <f>IF('Aanpassen Werkschema'!G115="v","x","")</f>
        <v/>
      </c>
      <c r="G85" s="569">
        <f>IF('Aanpassen Werkschema'!H115="v","x","")</f>
        <v/>
      </c>
      <c r="H85" s="569">
        <f>IF('Aanpassen Werkschema'!I115="v","x","")</f>
        <v/>
      </c>
      <c r="I85" s="569">
        <f>IF('Aanpassen Werkschema'!J115="v","x","")</f>
        <v/>
      </c>
      <c r="J85" s="569">
        <f>IF('Aanpassen Werkschema'!K115="v","x","")</f>
        <v/>
      </c>
      <c r="K85" s="569">
        <f>IF('Aanpassen Werkschema'!L115="v","x","")</f>
        <v/>
      </c>
      <c r="L85" s="571">
        <f>IF('Aanpassen Werkschema'!M115&gt;0,'Aanpassen Werkschema'!M115,"")</f>
        <v/>
      </c>
      <c r="M85" s="571">
        <f>IF('Aanpassen Werkschema'!N115&gt;0,'Aanpassen Werkschema'!N115,"")</f>
        <v/>
      </c>
      <c r="N85" s="571">
        <f>IF('Aanpassen Werkschema'!O115&gt;0,'Aanpassen Werkschema'!O115,"")</f>
        <v/>
      </c>
      <c r="O85" s="571">
        <f>IF('Aanpassen Werkschema'!P115&gt;0,'Aanpassen Werkschema'!P115,"")</f>
        <v/>
      </c>
      <c r="P85" s="571">
        <f>IF('Aanpassen Werkschema'!Q115&gt;0,'Aanpassen Werkschema'!Q115,"")</f>
        <v/>
      </c>
      <c r="Q85" s="571">
        <f>IF('Aanpassen Werkschema'!R115&gt;0,'Aanpassen Werkschema'!R115,"")</f>
        <v/>
      </c>
      <c r="R85" s="571">
        <f>IF('Aanpassen Werkschema'!S115&gt;0,'Aanpassen Werkschema'!S115,"")</f>
        <v/>
      </c>
      <c r="S85" s="569">
        <f>IF('Aanpassen Werkschema'!T115="x","",IF('Aanpassen Werkschema'!N115="v","x",IF(E85="","",IF(E85="x","x"))))</f>
        <v/>
      </c>
      <c r="T85" s="569">
        <f>IF('Aanpassen Werkschema'!U115="x","",IF('Aanpassen Werkschema'!O115="v","x",IF(F85="","",IF(F85="x","x"))))</f>
        <v/>
      </c>
      <c r="U85" s="569">
        <f>IF('Aanpassen Werkschema'!V115="x","",IF('Aanpassen Werkschema'!P115="v","x",IF(G85="","",IF(G85="x","x"))))</f>
        <v/>
      </c>
      <c r="V85" s="569">
        <f>IF('Aanpassen Werkschema'!W115="x","",IF('Aanpassen Werkschema'!Q115="v","x",IF(H85="","",IF(H85="x","x"))))</f>
        <v/>
      </c>
      <c r="W85" s="569">
        <f>IF('Aanpassen Werkschema'!X115="x","",IF('Aanpassen Werkschema'!R115="v","x",IF(I85="","",IF(I85="x","x"))))</f>
        <v/>
      </c>
      <c r="X85" s="569">
        <f>IF('Aanpassen Werkschema'!Y115="x","",IF('Aanpassen Werkschema'!S115="v","x",IF(J85="","",IF(J85="x","x"))))</f>
        <v/>
      </c>
      <c r="Y85" s="569">
        <f>IF('Aanpassen Werkschema'!Z115="x","",IF('Aanpassen Werkschema'!T115="v","x",IF(K85="","",IF(K85="x","x"))))</f>
        <v/>
      </c>
      <c r="Z85" s="850">
        <f>Z84+0.0000000001</f>
        <v/>
      </c>
      <c r="AA85" s="851">
        <f>IFERROR(IF(C85="",1.1,IF(S85="",1,IF($C85=1,VLOOKUP($B85,'Werkschema - Rekening'!$B$2:$C$46,2,FALSE),IF($C85=2,Instellingen!C$16,IF($C85=3,Instellingen!D$16,IF($C85=4,L85))))+$D85)+$Z85),1.1)</f>
        <v/>
      </c>
      <c r="AB85" s="852">
        <f>IF($B85="","",IFERROR(VLOOKUP($B85,'Werkschema - Rekening'!$B$2:$P$46,3,FALSE),""))</f>
        <v/>
      </c>
      <c r="AC85" s="851">
        <f>IFERROR(IF(C85="",1.1,IF(T85="",1,IF($C85=1,VLOOKUP($B85,'Werkschema - Rekening'!$B$2:$E$46,4,FALSE),IF($C85=2,Instellingen!E$16,IF($C85=3,Instellingen!F$16,IF($C85=4,M85))))+$D85)+$Z85),1.1)</f>
        <v/>
      </c>
      <c r="AD85" s="852">
        <f>IF($B85="","",IFERROR(VLOOKUP($B85,'Werkschema - Rekening'!$B$2:$P$46,5,FALSE),""))</f>
        <v/>
      </c>
      <c r="AE85" s="851">
        <f>IFERROR(IF(C85="",1.1,IF(U85="",1,IF($C85=1,VLOOKUP($B85,'Werkschema - Rekening'!$B$2:$G$46,6,FALSE),IF($C85=2,Instellingen!G$16,IF($C85=3,Instellingen!H$16,IF($C85=4,N85))))+$D85)+$Z85),1.1)</f>
        <v/>
      </c>
      <c r="AF85" s="852">
        <f>IF($B85="","",IFERROR(VLOOKUP($B85,'Werkschema - Rekening'!$B$2:$P$46,7,FALSE),""))</f>
        <v/>
      </c>
      <c r="AG85" s="851">
        <f>IFERROR(IF(C85="",1.1,IF(V85="",1,IF($C85=1,VLOOKUP($B85,'Werkschema - Rekening'!$B$2:$I$46,8,FALSE),IF($C85=2,Instellingen!I$16,IF($C85=3,Instellingen!J$16,IF($C85=4,O85))))+$D85)+$Z85),1.1)</f>
        <v/>
      </c>
      <c r="AH85" s="852">
        <f>IF($B85="","",IFERROR(VLOOKUP($B85,'Werkschema - Rekening'!$B$2:$P$46,9,FALSE),""))</f>
        <v/>
      </c>
      <c r="AI85" s="851">
        <f>IFERROR(IF(C85="",1.1,IF(W85="",1,IF($C85=1,VLOOKUP($B85,'Werkschema - Rekening'!$B$2:$K$46,10,FALSE),IF($C85=2,Instellingen!K$16,IF($C85=3,Instellingen!L$16,IF($C85=4,P85))))+$D85)+$Z85),1.1)</f>
        <v/>
      </c>
      <c r="AJ85" s="852">
        <f>IF($B85="","",IFERROR(VLOOKUP($B85,'Werkschema - Rekening'!$B$2:$P$46,11,FALSE),""))</f>
        <v/>
      </c>
      <c r="AK85" s="851">
        <f>IFERROR(IF(C85="",1.1,IF(X85="",1,IF($C85=1,VLOOKUP($B85,'Werkschema - Rekening'!$B$2:$M$46,12,FALSE),IF($C85=2,Instellingen!M$16,IF($C85=3,Instellingen!N$16,IF($C85=4,Q85))))+$D85)+$Z85),1.1)</f>
        <v/>
      </c>
      <c r="AL85" s="852">
        <f>IF($B85="","",IFERROR(VLOOKUP($B85,'Werkschema - Rekening'!$B$2:$P$46,13,FALSE),""))</f>
        <v/>
      </c>
      <c r="AM85" s="851">
        <f>IFERROR(IF(C85="",1.1,IF(Y85="",1,IF($C85=1,VLOOKUP($B85,'Werkschema - Rekening'!$B$2:$O$46,14,FALSE),IF($C85=2,Instellingen!O$16,IF($C85=3,Instellingen!P$16,IF($C85=4,R85))))+$D85)+$Z85),1.1)</f>
        <v/>
      </c>
      <c r="AN85" s="852">
        <f>IF($B85="","",IFERROR(VLOOKUP($B85,'Werkschema - Rekening'!$B$2:$P$46,15,FALSE),""))</f>
        <v/>
      </c>
      <c r="AO85" s="852">
        <f>A85</f>
        <v/>
      </c>
      <c r="AP85" s="852">
        <f>B85</f>
        <v/>
      </c>
    </row>
    <row r="86" ht="12.6" customHeight="1">
      <c r="A86" s="830">
        <f>'Aanpassen Werkschema'!B116</f>
        <v/>
      </c>
      <c r="B86" s="569">
        <f>'Aanpassen Werkschema'!C116</f>
        <v/>
      </c>
      <c r="C86" s="569">
        <f>IF('Aanpassen Werkschema'!D116="geplande taak",1,IF('Aanpassen Werkschema'!D116="openingstijd",2,IF('Aanpassen Werkschema'!D116="sluitingstijd",3,IF('Aanpassen Werkschema'!D116="vaste tijd",4,""))))</f>
        <v/>
      </c>
      <c r="D86" s="849">
        <f>'Aanpassen Werkschema'!E116</f>
        <v/>
      </c>
      <c r="E86" s="569">
        <f>IF('Aanpassen Werkschema'!F116="v","x","")</f>
        <v/>
      </c>
      <c r="F86" s="569">
        <f>IF('Aanpassen Werkschema'!G116="v","x","")</f>
        <v/>
      </c>
      <c r="G86" s="569">
        <f>IF('Aanpassen Werkschema'!H116="v","x","")</f>
        <v/>
      </c>
      <c r="H86" s="569">
        <f>IF('Aanpassen Werkschema'!I116="v","x","")</f>
        <v/>
      </c>
      <c r="I86" s="569">
        <f>IF('Aanpassen Werkschema'!J116="v","x","")</f>
        <v/>
      </c>
      <c r="J86" s="569">
        <f>IF('Aanpassen Werkschema'!K116="v","x","")</f>
        <v/>
      </c>
      <c r="K86" s="569">
        <f>IF('Aanpassen Werkschema'!L116="v","x","")</f>
        <v/>
      </c>
      <c r="L86" s="571">
        <f>IF('Aanpassen Werkschema'!M116&gt;0,'Aanpassen Werkschema'!M116,"")</f>
        <v/>
      </c>
      <c r="M86" s="571">
        <f>IF('Aanpassen Werkschema'!N116&gt;0,'Aanpassen Werkschema'!N116,"")</f>
        <v/>
      </c>
      <c r="N86" s="571">
        <f>IF('Aanpassen Werkschema'!O116&gt;0,'Aanpassen Werkschema'!O116,"")</f>
        <v/>
      </c>
      <c r="O86" s="571">
        <f>IF('Aanpassen Werkschema'!P116&gt;0,'Aanpassen Werkschema'!P116,"")</f>
        <v/>
      </c>
      <c r="P86" s="571">
        <f>IF('Aanpassen Werkschema'!Q116&gt;0,'Aanpassen Werkschema'!Q116,"")</f>
        <v/>
      </c>
      <c r="Q86" s="571">
        <f>IF('Aanpassen Werkschema'!R116&gt;0,'Aanpassen Werkschema'!R116,"")</f>
        <v/>
      </c>
      <c r="R86" s="571">
        <f>IF('Aanpassen Werkschema'!S116&gt;0,'Aanpassen Werkschema'!S116,"")</f>
        <v/>
      </c>
      <c r="S86" s="569">
        <f>IF('Aanpassen Werkschema'!T116="x","",IF('Aanpassen Werkschema'!N116="v","x",IF(E86="","",IF(E86="x","x"))))</f>
        <v/>
      </c>
      <c r="T86" s="569">
        <f>IF('Aanpassen Werkschema'!U116="x","",IF('Aanpassen Werkschema'!O116="v","x",IF(F86="","",IF(F86="x","x"))))</f>
        <v/>
      </c>
      <c r="U86" s="569">
        <f>IF('Aanpassen Werkschema'!V116="x","",IF('Aanpassen Werkschema'!P116="v","x",IF(G86="","",IF(G86="x","x"))))</f>
        <v/>
      </c>
      <c r="V86" s="569">
        <f>IF('Aanpassen Werkschema'!W116="x","",IF('Aanpassen Werkschema'!Q116="v","x",IF(H86="","",IF(H86="x","x"))))</f>
        <v/>
      </c>
      <c r="W86" s="569">
        <f>IF('Aanpassen Werkschema'!X116="x","",IF('Aanpassen Werkschema'!R116="v","x",IF(I86="","",IF(I86="x","x"))))</f>
        <v/>
      </c>
      <c r="X86" s="569">
        <f>IF('Aanpassen Werkschema'!Y116="x","",IF('Aanpassen Werkschema'!S116="v","x",IF(J86="","",IF(J86="x","x"))))</f>
        <v/>
      </c>
      <c r="Y86" s="569">
        <f>IF('Aanpassen Werkschema'!Z116="x","",IF('Aanpassen Werkschema'!T116="v","x",IF(K86="","",IF(K86="x","x"))))</f>
        <v/>
      </c>
      <c r="Z86" s="850">
        <f>Z85+0.0000000001</f>
        <v/>
      </c>
      <c r="AA86" s="851">
        <f>IFERROR(IF(C86="",1.1,IF(S86="",1,IF($C86=1,VLOOKUP($B86,'Werkschema - Rekening'!$B$2:$C$46,2,FALSE),IF($C86=2,Instellingen!C$16,IF($C86=3,Instellingen!D$16,IF($C86=4,L86))))+$D86)+$Z86),1.1)</f>
        <v/>
      </c>
      <c r="AB86" s="852">
        <f>IF($B86="","",IFERROR(VLOOKUP($B86,'Werkschema - Rekening'!$B$2:$P$46,3,FALSE),""))</f>
        <v/>
      </c>
      <c r="AC86" s="851">
        <f>IFERROR(IF(C86="",1.1,IF(T86="",1,IF($C86=1,VLOOKUP($B86,'Werkschema - Rekening'!$B$2:$E$46,4,FALSE),IF($C86=2,Instellingen!E$16,IF($C86=3,Instellingen!F$16,IF($C86=4,M86))))+$D86)+$Z86),1.1)</f>
        <v/>
      </c>
      <c r="AD86" s="852">
        <f>IF($B86="","",IFERROR(VLOOKUP($B86,'Werkschema - Rekening'!$B$2:$P$46,5,FALSE),""))</f>
        <v/>
      </c>
      <c r="AE86" s="851">
        <f>IFERROR(IF(C86="",1.1,IF(U86="",1,IF($C86=1,VLOOKUP($B86,'Werkschema - Rekening'!$B$2:$G$46,6,FALSE),IF($C86=2,Instellingen!G$16,IF($C86=3,Instellingen!H$16,IF($C86=4,N86))))+$D86)+$Z86),1.1)</f>
        <v/>
      </c>
      <c r="AF86" s="852">
        <f>IF($B86="","",IFERROR(VLOOKUP($B86,'Werkschema - Rekening'!$B$2:$P$46,7,FALSE),""))</f>
        <v/>
      </c>
      <c r="AG86" s="851">
        <f>IFERROR(IF(C86="",1.1,IF(V86="",1,IF($C86=1,VLOOKUP($B86,'Werkschema - Rekening'!$B$2:$I$46,8,FALSE),IF($C86=2,Instellingen!I$16,IF($C86=3,Instellingen!J$16,IF($C86=4,O86))))+$D86)+$Z86),1.1)</f>
        <v/>
      </c>
      <c r="AH86" s="852">
        <f>IF($B86="","",IFERROR(VLOOKUP($B86,'Werkschema - Rekening'!$B$2:$P$46,9,FALSE),""))</f>
        <v/>
      </c>
      <c r="AI86" s="851">
        <f>IFERROR(IF(C86="",1.1,IF(W86="",1,IF($C86=1,VLOOKUP($B86,'Werkschema - Rekening'!$B$2:$K$46,10,FALSE),IF($C86=2,Instellingen!K$16,IF($C86=3,Instellingen!L$16,IF($C86=4,P86))))+$D86)+$Z86),1.1)</f>
        <v/>
      </c>
      <c r="AJ86" s="852">
        <f>IF($B86="","",IFERROR(VLOOKUP($B86,'Werkschema - Rekening'!$B$2:$P$46,11,FALSE),""))</f>
        <v/>
      </c>
      <c r="AK86" s="851">
        <f>IFERROR(IF(C86="",1.1,IF(X86="",1,IF($C86=1,VLOOKUP($B86,'Werkschema - Rekening'!$B$2:$M$46,12,FALSE),IF($C86=2,Instellingen!M$16,IF($C86=3,Instellingen!N$16,IF($C86=4,Q86))))+$D86)+$Z86),1.1)</f>
        <v/>
      </c>
      <c r="AL86" s="852">
        <f>IF($B86="","",IFERROR(VLOOKUP($B86,'Werkschema - Rekening'!$B$2:$P$46,13,FALSE),""))</f>
        <v/>
      </c>
      <c r="AM86" s="851">
        <f>IFERROR(IF(C86="",1.1,IF(Y86="",1,IF($C86=1,VLOOKUP($B86,'Werkschema - Rekening'!$B$2:$O$46,14,FALSE),IF($C86=2,Instellingen!O$16,IF($C86=3,Instellingen!P$16,IF($C86=4,R86))))+$D86)+$Z86),1.1)</f>
        <v/>
      </c>
      <c r="AN86" s="852">
        <f>IF($B86="","",IFERROR(VLOOKUP($B86,'Werkschema - Rekening'!$B$2:$P$46,15,FALSE),""))</f>
        <v/>
      </c>
      <c r="AO86" s="852">
        <f>A86</f>
        <v/>
      </c>
      <c r="AP86" s="852">
        <f>B86</f>
        <v/>
      </c>
    </row>
    <row r="87" ht="12.6" customHeight="1">
      <c r="A87" s="830">
        <f>'Aanpassen Werkschema'!B117</f>
        <v/>
      </c>
      <c r="B87" s="569">
        <f>'Aanpassen Werkschema'!C117</f>
        <v/>
      </c>
      <c r="C87" s="569">
        <f>IF('Aanpassen Werkschema'!D117="geplande taak",1,IF('Aanpassen Werkschema'!D117="openingstijd",2,IF('Aanpassen Werkschema'!D117="sluitingstijd",3,IF('Aanpassen Werkschema'!D117="vaste tijd",4,""))))</f>
        <v/>
      </c>
      <c r="D87" s="849">
        <f>'Aanpassen Werkschema'!E117</f>
        <v/>
      </c>
      <c r="E87" s="569">
        <f>IF('Aanpassen Werkschema'!F117="v","x","")</f>
        <v/>
      </c>
      <c r="F87" s="569">
        <f>IF('Aanpassen Werkschema'!G117="v","x","")</f>
        <v/>
      </c>
      <c r="G87" s="569">
        <f>IF('Aanpassen Werkschema'!H117="v","x","")</f>
        <v/>
      </c>
      <c r="H87" s="569">
        <f>IF('Aanpassen Werkschema'!I117="v","x","")</f>
        <v/>
      </c>
      <c r="I87" s="569">
        <f>IF('Aanpassen Werkschema'!J117="v","x","")</f>
        <v/>
      </c>
      <c r="J87" s="569">
        <f>IF('Aanpassen Werkschema'!K117="v","x","")</f>
        <v/>
      </c>
      <c r="K87" s="569">
        <f>IF('Aanpassen Werkschema'!L117="v","x","")</f>
        <v/>
      </c>
      <c r="L87" s="571">
        <f>IF('Aanpassen Werkschema'!M117&gt;0,'Aanpassen Werkschema'!M117,"")</f>
        <v/>
      </c>
      <c r="M87" s="571">
        <f>IF('Aanpassen Werkschema'!N117&gt;0,'Aanpassen Werkschema'!N117,"")</f>
        <v/>
      </c>
      <c r="N87" s="571">
        <f>IF('Aanpassen Werkschema'!O117&gt;0,'Aanpassen Werkschema'!O117,"")</f>
        <v/>
      </c>
      <c r="O87" s="571">
        <f>IF('Aanpassen Werkschema'!P117&gt;0,'Aanpassen Werkschema'!P117,"")</f>
        <v/>
      </c>
      <c r="P87" s="571">
        <f>IF('Aanpassen Werkschema'!Q117&gt;0,'Aanpassen Werkschema'!Q117,"")</f>
        <v/>
      </c>
      <c r="Q87" s="571">
        <f>IF('Aanpassen Werkschema'!R117&gt;0,'Aanpassen Werkschema'!R117,"")</f>
        <v/>
      </c>
      <c r="R87" s="571">
        <f>IF('Aanpassen Werkschema'!S117&gt;0,'Aanpassen Werkschema'!S117,"")</f>
        <v/>
      </c>
      <c r="S87" s="569">
        <f>IF('Aanpassen Werkschema'!T117="x","",IF('Aanpassen Werkschema'!N117="v","x",IF(E87="","",IF(E87="x","x"))))</f>
        <v/>
      </c>
      <c r="T87" s="569">
        <f>IF('Aanpassen Werkschema'!U117="x","",IF('Aanpassen Werkschema'!O117="v","x",IF(F87="","",IF(F87="x","x"))))</f>
        <v/>
      </c>
      <c r="U87" s="569">
        <f>IF('Aanpassen Werkschema'!V117="x","",IF('Aanpassen Werkschema'!P117="v","x",IF(G87="","",IF(G87="x","x"))))</f>
        <v/>
      </c>
      <c r="V87" s="569">
        <f>IF('Aanpassen Werkschema'!W117="x","",IF('Aanpassen Werkschema'!Q117="v","x",IF(H87="","",IF(H87="x","x"))))</f>
        <v/>
      </c>
      <c r="W87" s="569">
        <f>IF('Aanpassen Werkschema'!X117="x","",IF('Aanpassen Werkschema'!R117="v","x",IF(I87="","",IF(I87="x","x"))))</f>
        <v/>
      </c>
      <c r="X87" s="569">
        <f>IF('Aanpassen Werkschema'!Y117="x","",IF('Aanpassen Werkschema'!S117="v","x",IF(J87="","",IF(J87="x","x"))))</f>
        <v/>
      </c>
      <c r="Y87" s="569">
        <f>IF('Aanpassen Werkschema'!Z117="x","",IF('Aanpassen Werkschema'!T117="v","x",IF(K87="","",IF(K87="x","x"))))</f>
        <v/>
      </c>
      <c r="Z87" s="850">
        <f>Z86+0.0000000001</f>
        <v/>
      </c>
      <c r="AA87" s="851">
        <f>IFERROR(IF(C87="",1.1,IF(S87="",1,IF($C87=1,VLOOKUP($B87,'Werkschema - Rekening'!$B$2:$C$46,2,FALSE),IF($C87=2,Instellingen!C$16,IF($C87=3,Instellingen!D$16,IF($C87=4,L87))))+$D87)+$Z87),1.1)</f>
        <v/>
      </c>
      <c r="AB87" s="852">
        <f>IF($B87="","",IFERROR(VLOOKUP($B87,'Werkschema - Rekening'!$B$2:$P$46,3,FALSE),""))</f>
        <v/>
      </c>
      <c r="AC87" s="851">
        <f>IFERROR(IF(C87="",1.1,IF(T87="",1,IF($C87=1,VLOOKUP($B87,'Werkschema - Rekening'!$B$2:$E$46,4,FALSE),IF($C87=2,Instellingen!E$16,IF($C87=3,Instellingen!F$16,IF($C87=4,M87))))+$D87)+$Z87),1.1)</f>
        <v/>
      </c>
      <c r="AD87" s="852">
        <f>IF($B87="","",IFERROR(VLOOKUP($B87,'Werkschema - Rekening'!$B$2:$P$46,5,FALSE),""))</f>
        <v/>
      </c>
      <c r="AE87" s="851">
        <f>IFERROR(IF(C87="",1.1,IF(U87="",1,IF($C87=1,VLOOKUP($B87,'Werkschema - Rekening'!$B$2:$G$46,6,FALSE),IF($C87=2,Instellingen!G$16,IF($C87=3,Instellingen!H$16,IF($C87=4,N87))))+$D87)+$Z87),1.1)</f>
        <v/>
      </c>
      <c r="AF87" s="852">
        <f>IF($B87="","",IFERROR(VLOOKUP($B87,'Werkschema - Rekening'!$B$2:$P$46,7,FALSE),""))</f>
        <v/>
      </c>
      <c r="AG87" s="851">
        <f>IFERROR(IF(C87="",1.1,IF(V87="",1,IF($C87=1,VLOOKUP($B87,'Werkschema - Rekening'!$B$2:$I$46,8,FALSE),IF($C87=2,Instellingen!I$16,IF($C87=3,Instellingen!J$16,IF($C87=4,O87))))+$D87)+$Z87),1.1)</f>
        <v/>
      </c>
      <c r="AH87" s="852">
        <f>IF($B87="","",IFERROR(VLOOKUP($B87,'Werkschema - Rekening'!$B$2:$P$46,9,FALSE),""))</f>
        <v/>
      </c>
      <c r="AI87" s="851">
        <f>IFERROR(IF(C87="",1.1,IF(W87="",1,IF($C87=1,VLOOKUP($B87,'Werkschema - Rekening'!$B$2:$K$46,10,FALSE),IF($C87=2,Instellingen!K$16,IF($C87=3,Instellingen!L$16,IF($C87=4,P87))))+$D87)+$Z87),1.1)</f>
        <v/>
      </c>
      <c r="AJ87" s="852">
        <f>IF($B87="","",IFERROR(VLOOKUP($B87,'Werkschema - Rekening'!$B$2:$P$46,11,FALSE),""))</f>
        <v/>
      </c>
      <c r="AK87" s="851">
        <f>IFERROR(IF(C87="",1.1,IF(X87="",1,IF($C87=1,VLOOKUP($B87,'Werkschema - Rekening'!$B$2:$M$46,12,FALSE),IF($C87=2,Instellingen!M$16,IF($C87=3,Instellingen!N$16,IF($C87=4,Q87))))+$D87)+$Z87),1.1)</f>
        <v/>
      </c>
      <c r="AL87" s="852">
        <f>IF($B87="","",IFERROR(VLOOKUP($B87,'Werkschema - Rekening'!$B$2:$P$46,13,FALSE),""))</f>
        <v/>
      </c>
      <c r="AM87" s="851">
        <f>IFERROR(IF(C87="",1.1,IF(Y87="",1,IF($C87=1,VLOOKUP($B87,'Werkschema - Rekening'!$B$2:$O$46,14,FALSE),IF($C87=2,Instellingen!O$16,IF($C87=3,Instellingen!P$16,IF($C87=4,R87))))+$D87)+$Z87),1.1)</f>
        <v/>
      </c>
      <c r="AN87" s="852">
        <f>IF($B87="","",IFERROR(VLOOKUP($B87,'Werkschema - Rekening'!$B$2:$P$46,15,FALSE),""))</f>
        <v/>
      </c>
      <c r="AO87" s="852">
        <f>A87</f>
        <v/>
      </c>
      <c r="AP87" s="852">
        <f>B87</f>
        <v/>
      </c>
    </row>
    <row r="88" ht="12.6" customHeight="1">
      <c r="A88" s="830">
        <f>'Aanpassen Werkschema'!B118</f>
        <v/>
      </c>
      <c r="B88" s="569">
        <f>'Aanpassen Werkschema'!C118</f>
        <v/>
      </c>
      <c r="C88" s="569">
        <f>IF('Aanpassen Werkschema'!D118="geplande taak",1,IF('Aanpassen Werkschema'!D118="openingstijd",2,IF('Aanpassen Werkschema'!D118="sluitingstijd",3,IF('Aanpassen Werkschema'!D118="vaste tijd",4,""))))</f>
        <v/>
      </c>
      <c r="D88" s="849">
        <f>'Aanpassen Werkschema'!E118</f>
        <v/>
      </c>
      <c r="E88" s="569">
        <f>IF('Aanpassen Werkschema'!F118="v","x","")</f>
        <v/>
      </c>
      <c r="F88" s="569">
        <f>IF('Aanpassen Werkschema'!G118="v","x","")</f>
        <v/>
      </c>
      <c r="G88" s="569">
        <f>IF('Aanpassen Werkschema'!H118="v","x","")</f>
        <v/>
      </c>
      <c r="H88" s="569">
        <f>IF('Aanpassen Werkschema'!I118="v","x","")</f>
        <v/>
      </c>
      <c r="I88" s="569">
        <f>IF('Aanpassen Werkschema'!J118="v","x","")</f>
        <v/>
      </c>
      <c r="J88" s="569">
        <f>IF('Aanpassen Werkschema'!K118="v","x","")</f>
        <v/>
      </c>
      <c r="K88" s="569">
        <f>IF('Aanpassen Werkschema'!L118="v","x","")</f>
        <v/>
      </c>
      <c r="L88" s="571">
        <f>IF('Aanpassen Werkschema'!M118&gt;0,'Aanpassen Werkschema'!M118,"")</f>
        <v/>
      </c>
      <c r="M88" s="571">
        <f>IF('Aanpassen Werkschema'!N118&gt;0,'Aanpassen Werkschema'!N118,"")</f>
        <v/>
      </c>
      <c r="N88" s="571">
        <f>IF('Aanpassen Werkschema'!O118&gt;0,'Aanpassen Werkschema'!O118,"")</f>
        <v/>
      </c>
      <c r="O88" s="571">
        <f>IF('Aanpassen Werkschema'!P118&gt;0,'Aanpassen Werkschema'!P118,"")</f>
        <v/>
      </c>
      <c r="P88" s="571">
        <f>IF('Aanpassen Werkschema'!Q118&gt;0,'Aanpassen Werkschema'!Q118,"")</f>
        <v/>
      </c>
      <c r="Q88" s="571">
        <f>IF('Aanpassen Werkschema'!R118&gt;0,'Aanpassen Werkschema'!R118,"")</f>
        <v/>
      </c>
      <c r="R88" s="571">
        <f>IF('Aanpassen Werkschema'!S118&gt;0,'Aanpassen Werkschema'!S118,"")</f>
        <v/>
      </c>
      <c r="S88" s="569">
        <f>IF('Aanpassen Werkschema'!T118="x","",IF('Aanpassen Werkschema'!N118="v","x",IF(E88="","",IF(E88="x","x"))))</f>
        <v/>
      </c>
      <c r="T88" s="569">
        <f>IF('Aanpassen Werkschema'!U118="x","",IF('Aanpassen Werkschema'!O118="v","x",IF(F88="","",IF(F88="x","x"))))</f>
        <v/>
      </c>
      <c r="U88" s="569">
        <f>IF('Aanpassen Werkschema'!V118="x","",IF('Aanpassen Werkschema'!P118="v","x",IF(G88="","",IF(G88="x","x"))))</f>
        <v/>
      </c>
      <c r="V88" s="569">
        <f>IF('Aanpassen Werkschema'!W118="x","",IF('Aanpassen Werkschema'!Q118="v","x",IF(H88="","",IF(H88="x","x"))))</f>
        <v/>
      </c>
      <c r="W88" s="569">
        <f>IF('Aanpassen Werkschema'!X118="x","",IF('Aanpassen Werkschema'!R118="v","x",IF(I88="","",IF(I88="x","x"))))</f>
        <v/>
      </c>
      <c r="X88" s="569">
        <f>IF('Aanpassen Werkschema'!Y118="x","",IF('Aanpassen Werkschema'!S118="v","x",IF(J88="","",IF(J88="x","x"))))</f>
        <v/>
      </c>
      <c r="Y88" s="569">
        <f>IF('Aanpassen Werkschema'!Z118="x","",IF('Aanpassen Werkschema'!T118="v","x",IF(K88="","",IF(K88="x","x"))))</f>
        <v/>
      </c>
      <c r="Z88" s="850">
        <f>Z87+0.0000000001</f>
        <v/>
      </c>
      <c r="AA88" s="851">
        <f>IFERROR(IF(C88="",1.1,IF(S88="",1,IF($C88=1,VLOOKUP($B88,'Werkschema - Rekening'!$B$2:$C$46,2,FALSE),IF($C88=2,Instellingen!C$16,IF($C88=3,Instellingen!D$16,IF($C88=4,L88))))+$D88)+$Z88),1.1)</f>
        <v/>
      </c>
      <c r="AB88" s="852">
        <f>IF($B88="","",IFERROR(VLOOKUP($B88,'Werkschema - Rekening'!$B$2:$P$46,3,FALSE),""))</f>
        <v/>
      </c>
      <c r="AC88" s="851">
        <f>IFERROR(IF(C88="",1.1,IF(T88="",1,IF($C88=1,VLOOKUP($B88,'Werkschema - Rekening'!$B$2:$E$46,4,FALSE),IF($C88=2,Instellingen!E$16,IF($C88=3,Instellingen!F$16,IF($C88=4,M88))))+$D88)+$Z88),1.1)</f>
        <v/>
      </c>
      <c r="AD88" s="852">
        <f>IF($B88="","",IFERROR(VLOOKUP($B88,'Werkschema - Rekening'!$B$2:$P$46,5,FALSE),""))</f>
        <v/>
      </c>
      <c r="AE88" s="851">
        <f>IFERROR(IF(C88="",1.1,IF(U88="",1,IF($C88=1,VLOOKUP($B88,'Werkschema - Rekening'!$B$2:$G$46,6,FALSE),IF($C88=2,Instellingen!G$16,IF($C88=3,Instellingen!H$16,IF($C88=4,N88))))+$D88)+$Z88),1.1)</f>
        <v/>
      </c>
      <c r="AF88" s="852">
        <f>IF($B88="","",IFERROR(VLOOKUP($B88,'Werkschema - Rekening'!$B$2:$P$46,7,FALSE),""))</f>
        <v/>
      </c>
      <c r="AG88" s="851">
        <f>IFERROR(IF(C88="",1.1,IF(V88="",1,IF($C88=1,VLOOKUP($B88,'Werkschema - Rekening'!$B$2:$I$46,8,FALSE),IF($C88=2,Instellingen!I$16,IF($C88=3,Instellingen!J$16,IF($C88=4,O88))))+$D88)+$Z88),1.1)</f>
        <v/>
      </c>
      <c r="AH88" s="852">
        <f>IF($B88="","",IFERROR(VLOOKUP($B88,'Werkschema - Rekening'!$B$2:$P$46,9,FALSE),""))</f>
        <v/>
      </c>
      <c r="AI88" s="851">
        <f>IFERROR(IF(C88="",1.1,IF(W88="",1,IF($C88=1,VLOOKUP($B88,'Werkschema - Rekening'!$B$2:$K$46,10,FALSE),IF($C88=2,Instellingen!K$16,IF($C88=3,Instellingen!L$16,IF($C88=4,P88))))+$D88)+$Z88),1.1)</f>
        <v/>
      </c>
      <c r="AJ88" s="852">
        <f>IF($B88="","",IFERROR(VLOOKUP($B88,'Werkschema - Rekening'!$B$2:$P$46,11,FALSE),""))</f>
        <v/>
      </c>
      <c r="AK88" s="851">
        <f>IFERROR(IF(C88="",1.1,IF(X88="",1,IF($C88=1,VLOOKUP($B88,'Werkschema - Rekening'!$B$2:$M$46,12,FALSE),IF($C88=2,Instellingen!M$16,IF($C88=3,Instellingen!N$16,IF($C88=4,Q88))))+$D88)+$Z88),1.1)</f>
        <v/>
      </c>
      <c r="AL88" s="852">
        <f>IF($B88="","",IFERROR(VLOOKUP($B88,'Werkschema - Rekening'!$B$2:$P$46,13,FALSE),""))</f>
        <v/>
      </c>
      <c r="AM88" s="851">
        <f>IFERROR(IF(C88="",1.1,IF(Y88="",1,IF($C88=1,VLOOKUP($B88,'Werkschema - Rekening'!$B$2:$O$46,14,FALSE),IF($C88=2,Instellingen!O$16,IF($C88=3,Instellingen!P$16,IF($C88=4,R88))))+$D88)+$Z88),1.1)</f>
        <v/>
      </c>
      <c r="AN88" s="852">
        <f>IF($B88="","",IFERROR(VLOOKUP($B88,'Werkschema - Rekening'!$B$2:$P$46,15,FALSE),""))</f>
        <v/>
      </c>
      <c r="AO88" s="852">
        <f>A88</f>
        <v/>
      </c>
      <c r="AP88" s="852">
        <f>B88</f>
        <v/>
      </c>
    </row>
    <row r="89" ht="12.6" customHeight="1">
      <c r="A89" s="830">
        <f>'Aanpassen Werkschema'!B119</f>
        <v/>
      </c>
      <c r="B89" s="569">
        <f>'Aanpassen Werkschema'!C119</f>
        <v/>
      </c>
      <c r="C89" s="569">
        <f>IF('Aanpassen Werkschema'!D119="geplande taak",1,IF('Aanpassen Werkschema'!D119="openingstijd",2,IF('Aanpassen Werkschema'!D119="sluitingstijd",3,IF('Aanpassen Werkschema'!D119="vaste tijd",4,""))))</f>
        <v/>
      </c>
      <c r="D89" s="849">
        <f>'Aanpassen Werkschema'!E119</f>
        <v/>
      </c>
      <c r="E89" s="569">
        <f>IF('Aanpassen Werkschema'!F119="v","x","")</f>
        <v/>
      </c>
      <c r="F89" s="569">
        <f>IF('Aanpassen Werkschema'!G119="v","x","")</f>
        <v/>
      </c>
      <c r="G89" s="569">
        <f>IF('Aanpassen Werkschema'!H119="v","x","")</f>
        <v/>
      </c>
      <c r="H89" s="569">
        <f>IF('Aanpassen Werkschema'!I119="v","x","")</f>
        <v/>
      </c>
      <c r="I89" s="569">
        <f>IF('Aanpassen Werkschema'!J119="v","x","")</f>
        <v/>
      </c>
      <c r="J89" s="569">
        <f>IF('Aanpassen Werkschema'!K119="v","x","")</f>
        <v/>
      </c>
      <c r="K89" s="569">
        <f>IF('Aanpassen Werkschema'!L119="v","x","")</f>
        <v/>
      </c>
      <c r="L89" s="571">
        <f>IF('Aanpassen Werkschema'!M119&gt;0,'Aanpassen Werkschema'!M119,"")</f>
        <v/>
      </c>
      <c r="M89" s="571">
        <f>IF('Aanpassen Werkschema'!N119&gt;0,'Aanpassen Werkschema'!N119,"")</f>
        <v/>
      </c>
      <c r="N89" s="571">
        <f>IF('Aanpassen Werkschema'!O119&gt;0,'Aanpassen Werkschema'!O119,"")</f>
        <v/>
      </c>
      <c r="O89" s="571">
        <f>IF('Aanpassen Werkschema'!P119&gt;0,'Aanpassen Werkschema'!P119,"")</f>
        <v/>
      </c>
      <c r="P89" s="571">
        <f>IF('Aanpassen Werkschema'!Q119&gt;0,'Aanpassen Werkschema'!Q119,"")</f>
        <v/>
      </c>
      <c r="Q89" s="571">
        <f>IF('Aanpassen Werkschema'!R119&gt;0,'Aanpassen Werkschema'!R119,"")</f>
        <v/>
      </c>
      <c r="R89" s="571">
        <f>IF('Aanpassen Werkschema'!S119&gt;0,'Aanpassen Werkschema'!S119,"")</f>
        <v/>
      </c>
      <c r="S89" s="569">
        <f>IF('Aanpassen Werkschema'!T119="x","",IF('Aanpassen Werkschema'!N119="v","x",IF(E89="","",IF(E89="x","x"))))</f>
        <v/>
      </c>
      <c r="T89" s="569">
        <f>IF('Aanpassen Werkschema'!U119="x","",IF('Aanpassen Werkschema'!O119="v","x",IF(F89="","",IF(F89="x","x"))))</f>
        <v/>
      </c>
      <c r="U89" s="569">
        <f>IF('Aanpassen Werkschema'!V119="x","",IF('Aanpassen Werkschema'!P119="v","x",IF(G89="","",IF(G89="x","x"))))</f>
        <v/>
      </c>
      <c r="V89" s="569">
        <f>IF('Aanpassen Werkschema'!W119="x","",IF('Aanpassen Werkschema'!Q119="v","x",IF(H89="","",IF(H89="x","x"))))</f>
        <v/>
      </c>
      <c r="W89" s="569">
        <f>IF('Aanpassen Werkschema'!X119="x","",IF('Aanpassen Werkschema'!R119="v","x",IF(I89="","",IF(I89="x","x"))))</f>
        <v/>
      </c>
      <c r="X89" s="569">
        <f>IF('Aanpassen Werkschema'!Y119="x","",IF('Aanpassen Werkschema'!S119="v","x",IF(J89="","",IF(J89="x","x"))))</f>
        <v/>
      </c>
      <c r="Y89" s="569">
        <f>IF('Aanpassen Werkschema'!Z119="x","",IF('Aanpassen Werkschema'!T119="v","x",IF(K89="","",IF(K89="x","x"))))</f>
        <v/>
      </c>
      <c r="Z89" s="850">
        <f>Z88+0.0000000001</f>
        <v/>
      </c>
      <c r="AA89" s="851">
        <f>IFERROR(IF(C89="",1.1,IF(S89="",1,IF($C89=1,VLOOKUP($B89,'Werkschema - Rekening'!$B$2:$C$46,2,FALSE),IF($C89=2,Instellingen!C$16,IF($C89=3,Instellingen!D$16,IF($C89=4,L89))))+$D89)+$Z89),1.1)</f>
        <v/>
      </c>
      <c r="AB89" s="852">
        <f>IF($B89="","",IFERROR(VLOOKUP($B89,'Werkschema - Rekening'!$B$2:$P$46,3,FALSE),""))</f>
        <v/>
      </c>
      <c r="AC89" s="851">
        <f>IFERROR(IF(C89="",1.1,IF(T89="",1,IF($C89=1,VLOOKUP($B89,'Werkschema - Rekening'!$B$2:$E$46,4,FALSE),IF($C89=2,Instellingen!E$16,IF($C89=3,Instellingen!F$16,IF($C89=4,M89))))+$D89)+$Z89),1.1)</f>
        <v/>
      </c>
      <c r="AD89" s="852">
        <f>IF($B89="","",IFERROR(VLOOKUP($B89,'Werkschema - Rekening'!$B$2:$P$46,5,FALSE),""))</f>
        <v/>
      </c>
      <c r="AE89" s="851">
        <f>IFERROR(IF(C89="",1.1,IF(U89="",1,IF($C89=1,VLOOKUP($B89,'Werkschema - Rekening'!$B$2:$G$46,6,FALSE),IF($C89=2,Instellingen!G$16,IF($C89=3,Instellingen!H$16,IF($C89=4,N89))))+$D89)+$Z89),1.1)</f>
        <v/>
      </c>
      <c r="AF89" s="852">
        <f>IF($B89="","",IFERROR(VLOOKUP($B89,'Werkschema - Rekening'!$B$2:$P$46,7,FALSE),""))</f>
        <v/>
      </c>
      <c r="AG89" s="851">
        <f>IFERROR(IF(C89="",1.1,IF(V89="",1,IF($C89=1,VLOOKUP($B89,'Werkschema - Rekening'!$B$2:$I$46,8,FALSE),IF($C89=2,Instellingen!I$16,IF($C89=3,Instellingen!J$16,IF($C89=4,O89))))+$D89)+$Z89),1.1)</f>
        <v/>
      </c>
      <c r="AH89" s="852">
        <f>IF($B89="","",IFERROR(VLOOKUP($B89,'Werkschema - Rekening'!$B$2:$P$46,9,FALSE),""))</f>
        <v/>
      </c>
      <c r="AI89" s="851">
        <f>IFERROR(IF(C89="",1.1,IF(W89="",1,IF($C89=1,VLOOKUP($B89,'Werkschema - Rekening'!$B$2:$K$46,10,FALSE),IF($C89=2,Instellingen!K$16,IF($C89=3,Instellingen!L$16,IF($C89=4,P89))))+$D89)+$Z89),1.1)</f>
        <v/>
      </c>
      <c r="AJ89" s="852">
        <f>IF($B89="","",IFERROR(VLOOKUP($B89,'Werkschema - Rekening'!$B$2:$P$46,11,FALSE),""))</f>
        <v/>
      </c>
      <c r="AK89" s="851">
        <f>IFERROR(IF(C89="",1.1,IF(X89="",1,IF($C89=1,VLOOKUP($B89,'Werkschema - Rekening'!$B$2:$M$46,12,FALSE),IF($C89=2,Instellingen!M$16,IF($C89=3,Instellingen!N$16,IF($C89=4,Q89))))+$D89)+$Z89),1.1)</f>
        <v/>
      </c>
      <c r="AL89" s="852">
        <f>IF($B89="","",IFERROR(VLOOKUP($B89,'Werkschema - Rekening'!$B$2:$P$46,13,FALSE),""))</f>
        <v/>
      </c>
      <c r="AM89" s="851">
        <f>IFERROR(IF(C89="",1.1,IF(Y89="",1,IF($C89=1,VLOOKUP($B89,'Werkschema - Rekening'!$B$2:$O$46,14,FALSE),IF($C89=2,Instellingen!O$16,IF($C89=3,Instellingen!P$16,IF($C89=4,R89))))+$D89)+$Z89),1.1)</f>
        <v/>
      </c>
      <c r="AN89" s="852">
        <f>IF($B89="","",IFERROR(VLOOKUP($B89,'Werkschema - Rekening'!$B$2:$P$46,15,FALSE),""))</f>
        <v/>
      </c>
      <c r="AO89" s="852">
        <f>A89</f>
        <v/>
      </c>
      <c r="AP89" s="852">
        <f>B89</f>
        <v/>
      </c>
    </row>
    <row r="90" ht="12.6" customHeight="1">
      <c r="A90" s="830">
        <f>'Aanpassen Werkschema'!B120</f>
        <v/>
      </c>
      <c r="B90" s="569">
        <f>'Aanpassen Werkschema'!C120</f>
        <v/>
      </c>
      <c r="C90" s="569">
        <f>IF('Aanpassen Werkschema'!D120="geplande taak",1,IF('Aanpassen Werkschema'!D120="openingstijd",2,IF('Aanpassen Werkschema'!D120="sluitingstijd",3,IF('Aanpassen Werkschema'!D120="vaste tijd",4,""))))</f>
        <v/>
      </c>
      <c r="D90" s="849">
        <f>'Aanpassen Werkschema'!E120</f>
        <v/>
      </c>
      <c r="E90" s="569">
        <f>IF('Aanpassen Werkschema'!F120="v","x","")</f>
        <v/>
      </c>
      <c r="F90" s="569">
        <f>IF('Aanpassen Werkschema'!G120="v","x","")</f>
        <v/>
      </c>
      <c r="G90" s="569">
        <f>IF('Aanpassen Werkschema'!H120="v","x","")</f>
        <v/>
      </c>
      <c r="H90" s="569">
        <f>IF('Aanpassen Werkschema'!I120="v","x","")</f>
        <v/>
      </c>
      <c r="I90" s="569">
        <f>IF('Aanpassen Werkschema'!J120="v","x","")</f>
        <v/>
      </c>
      <c r="J90" s="569">
        <f>IF('Aanpassen Werkschema'!K120="v","x","")</f>
        <v/>
      </c>
      <c r="K90" s="569">
        <f>IF('Aanpassen Werkschema'!L120="v","x","")</f>
        <v/>
      </c>
      <c r="L90" s="571">
        <f>IF('Aanpassen Werkschema'!M120&gt;0,'Aanpassen Werkschema'!M120,"")</f>
        <v/>
      </c>
      <c r="M90" s="571">
        <f>IF('Aanpassen Werkschema'!N120&gt;0,'Aanpassen Werkschema'!N120,"")</f>
        <v/>
      </c>
      <c r="N90" s="571">
        <f>IF('Aanpassen Werkschema'!O120&gt;0,'Aanpassen Werkschema'!O120,"")</f>
        <v/>
      </c>
      <c r="O90" s="571">
        <f>IF('Aanpassen Werkschema'!P120&gt;0,'Aanpassen Werkschema'!P120,"")</f>
        <v/>
      </c>
      <c r="P90" s="571">
        <f>IF('Aanpassen Werkschema'!Q120&gt;0,'Aanpassen Werkschema'!Q120,"")</f>
        <v/>
      </c>
      <c r="Q90" s="571">
        <f>IF('Aanpassen Werkschema'!R120&gt;0,'Aanpassen Werkschema'!R120,"")</f>
        <v/>
      </c>
      <c r="R90" s="571">
        <f>IF('Aanpassen Werkschema'!S120&gt;0,'Aanpassen Werkschema'!S120,"")</f>
        <v/>
      </c>
      <c r="S90" s="569">
        <f>IF('Aanpassen Werkschema'!T120="x","",IF('Aanpassen Werkschema'!N120="v","x",IF(E90="","",IF(E90="x","x"))))</f>
        <v/>
      </c>
      <c r="T90" s="569">
        <f>IF('Aanpassen Werkschema'!U120="x","",IF('Aanpassen Werkschema'!O120="v","x",IF(F90="","",IF(F90="x","x"))))</f>
        <v/>
      </c>
      <c r="U90" s="569">
        <f>IF('Aanpassen Werkschema'!V120="x","",IF('Aanpassen Werkschema'!P120="v","x",IF(G90="","",IF(G90="x","x"))))</f>
        <v/>
      </c>
      <c r="V90" s="569">
        <f>IF('Aanpassen Werkschema'!W120="x","",IF('Aanpassen Werkschema'!Q120="v","x",IF(H90="","",IF(H90="x","x"))))</f>
        <v/>
      </c>
      <c r="W90" s="569">
        <f>IF('Aanpassen Werkschema'!X120="x","",IF('Aanpassen Werkschema'!R120="v","x",IF(I90="","",IF(I90="x","x"))))</f>
        <v/>
      </c>
      <c r="X90" s="569">
        <f>IF('Aanpassen Werkschema'!Y120="x","",IF('Aanpassen Werkschema'!S120="v","x",IF(J90="","",IF(J90="x","x"))))</f>
        <v/>
      </c>
      <c r="Y90" s="569">
        <f>IF('Aanpassen Werkschema'!Z120="x","",IF('Aanpassen Werkschema'!T120="v","x",IF(K90="","",IF(K90="x","x"))))</f>
        <v/>
      </c>
      <c r="Z90" s="850">
        <f>Z89+0.0000000001</f>
        <v/>
      </c>
      <c r="AA90" s="851">
        <f>IFERROR(IF(C90="",1.1,IF(S90="",1,IF($C90=1,VLOOKUP($B90,'Werkschema - Rekening'!$B$2:$C$46,2,FALSE),IF($C90=2,Instellingen!C$16,IF($C90=3,Instellingen!D$16,IF($C90=4,L90))))+$D90)+$Z90),1.1)</f>
        <v/>
      </c>
      <c r="AB90" s="852">
        <f>IF($B90="","",IFERROR(VLOOKUP($B90,'Werkschema - Rekening'!$B$2:$P$46,3,FALSE),""))</f>
        <v/>
      </c>
      <c r="AC90" s="851">
        <f>IFERROR(IF(C90="",1.1,IF(T90="",1,IF($C90=1,VLOOKUP($B90,'Werkschema - Rekening'!$B$2:$E$46,4,FALSE),IF($C90=2,Instellingen!E$16,IF($C90=3,Instellingen!F$16,IF($C90=4,M90))))+$D90)+$Z90),1.1)</f>
        <v/>
      </c>
      <c r="AD90" s="852">
        <f>IF($B90="","",IFERROR(VLOOKUP($B90,'Werkschema - Rekening'!$B$2:$P$46,5,FALSE),""))</f>
        <v/>
      </c>
      <c r="AE90" s="851">
        <f>IFERROR(IF(C90="",1.1,IF(U90="",1,IF($C90=1,VLOOKUP($B90,'Werkschema - Rekening'!$B$2:$G$46,6,FALSE),IF($C90=2,Instellingen!G$16,IF($C90=3,Instellingen!H$16,IF($C90=4,N90))))+$D90)+$Z90),1.1)</f>
        <v/>
      </c>
      <c r="AF90" s="852">
        <f>IF($B90="","",IFERROR(VLOOKUP($B90,'Werkschema - Rekening'!$B$2:$P$46,7,FALSE),""))</f>
        <v/>
      </c>
      <c r="AG90" s="851">
        <f>IFERROR(IF(C90="",1.1,IF(V90="",1,IF($C90=1,VLOOKUP($B90,'Werkschema - Rekening'!$B$2:$I$46,8,FALSE),IF($C90=2,Instellingen!I$16,IF($C90=3,Instellingen!J$16,IF($C90=4,O90))))+$D90)+$Z90),1.1)</f>
        <v/>
      </c>
      <c r="AH90" s="852">
        <f>IF($B90="","",IFERROR(VLOOKUP($B90,'Werkschema - Rekening'!$B$2:$P$46,9,FALSE),""))</f>
        <v/>
      </c>
      <c r="AI90" s="851">
        <f>IFERROR(IF(C90="",1.1,IF(W90="",1,IF($C90=1,VLOOKUP($B90,'Werkschema - Rekening'!$B$2:$K$46,10,FALSE),IF($C90=2,Instellingen!K$16,IF($C90=3,Instellingen!L$16,IF($C90=4,P90))))+$D90)+$Z90),1.1)</f>
        <v/>
      </c>
      <c r="AJ90" s="852">
        <f>IF($B90="","",IFERROR(VLOOKUP($B90,'Werkschema - Rekening'!$B$2:$P$46,11,FALSE),""))</f>
        <v/>
      </c>
      <c r="AK90" s="851">
        <f>IFERROR(IF(C90="",1.1,IF(X90="",1,IF($C90=1,VLOOKUP($B90,'Werkschema - Rekening'!$B$2:$M$46,12,FALSE),IF($C90=2,Instellingen!M$16,IF($C90=3,Instellingen!N$16,IF($C90=4,Q90))))+$D90)+$Z90),1.1)</f>
        <v/>
      </c>
      <c r="AL90" s="852">
        <f>IF($B90="","",IFERROR(VLOOKUP($B90,'Werkschema - Rekening'!$B$2:$P$46,13,FALSE),""))</f>
        <v/>
      </c>
      <c r="AM90" s="851">
        <f>IFERROR(IF(C90="",1.1,IF(Y90="",1,IF($C90=1,VLOOKUP($B90,'Werkschema - Rekening'!$B$2:$O$46,14,FALSE),IF($C90=2,Instellingen!O$16,IF($C90=3,Instellingen!P$16,IF($C90=4,R90))))+$D90)+$Z90),1.1)</f>
        <v/>
      </c>
      <c r="AN90" s="852">
        <f>IF($B90="","",IFERROR(VLOOKUP($B90,'Werkschema - Rekening'!$B$2:$P$46,15,FALSE),""))</f>
        <v/>
      </c>
      <c r="AO90" s="852">
        <f>A90</f>
        <v/>
      </c>
      <c r="AP90" s="852">
        <f>B90</f>
        <v/>
      </c>
    </row>
    <row r="91" ht="12.6" customHeight="1">
      <c r="A91" s="830">
        <f>'Aanpassen Werkschema'!B121</f>
        <v/>
      </c>
      <c r="B91" s="569">
        <f>'Aanpassen Werkschema'!C121</f>
        <v/>
      </c>
      <c r="C91" s="569">
        <f>IF('Aanpassen Werkschema'!D121="geplande taak",1,IF('Aanpassen Werkschema'!D121="openingstijd",2,IF('Aanpassen Werkschema'!D121="sluitingstijd",3,IF('Aanpassen Werkschema'!D121="vaste tijd",4,""))))</f>
        <v/>
      </c>
      <c r="D91" s="849">
        <f>'Aanpassen Werkschema'!E121</f>
        <v/>
      </c>
      <c r="E91" s="569">
        <f>IF('Aanpassen Werkschema'!F121="v","x","")</f>
        <v/>
      </c>
      <c r="F91" s="569">
        <f>IF('Aanpassen Werkschema'!G121="v","x","")</f>
        <v/>
      </c>
      <c r="G91" s="569">
        <f>IF('Aanpassen Werkschema'!H121="v","x","")</f>
        <v/>
      </c>
      <c r="H91" s="569">
        <f>IF('Aanpassen Werkschema'!I121="v","x","")</f>
        <v/>
      </c>
      <c r="I91" s="569">
        <f>IF('Aanpassen Werkschema'!J121="v","x","")</f>
        <v/>
      </c>
      <c r="J91" s="569">
        <f>IF('Aanpassen Werkschema'!K121="v","x","")</f>
        <v/>
      </c>
      <c r="K91" s="569">
        <f>IF('Aanpassen Werkschema'!L121="v","x","")</f>
        <v/>
      </c>
      <c r="L91" s="571">
        <f>IF('Aanpassen Werkschema'!M121&gt;0,'Aanpassen Werkschema'!M121,"")</f>
        <v/>
      </c>
      <c r="M91" s="571">
        <f>IF('Aanpassen Werkschema'!N121&gt;0,'Aanpassen Werkschema'!N121,"")</f>
        <v/>
      </c>
      <c r="N91" s="571">
        <f>IF('Aanpassen Werkschema'!O121&gt;0,'Aanpassen Werkschema'!O121,"")</f>
        <v/>
      </c>
      <c r="O91" s="571">
        <f>IF('Aanpassen Werkschema'!P121&gt;0,'Aanpassen Werkschema'!P121,"")</f>
        <v/>
      </c>
      <c r="P91" s="571">
        <f>IF('Aanpassen Werkschema'!Q121&gt;0,'Aanpassen Werkschema'!Q121,"")</f>
        <v/>
      </c>
      <c r="Q91" s="571">
        <f>IF('Aanpassen Werkschema'!R121&gt;0,'Aanpassen Werkschema'!R121,"")</f>
        <v/>
      </c>
      <c r="R91" s="571">
        <f>IF('Aanpassen Werkschema'!S121&gt;0,'Aanpassen Werkschema'!S121,"")</f>
        <v/>
      </c>
      <c r="S91" s="569">
        <f>IF('Aanpassen Werkschema'!T121="x","",IF('Aanpassen Werkschema'!N121="v","x",IF(E91="","",IF(E91="x","x"))))</f>
        <v/>
      </c>
      <c r="T91" s="569">
        <f>IF('Aanpassen Werkschema'!U121="x","",IF('Aanpassen Werkschema'!O121="v","x",IF(F91="","",IF(F91="x","x"))))</f>
        <v/>
      </c>
      <c r="U91" s="569">
        <f>IF('Aanpassen Werkschema'!V121="x","",IF('Aanpassen Werkschema'!P121="v","x",IF(G91="","",IF(G91="x","x"))))</f>
        <v/>
      </c>
      <c r="V91" s="569">
        <f>IF('Aanpassen Werkschema'!W121="x","",IF('Aanpassen Werkschema'!Q121="v","x",IF(H91="","",IF(H91="x","x"))))</f>
        <v/>
      </c>
      <c r="W91" s="569">
        <f>IF('Aanpassen Werkschema'!X121="x","",IF('Aanpassen Werkschema'!R121="v","x",IF(I91="","",IF(I91="x","x"))))</f>
        <v/>
      </c>
      <c r="X91" s="569">
        <f>IF('Aanpassen Werkschema'!Y121="x","",IF('Aanpassen Werkschema'!S121="v","x",IF(J91="","",IF(J91="x","x"))))</f>
        <v/>
      </c>
      <c r="Y91" s="569">
        <f>IF('Aanpassen Werkschema'!Z121="x","",IF('Aanpassen Werkschema'!T121="v","x",IF(K91="","",IF(K91="x","x"))))</f>
        <v/>
      </c>
      <c r="Z91" s="850">
        <f>Z90+0.0000000001</f>
        <v/>
      </c>
      <c r="AA91" s="851">
        <f>IFERROR(IF(C91="",1.1,IF(S91="",1,IF($C91=1,VLOOKUP($B91,'Werkschema - Rekening'!$B$2:$C$46,2,FALSE),IF($C91=2,Instellingen!C$16,IF($C91=3,Instellingen!D$16,IF($C91=4,L91))))+$D91)+$Z91),1.1)</f>
        <v/>
      </c>
      <c r="AB91" s="852">
        <f>IF($B91="","",IFERROR(VLOOKUP($B91,'Werkschema - Rekening'!$B$2:$P$46,3,FALSE),""))</f>
        <v/>
      </c>
      <c r="AC91" s="851">
        <f>IFERROR(IF(C91="",1.1,IF(T91="",1,IF($C91=1,VLOOKUP($B91,'Werkschema - Rekening'!$B$2:$E$46,4,FALSE),IF($C91=2,Instellingen!E$16,IF($C91=3,Instellingen!F$16,IF($C91=4,M91))))+$D91)+$Z91),1.1)</f>
        <v/>
      </c>
      <c r="AD91" s="852">
        <f>IF($B91="","",IFERROR(VLOOKUP($B91,'Werkschema - Rekening'!$B$2:$P$46,5,FALSE),""))</f>
        <v/>
      </c>
      <c r="AE91" s="851">
        <f>IFERROR(IF(C91="",1.1,IF(U91="",1,IF($C91=1,VLOOKUP($B91,'Werkschema - Rekening'!$B$2:$G$46,6,FALSE),IF($C91=2,Instellingen!G$16,IF($C91=3,Instellingen!H$16,IF($C91=4,N91))))+$D91)+$Z91),1.1)</f>
        <v/>
      </c>
      <c r="AF91" s="852">
        <f>IF($B91="","",IFERROR(VLOOKUP($B91,'Werkschema - Rekening'!$B$2:$P$46,7,FALSE),""))</f>
        <v/>
      </c>
      <c r="AG91" s="851">
        <f>IFERROR(IF(C91="",1.1,IF(V91="",1,IF($C91=1,VLOOKUP($B91,'Werkschema - Rekening'!$B$2:$I$46,8,FALSE),IF($C91=2,Instellingen!I$16,IF($C91=3,Instellingen!J$16,IF($C91=4,O91))))+$D91)+$Z91),1.1)</f>
        <v/>
      </c>
      <c r="AH91" s="852">
        <f>IF($B91="","",IFERROR(VLOOKUP($B91,'Werkschema - Rekening'!$B$2:$P$46,9,FALSE),""))</f>
        <v/>
      </c>
      <c r="AI91" s="851">
        <f>IFERROR(IF(C91="",1.1,IF(W91="",1,IF($C91=1,VLOOKUP($B91,'Werkschema - Rekening'!$B$2:$K$46,10,FALSE),IF($C91=2,Instellingen!K$16,IF($C91=3,Instellingen!L$16,IF($C91=4,P91))))+$D91)+$Z91),1.1)</f>
        <v/>
      </c>
      <c r="AJ91" s="852">
        <f>IF($B91="","",IFERROR(VLOOKUP($B91,'Werkschema - Rekening'!$B$2:$P$46,11,FALSE),""))</f>
        <v/>
      </c>
      <c r="AK91" s="851">
        <f>IFERROR(IF(C91="",1.1,IF(X91="",1,IF($C91=1,VLOOKUP($B91,'Werkschema - Rekening'!$B$2:$M$46,12,FALSE),IF($C91=2,Instellingen!M$16,IF($C91=3,Instellingen!N$16,IF($C91=4,Q91))))+$D91)+$Z91),1.1)</f>
        <v/>
      </c>
      <c r="AL91" s="852">
        <f>IF($B91="","",IFERROR(VLOOKUP($B91,'Werkschema - Rekening'!$B$2:$P$46,13,FALSE),""))</f>
        <v/>
      </c>
      <c r="AM91" s="851">
        <f>IFERROR(IF(C91="",1.1,IF(Y91="",1,IF($C91=1,VLOOKUP($B91,'Werkschema - Rekening'!$B$2:$O$46,14,FALSE),IF($C91=2,Instellingen!O$16,IF($C91=3,Instellingen!P$16,IF($C91=4,R91))))+$D91)+$Z91),1.1)</f>
        <v/>
      </c>
      <c r="AN91" s="852">
        <f>IF($B91="","",IFERROR(VLOOKUP($B91,'Werkschema - Rekening'!$B$2:$P$46,15,FALSE),""))</f>
        <v/>
      </c>
      <c r="AO91" s="852">
        <f>A91</f>
        <v/>
      </c>
      <c r="AP91" s="852">
        <f>B91</f>
        <v/>
      </c>
    </row>
    <row r="92" ht="12.6" customHeight="1">
      <c r="A92" s="830">
        <f>'Aanpassen Werkschema'!B122</f>
        <v/>
      </c>
      <c r="B92" s="569">
        <f>'Aanpassen Werkschema'!C122</f>
        <v/>
      </c>
      <c r="C92" s="569">
        <f>IF('Aanpassen Werkschema'!D122="geplande taak",1,IF('Aanpassen Werkschema'!D122="openingstijd",2,IF('Aanpassen Werkschema'!D122="sluitingstijd",3,IF('Aanpassen Werkschema'!D122="vaste tijd",4,""))))</f>
        <v/>
      </c>
      <c r="D92" s="849">
        <f>'Aanpassen Werkschema'!E122</f>
        <v/>
      </c>
      <c r="E92" s="569">
        <f>IF('Aanpassen Werkschema'!F122="v","x","")</f>
        <v/>
      </c>
      <c r="F92" s="569">
        <f>IF('Aanpassen Werkschema'!G122="v","x","")</f>
        <v/>
      </c>
      <c r="G92" s="569">
        <f>IF('Aanpassen Werkschema'!H122="v","x","")</f>
        <v/>
      </c>
      <c r="H92" s="569">
        <f>IF('Aanpassen Werkschema'!I122="v","x","")</f>
        <v/>
      </c>
      <c r="I92" s="569">
        <f>IF('Aanpassen Werkschema'!J122="v","x","")</f>
        <v/>
      </c>
      <c r="J92" s="569">
        <f>IF('Aanpassen Werkschema'!K122="v","x","")</f>
        <v/>
      </c>
      <c r="K92" s="569">
        <f>IF('Aanpassen Werkschema'!L122="v","x","")</f>
        <v/>
      </c>
      <c r="L92" s="571">
        <f>IF('Aanpassen Werkschema'!M122&gt;0,'Aanpassen Werkschema'!M122,"")</f>
        <v/>
      </c>
      <c r="M92" s="571">
        <f>IF('Aanpassen Werkschema'!N122&gt;0,'Aanpassen Werkschema'!N122,"")</f>
        <v/>
      </c>
      <c r="N92" s="571">
        <f>IF('Aanpassen Werkschema'!O122&gt;0,'Aanpassen Werkschema'!O122,"")</f>
        <v/>
      </c>
      <c r="O92" s="571">
        <f>IF('Aanpassen Werkschema'!P122&gt;0,'Aanpassen Werkschema'!P122,"")</f>
        <v/>
      </c>
      <c r="P92" s="571">
        <f>IF('Aanpassen Werkschema'!Q122&gt;0,'Aanpassen Werkschema'!Q122,"")</f>
        <v/>
      </c>
      <c r="Q92" s="571">
        <f>IF('Aanpassen Werkschema'!R122&gt;0,'Aanpassen Werkschema'!R122,"")</f>
        <v/>
      </c>
      <c r="R92" s="571">
        <f>IF('Aanpassen Werkschema'!S122&gt;0,'Aanpassen Werkschema'!S122,"")</f>
        <v/>
      </c>
      <c r="S92" s="569">
        <f>IF('Aanpassen Werkschema'!T122="x","",IF('Aanpassen Werkschema'!N122="v","x",IF(E92="","",IF(E92="x","x"))))</f>
        <v/>
      </c>
      <c r="T92" s="569">
        <f>IF('Aanpassen Werkschema'!U122="x","",IF('Aanpassen Werkschema'!O122="v","x",IF(F92="","",IF(F92="x","x"))))</f>
        <v/>
      </c>
      <c r="U92" s="569">
        <f>IF('Aanpassen Werkschema'!V122="x","",IF('Aanpassen Werkschema'!P122="v","x",IF(G92="","",IF(G92="x","x"))))</f>
        <v/>
      </c>
      <c r="V92" s="569">
        <f>IF('Aanpassen Werkschema'!W122="x","",IF('Aanpassen Werkschema'!Q122="v","x",IF(H92="","",IF(H92="x","x"))))</f>
        <v/>
      </c>
      <c r="W92" s="569">
        <f>IF('Aanpassen Werkschema'!X122="x","",IF('Aanpassen Werkschema'!R122="v","x",IF(I92="","",IF(I92="x","x"))))</f>
        <v/>
      </c>
      <c r="X92" s="569">
        <f>IF('Aanpassen Werkschema'!Y122="x","",IF('Aanpassen Werkschema'!S122="v","x",IF(J92="","",IF(J92="x","x"))))</f>
        <v/>
      </c>
      <c r="Y92" s="569">
        <f>IF('Aanpassen Werkschema'!Z122="x","",IF('Aanpassen Werkschema'!T122="v","x",IF(K92="","",IF(K92="x","x"))))</f>
        <v/>
      </c>
      <c r="Z92" s="850">
        <f>Z91+0.0000000001</f>
        <v/>
      </c>
      <c r="AA92" s="851">
        <f>IFERROR(IF(C92="",1.1,IF(S92="",1,IF($C92=1,VLOOKUP($B92,'Werkschema - Rekening'!$B$2:$C$46,2,FALSE),IF($C92=2,Instellingen!C$16,IF($C92=3,Instellingen!D$16,IF($C92=4,L92))))+$D92)+$Z92),1.1)</f>
        <v/>
      </c>
      <c r="AB92" s="852">
        <f>IF($B92="","",IFERROR(VLOOKUP($B92,'Werkschema - Rekening'!$B$2:$P$46,3,FALSE),""))</f>
        <v/>
      </c>
      <c r="AC92" s="851">
        <f>IFERROR(IF(C92="",1.1,IF(T92="",1,IF($C92=1,VLOOKUP($B92,'Werkschema - Rekening'!$B$2:$E$46,4,FALSE),IF($C92=2,Instellingen!E$16,IF($C92=3,Instellingen!F$16,IF($C92=4,M92))))+$D92)+$Z92),1.1)</f>
        <v/>
      </c>
      <c r="AD92" s="852">
        <f>IF($B92="","",IFERROR(VLOOKUP($B92,'Werkschema - Rekening'!$B$2:$P$46,5,FALSE),""))</f>
        <v/>
      </c>
      <c r="AE92" s="851">
        <f>IFERROR(IF(C92="",1.1,IF(U92="",1,IF($C92=1,VLOOKUP($B92,'Werkschema - Rekening'!$B$2:$G$46,6,FALSE),IF($C92=2,Instellingen!G$16,IF($C92=3,Instellingen!H$16,IF($C92=4,N92))))+$D92)+$Z92),1.1)</f>
        <v/>
      </c>
      <c r="AF92" s="852">
        <f>IF($B92="","",IFERROR(VLOOKUP($B92,'Werkschema - Rekening'!$B$2:$P$46,7,FALSE),""))</f>
        <v/>
      </c>
      <c r="AG92" s="851">
        <f>IFERROR(IF(C92="",1.1,IF(V92="",1,IF($C92=1,VLOOKUP($B92,'Werkschema - Rekening'!$B$2:$I$46,8,FALSE),IF($C92=2,Instellingen!I$16,IF($C92=3,Instellingen!J$16,IF($C92=4,O92))))+$D92)+$Z92),1.1)</f>
        <v/>
      </c>
      <c r="AH92" s="852">
        <f>IF($B92="","",IFERROR(VLOOKUP($B92,'Werkschema - Rekening'!$B$2:$P$46,9,FALSE),""))</f>
        <v/>
      </c>
      <c r="AI92" s="851">
        <f>IFERROR(IF(C92="",1.1,IF(W92="",1,IF($C92=1,VLOOKUP($B92,'Werkschema - Rekening'!$B$2:$K$46,10,FALSE),IF($C92=2,Instellingen!K$16,IF($C92=3,Instellingen!L$16,IF($C92=4,P92))))+$D92)+$Z92),1.1)</f>
        <v/>
      </c>
      <c r="AJ92" s="852">
        <f>IF($B92="","",IFERROR(VLOOKUP($B92,'Werkschema - Rekening'!$B$2:$P$46,11,FALSE),""))</f>
        <v/>
      </c>
      <c r="AK92" s="851">
        <f>IFERROR(IF(C92="",1.1,IF(X92="",1,IF($C92=1,VLOOKUP($B92,'Werkschema - Rekening'!$B$2:$M$46,12,FALSE),IF($C92=2,Instellingen!M$16,IF($C92=3,Instellingen!N$16,IF($C92=4,Q92))))+$D92)+$Z92),1.1)</f>
        <v/>
      </c>
      <c r="AL92" s="852">
        <f>IF($B92="","",IFERROR(VLOOKUP($B92,'Werkschema - Rekening'!$B$2:$P$46,13,FALSE),""))</f>
        <v/>
      </c>
      <c r="AM92" s="851">
        <f>IFERROR(IF(C92="",1.1,IF(Y92="",1,IF($C92=1,VLOOKUP($B92,'Werkschema - Rekening'!$B$2:$O$46,14,FALSE),IF($C92=2,Instellingen!O$16,IF($C92=3,Instellingen!P$16,IF($C92=4,R92))))+$D92)+$Z92),1.1)</f>
        <v/>
      </c>
      <c r="AN92" s="852">
        <f>IF($B92="","",IFERROR(VLOOKUP($B92,'Werkschema - Rekening'!$B$2:$P$46,15,FALSE),""))</f>
        <v/>
      </c>
      <c r="AO92" s="852">
        <f>A92</f>
        <v/>
      </c>
      <c r="AP92" s="852">
        <f>B92</f>
        <v/>
      </c>
    </row>
    <row r="93" ht="12.6" customHeight="1">
      <c r="A93" s="830">
        <f>'Aanpassen Werkschema'!B123</f>
        <v/>
      </c>
      <c r="B93" s="569">
        <f>'Aanpassen Werkschema'!C123</f>
        <v/>
      </c>
      <c r="C93" s="569">
        <f>IF('Aanpassen Werkschema'!D123="geplande taak",1,IF('Aanpassen Werkschema'!D123="openingstijd",2,IF('Aanpassen Werkschema'!D123="sluitingstijd",3,IF('Aanpassen Werkschema'!D123="vaste tijd",4,""))))</f>
        <v/>
      </c>
      <c r="D93" s="849">
        <f>'Aanpassen Werkschema'!E123</f>
        <v/>
      </c>
      <c r="E93" s="569">
        <f>IF('Aanpassen Werkschema'!F123="v","x","")</f>
        <v/>
      </c>
      <c r="F93" s="569">
        <f>IF('Aanpassen Werkschema'!G123="v","x","")</f>
        <v/>
      </c>
      <c r="G93" s="569">
        <f>IF('Aanpassen Werkschema'!H123="v","x","")</f>
        <v/>
      </c>
      <c r="H93" s="569">
        <f>IF('Aanpassen Werkschema'!I123="v","x","")</f>
        <v/>
      </c>
      <c r="I93" s="569">
        <f>IF('Aanpassen Werkschema'!J123="v","x","")</f>
        <v/>
      </c>
      <c r="J93" s="569">
        <f>IF('Aanpassen Werkschema'!K123="v","x","")</f>
        <v/>
      </c>
      <c r="K93" s="569">
        <f>IF('Aanpassen Werkschema'!L123="v","x","")</f>
        <v/>
      </c>
      <c r="L93" s="571">
        <f>IF('Aanpassen Werkschema'!M123&gt;0,'Aanpassen Werkschema'!M123,"")</f>
        <v/>
      </c>
      <c r="M93" s="571">
        <f>IF('Aanpassen Werkschema'!N123&gt;0,'Aanpassen Werkschema'!N123,"")</f>
        <v/>
      </c>
      <c r="N93" s="571">
        <f>IF('Aanpassen Werkschema'!O123&gt;0,'Aanpassen Werkschema'!O123,"")</f>
        <v/>
      </c>
      <c r="O93" s="571">
        <f>IF('Aanpassen Werkschema'!P123&gt;0,'Aanpassen Werkschema'!P123,"")</f>
        <v/>
      </c>
      <c r="P93" s="571">
        <f>IF('Aanpassen Werkschema'!Q123&gt;0,'Aanpassen Werkschema'!Q123,"")</f>
        <v/>
      </c>
      <c r="Q93" s="571">
        <f>IF('Aanpassen Werkschema'!R123&gt;0,'Aanpassen Werkschema'!R123,"")</f>
        <v/>
      </c>
      <c r="R93" s="571">
        <f>IF('Aanpassen Werkschema'!S123&gt;0,'Aanpassen Werkschema'!S123,"")</f>
        <v/>
      </c>
      <c r="S93" s="569">
        <f>IF('Aanpassen Werkschema'!T123="x","",IF('Aanpassen Werkschema'!N123="v","x",IF(E93="","",IF(E93="x","x"))))</f>
        <v/>
      </c>
      <c r="T93" s="569">
        <f>IF('Aanpassen Werkschema'!U123="x","",IF('Aanpassen Werkschema'!O123="v","x",IF(F93="","",IF(F93="x","x"))))</f>
        <v/>
      </c>
      <c r="U93" s="569">
        <f>IF('Aanpassen Werkschema'!V123="x","",IF('Aanpassen Werkschema'!P123="v","x",IF(G93="","",IF(G93="x","x"))))</f>
        <v/>
      </c>
      <c r="V93" s="569">
        <f>IF('Aanpassen Werkschema'!W123="x","",IF('Aanpassen Werkschema'!Q123="v","x",IF(H93="","",IF(H93="x","x"))))</f>
        <v/>
      </c>
      <c r="W93" s="569">
        <f>IF('Aanpassen Werkschema'!X123="x","",IF('Aanpassen Werkschema'!R123="v","x",IF(I93="","",IF(I93="x","x"))))</f>
        <v/>
      </c>
      <c r="X93" s="569">
        <f>IF('Aanpassen Werkschema'!Y123="x","",IF('Aanpassen Werkschema'!S123="v","x",IF(J93="","",IF(J93="x","x"))))</f>
        <v/>
      </c>
      <c r="Y93" s="569">
        <f>IF('Aanpassen Werkschema'!Z123="x","",IF('Aanpassen Werkschema'!T123="v","x",IF(K93="","",IF(K93="x","x"))))</f>
        <v/>
      </c>
      <c r="Z93" s="850">
        <f>Z92+0.0000000001</f>
        <v/>
      </c>
      <c r="AA93" s="851">
        <f>IFERROR(IF(C93="",1.1,IF(S93="",1,IF($C93=1,VLOOKUP($B93,'Werkschema - Rekening'!$B$2:$C$46,2,FALSE),IF($C93=2,Instellingen!C$16,IF($C93=3,Instellingen!D$16,IF($C93=4,L93))))+$D93)+$Z93),1.1)</f>
        <v/>
      </c>
      <c r="AB93" s="852">
        <f>IF($B93="","",IFERROR(VLOOKUP($B93,'Werkschema - Rekening'!$B$2:$P$46,3,FALSE),""))</f>
        <v/>
      </c>
      <c r="AC93" s="851">
        <f>IFERROR(IF(C93="",1.1,IF(T93="",1,IF($C93=1,VLOOKUP($B93,'Werkschema - Rekening'!$B$2:$E$46,4,FALSE),IF($C93=2,Instellingen!E$16,IF($C93=3,Instellingen!F$16,IF($C93=4,M93))))+$D93)+$Z93),1.1)</f>
        <v/>
      </c>
      <c r="AD93" s="852">
        <f>IF($B93="","",IFERROR(VLOOKUP($B93,'Werkschema - Rekening'!$B$2:$P$46,5,FALSE),""))</f>
        <v/>
      </c>
      <c r="AE93" s="851">
        <f>IFERROR(IF(C93="",1.1,IF(U93="",1,IF($C93=1,VLOOKUP($B93,'Werkschema - Rekening'!$B$2:$G$46,6,FALSE),IF($C93=2,Instellingen!G$16,IF($C93=3,Instellingen!H$16,IF($C93=4,N93))))+$D93)+$Z93),1.1)</f>
        <v/>
      </c>
      <c r="AF93" s="852">
        <f>IF($B93="","",IFERROR(VLOOKUP($B93,'Werkschema - Rekening'!$B$2:$P$46,7,FALSE),""))</f>
        <v/>
      </c>
      <c r="AG93" s="851">
        <f>IFERROR(IF(C93="",1.1,IF(V93="",1,IF($C93=1,VLOOKUP($B93,'Werkschema - Rekening'!$B$2:$I$46,8,FALSE),IF($C93=2,Instellingen!I$16,IF($C93=3,Instellingen!J$16,IF($C93=4,O93))))+$D93)+$Z93),1.1)</f>
        <v/>
      </c>
      <c r="AH93" s="852">
        <f>IF($B93="","",IFERROR(VLOOKUP($B93,'Werkschema - Rekening'!$B$2:$P$46,9,FALSE),""))</f>
        <v/>
      </c>
      <c r="AI93" s="851">
        <f>IFERROR(IF(C93="",1.1,IF(W93="",1,IF($C93=1,VLOOKUP($B93,'Werkschema - Rekening'!$B$2:$K$46,10,FALSE),IF($C93=2,Instellingen!K$16,IF($C93=3,Instellingen!L$16,IF($C93=4,P93))))+$D93)+$Z93),1.1)</f>
        <v/>
      </c>
      <c r="AJ93" s="852">
        <f>IF($B93="","",IFERROR(VLOOKUP($B93,'Werkschema - Rekening'!$B$2:$P$46,11,FALSE),""))</f>
        <v/>
      </c>
      <c r="AK93" s="851">
        <f>IFERROR(IF(C93="",1.1,IF(X93="",1,IF($C93=1,VLOOKUP($B93,'Werkschema - Rekening'!$B$2:$M$46,12,FALSE),IF($C93=2,Instellingen!M$16,IF($C93=3,Instellingen!N$16,IF($C93=4,Q93))))+$D93)+$Z93),1.1)</f>
        <v/>
      </c>
      <c r="AL93" s="852">
        <f>IF($B93="","",IFERROR(VLOOKUP($B93,'Werkschema - Rekening'!$B$2:$P$46,13,FALSE),""))</f>
        <v/>
      </c>
      <c r="AM93" s="851">
        <f>IFERROR(IF(C93="",1.1,IF(Y93="",1,IF($C93=1,VLOOKUP($B93,'Werkschema - Rekening'!$B$2:$O$46,14,FALSE),IF($C93=2,Instellingen!O$16,IF($C93=3,Instellingen!P$16,IF($C93=4,R93))))+$D93)+$Z93),1.1)</f>
        <v/>
      </c>
      <c r="AN93" s="852">
        <f>IF($B93="","",IFERROR(VLOOKUP($B93,'Werkschema - Rekening'!$B$2:$P$46,15,FALSE),""))</f>
        <v/>
      </c>
      <c r="AO93" s="852">
        <f>A93</f>
        <v/>
      </c>
      <c r="AP93" s="852">
        <f>B93</f>
        <v/>
      </c>
    </row>
    <row r="94" ht="12.6" customHeight="1">
      <c r="A94" s="830">
        <f>'Aanpassen Werkschema'!B124</f>
        <v/>
      </c>
      <c r="B94" s="569">
        <f>'Aanpassen Werkschema'!C124</f>
        <v/>
      </c>
      <c r="C94" s="569">
        <f>IF('Aanpassen Werkschema'!D124="geplande taak",1,IF('Aanpassen Werkschema'!D124="openingstijd",2,IF('Aanpassen Werkschema'!D124="sluitingstijd",3,IF('Aanpassen Werkschema'!D124="vaste tijd",4,""))))</f>
        <v/>
      </c>
      <c r="D94" s="849">
        <f>'Aanpassen Werkschema'!E124</f>
        <v/>
      </c>
      <c r="E94" s="569">
        <f>IF('Aanpassen Werkschema'!F124="v","x","")</f>
        <v/>
      </c>
      <c r="F94" s="569">
        <f>IF('Aanpassen Werkschema'!G124="v","x","")</f>
        <v/>
      </c>
      <c r="G94" s="569">
        <f>IF('Aanpassen Werkschema'!H124="v","x","")</f>
        <v/>
      </c>
      <c r="H94" s="569">
        <f>IF('Aanpassen Werkschema'!I124="v","x","")</f>
        <v/>
      </c>
      <c r="I94" s="569">
        <f>IF('Aanpassen Werkschema'!J124="v","x","")</f>
        <v/>
      </c>
      <c r="J94" s="569">
        <f>IF('Aanpassen Werkschema'!K124="v","x","")</f>
        <v/>
      </c>
      <c r="K94" s="569">
        <f>IF('Aanpassen Werkschema'!L124="v","x","")</f>
        <v/>
      </c>
      <c r="L94" s="571">
        <f>IF('Aanpassen Werkschema'!M124&gt;0,'Aanpassen Werkschema'!M124,"")</f>
        <v/>
      </c>
      <c r="M94" s="571">
        <f>IF('Aanpassen Werkschema'!N124&gt;0,'Aanpassen Werkschema'!N124,"")</f>
        <v/>
      </c>
      <c r="N94" s="571">
        <f>IF('Aanpassen Werkschema'!O124&gt;0,'Aanpassen Werkschema'!O124,"")</f>
        <v/>
      </c>
      <c r="O94" s="571">
        <f>IF('Aanpassen Werkschema'!P124&gt;0,'Aanpassen Werkschema'!P124,"")</f>
        <v/>
      </c>
      <c r="P94" s="571">
        <f>IF('Aanpassen Werkschema'!Q124&gt;0,'Aanpassen Werkschema'!Q124,"")</f>
        <v/>
      </c>
      <c r="Q94" s="571">
        <f>IF('Aanpassen Werkschema'!R124&gt;0,'Aanpassen Werkschema'!R124,"")</f>
        <v/>
      </c>
      <c r="R94" s="571">
        <f>IF('Aanpassen Werkschema'!S124&gt;0,'Aanpassen Werkschema'!S124,"")</f>
        <v/>
      </c>
      <c r="S94" s="569">
        <f>IF('Aanpassen Werkschema'!T124="x","",IF('Aanpassen Werkschema'!N124="v","x",IF(E94="","",IF(E94="x","x"))))</f>
        <v/>
      </c>
      <c r="T94" s="569">
        <f>IF('Aanpassen Werkschema'!U124="x","",IF('Aanpassen Werkschema'!O124="v","x",IF(F94="","",IF(F94="x","x"))))</f>
        <v/>
      </c>
      <c r="U94" s="569">
        <f>IF('Aanpassen Werkschema'!V124="x","",IF('Aanpassen Werkschema'!P124="v","x",IF(G94="","",IF(G94="x","x"))))</f>
        <v/>
      </c>
      <c r="V94" s="569">
        <f>IF('Aanpassen Werkschema'!W124="x","",IF('Aanpassen Werkschema'!Q124="v","x",IF(H94="","",IF(H94="x","x"))))</f>
        <v/>
      </c>
      <c r="W94" s="569">
        <f>IF('Aanpassen Werkschema'!X124="x","",IF('Aanpassen Werkschema'!R124="v","x",IF(I94="","",IF(I94="x","x"))))</f>
        <v/>
      </c>
      <c r="X94" s="569">
        <f>IF('Aanpassen Werkschema'!Y124="x","",IF('Aanpassen Werkschema'!S124="v","x",IF(J94="","",IF(J94="x","x"))))</f>
        <v/>
      </c>
      <c r="Y94" s="569">
        <f>IF('Aanpassen Werkschema'!Z124="x","",IF('Aanpassen Werkschema'!T124="v","x",IF(K94="","",IF(K94="x","x"))))</f>
        <v/>
      </c>
      <c r="Z94" s="850">
        <f>Z93+0.0000000001</f>
        <v/>
      </c>
      <c r="AA94" s="851">
        <f>IFERROR(IF(C94="",1.1,IF(S94="",1,IF($C94=1,VLOOKUP($B94,'Werkschema - Rekening'!$B$2:$C$46,2,FALSE),IF($C94=2,Instellingen!C$16,IF($C94=3,Instellingen!D$16,IF($C94=4,L94))))+$D94)+$Z94),1.1)</f>
        <v/>
      </c>
      <c r="AB94" s="852">
        <f>IF($B94="","",IFERROR(VLOOKUP($B94,'Werkschema - Rekening'!$B$2:$P$46,3,FALSE),""))</f>
        <v/>
      </c>
      <c r="AC94" s="851">
        <f>IFERROR(IF(C94="",1.1,IF(T94="",1,IF($C94=1,VLOOKUP($B94,'Werkschema - Rekening'!$B$2:$E$46,4,FALSE),IF($C94=2,Instellingen!E$16,IF($C94=3,Instellingen!F$16,IF($C94=4,M94))))+$D94)+$Z94),1.1)</f>
        <v/>
      </c>
      <c r="AD94" s="852">
        <f>IF($B94="","",IFERROR(VLOOKUP($B94,'Werkschema - Rekening'!$B$2:$P$46,5,FALSE),""))</f>
        <v/>
      </c>
      <c r="AE94" s="851">
        <f>IFERROR(IF(C94="",1.1,IF(U94="",1,IF($C94=1,VLOOKUP($B94,'Werkschema - Rekening'!$B$2:$G$46,6,FALSE),IF($C94=2,Instellingen!G$16,IF($C94=3,Instellingen!H$16,IF($C94=4,N94))))+$D94)+$Z94),1.1)</f>
        <v/>
      </c>
      <c r="AF94" s="852">
        <f>IF($B94="","",IFERROR(VLOOKUP($B94,'Werkschema - Rekening'!$B$2:$P$46,7,FALSE),""))</f>
        <v/>
      </c>
      <c r="AG94" s="851">
        <f>IFERROR(IF(C94="",1.1,IF(V94="",1,IF($C94=1,VLOOKUP($B94,'Werkschema - Rekening'!$B$2:$I$46,8,FALSE),IF($C94=2,Instellingen!I$16,IF($C94=3,Instellingen!J$16,IF($C94=4,O94))))+$D94)+$Z94),1.1)</f>
        <v/>
      </c>
      <c r="AH94" s="852">
        <f>IF($B94="","",IFERROR(VLOOKUP($B94,'Werkschema - Rekening'!$B$2:$P$46,9,FALSE),""))</f>
        <v/>
      </c>
      <c r="AI94" s="851">
        <f>IFERROR(IF(C94="",1.1,IF(W94="",1,IF($C94=1,VLOOKUP($B94,'Werkschema - Rekening'!$B$2:$K$46,10,FALSE),IF($C94=2,Instellingen!K$16,IF($C94=3,Instellingen!L$16,IF($C94=4,P94))))+$D94)+$Z94),1.1)</f>
        <v/>
      </c>
      <c r="AJ94" s="852">
        <f>IF($B94="","",IFERROR(VLOOKUP($B94,'Werkschema - Rekening'!$B$2:$P$46,11,FALSE),""))</f>
        <v/>
      </c>
      <c r="AK94" s="851">
        <f>IFERROR(IF(C94="",1.1,IF(X94="",1,IF($C94=1,VLOOKUP($B94,'Werkschema - Rekening'!$B$2:$M$46,12,FALSE),IF($C94=2,Instellingen!M$16,IF($C94=3,Instellingen!N$16,IF($C94=4,Q94))))+$D94)+$Z94),1.1)</f>
        <v/>
      </c>
      <c r="AL94" s="852">
        <f>IF($B94="","",IFERROR(VLOOKUP($B94,'Werkschema - Rekening'!$B$2:$P$46,13,FALSE),""))</f>
        <v/>
      </c>
      <c r="AM94" s="851">
        <f>IFERROR(IF(C94="",1.1,IF(Y94="",1,IF($C94=1,VLOOKUP($B94,'Werkschema - Rekening'!$B$2:$O$46,14,FALSE),IF($C94=2,Instellingen!O$16,IF($C94=3,Instellingen!P$16,IF($C94=4,R94))))+$D94)+$Z94),1.1)</f>
        <v/>
      </c>
      <c r="AN94" s="852">
        <f>IF($B94="","",IFERROR(VLOOKUP($B94,'Werkschema - Rekening'!$B$2:$P$46,15,FALSE),""))</f>
        <v/>
      </c>
      <c r="AO94" s="852">
        <f>A94</f>
        <v/>
      </c>
      <c r="AP94" s="852">
        <f>B94</f>
        <v/>
      </c>
    </row>
    <row r="95" ht="12.6" customHeight="1">
      <c r="A95" s="830">
        <f>'Aanpassen Werkschema'!B125</f>
        <v/>
      </c>
      <c r="B95" s="569">
        <f>'Aanpassen Werkschema'!C125</f>
        <v/>
      </c>
      <c r="C95" s="569">
        <f>IF('Aanpassen Werkschema'!D125="geplande taak",1,IF('Aanpassen Werkschema'!D125="openingstijd",2,IF('Aanpassen Werkschema'!D125="sluitingstijd",3,IF('Aanpassen Werkschema'!D125="vaste tijd",4,""))))</f>
        <v/>
      </c>
      <c r="D95" s="849">
        <f>'Aanpassen Werkschema'!E125</f>
        <v/>
      </c>
      <c r="E95" s="569">
        <f>IF('Aanpassen Werkschema'!F125="v","x","")</f>
        <v/>
      </c>
      <c r="F95" s="569">
        <f>IF('Aanpassen Werkschema'!G125="v","x","")</f>
        <v/>
      </c>
      <c r="G95" s="569">
        <f>IF('Aanpassen Werkschema'!H125="v","x","")</f>
        <v/>
      </c>
      <c r="H95" s="569">
        <f>IF('Aanpassen Werkschema'!I125="v","x","")</f>
        <v/>
      </c>
      <c r="I95" s="569">
        <f>IF('Aanpassen Werkschema'!J125="v","x","")</f>
        <v/>
      </c>
      <c r="J95" s="569">
        <f>IF('Aanpassen Werkschema'!K125="v","x","")</f>
        <v/>
      </c>
      <c r="K95" s="569">
        <f>IF('Aanpassen Werkschema'!L125="v","x","")</f>
        <v/>
      </c>
      <c r="L95" s="571">
        <f>IF('Aanpassen Werkschema'!M125&gt;0,'Aanpassen Werkschema'!M125,"")</f>
        <v/>
      </c>
      <c r="M95" s="571">
        <f>IF('Aanpassen Werkschema'!N125&gt;0,'Aanpassen Werkschema'!N125,"")</f>
        <v/>
      </c>
      <c r="N95" s="571">
        <f>IF('Aanpassen Werkschema'!O125&gt;0,'Aanpassen Werkschema'!O125,"")</f>
        <v/>
      </c>
      <c r="O95" s="571">
        <f>IF('Aanpassen Werkschema'!P125&gt;0,'Aanpassen Werkschema'!P125,"")</f>
        <v/>
      </c>
      <c r="P95" s="571">
        <f>IF('Aanpassen Werkschema'!Q125&gt;0,'Aanpassen Werkschema'!Q125,"")</f>
        <v/>
      </c>
      <c r="Q95" s="571">
        <f>IF('Aanpassen Werkschema'!R125&gt;0,'Aanpassen Werkschema'!R125,"")</f>
        <v/>
      </c>
      <c r="R95" s="571">
        <f>IF('Aanpassen Werkschema'!S125&gt;0,'Aanpassen Werkschema'!S125,"")</f>
        <v/>
      </c>
      <c r="S95" s="569">
        <f>IF('Aanpassen Werkschema'!T125="x","",IF('Aanpassen Werkschema'!N125="v","x",IF(E95="","",IF(E95="x","x"))))</f>
        <v/>
      </c>
      <c r="T95" s="569">
        <f>IF('Aanpassen Werkschema'!U125="x","",IF('Aanpassen Werkschema'!O125="v","x",IF(F95="","",IF(F95="x","x"))))</f>
        <v/>
      </c>
      <c r="U95" s="569">
        <f>IF('Aanpassen Werkschema'!V125="x","",IF('Aanpassen Werkschema'!P125="v","x",IF(G95="","",IF(G95="x","x"))))</f>
        <v/>
      </c>
      <c r="V95" s="569">
        <f>IF('Aanpassen Werkschema'!W125="x","",IF('Aanpassen Werkschema'!Q125="v","x",IF(H95="","",IF(H95="x","x"))))</f>
        <v/>
      </c>
      <c r="W95" s="569">
        <f>IF('Aanpassen Werkschema'!X125="x","",IF('Aanpassen Werkschema'!R125="v","x",IF(I95="","",IF(I95="x","x"))))</f>
        <v/>
      </c>
      <c r="X95" s="569">
        <f>IF('Aanpassen Werkschema'!Y125="x","",IF('Aanpassen Werkschema'!S125="v","x",IF(J95="","",IF(J95="x","x"))))</f>
        <v/>
      </c>
      <c r="Y95" s="569">
        <f>IF('Aanpassen Werkschema'!Z125="x","",IF('Aanpassen Werkschema'!T125="v","x",IF(K95="","",IF(K95="x","x"))))</f>
        <v/>
      </c>
      <c r="Z95" s="850">
        <f>Z94+0.0000000001</f>
        <v/>
      </c>
      <c r="AA95" s="851">
        <f>IFERROR(IF(C95="",1.1,IF(S95="",1,IF($C95=1,VLOOKUP($B95,'Werkschema - Rekening'!$B$2:$C$46,2,FALSE),IF($C95=2,Instellingen!C$16,IF($C95=3,Instellingen!D$16,IF($C95=4,L95))))+$D95)+$Z95),1.1)</f>
        <v/>
      </c>
      <c r="AB95" s="852">
        <f>IF($B95="","",IFERROR(VLOOKUP($B95,'Werkschema - Rekening'!$B$2:$P$46,3,FALSE),""))</f>
        <v/>
      </c>
      <c r="AC95" s="851">
        <f>IFERROR(IF(C95="",1.1,IF(T95="",1,IF($C95=1,VLOOKUP($B95,'Werkschema - Rekening'!$B$2:$E$46,4,FALSE),IF($C95=2,Instellingen!E$16,IF($C95=3,Instellingen!F$16,IF($C95=4,M95))))+$D95)+$Z95),1.1)</f>
        <v/>
      </c>
      <c r="AD95" s="852">
        <f>IF($B95="","",IFERROR(VLOOKUP($B95,'Werkschema - Rekening'!$B$2:$P$46,5,FALSE),""))</f>
        <v/>
      </c>
      <c r="AE95" s="851">
        <f>IFERROR(IF(C95="",1.1,IF(U95="",1,IF($C95=1,VLOOKUP($B95,'Werkschema - Rekening'!$B$2:$G$46,6,FALSE),IF($C95=2,Instellingen!G$16,IF($C95=3,Instellingen!H$16,IF($C95=4,N95))))+$D95)+$Z95),1.1)</f>
        <v/>
      </c>
      <c r="AF95" s="852">
        <f>IF($B95="","",IFERROR(VLOOKUP($B95,'Werkschema - Rekening'!$B$2:$P$46,7,FALSE),""))</f>
        <v/>
      </c>
      <c r="AG95" s="851">
        <f>IFERROR(IF(C95="",1.1,IF(V95="",1,IF($C95=1,VLOOKUP($B95,'Werkschema - Rekening'!$B$2:$I$46,8,FALSE),IF($C95=2,Instellingen!I$16,IF($C95=3,Instellingen!J$16,IF($C95=4,O95))))+$D95)+$Z95),1.1)</f>
        <v/>
      </c>
      <c r="AH95" s="852">
        <f>IF($B95="","",IFERROR(VLOOKUP($B95,'Werkschema - Rekening'!$B$2:$P$46,9,FALSE),""))</f>
        <v/>
      </c>
      <c r="AI95" s="851">
        <f>IFERROR(IF(C95="",1.1,IF(W95="",1,IF($C95=1,VLOOKUP($B95,'Werkschema - Rekening'!$B$2:$K$46,10,FALSE),IF($C95=2,Instellingen!K$16,IF($C95=3,Instellingen!L$16,IF($C95=4,P95))))+$D95)+$Z95),1.1)</f>
        <v/>
      </c>
      <c r="AJ95" s="852">
        <f>IF($B95="","",IFERROR(VLOOKUP($B95,'Werkschema - Rekening'!$B$2:$P$46,11,FALSE),""))</f>
        <v/>
      </c>
      <c r="AK95" s="851">
        <f>IFERROR(IF(C95="",1.1,IF(X95="",1,IF($C95=1,VLOOKUP($B95,'Werkschema - Rekening'!$B$2:$M$46,12,FALSE),IF($C95=2,Instellingen!M$16,IF($C95=3,Instellingen!N$16,IF($C95=4,Q95))))+$D95)+$Z95),1.1)</f>
        <v/>
      </c>
      <c r="AL95" s="852">
        <f>IF($B95="","",IFERROR(VLOOKUP($B95,'Werkschema - Rekening'!$B$2:$P$46,13,FALSE),""))</f>
        <v/>
      </c>
      <c r="AM95" s="851">
        <f>IFERROR(IF(C95="",1.1,IF(Y95="",1,IF($C95=1,VLOOKUP($B95,'Werkschema - Rekening'!$B$2:$O$46,14,FALSE),IF($C95=2,Instellingen!O$16,IF($C95=3,Instellingen!P$16,IF($C95=4,R95))))+$D95)+$Z95),1.1)</f>
        <v/>
      </c>
      <c r="AN95" s="852">
        <f>IF($B95="","",IFERROR(VLOOKUP($B95,'Werkschema - Rekening'!$B$2:$P$46,15,FALSE),""))</f>
        <v/>
      </c>
      <c r="AO95" s="852">
        <f>A95</f>
        <v/>
      </c>
      <c r="AP95" s="852">
        <f>B95</f>
        <v/>
      </c>
    </row>
    <row r="96" ht="12.6" customHeight="1">
      <c r="A96" s="830">
        <f>'Aanpassen Werkschema'!B126</f>
        <v/>
      </c>
      <c r="B96" s="569">
        <f>'Aanpassen Werkschema'!C126</f>
        <v/>
      </c>
      <c r="C96" s="569">
        <f>IF('Aanpassen Werkschema'!D126="geplande taak",1,IF('Aanpassen Werkschema'!D126="openingstijd",2,IF('Aanpassen Werkschema'!D126="sluitingstijd",3,IF('Aanpassen Werkschema'!D126="vaste tijd",4,""))))</f>
        <v/>
      </c>
      <c r="D96" s="849">
        <f>'Aanpassen Werkschema'!E126</f>
        <v/>
      </c>
      <c r="E96" s="569">
        <f>IF('Aanpassen Werkschema'!F126="v","x","")</f>
        <v/>
      </c>
      <c r="F96" s="569">
        <f>IF('Aanpassen Werkschema'!G126="v","x","")</f>
        <v/>
      </c>
      <c r="G96" s="569">
        <f>IF('Aanpassen Werkschema'!H126="v","x","")</f>
        <v/>
      </c>
      <c r="H96" s="569">
        <f>IF('Aanpassen Werkschema'!I126="v","x","")</f>
        <v/>
      </c>
      <c r="I96" s="569">
        <f>IF('Aanpassen Werkschema'!J126="v","x","")</f>
        <v/>
      </c>
      <c r="J96" s="569">
        <f>IF('Aanpassen Werkschema'!K126="v","x","")</f>
        <v/>
      </c>
      <c r="K96" s="569">
        <f>IF('Aanpassen Werkschema'!L126="v","x","")</f>
        <v/>
      </c>
      <c r="L96" s="571">
        <f>IF('Aanpassen Werkschema'!M126&gt;0,'Aanpassen Werkschema'!M126,"")</f>
        <v/>
      </c>
      <c r="M96" s="571">
        <f>IF('Aanpassen Werkschema'!N126&gt;0,'Aanpassen Werkschema'!N126,"")</f>
        <v/>
      </c>
      <c r="N96" s="571">
        <f>IF('Aanpassen Werkschema'!O126&gt;0,'Aanpassen Werkschema'!O126,"")</f>
        <v/>
      </c>
      <c r="O96" s="571">
        <f>IF('Aanpassen Werkschema'!P126&gt;0,'Aanpassen Werkschema'!P126,"")</f>
        <v/>
      </c>
      <c r="P96" s="571">
        <f>IF('Aanpassen Werkschema'!Q126&gt;0,'Aanpassen Werkschema'!Q126,"")</f>
        <v/>
      </c>
      <c r="Q96" s="571">
        <f>IF('Aanpassen Werkschema'!R126&gt;0,'Aanpassen Werkschema'!R126,"")</f>
        <v/>
      </c>
      <c r="R96" s="571">
        <f>IF('Aanpassen Werkschema'!S126&gt;0,'Aanpassen Werkschema'!S126,"")</f>
        <v/>
      </c>
      <c r="S96" s="569">
        <f>IF('Aanpassen Werkschema'!T126="x","",IF('Aanpassen Werkschema'!N126="v","x",IF(E96="","",IF(E96="x","x"))))</f>
        <v/>
      </c>
      <c r="T96" s="569">
        <f>IF('Aanpassen Werkschema'!U126="x","",IF('Aanpassen Werkschema'!O126="v","x",IF(F96="","",IF(F96="x","x"))))</f>
        <v/>
      </c>
      <c r="U96" s="569">
        <f>IF('Aanpassen Werkschema'!V126="x","",IF('Aanpassen Werkschema'!P126="v","x",IF(G96="","",IF(G96="x","x"))))</f>
        <v/>
      </c>
      <c r="V96" s="569">
        <f>IF('Aanpassen Werkschema'!W126="x","",IF('Aanpassen Werkschema'!Q126="v","x",IF(H96="","",IF(H96="x","x"))))</f>
        <v/>
      </c>
      <c r="W96" s="569">
        <f>IF('Aanpassen Werkschema'!X126="x","",IF('Aanpassen Werkschema'!R126="v","x",IF(I96="","",IF(I96="x","x"))))</f>
        <v/>
      </c>
      <c r="X96" s="569">
        <f>IF('Aanpassen Werkschema'!Y126="x","",IF('Aanpassen Werkschema'!S126="v","x",IF(J96="","",IF(J96="x","x"))))</f>
        <v/>
      </c>
      <c r="Y96" s="569">
        <f>IF('Aanpassen Werkschema'!Z126="x","",IF('Aanpassen Werkschema'!T126="v","x",IF(K96="","",IF(K96="x","x"))))</f>
        <v/>
      </c>
      <c r="Z96" s="850">
        <f>Z95+0.0000000001</f>
        <v/>
      </c>
      <c r="AA96" s="851">
        <f>IFERROR(IF(C96="",1.1,IF(S96="",1,IF($C96=1,VLOOKUP($B96,'Werkschema - Rekening'!$B$2:$C$46,2,FALSE),IF($C96=2,Instellingen!C$16,IF($C96=3,Instellingen!D$16,IF($C96=4,L96))))+$D96)+$Z96),1.1)</f>
        <v/>
      </c>
      <c r="AB96" s="852">
        <f>IF($B96="","",IFERROR(VLOOKUP($B96,'Werkschema - Rekening'!$B$2:$P$46,3,FALSE),""))</f>
        <v/>
      </c>
      <c r="AC96" s="851">
        <f>IFERROR(IF(C96="",1.1,IF(T96="",1,IF($C96=1,VLOOKUP($B96,'Werkschema - Rekening'!$B$2:$E$46,4,FALSE),IF($C96=2,Instellingen!E$16,IF($C96=3,Instellingen!F$16,IF($C96=4,M96))))+$D96)+$Z96),1.1)</f>
        <v/>
      </c>
      <c r="AD96" s="852">
        <f>IF($B96="","",IFERROR(VLOOKUP($B96,'Werkschema - Rekening'!$B$2:$P$46,5,FALSE),""))</f>
        <v/>
      </c>
      <c r="AE96" s="851">
        <f>IFERROR(IF(C96="",1.1,IF(U96="",1,IF($C96=1,VLOOKUP($B96,'Werkschema - Rekening'!$B$2:$G$46,6,FALSE),IF($C96=2,Instellingen!G$16,IF($C96=3,Instellingen!H$16,IF($C96=4,N96))))+$D96)+$Z96),1.1)</f>
        <v/>
      </c>
      <c r="AF96" s="852">
        <f>IF($B96="","",IFERROR(VLOOKUP($B96,'Werkschema - Rekening'!$B$2:$P$46,7,FALSE),""))</f>
        <v/>
      </c>
      <c r="AG96" s="851">
        <f>IFERROR(IF(C96="",1.1,IF(V96="",1,IF($C96=1,VLOOKUP($B96,'Werkschema - Rekening'!$B$2:$I$46,8,FALSE),IF($C96=2,Instellingen!I$16,IF($C96=3,Instellingen!J$16,IF($C96=4,O96))))+$D96)+$Z96),1.1)</f>
        <v/>
      </c>
      <c r="AH96" s="852">
        <f>IF($B96="","",IFERROR(VLOOKUP($B96,'Werkschema - Rekening'!$B$2:$P$46,9,FALSE),""))</f>
        <v/>
      </c>
      <c r="AI96" s="851">
        <f>IFERROR(IF(C96="",1.1,IF(W96="",1,IF($C96=1,VLOOKUP($B96,'Werkschema - Rekening'!$B$2:$K$46,10,FALSE),IF($C96=2,Instellingen!K$16,IF($C96=3,Instellingen!L$16,IF($C96=4,P96))))+$D96)+$Z96),1.1)</f>
        <v/>
      </c>
      <c r="AJ96" s="852">
        <f>IF($B96="","",IFERROR(VLOOKUP($B96,'Werkschema - Rekening'!$B$2:$P$46,11,FALSE),""))</f>
        <v/>
      </c>
      <c r="AK96" s="851">
        <f>IFERROR(IF(C96="",1.1,IF(X96="",1,IF($C96=1,VLOOKUP($B96,'Werkschema - Rekening'!$B$2:$M$46,12,FALSE),IF($C96=2,Instellingen!M$16,IF($C96=3,Instellingen!N$16,IF($C96=4,Q96))))+$D96)+$Z96),1.1)</f>
        <v/>
      </c>
      <c r="AL96" s="852">
        <f>IF($B96="","",IFERROR(VLOOKUP($B96,'Werkschema - Rekening'!$B$2:$P$46,13,FALSE),""))</f>
        <v/>
      </c>
      <c r="AM96" s="851">
        <f>IFERROR(IF(C96="",1.1,IF(Y96="",1,IF($C96=1,VLOOKUP($B96,'Werkschema - Rekening'!$B$2:$O$46,14,FALSE),IF($C96=2,Instellingen!O$16,IF($C96=3,Instellingen!P$16,IF($C96=4,R96))))+$D96)+$Z96),1.1)</f>
        <v/>
      </c>
      <c r="AN96" s="852">
        <f>IF($B96="","",IFERROR(VLOOKUP($B96,'Werkschema - Rekening'!$B$2:$P$46,15,FALSE),""))</f>
        <v/>
      </c>
      <c r="AO96" s="852">
        <f>A96</f>
        <v/>
      </c>
      <c r="AP96" s="852">
        <f>B96</f>
        <v/>
      </c>
    </row>
    <row r="97" ht="12.6" customHeight="1">
      <c r="A97" s="830">
        <f>'Aanpassen Werkschema'!B127</f>
        <v/>
      </c>
      <c r="B97" s="569">
        <f>'Aanpassen Werkschema'!C127</f>
        <v/>
      </c>
      <c r="C97" s="569">
        <f>IF('Aanpassen Werkschema'!D127="geplande taak",1,IF('Aanpassen Werkschema'!D127="openingstijd",2,IF('Aanpassen Werkschema'!D127="sluitingstijd",3,IF('Aanpassen Werkschema'!D127="vaste tijd",4,""))))</f>
        <v/>
      </c>
      <c r="D97" s="849">
        <f>'Aanpassen Werkschema'!E127</f>
        <v/>
      </c>
      <c r="E97" s="569">
        <f>IF('Aanpassen Werkschema'!F127="v","x","")</f>
        <v/>
      </c>
      <c r="F97" s="569">
        <f>IF('Aanpassen Werkschema'!G127="v","x","")</f>
        <v/>
      </c>
      <c r="G97" s="569">
        <f>IF('Aanpassen Werkschema'!H127="v","x","")</f>
        <v/>
      </c>
      <c r="H97" s="569">
        <f>IF('Aanpassen Werkschema'!I127="v","x","")</f>
        <v/>
      </c>
      <c r="I97" s="569">
        <f>IF('Aanpassen Werkschema'!J127="v","x","")</f>
        <v/>
      </c>
      <c r="J97" s="569">
        <f>IF('Aanpassen Werkschema'!K127="v","x","")</f>
        <v/>
      </c>
      <c r="K97" s="569">
        <f>IF('Aanpassen Werkschema'!L127="v","x","")</f>
        <v/>
      </c>
      <c r="L97" s="571">
        <f>IF('Aanpassen Werkschema'!M127&gt;0,'Aanpassen Werkschema'!M127,"")</f>
        <v/>
      </c>
      <c r="M97" s="571">
        <f>IF('Aanpassen Werkschema'!N127&gt;0,'Aanpassen Werkschema'!N127,"")</f>
        <v/>
      </c>
      <c r="N97" s="571">
        <f>IF('Aanpassen Werkschema'!O127&gt;0,'Aanpassen Werkschema'!O127,"")</f>
        <v/>
      </c>
      <c r="O97" s="571">
        <f>IF('Aanpassen Werkschema'!P127&gt;0,'Aanpassen Werkschema'!P127,"")</f>
        <v/>
      </c>
      <c r="P97" s="571">
        <f>IF('Aanpassen Werkschema'!Q127&gt;0,'Aanpassen Werkschema'!Q127,"")</f>
        <v/>
      </c>
      <c r="Q97" s="571">
        <f>IF('Aanpassen Werkschema'!R127&gt;0,'Aanpassen Werkschema'!R127,"")</f>
        <v/>
      </c>
      <c r="R97" s="571">
        <f>IF('Aanpassen Werkschema'!S127&gt;0,'Aanpassen Werkschema'!S127,"")</f>
        <v/>
      </c>
      <c r="S97" s="569">
        <f>IF('Aanpassen Werkschema'!T127="x","",IF('Aanpassen Werkschema'!N127="v","x",IF(E97="","",IF(E97="x","x"))))</f>
        <v/>
      </c>
      <c r="T97" s="569">
        <f>IF('Aanpassen Werkschema'!U127="x","",IF('Aanpassen Werkschema'!O127="v","x",IF(F97="","",IF(F97="x","x"))))</f>
        <v/>
      </c>
      <c r="U97" s="569">
        <f>IF('Aanpassen Werkschema'!V127="x","",IF('Aanpassen Werkschema'!P127="v","x",IF(G97="","",IF(G97="x","x"))))</f>
        <v/>
      </c>
      <c r="V97" s="569">
        <f>IF('Aanpassen Werkschema'!W127="x","",IF('Aanpassen Werkschema'!Q127="v","x",IF(H97="","",IF(H97="x","x"))))</f>
        <v/>
      </c>
      <c r="W97" s="569">
        <f>IF('Aanpassen Werkschema'!X127="x","",IF('Aanpassen Werkschema'!R127="v","x",IF(I97="","",IF(I97="x","x"))))</f>
        <v/>
      </c>
      <c r="X97" s="569">
        <f>IF('Aanpassen Werkschema'!Y127="x","",IF('Aanpassen Werkschema'!S127="v","x",IF(J97="","",IF(J97="x","x"))))</f>
        <v/>
      </c>
      <c r="Y97" s="569">
        <f>IF('Aanpassen Werkschema'!Z127="x","",IF('Aanpassen Werkschema'!T127="v","x",IF(K97="","",IF(K97="x","x"))))</f>
        <v/>
      </c>
      <c r="Z97" s="850">
        <f>Z96+0.0000000001</f>
        <v/>
      </c>
      <c r="AA97" s="851">
        <f>IFERROR(IF(C97="",1.1,IF(S97="",1,IF($C97=1,VLOOKUP($B97,'Werkschema - Rekening'!$B$2:$C$46,2,FALSE),IF($C97=2,Instellingen!C$16,IF($C97=3,Instellingen!D$16,IF($C97=4,L97))))+$D97)+$Z97),1.1)</f>
        <v/>
      </c>
      <c r="AB97" s="852">
        <f>IF($B97="","",IFERROR(VLOOKUP($B97,'Werkschema - Rekening'!$B$2:$P$46,3,FALSE),""))</f>
        <v/>
      </c>
      <c r="AC97" s="851">
        <f>IFERROR(IF(C97="",1.1,IF(T97="",1,IF($C97=1,VLOOKUP($B97,'Werkschema - Rekening'!$B$2:$E$46,4,FALSE),IF($C97=2,Instellingen!E$16,IF($C97=3,Instellingen!F$16,IF($C97=4,M97))))+$D97)+$Z97),1.1)</f>
        <v/>
      </c>
      <c r="AD97" s="852">
        <f>IF($B97="","",IFERROR(VLOOKUP($B97,'Werkschema - Rekening'!$B$2:$P$46,5,FALSE),""))</f>
        <v/>
      </c>
      <c r="AE97" s="851">
        <f>IFERROR(IF(C97="",1.1,IF(U97="",1,IF($C97=1,VLOOKUP($B97,'Werkschema - Rekening'!$B$2:$G$46,6,FALSE),IF($C97=2,Instellingen!G$16,IF($C97=3,Instellingen!H$16,IF($C97=4,N97))))+$D97)+$Z97),1.1)</f>
        <v/>
      </c>
      <c r="AF97" s="852">
        <f>IF($B97="","",IFERROR(VLOOKUP($B97,'Werkschema - Rekening'!$B$2:$P$46,7,FALSE),""))</f>
        <v/>
      </c>
      <c r="AG97" s="851">
        <f>IFERROR(IF(C97="",1.1,IF(V97="",1,IF($C97=1,VLOOKUP($B97,'Werkschema - Rekening'!$B$2:$I$46,8,FALSE),IF($C97=2,Instellingen!I$16,IF($C97=3,Instellingen!J$16,IF($C97=4,O97))))+$D97)+$Z97),1.1)</f>
        <v/>
      </c>
      <c r="AH97" s="852">
        <f>IF($B97="","",IFERROR(VLOOKUP($B97,'Werkschema - Rekening'!$B$2:$P$46,9,FALSE),""))</f>
        <v/>
      </c>
      <c r="AI97" s="851">
        <f>IFERROR(IF(C97="",1.1,IF(W97="",1,IF($C97=1,VLOOKUP($B97,'Werkschema - Rekening'!$B$2:$K$46,10,FALSE),IF($C97=2,Instellingen!K$16,IF($C97=3,Instellingen!L$16,IF($C97=4,P97))))+$D97)+$Z97),1.1)</f>
        <v/>
      </c>
      <c r="AJ97" s="852">
        <f>IF($B97="","",IFERROR(VLOOKUP($B97,'Werkschema - Rekening'!$B$2:$P$46,11,FALSE),""))</f>
        <v/>
      </c>
      <c r="AK97" s="851">
        <f>IFERROR(IF(C97="",1.1,IF(X97="",1,IF($C97=1,VLOOKUP($B97,'Werkschema - Rekening'!$B$2:$M$46,12,FALSE),IF($C97=2,Instellingen!M$16,IF($C97=3,Instellingen!N$16,IF($C97=4,Q97))))+$D97)+$Z97),1.1)</f>
        <v/>
      </c>
      <c r="AL97" s="852">
        <f>IF($B97="","",IFERROR(VLOOKUP($B97,'Werkschema - Rekening'!$B$2:$P$46,13,FALSE),""))</f>
        <v/>
      </c>
      <c r="AM97" s="851">
        <f>IFERROR(IF(C97="",1.1,IF(Y97="",1,IF($C97=1,VLOOKUP($B97,'Werkschema - Rekening'!$B$2:$O$46,14,FALSE),IF($C97=2,Instellingen!O$16,IF($C97=3,Instellingen!P$16,IF($C97=4,R97))))+$D97)+$Z97),1.1)</f>
        <v/>
      </c>
      <c r="AN97" s="852">
        <f>IF($B97="","",IFERROR(VLOOKUP($B97,'Werkschema - Rekening'!$B$2:$P$46,15,FALSE),""))</f>
        <v/>
      </c>
      <c r="AO97" s="852">
        <f>A97</f>
        <v/>
      </c>
      <c r="AP97" s="852">
        <f>B97</f>
        <v/>
      </c>
    </row>
    <row r="98" ht="12.6" customHeight="1">
      <c r="A98" s="830">
        <f>'Aanpassen Werkschema'!B128</f>
        <v/>
      </c>
      <c r="B98" s="569">
        <f>'Aanpassen Werkschema'!C128</f>
        <v/>
      </c>
      <c r="C98" s="569">
        <f>IF('Aanpassen Werkschema'!D128="geplande taak",1,IF('Aanpassen Werkschema'!D128="openingstijd",2,IF('Aanpassen Werkschema'!D128="sluitingstijd",3,IF('Aanpassen Werkschema'!D128="vaste tijd",4,""))))</f>
        <v/>
      </c>
      <c r="D98" s="849">
        <f>'Aanpassen Werkschema'!E128</f>
        <v/>
      </c>
      <c r="E98" s="569">
        <f>IF('Aanpassen Werkschema'!F128="v","x","")</f>
        <v/>
      </c>
      <c r="F98" s="569">
        <f>IF('Aanpassen Werkschema'!G128="v","x","")</f>
        <v/>
      </c>
      <c r="G98" s="569">
        <f>IF('Aanpassen Werkschema'!H128="v","x","")</f>
        <v/>
      </c>
      <c r="H98" s="569">
        <f>IF('Aanpassen Werkschema'!I128="v","x","")</f>
        <v/>
      </c>
      <c r="I98" s="569">
        <f>IF('Aanpassen Werkschema'!J128="v","x","")</f>
        <v/>
      </c>
      <c r="J98" s="569">
        <f>IF('Aanpassen Werkschema'!K128="v","x","")</f>
        <v/>
      </c>
      <c r="K98" s="569">
        <f>IF('Aanpassen Werkschema'!L128="v","x","")</f>
        <v/>
      </c>
      <c r="L98" s="571">
        <f>IF('Aanpassen Werkschema'!M128&gt;0,'Aanpassen Werkschema'!M128,"")</f>
        <v/>
      </c>
      <c r="M98" s="571">
        <f>IF('Aanpassen Werkschema'!N128&gt;0,'Aanpassen Werkschema'!N128,"")</f>
        <v/>
      </c>
      <c r="N98" s="571">
        <f>IF('Aanpassen Werkschema'!O128&gt;0,'Aanpassen Werkschema'!O128,"")</f>
        <v/>
      </c>
      <c r="O98" s="571">
        <f>IF('Aanpassen Werkschema'!P128&gt;0,'Aanpassen Werkschema'!P128,"")</f>
        <v/>
      </c>
      <c r="P98" s="571">
        <f>IF('Aanpassen Werkschema'!Q128&gt;0,'Aanpassen Werkschema'!Q128,"")</f>
        <v/>
      </c>
      <c r="Q98" s="571">
        <f>IF('Aanpassen Werkschema'!R128&gt;0,'Aanpassen Werkschema'!R128,"")</f>
        <v/>
      </c>
      <c r="R98" s="571">
        <f>IF('Aanpassen Werkschema'!S128&gt;0,'Aanpassen Werkschema'!S128,"")</f>
        <v/>
      </c>
      <c r="S98" s="569">
        <f>IF('Aanpassen Werkschema'!T128="x","",IF('Aanpassen Werkschema'!N128="v","x",IF(E98="","",IF(E98="x","x"))))</f>
        <v/>
      </c>
      <c r="T98" s="569">
        <f>IF('Aanpassen Werkschema'!U128="x","",IF('Aanpassen Werkschema'!O128="v","x",IF(F98="","",IF(F98="x","x"))))</f>
        <v/>
      </c>
      <c r="U98" s="569">
        <f>IF('Aanpassen Werkschema'!V128="x","",IF('Aanpassen Werkschema'!P128="v","x",IF(G98="","",IF(G98="x","x"))))</f>
        <v/>
      </c>
      <c r="V98" s="569">
        <f>IF('Aanpassen Werkschema'!W128="x","",IF('Aanpassen Werkschema'!Q128="v","x",IF(H98="","",IF(H98="x","x"))))</f>
        <v/>
      </c>
      <c r="W98" s="569">
        <f>IF('Aanpassen Werkschema'!X128="x","",IF('Aanpassen Werkschema'!R128="v","x",IF(I98="","",IF(I98="x","x"))))</f>
        <v/>
      </c>
      <c r="X98" s="569">
        <f>IF('Aanpassen Werkschema'!Y128="x","",IF('Aanpassen Werkschema'!S128="v","x",IF(J98="","",IF(J98="x","x"))))</f>
        <v/>
      </c>
      <c r="Y98" s="569">
        <f>IF('Aanpassen Werkschema'!Z128="x","",IF('Aanpassen Werkschema'!T128="v","x",IF(K98="","",IF(K98="x","x"))))</f>
        <v/>
      </c>
      <c r="Z98" s="850">
        <f>Z97+0.0000000001</f>
        <v/>
      </c>
      <c r="AA98" s="851">
        <f>IFERROR(IF(C98="",1.1,IF(S98="",1,IF($C98=1,VLOOKUP($B98,'Werkschema - Rekening'!$B$2:$C$46,2,FALSE),IF($C98=2,Instellingen!C$16,IF($C98=3,Instellingen!D$16,IF($C98=4,L98))))+$D98)+$Z98),1.1)</f>
        <v/>
      </c>
      <c r="AB98" s="852">
        <f>IF($B98="","",IFERROR(VLOOKUP($B98,'Werkschema - Rekening'!$B$2:$P$46,3,FALSE),""))</f>
        <v/>
      </c>
      <c r="AC98" s="851">
        <f>IFERROR(IF(C98="",1.1,IF(T98="",1,IF($C98=1,VLOOKUP($B98,'Werkschema - Rekening'!$B$2:$E$46,4,FALSE),IF($C98=2,Instellingen!E$16,IF($C98=3,Instellingen!F$16,IF($C98=4,M98))))+$D98)+$Z98),1.1)</f>
        <v/>
      </c>
      <c r="AD98" s="852">
        <f>IF($B98="","",IFERROR(VLOOKUP($B98,'Werkschema - Rekening'!$B$2:$P$46,5,FALSE),""))</f>
        <v/>
      </c>
      <c r="AE98" s="851">
        <f>IFERROR(IF(C98="",1.1,IF(U98="",1,IF($C98=1,VLOOKUP($B98,'Werkschema - Rekening'!$B$2:$G$46,6,FALSE),IF($C98=2,Instellingen!G$16,IF($C98=3,Instellingen!H$16,IF($C98=4,N98))))+$D98)+$Z98),1.1)</f>
        <v/>
      </c>
      <c r="AF98" s="852">
        <f>IF($B98="","",IFERROR(VLOOKUP($B98,'Werkschema - Rekening'!$B$2:$P$46,7,FALSE),""))</f>
        <v/>
      </c>
      <c r="AG98" s="851">
        <f>IFERROR(IF(C98="",1.1,IF(V98="",1,IF($C98=1,VLOOKUP($B98,'Werkschema - Rekening'!$B$2:$I$46,8,FALSE),IF($C98=2,Instellingen!I$16,IF($C98=3,Instellingen!J$16,IF($C98=4,O98))))+$D98)+$Z98),1.1)</f>
        <v/>
      </c>
      <c r="AH98" s="852">
        <f>IF($B98="","",IFERROR(VLOOKUP($B98,'Werkschema - Rekening'!$B$2:$P$46,9,FALSE),""))</f>
        <v/>
      </c>
      <c r="AI98" s="851">
        <f>IFERROR(IF(C98="",1.1,IF(W98="",1,IF($C98=1,VLOOKUP($B98,'Werkschema - Rekening'!$B$2:$K$46,10,FALSE),IF($C98=2,Instellingen!K$16,IF($C98=3,Instellingen!L$16,IF($C98=4,P98))))+$D98)+$Z98),1.1)</f>
        <v/>
      </c>
      <c r="AJ98" s="852">
        <f>IF($B98="","",IFERROR(VLOOKUP($B98,'Werkschema - Rekening'!$B$2:$P$46,11,FALSE),""))</f>
        <v/>
      </c>
      <c r="AK98" s="851">
        <f>IFERROR(IF(C98="",1.1,IF(X98="",1,IF($C98=1,VLOOKUP($B98,'Werkschema - Rekening'!$B$2:$M$46,12,FALSE),IF($C98=2,Instellingen!M$16,IF($C98=3,Instellingen!N$16,IF($C98=4,Q98))))+$D98)+$Z98),1.1)</f>
        <v/>
      </c>
      <c r="AL98" s="852">
        <f>IF($B98="","",IFERROR(VLOOKUP($B98,'Werkschema - Rekening'!$B$2:$P$46,13,FALSE),""))</f>
        <v/>
      </c>
      <c r="AM98" s="851">
        <f>IFERROR(IF(C98="",1.1,IF(Y98="",1,IF($C98=1,VLOOKUP($B98,'Werkschema - Rekening'!$B$2:$O$46,14,FALSE),IF($C98=2,Instellingen!O$16,IF($C98=3,Instellingen!P$16,IF($C98=4,R98))))+$D98)+$Z98),1.1)</f>
        <v/>
      </c>
      <c r="AN98" s="852">
        <f>IF($B98="","",IFERROR(VLOOKUP($B98,'Werkschema - Rekening'!$B$2:$P$46,15,FALSE),""))</f>
        <v/>
      </c>
      <c r="AO98" s="852">
        <f>A98</f>
        <v/>
      </c>
      <c r="AP98" s="852">
        <f>B98</f>
        <v/>
      </c>
    </row>
    <row r="99" ht="12.6" customHeight="1">
      <c r="A99" s="830">
        <f>'Aanpassen Werkschema'!B129</f>
        <v/>
      </c>
      <c r="B99" s="569">
        <f>'Aanpassen Werkschema'!C129</f>
        <v/>
      </c>
      <c r="C99" s="569">
        <f>IF('Aanpassen Werkschema'!D129="geplande taak",1,IF('Aanpassen Werkschema'!D129="openingstijd",2,IF('Aanpassen Werkschema'!D129="sluitingstijd",3,IF('Aanpassen Werkschema'!D129="vaste tijd",4,""))))</f>
        <v/>
      </c>
      <c r="D99" s="849">
        <f>'Aanpassen Werkschema'!E129</f>
        <v/>
      </c>
      <c r="E99" s="569">
        <f>IF('Aanpassen Werkschema'!F129="v","x","")</f>
        <v/>
      </c>
      <c r="F99" s="569">
        <f>IF('Aanpassen Werkschema'!G129="v","x","")</f>
        <v/>
      </c>
      <c r="G99" s="569">
        <f>IF('Aanpassen Werkschema'!H129="v","x","")</f>
        <v/>
      </c>
      <c r="H99" s="569">
        <f>IF('Aanpassen Werkschema'!I129="v","x","")</f>
        <v/>
      </c>
      <c r="I99" s="569">
        <f>IF('Aanpassen Werkschema'!J129="v","x","")</f>
        <v/>
      </c>
      <c r="J99" s="569">
        <f>IF('Aanpassen Werkschema'!K129="v","x","")</f>
        <v/>
      </c>
      <c r="K99" s="569">
        <f>IF('Aanpassen Werkschema'!L129="v","x","")</f>
        <v/>
      </c>
      <c r="L99" s="571">
        <f>IF('Aanpassen Werkschema'!M129&gt;0,'Aanpassen Werkschema'!M129,"")</f>
        <v/>
      </c>
      <c r="M99" s="571">
        <f>IF('Aanpassen Werkschema'!N129&gt;0,'Aanpassen Werkschema'!N129,"")</f>
        <v/>
      </c>
      <c r="N99" s="571">
        <f>IF('Aanpassen Werkschema'!O129&gt;0,'Aanpassen Werkschema'!O129,"")</f>
        <v/>
      </c>
      <c r="O99" s="571">
        <f>IF('Aanpassen Werkschema'!P129&gt;0,'Aanpassen Werkschema'!P129,"")</f>
        <v/>
      </c>
      <c r="P99" s="571">
        <f>IF('Aanpassen Werkschema'!Q129&gt;0,'Aanpassen Werkschema'!Q129,"")</f>
        <v/>
      </c>
      <c r="Q99" s="571">
        <f>IF('Aanpassen Werkschema'!R129&gt;0,'Aanpassen Werkschema'!R129,"")</f>
        <v/>
      </c>
      <c r="R99" s="571">
        <f>IF('Aanpassen Werkschema'!S129&gt;0,'Aanpassen Werkschema'!S129,"")</f>
        <v/>
      </c>
      <c r="S99" s="569">
        <f>IF('Aanpassen Werkschema'!T129="x","",IF('Aanpassen Werkschema'!N129="v","x",IF(E99="","",IF(E99="x","x"))))</f>
        <v/>
      </c>
      <c r="T99" s="569">
        <f>IF('Aanpassen Werkschema'!U129="x","",IF('Aanpassen Werkschema'!O129="v","x",IF(F99="","",IF(F99="x","x"))))</f>
        <v/>
      </c>
      <c r="U99" s="569">
        <f>IF('Aanpassen Werkschema'!V129="x","",IF('Aanpassen Werkschema'!P129="v","x",IF(G99="","",IF(G99="x","x"))))</f>
        <v/>
      </c>
      <c r="V99" s="569">
        <f>IF('Aanpassen Werkschema'!W129="x","",IF('Aanpassen Werkschema'!Q129="v","x",IF(H99="","",IF(H99="x","x"))))</f>
        <v/>
      </c>
      <c r="W99" s="569">
        <f>IF('Aanpassen Werkschema'!X129="x","",IF('Aanpassen Werkschema'!R129="v","x",IF(I99="","",IF(I99="x","x"))))</f>
        <v/>
      </c>
      <c r="X99" s="569">
        <f>IF('Aanpassen Werkschema'!Y129="x","",IF('Aanpassen Werkschema'!S129="v","x",IF(J99="","",IF(J99="x","x"))))</f>
        <v/>
      </c>
      <c r="Y99" s="569">
        <f>IF('Aanpassen Werkschema'!Z129="x","",IF('Aanpassen Werkschema'!T129="v","x",IF(K99="","",IF(K99="x","x"))))</f>
        <v/>
      </c>
      <c r="Z99" s="850">
        <f>Z98+0.0000000001</f>
        <v/>
      </c>
      <c r="AA99" s="851">
        <f>IFERROR(IF(C99="",1.1,IF(S99="",1,IF($C99=1,VLOOKUP($B99,'Werkschema - Rekening'!$B$2:$C$46,2,FALSE),IF($C99=2,Instellingen!C$16,IF($C99=3,Instellingen!D$16,IF($C99=4,L99))))+$D99)+$Z99),1.1)</f>
        <v/>
      </c>
      <c r="AB99" s="852">
        <f>IF($B99="","",IFERROR(VLOOKUP($B99,'Werkschema - Rekening'!$B$2:$P$46,3,FALSE),""))</f>
        <v/>
      </c>
      <c r="AC99" s="851">
        <f>IFERROR(IF(C99="",1.1,IF(T99="",1,IF($C99=1,VLOOKUP($B99,'Werkschema - Rekening'!$B$2:$E$46,4,FALSE),IF($C99=2,Instellingen!E$16,IF($C99=3,Instellingen!F$16,IF($C99=4,M99))))+$D99)+$Z99),1.1)</f>
        <v/>
      </c>
      <c r="AD99" s="852">
        <f>IF($B99="","",IFERROR(VLOOKUP($B99,'Werkschema - Rekening'!$B$2:$P$46,5,FALSE),""))</f>
        <v/>
      </c>
      <c r="AE99" s="851">
        <f>IFERROR(IF(C99="",1.1,IF(U99="",1,IF($C99=1,VLOOKUP($B99,'Werkschema - Rekening'!$B$2:$G$46,6,FALSE),IF($C99=2,Instellingen!G$16,IF($C99=3,Instellingen!H$16,IF($C99=4,N99))))+$D99)+$Z99),1.1)</f>
        <v/>
      </c>
      <c r="AF99" s="852">
        <f>IF($B99="","",IFERROR(VLOOKUP($B99,'Werkschema - Rekening'!$B$2:$P$46,7,FALSE),""))</f>
        <v/>
      </c>
      <c r="AG99" s="851">
        <f>IFERROR(IF(C99="",1.1,IF(V99="",1,IF($C99=1,VLOOKUP($B99,'Werkschema - Rekening'!$B$2:$I$46,8,FALSE),IF($C99=2,Instellingen!I$16,IF($C99=3,Instellingen!J$16,IF($C99=4,O99))))+$D99)+$Z99),1.1)</f>
        <v/>
      </c>
      <c r="AH99" s="852">
        <f>IF($B99="","",IFERROR(VLOOKUP($B99,'Werkschema - Rekening'!$B$2:$P$46,9,FALSE),""))</f>
        <v/>
      </c>
      <c r="AI99" s="851">
        <f>IFERROR(IF(C99="",1.1,IF(W99="",1,IF($C99=1,VLOOKUP($B99,'Werkschema - Rekening'!$B$2:$K$46,10,FALSE),IF($C99=2,Instellingen!K$16,IF($C99=3,Instellingen!L$16,IF($C99=4,P99))))+$D99)+$Z99),1.1)</f>
        <v/>
      </c>
      <c r="AJ99" s="852">
        <f>IF($B99="","",IFERROR(VLOOKUP($B99,'Werkschema - Rekening'!$B$2:$P$46,11,FALSE),""))</f>
        <v/>
      </c>
      <c r="AK99" s="851">
        <f>IFERROR(IF(C99="",1.1,IF(X99="",1,IF($C99=1,VLOOKUP($B99,'Werkschema - Rekening'!$B$2:$M$46,12,FALSE),IF($C99=2,Instellingen!M$16,IF($C99=3,Instellingen!N$16,IF($C99=4,Q99))))+$D99)+$Z99),1.1)</f>
        <v/>
      </c>
      <c r="AL99" s="852">
        <f>IF($B99="","",IFERROR(VLOOKUP($B99,'Werkschema - Rekening'!$B$2:$P$46,13,FALSE),""))</f>
        <v/>
      </c>
      <c r="AM99" s="851">
        <f>IFERROR(IF(C99="",1.1,IF(Y99="",1,IF($C99=1,VLOOKUP($B99,'Werkschema - Rekening'!$B$2:$O$46,14,FALSE),IF($C99=2,Instellingen!O$16,IF($C99=3,Instellingen!P$16,IF($C99=4,R99))))+$D99)+$Z99),1.1)</f>
        <v/>
      </c>
      <c r="AN99" s="852">
        <f>IF($B99="","",IFERROR(VLOOKUP($B99,'Werkschema - Rekening'!$B$2:$P$46,15,FALSE),""))</f>
        <v/>
      </c>
      <c r="AO99" s="852">
        <f>A99</f>
        <v/>
      </c>
      <c r="AP99" s="852">
        <f>B99</f>
        <v/>
      </c>
    </row>
    <row r="100" ht="12.6" customHeight="1">
      <c r="A100" s="830">
        <f>'Aanpassen Werkschema'!B130</f>
        <v/>
      </c>
      <c r="B100" s="569">
        <f>'Aanpassen Werkschema'!C130</f>
        <v/>
      </c>
      <c r="C100" s="569">
        <f>IF('Aanpassen Werkschema'!D130="geplande taak",1,IF('Aanpassen Werkschema'!D130="openingstijd",2,IF('Aanpassen Werkschema'!D130="sluitingstijd",3,IF('Aanpassen Werkschema'!D130="vaste tijd",4,""))))</f>
        <v/>
      </c>
      <c r="D100" s="849">
        <f>'Aanpassen Werkschema'!E130</f>
        <v/>
      </c>
      <c r="E100" s="569">
        <f>IF('Aanpassen Werkschema'!F130="v","x","")</f>
        <v/>
      </c>
      <c r="F100" s="569">
        <f>IF('Aanpassen Werkschema'!G130="v","x","")</f>
        <v/>
      </c>
      <c r="G100" s="569">
        <f>IF('Aanpassen Werkschema'!H130="v","x","")</f>
        <v/>
      </c>
      <c r="H100" s="569">
        <f>IF('Aanpassen Werkschema'!I130="v","x","")</f>
        <v/>
      </c>
      <c r="I100" s="569">
        <f>IF('Aanpassen Werkschema'!J130="v","x","")</f>
        <v/>
      </c>
      <c r="J100" s="569">
        <f>IF('Aanpassen Werkschema'!K130="v","x","")</f>
        <v/>
      </c>
      <c r="K100" s="569">
        <f>IF('Aanpassen Werkschema'!L130="v","x","")</f>
        <v/>
      </c>
      <c r="L100" s="571">
        <f>IF('Aanpassen Werkschema'!M130&gt;0,'Aanpassen Werkschema'!M130,"")</f>
        <v/>
      </c>
      <c r="M100" s="571">
        <f>IF('Aanpassen Werkschema'!N130&gt;0,'Aanpassen Werkschema'!N130,"")</f>
        <v/>
      </c>
      <c r="N100" s="571">
        <f>IF('Aanpassen Werkschema'!O130&gt;0,'Aanpassen Werkschema'!O130,"")</f>
        <v/>
      </c>
      <c r="O100" s="571">
        <f>IF('Aanpassen Werkschema'!P130&gt;0,'Aanpassen Werkschema'!P130,"")</f>
        <v/>
      </c>
      <c r="P100" s="571">
        <f>IF('Aanpassen Werkschema'!Q130&gt;0,'Aanpassen Werkschema'!Q130,"")</f>
        <v/>
      </c>
      <c r="Q100" s="571">
        <f>IF('Aanpassen Werkschema'!R130&gt;0,'Aanpassen Werkschema'!R130,"")</f>
        <v/>
      </c>
      <c r="R100" s="571">
        <f>IF('Aanpassen Werkschema'!S130&gt;0,'Aanpassen Werkschema'!S130,"")</f>
        <v/>
      </c>
      <c r="S100" s="569">
        <f>IF('Aanpassen Werkschema'!T130="x","",IF('Aanpassen Werkschema'!N130="v","x",IF(E100="","",IF(E100="x","x"))))</f>
        <v/>
      </c>
      <c r="T100" s="569">
        <f>IF('Aanpassen Werkschema'!U130="x","",IF('Aanpassen Werkschema'!O130="v","x",IF(F100="","",IF(F100="x","x"))))</f>
        <v/>
      </c>
      <c r="U100" s="569">
        <f>IF('Aanpassen Werkschema'!V130="x","",IF('Aanpassen Werkschema'!P130="v","x",IF(G100="","",IF(G100="x","x"))))</f>
        <v/>
      </c>
      <c r="V100" s="569">
        <f>IF('Aanpassen Werkschema'!W130="x","",IF('Aanpassen Werkschema'!Q130="v","x",IF(H100="","",IF(H100="x","x"))))</f>
        <v/>
      </c>
      <c r="W100" s="569">
        <f>IF('Aanpassen Werkschema'!X130="x","",IF('Aanpassen Werkschema'!R130="v","x",IF(I100="","",IF(I100="x","x"))))</f>
        <v/>
      </c>
      <c r="X100" s="569">
        <f>IF('Aanpassen Werkschema'!Y130="x","",IF('Aanpassen Werkschema'!S130="v","x",IF(J100="","",IF(J100="x","x"))))</f>
        <v/>
      </c>
      <c r="Y100" s="569">
        <f>IF('Aanpassen Werkschema'!Z130="x","",IF('Aanpassen Werkschema'!T130="v","x",IF(K100="","",IF(K100="x","x"))))</f>
        <v/>
      </c>
      <c r="Z100" s="850">
        <f>Z99+0.0000000001</f>
        <v/>
      </c>
      <c r="AA100" s="851">
        <f>IFERROR(IF(C100="",1.1,IF(S100="",1,IF($C100=1,VLOOKUP($B100,'Werkschema - Rekening'!$B$2:$C$46,2,FALSE),IF($C100=2,Instellingen!C$16,IF($C100=3,Instellingen!D$16,IF($C100=4,L100))))+$D100)+$Z100),1.1)</f>
        <v/>
      </c>
      <c r="AB100" s="852">
        <f>IF($B100="","",IFERROR(VLOOKUP($B100,'Werkschema - Rekening'!$B$2:$P$46,3,FALSE),""))</f>
        <v/>
      </c>
      <c r="AC100" s="851">
        <f>IFERROR(IF(C100="",1.1,IF(T100="",1,IF($C100=1,VLOOKUP($B100,'Werkschema - Rekening'!$B$2:$E$46,4,FALSE),IF($C100=2,Instellingen!E$16,IF($C100=3,Instellingen!F$16,IF($C100=4,M100))))+$D100)+$Z100),1.1)</f>
        <v/>
      </c>
      <c r="AD100" s="852">
        <f>IF($B100="","",IFERROR(VLOOKUP($B100,'Werkschema - Rekening'!$B$2:$P$46,5,FALSE),""))</f>
        <v/>
      </c>
      <c r="AE100" s="851">
        <f>IFERROR(IF(C100="",1.1,IF(U100="",1,IF($C100=1,VLOOKUP($B100,'Werkschema - Rekening'!$B$2:$G$46,6,FALSE),IF($C100=2,Instellingen!G$16,IF($C100=3,Instellingen!H$16,IF($C100=4,N100))))+$D100)+$Z100),1.1)</f>
        <v/>
      </c>
      <c r="AF100" s="852">
        <f>IF($B100="","",IFERROR(VLOOKUP($B100,'Werkschema - Rekening'!$B$2:$P$46,7,FALSE),""))</f>
        <v/>
      </c>
      <c r="AG100" s="851">
        <f>IFERROR(IF(C100="",1.1,IF(V100="",1,IF($C100=1,VLOOKUP($B100,'Werkschema - Rekening'!$B$2:$I$46,8,FALSE),IF($C100=2,Instellingen!I$16,IF($C100=3,Instellingen!J$16,IF($C100=4,O100))))+$D100)+$Z100),1.1)</f>
        <v/>
      </c>
      <c r="AH100" s="852">
        <f>IF($B100="","",IFERROR(VLOOKUP($B100,'Werkschema - Rekening'!$B$2:$P$46,9,FALSE),""))</f>
        <v/>
      </c>
      <c r="AI100" s="851">
        <f>IFERROR(IF(C100="",1.1,IF(W100="",1,IF($C100=1,VLOOKUP($B100,'Werkschema - Rekening'!$B$2:$K$46,10,FALSE),IF($C100=2,Instellingen!K$16,IF($C100=3,Instellingen!L$16,IF($C100=4,P100))))+$D100)+$Z100),1.1)</f>
        <v/>
      </c>
      <c r="AJ100" s="852">
        <f>IF($B100="","",IFERROR(VLOOKUP($B100,'Werkschema - Rekening'!$B$2:$P$46,11,FALSE),""))</f>
        <v/>
      </c>
      <c r="AK100" s="851">
        <f>IFERROR(IF(C100="",1.1,IF(X100="",1,IF($C100=1,VLOOKUP($B100,'Werkschema - Rekening'!$B$2:$M$46,12,FALSE),IF($C100=2,Instellingen!M$16,IF($C100=3,Instellingen!N$16,IF($C100=4,Q100))))+$D100)+$Z100),1.1)</f>
        <v/>
      </c>
      <c r="AL100" s="852">
        <f>IF($B100="","",IFERROR(VLOOKUP($B100,'Werkschema - Rekening'!$B$2:$P$46,13,FALSE),""))</f>
        <v/>
      </c>
      <c r="AM100" s="851">
        <f>IFERROR(IF(C100="",1.1,IF(Y100="",1,IF($C100=1,VLOOKUP($B100,'Werkschema - Rekening'!$B$2:$O$46,14,FALSE),IF($C100=2,Instellingen!O$16,IF($C100=3,Instellingen!P$16,IF($C100=4,R100))))+$D100)+$Z100),1.1)</f>
        <v/>
      </c>
      <c r="AN100" s="852">
        <f>IF($B100="","",IFERROR(VLOOKUP($B100,'Werkschema - Rekening'!$B$2:$P$46,15,FALSE),""))</f>
        <v/>
      </c>
      <c r="AO100" s="852">
        <f>A100</f>
        <v/>
      </c>
      <c r="AP100" s="852">
        <f>B100</f>
        <v/>
      </c>
    </row>
    <row r="101" ht="12.6" customHeight="1">
      <c r="A101" s="830">
        <f>'Aanpassen Werkschema'!B131</f>
        <v/>
      </c>
      <c r="B101" s="569">
        <f>'Aanpassen Werkschema'!C131</f>
        <v/>
      </c>
      <c r="C101" s="569">
        <f>IF('Aanpassen Werkschema'!D131="geplande taak",1,IF('Aanpassen Werkschema'!D131="openingstijd",2,IF('Aanpassen Werkschema'!D131="sluitingstijd",3,IF('Aanpassen Werkschema'!D131="vaste tijd",4,""))))</f>
        <v/>
      </c>
      <c r="D101" s="849">
        <f>'Aanpassen Werkschema'!E131</f>
        <v/>
      </c>
      <c r="E101" s="569">
        <f>IF('Aanpassen Werkschema'!F131="v","x","")</f>
        <v/>
      </c>
      <c r="F101" s="569">
        <f>IF('Aanpassen Werkschema'!G131="v","x","")</f>
        <v/>
      </c>
      <c r="G101" s="569">
        <f>IF('Aanpassen Werkschema'!H131="v","x","")</f>
        <v/>
      </c>
      <c r="H101" s="569">
        <f>IF('Aanpassen Werkschema'!I131="v","x","")</f>
        <v/>
      </c>
      <c r="I101" s="569">
        <f>IF('Aanpassen Werkschema'!J131="v","x","")</f>
        <v/>
      </c>
      <c r="J101" s="569">
        <f>IF('Aanpassen Werkschema'!K131="v","x","")</f>
        <v/>
      </c>
      <c r="K101" s="569">
        <f>IF('Aanpassen Werkschema'!L131="v","x","")</f>
        <v/>
      </c>
      <c r="L101" s="571">
        <f>IF('Aanpassen Werkschema'!M131&gt;0,'Aanpassen Werkschema'!M131,"")</f>
        <v/>
      </c>
      <c r="M101" s="571">
        <f>IF('Aanpassen Werkschema'!N131&gt;0,'Aanpassen Werkschema'!N131,"")</f>
        <v/>
      </c>
      <c r="N101" s="571">
        <f>IF('Aanpassen Werkschema'!O131&gt;0,'Aanpassen Werkschema'!O131,"")</f>
        <v/>
      </c>
      <c r="O101" s="571">
        <f>IF('Aanpassen Werkschema'!P131&gt;0,'Aanpassen Werkschema'!P131,"")</f>
        <v/>
      </c>
      <c r="P101" s="571">
        <f>IF('Aanpassen Werkschema'!Q131&gt;0,'Aanpassen Werkschema'!Q131,"")</f>
        <v/>
      </c>
      <c r="Q101" s="571">
        <f>IF('Aanpassen Werkschema'!R131&gt;0,'Aanpassen Werkschema'!R131,"")</f>
        <v/>
      </c>
      <c r="R101" s="571">
        <f>IF('Aanpassen Werkschema'!S131&gt;0,'Aanpassen Werkschema'!S131,"")</f>
        <v/>
      </c>
      <c r="S101" s="569">
        <f>IF('Aanpassen Werkschema'!T131="x","",IF('Aanpassen Werkschema'!N131="v","x",IF(E101="","",IF(E101="x","x"))))</f>
        <v/>
      </c>
      <c r="T101" s="569">
        <f>IF('Aanpassen Werkschema'!U131="x","",IF('Aanpassen Werkschema'!O131="v","x",IF(F101="","",IF(F101="x","x"))))</f>
        <v/>
      </c>
      <c r="U101" s="569">
        <f>IF('Aanpassen Werkschema'!V131="x","",IF('Aanpassen Werkschema'!P131="v","x",IF(G101="","",IF(G101="x","x"))))</f>
        <v/>
      </c>
      <c r="V101" s="569">
        <f>IF('Aanpassen Werkschema'!W131="x","",IF('Aanpassen Werkschema'!Q131="v","x",IF(H101="","",IF(H101="x","x"))))</f>
        <v/>
      </c>
      <c r="W101" s="569">
        <f>IF('Aanpassen Werkschema'!X131="x","",IF('Aanpassen Werkschema'!R131="v","x",IF(I101="","",IF(I101="x","x"))))</f>
        <v/>
      </c>
      <c r="X101" s="569">
        <f>IF('Aanpassen Werkschema'!Y131="x","",IF('Aanpassen Werkschema'!S131="v","x",IF(J101="","",IF(J101="x","x"))))</f>
        <v/>
      </c>
      <c r="Y101" s="569">
        <f>IF('Aanpassen Werkschema'!Z131="x","",IF('Aanpassen Werkschema'!T131="v","x",IF(K101="","",IF(K101="x","x"))))</f>
        <v/>
      </c>
      <c r="Z101" s="850">
        <f>Z100+0.0000000001</f>
        <v/>
      </c>
      <c r="AA101" s="851">
        <f>IFERROR(IF(C101="",1.1,IF(S101="",1,IF($C101=1,VLOOKUP($B101,'Werkschema - Rekening'!$B$2:$C$46,2,FALSE),IF($C101=2,Instellingen!C$16,IF($C101=3,Instellingen!D$16,IF($C101=4,L101))))+$D101)+$Z101),1.1)</f>
        <v/>
      </c>
      <c r="AB101" s="852">
        <f>IF($B101="","",IFERROR(VLOOKUP($B101,'Werkschema - Rekening'!$B$2:$P$46,3,FALSE),""))</f>
        <v/>
      </c>
      <c r="AC101" s="851">
        <f>IFERROR(IF(C101="",1.1,IF(T101="",1,IF($C101=1,VLOOKUP($B101,'Werkschema - Rekening'!$B$2:$E$46,4,FALSE),IF($C101=2,Instellingen!E$16,IF($C101=3,Instellingen!F$16,IF($C101=4,M101))))+$D101)+$Z101),1.1)</f>
        <v/>
      </c>
      <c r="AD101" s="852">
        <f>IF($B101="","",IFERROR(VLOOKUP($B101,'Werkschema - Rekening'!$B$2:$P$46,5,FALSE),""))</f>
        <v/>
      </c>
      <c r="AE101" s="851">
        <f>IFERROR(IF(C101="",1.1,IF(U101="",1,IF($C101=1,VLOOKUP($B101,'Werkschema - Rekening'!$B$2:$G$46,6,FALSE),IF($C101=2,Instellingen!G$16,IF($C101=3,Instellingen!H$16,IF($C101=4,N101))))+$D101)+$Z101),1.1)</f>
        <v/>
      </c>
      <c r="AF101" s="852">
        <f>IF($B101="","",IFERROR(VLOOKUP($B101,'Werkschema - Rekening'!$B$2:$P$46,7,FALSE),""))</f>
        <v/>
      </c>
      <c r="AG101" s="851">
        <f>IFERROR(IF(C101="",1.1,IF(V101="",1,IF($C101=1,VLOOKUP($B101,'Werkschema - Rekening'!$B$2:$I$46,8,FALSE),IF($C101=2,Instellingen!I$16,IF($C101=3,Instellingen!J$16,IF($C101=4,O101))))+$D101)+$Z101),1.1)</f>
        <v/>
      </c>
      <c r="AH101" s="852">
        <f>IF($B101="","",IFERROR(VLOOKUP($B101,'Werkschema - Rekening'!$B$2:$P$46,9,FALSE),""))</f>
        <v/>
      </c>
      <c r="AI101" s="851">
        <f>IFERROR(IF(C101="",1.1,IF(W101="",1,IF($C101=1,VLOOKUP($B101,'Werkschema - Rekening'!$B$2:$K$46,10,FALSE),IF($C101=2,Instellingen!K$16,IF($C101=3,Instellingen!L$16,IF($C101=4,P101))))+$D101)+$Z101),1.1)</f>
        <v/>
      </c>
      <c r="AJ101" s="852">
        <f>IF($B101="","",IFERROR(VLOOKUP($B101,'Werkschema - Rekening'!$B$2:$P$46,11,FALSE),""))</f>
        <v/>
      </c>
      <c r="AK101" s="851">
        <f>IFERROR(IF(C101="",1.1,IF(X101="",1,IF($C101=1,VLOOKUP($B101,'Werkschema - Rekening'!$B$2:$M$46,12,FALSE),IF($C101=2,Instellingen!M$16,IF($C101=3,Instellingen!N$16,IF($C101=4,Q101))))+$D101)+$Z101),1.1)</f>
        <v/>
      </c>
      <c r="AL101" s="852">
        <f>IF($B101="","",IFERROR(VLOOKUP($B101,'Werkschema - Rekening'!$B$2:$P$46,13,FALSE),""))</f>
        <v/>
      </c>
      <c r="AM101" s="851">
        <f>IFERROR(IF(C101="",1.1,IF(Y101="",1,IF($C101=1,VLOOKUP($B101,'Werkschema - Rekening'!$B$2:$O$46,14,FALSE),IF($C101=2,Instellingen!O$16,IF($C101=3,Instellingen!P$16,IF($C101=4,R101))))+$D101)+$Z101),1.1)</f>
        <v/>
      </c>
      <c r="AN101" s="852">
        <f>IF($B101="","",IFERROR(VLOOKUP($B101,'Werkschema - Rekening'!$B$2:$P$46,15,FALSE),""))</f>
        <v/>
      </c>
      <c r="AO101" s="852">
        <f>A101</f>
        <v/>
      </c>
      <c r="AP101" s="852">
        <f>B101</f>
        <v/>
      </c>
    </row>
    <row r="102" ht="12.6" customHeight="1">
      <c r="A102" s="830">
        <f>'Aanpassen Werkschema'!B132</f>
        <v/>
      </c>
      <c r="B102" s="569">
        <f>'Aanpassen Werkschema'!C132</f>
        <v/>
      </c>
      <c r="C102" s="569">
        <f>IF('Aanpassen Werkschema'!D132="geplande taak",1,IF('Aanpassen Werkschema'!D132="openingstijd",2,IF('Aanpassen Werkschema'!D132="sluitingstijd",3,IF('Aanpassen Werkschema'!D132="vaste tijd",4,""))))</f>
        <v/>
      </c>
      <c r="D102" s="849">
        <f>'Aanpassen Werkschema'!E132</f>
        <v/>
      </c>
      <c r="E102" s="569">
        <f>IF('Aanpassen Werkschema'!F132="v","x","")</f>
        <v/>
      </c>
      <c r="F102" s="569">
        <f>IF('Aanpassen Werkschema'!G132="v","x","")</f>
        <v/>
      </c>
      <c r="G102" s="569">
        <f>IF('Aanpassen Werkschema'!H132="v","x","")</f>
        <v/>
      </c>
      <c r="H102" s="569">
        <f>IF('Aanpassen Werkschema'!I132="v","x","")</f>
        <v/>
      </c>
      <c r="I102" s="569">
        <f>IF('Aanpassen Werkschema'!J132="v","x","")</f>
        <v/>
      </c>
      <c r="J102" s="569">
        <f>IF('Aanpassen Werkschema'!K132="v","x","")</f>
        <v/>
      </c>
      <c r="K102" s="569">
        <f>IF('Aanpassen Werkschema'!L132="v","x","")</f>
        <v/>
      </c>
      <c r="L102" s="571">
        <f>IF('Aanpassen Werkschema'!M132&gt;0,'Aanpassen Werkschema'!M132,"")</f>
        <v/>
      </c>
      <c r="M102" s="571">
        <f>IF('Aanpassen Werkschema'!N132&gt;0,'Aanpassen Werkschema'!N132,"")</f>
        <v/>
      </c>
      <c r="N102" s="571">
        <f>IF('Aanpassen Werkschema'!O132&gt;0,'Aanpassen Werkschema'!O132,"")</f>
        <v/>
      </c>
      <c r="O102" s="571">
        <f>IF('Aanpassen Werkschema'!P132&gt;0,'Aanpassen Werkschema'!P132,"")</f>
        <v/>
      </c>
      <c r="P102" s="571">
        <f>IF('Aanpassen Werkschema'!Q132&gt;0,'Aanpassen Werkschema'!Q132,"")</f>
        <v/>
      </c>
      <c r="Q102" s="571">
        <f>IF('Aanpassen Werkschema'!R132&gt;0,'Aanpassen Werkschema'!R132,"")</f>
        <v/>
      </c>
      <c r="R102" s="571">
        <f>IF('Aanpassen Werkschema'!S132&gt;0,'Aanpassen Werkschema'!S132,"")</f>
        <v/>
      </c>
      <c r="S102" s="569">
        <f>IF('Aanpassen Werkschema'!T132="x","",IF('Aanpassen Werkschema'!N132="v","x",IF(E102="","",IF(E102="x","x"))))</f>
        <v/>
      </c>
      <c r="T102" s="569">
        <f>IF('Aanpassen Werkschema'!U132="x","",IF('Aanpassen Werkschema'!O132="v","x",IF(F102="","",IF(F102="x","x"))))</f>
        <v/>
      </c>
      <c r="U102" s="569">
        <f>IF('Aanpassen Werkschema'!V132="x","",IF('Aanpassen Werkschema'!P132="v","x",IF(G102="","",IF(G102="x","x"))))</f>
        <v/>
      </c>
      <c r="V102" s="569">
        <f>IF('Aanpassen Werkschema'!W132="x","",IF('Aanpassen Werkschema'!Q132="v","x",IF(H102="","",IF(H102="x","x"))))</f>
        <v/>
      </c>
      <c r="W102" s="569">
        <f>IF('Aanpassen Werkschema'!X132="x","",IF('Aanpassen Werkschema'!R132="v","x",IF(I102="","",IF(I102="x","x"))))</f>
        <v/>
      </c>
      <c r="X102" s="569">
        <f>IF('Aanpassen Werkschema'!Y132="x","",IF('Aanpassen Werkschema'!S132="v","x",IF(J102="","",IF(J102="x","x"))))</f>
        <v/>
      </c>
      <c r="Y102" s="569">
        <f>IF('Aanpassen Werkschema'!Z132="x","",IF('Aanpassen Werkschema'!T132="v","x",IF(K102="","",IF(K102="x","x"))))</f>
        <v/>
      </c>
      <c r="Z102" s="850">
        <f>Z101+0.0000000001</f>
        <v/>
      </c>
      <c r="AA102" s="851">
        <f>IFERROR(IF(C102="",1.1,IF(S102="",1,IF($C102=1,VLOOKUP($B102,'Werkschema - Rekening'!$B$2:$C$46,2,FALSE),IF($C102=2,Instellingen!C$16,IF($C102=3,Instellingen!D$16,IF($C102=4,L102))))+$D102)+$Z102),1.1)</f>
        <v/>
      </c>
      <c r="AB102" s="852">
        <f>IF($B102="","",IFERROR(VLOOKUP($B102,'Werkschema - Rekening'!$B$2:$P$46,3,FALSE),""))</f>
        <v/>
      </c>
      <c r="AC102" s="851">
        <f>IFERROR(IF(C102="",1.1,IF(T102="",1,IF($C102=1,VLOOKUP($B102,'Werkschema - Rekening'!$B$2:$E$46,4,FALSE),IF($C102=2,Instellingen!E$16,IF($C102=3,Instellingen!F$16,IF($C102=4,M102))))+$D102)+$Z102),1.1)</f>
        <v/>
      </c>
      <c r="AD102" s="852">
        <f>IF($B102="","",IFERROR(VLOOKUP($B102,'Werkschema - Rekening'!$B$2:$P$46,5,FALSE),""))</f>
        <v/>
      </c>
      <c r="AE102" s="851">
        <f>IFERROR(IF(C102="",1.1,IF(U102="",1,IF($C102=1,VLOOKUP($B102,'Werkschema - Rekening'!$B$2:$G$46,6,FALSE),IF($C102=2,Instellingen!G$16,IF($C102=3,Instellingen!H$16,IF($C102=4,N102))))+$D102)+$Z102),1.1)</f>
        <v/>
      </c>
      <c r="AF102" s="852">
        <f>IF($B102="","",IFERROR(VLOOKUP($B102,'Werkschema - Rekening'!$B$2:$P$46,7,FALSE),""))</f>
        <v/>
      </c>
      <c r="AG102" s="851">
        <f>IFERROR(IF(C102="",1.1,IF(V102="",1,IF($C102=1,VLOOKUP($B102,'Werkschema - Rekening'!$B$2:$I$46,8,FALSE),IF($C102=2,Instellingen!I$16,IF($C102=3,Instellingen!J$16,IF($C102=4,O102))))+$D102)+$Z102),1.1)</f>
        <v/>
      </c>
      <c r="AH102" s="852">
        <f>IF($B102="","",IFERROR(VLOOKUP($B102,'Werkschema - Rekening'!$B$2:$P$46,9,FALSE),""))</f>
        <v/>
      </c>
      <c r="AI102" s="851">
        <f>IFERROR(IF(C102="",1.1,IF(W102="",1,IF($C102=1,VLOOKUP($B102,'Werkschema - Rekening'!$B$2:$K$46,10,FALSE),IF($C102=2,Instellingen!K$16,IF($C102=3,Instellingen!L$16,IF($C102=4,P102))))+$D102)+$Z102),1.1)</f>
        <v/>
      </c>
      <c r="AJ102" s="852">
        <f>IF($B102="","",IFERROR(VLOOKUP($B102,'Werkschema - Rekening'!$B$2:$P$46,11,FALSE),""))</f>
        <v/>
      </c>
      <c r="AK102" s="851">
        <f>IFERROR(IF(C102="",1.1,IF(X102="",1,IF($C102=1,VLOOKUP($B102,'Werkschema - Rekening'!$B$2:$M$46,12,FALSE),IF($C102=2,Instellingen!M$16,IF($C102=3,Instellingen!N$16,IF($C102=4,Q102))))+$D102)+$Z102),1.1)</f>
        <v/>
      </c>
      <c r="AL102" s="852">
        <f>IF($B102="","",IFERROR(VLOOKUP($B102,'Werkschema - Rekening'!$B$2:$P$46,13,FALSE),""))</f>
        <v/>
      </c>
      <c r="AM102" s="851">
        <f>IFERROR(IF(C102="",1.1,IF(Y102="",1,IF($C102=1,VLOOKUP($B102,'Werkschema - Rekening'!$B$2:$O$46,14,FALSE),IF($C102=2,Instellingen!O$16,IF($C102=3,Instellingen!P$16,IF($C102=4,R102))))+$D102)+$Z102),1.1)</f>
        <v/>
      </c>
      <c r="AN102" s="852">
        <f>IF($B102="","",IFERROR(VLOOKUP($B102,'Werkschema - Rekening'!$B$2:$P$46,15,FALSE),""))</f>
        <v/>
      </c>
      <c r="AO102" s="852">
        <f>A102</f>
        <v/>
      </c>
      <c r="AP102" s="852">
        <f>B102</f>
        <v/>
      </c>
    </row>
    <row r="103" ht="12.6" customHeight="1">
      <c r="A103" s="830">
        <f>'Aanpassen Werkschema'!B133</f>
        <v/>
      </c>
      <c r="B103" s="569">
        <f>'Aanpassen Werkschema'!C133</f>
        <v/>
      </c>
      <c r="C103" s="569">
        <f>IF('Aanpassen Werkschema'!D133="geplande taak",1,IF('Aanpassen Werkschema'!D133="openingstijd",2,IF('Aanpassen Werkschema'!D133="sluitingstijd",3,IF('Aanpassen Werkschema'!D133="vaste tijd",4,""))))</f>
        <v/>
      </c>
      <c r="D103" s="849">
        <f>'Aanpassen Werkschema'!E133</f>
        <v/>
      </c>
      <c r="E103" s="569">
        <f>IF('Aanpassen Werkschema'!F133="v","x","")</f>
        <v/>
      </c>
      <c r="F103" s="569">
        <f>IF('Aanpassen Werkschema'!G133="v","x","")</f>
        <v/>
      </c>
      <c r="G103" s="569">
        <f>IF('Aanpassen Werkschema'!H133="v","x","")</f>
        <v/>
      </c>
      <c r="H103" s="569">
        <f>IF('Aanpassen Werkschema'!I133="v","x","")</f>
        <v/>
      </c>
      <c r="I103" s="569">
        <f>IF('Aanpassen Werkschema'!J133="v","x","")</f>
        <v/>
      </c>
      <c r="J103" s="569">
        <f>IF('Aanpassen Werkschema'!K133="v","x","")</f>
        <v/>
      </c>
      <c r="K103" s="569">
        <f>IF('Aanpassen Werkschema'!L133="v","x","")</f>
        <v/>
      </c>
      <c r="L103" s="571">
        <f>IF('Aanpassen Werkschema'!M133&gt;0,'Aanpassen Werkschema'!M133,"")</f>
        <v/>
      </c>
      <c r="M103" s="571">
        <f>IF('Aanpassen Werkschema'!N133&gt;0,'Aanpassen Werkschema'!N133,"")</f>
        <v/>
      </c>
      <c r="N103" s="571">
        <f>IF('Aanpassen Werkschema'!O133&gt;0,'Aanpassen Werkschema'!O133,"")</f>
        <v/>
      </c>
      <c r="O103" s="571">
        <f>IF('Aanpassen Werkschema'!P133&gt;0,'Aanpassen Werkschema'!P133,"")</f>
        <v/>
      </c>
      <c r="P103" s="571">
        <f>IF('Aanpassen Werkschema'!Q133&gt;0,'Aanpassen Werkschema'!Q133,"")</f>
        <v/>
      </c>
      <c r="Q103" s="571">
        <f>IF('Aanpassen Werkschema'!R133&gt;0,'Aanpassen Werkschema'!R133,"")</f>
        <v/>
      </c>
      <c r="R103" s="571">
        <f>IF('Aanpassen Werkschema'!S133&gt;0,'Aanpassen Werkschema'!S133,"")</f>
        <v/>
      </c>
      <c r="S103" s="569">
        <f>IF('Aanpassen Werkschema'!T133="x","",IF('Aanpassen Werkschema'!N133="v","x",IF(E103="","",IF(E103="x","x"))))</f>
        <v/>
      </c>
      <c r="T103" s="569">
        <f>IF('Aanpassen Werkschema'!U133="x","",IF('Aanpassen Werkschema'!O133="v","x",IF(F103="","",IF(F103="x","x"))))</f>
        <v/>
      </c>
      <c r="U103" s="569">
        <f>IF('Aanpassen Werkschema'!V133="x","",IF('Aanpassen Werkschema'!P133="v","x",IF(G103="","",IF(G103="x","x"))))</f>
        <v/>
      </c>
      <c r="V103" s="569">
        <f>IF('Aanpassen Werkschema'!W133="x","",IF('Aanpassen Werkschema'!Q133="v","x",IF(H103="","",IF(H103="x","x"))))</f>
        <v/>
      </c>
      <c r="W103" s="569">
        <f>IF('Aanpassen Werkschema'!X133="x","",IF('Aanpassen Werkschema'!R133="v","x",IF(I103="","",IF(I103="x","x"))))</f>
        <v/>
      </c>
      <c r="X103" s="569">
        <f>IF('Aanpassen Werkschema'!Y133="x","",IF('Aanpassen Werkschema'!S133="v","x",IF(J103="","",IF(J103="x","x"))))</f>
        <v/>
      </c>
      <c r="Y103" s="569">
        <f>IF('Aanpassen Werkschema'!Z133="x","",IF('Aanpassen Werkschema'!T133="v","x",IF(K103="","",IF(K103="x","x"))))</f>
        <v/>
      </c>
      <c r="Z103" s="850">
        <f>Z102+0.0000000001</f>
        <v/>
      </c>
      <c r="AA103" s="851">
        <f>IFERROR(IF(C103="",1.1,IF(S103="",1,IF($C103=1,VLOOKUP($B103,'Werkschema - Rekening'!$B$2:$C$46,2,FALSE),IF($C103=2,Instellingen!C$16,IF($C103=3,Instellingen!D$16,IF($C103=4,L103))))+$D103)+$Z103),1.1)</f>
        <v/>
      </c>
      <c r="AB103" s="852">
        <f>IF($B103="","",IFERROR(VLOOKUP($B103,'Werkschema - Rekening'!$B$2:$P$46,3,FALSE),""))</f>
        <v/>
      </c>
      <c r="AC103" s="851">
        <f>IFERROR(IF(C103="",1.1,IF(T103="",1,IF($C103=1,VLOOKUP($B103,'Werkschema - Rekening'!$B$2:$E$46,4,FALSE),IF($C103=2,Instellingen!E$16,IF($C103=3,Instellingen!F$16,IF($C103=4,M103))))+$D103)+$Z103),1.1)</f>
        <v/>
      </c>
      <c r="AD103" s="852">
        <f>IF($B103="","",IFERROR(VLOOKUP($B103,'Werkschema - Rekening'!$B$2:$P$46,5,FALSE),""))</f>
        <v/>
      </c>
      <c r="AE103" s="851">
        <f>IFERROR(IF(C103="",1.1,IF(U103="",1,IF($C103=1,VLOOKUP($B103,'Werkschema - Rekening'!$B$2:$G$46,6,FALSE),IF($C103=2,Instellingen!G$16,IF($C103=3,Instellingen!H$16,IF($C103=4,N103))))+$D103)+$Z103),1.1)</f>
        <v/>
      </c>
      <c r="AF103" s="852">
        <f>IF($B103="","",IFERROR(VLOOKUP($B103,'Werkschema - Rekening'!$B$2:$P$46,7,FALSE),""))</f>
        <v/>
      </c>
      <c r="AG103" s="851">
        <f>IFERROR(IF(C103="",1.1,IF(V103="",1,IF($C103=1,VLOOKUP($B103,'Werkschema - Rekening'!$B$2:$I$46,8,FALSE),IF($C103=2,Instellingen!I$16,IF($C103=3,Instellingen!J$16,IF($C103=4,O103))))+$D103)+$Z103),1.1)</f>
        <v/>
      </c>
      <c r="AH103" s="852">
        <f>IF($B103="","",IFERROR(VLOOKUP($B103,'Werkschema - Rekening'!$B$2:$P$46,9,FALSE),""))</f>
        <v/>
      </c>
      <c r="AI103" s="851">
        <f>IFERROR(IF(C103="",1.1,IF(W103="",1,IF($C103=1,VLOOKUP($B103,'Werkschema - Rekening'!$B$2:$K$46,10,FALSE),IF($C103=2,Instellingen!K$16,IF($C103=3,Instellingen!L$16,IF($C103=4,P103))))+$D103)+$Z103),1.1)</f>
        <v/>
      </c>
      <c r="AJ103" s="852">
        <f>IF($B103="","",IFERROR(VLOOKUP($B103,'Werkschema - Rekening'!$B$2:$P$46,11,FALSE),""))</f>
        <v/>
      </c>
      <c r="AK103" s="851">
        <f>IFERROR(IF(C103="",1.1,IF(X103="",1,IF($C103=1,VLOOKUP($B103,'Werkschema - Rekening'!$B$2:$M$46,12,FALSE),IF($C103=2,Instellingen!M$16,IF($C103=3,Instellingen!N$16,IF($C103=4,Q103))))+$D103)+$Z103),1.1)</f>
        <v/>
      </c>
      <c r="AL103" s="852">
        <f>IF($B103="","",IFERROR(VLOOKUP($B103,'Werkschema - Rekening'!$B$2:$P$46,13,FALSE),""))</f>
        <v/>
      </c>
      <c r="AM103" s="851">
        <f>IFERROR(IF(C103="",1.1,IF(Y103="",1,IF($C103=1,VLOOKUP($B103,'Werkschema - Rekening'!$B$2:$O$46,14,FALSE),IF($C103=2,Instellingen!O$16,IF($C103=3,Instellingen!P$16,IF($C103=4,R103))))+$D103)+$Z103),1.1)</f>
        <v/>
      </c>
      <c r="AN103" s="852">
        <f>IF($B103="","",IFERROR(VLOOKUP($B103,'Werkschema - Rekening'!$B$2:$P$46,15,FALSE),""))</f>
        <v/>
      </c>
      <c r="AO103" s="852">
        <f>A103</f>
        <v/>
      </c>
      <c r="AP103" s="852">
        <f>B103</f>
        <v/>
      </c>
    </row>
    <row r="104" ht="12.6" customHeight="1">
      <c r="A104" s="830">
        <f>'Aanpassen Werkschema'!B134</f>
        <v/>
      </c>
      <c r="B104" s="569">
        <f>'Aanpassen Werkschema'!C134</f>
        <v/>
      </c>
      <c r="C104" s="569">
        <f>IF('Aanpassen Werkschema'!D134="geplande taak",1,IF('Aanpassen Werkschema'!D134="openingstijd",2,IF('Aanpassen Werkschema'!D134="sluitingstijd",3,IF('Aanpassen Werkschema'!D134="vaste tijd",4,""))))</f>
        <v/>
      </c>
      <c r="D104" s="849">
        <f>'Aanpassen Werkschema'!E134</f>
        <v/>
      </c>
      <c r="E104" s="569">
        <f>IF('Aanpassen Werkschema'!F134="v","x","")</f>
        <v/>
      </c>
      <c r="F104" s="569">
        <f>IF('Aanpassen Werkschema'!G134="v","x","")</f>
        <v/>
      </c>
      <c r="G104" s="569">
        <f>IF('Aanpassen Werkschema'!H134="v","x","")</f>
        <v/>
      </c>
      <c r="H104" s="569">
        <f>IF('Aanpassen Werkschema'!I134="v","x","")</f>
        <v/>
      </c>
      <c r="I104" s="569">
        <f>IF('Aanpassen Werkschema'!J134="v","x","")</f>
        <v/>
      </c>
      <c r="J104" s="569">
        <f>IF('Aanpassen Werkschema'!K134="v","x","")</f>
        <v/>
      </c>
      <c r="K104" s="569">
        <f>IF('Aanpassen Werkschema'!L134="v","x","")</f>
        <v/>
      </c>
      <c r="L104" s="571">
        <f>IF('Aanpassen Werkschema'!M134&gt;0,'Aanpassen Werkschema'!M134,"")</f>
        <v/>
      </c>
      <c r="M104" s="571">
        <f>IF('Aanpassen Werkschema'!N134&gt;0,'Aanpassen Werkschema'!N134,"")</f>
        <v/>
      </c>
      <c r="N104" s="571">
        <f>IF('Aanpassen Werkschema'!O134&gt;0,'Aanpassen Werkschema'!O134,"")</f>
        <v/>
      </c>
      <c r="O104" s="571">
        <f>IF('Aanpassen Werkschema'!P134&gt;0,'Aanpassen Werkschema'!P134,"")</f>
        <v/>
      </c>
      <c r="P104" s="571">
        <f>IF('Aanpassen Werkschema'!Q134&gt;0,'Aanpassen Werkschema'!Q134,"")</f>
        <v/>
      </c>
      <c r="Q104" s="571">
        <f>IF('Aanpassen Werkschema'!R134&gt;0,'Aanpassen Werkschema'!R134,"")</f>
        <v/>
      </c>
      <c r="R104" s="571">
        <f>IF('Aanpassen Werkschema'!S134&gt;0,'Aanpassen Werkschema'!S134,"")</f>
        <v/>
      </c>
      <c r="S104" s="569">
        <f>IF('Aanpassen Werkschema'!T134="x","",IF('Aanpassen Werkschema'!N134="v","x",IF(E104="","",IF(E104="x","x"))))</f>
        <v/>
      </c>
      <c r="T104" s="569">
        <f>IF('Aanpassen Werkschema'!U134="x","",IF('Aanpassen Werkschema'!O134="v","x",IF(F104="","",IF(F104="x","x"))))</f>
        <v/>
      </c>
      <c r="U104" s="569">
        <f>IF('Aanpassen Werkschema'!V134="x","",IF('Aanpassen Werkschema'!P134="v","x",IF(G104="","",IF(G104="x","x"))))</f>
        <v/>
      </c>
      <c r="V104" s="569">
        <f>IF('Aanpassen Werkschema'!W134="x","",IF('Aanpassen Werkschema'!Q134="v","x",IF(H104="","",IF(H104="x","x"))))</f>
        <v/>
      </c>
      <c r="W104" s="569">
        <f>IF('Aanpassen Werkschema'!X134="x","",IF('Aanpassen Werkschema'!R134="v","x",IF(I104="","",IF(I104="x","x"))))</f>
        <v/>
      </c>
      <c r="X104" s="569">
        <f>IF('Aanpassen Werkschema'!Y134="x","",IF('Aanpassen Werkschema'!S134="v","x",IF(J104="","",IF(J104="x","x"))))</f>
        <v/>
      </c>
      <c r="Y104" s="569">
        <f>IF('Aanpassen Werkschema'!Z134="x","",IF('Aanpassen Werkschema'!T134="v","x",IF(K104="","",IF(K104="x","x"))))</f>
        <v/>
      </c>
      <c r="Z104" s="850">
        <f>Z103+0.0000000001</f>
        <v/>
      </c>
      <c r="AA104" s="851">
        <f>IFERROR(IF(C104="",1.1,IF(S104="",1,IF($C104=1,VLOOKUP($B104,'Werkschema - Rekening'!$B$2:$C$46,2,FALSE),IF($C104=2,Instellingen!C$16,IF($C104=3,Instellingen!D$16,IF($C104=4,L104))))+$D104)+$Z104),1.1)</f>
        <v/>
      </c>
      <c r="AB104" s="852">
        <f>IF($B104="","",IFERROR(VLOOKUP($B104,'Werkschema - Rekening'!$B$2:$P$46,3,FALSE),""))</f>
        <v/>
      </c>
      <c r="AC104" s="851">
        <f>IFERROR(IF(C104="",1.1,IF(T104="",1,IF($C104=1,VLOOKUP($B104,'Werkschema - Rekening'!$B$2:$E$46,4,FALSE),IF($C104=2,Instellingen!E$16,IF($C104=3,Instellingen!F$16,IF($C104=4,M104))))+$D104)+$Z104),1.1)</f>
        <v/>
      </c>
      <c r="AD104" s="852">
        <f>IF($B104="","",IFERROR(VLOOKUP($B104,'Werkschema - Rekening'!$B$2:$P$46,5,FALSE),""))</f>
        <v/>
      </c>
      <c r="AE104" s="851">
        <f>IFERROR(IF(C104="",1.1,IF(U104="",1,IF($C104=1,VLOOKUP($B104,'Werkschema - Rekening'!$B$2:$G$46,6,FALSE),IF($C104=2,Instellingen!G$16,IF($C104=3,Instellingen!H$16,IF($C104=4,N104))))+$D104)+$Z104),1.1)</f>
        <v/>
      </c>
      <c r="AF104" s="852">
        <f>IF($B104="","",IFERROR(VLOOKUP($B104,'Werkschema - Rekening'!$B$2:$P$46,7,FALSE),""))</f>
        <v/>
      </c>
      <c r="AG104" s="851">
        <f>IFERROR(IF(C104="",1.1,IF(V104="",1,IF($C104=1,VLOOKUP($B104,'Werkschema - Rekening'!$B$2:$I$46,8,FALSE),IF($C104=2,Instellingen!I$16,IF($C104=3,Instellingen!J$16,IF($C104=4,O104))))+$D104)+$Z104),1.1)</f>
        <v/>
      </c>
      <c r="AH104" s="852">
        <f>IF($B104="","",IFERROR(VLOOKUP($B104,'Werkschema - Rekening'!$B$2:$P$46,9,FALSE),""))</f>
        <v/>
      </c>
      <c r="AI104" s="851">
        <f>IFERROR(IF(C104="",1.1,IF(W104="",1,IF($C104=1,VLOOKUP($B104,'Werkschema - Rekening'!$B$2:$K$46,10,FALSE),IF($C104=2,Instellingen!K$16,IF($C104=3,Instellingen!L$16,IF($C104=4,P104))))+$D104)+$Z104),1.1)</f>
        <v/>
      </c>
      <c r="AJ104" s="852">
        <f>IF($B104="","",IFERROR(VLOOKUP($B104,'Werkschema - Rekening'!$B$2:$P$46,11,FALSE),""))</f>
        <v/>
      </c>
      <c r="AK104" s="851">
        <f>IFERROR(IF(C104="",1.1,IF(X104="",1,IF($C104=1,VLOOKUP($B104,'Werkschema - Rekening'!$B$2:$M$46,12,FALSE),IF($C104=2,Instellingen!M$16,IF($C104=3,Instellingen!N$16,IF($C104=4,Q104))))+$D104)+$Z104),1.1)</f>
        <v/>
      </c>
      <c r="AL104" s="852">
        <f>IF($B104="","",IFERROR(VLOOKUP($B104,'Werkschema - Rekening'!$B$2:$P$46,13,FALSE),""))</f>
        <v/>
      </c>
      <c r="AM104" s="851">
        <f>IFERROR(IF(C104="",1.1,IF(Y104="",1,IF($C104=1,VLOOKUP($B104,'Werkschema - Rekening'!$B$2:$O$46,14,FALSE),IF($C104=2,Instellingen!O$16,IF($C104=3,Instellingen!P$16,IF($C104=4,R104))))+$D104)+$Z104),1.1)</f>
        <v/>
      </c>
      <c r="AN104" s="852">
        <f>IF($B104="","",IFERROR(VLOOKUP($B104,'Werkschema - Rekening'!$B$2:$P$46,15,FALSE),""))</f>
        <v/>
      </c>
      <c r="AO104" s="852">
        <f>A104</f>
        <v/>
      </c>
      <c r="AP104" s="852">
        <f>B104</f>
        <v/>
      </c>
    </row>
    <row r="105" ht="12.6" customHeight="1">
      <c r="A105" s="830">
        <f>'Aanpassen Werkschema'!B135</f>
        <v/>
      </c>
      <c r="B105" s="569">
        <f>'Aanpassen Werkschema'!C135</f>
        <v/>
      </c>
      <c r="C105" s="569">
        <f>IF('Aanpassen Werkschema'!D135="geplande taak",1,IF('Aanpassen Werkschema'!D135="openingstijd",2,IF('Aanpassen Werkschema'!D135="sluitingstijd",3,IF('Aanpassen Werkschema'!D135="vaste tijd",4,""))))</f>
        <v/>
      </c>
      <c r="D105" s="849">
        <f>'Aanpassen Werkschema'!E135</f>
        <v/>
      </c>
      <c r="E105" s="569">
        <f>IF('Aanpassen Werkschema'!F135="v","x","")</f>
        <v/>
      </c>
      <c r="F105" s="569">
        <f>IF('Aanpassen Werkschema'!G135="v","x","")</f>
        <v/>
      </c>
      <c r="G105" s="569">
        <f>IF('Aanpassen Werkschema'!H135="v","x","")</f>
        <v/>
      </c>
      <c r="H105" s="569">
        <f>IF('Aanpassen Werkschema'!I135="v","x","")</f>
        <v/>
      </c>
      <c r="I105" s="569">
        <f>IF('Aanpassen Werkschema'!J135="v","x","")</f>
        <v/>
      </c>
      <c r="J105" s="569">
        <f>IF('Aanpassen Werkschema'!K135="v","x","")</f>
        <v/>
      </c>
      <c r="K105" s="569">
        <f>IF('Aanpassen Werkschema'!L135="v","x","")</f>
        <v/>
      </c>
      <c r="L105" s="571">
        <f>IF('Aanpassen Werkschema'!M135&gt;0,'Aanpassen Werkschema'!M135,"")</f>
        <v/>
      </c>
      <c r="M105" s="571">
        <f>IF('Aanpassen Werkschema'!N135&gt;0,'Aanpassen Werkschema'!N135,"")</f>
        <v/>
      </c>
      <c r="N105" s="571">
        <f>IF('Aanpassen Werkschema'!O135&gt;0,'Aanpassen Werkschema'!O135,"")</f>
        <v/>
      </c>
      <c r="O105" s="571">
        <f>IF('Aanpassen Werkschema'!P135&gt;0,'Aanpassen Werkschema'!P135,"")</f>
        <v/>
      </c>
      <c r="P105" s="571">
        <f>IF('Aanpassen Werkschema'!Q135&gt;0,'Aanpassen Werkschema'!Q135,"")</f>
        <v/>
      </c>
      <c r="Q105" s="571">
        <f>IF('Aanpassen Werkschema'!R135&gt;0,'Aanpassen Werkschema'!R135,"")</f>
        <v/>
      </c>
      <c r="R105" s="571">
        <f>IF('Aanpassen Werkschema'!S135&gt;0,'Aanpassen Werkschema'!S135,"")</f>
        <v/>
      </c>
      <c r="S105" s="569">
        <f>IF('Aanpassen Werkschema'!T135="x","",IF('Aanpassen Werkschema'!N135="v","x",IF(E105="","",IF(E105="x","x"))))</f>
        <v/>
      </c>
      <c r="T105" s="569">
        <f>IF('Aanpassen Werkschema'!U135="x","",IF('Aanpassen Werkschema'!O135="v","x",IF(F105="","",IF(F105="x","x"))))</f>
        <v/>
      </c>
      <c r="U105" s="569">
        <f>IF('Aanpassen Werkschema'!V135="x","",IF('Aanpassen Werkschema'!P135="v","x",IF(G105="","",IF(G105="x","x"))))</f>
        <v/>
      </c>
      <c r="V105" s="569">
        <f>IF('Aanpassen Werkschema'!W135="x","",IF('Aanpassen Werkschema'!Q135="v","x",IF(H105="","",IF(H105="x","x"))))</f>
        <v/>
      </c>
      <c r="W105" s="569">
        <f>IF('Aanpassen Werkschema'!X135="x","",IF('Aanpassen Werkschema'!R135="v","x",IF(I105="","",IF(I105="x","x"))))</f>
        <v/>
      </c>
      <c r="X105" s="569">
        <f>IF('Aanpassen Werkschema'!Y135="x","",IF('Aanpassen Werkschema'!S135="v","x",IF(J105="","",IF(J105="x","x"))))</f>
        <v/>
      </c>
      <c r="Y105" s="569">
        <f>IF('Aanpassen Werkschema'!Z135="x","",IF('Aanpassen Werkschema'!T135="v","x",IF(K105="","",IF(K105="x","x"))))</f>
        <v/>
      </c>
      <c r="Z105" s="850">
        <f>Z104+0.0000000001</f>
        <v/>
      </c>
      <c r="AA105" s="851">
        <f>IFERROR(IF(C105="",1.1,IF(S105="",1,IF($C105=1,VLOOKUP($B105,'Werkschema - Rekening'!$B$2:$C$46,2,FALSE),IF($C105=2,Instellingen!C$16,IF($C105=3,Instellingen!D$16,IF($C105=4,L105))))+$D105)+$Z105),1.1)</f>
        <v/>
      </c>
      <c r="AB105" s="852">
        <f>IF($B105="","",IFERROR(VLOOKUP($B105,'Werkschema - Rekening'!$B$2:$P$46,3,FALSE),""))</f>
        <v/>
      </c>
      <c r="AC105" s="851">
        <f>IFERROR(IF(C105="",1.1,IF(T105="",1,IF($C105=1,VLOOKUP($B105,'Werkschema - Rekening'!$B$2:$E$46,4,FALSE),IF($C105=2,Instellingen!E$16,IF($C105=3,Instellingen!F$16,IF($C105=4,M105))))+$D105)+$Z105),1.1)</f>
        <v/>
      </c>
      <c r="AD105" s="852">
        <f>IF($B105="","",IFERROR(VLOOKUP($B105,'Werkschema - Rekening'!$B$2:$P$46,5,FALSE),""))</f>
        <v/>
      </c>
      <c r="AE105" s="851">
        <f>IFERROR(IF(C105="",1.1,IF(U105="",1,IF($C105=1,VLOOKUP($B105,'Werkschema - Rekening'!$B$2:$G$46,6,FALSE),IF($C105=2,Instellingen!G$16,IF($C105=3,Instellingen!H$16,IF($C105=4,N105))))+$D105)+$Z105),1.1)</f>
        <v/>
      </c>
      <c r="AF105" s="852">
        <f>IF($B105="","",IFERROR(VLOOKUP($B105,'Werkschema - Rekening'!$B$2:$P$46,7,FALSE),""))</f>
        <v/>
      </c>
      <c r="AG105" s="851">
        <f>IFERROR(IF(C105="",1.1,IF(V105="",1,IF($C105=1,VLOOKUP($B105,'Werkschema - Rekening'!$B$2:$I$46,8,FALSE),IF($C105=2,Instellingen!I$16,IF($C105=3,Instellingen!J$16,IF($C105=4,O105))))+$D105)+$Z105),1.1)</f>
        <v/>
      </c>
      <c r="AH105" s="852">
        <f>IF($B105="","",IFERROR(VLOOKUP($B105,'Werkschema - Rekening'!$B$2:$P$46,9,FALSE),""))</f>
        <v/>
      </c>
      <c r="AI105" s="851">
        <f>IFERROR(IF(C105="",1.1,IF(W105="",1,IF($C105=1,VLOOKUP($B105,'Werkschema - Rekening'!$B$2:$K$46,10,FALSE),IF($C105=2,Instellingen!K$16,IF($C105=3,Instellingen!L$16,IF($C105=4,P105))))+$D105)+$Z105),1.1)</f>
        <v/>
      </c>
      <c r="AJ105" s="852">
        <f>IF($B105="","",IFERROR(VLOOKUP($B105,'Werkschema - Rekening'!$B$2:$P$46,11,FALSE),""))</f>
        <v/>
      </c>
      <c r="AK105" s="851">
        <f>IFERROR(IF(C105="",1.1,IF(X105="",1,IF($C105=1,VLOOKUP($B105,'Werkschema - Rekening'!$B$2:$M$46,12,FALSE),IF($C105=2,Instellingen!M$16,IF($C105=3,Instellingen!N$16,IF($C105=4,Q105))))+$D105)+$Z105),1.1)</f>
        <v/>
      </c>
      <c r="AL105" s="852">
        <f>IF($B105="","",IFERROR(VLOOKUP($B105,'Werkschema - Rekening'!$B$2:$P$46,13,FALSE),""))</f>
        <v/>
      </c>
      <c r="AM105" s="851">
        <f>IFERROR(IF(C105="",1.1,IF(Y105="",1,IF($C105=1,VLOOKUP($B105,'Werkschema - Rekening'!$B$2:$O$46,14,FALSE),IF($C105=2,Instellingen!O$16,IF($C105=3,Instellingen!P$16,IF($C105=4,R105))))+$D105)+$Z105),1.1)</f>
        <v/>
      </c>
      <c r="AN105" s="852">
        <f>IF($B105="","",IFERROR(VLOOKUP($B105,'Werkschema - Rekening'!$B$2:$P$46,15,FALSE),""))</f>
        <v/>
      </c>
      <c r="AO105" s="852">
        <f>A105</f>
        <v/>
      </c>
      <c r="AP105" s="852">
        <f>B105</f>
        <v/>
      </c>
    </row>
    <row r="106" ht="12.6" customHeight="1">
      <c r="A106" s="830">
        <f>'Aanpassen Werkschema'!B136</f>
        <v/>
      </c>
      <c r="B106" s="569">
        <f>'Aanpassen Werkschema'!C136</f>
        <v/>
      </c>
      <c r="C106" s="569">
        <f>IF('Aanpassen Werkschema'!D136="geplande taak",1,IF('Aanpassen Werkschema'!D136="openingstijd",2,IF('Aanpassen Werkschema'!D136="sluitingstijd",3,IF('Aanpassen Werkschema'!D136="vaste tijd",4,""))))</f>
        <v/>
      </c>
      <c r="D106" s="849">
        <f>'Aanpassen Werkschema'!E136</f>
        <v/>
      </c>
      <c r="E106" s="569">
        <f>IF('Aanpassen Werkschema'!F136="v","x","")</f>
        <v/>
      </c>
      <c r="F106" s="569">
        <f>IF('Aanpassen Werkschema'!G136="v","x","")</f>
        <v/>
      </c>
      <c r="G106" s="569">
        <f>IF('Aanpassen Werkschema'!H136="v","x","")</f>
        <v/>
      </c>
      <c r="H106" s="569">
        <f>IF('Aanpassen Werkschema'!I136="v","x","")</f>
        <v/>
      </c>
      <c r="I106" s="569">
        <f>IF('Aanpassen Werkschema'!J136="v","x","")</f>
        <v/>
      </c>
      <c r="J106" s="569">
        <f>IF('Aanpassen Werkschema'!K136="v","x","")</f>
        <v/>
      </c>
      <c r="K106" s="569">
        <f>IF('Aanpassen Werkschema'!L136="v","x","")</f>
        <v/>
      </c>
      <c r="L106" s="571">
        <f>IF('Aanpassen Werkschema'!M136&gt;0,'Aanpassen Werkschema'!M136,"")</f>
        <v/>
      </c>
      <c r="M106" s="571">
        <f>IF('Aanpassen Werkschema'!N136&gt;0,'Aanpassen Werkschema'!N136,"")</f>
        <v/>
      </c>
      <c r="N106" s="571">
        <f>IF('Aanpassen Werkschema'!O136&gt;0,'Aanpassen Werkschema'!O136,"")</f>
        <v/>
      </c>
      <c r="O106" s="571">
        <f>IF('Aanpassen Werkschema'!P136&gt;0,'Aanpassen Werkschema'!P136,"")</f>
        <v/>
      </c>
      <c r="P106" s="571">
        <f>IF('Aanpassen Werkschema'!Q136&gt;0,'Aanpassen Werkschema'!Q136,"")</f>
        <v/>
      </c>
      <c r="Q106" s="571">
        <f>IF('Aanpassen Werkschema'!R136&gt;0,'Aanpassen Werkschema'!R136,"")</f>
        <v/>
      </c>
      <c r="R106" s="571">
        <f>IF('Aanpassen Werkschema'!S136&gt;0,'Aanpassen Werkschema'!S136,"")</f>
        <v/>
      </c>
      <c r="S106" s="569">
        <f>IF('Aanpassen Werkschema'!T136="x","",IF('Aanpassen Werkschema'!N136="v","x",IF(E106="","",IF(E106="x","x"))))</f>
        <v/>
      </c>
      <c r="T106" s="569">
        <f>IF('Aanpassen Werkschema'!U136="x","",IF('Aanpassen Werkschema'!O136="v","x",IF(F106="","",IF(F106="x","x"))))</f>
        <v/>
      </c>
      <c r="U106" s="569">
        <f>IF('Aanpassen Werkschema'!V136="x","",IF('Aanpassen Werkschema'!P136="v","x",IF(G106="","",IF(G106="x","x"))))</f>
        <v/>
      </c>
      <c r="V106" s="569">
        <f>IF('Aanpassen Werkschema'!W136="x","",IF('Aanpassen Werkschema'!Q136="v","x",IF(H106="","",IF(H106="x","x"))))</f>
        <v/>
      </c>
      <c r="W106" s="569">
        <f>IF('Aanpassen Werkschema'!X136="x","",IF('Aanpassen Werkschema'!R136="v","x",IF(I106="","",IF(I106="x","x"))))</f>
        <v/>
      </c>
      <c r="X106" s="569">
        <f>IF('Aanpassen Werkschema'!Y136="x","",IF('Aanpassen Werkschema'!S136="v","x",IF(J106="","",IF(J106="x","x"))))</f>
        <v/>
      </c>
      <c r="Y106" s="569">
        <f>IF('Aanpassen Werkschema'!Z136="x","",IF('Aanpassen Werkschema'!T136="v","x",IF(K106="","",IF(K106="x","x"))))</f>
        <v/>
      </c>
      <c r="Z106" s="850">
        <f>Z105+0.0000000001</f>
        <v/>
      </c>
      <c r="AA106" s="851">
        <f>IFERROR(IF(C106="",1.1,IF(S106="",1,IF($C106=1,VLOOKUP($B106,'Werkschema - Rekening'!$B$2:$C$46,2,FALSE),IF($C106=2,Instellingen!C$16,IF($C106=3,Instellingen!D$16,IF($C106=4,L106))))+$D106)+$Z106),1.1)</f>
        <v/>
      </c>
      <c r="AB106" s="852">
        <f>IF($B106="","",IFERROR(VLOOKUP($B106,'Werkschema - Rekening'!$B$2:$P$46,3,FALSE),""))</f>
        <v/>
      </c>
      <c r="AC106" s="851">
        <f>IFERROR(IF(C106="",1.1,IF(T106="",1,IF($C106=1,VLOOKUP($B106,'Werkschema - Rekening'!$B$2:$E$46,4,FALSE),IF($C106=2,Instellingen!E$16,IF($C106=3,Instellingen!F$16,IF($C106=4,M106))))+$D106)+$Z106),1.1)</f>
        <v/>
      </c>
      <c r="AD106" s="852">
        <f>IF($B106="","",IFERROR(VLOOKUP($B106,'Werkschema - Rekening'!$B$2:$P$46,5,FALSE),""))</f>
        <v/>
      </c>
      <c r="AE106" s="851">
        <f>IFERROR(IF(C106="",1.1,IF(U106="",1,IF($C106=1,VLOOKUP($B106,'Werkschema - Rekening'!$B$2:$G$46,6,FALSE),IF($C106=2,Instellingen!G$16,IF($C106=3,Instellingen!H$16,IF($C106=4,N106))))+$D106)+$Z106),1.1)</f>
        <v/>
      </c>
      <c r="AF106" s="852">
        <f>IF($B106="","",IFERROR(VLOOKUP($B106,'Werkschema - Rekening'!$B$2:$P$46,7,FALSE),""))</f>
        <v/>
      </c>
      <c r="AG106" s="851">
        <f>IFERROR(IF(C106="",1.1,IF(V106="",1,IF($C106=1,VLOOKUP($B106,'Werkschema - Rekening'!$B$2:$I$46,8,FALSE),IF($C106=2,Instellingen!I$16,IF($C106=3,Instellingen!J$16,IF($C106=4,O106))))+$D106)+$Z106),1.1)</f>
        <v/>
      </c>
      <c r="AH106" s="852">
        <f>IF($B106="","",IFERROR(VLOOKUP($B106,'Werkschema - Rekening'!$B$2:$P$46,9,FALSE),""))</f>
        <v/>
      </c>
      <c r="AI106" s="851">
        <f>IFERROR(IF(C106="",1.1,IF(W106="",1,IF($C106=1,VLOOKUP($B106,'Werkschema - Rekening'!$B$2:$K$46,10,FALSE),IF($C106=2,Instellingen!K$16,IF($C106=3,Instellingen!L$16,IF($C106=4,P106))))+$D106)+$Z106),1.1)</f>
        <v/>
      </c>
      <c r="AJ106" s="852">
        <f>IF($B106="","",IFERROR(VLOOKUP($B106,'Werkschema - Rekening'!$B$2:$P$46,11,FALSE),""))</f>
        <v/>
      </c>
      <c r="AK106" s="851">
        <f>IFERROR(IF(C106="",1.1,IF(X106="",1,IF($C106=1,VLOOKUP($B106,'Werkschema - Rekening'!$B$2:$M$46,12,FALSE),IF($C106=2,Instellingen!M$16,IF($C106=3,Instellingen!N$16,IF($C106=4,Q106))))+$D106)+$Z106),1.1)</f>
        <v/>
      </c>
      <c r="AL106" s="852">
        <f>IF($B106="","",IFERROR(VLOOKUP($B106,'Werkschema - Rekening'!$B$2:$P$46,13,FALSE),""))</f>
        <v/>
      </c>
      <c r="AM106" s="851">
        <f>IFERROR(IF(C106="",1.1,IF(Y106="",1,IF($C106=1,VLOOKUP($B106,'Werkschema - Rekening'!$B$2:$O$46,14,FALSE),IF($C106=2,Instellingen!O$16,IF($C106=3,Instellingen!P$16,IF($C106=4,R106))))+$D106)+$Z106),1.1)</f>
        <v/>
      </c>
      <c r="AN106" s="852">
        <f>IF($B106="","",IFERROR(VLOOKUP($B106,'Werkschema - Rekening'!$B$2:$P$46,15,FALSE),""))</f>
        <v/>
      </c>
      <c r="AO106" s="852">
        <f>A106</f>
        <v/>
      </c>
      <c r="AP106" s="852">
        <f>B106</f>
        <v/>
      </c>
    </row>
    <row r="107" ht="12.6" customHeight="1">
      <c r="A107" s="830">
        <f>'Aanpassen Werkschema'!B137</f>
        <v/>
      </c>
      <c r="B107" s="569">
        <f>'Aanpassen Werkschema'!C137</f>
        <v/>
      </c>
      <c r="C107" s="569">
        <f>IF('Aanpassen Werkschema'!D137="geplande taak",1,IF('Aanpassen Werkschema'!D137="openingstijd",2,IF('Aanpassen Werkschema'!D137="sluitingstijd",3,IF('Aanpassen Werkschema'!D137="vaste tijd",4,""))))</f>
        <v/>
      </c>
      <c r="D107" s="849">
        <f>'Aanpassen Werkschema'!E137</f>
        <v/>
      </c>
      <c r="E107" s="569">
        <f>IF('Aanpassen Werkschema'!F137="v","x","")</f>
        <v/>
      </c>
      <c r="F107" s="569">
        <f>IF('Aanpassen Werkschema'!G137="v","x","")</f>
        <v/>
      </c>
      <c r="G107" s="569">
        <f>IF('Aanpassen Werkschema'!H137="v","x","")</f>
        <v/>
      </c>
      <c r="H107" s="569">
        <f>IF('Aanpassen Werkschema'!I137="v","x","")</f>
        <v/>
      </c>
      <c r="I107" s="569">
        <f>IF('Aanpassen Werkschema'!J137="v","x","")</f>
        <v/>
      </c>
      <c r="J107" s="569">
        <f>IF('Aanpassen Werkschema'!K137="v","x","")</f>
        <v/>
      </c>
      <c r="K107" s="569">
        <f>IF('Aanpassen Werkschema'!L137="v","x","")</f>
        <v/>
      </c>
      <c r="L107" s="571">
        <f>IF('Aanpassen Werkschema'!M137&gt;0,'Aanpassen Werkschema'!M137,"")</f>
        <v/>
      </c>
      <c r="M107" s="571">
        <f>IF('Aanpassen Werkschema'!N137&gt;0,'Aanpassen Werkschema'!N137,"")</f>
        <v/>
      </c>
      <c r="N107" s="571">
        <f>IF('Aanpassen Werkschema'!O137&gt;0,'Aanpassen Werkschema'!O137,"")</f>
        <v/>
      </c>
      <c r="O107" s="571">
        <f>IF('Aanpassen Werkschema'!P137&gt;0,'Aanpassen Werkschema'!P137,"")</f>
        <v/>
      </c>
      <c r="P107" s="571">
        <f>IF('Aanpassen Werkschema'!Q137&gt;0,'Aanpassen Werkschema'!Q137,"")</f>
        <v/>
      </c>
      <c r="Q107" s="571">
        <f>IF('Aanpassen Werkschema'!R137&gt;0,'Aanpassen Werkschema'!R137,"")</f>
        <v/>
      </c>
      <c r="R107" s="571">
        <f>IF('Aanpassen Werkschema'!S137&gt;0,'Aanpassen Werkschema'!S137,"")</f>
        <v/>
      </c>
      <c r="S107" s="569">
        <f>IF('Aanpassen Werkschema'!T137="x","",IF('Aanpassen Werkschema'!N137="v","x",IF(E107="","",IF(E107="x","x"))))</f>
        <v/>
      </c>
      <c r="T107" s="569">
        <f>IF('Aanpassen Werkschema'!U137="x","",IF('Aanpassen Werkschema'!O137="v","x",IF(F107="","",IF(F107="x","x"))))</f>
        <v/>
      </c>
      <c r="U107" s="569">
        <f>IF('Aanpassen Werkschema'!V137="x","",IF('Aanpassen Werkschema'!P137="v","x",IF(G107="","",IF(G107="x","x"))))</f>
        <v/>
      </c>
      <c r="V107" s="569">
        <f>IF('Aanpassen Werkschema'!W137="x","",IF('Aanpassen Werkschema'!Q137="v","x",IF(H107="","",IF(H107="x","x"))))</f>
        <v/>
      </c>
      <c r="W107" s="569">
        <f>IF('Aanpassen Werkschema'!X137="x","",IF('Aanpassen Werkschema'!R137="v","x",IF(I107="","",IF(I107="x","x"))))</f>
        <v/>
      </c>
      <c r="X107" s="569">
        <f>IF('Aanpassen Werkschema'!Y137="x","",IF('Aanpassen Werkschema'!S137="v","x",IF(J107="","",IF(J107="x","x"))))</f>
        <v/>
      </c>
      <c r="Y107" s="569">
        <f>IF('Aanpassen Werkschema'!Z137="x","",IF('Aanpassen Werkschema'!T137="v","x",IF(K107="","",IF(K107="x","x"))))</f>
        <v/>
      </c>
      <c r="Z107" s="850">
        <f>Z106+0.0000000001</f>
        <v/>
      </c>
      <c r="AA107" s="851">
        <f>IFERROR(IF(C107="",1.1,IF(S107="",1,IF($C107=1,VLOOKUP($B107,'Werkschema - Rekening'!$B$2:$C$46,2,FALSE),IF($C107=2,Instellingen!C$16,IF($C107=3,Instellingen!D$16,IF($C107=4,L107))))+$D107)+$Z107),1.1)</f>
        <v/>
      </c>
      <c r="AB107" s="852">
        <f>IF($B107="","",IFERROR(VLOOKUP($B107,'Werkschema - Rekening'!$B$2:$P$46,3,FALSE),""))</f>
        <v/>
      </c>
      <c r="AC107" s="851">
        <f>IFERROR(IF(C107="",1.1,IF(T107="",1,IF($C107=1,VLOOKUP($B107,'Werkschema - Rekening'!$B$2:$E$46,4,FALSE),IF($C107=2,Instellingen!E$16,IF($C107=3,Instellingen!F$16,IF($C107=4,M107))))+$D107)+$Z107),1.1)</f>
        <v/>
      </c>
      <c r="AD107" s="852">
        <f>IF($B107="","",IFERROR(VLOOKUP($B107,'Werkschema - Rekening'!$B$2:$P$46,5,FALSE),""))</f>
        <v/>
      </c>
      <c r="AE107" s="851">
        <f>IFERROR(IF(C107="",1.1,IF(U107="",1,IF($C107=1,VLOOKUP($B107,'Werkschema - Rekening'!$B$2:$G$46,6,FALSE),IF($C107=2,Instellingen!G$16,IF($C107=3,Instellingen!H$16,IF($C107=4,N107))))+$D107)+$Z107),1.1)</f>
        <v/>
      </c>
      <c r="AF107" s="852">
        <f>IF($B107="","",IFERROR(VLOOKUP($B107,'Werkschema - Rekening'!$B$2:$P$46,7,FALSE),""))</f>
        <v/>
      </c>
      <c r="AG107" s="851">
        <f>IFERROR(IF(C107="",1.1,IF(V107="",1,IF($C107=1,VLOOKUP($B107,'Werkschema - Rekening'!$B$2:$I$46,8,FALSE),IF($C107=2,Instellingen!I$16,IF($C107=3,Instellingen!J$16,IF($C107=4,O107))))+$D107)+$Z107),1.1)</f>
        <v/>
      </c>
      <c r="AH107" s="852">
        <f>IF($B107="","",IFERROR(VLOOKUP($B107,'Werkschema - Rekening'!$B$2:$P$46,9,FALSE),""))</f>
        <v/>
      </c>
      <c r="AI107" s="851">
        <f>IFERROR(IF(C107="",1.1,IF(W107="",1,IF($C107=1,VLOOKUP($B107,'Werkschema - Rekening'!$B$2:$K$46,10,FALSE),IF($C107=2,Instellingen!K$16,IF($C107=3,Instellingen!L$16,IF($C107=4,P107))))+$D107)+$Z107),1.1)</f>
        <v/>
      </c>
      <c r="AJ107" s="852">
        <f>IF($B107="","",IFERROR(VLOOKUP($B107,'Werkschema - Rekening'!$B$2:$P$46,11,FALSE),""))</f>
        <v/>
      </c>
      <c r="AK107" s="851">
        <f>IFERROR(IF(C107="",1.1,IF(X107="",1,IF($C107=1,VLOOKUP($B107,'Werkschema - Rekening'!$B$2:$M$46,12,FALSE),IF($C107=2,Instellingen!M$16,IF($C107=3,Instellingen!N$16,IF($C107=4,Q107))))+$D107)+$Z107),1.1)</f>
        <v/>
      </c>
      <c r="AL107" s="852">
        <f>IF($B107="","",IFERROR(VLOOKUP($B107,'Werkschema - Rekening'!$B$2:$P$46,13,FALSE),""))</f>
        <v/>
      </c>
      <c r="AM107" s="851">
        <f>IFERROR(IF(C107="",1.1,IF(Y107="",1,IF($C107=1,VLOOKUP($B107,'Werkschema - Rekening'!$B$2:$O$46,14,FALSE),IF($C107=2,Instellingen!O$16,IF($C107=3,Instellingen!P$16,IF($C107=4,R107))))+$D107)+$Z107),1.1)</f>
        <v/>
      </c>
      <c r="AN107" s="852">
        <f>IF($B107="","",IFERROR(VLOOKUP($B107,'Werkschema - Rekening'!$B$2:$P$46,15,FALSE),""))</f>
        <v/>
      </c>
      <c r="AO107" s="852">
        <f>A107</f>
        <v/>
      </c>
      <c r="AP107" s="852">
        <f>B107</f>
        <v/>
      </c>
    </row>
    <row r="108" ht="12.6" customHeight="1">
      <c r="A108" s="830">
        <f>'Aanpassen Werkschema'!B138</f>
        <v/>
      </c>
      <c r="B108" s="569">
        <f>'Aanpassen Werkschema'!C138</f>
        <v/>
      </c>
      <c r="C108" s="569">
        <f>IF('Aanpassen Werkschema'!D138="geplande taak",1,IF('Aanpassen Werkschema'!D138="openingstijd",2,IF('Aanpassen Werkschema'!D138="sluitingstijd",3,IF('Aanpassen Werkschema'!D138="vaste tijd",4,""))))</f>
        <v/>
      </c>
      <c r="D108" s="849">
        <f>'Aanpassen Werkschema'!E138</f>
        <v/>
      </c>
      <c r="E108" s="569">
        <f>IF('Aanpassen Werkschema'!F138="v","x","")</f>
        <v/>
      </c>
      <c r="F108" s="569">
        <f>IF('Aanpassen Werkschema'!G138="v","x","")</f>
        <v/>
      </c>
      <c r="G108" s="569">
        <f>IF('Aanpassen Werkschema'!H138="v","x","")</f>
        <v/>
      </c>
      <c r="H108" s="569">
        <f>IF('Aanpassen Werkschema'!I138="v","x","")</f>
        <v/>
      </c>
      <c r="I108" s="569">
        <f>IF('Aanpassen Werkschema'!J138="v","x","")</f>
        <v/>
      </c>
      <c r="J108" s="569">
        <f>IF('Aanpassen Werkschema'!K138="v","x","")</f>
        <v/>
      </c>
      <c r="K108" s="569">
        <f>IF('Aanpassen Werkschema'!L138="v","x","")</f>
        <v/>
      </c>
      <c r="L108" s="571">
        <f>IF('Aanpassen Werkschema'!M138&gt;0,'Aanpassen Werkschema'!M138,"")</f>
        <v/>
      </c>
      <c r="M108" s="571">
        <f>IF('Aanpassen Werkschema'!N138&gt;0,'Aanpassen Werkschema'!N138,"")</f>
        <v/>
      </c>
      <c r="N108" s="571">
        <f>IF('Aanpassen Werkschema'!O138&gt;0,'Aanpassen Werkschema'!O138,"")</f>
        <v/>
      </c>
      <c r="O108" s="571">
        <f>IF('Aanpassen Werkschema'!P138&gt;0,'Aanpassen Werkschema'!P138,"")</f>
        <v/>
      </c>
      <c r="P108" s="571">
        <f>IF('Aanpassen Werkschema'!Q138&gt;0,'Aanpassen Werkschema'!Q138,"")</f>
        <v/>
      </c>
      <c r="Q108" s="571">
        <f>IF('Aanpassen Werkschema'!R138&gt;0,'Aanpassen Werkschema'!R138,"")</f>
        <v/>
      </c>
      <c r="R108" s="571">
        <f>IF('Aanpassen Werkschema'!S138&gt;0,'Aanpassen Werkschema'!S138,"")</f>
        <v/>
      </c>
      <c r="S108" s="569">
        <f>IF('Aanpassen Werkschema'!T138="x","",IF('Aanpassen Werkschema'!N138="v","x",IF(E108="","",IF(E108="x","x"))))</f>
        <v/>
      </c>
      <c r="T108" s="569">
        <f>IF('Aanpassen Werkschema'!U138="x","",IF('Aanpassen Werkschema'!O138="v","x",IF(F108="","",IF(F108="x","x"))))</f>
        <v/>
      </c>
      <c r="U108" s="569">
        <f>IF('Aanpassen Werkschema'!V138="x","",IF('Aanpassen Werkschema'!P138="v","x",IF(G108="","",IF(G108="x","x"))))</f>
        <v/>
      </c>
      <c r="V108" s="569">
        <f>IF('Aanpassen Werkschema'!W138="x","",IF('Aanpassen Werkschema'!Q138="v","x",IF(H108="","",IF(H108="x","x"))))</f>
        <v/>
      </c>
      <c r="W108" s="569">
        <f>IF('Aanpassen Werkschema'!X138="x","",IF('Aanpassen Werkschema'!R138="v","x",IF(I108="","",IF(I108="x","x"))))</f>
        <v/>
      </c>
      <c r="X108" s="569">
        <f>IF('Aanpassen Werkschema'!Y138="x","",IF('Aanpassen Werkschema'!S138="v","x",IF(J108="","",IF(J108="x","x"))))</f>
        <v/>
      </c>
      <c r="Y108" s="569">
        <f>IF('Aanpassen Werkschema'!Z138="x","",IF('Aanpassen Werkschema'!T138="v","x",IF(K108="","",IF(K108="x","x"))))</f>
        <v/>
      </c>
      <c r="Z108" s="850">
        <f>Z107+0.0000000001</f>
        <v/>
      </c>
      <c r="AA108" s="851">
        <f>IFERROR(IF(C108="",1.1,IF(S108="",1,IF($C108=1,VLOOKUP($B108,'Werkschema - Rekening'!$B$2:$C$46,2,FALSE),IF($C108=2,Instellingen!C$16,IF($C108=3,Instellingen!D$16,IF($C108=4,L108))))+$D108)+$Z108),1.1)</f>
        <v/>
      </c>
      <c r="AB108" s="852">
        <f>IF($B108="","",IFERROR(VLOOKUP($B108,'Werkschema - Rekening'!$B$2:$P$46,3,FALSE),""))</f>
        <v/>
      </c>
      <c r="AC108" s="851">
        <f>IFERROR(IF(C108="",1.1,IF(T108="",1,IF($C108=1,VLOOKUP($B108,'Werkschema - Rekening'!$B$2:$E$46,4,FALSE),IF($C108=2,Instellingen!E$16,IF($C108=3,Instellingen!F$16,IF($C108=4,M108))))+$D108)+$Z108),1.1)</f>
        <v/>
      </c>
      <c r="AD108" s="852">
        <f>IF($B108="","",IFERROR(VLOOKUP($B108,'Werkschema - Rekening'!$B$2:$P$46,5,FALSE),""))</f>
        <v/>
      </c>
      <c r="AE108" s="851">
        <f>IFERROR(IF(C108="",1.1,IF(U108="",1,IF($C108=1,VLOOKUP($B108,'Werkschema - Rekening'!$B$2:$G$46,6,FALSE),IF($C108=2,Instellingen!G$16,IF($C108=3,Instellingen!H$16,IF($C108=4,N108))))+$D108)+$Z108),1.1)</f>
        <v/>
      </c>
      <c r="AF108" s="852">
        <f>IF($B108="","",IFERROR(VLOOKUP($B108,'Werkschema - Rekening'!$B$2:$P$46,7,FALSE),""))</f>
        <v/>
      </c>
      <c r="AG108" s="851">
        <f>IFERROR(IF(C108="",1.1,IF(V108="",1,IF($C108=1,VLOOKUP($B108,'Werkschema - Rekening'!$B$2:$I$46,8,FALSE),IF($C108=2,Instellingen!I$16,IF($C108=3,Instellingen!J$16,IF($C108=4,O108))))+$D108)+$Z108),1.1)</f>
        <v/>
      </c>
      <c r="AH108" s="852">
        <f>IF($B108="","",IFERROR(VLOOKUP($B108,'Werkschema - Rekening'!$B$2:$P$46,9,FALSE),""))</f>
        <v/>
      </c>
      <c r="AI108" s="851">
        <f>IFERROR(IF(C108="",1.1,IF(W108="",1,IF($C108=1,VLOOKUP($B108,'Werkschema - Rekening'!$B$2:$K$46,10,FALSE),IF($C108=2,Instellingen!K$16,IF($C108=3,Instellingen!L$16,IF($C108=4,P108))))+$D108)+$Z108),1.1)</f>
        <v/>
      </c>
      <c r="AJ108" s="852">
        <f>IF($B108="","",IFERROR(VLOOKUP($B108,'Werkschema - Rekening'!$B$2:$P$46,11,FALSE),""))</f>
        <v/>
      </c>
      <c r="AK108" s="851">
        <f>IFERROR(IF(C108="",1.1,IF(X108="",1,IF($C108=1,VLOOKUP($B108,'Werkschema - Rekening'!$B$2:$M$46,12,FALSE),IF($C108=2,Instellingen!M$16,IF($C108=3,Instellingen!N$16,IF($C108=4,Q108))))+$D108)+$Z108),1.1)</f>
        <v/>
      </c>
      <c r="AL108" s="852">
        <f>IF($B108="","",IFERROR(VLOOKUP($B108,'Werkschema - Rekening'!$B$2:$P$46,13,FALSE),""))</f>
        <v/>
      </c>
      <c r="AM108" s="851">
        <f>IFERROR(IF(C108="",1.1,IF(Y108="",1,IF($C108=1,VLOOKUP($B108,'Werkschema - Rekening'!$B$2:$O$46,14,FALSE),IF($C108=2,Instellingen!O$16,IF($C108=3,Instellingen!P$16,IF($C108=4,R108))))+$D108)+$Z108),1.1)</f>
        <v/>
      </c>
      <c r="AN108" s="852">
        <f>IF($B108="","",IFERROR(VLOOKUP($B108,'Werkschema - Rekening'!$B$2:$P$46,15,FALSE),""))</f>
        <v/>
      </c>
      <c r="AO108" s="852">
        <f>A108</f>
        <v/>
      </c>
      <c r="AP108" s="852">
        <f>B108</f>
        <v/>
      </c>
    </row>
    <row r="109" ht="12.6" customHeight="1">
      <c r="A109" s="830">
        <f>'Aanpassen Werkschema'!B139</f>
        <v/>
      </c>
      <c r="B109" s="569">
        <f>'Aanpassen Werkschema'!C139</f>
        <v/>
      </c>
      <c r="C109" s="569">
        <f>IF('Aanpassen Werkschema'!D139="geplande taak",1,IF('Aanpassen Werkschema'!D139="openingstijd",2,IF('Aanpassen Werkschema'!D139="sluitingstijd",3,IF('Aanpassen Werkschema'!D139="vaste tijd",4,""))))</f>
        <v/>
      </c>
      <c r="D109" s="849">
        <f>'Aanpassen Werkschema'!E139</f>
        <v/>
      </c>
      <c r="E109" s="569">
        <f>IF('Aanpassen Werkschema'!F139="v","x","")</f>
        <v/>
      </c>
      <c r="F109" s="569">
        <f>IF('Aanpassen Werkschema'!G139="v","x","")</f>
        <v/>
      </c>
      <c r="G109" s="569">
        <f>IF('Aanpassen Werkschema'!H139="v","x","")</f>
        <v/>
      </c>
      <c r="H109" s="569">
        <f>IF('Aanpassen Werkschema'!I139="v","x","")</f>
        <v/>
      </c>
      <c r="I109" s="569">
        <f>IF('Aanpassen Werkschema'!J139="v","x","")</f>
        <v/>
      </c>
      <c r="J109" s="569">
        <f>IF('Aanpassen Werkschema'!K139="v","x","")</f>
        <v/>
      </c>
      <c r="K109" s="569">
        <f>IF('Aanpassen Werkschema'!L139="v","x","")</f>
        <v/>
      </c>
      <c r="L109" s="571">
        <f>IF('Aanpassen Werkschema'!M139&gt;0,'Aanpassen Werkschema'!M139,"")</f>
        <v/>
      </c>
      <c r="M109" s="571">
        <f>IF('Aanpassen Werkschema'!N139&gt;0,'Aanpassen Werkschema'!N139,"")</f>
        <v/>
      </c>
      <c r="N109" s="571">
        <f>IF('Aanpassen Werkschema'!O139&gt;0,'Aanpassen Werkschema'!O139,"")</f>
        <v/>
      </c>
      <c r="O109" s="571">
        <f>IF('Aanpassen Werkschema'!P139&gt;0,'Aanpassen Werkschema'!P139,"")</f>
        <v/>
      </c>
      <c r="P109" s="571">
        <f>IF('Aanpassen Werkschema'!Q139&gt;0,'Aanpassen Werkschema'!Q139,"")</f>
        <v/>
      </c>
      <c r="Q109" s="571">
        <f>IF('Aanpassen Werkschema'!R139&gt;0,'Aanpassen Werkschema'!R139,"")</f>
        <v/>
      </c>
      <c r="R109" s="571">
        <f>IF('Aanpassen Werkschema'!S139&gt;0,'Aanpassen Werkschema'!S139,"")</f>
        <v/>
      </c>
      <c r="S109" s="569">
        <f>IF('Aanpassen Werkschema'!T139="x","",IF('Aanpassen Werkschema'!N139="v","x",IF(E109="","",IF(E109="x","x"))))</f>
        <v/>
      </c>
      <c r="T109" s="569">
        <f>IF('Aanpassen Werkschema'!U139="x","",IF('Aanpassen Werkschema'!O139="v","x",IF(F109="","",IF(F109="x","x"))))</f>
        <v/>
      </c>
      <c r="U109" s="569">
        <f>IF('Aanpassen Werkschema'!V139="x","",IF('Aanpassen Werkschema'!P139="v","x",IF(G109="","",IF(G109="x","x"))))</f>
        <v/>
      </c>
      <c r="V109" s="569">
        <f>IF('Aanpassen Werkschema'!W139="x","",IF('Aanpassen Werkschema'!Q139="v","x",IF(H109="","",IF(H109="x","x"))))</f>
        <v/>
      </c>
      <c r="W109" s="569">
        <f>IF('Aanpassen Werkschema'!X139="x","",IF('Aanpassen Werkschema'!R139="v","x",IF(I109="","",IF(I109="x","x"))))</f>
        <v/>
      </c>
      <c r="X109" s="569">
        <f>IF('Aanpassen Werkschema'!Y139="x","",IF('Aanpassen Werkschema'!S139="v","x",IF(J109="","",IF(J109="x","x"))))</f>
        <v/>
      </c>
      <c r="Y109" s="569">
        <f>IF('Aanpassen Werkschema'!Z139="x","",IF('Aanpassen Werkschema'!T139="v","x",IF(K109="","",IF(K109="x","x"))))</f>
        <v/>
      </c>
      <c r="Z109" s="850">
        <f>Z108+0.0000000001</f>
        <v/>
      </c>
      <c r="AA109" s="851">
        <f>IFERROR(IF(C109="",1.1,IF(S109="",1,IF($C109=1,VLOOKUP($B109,'Werkschema - Rekening'!$B$2:$C$46,2,FALSE),IF($C109=2,Instellingen!C$16,IF($C109=3,Instellingen!D$16,IF($C109=4,L109))))+$D109)+$Z109),1.1)</f>
        <v/>
      </c>
      <c r="AB109" s="852">
        <f>IF($B109="","",IFERROR(VLOOKUP($B109,'Werkschema - Rekening'!$B$2:$P$46,3,FALSE),""))</f>
        <v/>
      </c>
      <c r="AC109" s="851">
        <f>IFERROR(IF(C109="",1.1,IF(T109="",1,IF($C109=1,VLOOKUP($B109,'Werkschema - Rekening'!$B$2:$E$46,4,FALSE),IF($C109=2,Instellingen!E$16,IF($C109=3,Instellingen!F$16,IF($C109=4,M109))))+$D109)+$Z109),1.1)</f>
        <v/>
      </c>
      <c r="AD109" s="852">
        <f>IF($B109="","",IFERROR(VLOOKUP($B109,'Werkschema - Rekening'!$B$2:$P$46,5,FALSE),""))</f>
        <v/>
      </c>
      <c r="AE109" s="851">
        <f>IFERROR(IF(C109="",1.1,IF(U109="",1,IF($C109=1,VLOOKUP($B109,'Werkschema - Rekening'!$B$2:$G$46,6,FALSE),IF($C109=2,Instellingen!G$16,IF($C109=3,Instellingen!H$16,IF($C109=4,N109))))+$D109)+$Z109),1.1)</f>
        <v/>
      </c>
      <c r="AF109" s="852">
        <f>IF($B109="","",IFERROR(VLOOKUP($B109,'Werkschema - Rekening'!$B$2:$P$46,7,FALSE),""))</f>
        <v/>
      </c>
      <c r="AG109" s="851">
        <f>IFERROR(IF(C109="",1.1,IF(V109="",1,IF($C109=1,VLOOKUP($B109,'Werkschema - Rekening'!$B$2:$I$46,8,FALSE),IF($C109=2,Instellingen!I$16,IF($C109=3,Instellingen!J$16,IF($C109=4,O109))))+$D109)+$Z109),1.1)</f>
        <v/>
      </c>
      <c r="AH109" s="852">
        <f>IF($B109="","",IFERROR(VLOOKUP($B109,'Werkschema - Rekening'!$B$2:$P$46,9,FALSE),""))</f>
        <v/>
      </c>
      <c r="AI109" s="851">
        <f>IFERROR(IF(C109="",1.1,IF(W109="",1,IF($C109=1,VLOOKUP($B109,'Werkschema - Rekening'!$B$2:$K$46,10,FALSE),IF($C109=2,Instellingen!K$16,IF($C109=3,Instellingen!L$16,IF($C109=4,P109))))+$D109)+$Z109),1.1)</f>
        <v/>
      </c>
      <c r="AJ109" s="852">
        <f>IF($B109="","",IFERROR(VLOOKUP($B109,'Werkschema - Rekening'!$B$2:$P$46,11,FALSE),""))</f>
        <v/>
      </c>
      <c r="AK109" s="851">
        <f>IFERROR(IF(C109="",1.1,IF(X109="",1,IF($C109=1,VLOOKUP($B109,'Werkschema - Rekening'!$B$2:$M$46,12,FALSE),IF($C109=2,Instellingen!M$16,IF($C109=3,Instellingen!N$16,IF($C109=4,Q109))))+$D109)+$Z109),1.1)</f>
        <v/>
      </c>
      <c r="AL109" s="852">
        <f>IF($B109="","",IFERROR(VLOOKUP($B109,'Werkschema - Rekening'!$B$2:$P$46,13,FALSE),""))</f>
        <v/>
      </c>
      <c r="AM109" s="851">
        <f>IFERROR(IF(C109="",1.1,IF(Y109="",1,IF($C109=1,VLOOKUP($B109,'Werkschema - Rekening'!$B$2:$O$46,14,FALSE),IF($C109=2,Instellingen!O$16,IF($C109=3,Instellingen!P$16,IF($C109=4,R109))))+$D109)+$Z109),1.1)</f>
        <v/>
      </c>
      <c r="AN109" s="852">
        <f>IF($B109="","",IFERROR(VLOOKUP($B109,'Werkschema - Rekening'!$B$2:$P$46,15,FALSE),""))</f>
        <v/>
      </c>
      <c r="AO109" s="852">
        <f>A109</f>
        <v/>
      </c>
      <c r="AP109" s="852">
        <f>B109</f>
        <v/>
      </c>
    </row>
    <row r="110" ht="12.6" customHeight="1">
      <c r="A110" s="830">
        <f>'Aanpassen Werkschema'!B140</f>
        <v/>
      </c>
      <c r="B110" s="569">
        <f>'Aanpassen Werkschema'!C140</f>
        <v/>
      </c>
      <c r="C110" s="569">
        <f>IF('Aanpassen Werkschema'!D140="geplande taak",1,IF('Aanpassen Werkschema'!D140="openingstijd",2,IF('Aanpassen Werkschema'!D140="sluitingstijd",3,IF('Aanpassen Werkschema'!D140="vaste tijd",4,""))))</f>
        <v/>
      </c>
      <c r="D110" s="849">
        <f>'Aanpassen Werkschema'!E140</f>
        <v/>
      </c>
      <c r="E110" s="569">
        <f>IF('Aanpassen Werkschema'!F140="v","x","")</f>
        <v/>
      </c>
      <c r="F110" s="569">
        <f>IF('Aanpassen Werkschema'!G140="v","x","")</f>
        <v/>
      </c>
      <c r="G110" s="569">
        <f>IF('Aanpassen Werkschema'!H140="v","x","")</f>
        <v/>
      </c>
      <c r="H110" s="569">
        <f>IF('Aanpassen Werkschema'!I140="v","x","")</f>
        <v/>
      </c>
      <c r="I110" s="569">
        <f>IF('Aanpassen Werkschema'!J140="v","x","")</f>
        <v/>
      </c>
      <c r="J110" s="569">
        <f>IF('Aanpassen Werkschema'!K140="v","x","")</f>
        <v/>
      </c>
      <c r="K110" s="569">
        <f>IF('Aanpassen Werkschema'!L140="v","x","")</f>
        <v/>
      </c>
      <c r="L110" s="571">
        <f>IF('Aanpassen Werkschema'!M140&gt;0,'Aanpassen Werkschema'!M140,"")</f>
        <v/>
      </c>
      <c r="M110" s="571">
        <f>IF('Aanpassen Werkschema'!N140&gt;0,'Aanpassen Werkschema'!N140,"")</f>
        <v/>
      </c>
      <c r="N110" s="571">
        <f>IF('Aanpassen Werkschema'!O140&gt;0,'Aanpassen Werkschema'!O140,"")</f>
        <v/>
      </c>
      <c r="O110" s="571">
        <f>IF('Aanpassen Werkschema'!P140&gt;0,'Aanpassen Werkschema'!P140,"")</f>
        <v/>
      </c>
      <c r="P110" s="571">
        <f>IF('Aanpassen Werkschema'!Q140&gt;0,'Aanpassen Werkschema'!Q140,"")</f>
        <v/>
      </c>
      <c r="Q110" s="571">
        <f>IF('Aanpassen Werkschema'!R140&gt;0,'Aanpassen Werkschema'!R140,"")</f>
        <v/>
      </c>
      <c r="R110" s="571">
        <f>IF('Aanpassen Werkschema'!S140&gt;0,'Aanpassen Werkschema'!S140,"")</f>
        <v/>
      </c>
      <c r="S110" s="569">
        <f>IF('Aanpassen Werkschema'!T140="x","",IF('Aanpassen Werkschema'!N140="v","x",IF(E110="","",IF(E110="x","x"))))</f>
        <v/>
      </c>
      <c r="T110" s="569">
        <f>IF('Aanpassen Werkschema'!U140="x","",IF('Aanpassen Werkschema'!O140="v","x",IF(F110="","",IF(F110="x","x"))))</f>
        <v/>
      </c>
      <c r="U110" s="569">
        <f>IF('Aanpassen Werkschema'!V140="x","",IF('Aanpassen Werkschema'!P140="v","x",IF(G110="","",IF(G110="x","x"))))</f>
        <v/>
      </c>
      <c r="V110" s="569">
        <f>IF('Aanpassen Werkschema'!W140="x","",IF('Aanpassen Werkschema'!Q140="v","x",IF(H110="","",IF(H110="x","x"))))</f>
        <v/>
      </c>
      <c r="W110" s="569">
        <f>IF('Aanpassen Werkschema'!X140="x","",IF('Aanpassen Werkschema'!R140="v","x",IF(I110="","",IF(I110="x","x"))))</f>
        <v/>
      </c>
      <c r="X110" s="569">
        <f>IF('Aanpassen Werkschema'!Y140="x","",IF('Aanpassen Werkschema'!S140="v","x",IF(J110="","",IF(J110="x","x"))))</f>
        <v/>
      </c>
      <c r="Y110" s="569">
        <f>IF('Aanpassen Werkschema'!Z140="x","",IF('Aanpassen Werkschema'!T140="v","x",IF(K110="","",IF(K110="x","x"))))</f>
        <v/>
      </c>
      <c r="Z110" s="850">
        <f>Z109+0.0000000001</f>
        <v/>
      </c>
      <c r="AA110" s="851">
        <f>IFERROR(IF(C110="",1.1,IF(S110="",1,IF($C110=1,VLOOKUP($B110,'Werkschema - Rekening'!$B$2:$C$46,2,FALSE),IF($C110=2,Instellingen!C$16,IF($C110=3,Instellingen!D$16,IF($C110=4,L110))))+$D110)+$Z110),1.1)</f>
        <v/>
      </c>
      <c r="AB110" s="852">
        <f>IF($B110="","",IFERROR(VLOOKUP($B110,'Werkschema - Rekening'!$B$2:$P$46,3,FALSE),""))</f>
        <v/>
      </c>
      <c r="AC110" s="851">
        <f>IFERROR(IF(C110="",1.1,IF(T110="",1,IF($C110=1,VLOOKUP($B110,'Werkschema - Rekening'!$B$2:$E$46,4,FALSE),IF($C110=2,Instellingen!E$16,IF($C110=3,Instellingen!F$16,IF($C110=4,M110))))+$D110)+$Z110),1.1)</f>
        <v/>
      </c>
      <c r="AD110" s="852">
        <f>IF($B110="","",IFERROR(VLOOKUP($B110,'Werkschema - Rekening'!$B$2:$P$46,5,FALSE),""))</f>
        <v/>
      </c>
      <c r="AE110" s="851">
        <f>IFERROR(IF(C110="",1.1,IF(U110="",1,IF($C110=1,VLOOKUP($B110,'Werkschema - Rekening'!$B$2:$G$46,6,FALSE),IF($C110=2,Instellingen!G$16,IF($C110=3,Instellingen!H$16,IF($C110=4,N110))))+$D110)+$Z110),1.1)</f>
        <v/>
      </c>
      <c r="AF110" s="852">
        <f>IF($B110="","",IFERROR(VLOOKUP($B110,'Werkschema - Rekening'!$B$2:$P$46,7,FALSE),""))</f>
        <v/>
      </c>
      <c r="AG110" s="851">
        <f>IFERROR(IF(C110="",1.1,IF(V110="",1,IF($C110=1,VLOOKUP($B110,'Werkschema - Rekening'!$B$2:$I$46,8,FALSE),IF($C110=2,Instellingen!I$16,IF($C110=3,Instellingen!J$16,IF($C110=4,O110))))+$D110)+$Z110),1.1)</f>
        <v/>
      </c>
      <c r="AH110" s="852">
        <f>IF($B110="","",IFERROR(VLOOKUP($B110,'Werkschema - Rekening'!$B$2:$P$46,9,FALSE),""))</f>
        <v/>
      </c>
      <c r="AI110" s="851">
        <f>IFERROR(IF(C110="",1.1,IF(W110="",1,IF($C110=1,VLOOKUP($B110,'Werkschema - Rekening'!$B$2:$K$46,10,FALSE),IF($C110=2,Instellingen!K$16,IF($C110=3,Instellingen!L$16,IF($C110=4,P110))))+$D110)+$Z110),1.1)</f>
        <v/>
      </c>
      <c r="AJ110" s="852">
        <f>IF($B110="","",IFERROR(VLOOKUP($B110,'Werkschema - Rekening'!$B$2:$P$46,11,FALSE),""))</f>
        <v/>
      </c>
      <c r="AK110" s="851">
        <f>IFERROR(IF(C110="",1.1,IF(X110="",1,IF($C110=1,VLOOKUP($B110,'Werkschema - Rekening'!$B$2:$M$46,12,FALSE),IF($C110=2,Instellingen!M$16,IF($C110=3,Instellingen!N$16,IF($C110=4,Q110))))+$D110)+$Z110),1.1)</f>
        <v/>
      </c>
      <c r="AL110" s="852">
        <f>IF($B110="","",IFERROR(VLOOKUP($B110,'Werkschema - Rekening'!$B$2:$P$46,13,FALSE),""))</f>
        <v/>
      </c>
      <c r="AM110" s="851">
        <f>IFERROR(IF(C110="",1.1,IF(Y110="",1,IF($C110=1,VLOOKUP($B110,'Werkschema - Rekening'!$B$2:$O$46,14,FALSE),IF($C110=2,Instellingen!O$16,IF($C110=3,Instellingen!P$16,IF($C110=4,R110))))+$D110)+$Z110),1.1)</f>
        <v/>
      </c>
      <c r="AN110" s="852">
        <f>IF($B110="","",IFERROR(VLOOKUP($B110,'Werkschema - Rekening'!$B$2:$P$46,15,FALSE),""))</f>
        <v/>
      </c>
      <c r="AO110" s="852">
        <f>A110</f>
        <v/>
      </c>
      <c r="AP110" s="852">
        <f>B110</f>
        <v/>
      </c>
    </row>
    <row r="111" ht="12.6" customHeight="1">
      <c r="A111" s="830">
        <f>'Aanpassen Werkschema'!B141</f>
        <v/>
      </c>
      <c r="B111" s="569">
        <f>'Aanpassen Werkschema'!C141</f>
        <v/>
      </c>
      <c r="C111" s="569">
        <f>IF('Aanpassen Werkschema'!D141="geplande taak",1,IF('Aanpassen Werkschema'!D141="openingstijd",2,IF('Aanpassen Werkschema'!D141="sluitingstijd",3,IF('Aanpassen Werkschema'!D141="vaste tijd",4,""))))</f>
        <v/>
      </c>
      <c r="D111" s="849">
        <f>'Aanpassen Werkschema'!E141</f>
        <v/>
      </c>
      <c r="E111" s="569">
        <f>IF('Aanpassen Werkschema'!F141="v","x","")</f>
        <v/>
      </c>
      <c r="F111" s="569">
        <f>IF('Aanpassen Werkschema'!G141="v","x","")</f>
        <v/>
      </c>
      <c r="G111" s="569">
        <f>IF('Aanpassen Werkschema'!H141="v","x","")</f>
        <v/>
      </c>
      <c r="H111" s="569">
        <f>IF('Aanpassen Werkschema'!I141="v","x","")</f>
        <v/>
      </c>
      <c r="I111" s="569">
        <f>IF('Aanpassen Werkschema'!J141="v","x","")</f>
        <v/>
      </c>
      <c r="J111" s="569">
        <f>IF('Aanpassen Werkschema'!K141="v","x","")</f>
        <v/>
      </c>
      <c r="K111" s="569">
        <f>IF('Aanpassen Werkschema'!L141="v","x","")</f>
        <v/>
      </c>
      <c r="L111" s="571">
        <f>IF('Aanpassen Werkschema'!M141&gt;0,'Aanpassen Werkschema'!M141,"")</f>
        <v/>
      </c>
      <c r="M111" s="571">
        <f>IF('Aanpassen Werkschema'!N141&gt;0,'Aanpassen Werkschema'!N141,"")</f>
        <v/>
      </c>
      <c r="N111" s="571">
        <f>IF('Aanpassen Werkschema'!O141&gt;0,'Aanpassen Werkschema'!O141,"")</f>
        <v/>
      </c>
      <c r="O111" s="571">
        <f>IF('Aanpassen Werkschema'!P141&gt;0,'Aanpassen Werkschema'!P141,"")</f>
        <v/>
      </c>
      <c r="P111" s="571">
        <f>IF('Aanpassen Werkschema'!Q141&gt;0,'Aanpassen Werkschema'!Q141,"")</f>
        <v/>
      </c>
      <c r="Q111" s="571">
        <f>IF('Aanpassen Werkschema'!R141&gt;0,'Aanpassen Werkschema'!R141,"")</f>
        <v/>
      </c>
      <c r="R111" s="571">
        <f>IF('Aanpassen Werkschema'!S141&gt;0,'Aanpassen Werkschema'!S141,"")</f>
        <v/>
      </c>
      <c r="S111" s="569">
        <f>IF('Aanpassen Werkschema'!T141="x","",IF('Aanpassen Werkschema'!N141="v","x",IF(E111="","",IF(E111="x","x"))))</f>
        <v/>
      </c>
      <c r="T111" s="569">
        <f>IF('Aanpassen Werkschema'!U141="x","",IF('Aanpassen Werkschema'!O141="v","x",IF(F111="","",IF(F111="x","x"))))</f>
        <v/>
      </c>
      <c r="U111" s="569">
        <f>IF('Aanpassen Werkschema'!V141="x","",IF('Aanpassen Werkschema'!P141="v","x",IF(G111="","",IF(G111="x","x"))))</f>
        <v/>
      </c>
      <c r="V111" s="569">
        <f>IF('Aanpassen Werkschema'!W141="x","",IF('Aanpassen Werkschema'!Q141="v","x",IF(H111="","",IF(H111="x","x"))))</f>
        <v/>
      </c>
      <c r="W111" s="569">
        <f>IF('Aanpassen Werkschema'!X141="x","",IF('Aanpassen Werkschema'!R141="v","x",IF(I111="","",IF(I111="x","x"))))</f>
        <v/>
      </c>
      <c r="X111" s="569">
        <f>IF('Aanpassen Werkschema'!Y141="x","",IF('Aanpassen Werkschema'!S141="v","x",IF(J111="","",IF(J111="x","x"))))</f>
        <v/>
      </c>
      <c r="Y111" s="569">
        <f>IF('Aanpassen Werkschema'!Z141="x","",IF('Aanpassen Werkschema'!T141="v","x",IF(K111="","",IF(K111="x","x"))))</f>
        <v/>
      </c>
      <c r="Z111" s="850">
        <f>Z110+0.0000000001</f>
        <v/>
      </c>
      <c r="AA111" s="851">
        <f>IFERROR(IF(C111="",1.1,IF(S111="",1,IF($C111=1,VLOOKUP($B111,'Werkschema - Rekening'!$B$2:$C$46,2,FALSE),IF($C111=2,Instellingen!C$16,IF($C111=3,Instellingen!D$16,IF($C111=4,L111))))+$D111)+$Z111),1.1)</f>
        <v/>
      </c>
      <c r="AB111" s="852">
        <f>IF($B111="","",IFERROR(VLOOKUP($B111,'Werkschema - Rekening'!$B$2:$P$46,3,FALSE),""))</f>
        <v/>
      </c>
      <c r="AC111" s="851">
        <f>IFERROR(IF(C111="",1.1,IF(T111="",1,IF($C111=1,VLOOKUP($B111,'Werkschema - Rekening'!$B$2:$E$46,4,FALSE),IF($C111=2,Instellingen!E$16,IF($C111=3,Instellingen!F$16,IF($C111=4,M111))))+$D111)+$Z111),1.1)</f>
        <v/>
      </c>
      <c r="AD111" s="852">
        <f>IF($B111="","",IFERROR(VLOOKUP($B111,'Werkschema - Rekening'!$B$2:$P$46,5,FALSE),""))</f>
        <v/>
      </c>
      <c r="AE111" s="851">
        <f>IFERROR(IF(C111="",1.1,IF(U111="",1,IF($C111=1,VLOOKUP($B111,'Werkschema - Rekening'!$B$2:$G$46,6,FALSE),IF($C111=2,Instellingen!G$16,IF($C111=3,Instellingen!H$16,IF($C111=4,N111))))+$D111)+$Z111),1.1)</f>
        <v/>
      </c>
      <c r="AF111" s="852">
        <f>IF($B111="","",IFERROR(VLOOKUP($B111,'Werkschema - Rekening'!$B$2:$P$46,7,FALSE),""))</f>
        <v/>
      </c>
      <c r="AG111" s="851">
        <f>IFERROR(IF(C111="",1.1,IF(V111="",1,IF($C111=1,VLOOKUP($B111,'Werkschema - Rekening'!$B$2:$I$46,8,FALSE),IF($C111=2,Instellingen!I$16,IF($C111=3,Instellingen!J$16,IF($C111=4,O111))))+$D111)+$Z111),1.1)</f>
        <v/>
      </c>
      <c r="AH111" s="852">
        <f>IF($B111="","",IFERROR(VLOOKUP($B111,'Werkschema - Rekening'!$B$2:$P$46,9,FALSE),""))</f>
        <v/>
      </c>
      <c r="AI111" s="851">
        <f>IFERROR(IF(C111="",1.1,IF(W111="",1,IF($C111=1,VLOOKUP($B111,'Werkschema - Rekening'!$B$2:$K$46,10,FALSE),IF($C111=2,Instellingen!K$16,IF($C111=3,Instellingen!L$16,IF($C111=4,P111))))+$D111)+$Z111),1.1)</f>
        <v/>
      </c>
      <c r="AJ111" s="852">
        <f>IF($B111="","",IFERROR(VLOOKUP($B111,'Werkschema - Rekening'!$B$2:$P$46,11,FALSE),""))</f>
        <v/>
      </c>
      <c r="AK111" s="851">
        <f>IFERROR(IF(C111="",1.1,IF(X111="",1,IF($C111=1,VLOOKUP($B111,'Werkschema - Rekening'!$B$2:$M$46,12,FALSE),IF($C111=2,Instellingen!M$16,IF($C111=3,Instellingen!N$16,IF($C111=4,Q111))))+$D111)+$Z111),1.1)</f>
        <v/>
      </c>
      <c r="AL111" s="852">
        <f>IF($B111="","",IFERROR(VLOOKUP($B111,'Werkschema - Rekening'!$B$2:$P$46,13,FALSE),""))</f>
        <v/>
      </c>
      <c r="AM111" s="851">
        <f>IFERROR(IF(C111="",1.1,IF(Y111="",1,IF($C111=1,VLOOKUP($B111,'Werkschema - Rekening'!$B$2:$O$46,14,FALSE),IF($C111=2,Instellingen!O$16,IF($C111=3,Instellingen!P$16,IF($C111=4,R111))))+$D111)+$Z111),1.1)</f>
        <v/>
      </c>
      <c r="AN111" s="852">
        <f>IF($B111="","",IFERROR(VLOOKUP($B111,'Werkschema - Rekening'!$B$2:$P$46,15,FALSE),""))</f>
        <v/>
      </c>
      <c r="AO111" s="852">
        <f>A111</f>
        <v/>
      </c>
      <c r="AP111" s="852">
        <f>B111</f>
        <v/>
      </c>
    </row>
    <row r="112" ht="12.6" customHeight="1">
      <c r="A112" s="830">
        <f>'Aanpassen Werkschema'!B142</f>
        <v/>
      </c>
      <c r="B112" s="569">
        <f>'Aanpassen Werkschema'!C142</f>
        <v/>
      </c>
      <c r="C112" s="569">
        <f>IF('Aanpassen Werkschema'!D142="geplande taak",1,IF('Aanpassen Werkschema'!D142="openingstijd",2,IF('Aanpassen Werkschema'!D142="sluitingstijd",3,IF('Aanpassen Werkschema'!D142="vaste tijd",4,""))))</f>
        <v/>
      </c>
      <c r="D112" s="849">
        <f>'Aanpassen Werkschema'!E142</f>
        <v/>
      </c>
      <c r="E112" s="569">
        <f>IF('Aanpassen Werkschema'!F142="v","x","")</f>
        <v/>
      </c>
      <c r="F112" s="569">
        <f>IF('Aanpassen Werkschema'!G142="v","x","")</f>
        <v/>
      </c>
      <c r="G112" s="569">
        <f>IF('Aanpassen Werkschema'!H142="v","x","")</f>
        <v/>
      </c>
      <c r="H112" s="569">
        <f>IF('Aanpassen Werkschema'!I142="v","x","")</f>
        <v/>
      </c>
      <c r="I112" s="569">
        <f>IF('Aanpassen Werkschema'!J142="v","x","")</f>
        <v/>
      </c>
      <c r="J112" s="569">
        <f>IF('Aanpassen Werkschema'!K142="v","x","")</f>
        <v/>
      </c>
      <c r="K112" s="569">
        <f>IF('Aanpassen Werkschema'!L142="v","x","")</f>
        <v/>
      </c>
      <c r="L112" s="571">
        <f>IF('Aanpassen Werkschema'!M142&gt;0,'Aanpassen Werkschema'!M142,"")</f>
        <v/>
      </c>
      <c r="M112" s="571">
        <f>IF('Aanpassen Werkschema'!N142&gt;0,'Aanpassen Werkschema'!N142,"")</f>
        <v/>
      </c>
      <c r="N112" s="571">
        <f>IF('Aanpassen Werkschema'!O142&gt;0,'Aanpassen Werkschema'!O142,"")</f>
        <v/>
      </c>
      <c r="O112" s="571">
        <f>IF('Aanpassen Werkschema'!P142&gt;0,'Aanpassen Werkschema'!P142,"")</f>
        <v/>
      </c>
      <c r="P112" s="571">
        <f>IF('Aanpassen Werkschema'!Q142&gt;0,'Aanpassen Werkschema'!Q142,"")</f>
        <v/>
      </c>
      <c r="Q112" s="571">
        <f>IF('Aanpassen Werkschema'!R142&gt;0,'Aanpassen Werkschema'!R142,"")</f>
        <v/>
      </c>
      <c r="R112" s="571">
        <f>IF('Aanpassen Werkschema'!S142&gt;0,'Aanpassen Werkschema'!S142,"")</f>
        <v/>
      </c>
      <c r="S112" s="569">
        <f>IF('Aanpassen Werkschema'!T142="x","",IF('Aanpassen Werkschema'!N142="v","x",IF(E112="","",IF(E112="x","x"))))</f>
        <v/>
      </c>
      <c r="T112" s="569">
        <f>IF('Aanpassen Werkschema'!U142="x","",IF('Aanpassen Werkschema'!O142="v","x",IF(F112="","",IF(F112="x","x"))))</f>
        <v/>
      </c>
      <c r="U112" s="569">
        <f>IF('Aanpassen Werkschema'!V142="x","",IF('Aanpassen Werkschema'!P142="v","x",IF(G112="","",IF(G112="x","x"))))</f>
        <v/>
      </c>
      <c r="V112" s="569">
        <f>IF('Aanpassen Werkschema'!W142="x","",IF('Aanpassen Werkschema'!Q142="v","x",IF(H112="","",IF(H112="x","x"))))</f>
        <v/>
      </c>
      <c r="W112" s="569">
        <f>IF('Aanpassen Werkschema'!X142="x","",IF('Aanpassen Werkschema'!R142="v","x",IF(I112="","",IF(I112="x","x"))))</f>
        <v/>
      </c>
      <c r="X112" s="569">
        <f>IF('Aanpassen Werkschema'!Y142="x","",IF('Aanpassen Werkschema'!S142="v","x",IF(J112="","",IF(J112="x","x"))))</f>
        <v/>
      </c>
      <c r="Y112" s="569">
        <f>IF('Aanpassen Werkschema'!Z142="x","",IF('Aanpassen Werkschema'!T142="v","x",IF(K112="","",IF(K112="x","x"))))</f>
        <v/>
      </c>
      <c r="Z112" s="850">
        <f>Z111+0.0000000001</f>
        <v/>
      </c>
      <c r="AA112" s="851">
        <f>IFERROR(IF(C112="",1.1,IF(S112="",1,IF($C112=1,VLOOKUP($B112,'Werkschema - Rekening'!$B$2:$C$46,2,FALSE),IF($C112=2,Instellingen!C$16,IF($C112=3,Instellingen!D$16,IF($C112=4,L112))))+$D112)+$Z112),1.1)</f>
        <v/>
      </c>
      <c r="AB112" s="852">
        <f>IF($B112="","",IFERROR(VLOOKUP($B112,'Werkschema - Rekening'!$B$2:$P$46,3,FALSE),""))</f>
        <v/>
      </c>
      <c r="AC112" s="851">
        <f>IFERROR(IF(C112="",1.1,IF(T112="",1,IF($C112=1,VLOOKUP($B112,'Werkschema - Rekening'!$B$2:$E$46,4,FALSE),IF($C112=2,Instellingen!E$16,IF($C112=3,Instellingen!F$16,IF($C112=4,M112))))+$D112)+$Z112),1.1)</f>
        <v/>
      </c>
      <c r="AD112" s="852">
        <f>IF($B112="","",IFERROR(VLOOKUP($B112,'Werkschema - Rekening'!$B$2:$P$46,5,FALSE),""))</f>
        <v/>
      </c>
      <c r="AE112" s="851">
        <f>IFERROR(IF(C112="",1.1,IF(U112="",1,IF($C112=1,VLOOKUP($B112,'Werkschema - Rekening'!$B$2:$G$46,6,FALSE),IF($C112=2,Instellingen!G$16,IF($C112=3,Instellingen!H$16,IF($C112=4,N112))))+$D112)+$Z112),1.1)</f>
        <v/>
      </c>
      <c r="AF112" s="852">
        <f>IF($B112="","",IFERROR(VLOOKUP($B112,'Werkschema - Rekening'!$B$2:$P$46,7,FALSE),""))</f>
        <v/>
      </c>
      <c r="AG112" s="851">
        <f>IFERROR(IF(C112="",1.1,IF(V112="",1,IF($C112=1,VLOOKUP($B112,'Werkschema - Rekening'!$B$2:$I$46,8,FALSE),IF($C112=2,Instellingen!I$16,IF($C112=3,Instellingen!J$16,IF($C112=4,O112))))+$D112)+$Z112),1.1)</f>
        <v/>
      </c>
      <c r="AH112" s="852">
        <f>IF($B112="","",IFERROR(VLOOKUP($B112,'Werkschema - Rekening'!$B$2:$P$46,9,FALSE),""))</f>
        <v/>
      </c>
      <c r="AI112" s="851">
        <f>IFERROR(IF(C112="",1.1,IF(W112="",1,IF($C112=1,VLOOKUP($B112,'Werkschema - Rekening'!$B$2:$K$46,10,FALSE),IF($C112=2,Instellingen!K$16,IF($C112=3,Instellingen!L$16,IF($C112=4,P112))))+$D112)+$Z112),1.1)</f>
        <v/>
      </c>
      <c r="AJ112" s="852">
        <f>IF($B112="","",IFERROR(VLOOKUP($B112,'Werkschema - Rekening'!$B$2:$P$46,11,FALSE),""))</f>
        <v/>
      </c>
      <c r="AK112" s="851">
        <f>IFERROR(IF(C112="",1.1,IF(X112="",1,IF($C112=1,VLOOKUP($B112,'Werkschema - Rekening'!$B$2:$M$46,12,FALSE),IF($C112=2,Instellingen!M$16,IF($C112=3,Instellingen!N$16,IF($C112=4,Q112))))+$D112)+$Z112),1.1)</f>
        <v/>
      </c>
      <c r="AL112" s="852">
        <f>IF($B112="","",IFERROR(VLOOKUP($B112,'Werkschema - Rekening'!$B$2:$P$46,13,FALSE),""))</f>
        <v/>
      </c>
      <c r="AM112" s="851">
        <f>IFERROR(IF(C112="",1.1,IF(Y112="",1,IF($C112=1,VLOOKUP($B112,'Werkschema - Rekening'!$B$2:$O$46,14,FALSE),IF($C112=2,Instellingen!O$16,IF($C112=3,Instellingen!P$16,IF($C112=4,R112))))+$D112)+$Z112),1.1)</f>
        <v/>
      </c>
      <c r="AN112" s="852">
        <f>IF($B112="","",IFERROR(VLOOKUP($B112,'Werkschema - Rekening'!$B$2:$P$46,15,FALSE),""))</f>
        <v/>
      </c>
      <c r="AO112" s="852">
        <f>A112</f>
        <v/>
      </c>
      <c r="AP112" s="852">
        <f>B112</f>
        <v/>
      </c>
    </row>
    <row r="113" ht="12.6" customHeight="1">
      <c r="A113" s="830">
        <f>'Aanpassen Werkschema'!B143</f>
        <v/>
      </c>
      <c r="B113" s="569">
        <f>'Aanpassen Werkschema'!C143</f>
        <v/>
      </c>
      <c r="C113" s="569">
        <f>IF('Aanpassen Werkschema'!D143="geplande taak",1,IF('Aanpassen Werkschema'!D143="openingstijd",2,IF('Aanpassen Werkschema'!D143="sluitingstijd",3,IF('Aanpassen Werkschema'!D143="vaste tijd",4,""))))</f>
        <v/>
      </c>
      <c r="D113" s="849">
        <f>'Aanpassen Werkschema'!E143</f>
        <v/>
      </c>
      <c r="E113" s="569">
        <f>IF('Aanpassen Werkschema'!F143="v","x","")</f>
        <v/>
      </c>
      <c r="F113" s="569">
        <f>IF('Aanpassen Werkschema'!G143="v","x","")</f>
        <v/>
      </c>
      <c r="G113" s="569">
        <f>IF('Aanpassen Werkschema'!H143="v","x","")</f>
        <v/>
      </c>
      <c r="H113" s="569">
        <f>IF('Aanpassen Werkschema'!I143="v","x","")</f>
        <v/>
      </c>
      <c r="I113" s="569">
        <f>IF('Aanpassen Werkschema'!J143="v","x","")</f>
        <v/>
      </c>
      <c r="J113" s="569">
        <f>IF('Aanpassen Werkschema'!K143="v","x","")</f>
        <v/>
      </c>
      <c r="K113" s="569">
        <f>IF('Aanpassen Werkschema'!L143="v","x","")</f>
        <v/>
      </c>
      <c r="L113" s="571">
        <f>IF('Aanpassen Werkschema'!M143&gt;0,'Aanpassen Werkschema'!M143,"")</f>
        <v/>
      </c>
      <c r="M113" s="571">
        <f>IF('Aanpassen Werkschema'!N143&gt;0,'Aanpassen Werkschema'!N143,"")</f>
        <v/>
      </c>
      <c r="N113" s="571">
        <f>IF('Aanpassen Werkschema'!O143&gt;0,'Aanpassen Werkschema'!O143,"")</f>
        <v/>
      </c>
      <c r="O113" s="571">
        <f>IF('Aanpassen Werkschema'!P143&gt;0,'Aanpassen Werkschema'!P143,"")</f>
        <v/>
      </c>
      <c r="P113" s="571">
        <f>IF('Aanpassen Werkschema'!Q143&gt;0,'Aanpassen Werkschema'!Q143,"")</f>
        <v/>
      </c>
      <c r="Q113" s="571">
        <f>IF('Aanpassen Werkschema'!R143&gt;0,'Aanpassen Werkschema'!R143,"")</f>
        <v/>
      </c>
      <c r="R113" s="571">
        <f>IF('Aanpassen Werkschema'!S143&gt;0,'Aanpassen Werkschema'!S143,"")</f>
        <v/>
      </c>
      <c r="S113" s="569">
        <f>IF('Aanpassen Werkschema'!T143="x","",IF('Aanpassen Werkschema'!N143="v","x",IF(E113="","",IF(E113="x","x"))))</f>
        <v/>
      </c>
      <c r="T113" s="569">
        <f>IF('Aanpassen Werkschema'!U143="x","",IF('Aanpassen Werkschema'!O143="v","x",IF(F113="","",IF(F113="x","x"))))</f>
        <v/>
      </c>
      <c r="U113" s="569">
        <f>IF('Aanpassen Werkschema'!V143="x","",IF('Aanpassen Werkschema'!P143="v","x",IF(G113="","",IF(G113="x","x"))))</f>
        <v/>
      </c>
      <c r="V113" s="569">
        <f>IF('Aanpassen Werkschema'!W143="x","",IF('Aanpassen Werkschema'!Q143="v","x",IF(H113="","",IF(H113="x","x"))))</f>
        <v/>
      </c>
      <c r="W113" s="569">
        <f>IF('Aanpassen Werkschema'!X143="x","",IF('Aanpassen Werkschema'!R143="v","x",IF(I113="","",IF(I113="x","x"))))</f>
        <v/>
      </c>
      <c r="X113" s="569">
        <f>IF('Aanpassen Werkschema'!Y143="x","",IF('Aanpassen Werkschema'!S143="v","x",IF(J113="","",IF(J113="x","x"))))</f>
        <v/>
      </c>
      <c r="Y113" s="569">
        <f>IF('Aanpassen Werkschema'!Z143="x","",IF('Aanpassen Werkschema'!T143="v","x",IF(K113="","",IF(K113="x","x"))))</f>
        <v/>
      </c>
      <c r="Z113" s="850">
        <f>Z112+0.0000000001</f>
        <v/>
      </c>
      <c r="AA113" s="851">
        <f>IFERROR(IF(C113="",1.1,IF(S113="",1,IF($C113=1,VLOOKUP($B113,'Werkschema - Rekening'!$B$2:$C$46,2,FALSE),IF($C113=2,Instellingen!C$16,IF($C113=3,Instellingen!D$16,IF($C113=4,L113))))+$D113)+$Z113),1.1)</f>
        <v/>
      </c>
      <c r="AB113" s="852">
        <f>IF($B113="","",IFERROR(VLOOKUP($B113,'Werkschema - Rekening'!$B$2:$P$46,3,FALSE),""))</f>
        <v/>
      </c>
      <c r="AC113" s="851">
        <f>IFERROR(IF(C113="",1.1,IF(T113="",1,IF($C113=1,VLOOKUP($B113,'Werkschema - Rekening'!$B$2:$E$46,4,FALSE),IF($C113=2,Instellingen!E$16,IF($C113=3,Instellingen!F$16,IF($C113=4,M113))))+$D113)+$Z113),1.1)</f>
        <v/>
      </c>
      <c r="AD113" s="852">
        <f>IF($B113="","",IFERROR(VLOOKUP($B113,'Werkschema - Rekening'!$B$2:$P$46,5,FALSE),""))</f>
        <v/>
      </c>
      <c r="AE113" s="851">
        <f>IFERROR(IF(C113="",1.1,IF(U113="",1,IF($C113=1,VLOOKUP($B113,'Werkschema - Rekening'!$B$2:$G$46,6,FALSE),IF($C113=2,Instellingen!G$16,IF($C113=3,Instellingen!H$16,IF($C113=4,N113))))+$D113)+$Z113),1.1)</f>
        <v/>
      </c>
      <c r="AF113" s="852">
        <f>IF($B113="","",IFERROR(VLOOKUP($B113,'Werkschema - Rekening'!$B$2:$P$46,7,FALSE),""))</f>
        <v/>
      </c>
      <c r="AG113" s="851">
        <f>IFERROR(IF(C113="",1.1,IF(V113="",1,IF($C113=1,VLOOKUP($B113,'Werkschema - Rekening'!$B$2:$I$46,8,FALSE),IF($C113=2,Instellingen!I$16,IF($C113=3,Instellingen!J$16,IF($C113=4,O113))))+$D113)+$Z113),1.1)</f>
        <v/>
      </c>
      <c r="AH113" s="852">
        <f>IF($B113="","",IFERROR(VLOOKUP($B113,'Werkschema - Rekening'!$B$2:$P$46,9,FALSE),""))</f>
        <v/>
      </c>
      <c r="AI113" s="851">
        <f>IFERROR(IF(C113="",1.1,IF(W113="",1,IF($C113=1,VLOOKUP($B113,'Werkschema - Rekening'!$B$2:$K$46,10,FALSE),IF($C113=2,Instellingen!K$16,IF($C113=3,Instellingen!L$16,IF($C113=4,P113))))+$D113)+$Z113),1.1)</f>
        <v/>
      </c>
      <c r="AJ113" s="852">
        <f>IF($B113="","",IFERROR(VLOOKUP($B113,'Werkschema - Rekening'!$B$2:$P$46,11,FALSE),""))</f>
        <v/>
      </c>
      <c r="AK113" s="851">
        <f>IFERROR(IF(C113="",1.1,IF(X113="",1,IF($C113=1,VLOOKUP($B113,'Werkschema - Rekening'!$B$2:$M$46,12,FALSE),IF($C113=2,Instellingen!M$16,IF($C113=3,Instellingen!N$16,IF($C113=4,Q113))))+$D113)+$Z113),1.1)</f>
        <v/>
      </c>
      <c r="AL113" s="852">
        <f>IF($B113="","",IFERROR(VLOOKUP($B113,'Werkschema - Rekening'!$B$2:$P$46,13,FALSE),""))</f>
        <v/>
      </c>
      <c r="AM113" s="851">
        <f>IFERROR(IF(C113="",1.1,IF(Y113="",1,IF($C113=1,VLOOKUP($B113,'Werkschema - Rekening'!$B$2:$O$46,14,FALSE),IF($C113=2,Instellingen!O$16,IF($C113=3,Instellingen!P$16,IF($C113=4,R113))))+$D113)+$Z113),1.1)</f>
        <v/>
      </c>
      <c r="AN113" s="852">
        <f>IF($B113="","",IFERROR(VLOOKUP($B113,'Werkschema - Rekening'!$B$2:$P$46,15,FALSE),""))</f>
        <v/>
      </c>
      <c r="AO113" s="852">
        <f>A113</f>
        <v/>
      </c>
      <c r="AP113" s="852">
        <f>B113</f>
        <v/>
      </c>
    </row>
    <row r="114" ht="12.6" customHeight="1">
      <c r="A114" s="830">
        <f>'Aanpassen Werkschema'!B144</f>
        <v/>
      </c>
      <c r="B114" s="569">
        <f>'Aanpassen Werkschema'!C144</f>
        <v/>
      </c>
      <c r="C114" s="569">
        <f>IF('Aanpassen Werkschema'!D144="geplande taak",1,IF('Aanpassen Werkschema'!D144="openingstijd",2,IF('Aanpassen Werkschema'!D144="sluitingstijd",3,IF('Aanpassen Werkschema'!D144="vaste tijd",4,""))))</f>
        <v/>
      </c>
      <c r="D114" s="849">
        <f>'Aanpassen Werkschema'!E144</f>
        <v/>
      </c>
      <c r="E114" s="569">
        <f>IF('Aanpassen Werkschema'!F144="v","x","")</f>
        <v/>
      </c>
      <c r="F114" s="569">
        <f>IF('Aanpassen Werkschema'!G144="v","x","")</f>
        <v/>
      </c>
      <c r="G114" s="569">
        <f>IF('Aanpassen Werkschema'!H144="v","x","")</f>
        <v/>
      </c>
      <c r="H114" s="569">
        <f>IF('Aanpassen Werkschema'!I144="v","x","")</f>
        <v/>
      </c>
      <c r="I114" s="569">
        <f>IF('Aanpassen Werkschema'!J144="v","x","")</f>
        <v/>
      </c>
      <c r="J114" s="569">
        <f>IF('Aanpassen Werkschema'!K144="v","x","")</f>
        <v/>
      </c>
      <c r="K114" s="569">
        <f>IF('Aanpassen Werkschema'!L144="v","x","")</f>
        <v/>
      </c>
      <c r="L114" s="571">
        <f>IF('Aanpassen Werkschema'!M144&gt;0,'Aanpassen Werkschema'!M144,"")</f>
        <v/>
      </c>
      <c r="M114" s="571">
        <f>IF('Aanpassen Werkschema'!N144&gt;0,'Aanpassen Werkschema'!N144,"")</f>
        <v/>
      </c>
      <c r="N114" s="571">
        <f>IF('Aanpassen Werkschema'!O144&gt;0,'Aanpassen Werkschema'!O144,"")</f>
        <v/>
      </c>
      <c r="O114" s="571">
        <f>IF('Aanpassen Werkschema'!P144&gt;0,'Aanpassen Werkschema'!P144,"")</f>
        <v/>
      </c>
      <c r="P114" s="571">
        <f>IF('Aanpassen Werkschema'!Q144&gt;0,'Aanpassen Werkschema'!Q144,"")</f>
        <v/>
      </c>
      <c r="Q114" s="571">
        <f>IF('Aanpassen Werkschema'!R144&gt;0,'Aanpassen Werkschema'!R144,"")</f>
        <v/>
      </c>
      <c r="R114" s="571">
        <f>IF('Aanpassen Werkschema'!S144&gt;0,'Aanpassen Werkschema'!S144,"")</f>
        <v/>
      </c>
      <c r="S114" s="569">
        <f>IF('Aanpassen Werkschema'!T144="x","",IF('Aanpassen Werkschema'!N144="v","x",IF(E114="","",IF(E114="x","x"))))</f>
        <v/>
      </c>
      <c r="T114" s="569">
        <f>IF('Aanpassen Werkschema'!U144="x","",IF('Aanpassen Werkschema'!O144="v","x",IF(F114="","",IF(F114="x","x"))))</f>
        <v/>
      </c>
      <c r="U114" s="569">
        <f>IF('Aanpassen Werkschema'!V144="x","",IF('Aanpassen Werkschema'!P144="v","x",IF(G114="","",IF(G114="x","x"))))</f>
        <v/>
      </c>
      <c r="V114" s="569">
        <f>IF('Aanpassen Werkschema'!W144="x","",IF('Aanpassen Werkschema'!Q144="v","x",IF(H114="","",IF(H114="x","x"))))</f>
        <v/>
      </c>
      <c r="W114" s="569">
        <f>IF('Aanpassen Werkschema'!X144="x","",IF('Aanpassen Werkschema'!R144="v","x",IF(I114="","",IF(I114="x","x"))))</f>
        <v/>
      </c>
      <c r="X114" s="569">
        <f>IF('Aanpassen Werkschema'!Y144="x","",IF('Aanpassen Werkschema'!S144="v","x",IF(J114="","",IF(J114="x","x"))))</f>
        <v/>
      </c>
      <c r="Y114" s="569">
        <f>IF('Aanpassen Werkschema'!Z144="x","",IF('Aanpassen Werkschema'!T144="v","x",IF(K114="","",IF(K114="x","x"))))</f>
        <v/>
      </c>
      <c r="Z114" s="850">
        <f>Z113+0.0000000001</f>
        <v/>
      </c>
      <c r="AA114" s="851">
        <f>IFERROR(IF(C114="",1.1,IF(S114="",1,IF($C114=1,VLOOKUP($B114,'Werkschema - Rekening'!$B$2:$C$46,2,FALSE),IF($C114=2,Instellingen!C$16,IF($C114=3,Instellingen!D$16,IF($C114=4,L114))))+$D114)+$Z114),1.1)</f>
        <v/>
      </c>
      <c r="AB114" s="852">
        <f>IF($B114="","",IFERROR(VLOOKUP($B114,'Werkschema - Rekening'!$B$2:$P$46,3,FALSE),""))</f>
        <v/>
      </c>
      <c r="AC114" s="851">
        <f>IFERROR(IF(C114="",1.1,IF(T114="",1,IF($C114=1,VLOOKUP($B114,'Werkschema - Rekening'!$B$2:$E$46,4,FALSE),IF($C114=2,Instellingen!E$16,IF($C114=3,Instellingen!F$16,IF($C114=4,M114))))+$D114)+$Z114),1.1)</f>
        <v/>
      </c>
      <c r="AD114" s="852">
        <f>IF($B114="","",IFERROR(VLOOKUP($B114,'Werkschema - Rekening'!$B$2:$P$46,5,FALSE),""))</f>
        <v/>
      </c>
      <c r="AE114" s="851">
        <f>IFERROR(IF(C114="",1.1,IF(U114="",1,IF($C114=1,VLOOKUP($B114,'Werkschema - Rekening'!$B$2:$G$46,6,FALSE),IF($C114=2,Instellingen!G$16,IF($C114=3,Instellingen!H$16,IF($C114=4,N114))))+$D114)+$Z114),1.1)</f>
        <v/>
      </c>
      <c r="AF114" s="852">
        <f>IF($B114="","",IFERROR(VLOOKUP($B114,'Werkschema - Rekening'!$B$2:$P$46,7,FALSE),""))</f>
        <v/>
      </c>
      <c r="AG114" s="851">
        <f>IFERROR(IF(C114="",1.1,IF(V114="",1,IF($C114=1,VLOOKUP($B114,'Werkschema - Rekening'!$B$2:$I$46,8,FALSE),IF($C114=2,Instellingen!I$16,IF($C114=3,Instellingen!J$16,IF($C114=4,O114))))+$D114)+$Z114),1.1)</f>
        <v/>
      </c>
      <c r="AH114" s="852">
        <f>IF($B114="","",IFERROR(VLOOKUP($B114,'Werkschema - Rekening'!$B$2:$P$46,9,FALSE),""))</f>
        <v/>
      </c>
      <c r="AI114" s="851">
        <f>IFERROR(IF(C114="",1.1,IF(W114="",1,IF($C114=1,VLOOKUP($B114,'Werkschema - Rekening'!$B$2:$K$46,10,FALSE),IF($C114=2,Instellingen!K$16,IF($C114=3,Instellingen!L$16,IF($C114=4,P114))))+$D114)+$Z114),1.1)</f>
        <v/>
      </c>
      <c r="AJ114" s="852">
        <f>IF($B114="","",IFERROR(VLOOKUP($B114,'Werkschema - Rekening'!$B$2:$P$46,11,FALSE),""))</f>
        <v/>
      </c>
      <c r="AK114" s="851">
        <f>IFERROR(IF(C114="",1.1,IF(X114="",1,IF($C114=1,VLOOKUP($B114,'Werkschema - Rekening'!$B$2:$M$46,12,FALSE),IF($C114=2,Instellingen!M$16,IF($C114=3,Instellingen!N$16,IF($C114=4,Q114))))+$D114)+$Z114),1.1)</f>
        <v/>
      </c>
      <c r="AL114" s="852">
        <f>IF($B114="","",IFERROR(VLOOKUP($B114,'Werkschema - Rekening'!$B$2:$P$46,13,FALSE),""))</f>
        <v/>
      </c>
      <c r="AM114" s="851">
        <f>IFERROR(IF(C114="",1.1,IF(Y114="",1,IF($C114=1,VLOOKUP($B114,'Werkschema - Rekening'!$B$2:$O$46,14,FALSE),IF($C114=2,Instellingen!O$16,IF($C114=3,Instellingen!P$16,IF($C114=4,R114))))+$D114)+$Z114),1.1)</f>
        <v/>
      </c>
      <c r="AN114" s="852">
        <f>IF($B114="","",IFERROR(VLOOKUP($B114,'Werkschema - Rekening'!$B$2:$P$46,15,FALSE),""))</f>
        <v/>
      </c>
      <c r="AO114" s="852">
        <f>A114</f>
        <v/>
      </c>
      <c r="AP114" s="852">
        <f>B114</f>
        <v/>
      </c>
    </row>
    <row r="115" ht="12.6" customHeight="1">
      <c r="A115" s="830">
        <f>'Aanpassen Werkschema'!B145</f>
        <v/>
      </c>
      <c r="B115" s="569">
        <f>'Aanpassen Werkschema'!C145</f>
        <v/>
      </c>
      <c r="C115" s="569">
        <f>IF('Aanpassen Werkschema'!D145="geplande taak",1,IF('Aanpassen Werkschema'!D145="openingstijd",2,IF('Aanpassen Werkschema'!D145="sluitingstijd",3,IF('Aanpassen Werkschema'!D145="vaste tijd",4,""))))</f>
        <v/>
      </c>
      <c r="D115" s="849">
        <f>'Aanpassen Werkschema'!E145</f>
        <v/>
      </c>
      <c r="E115" s="569">
        <f>IF('Aanpassen Werkschema'!F145="v","x","")</f>
        <v/>
      </c>
      <c r="F115" s="569">
        <f>IF('Aanpassen Werkschema'!G145="v","x","")</f>
        <v/>
      </c>
      <c r="G115" s="569">
        <f>IF('Aanpassen Werkschema'!H145="v","x","")</f>
        <v/>
      </c>
      <c r="H115" s="569">
        <f>IF('Aanpassen Werkschema'!I145="v","x","")</f>
        <v/>
      </c>
      <c r="I115" s="569">
        <f>IF('Aanpassen Werkschema'!J145="v","x","")</f>
        <v/>
      </c>
      <c r="J115" s="569">
        <f>IF('Aanpassen Werkschema'!K145="v","x","")</f>
        <v/>
      </c>
      <c r="K115" s="569">
        <f>IF('Aanpassen Werkschema'!L145="v","x","")</f>
        <v/>
      </c>
      <c r="L115" s="571">
        <f>IF('Aanpassen Werkschema'!M145&gt;0,'Aanpassen Werkschema'!M145,"")</f>
        <v/>
      </c>
      <c r="M115" s="571">
        <f>IF('Aanpassen Werkschema'!N145&gt;0,'Aanpassen Werkschema'!N145,"")</f>
        <v/>
      </c>
      <c r="N115" s="571">
        <f>IF('Aanpassen Werkschema'!O145&gt;0,'Aanpassen Werkschema'!O145,"")</f>
        <v/>
      </c>
      <c r="O115" s="571">
        <f>IF('Aanpassen Werkschema'!P145&gt;0,'Aanpassen Werkschema'!P145,"")</f>
        <v/>
      </c>
      <c r="P115" s="571">
        <f>IF('Aanpassen Werkschema'!Q145&gt;0,'Aanpassen Werkschema'!Q145,"")</f>
        <v/>
      </c>
      <c r="Q115" s="571">
        <f>IF('Aanpassen Werkschema'!R145&gt;0,'Aanpassen Werkschema'!R145,"")</f>
        <v/>
      </c>
      <c r="R115" s="571">
        <f>IF('Aanpassen Werkschema'!S145&gt;0,'Aanpassen Werkschema'!S145,"")</f>
        <v/>
      </c>
      <c r="S115" s="569">
        <f>IF('Aanpassen Werkschema'!T145="x","",IF('Aanpassen Werkschema'!N145="v","x",IF(E115="","",IF(E115="x","x"))))</f>
        <v/>
      </c>
      <c r="T115" s="569">
        <f>IF('Aanpassen Werkschema'!U145="x","",IF('Aanpassen Werkschema'!O145="v","x",IF(F115="","",IF(F115="x","x"))))</f>
        <v/>
      </c>
      <c r="U115" s="569">
        <f>IF('Aanpassen Werkschema'!V145="x","",IF('Aanpassen Werkschema'!P145="v","x",IF(G115="","",IF(G115="x","x"))))</f>
        <v/>
      </c>
      <c r="V115" s="569">
        <f>IF('Aanpassen Werkschema'!W145="x","",IF('Aanpassen Werkschema'!Q145="v","x",IF(H115="","",IF(H115="x","x"))))</f>
        <v/>
      </c>
      <c r="W115" s="569">
        <f>IF('Aanpassen Werkschema'!X145="x","",IF('Aanpassen Werkschema'!R145="v","x",IF(I115="","",IF(I115="x","x"))))</f>
        <v/>
      </c>
      <c r="X115" s="569">
        <f>IF('Aanpassen Werkschema'!Y145="x","",IF('Aanpassen Werkschema'!S145="v","x",IF(J115="","",IF(J115="x","x"))))</f>
        <v/>
      </c>
      <c r="Y115" s="569">
        <f>IF('Aanpassen Werkschema'!Z145="x","",IF('Aanpassen Werkschema'!T145="v","x",IF(K115="","",IF(K115="x","x"))))</f>
        <v/>
      </c>
      <c r="Z115" s="850">
        <f>Z114+0.0000000001</f>
        <v/>
      </c>
      <c r="AA115" s="851">
        <f>IFERROR(IF(C115="",1.1,IF(S115="",1,IF($C115=1,VLOOKUP($B115,'Werkschema - Rekening'!$B$2:$C$46,2,FALSE),IF($C115=2,Instellingen!C$16,IF($C115=3,Instellingen!D$16,IF($C115=4,L115))))+$D115)+$Z115),1.1)</f>
        <v/>
      </c>
      <c r="AB115" s="852">
        <f>IF($B115="","",IFERROR(VLOOKUP($B115,'Werkschema - Rekening'!$B$2:$P$46,3,FALSE),""))</f>
        <v/>
      </c>
      <c r="AC115" s="851">
        <f>IFERROR(IF(C115="",1.1,IF(T115="",1,IF($C115=1,VLOOKUP($B115,'Werkschema - Rekening'!$B$2:$E$46,4,FALSE),IF($C115=2,Instellingen!E$16,IF($C115=3,Instellingen!F$16,IF($C115=4,M115))))+$D115)+$Z115),1.1)</f>
        <v/>
      </c>
      <c r="AD115" s="852">
        <f>IF($B115="","",IFERROR(VLOOKUP($B115,'Werkschema - Rekening'!$B$2:$P$46,5,FALSE),""))</f>
        <v/>
      </c>
      <c r="AE115" s="851">
        <f>IFERROR(IF(C115="",1.1,IF(U115="",1,IF($C115=1,VLOOKUP($B115,'Werkschema - Rekening'!$B$2:$G$46,6,FALSE),IF($C115=2,Instellingen!G$16,IF($C115=3,Instellingen!H$16,IF($C115=4,N115))))+$D115)+$Z115),1.1)</f>
        <v/>
      </c>
      <c r="AF115" s="852">
        <f>IF($B115="","",IFERROR(VLOOKUP($B115,'Werkschema - Rekening'!$B$2:$P$46,7,FALSE),""))</f>
        <v/>
      </c>
      <c r="AG115" s="851">
        <f>IFERROR(IF(C115="",1.1,IF(V115="",1,IF($C115=1,VLOOKUP($B115,'Werkschema - Rekening'!$B$2:$I$46,8,FALSE),IF($C115=2,Instellingen!I$16,IF($C115=3,Instellingen!J$16,IF($C115=4,O115))))+$D115)+$Z115),1.1)</f>
        <v/>
      </c>
      <c r="AH115" s="852">
        <f>IF($B115="","",IFERROR(VLOOKUP($B115,'Werkschema - Rekening'!$B$2:$P$46,9,FALSE),""))</f>
        <v/>
      </c>
      <c r="AI115" s="851">
        <f>IFERROR(IF(C115="",1.1,IF(W115="",1,IF($C115=1,VLOOKUP($B115,'Werkschema - Rekening'!$B$2:$K$46,10,FALSE),IF($C115=2,Instellingen!K$16,IF($C115=3,Instellingen!L$16,IF($C115=4,P115))))+$D115)+$Z115),1.1)</f>
        <v/>
      </c>
      <c r="AJ115" s="852">
        <f>IF($B115="","",IFERROR(VLOOKUP($B115,'Werkschema - Rekening'!$B$2:$P$46,11,FALSE),""))</f>
        <v/>
      </c>
      <c r="AK115" s="851">
        <f>IFERROR(IF(C115="",1.1,IF(X115="",1,IF($C115=1,VLOOKUP($B115,'Werkschema - Rekening'!$B$2:$M$46,12,FALSE),IF($C115=2,Instellingen!M$16,IF($C115=3,Instellingen!N$16,IF($C115=4,Q115))))+$D115)+$Z115),1.1)</f>
        <v/>
      </c>
      <c r="AL115" s="852">
        <f>IF($B115="","",IFERROR(VLOOKUP($B115,'Werkschema - Rekening'!$B$2:$P$46,13,FALSE),""))</f>
        <v/>
      </c>
      <c r="AM115" s="851">
        <f>IFERROR(IF(C115="",1.1,IF(Y115="",1,IF($C115=1,VLOOKUP($B115,'Werkschema - Rekening'!$B$2:$O$46,14,FALSE),IF($C115=2,Instellingen!O$16,IF($C115=3,Instellingen!P$16,IF($C115=4,R115))))+$D115)+$Z115),1.1)</f>
        <v/>
      </c>
      <c r="AN115" s="852">
        <f>IF($B115="","",IFERROR(VLOOKUP($B115,'Werkschema - Rekening'!$B$2:$P$46,15,FALSE),""))</f>
        <v/>
      </c>
      <c r="AO115" s="852">
        <f>A115</f>
        <v/>
      </c>
      <c r="AP115" s="852">
        <f>B115</f>
        <v/>
      </c>
    </row>
    <row r="116" ht="12.6" customHeight="1">
      <c r="A116" s="830">
        <f>'Aanpassen Werkschema'!B146</f>
        <v/>
      </c>
      <c r="B116" s="569">
        <f>'Aanpassen Werkschema'!C146</f>
        <v/>
      </c>
      <c r="C116" s="569">
        <f>IF('Aanpassen Werkschema'!D146="geplande taak",1,IF('Aanpassen Werkschema'!D146="openingstijd",2,IF('Aanpassen Werkschema'!D146="sluitingstijd",3,IF('Aanpassen Werkschema'!D146="vaste tijd",4,""))))</f>
        <v/>
      </c>
      <c r="D116" s="849">
        <f>'Aanpassen Werkschema'!E146</f>
        <v/>
      </c>
      <c r="E116" s="569">
        <f>IF('Aanpassen Werkschema'!F146="v","x","")</f>
        <v/>
      </c>
      <c r="F116" s="569">
        <f>IF('Aanpassen Werkschema'!G146="v","x","")</f>
        <v/>
      </c>
      <c r="G116" s="569">
        <f>IF('Aanpassen Werkschema'!H146="v","x","")</f>
        <v/>
      </c>
      <c r="H116" s="569">
        <f>IF('Aanpassen Werkschema'!I146="v","x","")</f>
        <v/>
      </c>
      <c r="I116" s="569">
        <f>IF('Aanpassen Werkschema'!J146="v","x","")</f>
        <v/>
      </c>
      <c r="J116" s="569">
        <f>IF('Aanpassen Werkschema'!K146="v","x","")</f>
        <v/>
      </c>
      <c r="K116" s="569">
        <f>IF('Aanpassen Werkschema'!L146="v","x","")</f>
        <v/>
      </c>
      <c r="L116" s="571">
        <f>IF('Aanpassen Werkschema'!M146&gt;0,'Aanpassen Werkschema'!M146,"")</f>
        <v/>
      </c>
      <c r="M116" s="571">
        <f>IF('Aanpassen Werkschema'!N146&gt;0,'Aanpassen Werkschema'!N146,"")</f>
        <v/>
      </c>
      <c r="N116" s="571">
        <f>IF('Aanpassen Werkschema'!O146&gt;0,'Aanpassen Werkschema'!O146,"")</f>
        <v/>
      </c>
      <c r="O116" s="571">
        <f>IF('Aanpassen Werkschema'!P146&gt;0,'Aanpassen Werkschema'!P146,"")</f>
        <v/>
      </c>
      <c r="P116" s="571">
        <f>IF('Aanpassen Werkschema'!Q146&gt;0,'Aanpassen Werkschema'!Q146,"")</f>
        <v/>
      </c>
      <c r="Q116" s="571">
        <f>IF('Aanpassen Werkschema'!R146&gt;0,'Aanpassen Werkschema'!R146,"")</f>
        <v/>
      </c>
      <c r="R116" s="571">
        <f>IF('Aanpassen Werkschema'!S146&gt;0,'Aanpassen Werkschema'!S146,"")</f>
        <v/>
      </c>
      <c r="S116" s="569">
        <f>IF('Aanpassen Werkschema'!T146="x","",IF('Aanpassen Werkschema'!N146="v","x",IF(E116="","",IF(E116="x","x"))))</f>
        <v/>
      </c>
      <c r="T116" s="569">
        <f>IF('Aanpassen Werkschema'!U146="x","",IF('Aanpassen Werkschema'!O146="v","x",IF(F116="","",IF(F116="x","x"))))</f>
        <v/>
      </c>
      <c r="U116" s="569">
        <f>IF('Aanpassen Werkschema'!V146="x","",IF('Aanpassen Werkschema'!P146="v","x",IF(G116="","",IF(G116="x","x"))))</f>
        <v/>
      </c>
      <c r="V116" s="569">
        <f>IF('Aanpassen Werkschema'!W146="x","",IF('Aanpassen Werkschema'!Q146="v","x",IF(H116="","",IF(H116="x","x"))))</f>
        <v/>
      </c>
      <c r="W116" s="569">
        <f>IF('Aanpassen Werkschema'!X146="x","",IF('Aanpassen Werkschema'!R146="v","x",IF(I116="","",IF(I116="x","x"))))</f>
        <v/>
      </c>
      <c r="X116" s="569">
        <f>IF('Aanpassen Werkschema'!Y146="x","",IF('Aanpassen Werkschema'!S146="v","x",IF(J116="","",IF(J116="x","x"))))</f>
        <v/>
      </c>
      <c r="Y116" s="569">
        <f>IF('Aanpassen Werkschema'!Z146="x","",IF('Aanpassen Werkschema'!T146="v","x",IF(K116="","",IF(K116="x","x"))))</f>
        <v/>
      </c>
      <c r="Z116" s="850">
        <f>Z115+0.0000000001</f>
        <v/>
      </c>
      <c r="AA116" s="851">
        <f>IFERROR(IF(C116="",1.1,IF(S116="",1,IF($C116=1,VLOOKUP($B116,'Werkschema - Rekening'!$B$2:$C$46,2,FALSE),IF($C116=2,Instellingen!C$16,IF($C116=3,Instellingen!D$16,IF($C116=4,L116))))+$D116)+$Z116),1.1)</f>
        <v/>
      </c>
      <c r="AB116" s="852">
        <f>IF($B116="","",IFERROR(VLOOKUP($B116,'Werkschema - Rekening'!$B$2:$P$46,3,FALSE),""))</f>
        <v/>
      </c>
      <c r="AC116" s="851">
        <f>IFERROR(IF(C116="",1.1,IF(T116="",1,IF($C116=1,VLOOKUP($B116,'Werkschema - Rekening'!$B$2:$E$46,4,FALSE),IF($C116=2,Instellingen!E$16,IF($C116=3,Instellingen!F$16,IF($C116=4,M116))))+$D116)+$Z116),1.1)</f>
        <v/>
      </c>
      <c r="AD116" s="852">
        <f>IF($B116="","",IFERROR(VLOOKUP($B116,'Werkschema - Rekening'!$B$2:$P$46,5,FALSE),""))</f>
        <v/>
      </c>
      <c r="AE116" s="851">
        <f>IFERROR(IF(C116="",1.1,IF(U116="",1,IF($C116=1,VLOOKUP($B116,'Werkschema - Rekening'!$B$2:$G$46,6,FALSE),IF($C116=2,Instellingen!G$16,IF($C116=3,Instellingen!H$16,IF($C116=4,N116))))+$D116)+$Z116),1.1)</f>
        <v/>
      </c>
      <c r="AF116" s="852">
        <f>IF($B116="","",IFERROR(VLOOKUP($B116,'Werkschema - Rekening'!$B$2:$P$46,7,FALSE),""))</f>
        <v/>
      </c>
      <c r="AG116" s="851">
        <f>IFERROR(IF(C116="",1.1,IF(V116="",1,IF($C116=1,VLOOKUP($B116,'Werkschema - Rekening'!$B$2:$I$46,8,FALSE),IF($C116=2,Instellingen!I$16,IF($C116=3,Instellingen!J$16,IF($C116=4,O116))))+$D116)+$Z116),1.1)</f>
        <v/>
      </c>
      <c r="AH116" s="852">
        <f>IF($B116="","",IFERROR(VLOOKUP($B116,'Werkschema - Rekening'!$B$2:$P$46,9,FALSE),""))</f>
        <v/>
      </c>
      <c r="AI116" s="851">
        <f>IFERROR(IF(C116="",1.1,IF(W116="",1,IF($C116=1,VLOOKUP($B116,'Werkschema - Rekening'!$B$2:$K$46,10,FALSE),IF($C116=2,Instellingen!K$16,IF($C116=3,Instellingen!L$16,IF($C116=4,P116))))+$D116)+$Z116),1.1)</f>
        <v/>
      </c>
      <c r="AJ116" s="852">
        <f>IF($B116="","",IFERROR(VLOOKUP($B116,'Werkschema - Rekening'!$B$2:$P$46,11,FALSE),""))</f>
        <v/>
      </c>
      <c r="AK116" s="851">
        <f>IFERROR(IF(C116="",1.1,IF(X116="",1,IF($C116=1,VLOOKUP($B116,'Werkschema - Rekening'!$B$2:$M$46,12,FALSE),IF($C116=2,Instellingen!M$16,IF($C116=3,Instellingen!N$16,IF($C116=4,Q116))))+$D116)+$Z116),1.1)</f>
        <v/>
      </c>
      <c r="AL116" s="852">
        <f>IF($B116="","",IFERROR(VLOOKUP($B116,'Werkschema - Rekening'!$B$2:$P$46,13,FALSE),""))</f>
        <v/>
      </c>
      <c r="AM116" s="851">
        <f>IFERROR(IF(C116="",1.1,IF(Y116="",1,IF($C116=1,VLOOKUP($B116,'Werkschema - Rekening'!$B$2:$O$46,14,FALSE),IF($C116=2,Instellingen!O$16,IF($C116=3,Instellingen!P$16,IF($C116=4,R116))))+$D116)+$Z116),1.1)</f>
        <v/>
      </c>
      <c r="AN116" s="852">
        <f>IF($B116="","",IFERROR(VLOOKUP($B116,'Werkschema - Rekening'!$B$2:$P$46,15,FALSE),""))</f>
        <v/>
      </c>
      <c r="AO116" s="852">
        <f>A116</f>
        <v/>
      </c>
      <c r="AP116" s="852">
        <f>B116</f>
        <v/>
      </c>
    </row>
    <row r="117" ht="12.6" customHeight="1">
      <c r="A117" s="830">
        <f>'Aanpassen Werkschema'!B147</f>
        <v/>
      </c>
      <c r="B117" s="569">
        <f>'Aanpassen Werkschema'!C147</f>
        <v/>
      </c>
      <c r="C117" s="569">
        <f>IF('Aanpassen Werkschema'!D147="geplande taak",1,IF('Aanpassen Werkschema'!D147="openingstijd",2,IF('Aanpassen Werkschema'!D147="sluitingstijd",3,IF('Aanpassen Werkschema'!D147="vaste tijd",4,""))))</f>
        <v/>
      </c>
      <c r="D117" s="849">
        <f>'Aanpassen Werkschema'!E147</f>
        <v/>
      </c>
      <c r="E117" s="569">
        <f>IF('Aanpassen Werkschema'!F147="v","x","")</f>
        <v/>
      </c>
      <c r="F117" s="569">
        <f>IF('Aanpassen Werkschema'!G147="v","x","")</f>
        <v/>
      </c>
      <c r="G117" s="569">
        <f>IF('Aanpassen Werkschema'!H147="v","x","")</f>
        <v/>
      </c>
      <c r="H117" s="569">
        <f>IF('Aanpassen Werkschema'!I147="v","x","")</f>
        <v/>
      </c>
      <c r="I117" s="569">
        <f>IF('Aanpassen Werkschema'!J147="v","x","")</f>
        <v/>
      </c>
      <c r="J117" s="569">
        <f>IF('Aanpassen Werkschema'!K147="v","x","")</f>
        <v/>
      </c>
      <c r="K117" s="569">
        <f>IF('Aanpassen Werkschema'!L147="v","x","")</f>
        <v/>
      </c>
      <c r="L117" s="571">
        <f>IF('Aanpassen Werkschema'!M147&gt;0,'Aanpassen Werkschema'!M147,"")</f>
        <v/>
      </c>
      <c r="M117" s="571">
        <f>IF('Aanpassen Werkschema'!N147&gt;0,'Aanpassen Werkschema'!N147,"")</f>
        <v/>
      </c>
      <c r="N117" s="571">
        <f>IF('Aanpassen Werkschema'!O147&gt;0,'Aanpassen Werkschema'!O147,"")</f>
        <v/>
      </c>
      <c r="O117" s="571">
        <f>IF('Aanpassen Werkschema'!P147&gt;0,'Aanpassen Werkschema'!P147,"")</f>
        <v/>
      </c>
      <c r="P117" s="571">
        <f>IF('Aanpassen Werkschema'!Q147&gt;0,'Aanpassen Werkschema'!Q147,"")</f>
        <v/>
      </c>
      <c r="Q117" s="571">
        <f>IF('Aanpassen Werkschema'!R147&gt;0,'Aanpassen Werkschema'!R147,"")</f>
        <v/>
      </c>
      <c r="R117" s="571">
        <f>IF('Aanpassen Werkschema'!S147&gt;0,'Aanpassen Werkschema'!S147,"")</f>
        <v/>
      </c>
      <c r="S117" s="569">
        <f>IF('Aanpassen Werkschema'!T147="x","",IF('Aanpassen Werkschema'!N147="v","x",IF(E117="","",IF(E117="x","x"))))</f>
        <v/>
      </c>
      <c r="T117" s="569">
        <f>IF('Aanpassen Werkschema'!U147="x","",IF('Aanpassen Werkschema'!O147="v","x",IF(F117="","",IF(F117="x","x"))))</f>
        <v/>
      </c>
      <c r="U117" s="569">
        <f>IF('Aanpassen Werkschema'!V147="x","",IF('Aanpassen Werkschema'!P147="v","x",IF(G117="","",IF(G117="x","x"))))</f>
        <v/>
      </c>
      <c r="V117" s="569">
        <f>IF('Aanpassen Werkschema'!W147="x","",IF('Aanpassen Werkschema'!Q147="v","x",IF(H117="","",IF(H117="x","x"))))</f>
        <v/>
      </c>
      <c r="W117" s="569">
        <f>IF('Aanpassen Werkschema'!X147="x","",IF('Aanpassen Werkschema'!R147="v","x",IF(I117="","",IF(I117="x","x"))))</f>
        <v/>
      </c>
      <c r="X117" s="569">
        <f>IF('Aanpassen Werkschema'!Y147="x","",IF('Aanpassen Werkschema'!S147="v","x",IF(J117="","",IF(J117="x","x"))))</f>
        <v/>
      </c>
      <c r="Y117" s="569">
        <f>IF('Aanpassen Werkschema'!Z147="x","",IF('Aanpassen Werkschema'!T147="v","x",IF(K117="","",IF(K117="x","x"))))</f>
        <v/>
      </c>
      <c r="Z117" s="850">
        <f>Z116+0.0000000001</f>
        <v/>
      </c>
      <c r="AA117" s="851">
        <f>IFERROR(IF(C117="",1.1,IF(S117="",1,IF($C117=1,VLOOKUP($B117,'Werkschema - Rekening'!$B$2:$C$46,2,FALSE),IF($C117=2,Instellingen!C$16,IF($C117=3,Instellingen!D$16,IF($C117=4,L117))))+$D117)+$Z117),1.1)</f>
        <v/>
      </c>
      <c r="AB117" s="852">
        <f>IF($B117="","",IFERROR(VLOOKUP($B117,'Werkschema - Rekening'!$B$2:$P$46,3,FALSE),""))</f>
        <v/>
      </c>
      <c r="AC117" s="851">
        <f>IFERROR(IF(C117="",1.1,IF(T117="",1,IF($C117=1,VLOOKUP($B117,'Werkschema - Rekening'!$B$2:$E$46,4,FALSE),IF($C117=2,Instellingen!E$16,IF($C117=3,Instellingen!F$16,IF($C117=4,M117))))+$D117)+$Z117),1.1)</f>
        <v/>
      </c>
      <c r="AD117" s="852">
        <f>IF($B117="","",IFERROR(VLOOKUP($B117,'Werkschema - Rekening'!$B$2:$P$46,5,FALSE),""))</f>
        <v/>
      </c>
      <c r="AE117" s="851">
        <f>IFERROR(IF(C117="",1.1,IF(U117="",1,IF($C117=1,VLOOKUP($B117,'Werkschema - Rekening'!$B$2:$G$46,6,FALSE),IF($C117=2,Instellingen!G$16,IF($C117=3,Instellingen!H$16,IF($C117=4,N117))))+$D117)+$Z117),1.1)</f>
        <v/>
      </c>
      <c r="AF117" s="852">
        <f>IF($B117="","",IFERROR(VLOOKUP($B117,'Werkschema - Rekening'!$B$2:$P$46,7,FALSE),""))</f>
        <v/>
      </c>
      <c r="AG117" s="851">
        <f>IFERROR(IF(C117="",1.1,IF(V117="",1,IF($C117=1,VLOOKUP($B117,'Werkschema - Rekening'!$B$2:$I$46,8,FALSE),IF($C117=2,Instellingen!I$16,IF($C117=3,Instellingen!J$16,IF($C117=4,O117))))+$D117)+$Z117),1.1)</f>
        <v/>
      </c>
      <c r="AH117" s="852">
        <f>IF($B117="","",IFERROR(VLOOKUP($B117,'Werkschema - Rekening'!$B$2:$P$46,9,FALSE),""))</f>
        <v/>
      </c>
      <c r="AI117" s="851">
        <f>IFERROR(IF(C117="",1.1,IF(W117="",1,IF($C117=1,VLOOKUP($B117,'Werkschema - Rekening'!$B$2:$K$46,10,FALSE),IF($C117=2,Instellingen!K$16,IF($C117=3,Instellingen!L$16,IF($C117=4,P117))))+$D117)+$Z117),1.1)</f>
        <v/>
      </c>
      <c r="AJ117" s="852">
        <f>IF($B117="","",IFERROR(VLOOKUP($B117,'Werkschema - Rekening'!$B$2:$P$46,11,FALSE),""))</f>
        <v/>
      </c>
      <c r="AK117" s="851">
        <f>IFERROR(IF(C117="",1.1,IF(X117="",1,IF($C117=1,VLOOKUP($B117,'Werkschema - Rekening'!$B$2:$M$46,12,FALSE),IF($C117=2,Instellingen!M$16,IF($C117=3,Instellingen!N$16,IF($C117=4,Q117))))+$D117)+$Z117),1.1)</f>
        <v/>
      </c>
      <c r="AL117" s="852">
        <f>IF($B117="","",IFERROR(VLOOKUP($B117,'Werkschema - Rekening'!$B$2:$P$46,13,FALSE),""))</f>
        <v/>
      </c>
      <c r="AM117" s="851">
        <f>IFERROR(IF(C117="",1.1,IF(Y117="",1,IF($C117=1,VLOOKUP($B117,'Werkschema - Rekening'!$B$2:$O$46,14,FALSE),IF($C117=2,Instellingen!O$16,IF($C117=3,Instellingen!P$16,IF($C117=4,R117))))+$D117)+$Z117),1.1)</f>
        <v/>
      </c>
      <c r="AN117" s="852">
        <f>IF($B117="","",IFERROR(VLOOKUP($B117,'Werkschema - Rekening'!$B$2:$P$46,15,FALSE),""))</f>
        <v/>
      </c>
      <c r="AO117" s="852">
        <f>A117</f>
        <v/>
      </c>
      <c r="AP117" s="852">
        <f>B117</f>
        <v/>
      </c>
    </row>
    <row r="118" ht="12.6" customHeight="1">
      <c r="A118" s="830">
        <f>'Aanpassen Werkschema'!B148</f>
        <v/>
      </c>
      <c r="B118" s="569">
        <f>'Aanpassen Werkschema'!C148</f>
        <v/>
      </c>
      <c r="C118" s="569">
        <f>IF('Aanpassen Werkschema'!D148="geplande taak",1,IF('Aanpassen Werkschema'!D148="openingstijd",2,IF('Aanpassen Werkschema'!D148="sluitingstijd",3,IF('Aanpassen Werkschema'!D148="vaste tijd",4,""))))</f>
        <v/>
      </c>
      <c r="D118" s="849">
        <f>'Aanpassen Werkschema'!E148</f>
        <v/>
      </c>
      <c r="E118" s="569">
        <f>IF('Aanpassen Werkschema'!F148="v","x","")</f>
        <v/>
      </c>
      <c r="F118" s="569">
        <f>IF('Aanpassen Werkschema'!G148="v","x","")</f>
        <v/>
      </c>
      <c r="G118" s="569">
        <f>IF('Aanpassen Werkschema'!H148="v","x","")</f>
        <v/>
      </c>
      <c r="H118" s="569">
        <f>IF('Aanpassen Werkschema'!I148="v","x","")</f>
        <v/>
      </c>
      <c r="I118" s="569">
        <f>IF('Aanpassen Werkschema'!J148="v","x","")</f>
        <v/>
      </c>
      <c r="J118" s="569">
        <f>IF('Aanpassen Werkschema'!K148="v","x","")</f>
        <v/>
      </c>
      <c r="K118" s="569">
        <f>IF('Aanpassen Werkschema'!L148="v","x","")</f>
        <v/>
      </c>
      <c r="L118" s="571">
        <f>IF('Aanpassen Werkschema'!M148&gt;0,'Aanpassen Werkschema'!M148,"")</f>
        <v/>
      </c>
      <c r="M118" s="571">
        <f>IF('Aanpassen Werkschema'!N148&gt;0,'Aanpassen Werkschema'!N148,"")</f>
        <v/>
      </c>
      <c r="N118" s="571">
        <f>IF('Aanpassen Werkschema'!O148&gt;0,'Aanpassen Werkschema'!O148,"")</f>
        <v/>
      </c>
      <c r="O118" s="571">
        <f>IF('Aanpassen Werkschema'!P148&gt;0,'Aanpassen Werkschema'!P148,"")</f>
        <v/>
      </c>
      <c r="P118" s="571">
        <f>IF('Aanpassen Werkschema'!Q148&gt;0,'Aanpassen Werkschema'!Q148,"")</f>
        <v/>
      </c>
      <c r="Q118" s="571">
        <f>IF('Aanpassen Werkschema'!R148&gt;0,'Aanpassen Werkschema'!R148,"")</f>
        <v/>
      </c>
      <c r="R118" s="571">
        <f>IF('Aanpassen Werkschema'!S148&gt;0,'Aanpassen Werkschema'!S148,"")</f>
        <v/>
      </c>
      <c r="S118" s="569">
        <f>IF('Aanpassen Werkschema'!T148="x","",IF('Aanpassen Werkschema'!N148="v","x",IF(E118="","",IF(E118="x","x"))))</f>
        <v/>
      </c>
      <c r="T118" s="569">
        <f>IF('Aanpassen Werkschema'!U148="x","",IF('Aanpassen Werkschema'!O148="v","x",IF(F118="","",IF(F118="x","x"))))</f>
        <v/>
      </c>
      <c r="U118" s="569">
        <f>IF('Aanpassen Werkschema'!V148="x","",IF('Aanpassen Werkschema'!P148="v","x",IF(G118="","",IF(G118="x","x"))))</f>
        <v/>
      </c>
      <c r="V118" s="569">
        <f>IF('Aanpassen Werkschema'!W148="x","",IF('Aanpassen Werkschema'!Q148="v","x",IF(H118="","",IF(H118="x","x"))))</f>
        <v/>
      </c>
      <c r="W118" s="569">
        <f>IF('Aanpassen Werkschema'!X148="x","",IF('Aanpassen Werkschema'!R148="v","x",IF(I118="","",IF(I118="x","x"))))</f>
        <v/>
      </c>
      <c r="X118" s="569">
        <f>IF('Aanpassen Werkschema'!Y148="x","",IF('Aanpassen Werkschema'!S148="v","x",IF(J118="","",IF(J118="x","x"))))</f>
        <v/>
      </c>
      <c r="Y118" s="569">
        <f>IF('Aanpassen Werkschema'!Z148="x","",IF('Aanpassen Werkschema'!T148="v","x",IF(K118="","",IF(K118="x","x"))))</f>
        <v/>
      </c>
      <c r="Z118" s="850">
        <f>Z117+0.0000000001</f>
        <v/>
      </c>
      <c r="AA118" s="851">
        <f>IFERROR(IF(C118="",1.1,IF(S118="",1,IF($C118=1,VLOOKUP($B118,'Werkschema - Rekening'!$B$2:$C$46,2,FALSE),IF($C118=2,Instellingen!C$16,IF($C118=3,Instellingen!D$16,IF($C118=4,L118))))+$D118)+$Z118),1.1)</f>
        <v/>
      </c>
      <c r="AB118" s="852">
        <f>IF($B118="","",IFERROR(VLOOKUP($B118,'Werkschema - Rekening'!$B$2:$P$46,3,FALSE),""))</f>
        <v/>
      </c>
      <c r="AC118" s="851">
        <f>IFERROR(IF(C118="",1.1,IF(T118="",1,IF($C118=1,VLOOKUP($B118,'Werkschema - Rekening'!$B$2:$E$46,4,FALSE),IF($C118=2,Instellingen!E$16,IF($C118=3,Instellingen!F$16,IF($C118=4,M118))))+$D118)+$Z118),1.1)</f>
        <v/>
      </c>
      <c r="AD118" s="852">
        <f>IF($B118="","",IFERROR(VLOOKUP($B118,'Werkschema - Rekening'!$B$2:$P$46,5,FALSE),""))</f>
        <v/>
      </c>
      <c r="AE118" s="851">
        <f>IFERROR(IF(C118="",1.1,IF(U118="",1,IF($C118=1,VLOOKUP($B118,'Werkschema - Rekening'!$B$2:$G$46,6,FALSE),IF($C118=2,Instellingen!G$16,IF($C118=3,Instellingen!H$16,IF($C118=4,N118))))+$D118)+$Z118),1.1)</f>
        <v/>
      </c>
      <c r="AF118" s="852">
        <f>IF($B118="","",IFERROR(VLOOKUP($B118,'Werkschema - Rekening'!$B$2:$P$46,7,FALSE),""))</f>
        <v/>
      </c>
      <c r="AG118" s="851">
        <f>IFERROR(IF(C118="",1.1,IF(V118="",1,IF($C118=1,VLOOKUP($B118,'Werkschema - Rekening'!$B$2:$I$46,8,FALSE),IF($C118=2,Instellingen!I$16,IF($C118=3,Instellingen!J$16,IF($C118=4,O118))))+$D118)+$Z118),1.1)</f>
        <v/>
      </c>
      <c r="AH118" s="852">
        <f>IF($B118="","",IFERROR(VLOOKUP($B118,'Werkschema - Rekening'!$B$2:$P$46,9,FALSE),""))</f>
        <v/>
      </c>
      <c r="AI118" s="851">
        <f>IFERROR(IF(C118="",1.1,IF(W118="",1,IF($C118=1,VLOOKUP($B118,'Werkschema - Rekening'!$B$2:$K$46,10,FALSE),IF($C118=2,Instellingen!K$16,IF($C118=3,Instellingen!L$16,IF($C118=4,P118))))+$D118)+$Z118),1.1)</f>
        <v/>
      </c>
      <c r="AJ118" s="852">
        <f>IF($B118="","",IFERROR(VLOOKUP($B118,'Werkschema - Rekening'!$B$2:$P$46,11,FALSE),""))</f>
        <v/>
      </c>
      <c r="AK118" s="851">
        <f>IFERROR(IF(C118="",1.1,IF(X118="",1,IF($C118=1,VLOOKUP($B118,'Werkschema - Rekening'!$B$2:$M$46,12,FALSE),IF($C118=2,Instellingen!M$16,IF($C118=3,Instellingen!N$16,IF($C118=4,Q118))))+$D118)+$Z118),1.1)</f>
        <v/>
      </c>
      <c r="AL118" s="852">
        <f>IF($B118="","",IFERROR(VLOOKUP($B118,'Werkschema - Rekening'!$B$2:$P$46,13,FALSE),""))</f>
        <v/>
      </c>
      <c r="AM118" s="851">
        <f>IFERROR(IF(C118="",1.1,IF(Y118="",1,IF($C118=1,VLOOKUP($B118,'Werkschema - Rekening'!$B$2:$O$46,14,FALSE),IF($C118=2,Instellingen!O$16,IF($C118=3,Instellingen!P$16,IF($C118=4,R118))))+$D118)+$Z118),1.1)</f>
        <v/>
      </c>
      <c r="AN118" s="852">
        <f>IF($B118="","",IFERROR(VLOOKUP($B118,'Werkschema - Rekening'!$B$2:$P$46,15,FALSE),""))</f>
        <v/>
      </c>
      <c r="AO118" s="852">
        <f>A118</f>
        <v/>
      </c>
      <c r="AP118" s="852">
        <f>B118</f>
        <v/>
      </c>
    </row>
    <row r="119" ht="12.6" customHeight="1">
      <c r="A119" s="830">
        <f>'Aanpassen Werkschema'!B149</f>
        <v/>
      </c>
      <c r="B119" s="569">
        <f>'Aanpassen Werkschema'!C149</f>
        <v/>
      </c>
      <c r="C119" s="569">
        <f>IF('Aanpassen Werkschema'!D149="geplande taak",1,IF('Aanpassen Werkschema'!D149="openingstijd",2,IF('Aanpassen Werkschema'!D149="sluitingstijd",3,IF('Aanpassen Werkschema'!D149="vaste tijd",4,""))))</f>
        <v/>
      </c>
      <c r="D119" s="849">
        <f>'Aanpassen Werkschema'!E149</f>
        <v/>
      </c>
      <c r="E119" s="569">
        <f>IF('Aanpassen Werkschema'!F149="v","x","")</f>
        <v/>
      </c>
      <c r="F119" s="569">
        <f>IF('Aanpassen Werkschema'!G149="v","x","")</f>
        <v/>
      </c>
      <c r="G119" s="569">
        <f>IF('Aanpassen Werkschema'!H149="v","x","")</f>
        <v/>
      </c>
      <c r="H119" s="569">
        <f>IF('Aanpassen Werkschema'!I149="v","x","")</f>
        <v/>
      </c>
      <c r="I119" s="569">
        <f>IF('Aanpassen Werkschema'!J149="v","x","")</f>
        <v/>
      </c>
      <c r="J119" s="569">
        <f>IF('Aanpassen Werkschema'!K149="v","x","")</f>
        <v/>
      </c>
      <c r="K119" s="569">
        <f>IF('Aanpassen Werkschema'!L149="v","x","")</f>
        <v/>
      </c>
      <c r="L119" s="571">
        <f>IF('Aanpassen Werkschema'!M149&gt;0,'Aanpassen Werkschema'!M149,"")</f>
        <v/>
      </c>
      <c r="M119" s="571">
        <f>IF('Aanpassen Werkschema'!N149&gt;0,'Aanpassen Werkschema'!N149,"")</f>
        <v/>
      </c>
      <c r="N119" s="571">
        <f>IF('Aanpassen Werkschema'!O149&gt;0,'Aanpassen Werkschema'!O149,"")</f>
        <v/>
      </c>
      <c r="O119" s="571">
        <f>IF('Aanpassen Werkschema'!P149&gt;0,'Aanpassen Werkschema'!P149,"")</f>
        <v/>
      </c>
      <c r="P119" s="571">
        <f>IF('Aanpassen Werkschema'!Q149&gt;0,'Aanpassen Werkschema'!Q149,"")</f>
        <v/>
      </c>
      <c r="Q119" s="571">
        <f>IF('Aanpassen Werkschema'!R149&gt;0,'Aanpassen Werkschema'!R149,"")</f>
        <v/>
      </c>
      <c r="R119" s="571">
        <f>IF('Aanpassen Werkschema'!S149&gt;0,'Aanpassen Werkschema'!S149,"")</f>
        <v/>
      </c>
      <c r="S119" s="569">
        <f>IF('Aanpassen Werkschema'!T149="x","",IF('Aanpassen Werkschema'!N149="v","x",IF(E119="","",IF(E119="x","x"))))</f>
        <v/>
      </c>
      <c r="T119" s="569">
        <f>IF('Aanpassen Werkschema'!U149="x","",IF('Aanpassen Werkschema'!O149="v","x",IF(F119="","",IF(F119="x","x"))))</f>
        <v/>
      </c>
      <c r="U119" s="569">
        <f>IF('Aanpassen Werkschema'!V149="x","",IF('Aanpassen Werkschema'!P149="v","x",IF(G119="","",IF(G119="x","x"))))</f>
        <v/>
      </c>
      <c r="V119" s="569">
        <f>IF('Aanpassen Werkschema'!W149="x","",IF('Aanpassen Werkschema'!Q149="v","x",IF(H119="","",IF(H119="x","x"))))</f>
        <v/>
      </c>
      <c r="W119" s="569">
        <f>IF('Aanpassen Werkschema'!X149="x","",IF('Aanpassen Werkschema'!R149="v","x",IF(I119="","",IF(I119="x","x"))))</f>
        <v/>
      </c>
      <c r="X119" s="569">
        <f>IF('Aanpassen Werkschema'!Y149="x","",IF('Aanpassen Werkschema'!S149="v","x",IF(J119="","",IF(J119="x","x"))))</f>
        <v/>
      </c>
      <c r="Y119" s="569">
        <f>IF('Aanpassen Werkschema'!Z149="x","",IF('Aanpassen Werkschema'!T149="v","x",IF(K119="","",IF(K119="x","x"))))</f>
        <v/>
      </c>
      <c r="Z119" s="850">
        <f>Z118+0.0000000001</f>
        <v/>
      </c>
      <c r="AA119" s="851">
        <f>IFERROR(IF(C119="",1.1,IF(S119="",1,IF($C119=1,VLOOKUP($B119,'Werkschema - Rekening'!$B$2:$C$46,2,FALSE),IF($C119=2,Instellingen!C$16,IF($C119=3,Instellingen!D$16,IF($C119=4,L119))))+$D119)+$Z119),1.1)</f>
        <v/>
      </c>
      <c r="AB119" s="852">
        <f>IF($B119="","",IFERROR(VLOOKUP($B119,'Werkschema - Rekening'!$B$2:$P$46,3,FALSE),""))</f>
        <v/>
      </c>
      <c r="AC119" s="851">
        <f>IFERROR(IF(C119="",1.1,IF(T119="",1,IF($C119=1,VLOOKUP($B119,'Werkschema - Rekening'!$B$2:$E$46,4,FALSE),IF($C119=2,Instellingen!E$16,IF($C119=3,Instellingen!F$16,IF($C119=4,M119))))+$D119)+$Z119),1.1)</f>
        <v/>
      </c>
      <c r="AD119" s="852">
        <f>IF($B119="","",IFERROR(VLOOKUP($B119,'Werkschema - Rekening'!$B$2:$P$46,5,FALSE),""))</f>
        <v/>
      </c>
      <c r="AE119" s="851">
        <f>IFERROR(IF(C119="",1.1,IF(U119="",1,IF($C119=1,VLOOKUP($B119,'Werkschema - Rekening'!$B$2:$G$46,6,FALSE),IF($C119=2,Instellingen!G$16,IF($C119=3,Instellingen!H$16,IF($C119=4,N119))))+$D119)+$Z119),1.1)</f>
        <v/>
      </c>
      <c r="AF119" s="852">
        <f>IF($B119="","",IFERROR(VLOOKUP($B119,'Werkschema - Rekening'!$B$2:$P$46,7,FALSE),""))</f>
        <v/>
      </c>
      <c r="AG119" s="851">
        <f>IFERROR(IF(C119="",1.1,IF(V119="",1,IF($C119=1,VLOOKUP($B119,'Werkschema - Rekening'!$B$2:$I$46,8,FALSE),IF($C119=2,Instellingen!I$16,IF($C119=3,Instellingen!J$16,IF($C119=4,O119))))+$D119)+$Z119),1.1)</f>
        <v/>
      </c>
      <c r="AH119" s="852">
        <f>IF($B119="","",IFERROR(VLOOKUP($B119,'Werkschema - Rekening'!$B$2:$P$46,9,FALSE),""))</f>
        <v/>
      </c>
      <c r="AI119" s="851">
        <f>IFERROR(IF(C119="",1.1,IF(W119="",1,IF($C119=1,VLOOKUP($B119,'Werkschema - Rekening'!$B$2:$K$46,10,FALSE),IF($C119=2,Instellingen!K$16,IF($C119=3,Instellingen!L$16,IF($C119=4,P119))))+$D119)+$Z119),1.1)</f>
        <v/>
      </c>
      <c r="AJ119" s="852">
        <f>IF($B119="","",IFERROR(VLOOKUP($B119,'Werkschema - Rekening'!$B$2:$P$46,11,FALSE),""))</f>
        <v/>
      </c>
      <c r="AK119" s="851">
        <f>IFERROR(IF(C119="",1.1,IF(X119="",1,IF($C119=1,VLOOKUP($B119,'Werkschema - Rekening'!$B$2:$M$46,12,FALSE),IF($C119=2,Instellingen!M$16,IF($C119=3,Instellingen!N$16,IF($C119=4,Q119))))+$D119)+$Z119),1.1)</f>
        <v/>
      </c>
      <c r="AL119" s="852">
        <f>IF($B119="","",IFERROR(VLOOKUP($B119,'Werkschema - Rekening'!$B$2:$P$46,13,FALSE),""))</f>
        <v/>
      </c>
      <c r="AM119" s="851">
        <f>IFERROR(IF(C119="",1.1,IF(Y119="",1,IF($C119=1,VLOOKUP($B119,'Werkschema - Rekening'!$B$2:$O$46,14,FALSE),IF($C119=2,Instellingen!O$16,IF($C119=3,Instellingen!P$16,IF($C119=4,R119))))+$D119)+$Z119),1.1)</f>
        <v/>
      </c>
      <c r="AN119" s="852">
        <f>IF($B119="","",IFERROR(VLOOKUP($B119,'Werkschema - Rekening'!$B$2:$P$46,15,FALSE),""))</f>
        <v/>
      </c>
      <c r="AO119" s="852">
        <f>A119</f>
        <v/>
      </c>
      <c r="AP119" s="852">
        <f>B119</f>
        <v/>
      </c>
    </row>
    <row r="120" ht="12.6" customHeight="1">
      <c r="A120" s="830">
        <f>'Aanpassen Werkschema'!B150</f>
        <v/>
      </c>
      <c r="B120" s="569">
        <f>'Aanpassen Werkschema'!C150</f>
        <v/>
      </c>
      <c r="C120" s="569">
        <f>IF('Aanpassen Werkschema'!D150="geplande taak",1,IF('Aanpassen Werkschema'!D150="openingstijd",2,IF('Aanpassen Werkschema'!D150="sluitingstijd",3,IF('Aanpassen Werkschema'!D150="vaste tijd",4,""))))</f>
        <v/>
      </c>
      <c r="D120" s="849">
        <f>'Aanpassen Werkschema'!E150</f>
        <v/>
      </c>
      <c r="E120" s="569">
        <f>IF('Aanpassen Werkschema'!F150="v","x","")</f>
        <v/>
      </c>
      <c r="F120" s="569">
        <f>IF('Aanpassen Werkschema'!G150="v","x","")</f>
        <v/>
      </c>
      <c r="G120" s="569">
        <f>IF('Aanpassen Werkschema'!H150="v","x","")</f>
        <v/>
      </c>
      <c r="H120" s="569">
        <f>IF('Aanpassen Werkschema'!I150="v","x","")</f>
        <v/>
      </c>
      <c r="I120" s="569">
        <f>IF('Aanpassen Werkschema'!J150="v","x","")</f>
        <v/>
      </c>
      <c r="J120" s="569">
        <f>IF('Aanpassen Werkschema'!K150="v","x","")</f>
        <v/>
      </c>
      <c r="K120" s="569">
        <f>IF('Aanpassen Werkschema'!L150="v","x","")</f>
        <v/>
      </c>
      <c r="L120" s="571">
        <f>IF('Aanpassen Werkschema'!M150&gt;0,'Aanpassen Werkschema'!M150,"")</f>
        <v/>
      </c>
      <c r="M120" s="571">
        <f>IF('Aanpassen Werkschema'!N150&gt;0,'Aanpassen Werkschema'!N150,"")</f>
        <v/>
      </c>
      <c r="N120" s="571">
        <f>IF('Aanpassen Werkschema'!O150&gt;0,'Aanpassen Werkschema'!O150,"")</f>
        <v/>
      </c>
      <c r="O120" s="571">
        <f>IF('Aanpassen Werkschema'!P150&gt;0,'Aanpassen Werkschema'!P150,"")</f>
        <v/>
      </c>
      <c r="P120" s="571">
        <f>IF('Aanpassen Werkschema'!Q150&gt;0,'Aanpassen Werkschema'!Q150,"")</f>
        <v/>
      </c>
      <c r="Q120" s="571">
        <f>IF('Aanpassen Werkschema'!R150&gt;0,'Aanpassen Werkschema'!R150,"")</f>
        <v/>
      </c>
      <c r="R120" s="571">
        <f>IF('Aanpassen Werkschema'!S150&gt;0,'Aanpassen Werkschema'!S150,"")</f>
        <v/>
      </c>
      <c r="S120" s="569">
        <f>IF('Aanpassen Werkschema'!T150="x","",IF('Aanpassen Werkschema'!N150="v","x",IF(E120="","",IF(E120="x","x"))))</f>
        <v/>
      </c>
      <c r="T120" s="569">
        <f>IF('Aanpassen Werkschema'!U150="x","",IF('Aanpassen Werkschema'!O150="v","x",IF(F120="","",IF(F120="x","x"))))</f>
        <v/>
      </c>
      <c r="U120" s="569">
        <f>IF('Aanpassen Werkschema'!V150="x","",IF('Aanpassen Werkschema'!P150="v","x",IF(G120="","",IF(G120="x","x"))))</f>
        <v/>
      </c>
      <c r="V120" s="569">
        <f>IF('Aanpassen Werkschema'!W150="x","",IF('Aanpassen Werkschema'!Q150="v","x",IF(H120="","",IF(H120="x","x"))))</f>
        <v/>
      </c>
      <c r="W120" s="569">
        <f>IF('Aanpassen Werkschema'!X150="x","",IF('Aanpassen Werkschema'!R150="v","x",IF(I120="","",IF(I120="x","x"))))</f>
        <v/>
      </c>
      <c r="X120" s="569">
        <f>IF('Aanpassen Werkschema'!Y150="x","",IF('Aanpassen Werkschema'!S150="v","x",IF(J120="","",IF(J120="x","x"))))</f>
        <v/>
      </c>
      <c r="Y120" s="569">
        <f>IF('Aanpassen Werkschema'!Z150="x","",IF('Aanpassen Werkschema'!T150="v","x",IF(K120="","",IF(K120="x","x"))))</f>
        <v/>
      </c>
      <c r="Z120" s="850">
        <f>Z119+0.0000000001</f>
        <v/>
      </c>
      <c r="AA120" s="851">
        <f>IFERROR(IF(C120="",1.1,IF(S120="",1,IF($C120=1,VLOOKUP($B120,'Werkschema - Rekening'!$B$2:$C$46,2,FALSE),IF($C120=2,Instellingen!C$16,IF($C120=3,Instellingen!D$16,IF($C120=4,L120))))+$D120)+$Z120),1.1)</f>
        <v/>
      </c>
      <c r="AB120" s="852">
        <f>IF($B120="","",IFERROR(VLOOKUP($B120,'Werkschema - Rekening'!$B$2:$P$46,3,FALSE),""))</f>
        <v/>
      </c>
      <c r="AC120" s="851">
        <f>IFERROR(IF(C120="",1.1,IF(T120="",1,IF($C120=1,VLOOKUP($B120,'Werkschema - Rekening'!$B$2:$E$46,4,FALSE),IF($C120=2,Instellingen!E$16,IF($C120=3,Instellingen!F$16,IF($C120=4,M120))))+$D120)+$Z120),1.1)</f>
        <v/>
      </c>
      <c r="AD120" s="852">
        <f>IF($B120="","",IFERROR(VLOOKUP($B120,'Werkschema - Rekening'!$B$2:$P$46,5,FALSE),""))</f>
        <v/>
      </c>
      <c r="AE120" s="851">
        <f>IFERROR(IF(C120="",1.1,IF(U120="",1,IF($C120=1,VLOOKUP($B120,'Werkschema - Rekening'!$B$2:$G$46,6,FALSE),IF($C120=2,Instellingen!G$16,IF($C120=3,Instellingen!H$16,IF($C120=4,N120))))+$D120)+$Z120),1.1)</f>
        <v/>
      </c>
      <c r="AF120" s="852">
        <f>IF($B120="","",IFERROR(VLOOKUP($B120,'Werkschema - Rekening'!$B$2:$P$46,7,FALSE),""))</f>
        <v/>
      </c>
      <c r="AG120" s="851">
        <f>IFERROR(IF(C120="",1.1,IF(V120="",1,IF($C120=1,VLOOKUP($B120,'Werkschema - Rekening'!$B$2:$I$46,8,FALSE),IF($C120=2,Instellingen!I$16,IF($C120=3,Instellingen!J$16,IF($C120=4,O120))))+$D120)+$Z120),1.1)</f>
        <v/>
      </c>
      <c r="AH120" s="852">
        <f>IF($B120="","",IFERROR(VLOOKUP($B120,'Werkschema - Rekening'!$B$2:$P$46,9,FALSE),""))</f>
        <v/>
      </c>
      <c r="AI120" s="851">
        <f>IFERROR(IF(C120="",1.1,IF(W120="",1,IF($C120=1,VLOOKUP($B120,'Werkschema - Rekening'!$B$2:$K$46,10,FALSE),IF($C120=2,Instellingen!K$16,IF($C120=3,Instellingen!L$16,IF($C120=4,P120))))+$D120)+$Z120),1.1)</f>
        <v/>
      </c>
      <c r="AJ120" s="852">
        <f>IF($B120="","",IFERROR(VLOOKUP($B120,'Werkschema - Rekening'!$B$2:$P$46,11,FALSE),""))</f>
        <v/>
      </c>
      <c r="AK120" s="851">
        <f>IFERROR(IF(C120="",1.1,IF(X120="",1,IF($C120=1,VLOOKUP($B120,'Werkschema - Rekening'!$B$2:$M$46,12,FALSE),IF($C120=2,Instellingen!M$16,IF($C120=3,Instellingen!N$16,IF($C120=4,Q120))))+$D120)+$Z120),1.1)</f>
        <v/>
      </c>
      <c r="AL120" s="852">
        <f>IF($B120="","",IFERROR(VLOOKUP($B120,'Werkschema - Rekening'!$B$2:$P$46,13,FALSE),""))</f>
        <v/>
      </c>
      <c r="AM120" s="851">
        <f>IFERROR(IF(C120="",1.1,IF(Y120="",1,IF($C120=1,VLOOKUP($B120,'Werkschema - Rekening'!$B$2:$O$46,14,FALSE),IF($C120=2,Instellingen!O$16,IF($C120=3,Instellingen!P$16,IF($C120=4,R120))))+$D120)+$Z120),1.1)</f>
        <v/>
      </c>
      <c r="AN120" s="852">
        <f>IF($B120="","",IFERROR(VLOOKUP($B120,'Werkschema - Rekening'!$B$2:$P$46,15,FALSE),""))</f>
        <v/>
      </c>
      <c r="AO120" s="852">
        <f>A120</f>
        <v/>
      </c>
      <c r="AP120" s="852">
        <f>B120</f>
        <v/>
      </c>
    </row>
    <row r="121" ht="12.6" customHeight="1">
      <c r="A121" s="830">
        <f>'Aanpassen Werkschema'!B151</f>
        <v/>
      </c>
      <c r="B121" s="569">
        <f>'Aanpassen Werkschema'!C151</f>
        <v/>
      </c>
      <c r="C121" s="569">
        <f>IF('Aanpassen Werkschema'!D151="geplande taak",1,IF('Aanpassen Werkschema'!D151="openingstijd",2,IF('Aanpassen Werkschema'!D151="sluitingstijd",3,IF('Aanpassen Werkschema'!D151="vaste tijd",4,""))))</f>
        <v/>
      </c>
      <c r="D121" s="849">
        <f>'Aanpassen Werkschema'!E151</f>
        <v/>
      </c>
      <c r="E121" s="569">
        <f>IF('Aanpassen Werkschema'!F151="v","x","")</f>
        <v/>
      </c>
      <c r="F121" s="569">
        <f>IF('Aanpassen Werkschema'!G151="v","x","")</f>
        <v/>
      </c>
      <c r="G121" s="569">
        <f>IF('Aanpassen Werkschema'!H151="v","x","")</f>
        <v/>
      </c>
      <c r="H121" s="569">
        <f>IF('Aanpassen Werkschema'!I151="v","x","")</f>
        <v/>
      </c>
      <c r="I121" s="569">
        <f>IF('Aanpassen Werkschema'!J151="v","x","")</f>
        <v/>
      </c>
      <c r="J121" s="569">
        <f>IF('Aanpassen Werkschema'!K151="v","x","")</f>
        <v/>
      </c>
      <c r="K121" s="569">
        <f>IF('Aanpassen Werkschema'!L151="v","x","")</f>
        <v/>
      </c>
      <c r="L121" s="571">
        <f>IF('Aanpassen Werkschema'!M151&gt;0,'Aanpassen Werkschema'!M151,"")</f>
        <v/>
      </c>
      <c r="M121" s="571">
        <f>IF('Aanpassen Werkschema'!N151&gt;0,'Aanpassen Werkschema'!N151,"")</f>
        <v/>
      </c>
      <c r="N121" s="571">
        <f>IF('Aanpassen Werkschema'!O151&gt;0,'Aanpassen Werkschema'!O151,"")</f>
        <v/>
      </c>
      <c r="O121" s="571">
        <f>IF('Aanpassen Werkschema'!P151&gt;0,'Aanpassen Werkschema'!P151,"")</f>
        <v/>
      </c>
      <c r="P121" s="571">
        <f>IF('Aanpassen Werkschema'!Q151&gt;0,'Aanpassen Werkschema'!Q151,"")</f>
        <v/>
      </c>
      <c r="Q121" s="571">
        <f>IF('Aanpassen Werkschema'!R151&gt;0,'Aanpassen Werkschema'!R151,"")</f>
        <v/>
      </c>
      <c r="R121" s="571">
        <f>IF('Aanpassen Werkschema'!S151&gt;0,'Aanpassen Werkschema'!S151,"")</f>
        <v/>
      </c>
      <c r="S121" s="569">
        <f>IF('Aanpassen Werkschema'!T151="x","",IF('Aanpassen Werkschema'!N151="v","x",IF(E121="","",IF(E121="x","x"))))</f>
        <v/>
      </c>
      <c r="T121" s="569">
        <f>IF('Aanpassen Werkschema'!U151="x","",IF('Aanpassen Werkschema'!O151="v","x",IF(F121="","",IF(F121="x","x"))))</f>
        <v/>
      </c>
      <c r="U121" s="569">
        <f>IF('Aanpassen Werkschema'!V151="x","",IF('Aanpassen Werkschema'!P151="v","x",IF(G121="","",IF(G121="x","x"))))</f>
        <v/>
      </c>
      <c r="V121" s="569">
        <f>IF('Aanpassen Werkschema'!W151="x","",IF('Aanpassen Werkschema'!Q151="v","x",IF(H121="","",IF(H121="x","x"))))</f>
        <v/>
      </c>
      <c r="W121" s="569">
        <f>IF('Aanpassen Werkschema'!X151="x","",IF('Aanpassen Werkschema'!R151="v","x",IF(I121="","",IF(I121="x","x"))))</f>
        <v/>
      </c>
      <c r="X121" s="569">
        <f>IF('Aanpassen Werkschema'!Y151="x","",IF('Aanpassen Werkschema'!S151="v","x",IF(J121="","",IF(J121="x","x"))))</f>
        <v/>
      </c>
      <c r="Y121" s="569">
        <f>IF('Aanpassen Werkschema'!Z151="x","",IF('Aanpassen Werkschema'!T151="v","x",IF(K121="","",IF(K121="x","x"))))</f>
        <v/>
      </c>
      <c r="Z121" s="850">
        <f>Z120+0.0000000001</f>
        <v/>
      </c>
      <c r="AA121" s="851">
        <f>IFERROR(IF(C121="",1.1,IF(S121="",1,IF($C121=1,VLOOKUP($B121,'Werkschema - Rekening'!$B$2:$C$46,2,FALSE),IF($C121=2,Instellingen!C$16,IF($C121=3,Instellingen!D$16,IF($C121=4,L121))))+$D121)+$Z121),1.1)</f>
        <v/>
      </c>
      <c r="AB121" s="852">
        <f>IF($B121="","",IFERROR(VLOOKUP($B121,'Werkschema - Rekening'!$B$2:$P$46,3,FALSE),""))</f>
        <v/>
      </c>
      <c r="AC121" s="851">
        <f>IFERROR(IF(C121="",1.1,IF(T121="",1,IF($C121=1,VLOOKUP($B121,'Werkschema - Rekening'!$B$2:$E$46,4,FALSE),IF($C121=2,Instellingen!E$16,IF($C121=3,Instellingen!F$16,IF($C121=4,M121))))+$D121)+$Z121),1.1)</f>
        <v/>
      </c>
      <c r="AD121" s="852">
        <f>IF($B121="","",IFERROR(VLOOKUP($B121,'Werkschema - Rekening'!$B$2:$P$46,5,FALSE),""))</f>
        <v/>
      </c>
      <c r="AE121" s="851">
        <f>IFERROR(IF(C121="",1.1,IF(U121="",1,IF($C121=1,VLOOKUP($B121,'Werkschema - Rekening'!$B$2:$G$46,6,FALSE),IF($C121=2,Instellingen!G$16,IF($C121=3,Instellingen!H$16,IF($C121=4,N121))))+$D121)+$Z121),1.1)</f>
        <v/>
      </c>
      <c r="AF121" s="852">
        <f>IF($B121="","",IFERROR(VLOOKUP($B121,'Werkschema - Rekening'!$B$2:$P$46,7,FALSE),""))</f>
        <v/>
      </c>
      <c r="AG121" s="851">
        <f>IFERROR(IF(C121="",1.1,IF(V121="",1,IF($C121=1,VLOOKUP($B121,'Werkschema - Rekening'!$B$2:$I$46,8,FALSE),IF($C121=2,Instellingen!I$16,IF($C121=3,Instellingen!J$16,IF($C121=4,O121))))+$D121)+$Z121),1.1)</f>
        <v/>
      </c>
      <c r="AH121" s="852">
        <f>IF($B121="","",IFERROR(VLOOKUP($B121,'Werkschema - Rekening'!$B$2:$P$46,9,FALSE),""))</f>
        <v/>
      </c>
      <c r="AI121" s="851">
        <f>IFERROR(IF(C121="",1.1,IF(W121="",1,IF($C121=1,VLOOKUP($B121,'Werkschema - Rekening'!$B$2:$K$46,10,FALSE),IF($C121=2,Instellingen!K$16,IF($C121=3,Instellingen!L$16,IF($C121=4,P121))))+$D121)+$Z121),1.1)</f>
        <v/>
      </c>
      <c r="AJ121" s="852">
        <f>IF($B121="","",IFERROR(VLOOKUP($B121,'Werkschema - Rekening'!$B$2:$P$46,11,FALSE),""))</f>
        <v/>
      </c>
      <c r="AK121" s="851">
        <f>IFERROR(IF(C121="",1.1,IF(X121="",1,IF($C121=1,VLOOKUP($B121,'Werkschema - Rekening'!$B$2:$M$46,12,FALSE),IF($C121=2,Instellingen!M$16,IF($C121=3,Instellingen!N$16,IF($C121=4,Q121))))+$D121)+$Z121),1.1)</f>
        <v/>
      </c>
      <c r="AL121" s="852">
        <f>IF($B121="","",IFERROR(VLOOKUP($B121,'Werkschema - Rekening'!$B$2:$P$46,13,FALSE),""))</f>
        <v/>
      </c>
      <c r="AM121" s="851">
        <f>IFERROR(IF(C121="",1.1,IF(Y121="",1,IF($C121=1,VLOOKUP($B121,'Werkschema - Rekening'!$B$2:$O$46,14,FALSE),IF($C121=2,Instellingen!O$16,IF($C121=3,Instellingen!P$16,IF($C121=4,R121))))+$D121)+$Z121),1.1)</f>
        <v/>
      </c>
      <c r="AN121" s="852">
        <f>IF($B121="","",IFERROR(VLOOKUP($B121,'Werkschema - Rekening'!$B$2:$P$46,15,FALSE),""))</f>
        <v/>
      </c>
      <c r="AO121" s="852">
        <f>A121</f>
        <v/>
      </c>
      <c r="AP121" s="852">
        <f>B121</f>
        <v/>
      </c>
    </row>
    <row r="122" ht="12.6" customHeight="1">
      <c r="A122" s="830">
        <f>'Aanpassen Werkschema'!B152</f>
        <v/>
      </c>
      <c r="B122" s="569">
        <f>'Aanpassen Werkschema'!C152</f>
        <v/>
      </c>
      <c r="C122" s="569">
        <f>IF('Aanpassen Werkschema'!D152="geplande taak",1,IF('Aanpassen Werkschema'!D152="openingstijd",2,IF('Aanpassen Werkschema'!D152="sluitingstijd",3,IF('Aanpassen Werkschema'!D152="vaste tijd",4,""))))</f>
        <v/>
      </c>
      <c r="D122" s="849">
        <f>'Aanpassen Werkschema'!E152</f>
        <v/>
      </c>
      <c r="E122" s="569">
        <f>IF('Aanpassen Werkschema'!F152="v","x","")</f>
        <v/>
      </c>
      <c r="F122" s="569">
        <f>IF('Aanpassen Werkschema'!G152="v","x","")</f>
        <v/>
      </c>
      <c r="G122" s="569">
        <f>IF('Aanpassen Werkschema'!H152="v","x","")</f>
        <v/>
      </c>
      <c r="H122" s="569">
        <f>IF('Aanpassen Werkschema'!I152="v","x","")</f>
        <v/>
      </c>
      <c r="I122" s="569">
        <f>IF('Aanpassen Werkschema'!J152="v","x","")</f>
        <v/>
      </c>
      <c r="J122" s="569">
        <f>IF('Aanpassen Werkschema'!K152="v","x","")</f>
        <v/>
      </c>
      <c r="K122" s="569">
        <f>IF('Aanpassen Werkschema'!L152="v","x","")</f>
        <v/>
      </c>
      <c r="L122" s="571">
        <f>IF('Aanpassen Werkschema'!M152&gt;0,'Aanpassen Werkschema'!M152,"")</f>
        <v/>
      </c>
      <c r="M122" s="571">
        <f>IF('Aanpassen Werkschema'!N152&gt;0,'Aanpassen Werkschema'!N152,"")</f>
        <v/>
      </c>
      <c r="N122" s="571">
        <f>IF('Aanpassen Werkschema'!O152&gt;0,'Aanpassen Werkschema'!O152,"")</f>
        <v/>
      </c>
      <c r="O122" s="571">
        <f>IF('Aanpassen Werkschema'!P152&gt;0,'Aanpassen Werkschema'!P152,"")</f>
        <v/>
      </c>
      <c r="P122" s="571">
        <f>IF('Aanpassen Werkschema'!Q152&gt;0,'Aanpassen Werkschema'!Q152,"")</f>
        <v/>
      </c>
      <c r="Q122" s="571">
        <f>IF('Aanpassen Werkschema'!R152&gt;0,'Aanpassen Werkschema'!R152,"")</f>
        <v/>
      </c>
      <c r="R122" s="571">
        <f>IF('Aanpassen Werkschema'!S152&gt;0,'Aanpassen Werkschema'!S152,"")</f>
        <v/>
      </c>
      <c r="S122" s="569">
        <f>IF('Aanpassen Werkschema'!T152="x","",IF('Aanpassen Werkschema'!N152="v","x",IF(E122="","",IF(E122="x","x"))))</f>
        <v/>
      </c>
      <c r="T122" s="569">
        <f>IF('Aanpassen Werkschema'!U152="x","",IF('Aanpassen Werkschema'!O152="v","x",IF(F122="","",IF(F122="x","x"))))</f>
        <v/>
      </c>
      <c r="U122" s="569">
        <f>IF('Aanpassen Werkschema'!V152="x","",IF('Aanpassen Werkschema'!P152="v","x",IF(G122="","",IF(G122="x","x"))))</f>
        <v/>
      </c>
      <c r="V122" s="569">
        <f>IF('Aanpassen Werkschema'!W152="x","",IF('Aanpassen Werkschema'!Q152="v","x",IF(H122="","",IF(H122="x","x"))))</f>
        <v/>
      </c>
      <c r="W122" s="569">
        <f>IF('Aanpassen Werkschema'!X152="x","",IF('Aanpassen Werkschema'!R152="v","x",IF(I122="","",IF(I122="x","x"))))</f>
        <v/>
      </c>
      <c r="X122" s="569">
        <f>IF('Aanpassen Werkschema'!Y152="x","",IF('Aanpassen Werkschema'!S152="v","x",IF(J122="","",IF(J122="x","x"))))</f>
        <v/>
      </c>
      <c r="Y122" s="569">
        <f>IF('Aanpassen Werkschema'!Z152="x","",IF('Aanpassen Werkschema'!T152="v","x",IF(K122="","",IF(K122="x","x"))))</f>
        <v/>
      </c>
      <c r="Z122" s="850">
        <f>Z121+0.0000000001</f>
        <v/>
      </c>
      <c r="AA122" s="851">
        <f>IFERROR(IF(C122="",1.1,IF(S122="",1,IF($C122=1,VLOOKUP($B122,'Werkschema - Rekening'!$B$2:$C$46,2,FALSE),IF($C122=2,Instellingen!C$16,IF($C122=3,Instellingen!D$16,IF($C122=4,L122))))+$D122)+$Z122),1.1)</f>
        <v/>
      </c>
      <c r="AB122" s="852">
        <f>IF($B122="","",IFERROR(VLOOKUP($B122,'Werkschema - Rekening'!$B$2:$P$46,3,FALSE),""))</f>
        <v/>
      </c>
      <c r="AC122" s="851">
        <f>IFERROR(IF(C122="",1.1,IF(T122="",1,IF($C122=1,VLOOKUP($B122,'Werkschema - Rekening'!$B$2:$E$46,4,FALSE),IF($C122=2,Instellingen!E$16,IF($C122=3,Instellingen!F$16,IF($C122=4,M122))))+$D122)+$Z122),1.1)</f>
        <v/>
      </c>
      <c r="AD122" s="852">
        <f>IF($B122="","",IFERROR(VLOOKUP($B122,'Werkschema - Rekening'!$B$2:$P$46,5,FALSE),""))</f>
        <v/>
      </c>
      <c r="AE122" s="851">
        <f>IFERROR(IF(C122="",1.1,IF(U122="",1,IF($C122=1,VLOOKUP($B122,'Werkschema - Rekening'!$B$2:$G$46,6,FALSE),IF($C122=2,Instellingen!G$16,IF($C122=3,Instellingen!H$16,IF($C122=4,N122))))+$D122)+$Z122),1.1)</f>
        <v/>
      </c>
      <c r="AF122" s="852">
        <f>IF($B122="","",IFERROR(VLOOKUP($B122,'Werkschema - Rekening'!$B$2:$P$46,7,FALSE),""))</f>
        <v/>
      </c>
      <c r="AG122" s="851">
        <f>IFERROR(IF(C122="",1.1,IF(V122="",1,IF($C122=1,VLOOKUP($B122,'Werkschema - Rekening'!$B$2:$I$46,8,FALSE),IF($C122=2,Instellingen!I$16,IF($C122=3,Instellingen!J$16,IF($C122=4,O122))))+$D122)+$Z122),1.1)</f>
        <v/>
      </c>
      <c r="AH122" s="852">
        <f>IF($B122="","",IFERROR(VLOOKUP($B122,'Werkschema - Rekening'!$B$2:$P$46,9,FALSE),""))</f>
        <v/>
      </c>
      <c r="AI122" s="851">
        <f>IFERROR(IF(C122="",1.1,IF(W122="",1,IF($C122=1,VLOOKUP($B122,'Werkschema - Rekening'!$B$2:$K$46,10,FALSE),IF($C122=2,Instellingen!K$16,IF($C122=3,Instellingen!L$16,IF($C122=4,P122))))+$D122)+$Z122),1.1)</f>
        <v/>
      </c>
      <c r="AJ122" s="852">
        <f>IF($B122="","",IFERROR(VLOOKUP($B122,'Werkschema - Rekening'!$B$2:$P$46,11,FALSE),""))</f>
        <v/>
      </c>
      <c r="AK122" s="851">
        <f>IFERROR(IF(C122="",1.1,IF(X122="",1,IF($C122=1,VLOOKUP($B122,'Werkschema - Rekening'!$B$2:$M$46,12,FALSE),IF($C122=2,Instellingen!M$16,IF($C122=3,Instellingen!N$16,IF($C122=4,Q122))))+$D122)+$Z122),1.1)</f>
        <v/>
      </c>
      <c r="AL122" s="852">
        <f>IF($B122="","",IFERROR(VLOOKUP($B122,'Werkschema - Rekening'!$B$2:$P$46,13,FALSE),""))</f>
        <v/>
      </c>
      <c r="AM122" s="851">
        <f>IFERROR(IF(C122="",1.1,IF(Y122="",1,IF($C122=1,VLOOKUP($B122,'Werkschema - Rekening'!$B$2:$O$46,14,FALSE),IF($C122=2,Instellingen!O$16,IF($C122=3,Instellingen!P$16,IF($C122=4,R122))))+$D122)+$Z122),1.1)</f>
        <v/>
      </c>
      <c r="AN122" s="852">
        <f>IF($B122="","",IFERROR(VLOOKUP($B122,'Werkschema - Rekening'!$B$2:$P$46,15,FALSE),""))</f>
        <v/>
      </c>
      <c r="AO122" s="852">
        <f>A122</f>
        <v/>
      </c>
      <c r="AP122" s="852">
        <f>B122</f>
        <v/>
      </c>
    </row>
    <row r="123" ht="12.6" customHeight="1">
      <c r="A123" s="830">
        <f>'Aanpassen Werkschema'!B153</f>
        <v/>
      </c>
      <c r="B123" s="569">
        <f>'Aanpassen Werkschema'!C153</f>
        <v/>
      </c>
      <c r="C123" s="569">
        <f>IF('Aanpassen Werkschema'!D153="geplande taak",1,IF('Aanpassen Werkschema'!D153="openingstijd",2,IF('Aanpassen Werkschema'!D153="sluitingstijd",3,IF('Aanpassen Werkschema'!D153="vaste tijd",4,""))))</f>
        <v/>
      </c>
      <c r="D123" s="849">
        <f>'Aanpassen Werkschema'!E153</f>
        <v/>
      </c>
      <c r="E123" s="569">
        <f>IF('Aanpassen Werkschema'!F153="v","x","")</f>
        <v/>
      </c>
      <c r="F123" s="569">
        <f>IF('Aanpassen Werkschema'!G153="v","x","")</f>
        <v/>
      </c>
      <c r="G123" s="569">
        <f>IF('Aanpassen Werkschema'!H153="v","x","")</f>
        <v/>
      </c>
      <c r="H123" s="569">
        <f>IF('Aanpassen Werkschema'!I153="v","x","")</f>
        <v/>
      </c>
      <c r="I123" s="569">
        <f>IF('Aanpassen Werkschema'!J153="v","x","")</f>
        <v/>
      </c>
      <c r="J123" s="569">
        <f>IF('Aanpassen Werkschema'!K153="v","x","")</f>
        <v/>
      </c>
      <c r="K123" s="569">
        <f>IF('Aanpassen Werkschema'!L153="v","x","")</f>
        <v/>
      </c>
      <c r="L123" s="571">
        <f>IF('Aanpassen Werkschema'!M153&gt;0,'Aanpassen Werkschema'!M153,"")</f>
        <v/>
      </c>
      <c r="M123" s="571">
        <f>IF('Aanpassen Werkschema'!N153&gt;0,'Aanpassen Werkschema'!N153,"")</f>
        <v/>
      </c>
      <c r="N123" s="571">
        <f>IF('Aanpassen Werkschema'!O153&gt;0,'Aanpassen Werkschema'!O153,"")</f>
        <v/>
      </c>
      <c r="O123" s="571">
        <f>IF('Aanpassen Werkschema'!P153&gt;0,'Aanpassen Werkschema'!P153,"")</f>
        <v/>
      </c>
      <c r="P123" s="571">
        <f>IF('Aanpassen Werkschema'!Q153&gt;0,'Aanpassen Werkschema'!Q153,"")</f>
        <v/>
      </c>
      <c r="Q123" s="571">
        <f>IF('Aanpassen Werkschema'!R153&gt;0,'Aanpassen Werkschema'!R153,"")</f>
        <v/>
      </c>
      <c r="R123" s="571">
        <f>IF('Aanpassen Werkschema'!S153&gt;0,'Aanpassen Werkschema'!S153,"")</f>
        <v/>
      </c>
      <c r="S123" s="569">
        <f>IF('Aanpassen Werkschema'!T153="x","",IF('Aanpassen Werkschema'!N153="v","x",IF(E123="","",IF(E123="x","x"))))</f>
        <v/>
      </c>
      <c r="T123" s="569">
        <f>IF('Aanpassen Werkschema'!U153="x","",IF('Aanpassen Werkschema'!O153="v","x",IF(F123="","",IF(F123="x","x"))))</f>
        <v/>
      </c>
      <c r="U123" s="569">
        <f>IF('Aanpassen Werkschema'!V153="x","",IF('Aanpassen Werkschema'!P153="v","x",IF(G123="","",IF(G123="x","x"))))</f>
        <v/>
      </c>
      <c r="V123" s="569">
        <f>IF('Aanpassen Werkschema'!W153="x","",IF('Aanpassen Werkschema'!Q153="v","x",IF(H123="","",IF(H123="x","x"))))</f>
        <v/>
      </c>
      <c r="W123" s="569">
        <f>IF('Aanpassen Werkschema'!X153="x","",IF('Aanpassen Werkschema'!R153="v","x",IF(I123="","",IF(I123="x","x"))))</f>
        <v/>
      </c>
      <c r="X123" s="569">
        <f>IF('Aanpassen Werkschema'!Y153="x","",IF('Aanpassen Werkschema'!S153="v","x",IF(J123="","",IF(J123="x","x"))))</f>
        <v/>
      </c>
      <c r="Y123" s="569">
        <f>IF('Aanpassen Werkschema'!Z153="x","",IF('Aanpassen Werkschema'!T153="v","x",IF(K123="","",IF(K123="x","x"))))</f>
        <v/>
      </c>
      <c r="Z123" s="850">
        <f>Z122+0.0000000001</f>
        <v/>
      </c>
      <c r="AA123" s="851">
        <f>IFERROR(IF(C123="",1.1,IF(S123="",1,IF($C123=1,VLOOKUP($B123,'Werkschema - Rekening'!$B$2:$C$46,2,FALSE),IF($C123=2,Instellingen!C$16,IF($C123=3,Instellingen!D$16,IF($C123=4,L123))))+$D123)+$Z123),1.1)</f>
        <v/>
      </c>
      <c r="AB123" s="852">
        <f>IF($B123="","",IFERROR(VLOOKUP($B123,'Werkschema - Rekening'!$B$2:$P$46,3,FALSE),""))</f>
        <v/>
      </c>
      <c r="AC123" s="851">
        <f>IFERROR(IF(C123="",1.1,IF(T123="",1,IF($C123=1,VLOOKUP($B123,'Werkschema - Rekening'!$B$2:$E$46,4,FALSE),IF($C123=2,Instellingen!E$16,IF($C123=3,Instellingen!F$16,IF($C123=4,M123))))+$D123)+$Z123),1.1)</f>
        <v/>
      </c>
      <c r="AD123" s="852">
        <f>IF($B123="","",IFERROR(VLOOKUP($B123,'Werkschema - Rekening'!$B$2:$P$46,5,FALSE),""))</f>
        <v/>
      </c>
      <c r="AE123" s="851">
        <f>IFERROR(IF(C123="",1.1,IF(U123="",1,IF($C123=1,VLOOKUP($B123,'Werkschema - Rekening'!$B$2:$G$46,6,FALSE),IF($C123=2,Instellingen!G$16,IF($C123=3,Instellingen!H$16,IF($C123=4,N123))))+$D123)+$Z123),1.1)</f>
        <v/>
      </c>
      <c r="AF123" s="852">
        <f>IF($B123="","",IFERROR(VLOOKUP($B123,'Werkschema - Rekening'!$B$2:$P$46,7,FALSE),""))</f>
        <v/>
      </c>
      <c r="AG123" s="851">
        <f>IFERROR(IF(C123="",1.1,IF(V123="",1,IF($C123=1,VLOOKUP($B123,'Werkschema - Rekening'!$B$2:$I$46,8,FALSE),IF($C123=2,Instellingen!I$16,IF($C123=3,Instellingen!J$16,IF($C123=4,O123))))+$D123)+$Z123),1.1)</f>
        <v/>
      </c>
      <c r="AH123" s="852">
        <f>IF($B123="","",IFERROR(VLOOKUP($B123,'Werkschema - Rekening'!$B$2:$P$46,9,FALSE),""))</f>
        <v/>
      </c>
      <c r="AI123" s="851">
        <f>IFERROR(IF(C123="",1.1,IF(W123="",1,IF($C123=1,VLOOKUP($B123,'Werkschema - Rekening'!$B$2:$K$46,10,FALSE),IF($C123=2,Instellingen!K$16,IF($C123=3,Instellingen!L$16,IF($C123=4,P123))))+$D123)+$Z123),1.1)</f>
        <v/>
      </c>
      <c r="AJ123" s="852">
        <f>IF($B123="","",IFERROR(VLOOKUP($B123,'Werkschema - Rekening'!$B$2:$P$46,11,FALSE),""))</f>
        <v/>
      </c>
      <c r="AK123" s="851">
        <f>IFERROR(IF(C123="",1.1,IF(X123="",1,IF($C123=1,VLOOKUP($B123,'Werkschema - Rekening'!$B$2:$M$46,12,FALSE),IF($C123=2,Instellingen!M$16,IF($C123=3,Instellingen!N$16,IF($C123=4,Q123))))+$D123)+$Z123),1.1)</f>
        <v/>
      </c>
      <c r="AL123" s="852">
        <f>IF($B123="","",IFERROR(VLOOKUP($B123,'Werkschema - Rekening'!$B$2:$P$46,13,FALSE),""))</f>
        <v/>
      </c>
      <c r="AM123" s="851">
        <f>IFERROR(IF(C123="",1.1,IF(Y123="",1,IF($C123=1,VLOOKUP($B123,'Werkschema - Rekening'!$B$2:$O$46,14,FALSE),IF($C123=2,Instellingen!O$16,IF($C123=3,Instellingen!P$16,IF($C123=4,R123))))+$D123)+$Z123),1.1)</f>
        <v/>
      </c>
      <c r="AN123" s="852">
        <f>IF($B123="","",IFERROR(VLOOKUP($B123,'Werkschema - Rekening'!$B$2:$P$46,15,FALSE),""))</f>
        <v/>
      </c>
      <c r="AO123" s="852">
        <f>A123</f>
        <v/>
      </c>
      <c r="AP123" s="852">
        <f>B123</f>
        <v/>
      </c>
    </row>
    <row r="124" ht="12.6" customHeight="1">
      <c r="A124" s="830">
        <f>'Aanpassen Werkschema'!B154</f>
        <v/>
      </c>
      <c r="B124" s="569">
        <f>'Aanpassen Werkschema'!C154</f>
        <v/>
      </c>
      <c r="C124" s="569">
        <f>IF('Aanpassen Werkschema'!D154="geplande taak",1,IF('Aanpassen Werkschema'!D154="openingstijd",2,IF('Aanpassen Werkschema'!D154="sluitingstijd",3,IF('Aanpassen Werkschema'!D154="vaste tijd",4,""))))</f>
        <v/>
      </c>
      <c r="D124" s="849">
        <f>'Aanpassen Werkschema'!E154</f>
        <v/>
      </c>
      <c r="E124" s="569">
        <f>IF('Aanpassen Werkschema'!F154="v","x","")</f>
        <v/>
      </c>
      <c r="F124" s="569">
        <f>IF('Aanpassen Werkschema'!G154="v","x","")</f>
        <v/>
      </c>
      <c r="G124" s="569">
        <f>IF('Aanpassen Werkschema'!H154="v","x","")</f>
        <v/>
      </c>
      <c r="H124" s="569">
        <f>IF('Aanpassen Werkschema'!I154="v","x","")</f>
        <v/>
      </c>
      <c r="I124" s="569">
        <f>IF('Aanpassen Werkschema'!J154="v","x","")</f>
        <v/>
      </c>
      <c r="J124" s="569">
        <f>IF('Aanpassen Werkschema'!K154="v","x","")</f>
        <v/>
      </c>
      <c r="K124" s="569">
        <f>IF('Aanpassen Werkschema'!L154="v","x","")</f>
        <v/>
      </c>
      <c r="L124" s="571">
        <f>IF('Aanpassen Werkschema'!M154&gt;0,'Aanpassen Werkschema'!M154,"")</f>
        <v/>
      </c>
      <c r="M124" s="571">
        <f>IF('Aanpassen Werkschema'!N154&gt;0,'Aanpassen Werkschema'!N154,"")</f>
        <v/>
      </c>
      <c r="N124" s="571">
        <f>IF('Aanpassen Werkschema'!O154&gt;0,'Aanpassen Werkschema'!O154,"")</f>
        <v/>
      </c>
      <c r="O124" s="571">
        <f>IF('Aanpassen Werkschema'!P154&gt;0,'Aanpassen Werkschema'!P154,"")</f>
        <v/>
      </c>
      <c r="P124" s="571">
        <f>IF('Aanpassen Werkschema'!Q154&gt;0,'Aanpassen Werkschema'!Q154,"")</f>
        <v/>
      </c>
      <c r="Q124" s="571">
        <f>IF('Aanpassen Werkschema'!R154&gt;0,'Aanpassen Werkschema'!R154,"")</f>
        <v/>
      </c>
      <c r="R124" s="571">
        <f>IF('Aanpassen Werkschema'!S154&gt;0,'Aanpassen Werkschema'!S154,"")</f>
        <v/>
      </c>
      <c r="S124" s="569">
        <f>IF('Aanpassen Werkschema'!T154="x","",IF('Aanpassen Werkschema'!N154="v","x",IF(E124="","",IF(E124="x","x"))))</f>
        <v/>
      </c>
      <c r="T124" s="569">
        <f>IF('Aanpassen Werkschema'!U154="x","",IF('Aanpassen Werkschema'!O154="v","x",IF(F124="","",IF(F124="x","x"))))</f>
        <v/>
      </c>
      <c r="U124" s="569">
        <f>IF('Aanpassen Werkschema'!V154="x","",IF('Aanpassen Werkschema'!P154="v","x",IF(G124="","",IF(G124="x","x"))))</f>
        <v/>
      </c>
      <c r="V124" s="569">
        <f>IF('Aanpassen Werkschema'!W154="x","",IF('Aanpassen Werkschema'!Q154="v","x",IF(H124="","",IF(H124="x","x"))))</f>
        <v/>
      </c>
      <c r="W124" s="569">
        <f>IF('Aanpassen Werkschema'!X154="x","",IF('Aanpassen Werkschema'!R154="v","x",IF(I124="","",IF(I124="x","x"))))</f>
        <v/>
      </c>
      <c r="X124" s="569">
        <f>IF('Aanpassen Werkschema'!Y154="x","",IF('Aanpassen Werkschema'!S154="v","x",IF(J124="","",IF(J124="x","x"))))</f>
        <v/>
      </c>
      <c r="Y124" s="569">
        <f>IF('Aanpassen Werkschema'!Z154="x","",IF('Aanpassen Werkschema'!T154="v","x",IF(K124="","",IF(K124="x","x"))))</f>
        <v/>
      </c>
      <c r="Z124" s="850">
        <f>Z123+0.0000000001</f>
        <v/>
      </c>
      <c r="AA124" s="851">
        <f>IFERROR(IF(C124="",1.1,IF(S124="",1,IF($C124=1,VLOOKUP($B124,'Werkschema - Rekening'!$B$2:$C$46,2,FALSE),IF($C124=2,Instellingen!C$16,IF($C124=3,Instellingen!D$16,IF($C124=4,L124))))+$D124)+$Z124),1.1)</f>
        <v/>
      </c>
      <c r="AB124" s="852">
        <f>IF($B124="","",IFERROR(VLOOKUP($B124,'Werkschema - Rekening'!$B$2:$P$46,3,FALSE),""))</f>
        <v/>
      </c>
      <c r="AC124" s="851">
        <f>IFERROR(IF(C124="",1.1,IF(T124="",1,IF($C124=1,VLOOKUP($B124,'Werkschema - Rekening'!$B$2:$E$46,4,FALSE),IF($C124=2,Instellingen!E$16,IF($C124=3,Instellingen!F$16,IF($C124=4,M124))))+$D124)+$Z124),1.1)</f>
        <v/>
      </c>
      <c r="AD124" s="852">
        <f>IF($B124="","",IFERROR(VLOOKUP($B124,'Werkschema - Rekening'!$B$2:$P$46,5,FALSE),""))</f>
        <v/>
      </c>
      <c r="AE124" s="851">
        <f>IFERROR(IF(C124="",1.1,IF(U124="",1,IF($C124=1,VLOOKUP($B124,'Werkschema - Rekening'!$B$2:$G$46,6,FALSE),IF($C124=2,Instellingen!G$16,IF($C124=3,Instellingen!H$16,IF($C124=4,N124))))+$D124)+$Z124),1.1)</f>
        <v/>
      </c>
      <c r="AF124" s="852">
        <f>IF($B124="","",IFERROR(VLOOKUP($B124,'Werkschema - Rekening'!$B$2:$P$46,7,FALSE),""))</f>
        <v/>
      </c>
      <c r="AG124" s="851">
        <f>IFERROR(IF(C124="",1.1,IF(V124="",1,IF($C124=1,VLOOKUP($B124,'Werkschema - Rekening'!$B$2:$I$46,8,FALSE),IF($C124=2,Instellingen!I$16,IF($C124=3,Instellingen!J$16,IF($C124=4,O124))))+$D124)+$Z124),1.1)</f>
        <v/>
      </c>
      <c r="AH124" s="852">
        <f>IF($B124="","",IFERROR(VLOOKUP($B124,'Werkschema - Rekening'!$B$2:$P$46,9,FALSE),""))</f>
        <v/>
      </c>
      <c r="AI124" s="851">
        <f>IFERROR(IF(C124="",1.1,IF(W124="",1,IF($C124=1,VLOOKUP($B124,'Werkschema - Rekening'!$B$2:$K$46,10,FALSE),IF($C124=2,Instellingen!K$16,IF($C124=3,Instellingen!L$16,IF($C124=4,P124))))+$D124)+$Z124),1.1)</f>
        <v/>
      </c>
      <c r="AJ124" s="852">
        <f>IF($B124="","",IFERROR(VLOOKUP($B124,'Werkschema - Rekening'!$B$2:$P$46,11,FALSE),""))</f>
        <v/>
      </c>
      <c r="AK124" s="851">
        <f>IFERROR(IF(C124="",1.1,IF(X124="",1,IF($C124=1,VLOOKUP($B124,'Werkschema - Rekening'!$B$2:$M$46,12,FALSE),IF($C124=2,Instellingen!M$16,IF($C124=3,Instellingen!N$16,IF($C124=4,Q124))))+$D124)+$Z124),1.1)</f>
        <v/>
      </c>
      <c r="AL124" s="852">
        <f>IF($B124="","",IFERROR(VLOOKUP($B124,'Werkschema - Rekening'!$B$2:$P$46,13,FALSE),""))</f>
        <v/>
      </c>
      <c r="AM124" s="851">
        <f>IFERROR(IF(C124="",1.1,IF(Y124="",1,IF($C124=1,VLOOKUP($B124,'Werkschema - Rekening'!$B$2:$O$46,14,FALSE),IF($C124=2,Instellingen!O$16,IF($C124=3,Instellingen!P$16,IF($C124=4,R124))))+$D124)+$Z124),1.1)</f>
        <v/>
      </c>
      <c r="AN124" s="852">
        <f>IF($B124="","",IFERROR(VLOOKUP($B124,'Werkschema - Rekening'!$B$2:$P$46,15,FALSE),""))</f>
        <v/>
      </c>
      <c r="AO124" s="852">
        <f>A124</f>
        <v/>
      </c>
      <c r="AP124" s="852">
        <f>B124</f>
        <v/>
      </c>
    </row>
    <row r="125" ht="12.6" customHeight="1">
      <c r="A125" s="830">
        <f>'Aanpassen Werkschema'!B155</f>
        <v/>
      </c>
      <c r="B125" s="569">
        <f>'Aanpassen Werkschema'!C155</f>
        <v/>
      </c>
      <c r="C125" s="569">
        <f>IF('Aanpassen Werkschema'!D155="geplande taak",1,IF('Aanpassen Werkschema'!D155="openingstijd",2,IF('Aanpassen Werkschema'!D155="sluitingstijd",3,IF('Aanpassen Werkschema'!D155="vaste tijd",4,""))))</f>
        <v/>
      </c>
      <c r="D125" s="849">
        <f>'Aanpassen Werkschema'!E155</f>
        <v/>
      </c>
      <c r="E125" s="569">
        <f>IF('Aanpassen Werkschema'!F155="v","x","")</f>
        <v/>
      </c>
      <c r="F125" s="569">
        <f>IF('Aanpassen Werkschema'!G155="v","x","")</f>
        <v/>
      </c>
      <c r="G125" s="569">
        <f>IF('Aanpassen Werkschema'!H155="v","x","")</f>
        <v/>
      </c>
      <c r="H125" s="569">
        <f>IF('Aanpassen Werkschema'!I155="v","x","")</f>
        <v/>
      </c>
      <c r="I125" s="569">
        <f>IF('Aanpassen Werkschema'!J155="v","x","")</f>
        <v/>
      </c>
      <c r="J125" s="569">
        <f>IF('Aanpassen Werkschema'!K155="v","x","")</f>
        <v/>
      </c>
      <c r="K125" s="569">
        <f>IF('Aanpassen Werkschema'!L155="v","x","")</f>
        <v/>
      </c>
      <c r="L125" s="571">
        <f>IF('Aanpassen Werkschema'!M155&gt;0,'Aanpassen Werkschema'!M155,"")</f>
        <v/>
      </c>
      <c r="M125" s="571">
        <f>IF('Aanpassen Werkschema'!N155&gt;0,'Aanpassen Werkschema'!N155,"")</f>
        <v/>
      </c>
      <c r="N125" s="571">
        <f>IF('Aanpassen Werkschema'!O155&gt;0,'Aanpassen Werkschema'!O155,"")</f>
        <v/>
      </c>
      <c r="O125" s="571">
        <f>IF('Aanpassen Werkschema'!P155&gt;0,'Aanpassen Werkschema'!P155,"")</f>
        <v/>
      </c>
      <c r="P125" s="571">
        <f>IF('Aanpassen Werkschema'!Q155&gt;0,'Aanpassen Werkschema'!Q155,"")</f>
        <v/>
      </c>
      <c r="Q125" s="571">
        <f>IF('Aanpassen Werkschema'!R155&gt;0,'Aanpassen Werkschema'!R155,"")</f>
        <v/>
      </c>
      <c r="R125" s="571">
        <f>IF('Aanpassen Werkschema'!S155&gt;0,'Aanpassen Werkschema'!S155,"")</f>
        <v/>
      </c>
      <c r="S125" s="569">
        <f>IF('Aanpassen Werkschema'!T155="x","",IF('Aanpassen Werkschema'!N155="v","x",IF(E125="","",IF(E125="x","x"))))</f>
        <v/>
      </c>
      <c r="T125" s="569">
        <f>IF('Aanpassen Werkschema'!U155="x","",IF('Aanpassen Werkschema'!O155="v","x",IF(F125="","",IF(F125="x","x"))))</f>
        <v/>
      </c>
      <c r="U125" s="569">
        <f>IF('Aanpassen Werkschema'!V155="x","",IF('Aanpassen Werkschema'!P155="v","x",IF(G125="","",IF(G125="x","x"))))</f>
        <v/>
      </c>
      <c r="V125" s="569">
        <f>IF('Aanpassen Werkschema'!W155="x","",IF('Aanpassen Werkschema'!Q155="v","x",IF(H125="","",IF(H125="x","x"))))</f>
        <v/>
      </c>
      <c r="W125" s="569">
        <f>IF('Aanpassen Werkschema'!X155="x","",IF('Aanpassen Werkschema'!R155="v","x",IF(I125="","",IF(I125="x","x"))))</f>
        <v/>
      </c>
      <c r="X125" s="569">
        <f>IF('Aanpassen Werkschema'!Y155="x","",IF('Aanpassen Werkschema'!S155="v","x",IF(J125="","",IF(J125="x","x"))))</f>
        <v/>
      </c>
      <c r="Y125" s="569">
        <f>IF('Aanpassen Werkschema'!Z155="x","",IF('Aanpassen Werkschema'!T155="v","x",IF(K125="","",IF(K125="x","x"))))</f>
        <v/>
      </c>
      <c r="Z125" s="850">
        <f>Z124+0.0000000001</f>
        <v/>
      </c>
      <c r="AA125" s="851">
        <f>IFERROR(IF(C125="",1.1,IF(S125="",1,IF($C125=1,VLOOKUP($B125,'Werkschema - Rekening'!$B$2:$C$46,2,FALSE),IF($C125=2,Instellingen!C$16,IF($C125=3,Instellingen!D$16,IF($C125=4,L125))))+$D125)+$Z125),1.1)</f>
        <v/>
      </c>
      <c r="AB125" s="852">
        <f>IF($B125="","",IFERROR(VLOOKUP($B125,'Werkschema - Rekening'!$B$2:$P$46,3,FALSE),""))</f>
        <v/>
      </c>
      <c r="AC125" s="851">
        <f>IFERROR(IF(C125="",1.1,IF(T125="",1,IF($C125=1,VLOOKUP($B125,'Werkschema - Rekening'!$B$2:$E$46,4,FALSE),IF($C125=2,Instellingen!E$16,IF($C125=3,Instellingen!F$16,IF($C125=4,M125))))+$D125)+$Z125),1.1)</f>
        <v/>
      </c>
      <c r="AD125" s="852">
        <f>IF($B125="","",IFERROR(VLOOKUP($B125,'Werkschema - Rekening'!$B$2:$P$46,5,FALSE),""))</f>
        <v/>
      </c>
      <c r="AE125" s="851">
        <f>IFERROR(IF(C125="",1.1,IF(U125="",1,IF($C125=1,VLOOKUP($B125,'Werkschema - Rekening'!$B$2:$G$46,6,FALSE),IF($C125=2,Instellingen!G$16,IF($C125=3,Instellingen!H$16,IF($C125=4,N125))))+$D125)+$Z125),1.1)</f>
        <v/>
      </c>
      <c r="AF125" s="852">
        <f>IF($B125="","",IFERROR(VLOOKUP($B125,'Werkschema - Rekening'!$B$2:$P$46,7,FALSE),""))</f>
        <v/>
      </c>
      <c r="AG125" s="851">
        <f>IFERROR(IF(C125="",1.1,IF(V125="",1,IF($C125=1,VLOOKUP($B125,'Werkschema - Rekening'!$B$2:$I$46,8,FALSE),IF($C125=2,Instellingen!I$16,IF($C125=3,Instellingen!J$16,IF($C125=4,O125))))+$D125)+$Z125),1.1)</f>
        <v/>
      </c>
      <c r="AH125" s="852">
        <f>IF($B125="","",IFERROR(VLOOKUP($B125,'Werkschema - Rekening'!$B$2:$P$46,9,FALSE),""))</f>
        <v/>
      </c>
      <c r="AI125" s="851">
        <f>IFERROR(IF(C125="",1.1,IF(W125="",1,IF($C125=1,VLOOKUP($B125,'Werkschema - Rekening'!$B$2:$K$46,10,FALSE),IF($C125=2,Instellingen!K$16,IF($C125=3,Instellingen!L$16,IF($C125=4,P125))))+$D125)+$Z125),1.1)</f>
        <v/>
      </c>
      <c r="AJ125" s="852">
        <f>IF($B125="","",IFERROR(VLOOKUP($B125,'Werkschema - Rekening'!$B$2:$P$46,11,FALSE),""))</f>
        <v/>
      </c>
      <c r="AK125" s="851">
        <f>IFERROR(IF(C125="",1.1,IF(X125="",1,IF($C125=1,VLOOKUP($B125,'Werkschema - Rekening'!$B$2:$M$46,12,FALSE),IF($C125=2,Instellingen!M$16,IF($C125=3,Instellingen!N$16,IF($C125=4,Q125))))+$D125)+$Z125),1.1)</f>
        <v/>
      </c>
      <c r="AL125" s="852">
        <f>IF($B125="","",IFERROR(VLOOKUP($B125,'Werkschema - Rekening'!$B$2:$P$46,13,FALSE),""))</f>
        <v/>
      </c>
      <c r="AM125" s="851">
        <f>IFERROR(IF(C125="",1.1,IF(Y125="",1,IF($C125=1,VLOOKUP($B125,'Werkschema - Rekening'!$B$2:$O$46,14,FALSE),IF($C125=2,Instellingen!O$16,IF($C125=3,Instellingen!P$16,IF($C125=4,R125))))+$D125)+$Z125),1.1)</f>
        <v/>
      </c>
      <c r="AN125" s="852">
        <f>IF($B125="","",IFERROR(VLOOKUP($B125,'Werkschema - Rekening'!$B$2:$P$46,15,FALSE),""))</f>
        <v/>
      </c>
      <c r="AO125" s="852">
        <f>A125</f>
        <v/>
      </c>
      <c r="AP125" s="852">
        <f>B125</f>
        <v/>
      </c>
    </row>
    <row r="126" ht="12.6" customHeight="1">
      <c r="A126" s="830">
        <f>'Aanpassen Werkschema'!B156</f>
        <v/>
      </c>
      <c r="B126" s="569">
        <f>'Aanpassen Werkschema'!C156</f>
        <v/>
      </c>
      <c r="C126" s="569">
        <f>IF('Aanpassen Werkschema'!D156="geplande taak",1,IF('Aanpassen Werkschema'!D156="openingstijd",2,IF('Aanpassen Werkschema'!D156="sluitingstijd",3,IF('Aanpassen Werkschema'!D156="vaste tijd",4,""))))</f>
        <v/>
      </c>
      <c r="D126" s="849">
        <f>'Aanpassen Werkschema'!E156</f>
        <v/>
      </c>
      <c r="E126" s="569">
        <f>IF('Aanpassen Werkschema'!F156="v","x","")</f>
        <v/>
      </c>
      <c r="F126" s="569">
        <f>IF('Aanpassen Werkschema'!G156="v","x","")</f>
        <v/>
      </c>
      <c r="G126" s="569">
        <f>IF('Aanpassen Werkschema'!H156="v","x","")</f>
        <v/>
      </c>
      <c r="H126" s="569">
        <f>IF('Aanpassen Werkschema'!I156="v","x","")</f>
        <v/>
      </c>
      <c r="I126" s="569">
        <f>IF('Aanpassen Werkschema'!J156="v","x","")</f>
        <v/>
      </c>
      <c r="J126" s="569">
        <f>IF('Aanpassen Werkschema'!K156="v","x","")</f>
        <v/>
      </c>
      <c r="K126" s="569">
        <f>IF('Aanpassen Werkschema'!L156="v","x","")</f>
        <v/>
      </c>
      <c r="L126" s="571">
        <f>IF('Aanpassen Werkschema'!M156&gt;0,'Aanpassen Werkschema'!M156,"")</f>
        <v/>
      </c>
      <c r="M126" s="571">
        <f>IF('Aanpassen Werkschema'!N156&gt;0,'Aanpassen Werkschema'!N156,"")</f>
        <v/>
      </c>
      <c r="N126" s="571">
        <f>IF('Aanpassen Werkschema'!O156&gt;0,'Aanpassen Werkschema'!O156,"")</f>
        <v/>
      </c>
      <c r="O126" s="571">
        <f>IF('Aanpassen Werkschema'!P156&gt;0,'Aanpassen Werkschema'!P156,"")</f>
        <v/>
      </c>
      <c r="P126" s="571">
        <f>IF('Aanpassen Werkschema'!Q156&gt;0,'Aanpassen Werkschema'!Q156,"")</f>
        <v/>
      </c>
      <c r="Q126" s="571">
        <f>IF('Aanpassen Werkschema'!R156&gt;0,'Aanpassen Werkschema'!R156,"")</f>
        <v/>
      </c>
      <c r="R126" s="571">
        <f>IF('Aanpassen Werkschema'!S156&gt;0,'Aanpassen Werkschema'!S156,"")</f>
        <v/>
      </c>
      <c r="S126" s="569">
        <f>IF('Aanpassen Werkschema'!T156="x","",IF('Aanpassen Werkschema'!N156="v","x",IF(E126="","",IF(E126="x","x"))))</f>
        <v/>
      </c>
      <c r="T126" s="569">
        <f>IF('Aanpassen Werkschema'!U156="x","",IF('Aanpassen Werkschema'!O156="v","x",IF(F126="","",IF(F126="x","x"))))</f>
        <v/>
      </c>
      <c r="U126" s="569">
        <f>IF('Aanpassen Werkschema'!V156="x","",IF('Aanpassen Werkschema'!P156="v","x",IF(G126="","",IF(G126="x","x"))))</f>
        <v/>
      </c>
      <c r="V126" s="569">
        <f>IF('Aanpassen Werkschema'!W156="x","",IF('Aanpassen Werkschema'!Q156="v","x",IF(H126="","",IF(H126="x","x"))))</f>
        <v/>
      </c>
      <c r="W126" s="569">
        <f>IF('Aanpassen Werkschema'!X156="x","",IF('Aanpassen Werkschema'!R156="v","x",IF(I126="","",IF(I126="x","x"))))</f>
        <v/>
      </c>
      <c r="X126" s="569">
        <f>IF('Aanpassen Werkschema'!Y156="x","",IF('Aanpassen Werkschema'!S156="v","x",IF(J126="","",IF(J126="x","x"))))</f>
        <v/>
      </c>
      <c r="Y126" s="569">
        <f>IF('Aanpassen Werkschema'!Z156="x","",IF('Aanpassen Werkschema'!T156="v","x",IF(K126="","",IF(K126="x","x"))))</f>
        <v/>
      </c>
      <c r="Z126" s="850">
        <f>Z125+0.0000000001</f>
        <v/>
      </c>
      <c r="AA126" s="851">
        <f>IFERROR(IF(C126="",1.1,IF(S126="",1,IF($C126=1,VLOOKUP($B126,'Werkschema - Rekening'!$B$2:$C$46,2,FALSE),IF($C126=2,Instellingen!C$16,IF($C126=3,Instellingen!D$16,IF($C126=4,L126))))+$D126)+$Z126),1.1)</f>
        <v/>
      </c>
      <c r="AB126" s="852">
        <f>IF($B126="","",IFERROR(VLOOKUP($B126,'Werkschema - Rekening'!$B$2:$P$46,3,FALSE),""))</f>
        <v/>
      </c>
      <c r="AC126" s="851">
        <f>IFERROR(IF(C126="",1.1,IF(T126="",1,IF($C126=1,VLOOKUP($B126,'Werkschema - Rekening'!$B$2:$E$46,4,FALSE),IF($C126=2,Instellingen!E$16,IF($C126=3,Instellingen!F$16,IF($C126=4,M126))))+$D126)+$Z126),1.1)</f>
        <v/>
      </c>
      <c r="AD126" s="852">
        <f>IF($B126="","",IFERROR(VLOOKUP($B126,'Werkschema - Rekening'!$B$2:$P$46,5,FALSE),""))</f>
        <v/>
      </c>
      <c r="AE126" s="851">
        <f>IFERROR(IF(C126="",1.1,IF(U126="",1,IF($C126=1,VLOOKUP($B126,'Werkschema - Rekening'!$B$2:$G$46,6,FALSE),IF($C126=2,Instellingen!G$16,IF($C126=3,Instellingen!H$16,IF($C126=4,N126))))+$D126)+$Z126),1.1)</f>
        <v/>
      </c>
      <c r="AF126" s="852">
        <f>IF($B126="","",IFERROR(VLOOKUP($B126,'Werkschema - Rekening'!$B$2:$P$46,7,FALSE),""))</f>
        <v/>
      </c>
      <c r="AG126" s="851">
        <f>IFERROR(IF(C126="",1.1,IF(V126="",1,IF($C126=1,VLOOKUP($B126,'Werkschema - Rekening'!$B$2:$I$46,8,FALSE),IF($C126=2,Instellingen!I$16,IF($C126=3,Instellingen!J$16,IF($C126=4,O126))))+$D126)+$Z126),1.1)</f>
        <v/>
      </c>
      <c r="AH126" s="852">
        <f>IF($B126="","",IFERROR(VLOOKUP($B126,'Werkschema - Rekening'!$B$2:$P$46,9,FALSE),""))</f>
        <v/>
      </c>
      <c r="AI126" s="851">
        <f>IFERROR(IF(C126="",1.1,IF(W126="",1,IF($C126=1,VLOOKUP($B126,'Werkschema - Rekening'!$B$2:$K$46,10,FALSE),IF($C126=2,Instellingen!K$16,IF($C126=3,Instellingen!L$16,IF($C126=4,P126))))+$D126)+$Z126),1.1)</f>
        <v/>
      </c>
      <c r="AJ126" s="852">
        <f>IF($B126="","",IFERROR(VLOOKUP($B126,'Werkschema - Rekening'!$B$2:$P$46,11,FALSE),""))</f>
        <v/>
      </c>
      <c r="AK126" s="851">
        <f>IFERROR(IF(C126="",1.1,IF(X126="",1,IF($C126=1,VLOOKUP($B126,'Werkschema - Rekening'!$B$2:$M$46,12,FALSE),IF($C126=2,Instellingen!M$16,IF($C126=3,Instellingen!N$16,IF($C126=4,Q126))))+$D126)+$Z126),1.1)</f>
        <v/>
      </c>
      <c r="AL126" s="852">
        <f>IF($B126="","",IFERROR(VLOOKUP($B126,'Werkschema - Rekening'!$B$2:$P$46,13,FALSE),""))</f>
        <v/>
      </c>
      <c r="AM126" s="851">
        <f>IFERROR(IF(C126="",1.1,IF(Y126="",1,IF($C126=1,VLOOKUP($B126,'Werkschema - Rekening'!$B$2:$O$46,14,FALSE),IF($C126=2,Instellingen!O$16,IF($C126=3,Instellingen!P$16,IF($C126=4,R126))))+$D126)+$Z126),1.1)</f>
        <v/>
      </c>
      <c r="AN126" s="852">
        <f>IF($B126="","",IFERROR(VLOOKUP($B126,'Werkschema - Rekening'!$B$2:$P$46,15,FALSE),""))</f>
        <v/>
      </c>
      <c r="AO126" s="852">
        <f>A126</f>
        <v/>
      </c>
      <c r="AP126" s="852">
        <f>B126</f>
        <v/>
      </c>
    </row>
    <row r="127" ht="12.6" customHeight="1">
      <c r="A127" s="830">
        <f>'Aanpassen Werkschema'!B157</f>
        <v/>
      </c>
      <c r="B127" s="569">
        <f>'Aanpassen Werkschema'!C157</f>
        <v/>
      </c>
      <c r="C127" s="569">
        <f>IF('Aanpassen Werkschema'!D157="geplande taak",1,IF('Aanpassen Werkschema'!D157="openingstijd",2,IF('Aanpassen Werkschema'!D157="sluitingstijd",3,IF('Aanpassen Werkschema'!D157="vaste tijd",4,""))))</f>
        <v/>
      </c>
      <c r="D127" s="849">
        <f>'Aanpassen Werkschema'!E157</f>
        <v/>
      </c>
      <c r="E127" s="569">
        <f>IF('Aanpassen Werkschema'!F157="v","x","")</f>
        <v/>
      </c>
      <c r="F127" s="569">
        <f>IF('Aanpassen Werkschema'!G157="v","x","")</f>
        <v/>
      </c>
      <c r="G127" s="569">
        <f>IF('Aanpassen Werkschema'!H157="v","x","")</f>
        <v/>
      </c>
      <c r="H127" s="569">
        <f>IF('Aanpassen Werkschema'!I157="v","x","")</f>
        <v/>
      </c>
      <c r="I127" s="569">
        <f>IF('Aanpassen Werkschema'!J157="v","x","")</f>
        <v/>
      </c>
      <c r="J127" s="569">
        <f>IF('Aanpassen Werkschema'!K157="v","x","")</f>
        <v/>
      </c>
      <c r="K127" s="569">
        <f>IF('Aanpassen Werkschema'!L157="v","x","")</f>
        <v/>
      </c>
      <c r="L127" s="571">
        <f>IF('Aanpassen Werkschema'!M157&gt;0,'Aanpassen Werkschema'!M157,"")</f>
        <v/>
      </c>
      <c r="M127" s="571">
        <f>IF('Aanpassen Werkschema'!N157&gt;0,'Aanpassen Werkschema'!N157,"")</f>
        <v/>
      </c>
      <c r="N127" s="571">
        <f>IF('Aanpassen Werkschema'!O157&gt;0,'Aanpassen Werkschema'!O157,"")</f>
        <v/>
      </c>
      <c r="O127" s="571">
        <f>IF('Aanpassen Werkschema'!P157&gt;0,'Aanpassen Werkschema'!P157,"")</f>
        <v/>
      </c>
      <c r="P127" s="571">
        <f>IF('Aanpassen Werkschema'!Q157&gt;0,'Aanpassen Werkschema'!Q157,"")</f>
        <v/>
      </c>
      <c r="Q127" s="571">
        <f>IF('Aanpassen Werkschema'!R157&gt;0,'Aanpassen Werkschema'!R157,"")</f>
        <v/>
      </c>
      <c r="R127" s="571">
        <f>IF('Aanpassen Werkschema'!S157&gt;0,'Aanpassen Werkschema'!S157,"")</f>
        <v/>
      </c>
      <c r="S127" s="569">
        <f>IF('Aanpassen Werkschema'!T157="x","",IF('Aanpassen Werkschema'!N157="v","x",IF(E127="","",IF(E127="x","x"))))</f>
        <v/>
      </c>
      <c r="T127" s="569">
        <f>IF('Aanpassen Werkschema'!U157="x","",IF('Aanpassen Werkschema'!O157="v","x",IF(F127="","",IF(F127="x","x"))))</f>
        <v/>
      </c>
      <c r="U127" s="569">
        <f>IF('Aanpassen Werkschema'!V157="x","",IF('Aanpassen Werkschema'!P157="v","x",IF(G127="","",IF(G127="x","x"))))</f>
        <v/>
      </c>
      <c r="V127" s="569">
        <f>IF('Aanpassen Werkschema'!W157="x","",IF('Aanpassen Werkschema'!Q157="v","x",IF(H127="","",IF(H127="x","x"))))</f>
        <v/>
      </c>
      <c r="W127" s="569">
        <f>IF('Aanpassen Werkschema'!X157="x","",IF('Aanpassen Werkschema'!R157="v","x",IF(I127="","",IF(I127="x","x"))))</f>
        <v/>
      </c>
      <c r="X127" s="569">
        <f>IF('Aanpassen Werkschema'!Y157="x","",IF('Aanpassen Werkschema'!S157="v","x",IF(J127="","",IF(J127="x","x"))))</f>
        <v/>
      </c>
      <c r="Y127" s="569">
        <f>IF('Aanpassen Werkschema'!Z157="x","",IF('Aanpassen Werkschema'!T157="v","x",IF(K127="","",IF(K127="x","x"))))</f>
        <v/>
      </c>
      <c r="Z127" s="850">
        <f>Z126+0.0000000001</f>
        <v/>
      </c>
      <c r="AA127" s="851">
        <f>IFERROR(IF(C127="",1.1,IF(S127="",1,IF($C127=1,VLOOKUP($B127,'Werkschema - Rekening'!$B$2:$C$46,2,FALSE),IF($C127=2,Instellingen!C$16,IF($C127=3,Instellingen!D$16,IF($C127=4,L127))))+$D127)+$Z127),1.1)</f>
        <v/>
      </c>
      <c r="AB127" s="852">
        <f>IF($B127="","",IFERROR(VLOOKUP($B127,'Werkschema - Rekening'!$B$2:$P$46,3,FALSE),""))</f>
        <v/>
      </c>
      <c r="AC127" s="851">
        <f>IFERROR(IF(C127="",1.1,IF(T127="",1,IF($C127=1,VLOOKUP($B127,'Werkschema - Rekening'!$B$2:$E$46,4,FALSE),IF($C127=2,Instellingen!E$16,IF($C127=3,Instellingen!F$16,IF($C127=4,M127))))+$D127)+$Z127),1.1)</f>
        <v/>
      </c>
      <c r="AD127" s="852">
        <f>IF($B127="","",IFERROR(VLOOKUP($B127,'Werkschema - Rekening'!$B$2:$P$46,5,FALSE),""))</f>
        <v/>
      </c>
      <c r="AE127" s="851">
        <f>IFERROR(IF(C127="",1.1,IF(U127="",1,IF($C127=1,VLOOKUP($B127,'Werkschema - Rekening'!$B$2:$G$46,6,FALSE),IF($C127=2,Instellingen!G$16,IF($C127=3,Instellingen!H$16,IF($C127=4,N127))))+$D127)+$Z127),1.1)</f>
        <v/>
      </c>
      <c r="AF127" s="852">
        <f>IF($B127="","",IFERROR(VLOOKUP($B127,'Werkschema - Rekening'!$B$2:$P$46,7,FALSE),""))</f>
        <v/>
      </c>
      <c r="AG127" s="851">
        <f>IFERROR(IF(C127="",1.1,IF(V127="",1,IF($C127=1,VLOOKUP($B127,'Werkschema - Rekening'!$B$2:$I$46,8,FALSE),IF($C127=2,Instellingen!I$16,IF($C127=3,Instellingen!J$16,IF($C127=4,O127))))+$D127)+$Z127),1.1)</f>
        <v/>
      </c>
      <c r="AH127" s="852">
        <f>IF($B127="","",IFERROR(VLOOKUP($B127,'Werkschema - Rekening'!$B$2:$P$46,9,FALSE),""))</f>
        <v/>
      </c>
      <c r="AI127" s="851">
        <f>IFERROR(IF(C127="",1.1,IF(W127="",1,IF($C127=1,VLOOKUP($B127,'Werkschema - Rekening'!$B$2:$K$46,10,FALSE),IF($C127=2,Instellingen!K$16,IF($C127=3,Instellingen!L$16,IF($C127=4,P127))))+$D127)+$Z127),1.1)</f>
        <v/>
      </c>
      <c r="AJ127" s="852">
        <f>IF($B127="","",IFERROR(VLOOKUP($B127,'Werkschema - Rekening'!$B$2:$P$46,11,FALSE),""))</f>
        <v/>
      </c>
      <c r="AK127" s="851">
        <f>IFERROR(IF(C127="",1.1,IF(X127="",1,IF($C127=1,VLOOKUP($B127,'Werkschema - Rekening'!$B$2:$M$46,12,FALSE),IF($C127=2,Instellingen!M$16,IF($C127=3,Instellingen!N$16,IF($C127=4,Q127))))+$D127)+$Z127),1.1)</f>
        <v/>
      </c>
      <c r="AL127" s="852">
        <f>IF($B127="","",IFERROR(VLOOKUP($B127,'Werkschema - Rekening'!$B$2:$P$46,13,FALSE),""))</f>
        <v/>
      </c>
      <c r="AM127" s="851">
        <f>IFERROR(IF(C127="",1.1,IF(Y127="",1,IF($C127=1,VLOOKUP($B127,'Werkschema - Rekening'!$B$2:$O$46,14,FALSE),IF($C127=2,Instellingen!O$16,IF($C127=3,Instellingen!P$16,IF($C127=4,R127))))+$D127)+$Z127),1.1)</f>
        <v/>
      </c>
      <c r="AN127" s="852">
        <f>IF($B127="","",IFERROR(VLOOKUP($B127,'Werkschema - Rekening'!$B$2:$P$46,15,FALSE),""))</f>
        <v/>
      </c>
      <c r="AO127" s="852">
        <f>A127</f>
        <v/>
      </c>
      <c r="AP127" s="852">
        <f>B127</f>
        <v/>
      </c>
    </row>
    <row r="128" ht="12.6" customHeight="1">
      <c r="A128" s="830">
        <f>'Aanpassen Werkschema'!B158</f>
        <v/>
      </c>
      <c r="B128" s="569">
        <f>'Aanpassen Werkschema'!C158</f>
        <v/>
      </c>
      <c r="C128" s="569">
        <f>IF('Aanpassen Werkschema'!D158="geplande taak",1,IF('Aanpassen Werkschema'!D158="openingstijd",2,IF('Aanpassen Werkschema'!D158="sluitingstijd",3,IF('Aanpassen Werkschema'!D158="vaste tijd",4,""))))</f>
        <v/>
      </c>
      <c r="D128" s="849">
        <f>'Aanpassen Werkschema'!E158</f>
        <v/>
      </c>
      <c r="E128" s="569">
        <f>IF('Aanpassen Werkschema'!F158="v","x","")</f>
        <v/>
      </c>
      <c r="F128" s="569">
        <f>IF('Aanpassen Werkschema'!G158="v","x","")</f>
        <v/>
      </c>
      <c r="G128" s="569">
        <f>IF('Aanpassen Werkschema'!H158="v","x","")</f>
        <v/>
      </c>
      <c r="H128" s="569">
        <f>IF('Aanpassen Werkschema'!I158="v","x","")</f>
        <v/>
      </c>
      <c r="I128" s="569">
        <f>IF('Aanpassen Werkschema'!J158="v","x","")</f>
        <v/>
      </c>
      <c r="J128" s="569">
        <f>IF('Aanpassen Werkschema'!K158="v","x","")</f>
        <v/>
      </c>
      <c r="K128" s="569">
        <f>IF('Aanpassen Werkschema'!L158="v","x","")</f>
        <v/>
      </c>
      <c r="L128" s="571">
        <f>IF('Aanpassen Werkschema'!M158&gt;0,'Aanpassen Werkschema'!M158,"")</f>
        <v/>
      </c>
      <c r="M128" s="571">
        <f>IF('Aanpassen Werkschema'!N158&gt;0,'Aanpassen Werkschema'!N158,"")</f>
        <v/>
      </c>
      <c r="N128" s="571">
        <f>IF('Aanpassen Werkschema'!O158&gt;0,'Aanpassen Werkschema'!O158,"")</f>
        <v/>
      </c>
      <c r="O128" s="571">
        <f>IF('Aanpassen Werkschema'!P158&gt;0,'Aanpassen Werkschema'!P158,"")</f>
        <v/>
      </c>
      <c r="P128" s="571">
        <f>IF('Aanpassen Werkschema'!Q158&gt;0,'Aanpassen Werkschema'!Q158,"")</f>
        <v/>
      </c>
      <c r="Q128" s="571">
        <f>IF('Aanpassen Werkschema'!R158&gt;0,'Aanpassen Werkschema'!R158,"")</f>
        <v/>
      </c>
      <c r="R128" s="571">
        <f>IF('Aanpassen Werkschema'!S158&gt;0,'Aanpassen Werkschema'!S158,"")</f>
        <v/>
      </c>
      <c r="S128" s="569">
        <f>IF('Aanpassen Werkschema'!T158="x","",IF('Aanpassen Werkschema'!N158="v","x",IF(E128="","",IF(E128="x","x"))))</f>
        <v/>
      </c>
      <c r="T128" s="569">
        <f>IF('Aanpassen Werkschema'!U158="x","",IF('Aanpassen Werkschema'!O158="v","x",IF(F128="","",IF(F128="x","x"))))</f>
        <v/>
      </c>
      <c r="U128" s="569">
        <f>IF('Aanpassen Werkschema'!V158="x","",IF('Aanpassen Werkschema'!P158="v","x",IF(G128="","",IF(G128="x","x"))))</f>
        <v/>
      </c>
      <c r="V128" s="569">
        <f>IF('Aanpassen Werkschema'!W158="x","",IF('Aanpassen Werkschema'!Q158="v","x",IF(H128="","",IF(H128="x","x"))))</f>
        <v/>
      </c>
      <c r="W128" s="569">
        <f>IF('Aanpassen Werkschema'!X158="x","",IF('Aanpassen Werkschema'!R158="v","x",IF(I128="","",IF(I128="x","x"))))</f>
        <v/>
      </c>
      <c r="X128" s="569">
        <f>IF('Aanpassen Werkschema'!Y158="x","",IF('Aanpassen Werkschema'!S158="v","x",IF(J128="","",IF(J128="x","x"))))</f>
        <v/>
      </c>
      <c r="Y128" s="569">
        <f>IF('Aanpassen Werkschema'!Z158="x","",IF('Aanpassen Werkschema'!T158="v","x",IF(K128="","",IF(K128="x","x"))))</f>
        <v/>
      </c>
      <c r="Z128" s="850">
        <f>Z127+0.0000000001</f>
        <v/>
      </c>
      <c r="AA128" s="851">
        <f>IFERROR(IF(C128="",1.1,IF(S128="",1,IF($C128=1,VLOOKUP($B128,'Werkschema - Rekening'!$B$2:$C$46,2,FALSE),IF($C128=2,Instellingen!C$16,IF($C128=3,Instellingen!D$16,IF($C128=4,L128))))+$D128)+$Z128),1.1)</f>
        <v/>
      </c>
      <c r="AB128" s="852">
        <f>IF($B128="","",IFERROR(VLOOKUP($B128,'Werkschema - Rekening'!$B$2:$P$46,3,FALSE),""))</f>
        <v/>
      </c>
      <c r="AC128" s="851">
        <f>IFERROR(IF(C128="",1.1,IF(T128="",1,IF($C128=1,VLOOKUP($B128,'Werkschema - Rekening'!$B$2:$E$46,4,FALSE),IF($C128=2,Instellingen!E$16,IF($C128=3,Instellingen!F$16,IF($C128=4,M128))))+$D128)+$Z128),1.1)</f>
        <v/>
      </c>
      <c r="AD128" s="852">
        <f>IF($B128="","",IFERROR(VLOOKUP($B128,'Werkschema - Rekening'!$B$2:$P$46,5,FALSE),""))</f>
        <v/>
      </c>
      <c r="AE128" s="851">
        <f>IFERROR(IF(C128="",1.1,IF(U128="",1,IF($C128=1,VLOOKUP($B128,'Werkschema - Rekening'!$B$2:$G$46,6,FALSE),IF($C128=2,Instellingen!G$16,IF($C128=3,Instellingen!H$16,IF($C128=4,N128))))+$D128)+$Z128),1.1)</f>
        <v/>
      </c>
      <c r="AF128" s="852">
        <f>IF($B128="","",IFERROR(VLOOKUP($B128,'Werkschema - Rekening'!$B$2:$P$46,7,FALSE),""))</f>
        <v/>
      </c>
      <c r="AG128" s="851">
        <f>IFERROR(IF(C128="",1.1,IF(V128="",1,IF($C128=1,VLOOKUP($B128,'Werkschema - Rekening'!$B$2:$I$46,8,FALSE),IF($C128=2,Instellingen!I$16,IF($C128=3,Instellingen!J$16,IF($C128=4,O128))))+$D128)+$Z128),1.1)</f>
        <v/>
      </c>
      <c r="AH128" s="852">
        <f>IF($B128="","",IFERROR(VLOOKUP($B128,'Werkschema - Rekening'!$B$2:$P$46,9,FALSE),""))</f>
        <v/>
      </c>
      <c r="AI128" s="851">
        <f>IFERROR(IF(C128="",1.1,IF(W128="",1,IF($C128=1,VLOOKUP($B128,'Werkschema - Rekening'!$B$2:$K$46,10,FALSE),IF($C128=2,Instellingen!K$16,IF($C128=3,Instellingen!L$16,IF($C128=4,P128))))+$D128)+$Z128),1.1)</f>
        <v/>
      </c>
      <c r="AJ128" s="852">
        <f>IF($B128="","",IFERROR(VLOOKUP($B128,'Werkschema - Rekening'!$B$2:$P$46,11,FALSE),""))</f>
        <v/>
      </c>
      <c r="AK128" s="851">
        <f>IFERROR(IF(C128="",1.1,IF(X128="",1,IF($C128=1,VLOOKUP($B128,'Werkschema - Rekening'!$B$2:$M$46,12,FALSE),IF($C128=2,Instellingen!M$16,IF($C128=3,Instellingen!N$16,IF($C128=4,Q128))))+$D128)+$Z128),1.1)</f>
        <v/>
      </c>
      <c r="AL128" s="852">
        <f>IF($B128="","",IFERROR(VLOOKUP($B128,'Werkschema - Rekening'!$B$2:$P$46,13,FALSE),""))</f>
        <v/>
      </c>
      <c r="AM128" s="851">
        <f>IFERROR(IF(C128="",1.1,IF(Y128="",1,IF($C128=1,VLOOKUP($B128,'Werkschema - Rekening'!$B$2:$O$46,14,FALSE),IF($C128=2,Instellingen!O$16,IF($C128=3,Instellingen!P$16,IF($C128=4,R128))))+$D128)+$Z128),1.1)</f>
        <v/>
      </c>
      <c r="AN128" s="852">
        <f>IF($B128="","",IFERROR(VLOOKUP($B128,'Werkschema - Rekening'!$B$2:$P$46,15,FALSE),""))</f>
        <v/>
      </c>
      <c r="AO128" s="852">
        <f>A128</f>
        <v/>
      </c>
      <c r="AP128" s="852">
        <f>B128</f>
        <v/>
      </c>
    </row>
    <row r="129" ht="12.6" customHeight="1">
      <c r="A129" s="830">
        <f>'Aanpassen Werkschema'!B159</f>
        <v/>
      </c>
      <c r="B129" s="569">
        <f>'Aanpassen Werkschema'!C159</f>
        <v/>
      </c>
      <c r="C129" s="569">
        <f>IF('Aanpassen Werkschema'!D159="geplande taak",1,IF('Aanpassen Werkschema'!D159="openingstijd",2,IF('Aanpassen Werkschema'!D159="sluitingstijd",3,IF('Aanpassen Werkschema'!D159="vaste tijd",4,""))))</f>
        <v/>
      </c>
      <c r="D129" s="849">
        <f>'Aanpassen Werkschema'!E159</f>
        <v/>
      </c>
      <c r="E129" s="569">
        <f>IF('Aanpassen Werkschema'!F159="v","x","")</f>
        <v/>
      </c>
      <c r="F129" s="569">
        <f>IF('Aanpassen Werkschema'!G159="v","x","")</f>
        <v/>
      </c>
      <c r="G129" s="569">
        <f>IF('Aanpassen Werkschema'!H159="v","x","")</f>
        <v/>
      </c>
      <c r="H129" s="569">
        <f>IF('Aanpassen Werkschema'!I159="v","x","")</f>
        <v/>
      </c>
      <c r="I129" s="569">
        <f>IF('Aanpassen Werkschema'!J159="v","x","")</f>
        <v/>
      </c>
      <c r="J129" s="569">
        <f>IF('Aanpassen Werkschema'!K159="v","x","")</f>
        <v/>
      </c>
      <c r="K129" s="569">
        <f>IF('Aanpassen Werkschema'!L159="v","x","")</f>
        <v/>
      </c>
      <c r="L129" s="571">
        <f>IF('Aanpassen Werkschema'!M159&gt;0,'Aanpassen Werkschema'!M159,"")</f>
        <v/>
      </c>
      <c r="M129" s="571">
        <f>IF('Aanpassen Werkschema'!N159&gt;0,'Aanpassen Werkschema'!N159,"")</f>
        <v/>
      </c>
      <c r="N129" s="571">
        <f>IF('Aanpassen Werkschema'!O159&gt;0,'Aanpassen Werkschema'!O159,"")</f>
        <v/>
      </c>
      <c r="O129" s="571">
        <f>IF('Aanpassen Werkschema'!P159&gt;0,'Aanpassen Werkschema'!P159,"")</f>
        <v/>
      </c>
      <c r="P129" s="571">
        <f>IF('Aanpassen Werkschema'!Q159&gt;0,'Aanpassen Werkschema'!Q159,"")</f>
        <v/>
      </c>
      <c r="Q129" s="571">
        <f>IF('Aanpassen Werkschema'!R159&gt;0,'Aanpassen Werkschema'!R159,"")</f>
        <v/>
      </c>
      <c r="R129" s="571">
        <f>IF('Aanpassen Werkschema'!S159&gt;0,'Aanpassen Werkschema'!S159,"")</f>
        <v/>
      </c>
      <c r="S129" s="569">
        <f>IF('Aanpassen Werkschema'!T159="x","",IF('Aanpassen Werkschema'!N159="v","x",IF(E129="","",IF(E129="x","x"))))</f>
        <v/>
      </c>
      <c r="T129" s="569">
        <f>IF('Aanpassen Werkschema'!U159="x","",IF('Aanpassen Werkschema'!O159="v","x",IF(F129="","",IF(F129="x","x"))))</f>
        <v/>
      </c>
      <c r="U129" s="569">
        <f>IF('Aanpassen Werkschema'!V159="x","",IF('Aanpassen Werkschema'!P159="v","x",IF(G129="","",IF(G129="x","x"))))</f>
        <v/>
      </c>
      <c r="V129" s="569">
        <f>IF('Aanpassen Werkschema'!W159="x","",IF('Aanpassen Werkschema'!Q159="v","x",IF(H129="","",IF(H129="x","x"))))</f>
        <v/>
      </c>
      <c r="W129" s="569">
        <f>IF('Aanpassen Werkschema'!X159="x","",IF('Aanpassen Werkschema'!R159="v","x",IF(I129="","",IF(I129="x","x"))))</f>
        <v/>
      </c>
      <c r="X129" s="569">
        <f>IF('Aanpassen Werkschema'!Y159="x","",IF('Aanpassen Werkschema'!S159="v","x",IF(J129="","",IF(J129="x","x"))))</f>
        <v/>
      </c>
      <c r="Y129" s="569">
        <f>IF('Aanpassen Werkschema'!Z159="x","",IF('Aanpassen Werkschema'!T159="v","x",IF(K129="","",IF(K129="x","x"))))</f>
        <v/>
      </c>
      <c r="Z129" s="850">
        <f>Z128+0.0000000001</f>
        <v/>
      </c>
      <c r="AA129" s="851">
        <f>IFERROR(IF(C129="",1.1,IF(S129="",1,IF($C129=1,VLOOKUP($B129,'Werkschema - Rekening'!$B$2:$C$46,2,FALSE),IF($C129=2,Instellingen!C$16,IF($C129=3,Instellingen!D$16,IF($C129=4,L129))))+$D129)+$Z129),1.1)</f>
        <v/>
      </c>
      <c r="AB129" s="852">
        <f>IF($B129="","",IFERROR(VLOOKUP($B129,'Werkschema - Rekening'!$B$2:$P$46,3,FALSE),""))</f>
        <v/>
      </c>
      <c r="AC129" s="851">
        <f>IFERROR(IF(C129="",1.1,IF(T129="",1,IF($C129=1,VLOOKUP($B129,'Werkschema - Rekening'!$B$2:$E$46,4,FALSE),IF($C129=2,Instellingen!E$16,IF($C129=3,Instellingen!F$16,IF($C129=4,M129))))+$D129)+$Z129),1.1)</f>
        <v/>
      </c>
      <c r="AD129" s="852">
        <f>IF($B129="","",IFERROR(VLOOKUP($B129,'Werkschema - Rekening'!$B$2:$P$46,5,FALSE),""))</f>
        <v/>
      </c>
      <c r="AE129" s="851">
        <f>IFERROR(IF(C129="",1.1,IF(U129="",1,IF($C129=1,VLOOKUP($B129,'Werkschema - Rekening'!$B$2:$G$46,6,FALSE),IF($C129=2,Instellingen!G$16,IF($C129=3,Instellingen!H$16,IF($C129=4,N129))))+$D129)+$Z129),1.1)</f>
        <v/>
      </c>
      <c r="AF129" s="852">
        <f>IF($B129="","",IFERROR(VLOOKUP($B129,'Werkschema - Rekening'!$B$2:$P$46,7,FALSE),""))</f>
        <v/>
      </c>
      <c r="AG129" s="851">
        <f>IFERROR(IF(C129="",1.1,IF(V129="",1,IF($C129=1,VLOOKUP($B129,'Werkschema - Rekening'!$B$2:$I$46,8,FALSE),IF($C129=2,Instellingen!I$16,IF($C129=3,Instellingen!J$16,IF($C129=4,O129))))+$D129)+$Z129),1.1)</f>
        <v/>
      </c>
      <c r="AH129" s="852">
        <f>IF($B129="","",IFERROR(VLOOKUP($B129,'Werkschema - Rekening'!$B$2:$P$46,9,FALSE),""))</f>
        <v/>
      </c>
      <c r="AI129" s="851">
        <f>IFERROR(IF(C129="",1.1,IF(W129="",1,IF($C129=1,VLOOKUP($B129,'Werkschema - Rekening'!$B$2:$K$46,10,FALSE),IF($C129=2,Instellingen!K$16,IF($C129=3,Instellingen!L$16,IF($C129=4,P129))))+$D129)+$Z129),1.1)</f>
        <v/>
      </c>
      <c r="AJ129" s="852">
        <f>IF($B129="","",IFERROR(VLOOKUP($B129,'Werkschema - Rekening'!$B$2:$P$46,11,FALSE),""))</f>
        <v/>
      </c>
      <c r="AK129" s="851">
        <f>IFERROR(IF(C129="",1.1,IF(X129="",1,IF($C129=1,VLOOKUP($B129,'Werkschema - Rekening'!$B$2:$M$46,12,FALSE),IF($C129=2,Instellingen!M$16,IF($C129=3,Instellingen!N$16,IF($C129=4,Q129))))+$D129)+$Z129),1.1)</f>
        <v/>
      </c>
      <c r="AL129" s="852">
        <f>IF($B129="","",IFERROR(VLOOKUP($B129,'Werkschema - Rekening'!$B$2:$P$46,13,FALSE),""))</f>
        <v/>
      </c>
      <c r="AM129" s="851">
        <f>IFERROR(IF(C129="",1.1,IF(Y129="",1,IF($C129=1,VLOOKUP($B129,'Werkschema - Rekening'!$B$2:$O$46,14,FALSE),IF($C129=2,Instellingen!O$16,IF($C129=3,Instellingen!P$16,IF($C129=4,R129))))+$D129)+$Z129),1.1)</f>
        <v/>
      </c>
      <c r="AN129" s="852">
        <f>IF($B129="","",IFERROR(VLOOKUP($B129,'Werkschema - Rekening'!$B$2:$P$46,15,FALSE),""))</f>
        <v/>
      </c>
      <c r="AO129" s="852">
        <f>A129</f>
        <v/>
      </c>
      <c r="AP129" s="852">
        <f>B129</f>
        <v/>
      </c>
    </row>
    <row r="130" ht="12.6" customHeight="1">
      <c r="A130" s="830">
        <f>'Aanpassen Werkschema'!B160</f>
        <v/>
      </c>
      <c r="B130" s="569">
        <f>'Aanpassen Werkschema'!C160</f>
        <v/>
      </c>
      <c r="C130" s="569">
        <f>IF('Aanpassen Werkschema'!D160="geplande taak",1,IF('Aanpassen Werkschema'!D160="openingstijd",2,IF('Aanpassen Werkschema'!D160="sluitingstijd",3,IF('Aanpassen Werkschema'!D160="vaste tijd",4,""))))</f>
        <v/>
      </c>
      <c r="D130" s="849">
        <f>'Aanpassen Werkschema'!E160</f>
        <v/>
      </c>
      <c r="E130" s="569">
        <f>IF('Aanpassen Werkschema'!F160="v","x","")</f>
        <v/>
      </c>
      <c r="F130" s="569">
        <f>IF('Aanpassen Werkschema'!G160="v","x","")</f>
        <v/>
      </c>
      <c r="G130" s="569">
        <f>IF('Aanpassen Werkschema'!H160="v","x","")</f>
        <v/>
      </c>
      <c r="H130" s="569">
        <f>IF('Aanpassen Werkschema'!I160="v","x","")</f>
        <v/>
      </c>
      <c r="I130" s="569">
        <f>IF('Aanpassen Werkschema'!J160="v","x","")</f>
        <v/>
      </c>
      <c r="J130" s="569">
        <f>IF('Aanpassen Werkschema'!K160="v","x","")</f>
        <v/>
      </c>
      <c r="K130" s="569">
        <f>IF('Aanpassen Werkschema'!L160="v","x","")</f>
        <v/>
      </c>
      <c r="L130" s="571">
        <f>IF('Aanpassen Werkschema'!M160&gt;0,'Aanpassen Werkschema'!M160,"")</f>
        <v/>
      </c>
      <c r="M130" s="571">
        <f>IF('Aanpassen Werkschema'!N160&gt;0,'Aanpassen Werkschema'!N160,"")</f>
        <v/>
      </c>
      <c r="N130" s="571">
        <f>IF('Aanpassen Werkschema'!O160&gt;0,'Aanpassen Werkschema'!O160,"")</f>
        <v/>
      </c>
      <c r="O130" s="571">
        <f>IF('Aanpassen Werkschema'!P160&gt;0,'Aanpassen Werkschema'!P160,"")</f>
        <v/>
      </c>
      <c r="P130" s="571">
        <f>IF('Aanpassen Werkschema'!Q160&gt;0,'Aanpassen Werkschema'!Q160,"")</f>
        <v/>
      </c>
      <c r="Q130" s="571">
        <f>IF('Aanpassen Werkschema'!R160&gt;0,'Aanpassen Werkschema'!R160,"")</f>
        <v/>
      </c>
      <c r="R130" s="571">
        <f>IF('Aanpassen Werkschema'!S160&gt;0,'Aanpassen Werkschema'!S160,"")</f>
        <v/>
      </c>
      <c r="S130" s="569">
        <f>IF('Aanpassen Werkschema'!T160="x","",IF('Aanpassen Werkschema'!N160="v","x",IF(E130="","",IF(E130="x","x"))))</f>
        <v/>
      </c>
      <c r="T130" s="569">
        <f>IF('Aanpassen Werkschema'!U160="x","",IF('Aanpassen Werkschema'!O160="v","x",IF(F130="","",IF(F130="x","x"))))</f>
        <v/>
      </c>
      <c r="U130" s="569">
        <f>IF('Aanpassen Werkschema'!V160="x","",IF('Aanpassen Werkschema'!P160="v","x",IF(G130="","",IF(G130="x","x"))))</f>
        <v/>
      </c>
      <c r="V130" s="569">
        <f>IF('Aanpassen Werkschema'!W160="x","",IF('Aanpassen Werkschema'!Q160="v","x",IF(H130="","",IF(H130="x","x"))))</f>
        <v/>
      </c>
      <c r="W130" s="569">
        <f>IF('Aanpassen Werkschema'!X160="x","",IF('Aanpassen Werkschema'!R160="v","x",IF(I130="","",IF(I130="x","x"))))</f>
        <v/>
      </c>
      <c r="X130" s="569">
        <f>IF('Aanpassen Werkschema'!Y160="x","",IF('Aanpassen Werkschema'!S160="v","x",IF(J130="","",IF(J130="x","x"))))</f>
        <v/>
      </c>
      <c r="Y130" s="569">
        <f>IF('Aanpassen Werkschema'!Z160="x","",IF('Aanpassen Werkschema'!T160="v","x",IF(K130="","",IF(K130="x","x"))))</f>
        <v/>
      </c>
      <c r="Z130" s="850">
        <f>Z129+0.0000000001</f>
        <v/>
      </c>
      <c r="AA130" s="851">
        <f>IFERROR(IF(C130="",1.1,IF(S130="",1,IF($C130=1,VLOOKUP($B130,'Werkschema - Rekening'!$B$2:$C$46,2,FALSE),IF($C130=2,Instellingen!C$16,IF($C130=3,Instellingen!D$16,IF($C130=4,L130))))+$D130)+$Z130),1.1)</f>
        <v/>
      </c>
      <c r="AB130" s="852">
        <f>IF($B130="","",IFERROR(VLOOKUP($B130,'Werkschema - Rekening'!$B$2:$P$46,3,FALSE),""))</f>
        <v/>
      </c>
      <c r="AC130" s="851">
        <f>IFERROR(IF(C130="",1.1,IF(T130="",1,IF($C130=1,VLOOKUP($B130,'Werkschema - Rekening'!$B$2:$E$46,4,FALSE),IF($C130=2,Instellingen!E$16,IF($C130=3,Instellingen!F$16,IF($C130=4,M130))))+$D130)+$Z130),1.1)</f>
        <v/>
      </c>
      <c r="AD130" s="852">
        <f>IF($B130="","",IFERROR(VLOOKUP($B130,'Werkschema - Rekening'!$B$2:$P$46,5,FALSE),""))</f>
        <v/>
      </c>
      <c r="AE130" s="851">
        <f>IFERROR(IF(C130="",1.1,IF(U130="",1,IF($C130=1,VLOOKUP($B130,'Werkschema - Rekening'!$B$2:$G$46,6,FALSE),IF($C130=2,Instellingen!G$16,IF($C130=3,Instellingen!H$16,IF($C130=4,N130))))+$D130)+$Z130),1.1)</f>
        <v/>
      </c>
      <c r="AF130" s="852">
        <f>IF($B130="","",IFERROR(VLOOKUP($B130,'Werkschema - Rekening'!$B$2:$P$46,7,FALSE),""))</f>
        <v/>
      </c>
      <c r="AG130" s="851">
        <f>IFERROR(IF(C130="",1.1,IF(V130="",1,IF($C130=1,VLOOKUP($B130,'Werkschema - Rekening'!$B$2:$I$46,8,FALSE),IF($C130=2,Instellingen!I$16,IF($C130=3,Instellingen!J$16,IF($C130=4,O130))))+$D130)+$Z130),1.1)</f>
        <v/>
      </c>
      <c r="AH130" s="852">
        <f>IF($B130="","",IFERROR(VLOOKUP($B130,'Werkschema - Rekening'!$B$2:$P$46,9,FALSE),""))</f>
        <v/>
      </c>
      <c r="AI130" s="851">
        <f>IFERROR(IF(C130="",1.1,IF(W130="",1,IF($C130=1,VLOOKUP($B130,'Werkschema - Rekening'!$B$2:$K$46,10,FALSE),IF($C130=2,Instellingen!K$16,IF($C130=3,Instellingen!L$16,IF($C130=4,P130))))+$D130)+$Z130),1.1)</f>
        <v/>
      </c>
      <c r="AJ130" s="852">
        <f>IF($B130="","",IFERROR(VLOOKUP($B130,'Werkschema - Rekening'!$B$2:$P$46,11,FALSE),""))</f>
        <v/>
      </c>
      <c r="AK130" s="851">
        <f>IFERROR(IF(C130="",1.1,IF(X130="",1,IF($C130=1,VLOOKUP($B130,'Werkschema - Rekening'!$B$2:$M$46,12,FALSE),IF($C130=2,Instellingen!M$16,IF($C130=3,Instellingen!N$16,IF($C130=4,Q130))))+$D130)+$Z130),1.1)</f>
        <v/>
      </c>
      <c r="AL130" s="852">
        <f>IF($B130="","",IFERROR(VLOOKUP($B130,'Werkschema - Rekening'!$B$2:$P$46,13,FALSE),""))</f>
        <v/>
      </c>
      <c r="AM130" s="851">
        <f>IFERROR(IF(C130="",1.1,IF(Y130="",1,IF($C130=1,VLOOKUP($B130,'Werkschema - Rekening'!$B$2:$O$46,14,FALSE),IF($C130=2,Instellingen!O$16,IF($C130=3,Instellingen!P$16,IF($C130=4,R130))))+$D130)+$Z130),1.1)</f>
        <v/>
      </c>
      <c r="AN130" s="852">
        <f>IF($B130="","",IFERROR(VLOOKUP($B130,'Werkschema - Rekening'!$B$2:$P$46,15,FALSE),""))</f>
        <v/>
      </c>
      <c r="AO130" s="852">
        <f>A130</f>
        <v/>
      </c>
      <c r="AP130" s="852">
        <f>B130</f>
        <v/>
      </c>
    </row>
    <row r="131" ht="12.6" customHeight="1">
      <c r="A131" s="830">
        <f>'Aanpassen Werkschema'!B161</f>
        <v/>
      </c>
      <c r="B131" s="569">
        <f>'Aanpassen Werkschema'!C161</f>
        <v/>
      </c>
      <c r="C131" s="569">
        <f>IF('Aanpassen Werkschema'!D161="geplande taak",1,IF('Aanpassen Werkschema'!D161="openingstijd",2,IF('Aanpassen Werkschema'!D161="sluitingstijd",3,IF('Aanpassen Werkschema'!D161="vaste tijd",4,""))))</f>
        <v/>
      </c>
      <c r="D131" s="849">
        <f>'Aanpassen Werkschema'!E161</f>
        <v/>
      </c>
      <c r="E131" s="569">
        <f>IF('Aanpassen Werkschema'!F161="v","x","")</f>
        <v/>
      </c>
      <c r="F131" s="569">
        <f>IF('Aanpassen Werkschema'!G161="v","x","")</f>
        <v/>
      </c>
      <c r="G131" s="569">
        <f>IF('Aanpassen Werkschema'!H161="v","x","")</f>
        <v/>
      </c>
      <c r="H131" s="569">
        <f>IF('Aanpassen Werkschema'!I161="v","x","")</f>
        <v/>
      </c>
      <c r="I131" s="569">
        <f>IF('Aanpassen Werkschema'!J161="v","x","")</f>
        <v/>
      </c>
      <c r="J131" s="569">
        <f>IF('Aanpassen Werkschema'!K161="v","x","")</f>
        <v/>
      </c>
      <c r="K131" s="569">
        <f>IF('Aanpassen Werkschema'!L161="v","x","")</f>
        <v/>
      </c>
      <c r="L131" s="571">
        <f>IF('Aanpassen Werkschema'!M161&gt;0,'Aanpassen Werkschema'!M161,"")</f>
        <v/>
      </c>
      <c r="M131" s="571">
        <f>IF('Aanpassen Werkschema'!N161&gt;0,'Aanpassen Werkschema'!N161,"")</f>
        <v/>
      </c>
      <c r="N131" s="571">
        <f>IF('Aanpassen Werkschema'!O161&gt;0,'Aanpassen Werkschema'!O161,"")</f>
        <v/>
      </c>
      <c r="O131" s="571">
        <f>IF('Aanpassen Werkschema'!P161&gt;0,'Aanpassen Werkschema'!P161,"")</f>
        <v/>
      </c>
      <c r="P131" s="571">
        <f>IF('Aanpassen Werkschema'!Q161&gt;0,'Aanpassen Werkschema'!Q161,"")</f>
        <v/>
      </c>
      <c r="Q131" s="571">
        <f>IF('Aanpassen Werkschema'!R161&gt;0,'Aanpassen Werkschema'!R161,"")</f>
        <v/>
      </c>
      <c r="R131" s="571">
        <f>IF('Aanpassen Werkschema'!S161&gt;0,'Aanpassen Werkschema'!S161,"")</f>
        <v/>
      </c>
      <c r="S131" s="569">
        <f>IF('Aanpassen Werkschema'!T161="x","",IF('Aanpassen Werkschema'!N161="v","x",IF(E131="","",IF(E131="x","x"))))</f>
        <v/>
      </c>
      <c r="T131" s="569">
        <f>IF('Aanpassen Werkschema'!U161="x","",IF('Aanpassen Werkschema'!O161="v","x",IF(F131="","",IF(F131="x","x"))))</f>
        <v/>
      </c>
      <c r="U131" s="569">
        <f>IF('Aanpassen Werkschema'!V161="x","",IF('Aanpassen Werkschema'!P161="v","x",IF(G131="","",IF(G131="x","x"))))</f>
        <v/>
      </c>
      <c r="V131" s="569">
        <f>IF('Aanpassen Werkschema'!W161="x","",IF('Aanpassen Werkschema'!Q161="v","x",IF(H131="","",IF(H131="x","x"))))</f>
        <v/>
      </c>
      <c r="W131" s="569">
        <f>IF('Aanpassen Werkschema'!X161="x","",IF('Aanpassen Werkschema'!R161="v","x",IF(I131="","",IF(I131="x","x"))))</f>
        <v/>
      </c>
      <c r="X131" s="569">
        <f>IF('Aanpassen Werkschema'!Y161="x","",IF('Aanpassen Werkschema'!S161="v","x",IF(J131="","",IF(J131="x","x"))))</f>
        <v/>
      </c>
      <c r="Y131" s="569">
        <f>IF('Aanpassen Werkschema'!Z161="x","",IF('Aanpassen Werkschema'!T161="v","x",IF(K131="","",IF(K131="x","x"))))</f>
        <v/>
      </c>
      <c r="Z131" s="850">
        <f>Z130+0.0000000001</f>
        <v/>
      </c>
      <c r="AA131" s="851">
        <f>IFERROR(IF(C131="",1.1,IF(S131="",1,IF($C131=1,VLOOKUP($B131,'Werkschema - Rekening'!$B$2:$C$46,2,FALSE),IF($C131=2,Instellingen!C$16,IF($C131=3,Instellingen!D$16,IF($C131=4,L131))))+$D131)+$Z131),1.1)</f>
        <v/>
      </c>
      <c r="AB131" s="852">
        <f>IF($B131="","",IFERROR(VLOOKUP($B131,'Werkschema - Rekening'!$B$2:$P$46,3,FALSE),""))</f>
        <v/>
      </c>
      <c r="AC131" s="851">
        <f>IFERROR(IF(C131="",1.1,IF(T131="",1,IF($C131=1,VLOOKUP($B131,'Werkschema - Rekening'!$B$2:$E$46,4,FALSE),IF($C131=2,Instellingen!E$16,IF($C131=3,Instellingen!F$16,IF($C131=4,M131))))+$D131)+$Z131),1.1)</f>
        <v/>
      </c>
      <c r="AD131" s="852">
        <f>IF($B131="","",IFERROR(VLOOKUP($B131,'Werkschema - Rekening'!$B$2:$P$46,5,FALSE),""))</f>
        <v/>
      </c>
      <c r="AE131" s="851">
        <f>IFERROR(IF(C131="",1.1,IF(U131="",1,IF($C131=1,VLOOKUP($B131,'Werkschema - Rekening'!$B$2:$G$46,6,FALSE),IF($C131=2,Instellingen!G$16,IF($C131=3,Instellingen!H$16,IF($C131=4,N131))))+$D131)+$Z131),1.1)</f>
        <v/>
      </c>
      <c r="AF131" s="852">
        <f>IF($B131="","",IFERROR(VLOOKUP($B131,'Werkschema - Rekening'!$B$2:$P$46,7,FALSE),""))</f>
        <v/>
      </c>
      <c r="AG131" s="851">
        <f>IFERROR(IF(C131="",1.1,IF(V131="",1,IF($C131=1,VLOOKUP($B131,'Werkschema - Rekening'!$B$2:$I$46,8,FALSE),IF($C131=2,Instellingen!I$16,IF($C131=3,Instellingen!J$16,IF($C131=4,O131))))+$D131)+$Z131),1.1)</f>
        <v/>
      </c>
      <c r="AH131" s="852">
        <f>IF($B131="","",IFERROR(VLOOKUP($B131,'Werkschema - Rekening'!$B$2:$P$46,9,FALSE),""))</f>
        <v/>
      </c>
      <c r="AI131" s="851">
        <f>IFERROR(IF(C131="",1.1,IF(W131="",1,IF($C131=1,VLOOKUP($B131,'Werkschema - Rekening'!$B$2:$K$46,10,FALSE),IF($C131=2,Instellingen!K$16,IF($C131=3,Instellingen!L$16,IF($C131=4,P131))))+$D131)+$Z131),1.1)</f>
        <v/>
      </c>
      <c r="AJ131" s="852">
        <f>IF($B131="","",IFERROR(VLOOKUP($B131,'Werkschema - Rekening'!$B$2:$P$46,11,FALSE),""))</f>
        <v/>
      </c>
      <c r="AK131" s="851">
        <f>IFERROR(IF(C131="",1.1,IF(X131="",1,IF($C131=1,VLOOKUP($B131,'Werkschema - Rekening'!$B$2:$M$46,12,FALSE),IF($C131=2,Instellingen!M$16,IF($C131=3,Instellingen!N$16,IF($C131=4,Q131))))+$D131)+$Z131),1.1)</f>
        <v/>
      </c>
      <c r="AL131" s="852">
        <f>IF($B131="","",IFERROR(VLOOKUP($B131,'Werkschema - Rekening'!$B$2:$P$46,13,FALSE),""))</f>
        <v/>
      </c>
      <c r="AM131" s="851">
        <f>IFERROR(IF(C131="",1.1,IF(Y131="",1,IF($C131=1,VLOOKUP($B131,'Werkschema - Rekening'!$B$2:$O$46,14,FALSE),IF($C131=2,Instellingen!O$16,IF($C131=3,Instellingen!P$16,IF($C131=4,R131))))+$D131)+$Z131),1.1)</f>
        <v/>
      </c>
      <c r="AN131" s="852">
        <f>IF($B131="","",IFERROR(VLOOKUP($B131,'Werkschema - Rekening'!$B$2:$P$46,15,FALSE),""))</f>
        <v/>
      </c>
      <c r="AO131" s="852">
        <f>A131</f>
        <v/>
      </c>
      <c r="AP131" s="852">
        <f>B131</f>
        <v/>
      </c>
    </row>
    <row r="132" ht="12.6" customHeight="1">
      <c r="A132" s="830">
        <f>'Aanpassen Werkschema'!B162</f>
        <v/>
      </c>
      <c r="B132" s="569">
        <f>'Aanpassen Werkschema'!C162</f>
        <v/>
      </c>
      <c r="C132" s="569">
        <f>IF('Aanpassen Werkschema'!D162="geplande taak",1,IF('Aanpassen Werkschema'!D162="openingstijd",2,IF('Aanpassen Werkschema'!D162="sluitingstijd",3,IF('Aanpassen Werkschema'!D162="vaste tijd",4,""))))</f>
        <v/>
      </c>
      <c r="D132" s="849">
        <f>'Aanpassen Werkschema'!E162</f>
        <v/>
      </c>
      <c r="E132" s="569">
        <f>IF('Aanpassen Werkschema'!F162="v","x","")</f>
        <v/>
      </c>
      <c r="F132" s="569">
        <f>IF('Aanpassen Werkschema'!G162="v","x","")</f>
        <v/>
      </c>
      <c r="G132" s="569">
        <f>IF('Aanpassen Werkschema'!H162="v","x","")</f>
        <v/>
      </c>
      <c r="H132" s="569">
        <f>IF('Aanpassen Werkschema'!I162="v","x","")</f>
        <v/>
      </c>
      <c r="I132" s="569">
        <f>IF('Aanpassen Werkschema'!J162="v","x","")</f>
        <v/>
      </c>
      <c r="J132" s="569">
        <f>IF('Aanpassen Werkschema'!K162="v","x","")</f>
        <v/>
      </c>
      <c r="K132" s="569">
        <f>IF('Aanpassen Werkschema'!L162="v","x","")</f>
        <v/>
      </c>
      <c r="L132" s="571">
        <f>IF('Aanpassen Werkschema'!M162&gt;0,'Aanpassen Werkschema'!M162,"")</f>
        <v/>
      </c>
      <c r="M132" s="571">
        <f>IF('Aanpassen Werkschema'!N162&gt;0,'Aanpassen Werkschema'!N162,"")</f>
        <v/>
      </c>
      <c r="N132" s="571">
        <f>IF('Aanpassen Werkschema'!O162&gt;0,'Aanpassen Werkschema'!O162,"")</f>
        <v/>
      </c>
      <c r="O132" s="571">
        <f>IF('Aanpassen Werkschema'!P162&gt;0,'Aanpassen Werkschema'!P162,"")</f>
        <v/>
      </c>
      <c r="P132" s="571">
        <f>IF('Aanpassen Werkschema'!Q162&gt;0,'Aanpassen Werkschema'!Q162,"")</f>
        <v/>
      </c>
      <c r="Q132" s="571">
        <f>IF('Aanpassen Werkschema'!R162&gt;0,'Aanpassen Werkschema'!R162,"")</f>
        <v/>
      </c>
      <c r="R132" s="571">
        <f>IF('Aanpassen Werkschema'!S162&gt;0,'Aanpassen Werkschema'!S162,"")</f>
        <v/>
      </c>
      <c r="S132" s="569">
        <f>IF('Aanpassen Werkschema'!T162="x","",IF('Aanpassen Werkschema'!N162="v","x",IF(E132="","",IF(E132="x","x"))))</f>
        <v/>
      </c>
      <c r="T132" s="569">
        <f>IF('Aanpassen Werkschema'!U162="x","",IF('Aanpassen Werkschema'!O162="v","x",IF(F132="","",IF(F132="x","x"))))</f>
        <v/>
      </c>
      <c r="U132" s="569">
        <f>IF('Aanpassen Werkschema'!V162="x","",IF('Aanpassen Werkschema'!P162="v","x",IF(G132="","",IF(G132="x","x"))))</f>
        <v/>
      </c>
      <c r="V132" s="569">
        <f>IF('Aanpassen Werkschema'!W162="x","",IF('Aanpassen Werkschema'!Q162="v","x",IF(H132="","",IF(H132="x","x"))))</f>
        <v/>
      </c>
      <c r="W132" s="569">
        <f>IF('Aanpassen Werkschema'!X162="x","",IF('Aanpassen Werkschema'!R162="v","x",IF(I132="","",IF(I132="x","x"))))</f>
        <v/>
      </c>
      <c r="X132" s="569">
        <f>IF('Aanpassen Werkschema'!Y162="x","",IF('Aanpassen Werkschema'!S162="v","x",IF(J132="","",IF(J132="x","x"))))</f>
        <v/>
      </c>
      <c r="Y132" s="569">
        <f>IF('Aanpassen Werkschema'!Z162="x","",IF('Aanpassen Werkschema'!T162="v","x",IF(K132="","",IF(K132="x","x"))))</f>
        <v/>
      </c>
      <c r="Z132" s="850">
        <f>Z131+0.0000000001</f>
        <v/>
      </c>
      <c r="AA132" s="851">
        <f>IFERROR(IF(C132="",1.1,IF(S132="",1,IF($C132=1,VLOOKUP($B132,'Werkschema - Rekening'!$B$2:$C$46,2,FALSE),IF($C132=2,Instellingen!C$16,IF($C132=3,Instellingen!D$16,IF($C132=4,L132))))+$D132)+$Z132),1.1)</f>
        <v/>
      </c>
      <c r="AB132" s="852">
        <f>IF($B132="","",IFERROR(VLOOKUP($B132,'Werkschema - Rekening'!$B$2:$P$46,3,FALSE),""))</f>
        <v/>
      </c>
      <c r="AC132" s="851">
        <f>IFERROR(IF(C132="",1.1,IF(T132="",1,IF($C132=1,VLOOKUP($B132,'Werkschema - Rekening'!$B$2:$E$46,4,FALSE),IF($C132=2,Instellingen!E$16,IF($C132=3,Instellingen!F$16,IF($C132=4,M132))))+$D132)+$Z132),1.1)</f>
        <v/>
      </c>
      <c r="AD132" s="852">
        <f>IF($B132="","",IFERROR(VLOOKUP($B132,'Werkschema - Rekening'!$B$2:$P$46,5,FALSE),""))</f>
        <v/>
      </c>
      <c r="AE132" s="851">
        <f>IFERROR(IF(C132="",1.1,IF(U132="",1,IF($C132=1,VLOOKUP($B132,'Werkschema - Rekening'!$B$2:$G$46,6,FALSE),IF($C132=2,Instellingen!G$16,IF($C132=3,Instellingen!H$16,IF($C132=4,N132))))+$D132)+$Z132),1.1)</f>
        <v/>
      </c>
      <c r="AF132" s="852">
        <f>IF($B132="","",IFERROR(VLOOKUP($B132,'Werkschema - Rekening'!$B$2:$P$46,7,FALSE),""))</f>
        <v/>
      </c>
      <c r="AG132" s="851">
        <f>IFERROR(IF(C132="",1.1,IF(V132="",1,IF($C132=1,VLOOKUP($B132,'Werkschema - Rekening'!$B$2:$I$46,8,FALSE),IF($C132=2,Instellingen!I$16,IF($C132=3,Instellingen!J$16,IF($C132=4,O132))))+$D132)+$Z132),1.1)</f>
        <v/>
      </c>
      <c r="AH132" s="852">
        <f>IF($B132="","",IFERROR(VLOOKUP($B132,'Werkschema - Rekening'!$B$2:$P$46,9,FALSE),""))</f>
        <v/>
      </c>
      <c r="AI132" s="851">
        <f>IFERROR(IF(C132="",1.1,IF(W132="",1,IF($C132=1,VLOOKUP($B132,'Werkschema - Rekening'!$B$2:$K$46,10,FALSE),IF($C132=2,Instellingen!K$16,IF($C132=3,Instellingen!L$16,IF($C132=4,P132))))+$D132)+$Z132),1.1)</f>
        <v/>
      </c>
      <c r="AJ132" s="852">
        <f>IF($B132="","",IFERROR(VLOOKUP($B132,'Werkschema - Rekening'!$B$2:$P$46,11,FALSE),""))</f>
        <v/>
      </c>
      <c r="AK132" s="851">
        <f>IFERROR(IF(C132="",1.1,IF(X132="",1,IF($C132=1,VLOOKUP($B132,'Werkschema - Rekening'!$B$2:$M$46,12,FALSE),IF($C132=2,Instellingen!M$16,IF($C132=3,Instellingen!N$16,IF($C132=4,Q132))))+$D132)+$Z132),1.1)</f>
        <v/>
      </c>
      <c r="AL132" s="852">
        <f>IF($B132="","",IFERROR(VLOOKUP($B132,'Werkschema - Rekening'!$B$2:$P$46,13,FALSE),""))</f>
        <v/>
      </c>
      <c r="AM132" s="851">
        <f>IFERROR(IF(C132="",1.1,IF(Y132="",1,IF($C132=1,VLOOKUP($B132,'Werkschema - Rekening'!$B$2:$O$46,14,FALSE),IF($C132=2,Instellingen!O$16,IF($C132=3,Instellingen!P$16,IF($C132=4,R132))))+$D132)+$Z132),1.1)</f>
        <v/>
      </c>
      <c r="AN132" s="852">
        <f>IF($B132="","",IFERROR(VLOOKUP($B132,'Werkschema - Rekening'!$B$2:$P$46,15,FALSE),""))</f>
        <v/>
      </c>
      <c r="AO132" s="852">
        <f>A132</f>
        <v/>
      </c>
      <c r="AP132" s="852">
        <f>B132</f>
        <v/>
      </c>
    </row>
    <row r="133" ht="12.6" customHeight="1">
      <c r="A133" s="830">
        <f>'Aanpassen Werkschema'!B163</f>
        <v/>
      </c>
      <c r="B133" s="569">
        <f>'Aanpassen Werkschema'!C163</f>
        <v/>
      </c>
      <c r="C133" s="569">
        <f>IF('Aanpassen Werkschema'!D163="geplande taak",1,IF('Aanpassen Werkschema'!D163="openingstijd",2,IF('Aanpassen Werkschema'!D163="sluitingstijd",3,IF('Aanpassen Werkschema'!D163="vaste tijd",4,""))))</f>
        <v/>
      </c>
      <c r="D133" s="849">
        <f>'Aanpassen Werkschema'!E163</f>
        <v/>
      </c>
      <c r="E133" s="569">
        <f>IF('Aanpassen Werkschema'!F163="v","x","")</f>
        <v/>
      </c>
      <c r="F133" s="569">
        <f>IF('Aanpassen Werkschema'!G163="v","x","")</f>
        <v/>
      </c>
      <c r="G133" s="569">
        <f>IF('Aanpassen Werkschema'!H163="v","x","")</f>
        <v/>
      </c>
      <c r="H133" s="569">
        <f>IF('Aanpassen Werkschema'!I163="v","x","")</f>
        <v/>
      </c>
      <c r="I133" s="569">
        <f>IF('Aanpassen Werkschema'!J163="v","x","")</f>
        <v/>
      </c>
      <c r="J133" s="569">
        <f>IF('Aanpassen Werkschema'!K163="v","x","")</f>
        <v/>
      </c>
      <c r="K133" s="569">
        <f>IF('Aanpassen Werkschema'!L163="v","x","")</f>
        <v/>
      </c>
      <c r="L133" s="571">
        <f>IF('Aanpassen Werkschema'!M163&gt;0,'Aanpassen Werkschema'!M163,"")</f>
        <v/>
      </c>
      <c r="M133" s="571">
        <f>IF('Aanpassen Werkschema'!N163&gt;0,'Aanpassen Werkschema'!N163,"")</f>
        <v/>
      </c>
      <c r="N133" s="571">
        <f>IF('Aanpassen Werkschema'!O163&gt;0,'Aanpassen Werkschema'!O163,"")</f>
        <v/>
      </c>
      <c r="O133" s="571">
        <f>IF('Aanpassen Werkschema'!P163&gt;0,'Aanpassen Werkschema'!P163,"")</f>
        <v/>
      </c>
      <c r="P133" s="571">
        <f>IF('Aanpassen Werkschema'!Q163&gt;0,'Aanpassen Werkschema'!Q163,"")</f>
        <v/>
      </c>
      <c r="Q133" s="571">
        <f>IF('Aanpassen Werkschema'!R163&gt;0,'Aanpassen Werkschema'!R163,"")</f>
        <v/>
      </c>
      <c r="R133" s="571">
        <f>IF('Aanpassen Werkschema'!S163&gt;0,'Aanpassen Werkschema'!S163,"")</f>
        <v/>
      </c>
      <c r="S133" s="569">
        <f>IF('Aanpassen Werkschema'!T163="x","",IF('Aanpassen Werkschema'!N163="v","x",IF(E133="","",IF(E133="x","x"))))</f>
        <v/>
      </c>
      <c r="T133" s="569">
        <f>IF('Aanpassen Werkschema'!U163="x","",IF('Aanpassen Werkschema'!O163="v","x",IF(F133="","",IF(F133="x","x"))))</f>
        <v/>
      </c>
      <c r="U133" s="569">
        <f>IF('Aanpassen Werkschema'!V163="x","",IF('Aanpassen Werkschema'!P163="v","x",IF(G133="","",IF(G133="x","x"))))</f>
        <v/>
      </c>
      <c r="V133" s="569">
        <f>IF('Aanpassen Werkschema'!W163="x","",IF('Aanpassen Werkschema'!Q163="v","x",IF(H133="","",IF(H133="x","x"))))</f>
        <v/>
      </c>
      <c r="W133" s="569">
        <f>IF('Aanpassen Werkschema'!X163="x","",IF('Aanpassen Werkschema'!R163="v","x",IF(I133="","",IF(I133="x","x"))))</f>
        <v/>
      </c>
      <c r="X133" s="569">
        <f>IF('Aanpassen Werkschema'!Y163="x","",IF('Aanpassen Werkschema'!S163="v","x",IF(J133="","",IF(J133="x","x"))))</f>
        <v/>
      </c>
      <c r="Y133" s="569">
        <f>IF('Aanpassen Werkschema'!Z163="x","",IF('Aanpassen Werkschema'!T163="v","x",IF(K133="","",IF(K133="x","x"))))</f>
        <v/>
      </c>
      <c r="Z133" s="850">
        <f>Z132+0.0000000001</f>
        <v/>
      </c>
      <c r="AA133" s="851">
        <f>IFERROR(IF(C133="",1.1,IF(S133="",1,IF($C133=1,VLOOKUP($B133,'Werkschema - Rekening'!$B$2:$C$46,2,FALSE),IF($C133=2,Instellingen!C$16,IF($C133=3,Instellingen!D$16,IF($C133=4,L133))))+$D133)+$Z133),1.1)</f>
        <v/>
      </c>
      <c r="AB133" s="852">
        <f>IF($B133="","",IFERROR(VLOOKUP($B133,'Werkschema - Rekening'!$B$2:$P$46,3,FALSE),""))</f>
        <v/>
      </c>
      <c r="AC133" s="851">
        <f>IFERROR(IF(C133="",1.1,IF(T133="",1,IF($C133=1,VLOOKUP($B133,'Werkschema - Rekening'!$B$2:$E$46,4,FALSE),IF($C133=2,Instellingen!E$16,IF($C133=3,Instellingen!F$16,IF($C133=4,M133))))+$D133)+$Z133),1.1)</f>
        <v/>
      </c>
      <c r="AD133" s="852">
        <f>IF($B133="","",IFERROR(VLOOKUP($B133,'Werkschema - Rekening'!$B$2:$P$46,5,FALSE),""))</f>
        <v/>
      </c>
      <c r="AE133" s="851">
        <f>IFERROR(IF(C133="",1.1,IF(U133="",1,IF($C133=1,VLOOKUP($B133,'Werkschema - Rekening'!$B$2:$G$46,6,FALSE),IF($C133=2,Instellingen!G$16,IF($C133=3,Instellingen!H$16,IF($C133=4,N133))))+$D133)+$Z133),1.1)</f>
        <v/>
      </c>
      <c r="AF133" s="852">
        <f>IF($B133="","",IFERROR(VLOOKUP($B133,'Werkschema - Rekening'!$B$2:$P$46,7,FALSE),""))</f>
        <v/>
      </c>
      <c r="AG133" s="851">
        <f>IFERROR(IF(C133="",1.1,IF(V133="",1,IF($C133=1,VLOOKUP($B133,'Werkschema - Rekening'!$B$2:$I$46,8,FALSE),IF($C133=2,Instellingen!I$16,IF($C133=3,Instellingen!J$16,IF($C133=4,O133))))+$D133)+$Z133),1.1)</f>
        <v/>
      </c>
      <c r="AH133" s="852">
        <f>IF($B133="","",IFERROR(VLOOKUP($B133,'Werkschema - Rekening'!$B$2:$P$46,9,FALSE),""))</f>
        <v/>
      </c>
      <c r="AI133" s="851">
        <f>IFERROR(IF(C133="",1.1,IF(W133="",1,IF($C133=1,VLOOKUP($B133,'Werkschema - Rekening'!$B$2:$K$46,10,FALSE),IF($C133=2,Instellingen!K$16,IF($C133=3,Instellingen!L$16,IF($C133=4,P133))))+$D133)+$Z133),1.1)</f>
        <v/>
      </c>
      <c r="AJ133" s="852">
        <f>IF($B133="","",IFERROR(VLOOKUP($B133,'Werkschema - Rekening'!$B$2:$P$46,11,FALSE),""))</f>
        <v/>
      </c>
      <c r="AK133" s="851">
        <f>IFERROR(IF(C133="",1.1,IF(X133="",1,IF($C133=1,VLOOKUP($B133,'Werkschema - Rekening'!$B$2:$M$46,12,FALSE),IF($C133=2,Instellingen!M$16,IF($C133=3,Instellingen!N$16,IF($C133=4,Q133))))+$D133)+$Z133),1.1)</f>
        <v/>
      </c>
      <c r="AL133" s="852">
        <f>IF($B133="","",IFERROR(VLOOKUP($B133,'Werkschema - Rekening'!$B$2:$P$46,13,FALSE),""))</f>
        <v/>
      </c>
      <c r="AM133" s="851">
        <f>IFERROR(IF(C133="",1.1,IF(Y133="",1,IF($C133=1,VLOOKUP($B133,'Werkschema - Rekening'!$B$2:$O$46,14,FALSE),IF($C133=2,Instellingen!O$16,IF($C133=3,Instellingen!P$16,IF($C133=4,R133))))+$D133)+$Z133),1.1)</f>
        <v/>
      </c>
      <c r="AN133" s="852">
        <f>IF($B133="","",IFERROR(VLOOKUP($B133,'Werkschema - Rekening'!$B$2:$P$46,15,FALSE),""))</f>
        <v/>
      </c>
      <c r="AO133" s="852">
        <f>A133</f>
        <v/>
      </c>
      <c r="AP133" s="852">
        <f>B133</f>
        <v/>
      </c>
    </row>
    <row r="134" ht="12.6" customHeight="1">
      <c r="A134" s="830">
        <f>'Aanpassen Werkschema'!B164</f>
        <v/>
      </c>
      <c r="B134" s="569">
        <f>'Aanpassen Werkschema'!C164</f>
        <v/>
      </c>
      <c r="C134" s="569">
        <f>IF('Aanpassen Werkschema'!D164="geplande taak",1,IF('Aanpassen Werkschema'!D164="openingstijd",2,IF('Aanpassen Werkschema'!D164="sluitingstijd",3,IF('Aanpassen Werkschema'!D164="vaste tijd",4,""))))</f>
        <v/>
      </c>
      <c r="D134" s="849">
        <f>'Aanpassen Werkschema'!E164</f>
        <v/>
      </c>
      <c r="E134" s="569">
        <f>IF('Aanpassen Werkschema'!F164="v","x","")</f>
        <v/>
      </c>
      <c r="F134" s="569">
        <f>IF('Aanpassen Werkschema'!G164="v","x","")</f>
        <v/>
      </c>
      <c r="G134" s="569">
        <f>IF('Aanpassen Werkschema'!H164="v","x","")</f>
        <v/>
      </c>
      <c r="H134" s="569">
        <f>IF('Aanpassen Werkschema'!I164="v","x","")</f>
        <v/>
      </c>
      <c r="I134" s="569">
        <f>IF('Aanpassen Werkschema'!J164="v","x","")</f>
        <v/>
      </c>
      <c r="J134" s="569">
        <f>IF('Aanpassen Werkschema'!K164="v","x","")</f>
        <v/>
      </c>
      <c r="K134" s="569">
        <f>IF('Aanpassen Werkschema'!L164="v","x","")</f>
        <v/>
      </c>
      <c r="L134" s="571">
        <f>IF('Aanpassen Werkschema'!M164&gt;0,'Aanpassen Werkschema'!M164,"")</f>
        <v/>
      </c>
      <c r="M134" s="571">
        <f>IF('Aanpassen Werkschema'!N164&gt;0,'Aanpassen Werkschema'!N164,"")</f>
        <v/>
      </c>
      <c r="N134" s="571">
        <f>IF('Aanpassen Werkschema'!O164&gt;0,'Aanpassen Werkschema'!O164,"")</f>
        <v/>
      </c>
      <c r="O134" s="571">
        <f>IF('Aanpassen Werkschema'!P164&gt;0,'Aanpassen Werkschema'!P164,"")</f>
        <v/>
      </c>
      <c r="P134" s="571">
        <f>IF('Aanpassen Werkschema'!Q164&gt;0,'Aanpassen Werkschema'!Q164,"")</f>
        <v/>
      </c>
      <c r="Q134" s="571">
        <f>IF('Aanpassen Werkschema'!R164&gt;0,'Aanpassen Werkschema'!R164,"")</f>
        <v/>
      </c>
      <c r="R134" s="571">
        <f>IF('Aanpassen Werkschema'!S164&gt;0,'Aanpassen Werkschema'!S164,"")</f>
        <v/>
      </c>
      <c r="S134" s="569">
        <f>IF('Aanpassen Werkschema'!T164="x","",IF('Aanpassen Werkschema'!N164="v","x",IF(E134="","",IF(E134="x","x"))))</f>
        <v/>
      </c>
      <c r="T134" s="569">
        <f>IF('Aanpassen Werkschema'!U164="x","",IF('Aanpassen Werkschema'!O164="v","x",IF(F134="","",IF(F134="x","x"))))</f>
        <v/>
      </c>
      <c r="U134" s="569">
        <f>IF('Aanpassen Werkschema'!V164="x","",IF('Aanpassen Werkschema'!P164="v","x",IF(G134="","",IF(G134="x","x"))))</f>
        <v/>
      </c>
      <c r="V134" s="569">
        <f>IF('Aanpassen Werkschema'!W164="x","",IF('Aanpassen Werkschema'!Q164="v","x",IF(H134="","",IF(H134="x","x"))))</f>
        <v/>
      </c>
      <c r="W134" s="569">
        <f>IF('Aanpassen Werkschema'!X164="x","",IF('Aanpassen Werkschema'!R164="v","x",IF(I134="","",IF(I134="x","x"))))</f>
        <v/>
      </c>
      <c r="X134" s="569">
        <f>IF('Aanpassen Werkschema'!Y164="x","",IF('Aanpassen Werkschema'!S164="v","x",IF(J134="","",IF(J134="x","x"))))</f>
        <v/>
      </c>
      <c r="Y134" s="569">
        <f>IF('Aanpassen Werkschema'!Z164="x","",IF('Aanpassen Werkschema'!T164="v","x",IF(K134="","",IF(K134="x","x"))))</f>
        <v/>
      </c>
      <c r="Z134" s="850">
        <f>Z133+0.0000000001</f>
        <v/>
      </c>
      <c r="AA134" s="851">
        <f>IFERROR(IF(C134="",1.1,IF(S134="",1,IF($C134=1,VLOOKUP($B134,'Werkschema - Rekening'!$B$2:$C$46,2,FALSE),IF($C134=2,Instellingen!C$16,IF($C134=3,Instellingen!D$16,IF($C134=4,L134))))+$D134)+$Z134),1.1)</f>
        <v/>
      </c>
      <c r="AB134" s="852">
        <f>IF($B134="","",IFERROR(VLOOKUP($B134,'Werkschema - Rekening'!$B$2:$P$46,3,FALSE),""))</f>
        <v/>
      </c>
      <c r="AC134" s="851">
        <f>IFERROR(IF(C134="",1.1,IF(T134="",1,IF($C134=1,VLOOKUP($B134,'Werkschema - Rekening'!$B$2:$E$46,4,FALSE),IF($C134=2,Instellingen!E$16,IF($C134=3,Instellingen!F$16,IF($C134=4,M134))))+$D134)+$Z134),1.1)</f>
        <v/>
      </c>
      <c r="AD134" s="852">
        <f>IF($B134="","",IFERROR(VLOOKUP($B134,'Werkschema - Rekening'!$B$2:$P$46,5,FALSE),""))</f>
        <v/>
      </c>
      <c r="AE134" s="851">
        <f>IFERROR(IF(C134="",1.1,IF(U134="",1,IF($C134=1,VLOOKUP($B134,'Werkschema - Rekening'!$B$2:$G$46,6,FALSE),IF($C134=2,Instellingen!G$16,IF($C134=3,Instellingen!H$16,IF($C134=4,N134))))+$D134)+$Z134),1.1)</f>
        <v/>
      </c>
      <c r="AF134" s="852">
        <f>IF($B134="","",IFERROR(VLOOKUP($B134,'Werkschema - Rekening'!$B$2:$P$46,7,FALSE),""))</f>
        <v/>
      </c>
      <c r="AG134" s="851">
        <f>IFERROR(IF(C134="",1.1,IF(V134="",1,IF($C134=1,VLOOKUP($B134,'Werkschema - Rekening'!$B$2:$I$46,8,FALSE),IF($C134=2,Instellingen!I$16,IF($C134=3,Instellingen!J$16,IF($C134=4,O134))))+$D134)+$Z134),1.1)</f>
        <v/>
      </c>
      <c r="AH134" s="852">
        <f>IF($B134="","",IFERROR(VLOOKUP($B134,'Werkschema - Rekening'!$B$2:$P$46,9,FALSE),""))</f>
        <v/>
      </c>
      <c r="AI134" s="851">
        <f>IFERROR(IF(C134="",1.1,IF(W134="",1,IF($C134=1,VLOOKUP($B134,'Werkschema - Rekening'!$B$2:$K$46,10,FALSE),IF($C134=2,Instellingen!K$16,IF($C134=3,Instellingen!L$16,IF($C134=4,P134))))+$D134)+$Z134),1.1)</f>
        <v/>
      </c>
      <c r="AJ134" s="852">
        <f>IF($B134="","",IFERROR(VLOOKUP($B134,'Werkschema - Rekening'!$B$2:$P$46,11,FALSE),""))</f>
        <v/>
      </c>
      <c r="AK134" s="851">
        <f>IFERROR(IF(C134="",1.1,IF(X134="",1,IF($C134=1,VLOOKUP($B134,'Werkschema - Rekening'!$B$2:$M$46,12,FALSE),IF($C134=2,Instellingen!M$16,IF($C134=3,Instellingen!N$16,IF($C134=4,Q134))))+$D134)+$Z134),1.1)</f>
        <v/>
      </c>
      <c r="AL134" s="852">
        <f>IF($B134="","",IFERROR(VLOOKUP($B134,'Werkschema - Rekening'!$B$2:$P$46,13,FALSE),""))</f>
        <v/>
      </c>
      <c r="AM134" s="851">
        <f>IFERROR(IF(C134="",1.1,IF(Y134="",1,IF($C134=1,VLOOKUP($B134,'Werkschema - Rekening'!$B$2:$O$46,14,FALSE),IF($C134=2,Instellingen!O$16,IF($C134=3,Instellingen!P$16,IF($C134=4,R134))))+$D134)+$Z134),1.1)</f>
        <v/>
      </c>
      <c r="AN134" s="852">
        <f>IF($B134="","",IFERROR(VLOOKUP($B134,'Werkschema - Rekening'!$B$2:$P$46,15,FALSE),""))</f>
        <v/>
      </c>
      <c r="AO134" s="852">
        <f>A134</f>
        <v/>
      </c>
      <c r="AP134" s="852">
        <f>B134</f>
        <v/>
      </c>
    </row>
    <row r="135" ht="12.6" customHeight="1">
      <c r="A135" s="830">
        <f>'Aanpassen Werkschema'!B165</f>
        <v/>
      </c>
      <c r="B135" s="569">
        <f>'Aanpassen Werkschema'!C165</f>
        <v/>
      </c>
      <c r="C135" s="569">
        <f>IF('Aanpassen Werkschema'!D165="geplande taak",1,IF('Aanpassen Werkschema'!D165="openingstijd",2,IF('Aanpassen Werkschema'!D165="sluitingstijd",3,IF('Aanpassen Werkschema'!D165="vaste tijd",4,""))))</f>
        <v/>
      </c>
      <c r="D135" s="849">
        <f>'Aanpassen Werkschema'!E165</f>
        <v/>
      </c>
      <c r="E135" s="569">
        <f>IF('Aanpassen Werkschema'!F165="v","x","")</f>
        <v/>
      </c>
      <c r="F135" s="569">
        <f>IF('Aanpassen Werkschema'!G165="v","x","")</f>
        <v/>
      </c>
      <c r="G135" s="569">
        <f>IF('Aanpassen Werkschema'!H165="v","x","")</f>
        <v/>
      </c>
      <c r="H135" s="569">
        <f>IF('Aanpassen Werkschema'!I165="v","x","")</f>
        <v/>
      </c>
      <c r="I135" s="569">
        <f>IF('Aanpassen Werkschema'!J165="v","x","")</f>
        <v/>
      </c>
      <c r="J135" s="569">
        <f>IF('Aanpassen Werkschema'!K165="v","x","")</f>
        <v/>
      </c>
      <c r="K135" s="569">
        <f>IF('Aanpassen Werkschema'!L165="v","x","")</f>
        <v/>
      </c>
      <c r="L135" s="571">
        <f>IF('Aanpassen Werkschema'!M165&gt;0,'Aanpassen Werkschema'!M165,"")</f>
        <v/>
      </c>
      <c r="M135" s="571">
        <f>IF('Aanpassen Werkschema'!N165&gt;0,'Aanpassen Werkschema'!N165,"")</f>
        <v/>
      </c>
      <c r="N135" s="571">
        <f>IF('Aanpassen Werkschema'!O165&gt;0,'Aanpassen Werkschema'!O165,"")</f>
        <v/>
      </c>
      <c r="O135" s="571">
        <f>IF('Aanpassen Werkschema'!P165&gt;0,'Aanpassen Werkschema'!P165,"")</f>
        <v/>
      </c>
      <c r="P135" s="571">
        <f>IF('Aanpassen Werkschema'!Q165&gt;0,'Aanpassen Werkschema'!Q165,"")</f>
        <v/>
      </c>
      <c r="Q135" s="571">
        <f>IF('Aanpassen Werkschema'!R165&gt;0,'Aanpassen Werkschema'!R165,"")</f>
        <v/>
      </c>
      <c r="R135" s="571">
        <f>IF('Aanpassen Werkschema'!S165&gt;0,'Aanpassen Werkschema'!S165,"")</f>
        <v/>
      </c>
      <c r="S135" s="569">
        <f>IF('Aanpassen Werkschema'!T165="x","",IF('Aanpassen Werkschema'!N165="v","x",IF(E135="","",IF(E135="x","x"))))</f>
        <v/>
      </c>
      <c r="T135" s="569">
        <f>IF('Aanpassen Werkschema'!U165="x","",IF('Aanpassen Werkschema'!O165="v","x",IF(F135="","",IF(F135="x","x"))))</f>
        <v/>
      </c>
      <c r="U135" s="569">
        <f>IF('Aanpassen Werkschema'!V165="x","",IF('Aanpassen Werkschema'!P165="v","x",IF(G135="","",IF(G135="x","x"))))</f>
        <v/>
      </c>
      <c r="V135" s="569">
        <f>IF('Aanpassen Werkschema'!W165="x","",IF('Aanpassen Werkschema'!Q165="v","x",IF(H135="","",IF(H135="x","x"))))</f>
        <v/>
      </c>
      <c r="W135" s="569">
        <f>IF('Aanpassen Werkschema'!X165="x","",IF('Aanpassen Werkschema'!R165="v","x",IF(I135="","",IF(I135="x","x"))))</f>
        <v/>
      </c>
      <c r="X135" s="569">
        <f>IF('Aanpassen Werkschema'!Y165="x","",IF('Aanpassen Werkschema'!S165="v","x",IF(J135="","",IF(J135="x","x"))))</f>
        <v/>
      </c>
      <c r="Y135" s="569">
        <f>IF('Aanpassen Werkschema'!Z165="x","",IF('Aanpassen Werkschema'!T165="v","x",IF(K135="","",IF(K135="x","x"))))</f>
        <v/>
      </c>
      <c r="Z135" s="850">
        <f>Z134+0.0000000001</f>
        <v/>
      </c>
      <c r="AA135" s="851">
        <f>IFERROR(IF(C135="",1.1,IF(S135="",1,IF($C135=1,VLOOKUP($B135,'Werkschema - Rekening'!$B$2:$C$46,2,FALSE),IF($C135=2,Instellingen!C$16,IF($C135=3,Instellingen!D$16,IF($C135=4,L135))))+$D135)+$Z135),1.1)</f>
        <v/>
      </c>
      <c r="AB135" s="852">
        <f>IF($B135="","",IFERROR(VLOOKUP($B135,'Werkschema - Rekening'!$B$2:$P$46,3,FALSE),""))</f>
        <v/>
      </c>
      <c r="AC135" s="851">
        <f>IFERROR(IF(C135="",1.1,IF(T135="",1,IF($C135=1,VLOOKUP($B135,'Werkschema - Rekening'!$B$2:$E$46,4,FALSE),IF($C135=2,Instellingen!E$16,IF($C135=3,Instellingen!F$16,IF($C135=4,M135))))+$D135)+$Z135),1.1)</f>
        <v/>
      </c>
      <c r="AD135" s="852">
        <f>IF($B135="","",IFERROR(VLOOKUP($B135,'Werkschema - Rekening'!$B$2:$P$46,5,FALSE),""))</f>
        <v/>
      </c>
      <c r="AE135" s="851">
        <f>IFERROR(IF(C135="",1.1,IF(U135="",1,IF($C135=1,VLOOKUP($B135,'Werkschema - Rekening'!$B$2:$G$46,6,FALSE),IF($C135=2,Instellingen!G$16,IF($C135=3,Instellingen!H$16,IF($C135=4,N135))))+$D135)+$Z135),1.1)</f>
        <v/>
      </c>
      <c r="AF135" s="852">
        <f>IF($B135="","",IFERROR(VLOOKUP($B135,'Werkschema - Rekening'!$B$2:$P$46,7,FALSE),""))</f>
        <v/>
      </c>
      <c r="AG135" s="851">
        <f>IFERROR(IF(C135="",1.1,IF(V135="",1,IF($C135=1,VLOOKUP($B135,'Werkschema - Rekening'!$B$2:$I$46,8,FALSE),IF($C135=2,Instellingen!I$16,IF($C135=3,Instellingen!J$16,IF($C135=4,O135))))+$D135)+$Z135),1.1)</f>
        <v/>
      </c>
      <c r="AH135" s="852">
        <f>IF($B135="","",IFERROR(VLOOKUP($B135,'Werkschema - Rekening'!$B$2:$P$46,9,FALSE),""))</f>
        <v/>
      </c>
      <c r="AI135" s="851">
        <f>IFERROR(IF(C135="",1.1,IF(W135="",1,IF($C135=1,VLOOKUP($B135,'Werkschema - Rekening'!$B$2:$K$46,10,FALSE),IF($C135=2,Instellingen!K$16,IF($C135=3,Instellingen!L$16,IF($C135=4,P135))))+$D135)+$Z135),1.1)</f>
        <v/>
      </c>
      <c r="AJ135" s="852">
        <f>IF($B135="","",IFERROR(VLOOKUP($B135,'Werkschema - Rekening'!$B$2:$P$46,11,FALSE),""))</f>
        <v/>
      </c>
      <c r="AK135" s="851">
        <f>IFERROR(IF(C135="",1.1,IF(X135="",1,IF($C135=1,VLOOKUP($B135,'Werkschema - Rekening'!$B$2:$M$46,12,FALSE),IF($C135=2,Instellingen!M$16,IF($C135=3,Instellingen!N$16,IF($C135=4,Q135))))+$D135)+$Z135),1.1)</f>
        <v/>
      </c>
      <c r="AL135" s="852">
        <f>IF($B135="","",IFERROR(VLOOKUP($B135,'Werkschema - Rekening'!$B$2:$P$46,13,FALSE),""))</f>
        <v/>
      </c>
      <c r="AM135" s="851">
        <f>IFERROR(IF(C135="",1.1,IF(Y135="",1,IF($C135=1,VLOOKUP($B135,'Werkschema - Rekening'!$B$2:$O$46,14,FALSE),IF($C135=2,Instellingen!O$16,IF($C135=3,Instellingen!P$16,IF($C135=4,R135))))+$D135)+$Z135),1.1)</f>
        <v/>
      </c>
      <c r="AN135" s="852">
        <f>IF($B135="","",IFERROR(VLOOKUP($B135,'Werkschema - Rekening'!$B$2:$P$46,15,FALSE),""))</f>
        <v/>
      </c>
      <c r="AO135" s="852">
        <f>A135</f>
        <v/>
      </c>
      <c r="AP135" s="852">
        <f>B135</f>
        <v/>
      </c>
    </row>
    <row r="136" ht="12.6" customHeight="1">
      <c r="A136" s="830">
        <f>'Aanpassen Werkschema'!B166</f>
        <v/>
      </c>
      <c r="B136" s="569">
        <f>'Aanpassen Werkschema'!C166</f>
        <v/>
      </c>
      <c r="C136" s="569">
        <f>IF('Aanpassen Werkschema'!D166="geplande taak",1,IF('Aanpassen Werkschema'!D166="openingstijd",2,IF('Aanpassen Werkschema'!D166="sluitingstijd",3,IF('Aanpassen Werkschema'!D166="vaste tijd",4,""))))</f>
        <v/>
      </c>
      <c r="D136" s="849">
        <f>'Aanpassen Werkschema'!E166</f>
        <v/>
      </c>
      <c r="E136" s="569">
        <f>IF('Aanpassen Werkschema'!F166="v","x","")</f>
        <v/>
      </c>
      <c r="F136" s="569">
        <f>IF('Aanpassen Werkschema'!G166="v","x","")</f>
        <v/>
      </c>
      <c r="G136" s="569">
        <f>IF('Aanpassen Werkschema'!H166="v","x","")</f>
        <v/>
      </c>
      <c r="H136" s="569">
        <f>IF('Aanpassen Werkschema'!I166="v","x","")</f>
        <v/>
      </c>
      <c r="I136" s="569">
        <f>IF('Aanpassen Werkschema'!J166="v","x","")</f>
        <v/>
      </c>
      <c r="J136" s="569">
        <f>IF('Aanpassen Werkschema'!K166="v","x","")</f>
        <v/>
      </c>
      <c r="K136" s="569">
        <f>IF('Aanpassen Werkschema'!L166="v","x","")</f>
        <v/>
      </c>
      <c r="L136" s="571">
        <f>IF('Aanpassen Werkschema'!M166&gt;0,'Aanpassen Werkschema'!M166,"")</f>
        <v/>
      </c>
      <c r="M136" s="571">
        <f>IF('Aanpassen Werkschema'!N166&gt;0,'Aanpassen Werkschema'!N166,"")</f>
        <v/>
      </c>
      <c r="N136" s="571">
        <f>IF('Aanpassen Werkschema'!O166&gt;0,'Aanpassen Werkschema'!O166,"")</f>
        <v/>
      </c>
      <c r="O136" s="571">
        <f>IF('Aanpassen Werkschema'!P166&gt;0,'Aanpassen Werkschema'!P166,"")</f>
        <v/>
      </c>
      <c r="P136" s="571">
        <f>IF('Aanpassen Werkschema'!Q166&gt;0,'Aanpassen Werkschema'!Q166,"")</f>
        <v/>
      </c>
      <c r="Q136" s="571">
        <f>IF('Aanpassen Werkschema'!R166&gt;0,'Aanpassen Werkschema'!R166,"")</f>
        <v/>
      </c>
      <c r="R136" s="571">
        <f>IF('Aanpassen Werkschema'!S166&gt;0,'Aanpassen Werkschema'!S166,"")</f>
        <v/>
      </c>
      <c r="S136" s="569">
        <f>IF('Aanpassen Werkschema'!T166="x","",IF('Aanpassen Werkschema'!N166="v","x",IF(E136="","",IF(E136="x","x"))))</f>
        <v/>
      </c>
      <c r="T136" s="569">
        <f>IF('Aanpassen Werkschema'!U166="x","",IF('Aanpassen Werkschema'!O166="v","x",IF(F136="","",IF(F136="x","x"))))</f>
        <v/>
      </c>
      <c r="U136" s="569">
        <f>IF('Aanpassen Werkschema'!V166="x","",IF('Aanpassen Werkschema'!P166="v","x",IF(G136="","",IF(G136="x","x"))))</f>
        <v/>
      </c>
      <c r="V136" s="569">
        <f>IF('Aanpassen Werkschema'!W166="x","",IF('Aanpassen Werkschema'!Q166="v","x",IF(H136="","",IF(H136="x","x"))))</f>
        <v/>
      </c>
      <c r="W136" s="569">
        <f>IF('Aanpassen Werkschema'!X166="x","",IF('Aanpassen Werkschema'!R166="v","x",IF(I136="","",IF(I136="x","x"))))</f>
        <v/>
      </c>
      <c r="X136" s="569">
        <f>IF('Aanpassen Werkschema'!Y166="x","",IF('Aanpassen Werkschema'!S166="v","x",IF(J136="","",IF(J136="x","x"))))</f>
        <v/>
      </c>
      <c r="Y136" s="569">
        <f>IF('Aanpassen Werkschema'!Z166="x","",IF('Aanpassen Werkschema'!T166="v","x",IF(K136="","",IF(K136="x","x"))))</f>
        <v/>
      </c>
      <c r="Z136" s="850">
        <f>Z135+0.0000000001</f>
        <v/>
      </c>
      <c r="AA136" s="851">
        <f>IFERROR(IF(C136="",1.1,IF(S136="",1,IF($C136=1,VLOOKUP($B136,'Werkschema - Rekening'!$B$2:$C$46,2,FALSE),IF($C136=2,Instellingen!C$16,IF($C136=3,Instellingen!D$16,IF($C136=4,L136))))+$D136)+$Z136),1.1)</f>
        <v/>
      </c>
      <c r="AB136" s="852">
        <f>IF($B136="","",IFERROR(VLOOKUP($B136,'Werkschema - Rekening'!$B$2:$P$46,3,FALSE),""))</f>
        <v/>
      </c>
      <c r="AC136" s="851">
        <f>IFERROR(IF(C136="",1.1,IF(T136="",1,IF($C136=1,VLOOKUP($B136,'Werkschema - Rekening'!$B$2:$E$46,4,FALSE),IF($C136=2,Instellingen!E$16,IF($C136=3,Instellingen!F$16,IF($C136=4,M136))))+$D136)+$Z136),1.1)</f>
        <v/>
      </c>
      <c r="AD136" s="852">
        <f>IF($B136="","",IFERROR(VLOOKUP($B136,'Werkschema - Rekening'!$B$2:$P$46,5,FALSE),""))</f>
        <v/>
      </c>
      <c r="AE136" s="851">
        <f>IFERROR(IF(C136="",1.1,IF(U136="",1,IF($C136=1,VLOOKUP($B136,'Werkschema - Rekening'!$B$2:$G$46,6,FALSE),IF($C136=2,Instellingen!G$16,IF($C136=3,Instellingen!H$16,IF($C136=4,N136))))+$D136)+$Z136),1.1)</f>
        <v/>
      </c>
      <c r="AF136" s="852">
        <f>IF($B136="","",IFERROR(VLOOKUP($B136,'Werkschema - Rekening'!$B$2:$P$46,7,FALSE),""))</f>
        <v/>
      </c>
      <c r="AG136" s="851">
        <f>IFERROR(IF(C136="",1.1,IF(V136="",1,IF($C136=1,VLOOKUP($B136,'Werkschema - Rekening'!$B$2:$I$46,8,FALSE),IF($C136=2,Instellingen!I$16,IF($C136=3,Instellingen!J$16,IF($C136=4,O136))))+$D136)+$Z136),1.1)</f>
        <v/>
      </c>
      <c r="AH136" s="852">
        <f>IF($B136="","",IFERROR(VLOOKUP($B136,'Werkschema - Rekening'!$B$2:$P$46,9,FALSE),""))</f>
        <v/>
      </c>
      <c r="AI136" s="851">
        <f>IFERROR(IF(C136="",1.1,IF(W136="",1,IF($C136=1,VLOOKUP($B136,'Werkschema - Rekening'!$B$2:$K$46,10,FALSE),IF($C136=2,Instellingen!K$16,IF($C136=3,Instellingen!L$16,IF($C136=4,P136))))+$D136)+$Z136),1.1)</f>
        <v/>
      </c>
      <c r="AJ136" s="852">
        <f>IF($B136="","",IFERROR(VLOOKUP($B136,'Werkschema - Rekening'!$B$2:$P$46,11,FALSE),""))</f>
        <v/>
      </c>
      <c r="AK136" s="851">
        <f>IFERROR(IF(C136="",1.1,IF(X136="",1,IF($C136=1,VLOOKUP($B136,'Werkschema - Rekening'!$B$2:$M$46,12,FALSE),IF($C136=2,Instellingen!M$16,IF($C136=3,Instellingen!N$16,IF($C136=4,Q136))))+$D136)+$Z136),1.1)</f>
        <v/>
      </c>
      <c r="AL136" s="852">
        <f>IF($B136="","",IFERROR(VLOOKUP($B136,'Werkschema - Rekening'!$B$2:$P$46,13,FALSE),""))</f>
        <v/>
      </c>
      <c r="AM136" s="851">
        <f>IFERROR(IF(C136="",1.1,IF(Y136="",1,IF($C136=1,VLOOKUP($B136,'Werkschema - Rekening'!$B$2:$O$46,14,FALSE),IF($C136=2,Instellingen!O$16,IF($C136=3,Instellingen!P$16,IF($C136=4,R136))))+$D136)+$Z136),1.1)</f>
        <v/>
      </c>
      <c r="AN136" s="852">
        <f>IF($B136="","",IFERROR(VLOOKUP($B136,'Werkschema - Rekening'!$B$2:$P$46,15,FALSE),""))</f>
        <v/>
      </c>
      <c r="AO136" s="852">
        <f>A136</f>
        <v/>
      </c>
      <c r="AP136" s="852">
        <f>B136</f>
        <v/>
      </c>
    </row>
    <row r="137" ht="12.6" customHeight="1">
      <c r="A137" s="830">
        <f>'Aanpassen Werkschema'!B167</f>
        <v/>
      </c>
      <c r="B137" s="569">
        <f>'Aanpassen Werkschema'!C167</f>
        <v/>
      </c>
      <c r="C137" s="569">
        <f>IF('Aanpassen Werkschema'!D167="geplande taak",1,IF('Aanpassen Werkschema'!D167="openingstijd",2,IF('Aanpassen Werkschema'!D167="sluitingstijd",3,IF('Aanpassen Werkschema'!D167="vaste tijd",4,""))))</f>
        <v/>
      </c>
      <c r="D137" s="849">
        <f>'Aanpassen Werkschema'!E167</f>
        <v/>
      </c>
      <c r="E137" s="569">
        <f>IF('Aanpassen Werkschema'!F167="v","x","")</f>
        <v/>
      </c>
      <c r="F137" s="569">
        <f>IF('Aanpassen Werkschema'!G167="v","x","")</f>
        <v/>
      </c>
      <c r="G137" s="569">
        <f>IF('Aanpassen Werkschema'!H167="v","x","")</f>
        <v/>
      </c>
      <c r="H137" s="569">
        <f>IF('Aanpassen Werkschema'!I167="v","x","")</f>
        <v/>
      </c>
      <c r="I137" s="569">
        <f>IF('Aanpassen Werkschema'!J167="v","x","")</f>
        <v/>
      </c>
      <c r="J137" s="569">
        <f>IF('Aanpassen Werkschema'!K167="v","x","")</f>
        <v/>
      </c>
      <c r="K137" s="569">
        <f>IF('Aanpassen Werkschema'!L167="v","x","")</f>
        <v/>
      </c>
      <c r="L137" s="571">
        <f>IF('Aanpassen Werkschema'!M167&gt;0,'Aanpassen Werkschema'!M167,"")</f>
        <v/>
      </c>
      <c r="M137" s="571">
        <f>IF('Aanpassen Werkschema'!N167&gt;0,'Aanpassen Werkschema'!N167,"")</f>
        <v/>
      </c>
      <c r="N137" s="571">
        <f>IF('Aanpassen Werkschema'!O167&gt;0,'Aanpassen Werkschema'!O167,"")</f>
        <v/>
      </c>
      <c r="O137" s="571">
        <f>IF('Aanpassen Werkschema'!P167&gt;0,'Aanpassen Werkschema'!P167,"")</f>
        <v/>
      </c>
      <c r="P137" s="571">
        <f>IF('Aanpassen Werkschema'!Q167&gt;0,'Aanpassen Werkschema'!Q167,"")</f>
        <v/>
      </c>
      <c r="Q137" s="571">
        <f>IF('Aanpassen Werkschema'!R167&gt;0,'Aanpassen Werkschema'!R167,"")</f>
        <v/>
      </c>
      <c r="R137" s="571">
        <f>IF('Aanpassen Werkschema'!S167&gt;0,'Aanpassen Werkschema'!S167,"")</f>
        <v/>
      </c>
      <c r="S137" s="569">
        <f>IF('Aanpassen Werkschema'!T167="x","",IF('Aanpassen Werkschema'!N167="v","x",IF(E137="","",IF(E137="x","x"))))</f>
        <v/>
      </c>
      <c r="T137" s="569">
        <f>IF('Aanpassen Werkschema'!U167="x","",IF('Aanpassen Werkschema'!O167="v","x",IF(F137="","",IF(F137="x","x"))))</f>
        <v/>
      </c>
      <c r="U137" s="569">
        <f>IF('Aanpassen Werkschema'!V167="x","",IF('Aanpassen Werkschema'!P167="v","x",IF(G137="","",IF(G137="x","x"))))</f>
        <v/>
      </c>
      <c r="V137" s="569">
        <f>IF('Aanpassen Werkschema'!W167="x","",IF('Aanpassen Werkschema'!Q167="v","x",IF(H137="","",IF(H137="x","x"))))</f>
        <v/>
      </c>
      <c r="W137" s="569">
        <f>IF('Aanpassen Werkschema'!X167="x","",IF('Aanpassen Werkschema'!R167="v","x",IF(I137="","",IF(I137="x","x"))))</f>
        <v/>
      </c>
      <c r="X137" s="569">
        <f>IF('Aanpassen Werkschema'!Y167="x","",IF('Aanpassen Werkschema'!S167="v","x",IF(J137="","",IF(J137="x","x"))))</f>
        <v/>
      </c>
      <c r="Y137" s="569">
        <f>IF('Aanpassen Werkschema'!Z167="x","",IF('Aanpassen Werkschema'!T167="v","x",IF(K137="","",IF(K137="x","x"))))</f>
        <v/>
      </c>
      <c r="Z137" s="850">
        <f>Z136+0.0000000001</f>
        <v/>
      </c>
      <c r="AA137" s="851">
        <f>IFERROR(IF(C137="",1.1,IF(S137="",1,IF($C137=1,VLOOKUP($B137,'Werkschema - Rekening'!$B$2:$C$46,2,FALSE),IF($C137=2,Instellingen!C$16,IF($C137=3,Instellingen!D$16,IF($C137=4,L137))))+$D137)+$Z137),1.1)</f>
        <v/>
      </c>
      <c r="AB137" s="852">
        <f>IF($B137="","",IFERROR(VLOOKUP($B137,'Werkschema - Rekening'!$B$2:$P$46,3,FALSE),""))</f>
        <v/>
      </c>
      <c r="AC137" s="851">
        <f>IFERROR(IF(C137="",1.1,IF(T137="",1,IF($C137=1,VLOOKUP($B137,'Werkschema - Rekening'!$B$2:$E$46,4,FALSE),IF($C137=2,Instellingen!E$16,IF($C137=3,Instellingen!F$16,IF($C137=4,M137))))+$D137)+$Z137),1.1)</f>
        <v/>
      </c>
      <c r="AD137" s="852">
        <f>IF($B137="","",IFERROR(VLOOKUP($B137,'Werkschema - Rekening'!$B$2:$P$46,5,FALSE),""))</f>
        <v/>
      </c>
      <c r="AE137" s="851">
        <f>IFERROR(IF(C137="",1.1,IF(U137="",1,IF($C137=1,VLOOKUP($B137,'Werkschema - Rekening'!$B$2:$G$46,6,FALSE),IF($C137=2,Instellingen!G$16,IF($C137=3,Instellingen!H$16,IF($C137=4,N137))))+$D137)+$Z137),1.1)</f>
        <v/>
      </c>
      <c r="AF137" s="852">
        <f>IF($B137="","",IFERROR(VLOOKUP($B137,'Werkschema - Rekening'!$B$2:$P$46,7,FALSE),""))</f>
        <v/>
      </c>
      <c r="AG137" s="851">
        <f>IFERROR(IF(C137="",1.1,IF(V137="",1,IF($C137=1,VLOOKUP($B137,'Werkschema - Rekening'!$B$2:$I$46,8,FALSE),IF($C137=2,Instellingen!I$16,IF($C137=3,Instellingen!J$16,IF($C137=4,O137))))+$D137)+$Z137),1.1)</f>
        <v/>
      </c>
      <c r="AH137" s="852">
        <f>IF($B137="","",IFERROR(VLOOKUP($B137,'Werkschema - Rekening'!$B$2:$P$46,9,FALSE),""))</f>
        <v/>
      </c>
      <c r="AI137" s="851">
        <f>IFERROR(IF(C137="",1.1,IF(W137="",1,IF($C137=1,VLOOKUP($B137,'Werkschema - Rekening'!$B$2:$K$46,10,FALSE),IF($C137=2,Instellingen!K$16,IF($C137=3,Instellingen!L$16,IF($C137=4,P137))))+$D137)+$Z137),1.1)</f>
        <v/>
      </c>
      <c r="AJ137" s="852">
        <f>IF($B137="","",IFERROR(VLOOKUP($B137,'Werkschema - Rekening'!$B$2:$P$46,11,FALSE),""))</f>
        <v/>
      </c>
      <c r="AK137" s="851">
        <f>IFERROR(IF(C137="",1.1,IF(X137="",1,IF($C137=1,VLOOKUP($B137,'Werkschema - Rekening'!$B$2:$M$46,12,FALSE),IF($C137=2,Instellingen!M$16,IF($C137=3,Instellingen!N$16,IF($C137=4,Q137))))+$D137)+$Z137),1.1)</f>
        <v/>
      </c>
      <c r="AL137" s="852">
        <f>IF($B137="","",IFERROR(VLOOKUP($B137,'Werkschema - Rekening'!$B$2:$P$46,13,FALSE),""))</f>
        <v/>
      </c>
      <c r="AM137" s="851">
        <f>IFERROR(IF(C137="",1.1,IF(Y137="",1,IF($C137=1,VLOOKUP($B137,'Werkschema - Rekening'!$B$2:$O$46,14,FALSE),IF($C137=2,Instellingen!O$16,IF($C137=3,Instellingen!P$16,IF($C137=4,R137))))+$D137)+$Z137),1.1)</f>
        <v/>
      </c>
      <c r="AN137" s="852">
        <f>IF($B137="","",IFERROR(VLOOKUP($B137,'Werkschema - Rekening'!$B$2:$P$46,15,FALSE),""))</f>
        <v/>
      </c>
      <c r="AO137" s="852">
        <f>A137</f>
        <v/>
      </c>
      <c r="AP137" s="852">
        <f>B137</f>
        <v/>
      </c>
    </row>
    <row r="138" ht="12.6" customHeight="1">
      <c r="A138" s="830">
        <f>'Aanpassen Werkschema'!B168</f>
        <v/>
      </c>
      <c r="B138" s="569">
        <f>'Aanpassen Werkschema'!C168</f>
        <v/>
      </c>
      <c r="C138" s="569">
        <f>IF('Aanpassen Werkschema'!D168="geplande taak",1,IF('Aanpassen Werkschema'!D168="openingstijd",2,IF('Aanpassen Werkschema'!D168="sluitingstijd",3,IF('Aanpassen Werkschema'!D168="vaste tijd",4,""))))</f>
        <v/>
      </c>
      <c r="D138" s="849">
        <f>'Aanpassen Werkschema'!E168</f>
        <v/>
      </c>
      <c r="E138" s="569">
        <f>IF('Aanpassen Werkschema'!F168="v","x","")</f>
        <v/>
      </c>
      <c r="F138" s="569">
        <f>IF('Aanpassen Werkschema'!G168="v","x","")</f>
        <v/>
      </c>
      <c r="G138" s="569">
        <f>IF('Aanpassen Werkschema'!H168="v","x","")</f>
        <v/>
      </c>
      <c r="H138" s="569">
        <f>IF('Aanpassen Werkschema'!I168="v","x","")</f>
        <v/>
      </c>
      <c r="I138" s="569">
        <f>IF('Aanpassen Werkschema'!J168="v","x","")</f>
        <v/>
      </c>
      <c r="J138" s="569">
        <f>IF('Aanpassen Werkschema'!K168="v","x","")</f>
        <v/>
      </c>
      <c r="K138" s="569">
        <f>IF('Aanpassen Werkschema'!L168="v","x","")</f>
        <v/>
      </c>
      <c r="L138" s="571">
        <f>IF('Aanpassen Werkschema'!M168&gt;0,'Aanpassen Werkschema'!M168,"")</f>
        <v/>
      </c>
      <c r="M138" s="571">
        <f>IF('Aanpassen Werkschema'!N168&gt;0,'Aanpassen Werkschema'!N168,"")</f>
        <v/>
      </c>
      <c r="N138" s="571">
        <f>IF('Aanpassen Werkschema'!O168&gt;0,'Aanpassen Werkschema'!O168,"")</f>
        <v/>
      </c>
      <c r="O138" s="571">
        <f>IF('Aanpassen Werkschema'!P168&gt;0,'Aanpassen Werkschema'!P168,"")</f>
        <v/>
      </c>
      <c r="P138" s="571">
        <f>IF('Aanpassen Werkschema'!Q168&gt;0,'Aanpassen Werkschema'!Q168,"")</f>
        <v/>
      </c>
      <c r="Q138" s="571">
        <f>IF('Aanpassen Werkschema'!R168&gt;0,'Aanpassen Werkschema'!R168,"")</f>
        <v/>
      </c>
      <c r="R138" s="571">
        <f>IF('Aanpassen Werkschema'!S168&gt;0,'Aanpassen Werkschema'!S168,"")</f>
        <v/>
      </c>
      <c r="S138" s="569">
        <f>IF('Aanpassen Werkschema'!T168="x","",IF('Aanpassen Werkschema'!N168="v","x",IF(E138="","",IF(E138="x","x"))))</f>
        <v/>
      </c>
      <c r="T138" s="569">
        <f>IF('Aanpassen Werkschema'!U168="x","",IF('Aanpassen Werkschema'!O168="v","x",IF(F138="","",IF(F138="x","x"))))</f>
        <v/>
      </c>
      <c r="U138" s="569">
        <f>IF('Aanpassen Werkschema'!V168="x","",IF('Aanpassen Werkschema'!P168="v","x",IF(G138="","",IF(G138="x","x"))))</f>
        <v/>
      </c>
      <c r="V138" s="569">
        <f>IF('Aanpassen Werkschema'!W168="x","",IF('Aanpassen Werkschema'!Q168="v","x",IF(H138="","",IF(H138="x","x"))))</f>
        <v/>
      </c>
      <c r="W138" s="569">
        <f>IF('Aanpassen Werkschema'!X168="x","",IF('Aanpassen Werkschema'!R168="v","x",IF(I138="","",IF(I138="x","x"))))</f>
        <v/>
      </c>
      <c r="X138" s="569">
        <f>IF('Aanpassen Werkschema'!Y168="x","",IF('Aanpassen Werkschema'!S168="v","x",IF(J138="","",IF(J138="x","x"))))</f>
        <v/>
      </c>
      <c r="Y138" s="569">
        <f>IF('Aanpassen Werkschema'!Z168="x","",IF('Aanpassen Werkschema'!T168="v","x",IF(K138="","",IF(K138="x","x"))))</f>
        <v/>
      </c>
      <c r="Z138" s="850">
        <f>Z137+0.0000000001</f>
        <v/>
      </c>
      <c r="AA138" s="851">
        <f>IFERROR(IF(C138="",1.1,IF(S138="",1,IF($C138=1,VLOOKUP($B138,'Werkschema - Rekening'!$B$2:$C$46,2,FALSE),IF($C138=2,Instellingen!C$16,IF($C138=3,Instellingen!D$16,IF($C138=4,L138))))+$D138)+$Z138),1.1)</f>
        <v/>
      </c>
      <c r="AB138" s="852">
        <f>IF($B138="","",IFERROR(VLOOKUP($B138,'Werkschema - Rekening'!$B$2:$P$46,3,FALSE),""))</f>
        <v/>
      </c>
      <c r="AC138" s="851">
        <f>IFERROR(IF(C138="",1.1,IF(T138="",1,IF($C138=1,VLOOKUP($B138,'Werkschema - Rekening'!$B$2:$E$46,4,FALSE),IF($C138=2,Instellingen!E$16,IF($C138=3,Instellingen!F$16,IF($C138=4,M138))))+$D138)+$Z138),1.1)</f>
        <v/>
      </c>
      <c r="AD138" s="852">
        <f>IF($B138="","",IFERROR(VLOOKUP($B138,'Werkschema - Rekening'!$B$2:$P$46,5,FALSE),""))</f>
        <v/>
      </c>
      <c r="AE138" s="851">
        <f>IFERROR(IF(C138="",1.1,IF(U138="",1,IF($C138=1,VLOOKUP($B138,'Werkschema - Rekening'!$B$2:$G$46,6,FALSE),IF($C138=2,Instellingen!G$16,IF($C138=3,Instellingen!H$16,IF($C138=4,N138))))+$D138)+$Z138),1.1)</f>
        <v/>
      </c>
      <c r="AF138" s="852">
        <f>IF($B138="","",IFERROR(VLOOKUP($B138,'Werkschema - Rekening'!$B$2:$P$46,7,FALSE),""))</f>
        <v/>
      </c>
      <c r="AG138" s="851">
        <f>IFERROR(IF(C138="",1.1,IF(V138="",1,IF($C138=1,VLOOKUP($B138,'Werkschema - Rekening'!$B$2:$I$46,8,FALSE),IF($C138=2,Instellingen!I$16,IF($C138=3,Instellingen!J$16,IF($C138=4,O138))))+$D138)+$Z138),1.1)</f>
        <v/>
      </c>
      <c r="AH138" s="852">
        <f>IF($B138="","",IFERROR(VLOOKUP($B138,'Werkschema - Rekening'!$B$2:$P$46,9,FALSE),""))</f>
        <v/>
      </c>
      <c r="AI138" s="851">
        <f>IFERROR(IF(C138="",1.1,IF(W138="",1,IF($C138=1,VLOOKUP($B138,'Werkschema - Rekening'!$B$2:$K$46,10,FALSE),IF($C138=2,Instellingen!K$16,IF($C138=3,Instellingen!L$16,IF($C138=4,P138))))+$D138)+$Z138),1.1)</f>
        <v/>
      </c>
      <c r="AJ138" s="852">
        <f>IF($B138="","",IFERROR(VLOOKUP($B138,'Werkschema - Rekening'!$B$2:$P$46,11,FALSE),""))</f>
        <v/>
      </c>
      <c r="AK138" s="851">
        <f>IFERROR(IF(C138="",1.1,IF(X138="",1,IF($C138=1,VLOOKUP($B138,'Werkschema - Rekening'!$B$2:$M$46,12,FALSE),IF($C138=2,Instellingen!M$16,IF($C138=3,Instellingen!N$16,IF($C138=4,Q138))))+$D138)+$Z138),1.1)</f>
        <v/>
      </c>
      <c r="AL138" s="852">
        <f>IF($B138="","",IFERROR(VLOOKUP($B138,'Werkschema - Rekening'!$B$2:$P$46,13,FALSE),""))</f>
        <v/>
      </c>
      <c r="AM138" s="851">
        <f>IFERROR(IF(C138="",1.1,IF(Y138="",1,IF($C138=1,VLOOKUP($B138,'Werkschema - Rekening'!$B$2:$O$46,14,FALSE),IF($C138=2,Instellingen!O$16,IF($C138=3,Instellingen!P$16,IF($C138=4,R138))))+$D138)+$Z138),1.1)</f>
        <v/>
      </c>
      <c r="AN138" s="852">
        <f>IF($B138="","",IFERROR(VLOOKUP($B138,'Werkschema - Rekening'!$B$2:$P$46,15,FALSE),""))</f>
        <v/>
      </c>
      <c r="AO138" s="852">
        <f>A138</f>
        <v/>
      </c>
      <c r="AP138" s="852">
        <f>B138</f>
        <v/>
      </c>
    </row>
    <row r="139" ht="12.6" customHeight="1">
      <c r="A139" s="830">
        <f>'Aanpassen Werkschema'!B169</f>
        <v/>
      </c>
      <c r="B139" s="569">
        <f>'Aanpassen Werkschema'!C169</f>
        <v/>
      </c>
      <c r="C139" s="569">
        <f>IF('Aanpassen Werkschema'!D169="geplande taak",1,IF('Aanpassen Werkschema'!D169="openingstijd",2,IF('Aanpassen Werkschema'!D169="sluitingstijd",3,IF('Aanpassen Werkschema'!D169="vaste tijd",4,""))))</f>
        <v/>
      </c>
      <c r="D139" s="849">
        <f>'Aanpassen Werkschema'!E169</f>
        <v/>
      </c>
      <c r="E139" s="569">
        <f>IF('Aanpassen Werkschema'!F169="v","x","")</f>
        <v/>
      </c>
      <c r="F139" s="569">
        <f>IF('Aanpassen Werkschema'!G169="v","x","")</f>
        <v/>
      </c>
      <c r="G139" s="569">
        <f>IF('Aanpassen Werkschema'!H169="v","x","")</f>
        <v/>
      </c>
      <c r="H139" s="569">
        <f>IF('Aanpassen Werkschema'!I169="v","x","")</f>
        <v/>
      </c>
      <c r="I139" s="569">
        <f>IF('Aanpassen Werkschema'!J169="v","x","")</f>
        <v/>
      </c>
      <c r="J139" s="569">
        <f>IF('Aanpassen Werkschema'!K169="v","x","")</f>
        <v/>
      </c>
      <c r="K139" s="569">
        <f>IF('Aanpassen Werkschema'!L169="v","x","")</f>
        <v/>
      </c>
      <c r="L139" s="571">
        <f>IF('Aanpassen Werkschema'!M169&gt;0,'Aanpassen Werkschema'!M169,"")</f>
        <v/>
      </c>
      <c r="M139" s="571">
        <f>IF('Aanpassen Werkschema'!N169&gt;0,'Aanpassen Werkschema'!N169,"")</f>
        <v/>
      </c>
      <c r="N139" s="571">
        <f>IF('Aanpassen Werkschema'!O169&gt;0,'Aanpassen Werkschema'!O169,"")</f>
        <v/>
      </c>
      <c r="O139" s="571">
        <f>IF('Aanpassen Werkschema'!P169&gt;0,'Aanpassen Werkschema'!P169,"")</f>
        <v/>
      </c>
      <c r="P139" s="571">
        <f>IF('Aanpassen Werkschema'!Q169&gt;0,'Aanpassen Werkschema'!Q169,"")</f>
        <v/>
      </c>
      <c r="Q139" s="571">
        <f>IF('Aanpassen Werkschema'!R169&gt;0,'Aanpassen Werkschema'!R169,"")</f>
        <v/>
      </c>
      <c r="R139" s="571">
        <f>IF('Aanpassen Werkschema'!S169&gt;0,'Aanpassen Werkschema'!S169,"")</f>
        <v/>
      </c>
      <c r="S139" s="569">
        <f>IF('Aanpassen Werkschema'!T169="x","",IF('Aanpassen Werkschema'!N169="v","x",IF(E139="","",IF(E139="x","x"))))</f>
        <v/>
      </c>
      <c r="T139" s="569">
        <f>IF('Aanpassen Werkschema'!U169="x","",IF('Aanpassen Werkschema'!O169="v","x",IF(F139="","",IF(F139="x","x"))))</f>
        <v/>
      </c>
      <c r="U139" s="569">
        <f>IF('Aanpassen Werkschema'!V169="x","",IF('Aanpassen Werkschema'!P169="v","x",IF(G139="","",IF(G139="x","x"))))</f>
        <v/>
      </c>
      <c r="V139" s="569">
        <f>IF('Aanpassen Werkschema'!W169="x","",IF('Aanpassen Werkschema'!Q169="v","x",IF(H139="","",IF(H139="x","x"))))</f>
        <v/>
      </c>
      <c r="W139" s="569">
        <f>IF('Aanpassen Werkschema'!X169="x","",IF('Aanpassen Werkschema'!R169="v","x",IF(I139="","",IF(I139="x","x"))))</f>
        <v/>
      </c>
      <c r="X139" s="569">
        <f>IF('Aanpassen Werkschema'!Y169="x","",IF('Aanpassen Werkschema'!S169="v","x",IF(J139="","",IF(J139="x","x"))))</f>
        <v/>
      </c>
      <c r="Y139" s="569">
        <f>IF('Aanpassen Werkschema'!Z169="x","",IF('Aanpassen Werkschema'!T169="v","x",IF(K139="","",IF(K139="x","x"))))</f>
        <v/>
      </c>
      <c r="Z139" s="850">
        <f>Z138+0.0000000001</f>
        <v/>
      </c>
      <c r="AA139" s="851">
        <f>IFERROR(IF(C139="",1.1,IF(S139="",1,IF($C139=1,VLOOKUP($B139,'Werkschema - Rekening'!$B$2:$C$46,2,FALSE),IF($C139=2,Instellingen!C$16,IF($C139=3,Instellingen!D$16,IF($C139=4,L139))))+$D139)+$Z139),1.1)</f>
        <v/>
      </c>
      <c r="AB139" s="852">
        <f>IF($B139="","",IFERROR(VLOOKUP($B139,'Werkschema - Rekening'!$B$2:$P$46,3,FALSE),""))</f>
        <v/>
      </c>
      <c r="AC139" s="851">
        <f>IFERROR(IF(C139="",1.1,IF(T139="",1,IF($C139=1,VLOOKUP($B139,'Werkschema - Rekening'!$B$2:$E$46,4,FALSE),IF($C139=2,Instellingen!E$16,IF($C139=3,Instellingen!F$16,IF($C139=4,M139))))+$D139)+$Z139),1.1)</f>
        <v/>
      </c>
      <c r="AD139" s="852">
        <f>IF($B139="","",IFERROR(VLOOKUP($B139,'Werkschema - Rekening'!$B$2:$P$46,5,FALSE),""))</f>
        <v/>
      </c>
      <c r="AE139" s="851">
        <f>IFERROR(IF(C139="",1.1,IF(U139="",1,IF($C139=1,VLOOKUP($B139,'Werkschema - Rekening'!$B$2:$G$46,6,FALSE),IF($C139=2,Instellingen!G$16,IF($C139=3,Instellingen!H$16,IF($C139=4,N139))))+$D139)+$Z139),1.1)</f>
        <v/>
      </c>
      <c r="AF139" s="852">
        <f>IF($B139="","",IFERROR(VLOOKUP($B139,'Werkschema - Rekening'!$B$2:$P$46,7,FALSE),""))</f>
        <v/>
      </c>
      <c r="AG139" s="851">
        <f>IFERROR(IF(C139="",1.1,IF(V139="",1,IF($C139=1,VLOOKUP($B139,'Werkschema - Rekening'!$B$2:$I$46,8,FALSE),IF($C139=2,Instellingen!I$16,IF($C139=3,Instellingen!J$16,IF($C139=4,O139))))+$D139)+$Z139),1.1)</f>
        <v/>
      </c>
      <c r="AH139" s="852">
        <f>IF($B139="","",IFERROR(VLOOKUP($B139,'Werkschema - Rekening'!$B$2:$P$46,9,FALSE),""))</f>
        <v/>
      </c>
      <c r="AI139" s="851">
        <f>IFERROR(IF(C139="",1.1,IF(W139="",1,IF($C139=1,VLOOKUP($B139,'Werkschema - Rekening'!$B$2:$K$46,10,FALSE),IF($C139=2,Instellingen!K$16,IF($C139=3,Instellingen!L$16,IF($C139=4,P139))))+$D139)+$Z139),1.1)</f>
        <v/>
      </c>
      <c r="AJ139" s="852">
        <f>IF($B139="","",IFERROR(VLOOKUP($B139,'Werkschema - Rekening'!$B$2:$P$46,11,FALSE),""))</f>
        <v/>
      </c>
      <c r="AK139" s="851">
        <f>IFERROR(IF(C139="",1.1,IF(X139="",1,IF($C139=1,VLOOKUP($B139,'Werkschema - Rekening'!$B$2:$M$46,12,FALSE),IF($C139=2,Instellingen!M$16,IF($C139=3,Instellingen!N$16,IF($C139=4,Q139))))+$D139)+$Z139),1.1)</f>
        <v/>
      </c>
      <c r="AL139" s="852">
        <f>IF($B139="","",IFERROR(VLOOKUP($B139,'Werkschema - Rekening'!$B$2:$P$46,13,FALSE),""))</f>
        <v/>
      </c>
      <c r="AM139" s="851">
        <f>IFERROR(IF(C139="",1.1,IF(Y139="",1,IF($C139=1,VLOOKUP($B139,'Werkschema - Rekening'!$B$2:$O$46,14,FALSE),IF($C139=2,Instellingen!O$16,IF($C139=3,Instellingen!P$16,IF($C139=4,R139))))+$D139)+$Z139),1.1)</f>
        <v/>
      </c>
      <c r="AN139" s="852">
        <f>IF($B139="","",IFERROR(VLOOKUP($B139,'Werkschema - Rekening'!$B$2:$P$46,15,FALSE),""))</f>
        <v/>
      </c>
      <c r="AO139" s="852">
        <f>A139</f>
        <v/>
      </c>
      <c r="AP139" s="852">
        <f>B139</f>
        <v/>
      </c>
    </row>
    <row r="140" ht="12.6" customHeight="1">
      <c r="A140" s="830">
        <f>'Aanpassen Werkschema'!B170</f>
        <v/>
      </c>
      <c r="B140" s="569">
        <f>'Aanpassen Werkschema'!C170</f>
        <v/>
      </c>
      <c r="C140" s="569">
        <f>IF('Aanpassen Werkschema'!D170="geplande taak",1,IF('Aanpassen Werkschema'!D170="openingstijd",2,IF('Aanpassen Werkschema'!D170="sluitingstijd",3,IF('Aanpassen Werkschema'!D170="vaste tijd",4,""))))</f>
        <v/>
      </c>
      <c r="D140" s="849">
        <f>'Aanpassen Werkschema'!E170</f>
        <v/>
      </c>
      <c r="E140" s="569">
        <f>IF('Aanpassen Werkschema'!F170="v","x","")</f>
        <v/>
      </c>
      <c r="F140" s="569">
        <f>IF('Aanpassen Werkschema'!G170="v","x","")</f>
        <v/>
      </c>
      <c r="G140" s="569">
        <f>IF('Aanpassen Werkschema'!H170="v","x","")</f>
        <v/>
      </c>
      <c r="H140" s="569">
        <f>IF('Aanpassen Werkschema'!I170="v","x","")</f>
        <v/>
      </c>
      <c r="I140" s="569">
        <f>IF('Aanpassen Werkschema'!J170="v","x","")</f>
        <v/>
      </c>
      <c r="J140" s="569">
        <f>IF('Aanpassen Werkschema'!K170="v","x","")</f>
        <v/>
      </c>
      <c r="K140" s="569">
        <f>IF('Aanpassen Werkschema'!L170="v","x","")</f>
        <v/>
      </c>
      <c r="L140" s="571">
        <f>IF('Aanpassen Werkschema'!M170&gt;0,'Aanpassen Werkschema'!M170,"")</f>
        <v/>
      </c>
      <c r="M140" s="571">
        <f>IF('Aanpassen Werkschema'!N170&gt;0,'Aanpassen Werkschema'!N170,"")</f>
        <v/>
      </c>
      <c r="N140" s="571">
        <f>IF('Aanpassen Werkschema'!O170&gt;0,'Aanpassen Werkschema'!O170,"")</f>
        <v/>
      </c>
      <c r="O140" s="571">
        <f>IF('Aanpassen Werkschema'!P170&gt;0,'Aanpassen Werkschema'!P170,"")</f>
        <v/>
      </c>
      <c r="P140" s="571">
        <f>IF('Aanpassen Werkschema'!Q170&gt;0,'Aanpassen Werkschema'!Q170,"")</f>
        <v/>
      </c>
      <c r="Q140" s="571">
        <f>IF('Aanpassen Werkschema'!R170&gt;0,'Aanpassen Werkschema'!R170,"")</f>
        <v/>
      </c>
      <c r="R140" s="571">
        <f>IF('Aanpassen Werkschema'!S170&gt;0,'Aanpassen Werkschema'!S170,"")</f>
        <v/>
      </c>
      <c r="S140" s="569">
        <f>IF('Aanpassen Werkschema'!T170="x","",IF('Aanpassen Werkschema'!N170="v","x",IF(E140="","",IF(E140="x","x"))))</f>
        <v/>
      </c>
      <c r="T140" s="569">
        <f>IF('Aanpassen Werkschema'!U170="x","",IF('Aanpassen Werkschema'!O170="v","x",IF(F140="","",IF(F140="x","x"))))</f>
        <v/>
      </c>
      <c r="U140" s="569">
        <f>IF('Aanpassen Werkschema'!V170="x","",IF('Aanpassen Werkschema'!P170="v","x",IF(G140="","",IF(G140="x","x"))))</f>
        <v/>
      </c>
      <c r="V140" s="569">
        <f>IF('Aanpassen Werkschema'!W170="x","",IF('Aanpassen Werkschema'!Q170="v","x",IF(H140="","",IF(H140="x","x"))))</f>
        <v/>
      </c>
      <c r="W140" s="569">
        <f>IF('Aanpassen Werkschema'!X170="x","",IF('Aanpassen Werkschema'!R170="v","x",IF(I140="","",IF(I140="x","x"))))</f>
        <v/>
      </c>
      <c r="X140" s="569">
        <f>IF('Aanpassen Werkschema'!Y170="x","",IF('Aanpassen Werkschema'!S170="v","x",IF(J140="","",IF(J140="x","x"))))</f>
        <v/>
      </c>
      <c r="Y140" s="569">
        <f>IF('Aanpassen Werkschema'!Z170="x","",IF('Aanpassen Werkschema'!T170="v","x",IF(K140="","",IF(K140="x","x"))))</f>
        <v/>
      </c>
      <c r="Z140" s="850">
        <f>Z139+0.0000000001</f>
        <v/>
      </c>
      <c r="AA140" s="851">
        <f>IFERROR(IF(C140="",1.1,IF(S140="",1,IF($C140=1,VLOOKUP($B140,'Werkschema - Rekening'!$B$2:$C$46,2,FALSE),IF($C140=2,Instellingen!C$16,IF($C140=3,Instellingen!D$16,IF($C140=4,L140))))+$D140)+$Z140),1.1)</f>
        <v/>
      </c>
      <c r="AB140" s="852">
        <f>IF($B140="","",IFERROR(VLOOKUP($B140,'Werkschema - Rekening'!$B$2:$P$46,3,FALSE),""))</f>
        <v/>
      </c>
      <c r="AC140" s="851">
        <f>IFERROR(IF(C140="",1.1,IF(T140="",1,IF($C140=1,VLOOKUP($B140,'Werkschema - Rekening'!$B$2:$E$46,4,FALSE),IF($C140=2,Instellingen!E$16,IF($C140=3,Instellingen!F$16,IF($C140=4,M140))))+$D140)+$Z140),1.1)</f>
        <v/>
      </c>
      <c r="AD140" s="852">
        <f>IF($B140="","",IFERROR(VLOOKUP($B140,'Werkschema - Rekening'!$B$2:$P$46,5,FALSE),""))</f>
        <v/>
      </c>
      <c r="AE140" s="851">
        <f>IFERROR(IF(C140="",1.1,IF(U140="",1,IF($C140=1,VLOOKUP($B140,'Werkschema - Rekening'!$B$2:$G$46,6,FALSE),IF($C140=2,Instellingen!G$16,IF($C140=3,Instellingen!H$16,IF($C140=4,N140))))+$D140)+$Z140),1.1)</f>
        <v/>
      </c>
      <c r="AF140" s="852">
        <f>IF($B140="","",IFERROR(VLOOKUP($B140,'Werkschema - Rekening'!$B$2:$P$46,7,FALSE),""))</f>
        <v/>
      </c>
      <c r="AG140" s="851">
        <f>IFERROR(IF(C140="",1.1,IF(V140="",1,IF($C140=1,VLOOKUP($B140,'Werkschema - Rekening'!$B$2:$I$46,8,FALSE),IF($C140=2,Instellingen!I$16,IF($C140=3,Instellingen!J$16,IF($C140=4,O140))))+$D140)+$Z140),1.1)</f>
        <v/>
      </c>
      <c r="AH140" s="852">
        <f>IF($B140="","",IFERROR(VLOOKUP($B140,'Werkschema - Rekening'!$B$2:$P$46,9,FALSE),""))</f>
        <v/>
      </c>
      <c r="AI140" s="851">
        <f>IFERROR(IF(C140="",1.1,IF(W140="",1,IF($C140=1,VLOOKUP($B140,'Werkschema - Rekening'!$B$2:$K$46,10,FALSE),IF($C140=2,Instellingen!K$16,IF($C140=3,Instellingen!L$16,IF($C140=4,P140))))+$D140)+$Z140),1.1)</f>
        <v/>
      </c>
      <c r="AJ140" s="852">
        <f>IF($B140="","",IFERROR(VLOOKUP($B140,'Werkschema - Rekening'!$B$2:$P$46,11,FALSE),""))</f>
        <v/>
      </c>
      <c r="AK140" s="851">
        <f>IFERROR(IF(C140="",1.1,IF(X140="",1,IF($C140=1,VLOOKUP($B140,'Werkschema - Rekening'!$B$2:$M$46,12,FALSE),IF($C140=2,Instellingen!M$16,IF($C140=3,Instellingen!N$16,IF($C140=4,Q140))))+$D140)+$Z140),1.1)</f>
        <v/>
      </c>
      <c r="AL140" s="852">
        <f>IF($B140="","",IFERROR(VLOOKUP($B140,'Werkschema - Rekening'!$B$2:$P$46,13,FALSE),""))</f>
        <v/>
      </c>
      <c r="AM140" s="851">
        <f>IFERROR(IF(C140="",1.1,IF(Y140="",1,IF($C140=1,VLOOKUP($B140,'Werkschema - Rekening'!$B$2:$O$46,14,FALSE),IF($C140=2,Instellingen!O$16,IF($C140=3,Instellingen!P$16,IF($C140=4,R140))))+$D140)+$Z140),1.1)</f>
        <v/>
      </c>
      <c r="AN140" s="852">
        <f>IF($B140="","",IFERROR(VLOOKUP($B140,'Werkschema - Rekening'!$B$2:$P$46,15,FALSE),""))</f>
        <v/>
      </c>
      <c r="AO140" s="852">
        <f>A140</f>
        <v/>
      </c>
      <c r="AP140" s="852">
        <f>B140</f>
        <v/>
      </c>
    </row>
    <row r="141" ht="12.6" customHeight="1">
      <c r="A141" s="830">
        <f>'Aanpassen Werkschema'!B171</f>
        <v/>
      </c>
      <c r="B141" s="569">
        <f>'Aanpassen Werkschema'!C171</f>
        <v/>
      </c>
      <c r="C141" s="569">
        <f>IF('Aanpassen Werkschema'!D171="geplande taak",1,IF('Aanpassen Werkschema'!D171="openingstijd",2,IF('Aanpassen Werkschema'!D171="sluitingstijd",3,IF('Aanpassen Werkschema'!D171="vaste tijd",4,""))))</f>
        <v/>
      </c>
      <c r="D141" s="849">
        <f>'Aanpassen Werkschema'!E171</f>
        <v/>
      </c>
      <c r="E141" s="569">
        <f>IF('Aanpassen Werkschema'!F171="v","x","")</f>
        <v/>
      </c>
      <c r="F141" s="569">
        <f>IF('Aanpassen Werkschema'!G171="v","x","")</f>
        <v/>
      </c>
      <c r="G141" s="569">
        <f>IF('Aanpassen Werkschema'!H171="v","x","")</f>
        <v/>
      </c>
      <c r="H141" s="569">
        <f>IF('Aanpassen Werkschema'!I171="v","x","")</f>
        <v/>
      </c>
      <c r="I141" s="569">
        <f>IF('Aanpassen Werkschema'!J171="v","x","")</f>
        <v/>
      </c>
      <c r="J141" s="569">
        <f>IF('Aanpassen Werkschema'!K171="v","x","")</f>
        <v/>
      </c>
      <c r="K141" s="569">
        <f>IF('Aanpassen Werkschema'!L171="v","x","")</f>
        <v/>
      </c>
      <c r="L141" s="571">
        <f>IF('Aanpassen Werkschema'!M171&gt;0,'Aanpassen Werkschema'!M171,"")</f>
        <v/>
      </c>
      <c r="M141" s="571">
        <f>IF('Aanpassen Werkschema'!N171&gt;0,'Aanpassen Werkschema'!N171,"")</f>
        <v/>
      </c>
      <c r="N141" s="571">
        <f>IF('Aanpassen Werkschema'!O171&gt;0,'Aanpassen Werkschema'!O171,"")</f>
        <v/>
      </c>
      <c r="O141" s="571">
        <f>IF('Aanpassen Werkschema'!P171&gt;0,'Aanpassen Werkschema'!P171,"")</f>
        <v/>
      </c>
      <c r="P141" s="571">
        <f>IF('Aanpassen Werkschema'!Q171&gt;0,'Aanpassen Werkschema'!Q171,"")</f>
        <v/>
      </c>
      <c r="Q141" s="571">
        <f>IF('Aanpassen Werkschema'!R171&gt;0,'Aanpassen Werkschema'!R171,"")</f>
        <v/>
      </c>
      <c r="R141" s="571">
        <f>IF('Aanpassen Werkschema'!S171&gt;0,'Aanpassen Werkschema'!S171,"")</f>
        <v/>
      </c>
      <c r="S141" s="569">
        <f>IF('Aanpassen Werkschema'!T171="x","",IF('Aanpassen Werkschema'!N171="v","x",IF(E141="","",IF(E141="x","x"))))</f>
        <v/>
      </c>
      <c r="T141" s="569">
        <f>IF('Aanpassen Werkschema'!U171="x","",IF('Aanpassen Werkschema'!O171="v","x",IF(F141="","",IF(F141="x","x"))))</f>
        <v/>
      </c>
      <c r="U141" s="569">
        <f>IF('Aanpassen Werkschema'!V171="x","",IF('Aanpassen Werkschema'!P171="v","x",IF(G141="","",IF(G141="x","x"))))</f>
        <v/>
      </c>
      <c r="V141" s="569">
        <f>IF('Aanpassen Werkschema'!W171="x","",IF('Aanpassen Werkschema'!Q171="v","x",IF(H141="","",IF(H141="x","x"))))</f>
        <v/>
      </c>
      <c r="W141" s="569">
        <f>IF('Aanpassen Werkschema'!X171="x","",IF('Aanpassen Werkschema'!R171="v","x",IF(I141="","",IF(I141="x","x"))))</f>
        <v/>
      </c>
      <c r="X141" s="569">
        <f>IF('Aanpassen Werkschema'!Y171="x","",IF('Aanpassen Werkschema'!S171="v","x",IF(J141="","",IF(J141="x","x"))))</f>
        <v/>
      </c>
      <c r="Y141" s="569">
        <f>IF('Aanpassen Werkschema'!Z171="x","",IF('Aanpassen Werkschema'!T171="v","x",IF(K141="","",IF(K141="x","x"))))</f>
        <v/>
      </c>
      <c r="Z141" s="850">
        <f>Z140+0.0000000001</f>
        <v/>
      </c>
      <c r="AA141" s="851">
        <f>IFERROR(IF(C141="",1.1,IF(S141="",1,IF($C141=1,VLOOKUP($B141,'Werkschema - Rekening'!$B$2:$C$46,2,FALSE),IF($C141=2,Instellingen!C$16,IF($C141=3,Instellingen!D$16,IF($C141=4,L141))))+$D141)+$Z141),1.1)</f>
        <v/>
      </c>
      <c r="AB141" s="852">
        <f>IF($B141="","",IFERROR(VLOOKUP($B141,'Werkschema - Rekening'!$B$2:$P$46,3,FALSE),""))</f>
        <v/>
      </c>
      <c r="AC141" s="851">
        <f>IFERROR(IF(C141="",1.1,IF(T141="",1,IF($C141=1,VLOOKUP($B141,'Werkschema - Rekening'!$B$2:$E$46,4,FALSE),IF($C141=2,Instellingen!E$16,IF($C141=3,Instellingen!F$16,IF($C141=4,M141))))+$D141)+$Z141),1.1)</f>
        <v/>
      </c>
      <c r="AD141" s="852">
        <f>IF($B141="","",IFERROR(VLOOKUP($B141,'Werkschema - Rekening'!$B$2:$P$46,5,FALSE),""))</f>
        <v/>
      </c>
      <c r="AE141" s="851">
        <f>IFERROR(IF(C141="",1.1,IF(U141="",1,IF($C141=1,VLOOKUP($B141,'Werkschema - Rekening'!$B$2:$G$46,6,FALSE),IF($C141=2,Instellingen!G$16,IF($C141=3,Instellingen!H$16,IF($C141=4,N141))))+$D141)+$Z141),1.1)</f>
        <v/>
      </c>
      <c r="AF141" s="852">
        <f>IF($B141="","",IFERROR(VLOOKUP($B141,'Werkschema - Rekening'!$B$2:$P$46,7,FALSE),""))</f>
        <v/>
      </c>
      <c r="AG141" s="851">
        <f>IFERROR(IF(C141="",1.1,IF(V141="",1,IF($C141=1,VLOOKUP($B141,'Werkschema - Rekening'!$B$2:$I$46,8,FALSE),IF($C141=2,Instellingen!I$16,IF($C141=3,Instellingen!J$16,IF($C141=4,O141))))+$D141)+$Z141),1.1)</f>
        <v/>
      </c>
      <c r="AH141" s="852">
        <f>IF($B141="","",IFERROR(VLOOKUP($B141,'Werkschema - Rekening'!$B$2:$P$46,9,FALSE),""))</f>
        <v/>
      </c>
      <c r="AI141" s="851">
        <f>IFERROR(IF(C141="",1.1,IF(W141="",1,IF($C141=1,VLOOKUP($B141,'Werkschema - Rekening'!$B$2:$K$46,10,FALSE),IF($C141=2,Instellingen!K$16,IF($C141=3,Instellingen!L$16,IF($C141=4,P141))))+$D141)+$Z141),1.1)</f>
        <v/>
      </c>
      <c r="AJ141" s="852">
        <f>IF($B141="","",IFERROR(VLOOKUP($B141,'Werkschema - Rekening'!$B$2:$P$46,11,FALSE),""))</f>
        <v/>
      </c>
      <c r="AK141" s="851">
        <f>IFERROR(IF(C141="",1.1,IF(X141="",1,IF($C141=1,VLOOKUP($B141,'Werkschema - Rekening'!$B$2:$M$46,12,FALSE),IF($C141=2,Instellingen!M$16,IF($C141=3,Instellingen!N$16,IF($C141=4,Q141))))+$D141)+$Z141),1.1)</f>
        <v/>
      </c>
      <c r="AL141" s="852">
        <f>IF($B141="","",IFERROR(VLOOKUP($B141,'Werkschema - Rekening'!$B$2:$P$46,13,FALSE),""))</f>
        <v/>
      </c>
      <c r="AM141" s="851">
        <f>IFERROR(IF(C141="",1.1,IF(Y141="",1,IF($C141=1,VLOOKUP($B141,'Werkschema - Rekening'!$B$2:$O$46,14,FALSE),IF($C141=2,Instellingen!O$16,IF($C141=3,Instellingen!P$16,IF($C141=4,R141))))+$D141)+$Z141),1.1)</f>
        <v/>
      </c>
      <c r="AN141" s="852">
        <f>IF($B141="","",IFERROR(VLOOKUP($B141,'Werkschema - Rekening'!$B$2:$P$46,15,FALSE),""))</f>
        <v/>
      </c>
      <c r="AO141" s="852">
        <f>A141</f>
        <v/>
      </c>
      <c r="AP141" s="852">
        <f>B141</f>
        <v/>
      </c>
    </row>
    <row r="142" ht="12.6" customHeight="1">
      <c r="A142" s="830">
        <f>'Aanpassen Werkschema'!B172</f>
        <v/>
      </c>
      <c r="B142" s="569">
        <f>'Aanpassen Werkschema'!C172</f>
        <v/>
      </c>
      <c r="C142" s="569">
        <f>IF('Aanpassen Werkschema'!D172="geplande taak",1,IF('Aanpassen Werkschema'!D172="openingstijd",2,IF('Aanpassen Werkschema'!D172="sluitingstijd",3,IF('Aanpassen Werkschema'!D172="vaste tijd",4,""))))</f>
        <v/>
      </c>
      <c r="D142" s="849">
        <f>'Aanpassen Werkschema'!E172</f>
        <v/>
      </c>
      <c r="E142" s="569">
        <f>IF('Aanpassen Werkschema'!F172="v","x","")</f>
        <v/>
      </c>
      <c r="F142" s="569">
        <f>IF('Aanpassen Werkschema'!G172="v","x","")</f>
        <v/>
      </c>
      <c r="G142" s="569">
        <f>IF('Aanpassen Werkschema'!H172="v","x","")</f>
        <v/>
      </c>
      <c r="H142" s="569">
        <f>IF('Aanpassen Werkschema'!I172="v","x","")</f>
        <v/>
      </c>
      <c r="I142" s="569">
        <f>IF('Aanpassen Werkschema'!J172="v","x","")</f>
        <v/>
      </c>
      <c r="J142" s="569">
        <f>IF('Aanpassen Werkschema'!K172="v","x","")</f>
        <v/>
      </c>
      <c r="K142" s="569">
        <f>IF('Aanpassen Werkschema'!L172="v","x","")</f>
        <v/>
      </c>
      <c r="L142" s="571">
        <f>IF('Aanpassen Werkschema'!M172&gt;0,'Aanpassen Werkschema'!M172,"")</f>
        <v/>
      </c>
      <c r="M142" s="571">
        <f>IF('Aanpassen Werkschema'!N172&gt;0,'Aanpassen Werkschema'!N172,"")</f>
        <v/>
      </c>
      <c r="N142" s="571">
        <f>IF('Aanpassen Werkschema'!O172&gt;0,'Aanpassen Werkschema'!O172,"")</f>
        <v/>
      </c>
      <c r="O142" s="571">
        <f>IF('Aanpassen Werkschema'!P172&gt;0,'Aanpassen Werkschema'!P172,"")</f>
        <v/>
      </c>
      <c r="P142" s="571">
        <f>IF('Aanpassen Werkschema'!Q172&gt;0,'Aanpassen Werkschema'!Q172,"")</f>
        <v/>
      </c>
      <c r="Q142" s="571">
        <f>IF('Aanpassen Werkschema'!R172&gt;0,'Aanpassen Werkschema'!R172,"")</f>
        <v/>
      </c>
      <c r="R142" s="571">
        <f>IF('Aanpassen Werkschema'!S172&gt;0,'Aanpassen Werkschema'!S172,"")</f>
        <v/>
      </c>
      <c r="S142" s="569">
        <f>IF('Aanpassen Werkschema'!T172="x","",IF('Aanpassen Werkschema'!N172="v","x",IF(E142="","",IF(E142="x","x"))))</f>
        <v/>
      </c>
      <c r="T142" s="569">
        <f>IF('Aanpassen Werkschema'!U172="x","",IF('Aanpassen Werkschema'!O172="v","x",IF(F142="","",IF(F142="x","x"))))</f>
        <v/>
      </c>
      <c r="U142" s="569">
        <f>IF('Aanpassen Werkschema'!V172="x","",IF('Aanpassen Werkschema'!P172="v","x",IF(G142="","",IF(G142="x","x"))))</f>
        <v/>
      </c>
      <c r="V142" s="569">
        <f>IF('Aanpassen Werkschema'!W172="x","",IF('Aanpassen Werkschema'!Q172="v","x",IF(H142="","",IF(H142="x","x"))))</f>
        <v/>
      </c>
      <c r="W142" s="569">
        <f>IF('Aanpassen Werkschema'!X172="x","",IF('Aanpassen Werkschema'!R172="v","x",IF(I142="","",IF(I142="x","x"))))</f>
        <v/>
      </c>
      <c r="X142" s="569">
        <f>IF('Aanpassen Werkschema'!Y172="x","",IF('Aanpassen Werkschema'!S172="v","x",IF(J142="","",IF(J142="x","x"))))</f>
        <v/>
      </c>
      <c r="Y142" s="569">
        <f>IF('Aanpassen Werkschema'!Z172="x","",IF('Aanpassen Werkschema'!T172="v","x",IF(K142="","",IF(K142="x","x"))))</f>
        <v/>
      </c>
      <c r="Z142" s="850">
        <f>Z141+0.0000000001</f>
        <v/>
      </c>
      <c r="AA142" s="851">
        <f>IFERROR(IF(C142="",1.1,IF(S142="",1,IF($C142=1,VLOOKUP($B142,'Werkschema - Rekening'!$B$2:$C$46,2,FALSE),IF($C142=2,Instellingen!C$16,IF($C142=3,Instellingen!D$16,IF($C142=4,L142))))+$D142)+$Z142),1.1)</f>
        <v/>
      </c>
      <c r="AB142" s="852">
        <f>IF($B142="","",IFERROR(VLOOKUP($B142,'Werkschema - Rekening'!$B$2:$P$46,3,FALSE),""))</f>
        <v/>
      </c>
      <c r="AC142" s="851">
        <f>IFERROR(IF(C142="",1.1,IF(T142="",1,IF($C142=1,VLOOKUP($B142,'Werkschema - Rekening'!$B$2:$E$46,4,FALSE),IF($C142=2,Instellingen!E$16,IF($C142=3,Instellingen!F$16,IF($C142=4,M142))))+$D142)+$Z142),1.1)</f>
        <v/>
      </c>
      <c r="AD142" s="852">
        <f>IF($B142="","",IFERROR(VLOOKUP($B142,'Werkschema - Rekening'!$B$2:$P$46,5,FALSE),""))</f>
        <v/>
      </c>
      <c r="AE142" s="851">
        <f>IFERROR(IF(C142="",1.1,IF(U142="",1,IF($C142=1,VLOOKUP($B142,'Werkschema - Rekening'!$B$2:$G$46,6,FALSE),IF($C142=2,Instellingen!G$16,IF($C142=3,Instellingen!H$16,IF($C142=4,N142))))+$D142)+$Z142),1.1)</f>
        <v/>
      </c>
      <c r="AF142" s="852">
        <f>IF($B142="","",IFERROR(VLOOKUP($B142,'Werkschema - Rekening'!$B$2:$P$46,7,FALSE),""))</f>
        <v/>
      </c>
      <c r="AG142" s="851">
        <f>IFERROR(IF(C142="",1.1,IF(V142="",1,IF($C142=1,VLOOKUP($B142,'Werkschema - Rekening'!$B$2:$I$46,8,FALSE),IF($C142=2,Instellingen!I$16,IF($C142=3,Instellingen!J$16,IF($C142=4,O142))))+$D142)+$Z142),1.1)</f>
        <v/>
      </c>
      <c r="AH142" s="852">
        <f>IF($B142="","",IFERROR(VLOOKUP($B142,'Werkschema - Rekening'!$B$2:$P$46,9,FALSE),""))</f>
        <v/>
      </c>
      <c r="AI142" s="851">
        <f>IFERROR(IF(C142="",1.1,IF(W142="",1,IF($C142=1,VLOOKUP($B142,'Werkschema - Rekening'!$B$2:$K$46,10,FALSE),IF($C142=2,Instellingen!K$16,IF($C142=3,Instellingen!L$16,IF($C142=4,P142))))+$D142)+$Z142),1.1)</f>
        <v/>
      </c>
      <c r="AJ142" s="852">
        <f>IF($B142="","",IFERROR(VLOOKUP($B142,'Werkschema - Rekening'!$B$2:$P$46,11,FALSE),""))</f>
        <v/>
      </c>
      <c r="AK142" s="851">
        <f>IFERROR(IF(C142="",1.1,IF(X142="",1,IF($C142=1,VLOOKUP($B142,'Werkschema - Rekening'!$B$2:$M$46,12,FALSE),IF($C142=2,Instellingen!M$16,IF($C142=3,Instellingen!N$16,IF($C142=4,Q142))))+$D142)+$Z142),1.1)</f>
        <v/>
      </c>
      <c r="AL142" s="852">
        <f>IF($B142="","",IFERROR(VLOOKUP($B142,'Werkschema - Rekening'!$B$2:$P$46,13,FALSE),""))</f>
        <v/>
      </c>
      <c r="AM142" s="851">
        <f>IFERROR(IF(C142="",1.1,IF(Y142="",1,IF($C142=1,VLOOKUP($B142,'Werkschema - Rekening'!$B$2:$O$46,14,FALSE),IF($C142=2,Instellingen!O$16,IF($C142=3,Instellingen!P$16,IF($C142=4,R142))))+$D142)+$Z142),1.1)</f>
        <v/>
      </c>
      <c r="AN142" s="852">
        <f>IF($B142="","",IFERROR(VLOOKUP($B142,'Werkschema - Rekening'!$B$2:$P$46,15,FALSE),""))</f>
        <v/>
      </c>
      <c r="AO142" s="852">
        <f>A142</f>
        <v/>
      </c>
      <c r="AP142" s="852">
        <f>B142</f>
        <v/>
      </c>
    </row>
    <row r="143" ht="12.6" customHeight="1">
      <c r="A143" s="830">
        <f>'Aanpassen Werkschema'!B173</f>
        <v/>
      </c>
      <c r="B143" s="569">
        <f>'Aanpassen Werkschema'!C173</f>
        <v/>
      </c>
      <c r="C143" s="569">
        <f>IF('Aanpassen Werkschema'!D173="geplande taak",1,IF('Aanpassen Werkschema'!D173="openingstijd",2,IF('Aanpassen Werkschema'!D173="sluitingstijd",3,IF('Aanpassen Werkschema'!D173="vaste tijd",4,""))))</f>
        <v/>
      </c>
      <c r="D143" s="849">
        <f>'Aanpassen Werkschema'!E173</f>
        <v/>
      </c>
      <c r="E143" s="569">
        <f>IF('Aanpassen Werkschema'!F173="v","x","")</f>
        <v/>
      </c>
      <c r="F143" s="569">
        <f>IF('Aanpassen Werkschema'!G173="v","x","")</f>
        <v/>
      </c>
      <c r="G143" s="569">
        <f>IF('Aanpassen Werkschema'!H173="v","x","")</f>
        <v/>
      </c>
      <c r="H143" s="569">
        <f>IF('Aanpassen Werkschema'!I173="v","x","")</f>
        <v/>
      </c>
      <c r="I143" s="569">
        <f>IF('Aanpassen Werkschema'!J173="v","x","")</f>
        <v/>
      </c>
      <c r="J143" s="569">
        <f>IF('Aanpassen Werkschema'!K173="v","x","")</f>
        <v/>
      </c>
      <c r="K143" s="569">
        <f>IF('Aanpassen Werkschema'!L173="v","x","")</f>
        <v/>
      </c>
      <c r="L143" s="571">
        <f>IF('Aanpassen Werkschema'!M173&gt;0,'Aanpassen Werkschema'!M173,"")</f>
        <v/>
      </c>
      <c r="M143" s="571">
        <f>IF('Aanpassen Werkschema'!N173&gt;0,'Aanpassen Werkschema'!N173,"")</f>
        <v/>
      </c>
      <c r="N143" s="571">
        <f>IF('Aanpassen Werkschema'!O173&gt;0,'Aanpassen Werkschema'!O173,"")</f>
        <v/>
      </c>
      <c r="O143" s="571">
        <f>IF('Aanpassen Werkschema'!P173&gt;0,'Aanpassen Werkschema'!P173,"")</f>
        <v/>
      </c>
      <c r="P143" s="571">
        <f>IF('Aanpassen Werkschema'!Q173&gt;0,'Aanpassen Werkschema'!Q173,"")</f>
        <v/>
      </c>
      <c r="Q143" s="571">
        <f>IF('Aanpassen Werkschema'!R173&gt;0,'Aanpassen Werkschema'!R173,"")</f>
        <v/>
      </c>
      <c r="R143" s="571">
        <f>IF('Aanpassen Werkschema'!S173&gt;0,'Aanpassen Werkschema'!S173,"")</f>
        <v/>
      </c>
      <c r="S143" s="569">
        <f>IF('Aanpassen Werkschema'!T173="x","",IF('Aanpassen Werkschema'!N173="v","x",IF(E143="","",IF(E143="x","x"))))</f>
        <v/>
      </c>
      <c r="T143" s="569">
        <f>IF('Aanpassen Werkschema'!U173="x","",IF('Aanpassen Werkschema'!O173="v","x",IF(F143="","",IF(F143="x","x"))))</f>
        <v/>
      </c>
      <c r="U143" s="569">
        <f>IF('Aanpassen Werkschema'!V173="x","",IF('Aanpassen Werkschema'!P173="v","x",IF(G143="","",IF(G143="x","x"))))</f>
        <v/>
      </c>
      <c r="V143" s="569">
        <f>IF('Aanpassen Werkschema'!W173="x","",IF('Aanpassen Werkschema'!Q173="v","x",IF(H143="","",IF(H143="x","x"))))</f>
        <v/>
      </c>
      <c r="W143" s="569">
        <f>IF('Aanpassen Werkschema'!X173="x","",IF('Aanpassen Werkschema'!R173="v","x",IF(I143="","",IF(I143="x","x"))))</f>
        <v/>
      </c>
      <c r="X143" s="569">
        <f>IF('Aanpassen Werkschema'!Y173="x","",IF('Aanpassen Werkschema'!S173="v","x",IF(J143="","",IF(J143="x","x"))))</f>
        <v/>
      </c>
      <c r="Y143" s="569">
        <f>IF('Aanpassen Werkschema'!Z173="x","",IF('Aanpassen Werkschema'!T173="v","x",IF(K143="","",IF(K143="x","x"))))</f>
        <v/>
      </c>
      <c r="Z143" s="850">
        <f>Z142+0.0000000001</f>
        <v/>
      </c>
      <c r="AA143" s="851">
        <f>IFERROR(IF(C143="",1.1,IF(S143="",1,IF($C143=1,VLOOKUP($B143,'Werkschema - Rekening'!$B$2:$C$46,2,FALSE),IF($C143=2,Instellingen!C$16,IF($C143=3,Instellingen!D$16,IF($C143=4,L143))))+$D143)+$Z143),1.1)</f>
        <v/>
      </c>
      <c r="AB143" s="852">
        <f>IF($B143="","",IFERROR(VLOOKUP($B143,'Werkschema - Rekening'!$B$2:$P$46,3,FALSE),""))</f>
        <v/>
      </c>
      <c r="AC143" s="851">
        <f>IFERROR(IF(C143="",1.1,IF(T143="",1,IF($C143=1,VLOOKUP($B143,'Werkschema - Rekening'!$B$2:$E$46,4,FALSE),IF($C143=2,Instellingen!E$16,IF($C143=3,Instellingen!F$16,IF($C143=4,M143))))+$D143)+$Z143),1.1)</f>
        <v/>
      </c>
      <c r="AD143" s="852">
        <f>IF($B143="","",IFERROR(VLOOKUP($B143,'Werkschema - Rekening'!$B$2:$P$46,5,FALSE),""))</f>
        <v/>
      </c>
      <c r="AE143" s="851">
        <f>IFERROR(IF(C143="",1.1,IF(U143="",1,IF($C143=1,VLOOKUP($B143,'Werkschema - Rekening'!$B$2:$G$46,6,FALSE),IF($C143=2,Instellingen!G$16,IF($C143=3,Instellingen!H$16,IF($C143=4,N143))))+$D143)+$Z143),1.1)</f>
        <v/>
      </c>
      <c r="AF143" s="852">
        <f>IF($B143="","",IFERROR(VLOOKUP($B143,'Werkschema - Rekening'!$B$2:$P$46,7,FALSE),""))</f>
        <v/>
      </c>
      <c r="AG143" s="851">
        <f>IFERROR(IF(C143="",1.1,IF(V143="",1,IF($C143=1,VLOOKUP($B143,'Werkschema - Rekening'!$B$2:$I$46,8,FALSE),IF($C143=2,Instellingen!I$16,IF($C143=3,Instellingen!J$16,IF($C143=4,O143))))+$D143)+$Z143),1.1)</f>
        <v/>
      </c>
      <c r="AH143" s="852">
        <f>IF($B143="","",IFERROR(VLOOKUP($B143,'Werkschema - Rekening'!$B$2:$P$46,9,FALSE),""))</f>
        <v/>
      </c>
      <c r="AI143" s="851">
        <f>IFERROR(IF(C143="",1.1,IF(W143="",1,IF($C143=1,VLOOKUP($B143,'Werkschema - Rekening'!$B$2:$K$46,10,FALSE),IF($C143=2,Instellingen!K$16,IF($C143=3,Instellingen!L$16,IF($C143=4,P143))))+$D143)+$Z143),1.1)</f>
        <v/>
      </c>
      <c r="AJ143" s="852">
        <f>IF($B143="","",IFERROR(VLOOKUP($B143,'Werkschema - Rekening'!$B$2:$P$46,11,FALSE),""))</f>
        <v/>
      </c>
      <c r="AK143" s="851">
        <f>IFERROR(IF(C143="",1.1,IF(X143="",1,IF($C143=1,VLOOKUP($B143,'Werkschema - Rekening'!$B$2:$M$46,12,FALSE),IF($C143=2,Instellingen!M$16,IF($C143=3,Instellingen!N$16,IF($C143=4,Q143))))+$D143)+$Z143),1.1)</f>
        <v/>
      </c>
      <c r="AL143" s="852">
        <f>IF($B143="","",IFERROR(VLOOKUP($B143,'Werkschema - Rekening'!$B$2:$P$46,13,FALSE),""))</f>
        <v/>
      </c>
      <c r="AM143" s="851">
        <f>IFERROR(IF(C143="",1.1,IF(Y143="",1,IF($C143=1,VLOOKUP($B143,'Werkschema - Rekening'!$B$2:$O$46,14,FALSE),IF($C143=2,Instellingen!O$16,IF($C143=3,Instellingen!P$16,IF($C143=4,R143))))+$D143)+$Z143),1.1)</f>
        <v/>
      </c>
      <c r="AN143" s="852">
        <f>IF($B143="","",IFERROR(VLOOKUP($B143,'Werkschema - Rekening'!$B$2:$P$46,15,FALSE),""))</f>
        <v/>
      </c>
      <c r="AO143" s="852">
        <f>A143</f>
        <v/>
      </c>
      <c r="AP143" s="852">
        <f>B143</f>
        <v/>
      </c>
    </row>
    <row r="144" ht="12.6" customHeight="1">
      <c r="A144" s="830">
        <f>'Aanpassen Werkschema'!B174</f>
        <v/>
      </c>
      <c r="B144" s="569">
        <f>'Aanpassen Werkschema'!C174</f>
        <v/>
      </c>
      <c r="C144" s="569">
        <f>IF('Aanpassen Werkschema'!D174="geplande taak",1,IF('Aanpassen Werkschema'!D174="openingstijd",2,IF('Aanpassen Werkschema'!D174="sluitingstijd",3,IF('Aanpassen Werkschema'!D174="vaste tijd",4,""))))</f>
        <v/>
      </c>
      <c r="D144" s="849">
        <f>'Aanpassen Werkschema'!E174</f>
        <v/>
      </c>
      <c r="E144" s="569">
        <f>IF('Aanpassen Werkschema'!F174="v","x","")</f>
        <v/>
      </c>
      <c r="F144" s="569">
        <f>IF('Aanpassen Werkschema'!G174="v","x","")</f>
        <v/>
      </c>
      <c r="G144" s="569">
        <f>IF('Aanpassen Werkschema'!H174="v","x","")</f>
        <v/>
      </c>
      <c r="H144" s="569">
        <f>IF('Aanpassen Werkschema'!I174="v","x","")</f>
        <v/>
      </c>
      <c r="I144" s="569">
        <f>IF('Aanpassen Werkschema'!J174="v","x","")</f>
        <v/>
      </c>
      <c r="J144" s="569">
        <f>IF('Aanpassen Werkschema'!K174="v","x","")</f>
        <v/>
      </c>
      <c r="K144" s="569">
        <f>IF('Aanpassen Werkschema'!L174="v","x","")</f>
        <v/>
      </c>
      <c r="L144" s="571">
        <f>IF('Aanpassen Werkschema'!M174&gt;0,'Aanpassen Werkschema'!M174,"")</f>
        <v/>
      </c>
      <c r="M144" s="571">
        <f>IF('Aanpassen Werkschema'!N174&gt;0,'Aanpassen Werkschema'!N174,"")</f>
        <v/>
      </c>
      <c r="N144" s="571">
        <f>IF('Aanpassen Werkschema'!O174&gt;0,'Aanpassen Werkschema'!O174,"")</f>
        <v/>
      </c>
      <c r="O144" s="571">
        <f>IF('Aanpassen Werkschema'!P174&gt;0,'Aanpassen Werkschema'!P174,"")</f>
        <v/>
      </c>
      <c r="P144" s="571">
        <f>IF('Aanpassen Werkschema'!Q174&gt;0,'Aanpassen Werkschema'!Q174,"")</f>
        <v/>
      </c>
      <c r="Q144" s="571">
        <f>IF('Aanpassen Werkschema'!R174&gt;0,'Aanpassen Werkschema'!R174,"")</f>
        <v/>
      </c>
      <c r="R144" s="571">
        <f>IF('Aanpassen Werkschema'!S174&gt;0,'Aanpassen Werkschema'!S174,"")</f>
        <v/>
      </c>
      <c r="S144" s="569">
        <f>IF('Aanpassen Werkschema'!T174="x","",IF('Aanpassen Werkschema'!N174="v","x",IF(E144="","",IF(E144="x","x"))))</f>
        <v/>
      </c>
      <c r="T144" s="569">
        <f>IF('Aanpassen Werkschema'!U174="x","",IF('Aanpassen Werkschema'!O174="v","x",IF(F144="","",IF(F144="x","x"))))</f>
        <v/>
      </c>
      <c r="U144" s="569">
        <f>IF('Aanpassen Werkschema'!V174="x","",IF('Aanpassen Werkschema'!P174="v","x",IF(G144="","",IF(G144="x","x"))))</f>
        <v/>
      </c>
      <c r="V144" s="569">
        <f>IF('Aanpassen Werkschema'!W174="x","",IF('Aanpassen Werkschema'!Q174="v","x",IF(H144="","",IF(H144="x","x"))))</f>
        <v/>
      </c>
      <c r="W144" s="569">
        <f>IF('Aanpassen Werkschema'!X174="x","",IF('Aanpassen Werkschema'!R174="v","x",IF(I144="","",IF(I144="x","x"))))</f>
        <v/>
      </c>
      <c r="X144" s="569">
        <f>IF('Aanpassen Werkschema'!Y174="x","",IF('Aanpassen Werkschema'!S174="v","x",IF(J144="","",IF(J144="x","x"))))</f>
        <v/>
      </c>
      <c r="Y144" s="569">
        <f>IF('Aanpassen Werkschema'!Z174="x","",IF('Aanpassen Werkschema'!T174="v","x",IF(K144="","",IF(K144="x","x"))))</f>
        <v/>
      </c>
      <c r="Z144" s="850">
        <f>Z143+0.0000000001</f>
        <v/>
      </c>
      <c r="AA144" s="851">
        <f>IFERROR(IF(C144="",1.1,IF(S144="",1,IF($C144=1,VLOOKUP($B144,'Werkschema - Rekening'!$B$2:$C$46,2,FALSE),IF($C144=2,Instellingen!C$16,IF($C144=3,Instellingen!D$16,IF($C144=4,L144))))+$D144)+$Z144),1.1)</f>
        <v/>
      </c>
      <c r="AB144" s="852">
        <f>IF($B144="","",IFERROR(VLOOKUP($B144,'Werkschema - Rekening'!$B$2:$P$46,3,FALSE),""))</f>
        <v/>
      </c>
      <c r="AC144" s="851">
        <f>IFERROR(IF(C144="",1.1,IF(T144="",1,IF($C144=1,VLOOKUP($B144,'Werkschema - Rekening'!$B$2:$E$46,4,FALSE),IF($C144=2,Instellingen!E$16,IF($C144=3,Instellingen!F$16,IF($C144=4,M144))))+$D144)+$Z144),1.1)</f>
        <v/>
      </c>
      <c r="AD144" s="852">
        <f>IF($B144="","",IFERROR(VLOOKUP($B144,'Werkschema - Rekening'!$B$2:$P$46,5,FALSE),""))</f>
        <v/>
      </c>
      <c r="AE144" s="851">
        <f>IFERROR(IF(C144="",1.1,IF(U144="",1,IF($C144=1,VLOOKUP($B144,'Werkschema - Rekening'!$B$2:$G$46,6,FALSE),IF($C144=2,Instellingen!G$16,IF($C144=3,Instellingen!H$16,IF($C144=4,N144))))+$D144)+$Z144),1.1)</f>
        <v/>
      </c>
      <c r="AF144" s="852">
        <f>IF($B144="","",IFERROR(VLOOKUP($B144,'Werkschema - Rekening'!$B$2:$P$46,7,FALSE),""))</f>
        <v/>
      </c>
      <c r="AG144" s="851">
        <f>IFERROR(IF(C144="",1.1,IF(V144="",1,IF($C144=1,VLOOKUP($B144,'Werkschema - Rekening'!$B$2:$I$46,8,FALSE),IF($C144=2,Instellingen!I$16,IF($C144=3,Instellingen!J$16,IF($C144=4,O144))))+$D144)+$Z144),1.1)</f>
        <v/>
      </c>
      <c r="AH144" s="852">
        <f>IF($B144="","",IFERROR(VLOOKUP($B144,'Werkschema - Rekening'!$B$2:$P$46,9,FALSE),""))</f>
        <v/>
      </c>
      <c r="AI144" s="851">
        <f>IFERROR(IF(C144="",1.1,IF(W144="",1,IF($C144=1,VLOOKUP($B144,'Werkschema - Rekening'!$B$2:$K$46,10,FALSE),IF($C144=2,Instellingen!K$16,IF($C144=3,Instellingen!L$16,IF($C144=4,P144))))+$D144)+$Z144),1.1)</f>
        <v/>
      </c>
      <c r="AJ144" s="852">
        <f>IF($B144="","",IFERROR(VLOOKUP($B144,'Werkschema - Rekening'!$B$2:$P$46,11,FALSE),""))</f>
        <v/>
      </c>
      <c r="AK144" s="851">
        <f>IFERROR(IF(C144="",1.1,IF(X144="",1,IF($C144=1,VLOOKUP($B144,'Werkschema - Rekening'!$B$2:$M$46,12,FALSE),IF($C144=2,Instellingen!M$16,IF($C144=3,Instellingen!N$16,IF($C144=4,Q144))))+$D144)+$Z144),1.1)</f>
        <v/>
      </c>
      <c r="AL144" s="852">
        <f>IF($B144="","",IFERROR(VLOOKUP($B144,'Werkschema - Rekening'!$B$2:$P$46,13,FALSE),""))</f>
        <v/>
      </c>
      <c r="AM144" s="851">
        <f>IFERROR(IF(C144="",1.1,IF(Y144="",1,IF($C144=1,VLOOKUP($B144,'Werkschema - Rekening'!$B$2:$O$46,14,FALSE),IF($C144=2,Instellingen!O$16,IF($C144=3,Instellingen!P$16,IF($C144=4,R144))))+$D144)+$Z144),1.1)</f>
        <v/>
      </c>
      <c r="AN144" s="852">
        <f>IF($B144="","",IFERROR(VLOOKUP($B144,'Werkschema - Rekening'!$B$2:$P$46,15,FALSE),""))</f>
        <v/>
      </c>
      <c r="AO144" s="852">
        <f>A144</f>
        <v/>
      </c>
      <c r="AP144" s="852">
        <f>B144</f>
        <v/>
      </c>
    </row>
    <row r="145" ht="12.6" customHeight="1">
      <c r="A145" s="830">
        <f>'Aanpassen Werkschema'!B175</f>
        <v/>
      </c>
      <c r="B145" s="569">
        <f>'Aanpassen Werkschema'!C175</f>
        <v/>
      </c>
      <c r="C145" s="569">
        <f>IF('Aanpassen Werkschema'!D175="geplande taak",1,IF('Aanpassen Werkschema'!D175="openingstijd",2,IF('Aanpassen Werkschema'!D175="sluitingstijd",3,IF('Aanpassen Werkschema'!D175="vaste tijd",4,""))))</f>
        <v/>
      </c>
      <c r="D145" s="849">
        <f>'Aanpassen Werkschema'!E175</f>
        <v/>
      </c>
      <c r="E145" s="569">
        <f>IF('Aanpassen Werkschema'!F175="v","x","")</f>
        <v/>
      </c>
      <c r="F145" s="569">
        <f>IF('Aanpassen Werkschema'!G175="v","x","")</f>
        <v/>
      </c>
      <c r="G145" s="569">
        <f>IF('Aanpassen Werkschema'!H175="v","x","")</f>
        <v/>
      </c>
      <c r="H145" s="569">
        <f>IF('Aanpassen Werkschema'!I175="v","x","")</f>
        <v/>
      </c>
      <c r="I145" s="569">
        <f>IF('Aanpassen Werkschema'!J175="v","x","")</f>
        <v/>
      </c>
      <c r="J145" s="569">
        <f>IF('Aanpassen Werkschema'!K175="v","x","")</f>
        <v/>
      </c>
      <c r="K145" s="569">
        <f>IF('Aanpassen Werkschema'!L175="v","x","")</f>
        <v/>
      </c>
      <c r="L145" s="571">
        <f>IF('Aanpassen Werkschema'!M175&gt;0,'Aanpassen Werkschema'!M175,"")</f>
        <v/>
      </c>
      <c r="M145" s="571">
        <f>IF('Aanpassen Werkschema'!N175&gt;0,'Aanpassen Werkschema'!N175,"")</f>
        <v/>
      </c>
      <c r="N145" s="571">
        <f>IF('Aanpassen Werkschema'!O175&gt;0,'Aanpassen Werkschema'!O175,"")</f>
        <v/>
      </c>
      <c r="O145" s="571">
        <f>IF('Aanpassen Werkschema'!P175&gt;0,'Aanpassen Werkschema'!P175,"")</f>
        <v/>
      </c>
      <c r="P145" s="571">
        <f>IF('Aanpassen Werkschema'!Q175&gt;0,'Aanpassen Werkschema'!Q175,"")</f>
        <v/>
      </c>
      <c r="Q145" s="571">
        <f>IF('Aanpassen Werkschema'!R175&gt;0,'Aanpassen Werkschema'!R175,"")</f>
        <v/>
      </c>
      <c r="R145" s="571">
        <f>IF('Aanpassen Werkschema'!S175&gt;0,'Aanpassen Werkschema'!S175,"")</f>
        <v/>
      </c>
      <c r="S145" s="569">
        <f>IF('Aanpassen Werkschema'!T175="x","",IF('Aanpassen Werkschema'!N175="v","x",IF(E145="","",IF(E145="x","x"))))</f>
        <v/>
      </c>
      <c r="T145" s="569">
        <f>IF('Aanpassen Werkschema'!U175="x","",IF('Aanpassen Werkschema'!O175="v","x",IF(F145="","",IF(F145="x","x"))))</f>
        <v/>
      </c>
      <c r="U145" s="569">
        <f>IF('Aanpassen Werkschema'!V175="x","",IF('Aanpassen Werkschema'!P175="v","x",IF(G145="","",IF(G145="x","x"))))</f>
        <v/>
      </c>
      <c r="V145" s="569">
        <f>IF('Aanpassen Werkschema'!W175="x","",IF('Aanpassen Werkschema'!Q175="v","x",IF(H145="","",IF(H145="x","x"))))</f>
        <v/>
      </c>
      <c r="W145" s="569">
        <f>IF('Aanpassen Werkschema'!X175="x","",IF('Aanpassen Werkschema'!R175="v","x",IF(I145="","",IF(I145="x","x"))))</f>
        <v/>
      </c>
      <c r="X145" s="569">
        <f>IF('Aanpassen Werkschema'!Y175="x","",IF('Aanpassen Werkschema'!S175="v","x",IF(J145="","",IF(J145="x","x"))))</f>
        <v/>
      </c>
      <c r="Y145" s="569">
        <f>IF('Aanpassen Werkschema'!Z175="x","",IF('Aanpassen Werkschema'!T175="v","x",IF(K145="","",IF(K145="x","x"))))</f>
        <v/>
      </c>
      <c r="Z145" s="850">
        <f>Z144+0.0000000001</f>
        <v/>
      </c>
      <c r="AA145" s="851">
        <f>IFERROR(IF(C145="",1.1,IF(S145="",1,IF($C145=1,VLOOKUP($B145,'Werkschema - Rekening'!$B$2:$C$46,2,FALSE),IF($C145=2,Instellingen!C$16,IF($C145=3,Instellingen!D$16,IF($C145=4,L145))))+$D145)+$Z145),1.1)</f>
        <v/>
      </c>
      <c r="AB145" s="852">
        <f>IF($B145="","",IFERROR(VLOOKUP($B145,'Werkschema - Rekening'!$B$2:$P$46,3,FALSE),""))</f>
        <v/>
      </c>
      <c r="AC145" s="851">
        <f>IFERROR(IF(C145="",1.1,IF(T145="",1,IF($C145=1,VLOOKUP($B145,'Werkschema - Rekening'!$B$2:$E$46,4,FALSE),IF($C145=2,Instellingen!E$16,IF($C145=3,Instellingen!F$16,IF($C145=4,M145))))+$D145)+$Z145),1.1)</f>
        <v/>
      </c>
      <c r="AD145" s="852">
        <f>IF($B145="","",IFERROR(VLOOKUP($B145,'Werkschema - Rekening'!$B$2:$P$46,5,FALSE),""))</f>
        <v/>
      </c>
      <c r="AE145" s="851">
        <f>IFERROR(IF(C145="",1.1,IF(U145="",1,IF($C145=1,VLOOKUP($B145,'Werkschema - Rekening'!$B$2:$G$46,6,FALSE),IF($C145=2,Instellingen!G$16,IF($C145=3,Instellingen!H$16,IF($C145=4,N145))))+$D145)+$Z145),1.1)</f>
        <v/>
      </c>
      <c r="AF145" s="852">
        <f>IF($B145="","",IFERROR(VLOOKUP($B145,'Werkschema - Rekening'!$B$2:$P$46,7,FALSE),""))</f>
        <v/>
      </c>
      <c r="AG145" s="851">
        <f>IFERROR(IF(C145="",1.1,IF(V145="",1,IF($C145=1,VLOOKUP($B145,'Werkschema - Rekening'!$B$2:$I$46,8,FALSE),IF($C145=2,Instellingen!I$16,IF($C145=3,Instellingen!J$16,IF($C145=4,O145))))+$D145)+$Z145),1.1)</f>
        <v/>
      </c>
      <c r="AH145" s="852">
        <f>IF($B145="","",IFERROR(VLOOKUP($B145,'Werkschema - Rekening'!$B$2:$P$46,9,FALSE),""))</f>
        <v/>
      </c>
      <c r="AI145" s="851">
        <f>IFERROR(IF(C145="",1.1,IF(W145="",1,IF($C145=1,VLOOKUP($B145,'Werkschema - Rekening'!$B$2:$K$46,10,FALSE),IF($C145=2,Instellingen!K$16,IF($C145=3,Instellingen!L$16,IF($C145=4,P145))))+$D145)+$Z145),1.1)</f>
        <v/>
      </c>
      <c r="AJ145" s="852">
        <f>IF($B145="","",IFERROR(VLOOKUP($B145,'Werkschema - Rekening'!$B$2:$P$46,11,FALSE),""))</f>
        <v/>
      </c>
      <c r="AK145" s="851">
        <f>IFERROR(IF(C145="",1.1,IF(X145="",1,IF($C145=1,VLOOKUP($B145,'Werkschema - Rekening'!$B$2:$M$46,12,FALSE),IF($C145=2,Instellingen!M$16,IF($C145=3,Instellingen!N$16,IF($C145=4,Q145))))+$D145)+$Z145),1.1)</f>
        <v/>
      </c>
      <c r="AL145" s="852">
        <f>IF($B145="","",IFERROR(VLOOKUP($B145,'Werkschema - Rekening'!$B$2:$P$46,13,FALSE),""))</f>
        <v/>
      </c>
      <c r="AM145" s="851">
        <f>IFERROR(IF(C145="",1.1,IF(Y145="",1,IF($C145=1,VLOOKUP($B145,'Werkschema - Rekening'!$B$2:$O$46,14,FALSE),IF($C145=2,Instellingen!O$16,IF($C145=3,Instellingen!P$16,IF($C145=4,R145))))+$D145)+$Z145),1.1)</f>
        <v/>
      </c>
      <c r="AN145" s="852">
        <f>IF($B145="","",IFERROR(VLOOKUP($B145,'Werkschema - Rekening'!$B$2:$P$46,15,FALSE),""))</f>
        <v/>
      </c>
      <c r="AO145" s="852">
        <f>A145</f>
        <v/>
      </c>
      <c r="AP145" s="852">
        <f>B145</f>
        <v/>
      </c>
    </row>
    <row r="146" ht="12.6" customHeight="1">
      <c r="A146" s="830">
        <f>'Aanpassen Werkschema'!B176</f>
        <v/>
      </c>
      <c r="B146" s="569">
        <f>'Aanpassen Werkschema'!C176</f>
        <v/>
      </c>
      <c r="C146" s="569">
        <f>IF('Aanpassen Werkschema'!D176="geplande taak",1,IF('Aanpassen Werkschema'!D176="openingstijd",2,IF('Aanpassen Werkschema'!D176="sluitingstijd",3,IF('Aanpassen Werkschema'!D176="vaste tijd",4,""))))</f>
        <v/>
      </c>
      <c r="D146" s="849">
        <f>'Aanpassen Werkschema'!E176</f>
        <v/>
      </c>
      <c r="E146" s="569">
        <f>IF('Aanpassen Werkschema'!F176="v","x","")</f>
        <v/>
      </c>
      <c r="F146" s="569">
        <f>IF('Aanpassen Werkschema'!G176="v","x","")</f>
        <v/>
      </c>
      <c r="G146" s="569">
        <f>IF('Aanpassen Werkschema'!H176="v","x","")</f>
        <v/>
      </c>
      <c r="H146" s="569">
        <f>IF('Aanpassen Werkschema'!I176="v","x","")</f>
        <v/>
      </c>
      <c r="I146" s="569">
        <f>IF('Aanpassen Werkschema'!J176="v","x","")</f>
        <v/>
      </c>
      <c r="J146" s="569">
        <f>IF('Aanpassen Werkschema'!K176="v","x","")</f>
        <v/>
      </c>
      <c r="K146" s="569">
        <f>IF('Aanpassen Werkschema'!L176="v","x","")</f>
        <v/>
      </c>
      <c r="L146" s="571">
        <f>IF('Aanpassen Werkschema'!M176&gt;0,'Aanpassen Werkschema'!M176,"")</f>
        <v/>
      </c>
      <c r="M146" s="571">
        <f>IF('Aanpassen Werkschema'!N176&gt;0,'Aanpassen Werkschema'!N176,"")</f>
        <v/>
      </c>
      <c r="N146" s="571">
        <f>IF('Aanpassen Werkschema'!O176&gt;0,'Aanpassen Werkschema'!O176,"")</f>
        <v/>
      </c>
      <c r="O146" s="571">
        <f>IF('Aanpassen Werkschema'!P176&gt;0,'Aanpassen Werkschema'!P176,"")</f>
        <v/>
      </c>
      <c r="P146" s="571">
        <f>IF('Aanpassen Werkschema'!Q176&gt;0,'Aanpassen Werkschema'!Q176,"")</f>
        <v/>
      </c>
      <c r="Q146" s="571">
        <f>IF('Aanpassen Werkschema'!R176&gt;0,'Aanpassen Werkschema'!R176,"")</f>
        <v/>
      </c>
      <c r="R146" s="571">
        <f>IF('Aanpassen Werkschema'!S176&gt;0,'Aanpassen Werkschema'!S176,"")</f>
        <v/>
      </c>
      <c r="S146" s="569">
        <f>IF('Aanpassen Werkschema'!T176="x","",IF('Aanpassen Werkschema'!N176="v","x",IF(E146="","",IF(E146="x","x"))))</f>
        <v/>
      </c>
      <c r="T146" s="569">
        <f>IF('Aanpassen Werkschema'!U176="x","",IF('Aanpassen Werkschema'!O176="v","x",IF(F146="","",IF(F146="x","x"))))</f>
        <v/>
      </c>
      <c r="U146" s="569">
        <f>IF('Aanpassen Werkschema'!V176="x","",IF('Aanpassen Werkschema'!P176="v","x",IF(G146="","",IF(G146="x","x"))))</f>
        <v/>
      </c>
      <c r="V146" s="569">
        <f>IF('Aanpassen Werkschema'!W176="x","",IF('Aanpassen Werkschema'!Q176="v","x",IF(H146="","",IF(H146="x","x"))))</f>
        <v/>
      </c>
      <c r="W146" s="569">
        <f>IF('Aanpassen Werkschema'!X176="x","",IF('Aanpassen Werkschema'!R176="v","x",IF(I146="","",IF(I146="x","x"))))</f>
        <v/>
      </c>
      <c r="X146" s="569">
        <f>IF('Aanpassen Werkschema'!Y176="x","",IF('Aanpassen Werkschema'!S176="v","x",IF(J146="","",IF(J146="x","x"))))</f>
        <v/>
      </c>
      <c r="Y146" s="569">
        <f>IF('Aanpassen Werkschema'!Z176="x","",IF('Aanpassen Werkschema'!T176="v","x",IF(K146="","",IF(K146="x","x"))))</f>
        <v/>
      </c>
      <c r="Z146" s="850">
        <f>Z145+0.0000000001</f>
        <v/>
      </c>
      <c r="AA146" s="851">
        <f>IFERROR(IF(C146="",1.1,IF(S146="",1,IF($C146=1,VLOOKUP($B146,'Werkschema - Rekening'!$B$2:$C$46,2,FALSE),IF($C146=2,Instellingen!C$16,IF($C146=3,Instellingen!D$16,IF($C146=4,L146))))+$D146)+$Z146),1.1)</f>
        <v/>
      </c>
      <c r="AB146" s="852">
        <f>IF($B146="","",IFERROR(VLOOKUP($B146,'Werkschema - Rekening'!$B$2:$P$46,3,FALSE),""))</f>
        <v/>
      </c>
      <c r="AC146" s="851">
        <f>IFERROR(IF(C146="",1.1,IF(T146="",1,IF($C146=1,VLOOKUP($B146,'Werkschema - Rekening'!$B$2:$E$46,4,FALSE),IF($C146=2,Instellingen!E$16,IF($C146=3,Instellingen!F$16,IF($C146=4,M146))))+$D146)+$Z146),1.1)</f>
        <v/>
      </c>
      <c r="AD146" s="852">
        <f>IF($B146="","",IFERROR(VLOOKUP($B146,'Werkschema - Rekening'!$B$2:$P$46,5,FALSE),""))</f>
        <v/>
      </c>
      <c r="AE146" s="851">
        <f>IFERROR(IF(C146="",1.1,IF(U146="",1,IF($C146=1,VLOOKUP($B146,'Werkschema - Rekening'!$B$2:$G$46,6,FALSE),IF($C146=2,Instellingen!G$16,IF($C146=3,Instellingen!H$16,IF($C146=4,N146))))+$D146)+$Z146),1.1)</f>
        <v/>
      </c>
      <c r="AF146" s="852">
        <f>IF($B146="","",IFERROR(VLOOKUP($B146,'Werkschema - Rekening'!$B$2:$P$46,7,FALSE),""))</f>
        <v/>
      </c>
      <c r="AG146" s="851">
        <f>IFERROR(IF(C146="",1.1,IF(V146="",1,IF($C146=1,VLOOKUP($B146,'Werkschema - Rekening'!$B$2:$I$46,8,FALSE),IF($C146=2,Instellingen!I$16,IF($C146=3,Instellingen!J$16,IF($C146=4,O146))))+$D146)+$Z146),1.1)</f>
        <v/>
      </c>
      <c r="AH146" s="852">
        <f>IF($B146="","",IFERROR(VLOOKUP($B146,'Werkschema - Rekening'!$B$2:$P$46,9,FALSE),""))</f>
        <v/>
      </c>
      <c r="AI146" s="851">
        <f>IFERROR(IF(C146="",1.1,IF(W146="",1,IF($C146=1,VLOOKUP($B146,'Werkschema - Rekening'!$B$2:$K$46,10,FALSE),IF($C146=2,Instellingen!K$16,IF($C146=3,Instellingen!L$16,IF($C146=4,P146))))+$D146)+$Z146),1.1)</f>
        <v/>
      </c>
      <c r="AJ146" s="852">
        <f>IF($B146="","",IFERROR(VLOOKUP($B146,'Werkschema - Rekening'!$B$2:$P$46,11,FALSE),""))</f>
        <v/>
      </c>
      <c r="AK146" s="851">
        <f>IFERROR(IF(C146="",1.1,IF(X146="",1,IF($C146=1,VLOOKUP($B146,'Werkschema - Rekening'!$B$2:$M$46,12,FALSE),IF($C146=2,Instellingen!M$16,IF($C146=3,Instellingen!N$16,IF($C146=4,Q146))))+$D146)+$Z146),1.1)</f>
        <v/>
      </c>
      <c r="AL146" s="852">
        <f>IF($B146="","",IFERROR(VLOOKUP($B146,'Werkschema - Rekening'!$B$2:$P$46,13,FALSE),""))</f>
        <v/>
      </c>
      <c r="AM146" s="851">
        <f>IFERROR(IF(C146="",1.1,IF(Y146="",1,IF($C146=1,VLOOKUP($B146,'Werkschema - Rekening'!$B$2:$O$46,14,FALSE),IF($C146=2,Instellingen!O$16,IF($C146=3,Instellingen!P$16,IF($C146=4,R146))))+$D146)+$Z146),1.1)</f>
        <v/>
      </c>
      <c r="AN146" s="852">
        <f>IF($B146="","",IFERROR(VLOOKUP($B146,'Werkschema - Rekening'!$B$2:$P$46,15,FALSE),""))</f>
        <v/>
      </c>
      <c r="AO146" s="852">
        <f>A146</f>
        <v/>
      </c>
      <c r="AP146" s="852">
        <f>B146</f>
        <v/>
      </c>
    </row>
    <row r="147" ht="12.6" customHeight="1">
      <c r="A147" s="830">
        <f>'Aanpassen Werkschema'!B177</f>
        <v/>
      </c>
      <c r="B147" s="569">
        <f>'Aanpassen Werkschema'!C177</f>
        <v/>
      </c>
      <c r="C147" s="569">
        <f>IF('Aanpassen Werkschema'!D177="geplande taak",1,IF('Aanpassen Werkschema'!D177="openingstijd",2,IF('Aanpassen Werkschema'!D177="sluitingstijd",3,IF('Aanpassen Werkschema'!D177="vaste tijd",4,""))))</f>
        <v/>
      </c>
      <c r="D147" s="849">
        <f>'Aanpassen Werkschema'!E177</f>
        <v/>
      </c>
      <c r="E147" s="569">
        <f>IF('Aanpassen Werkschema'!F177="v","x","")</f>
        <v/>
      </c>
      <c r="F147" s="569">
        <f>IF('Aanpassen Werkschema'!G177="v","x","")</f>
        <v/>
      </c>
      <c r="G147" s="569">
        <f>IF('Aanpassen Werkschema'!H177="v","x","")</f>
        <v/>
      </c>
      <c r="H147" s="569">
        <f>IF('Aanpassen Werkschema'!I177="v","x","")</f>
        <v/>
      </c>
      <c r="I147" s="569">
        <f>IF('Aanpassen Werkschema'!J177="v","x","")</f>
        <v/>
      </c>
      <c r="J147" s="569">
        <f>IF('Aanpassen Werkschema'!K177="v","x","")</f>
        <v/>
      </c>
      <c r="K147" s="569">
        <f>IF('Aanpassen Werkschema'!L177="v","x","")</f>
        <v/>
      </c>
      <c r="L147" s="571">
        <f>IF('Aanpassen Werkschema'!M177&gt;0,'Aanpassen Werkschema'!M177,"")</f>
        <v/>
      </c>
      <c r="M147" s="571">
        <f>IF('Aanpassen Werkschema'!N177&gt;0,'Aanpassen Werkschema'!N177,"")</f>
        <v/>
      </c>
      <c r="N147" s="571">
        <f>IF('Aanpassen Werkschema'!O177&gt;0,'Aanpassen Werkschema'!O177,"")</f>
        <v/>
      </c>
      <c r="O147" s="571">
        <f>IF('Aanpassen Werkschema'!P177&gt;0,'Aanpassen Werkschema'!P177,"")</f>
        <v/>
      </c>
      <c r="P147" s="571">
        <f>IF('Aanpassen Werkschema'!Q177&gt;0,'Aanpassen Werkschema'!Q177,"")</f>
        <v/>
      </c>
      <c r="Q147" s="571">
        <f>IF('Aanpassen Werkschema'!R177&gt;0,'Aanpassen Werkschema'!R177,"")</f>
        <v/>
      </c>
      <c r="R147" s="571">
        <f>IF('Aanpassen Werkschema'!S177&gt;0,'Aanpassen Werkschema'!S177,"")</f>
        <v/>
      </c>
      <c r="S147" s="569">
        <f>IF('Aanpassen Werkschema'!T177="x","",IF('Aanpassen Werkschema'!N177="v","x",IF(E147="","",IF(E147="x","x"))))</f>
        <v/>
      </c>
      <c r="T147" s="569">
        <f>IF('Aanpassen Werkschema'!U177="x","",IF('Aanpassen Werkschema'!O177="v","x",IF(F147="","",IF(F147="x","x"))))</f>
        <v/>
      </c>
      <c r="U147" s="569">
        <f>IF('Aanpassen Werkschema'!V177="x","",IF('Aanpassen Werkschema'!P177="v","x",IF(G147="","",IF(G147="x","x"))))</f>
        <v/>
      </c>
      <c r="V147" s="569">
        <f>IF('Aanpassen Werkschema'!W177="x","",IF('Aanpassen Werkschema'!Q177="v","x",IF(H147="","",IF(H147="x","x"))))</f>
        <v/>
      </c>
      <c r="W147" s="569">
        <f>IF('Aanpassen Werkschema'!X177="x","",IF('Aanpassen Werkschema'!R177="v","x",IF(I147="","",IF(I147="x","x"))))</f>
        <v/>
      </c>
      <c r="X147" s="569">
        <f>IF('Aanpassen Werkschema'!Y177="x","",IF('Aanpassen Werkschema'!S177="v","x",IF(J147="","",IF(J147="x","x"))))</f>
        <v/>
      </c>
      <c r="Y147" s="569">
        <f>IF('Aanpassen Werkschema'!Z177="x","",IF('Aanpassen Werkschema'!T177="v","x",IF(K147="","",IF(K147="x","x"))))</f>
        <v/>
      </c>
      <c r="Z147" s="850">
        <f>Z146+0.0000000001</f>
        <v/>
      </c>
      <c r="AA147" s="851">
        <f>IFERROR(IF(C147="",1.1,IF(S147="",1,IF($C147=1,VLOOKUP($B147,'Werkschema - Rekening'!$B$2:$C$46,2,FALSE),IF($C147=2,Instellingen!C$16,IF($C147=3,Instellingen!D$16,IF($C147=4,L147))))+$D147)+$Z147),1.1)</f>
        <v/>
      </c>
      <c r="AB147" s="852">
        <f>IF($B147="","",IFERROR(VLOOKUP($B147,'Werkschema - Rekening'!$B$2:$P$46,3,FALSE),""))</f>
        <v/>
      </c>
      <c r="AC147" s="851">
        <f>IFERROR(IF(C147="",1.1,IF(T147="",1,IF($C147=1,VLOOKUP($B147,'Werkschema - Rekening'!$B$2:$E$46,4,FALSE),IF($C147=2,Instellingen!E$16,IF($C147=3,Instellingen!F$16,IF($C147=4,M147))))+$D147)+$Z147),1.1)</f>
        <v/>
      </c>
      <c r="AD147" s="852">
        <f>IF($B147="","",IFERROR(VLOOKUP($B147,'Werkschema - Rekening'!$B$2:$P$46,5,FALSE),""))</f>
        <v/>
      </c>
      <c r="AE147" s="851">
        <f>IFERROR(IF(C147="",1.1,IF(U147="",1,IF($C147=1,VLOOKUP($B147,'Werkschema - Rekening'!$B$2:$G$46,6,FALSE),IF($C147=2,Instellingen!G$16,IF($C147=3,Instellingen!H$16,IF($C147=4,N147))))+$D147)+$Z147),1.1)</f>
        <v/>
      </c>
      <c r="AF147" s="852">
        <f>IF($B147="","",IFERROR(VLOOKUP($B147,'Werkschema - Rekening'!$B$2:$P$46,7,FALSE),""))</f>
        <v/>
      </c>
      <c r="AG147" s="851">
        <f>IFERROR(IF(C147="",1.1,IF(V147="",1,IF($C147=1,VLOOKUP($B147,'Werkschema - Rekening'!$B$2:$I$46,8,FALSE),IF($C147=2,Instellingen!I$16,IF($C147=3,Instellingen!J$16,IF($C147=4,O147))))+$D147)+$Z147),1.1)</f>
        <v/>
      </c>
      <c r="AH147" s="852">
        <f>IF($B147="","",IFERROR(VLOOKUP($B147,'Werkschema - Rekening'!$B$2:$P$46,9,FALSE),""))</f>
        <v/>
      </c>
      <c r="AI147" s="851">
        <f>IFERROR(IF(C147="",1.1,IF(W147="",1,IF($C147=1,VLOOKUP($B147,'Werkschema - Rekening'!$B$2:$K$46,10,FALSE),IF($C147=2,Instellingen!K$16,IF($C147=3,Instellingen!L$16,IF($C147=4,P147))))+$D147)+$Z147),1.1)</f>
        <v/>
      </c>
      <c r="AJ147" s="852">
        <f>IF($B147="","",IFERROR(VLOOKUP($B147,'Werkschema - Rekening'!$B$2:$P$46,11,FALSE),""))</f>
        <v/>
      </c>
      <c r="AK147" s="851">
        <f>IFERROR(IF(C147="",1.1,IF(X147="",1,IF($C147=1,VLOOKUP($B147,'Werkschema - Rekening'!$B$2:$M$46,12,FALSE),IF($C147=2,Instellingen!M$16,IF($C147=3,Instellingen!N$16,IF($C147=4,Q147))))+$D147)+$Z147),1.1)</f>
        <v/>
      </c>
      <c r="AL147" s="852">
        <f>IF($B147="","",IFERROR(VLOOKUP($B147,'Werkschema - Rekening'!$B$2:$P$46,13,FALSE),""))</f>
        <v/>
      </c>
      <c r="AM147" s="851">
        <f>IFERROR(IF(C147="",1.1,IF(Y147="",1,IF($C147=1,VLOOKUP($B147,'Werkschema - Rekening'!$B$2:$O$46,14,FALSE),IF($C147=2,Instellingen!O$16,IF($C147=3,Instellingen!P$16,IF($C147=4,R147))))+$D147)+$Z147),1.1)</f>
        <v/>
      </c>
      <c r="AN147" s="852">
        <f>IF($B147="","",IFERROR(VLOOKUP($B147,'Werkschema - Rekening'!$B$2:$P$46,15,FALSE),""))</f>
        <v/>
      </c>
      <c r="AO147" s="852">
        <f>A147</f>
        <v/>
      </c>
      <c r="AP147" s="852">
        <f>B147</f>
        <v/>
      </c>
    </row>
    <row r="148" ht="12.6" customHeight="1">
      <c r="A148" s="830">
        <f>'Aanpassen Werkschema'!B178</f>
        <v/>
      </c>
      <c r="B148" s="569">
        <f>'Aanpassen Werkschema'!C178</f>
        <v/>
      </c>
      <c r="C148" s="569">
        <f>IF('Aanpassen Werkschema'!D178="geplande taak",1,IF('Aanpassen Werkschema'!D178="openingstijd",2,IF('Aanpassen Werkschema'!D178="sluitingstijd",3,IF('Aanpassen Werkschema'!D178="vaste tijd",4,""))))</f>
        <v/>
      </c>
      <c r="D148" s="849">
        <f>'Aanpassen Werkschema'!E178</f>
        <v/>
      </c>
      <c r="E148" s="569">
        <f>IF('Aanpassen Werkschema'!F178="v","x","")</f>
        <v/>
      </c>
      <c r="F148" s="569">
        <f>IF('Aanpassen Werkschema'!G178="v","x","")</f>
        <v/>
      </c>
      <c r="G148" s="569">
        <f>IF('Aanpassen Werkschema'!H178="v","x","")</f>
        <v/>
      </c>
      <c r="H148" s="569">
        <f>IF('Aanpassen Werkschema'!I178="v","x","")</f>
        <v/>
      </c>
      <c r="I148" s="569">
        <f>IF('Aanpassen Werkschema'!J178="v","x","")</f>
        <v/>
      </c>
      <c r="J148" s="569">
        <f>IF('Aanpassen Werkschema'!K178="v","x","")</f>
        <v/>
      </c>
      <c r="K148" s="569">
        <f>IF('Aanpassen Werkschema'!L178="v","x","")</f>
        <v/>
      </c>
      <c r="L148" s="571">
        <f>IF('Aanpassen Werkschema'!M178&gt;0,'Aanpassen Werkschema'!M178,"")</f>
        <v/>
      </c>
      <c r="M148" s="571">
        <f>IF('Aanpassen Werkschema'!N178&gt;0,'Aanpassen Werkschema'!N178,"")</f>
        <v/>
      </c>
      <c r="N148" s="571">
        <f>IF('Aanpassen Werkschema'!O178&gt;0,'Aanpassen Werkschema'!O178,"")</f>
        <v/>
      </c>
      <c r="O148" s="571">
        <f>IF('Aanpassen Werkschema'!P178&gt;0,'Aanpassen Werkschema'!P178,"")</f>
        <v/>
      </c>
      <c r="P148" s="571">
        <f>IF('Aanpassen Werkschema'!Q178&gt;0,'Aanpassen Werkschema'!Q178,"")</f>
        <v/>
      </c>
      <c r="Q148" s="571">
        <f>IF('Aanpassen Werkschema'!R178&gt;0,'Aanpassen Werkschema'!R178,"")</f>
        <v/>
      </c>
      <c r="R148" s="571">
        <f>IF('Aanpassen Werkschema'!S178&gt;0,'Aanpassen Werkschema'!S178,"")</f>
        <v/>
      </c>
      <c r="S148" s="569">
        <f>IF('Aanpassen Werkschema'!T178="x","",IF('Aanpassen Werkschema'!N178="v","x",IF(E148="","",IF(E148="x","x"))))</f>
        <v/>
      </c>
      <c r="T148" s="569">
        <f>IF('Aanpassen Werkschema'!U178="x","",IF('Aanpassen Werkschema'!O178="v","x",IF(F148="","",IF(F148="x","x"))))</f>
        <v/>
      </c>
      <c r="U148" s="569">
        <f>IF('Aanpassen Werkschema'!V178="x","",IF('Aanpassen Werkschema'!P178="v","x",IF(G148="","",IF(G148="x","x"))))</f>
        <v/>
      </c>
      <c r="V148" s="569">
        <f>IF('Aanpassen Werkschema'!W178="x","",IF('Aanpassen Werkschema'!Q178="v","x",IF(H148="","",IF(H148="x","x"))))</f>
        <v/>
      </c>
      <c r="W148" s="569">
        <f>IF('Aanpassen Werkschema'!X178="x","",IF('Aanpassen Werkschema'!R178="v","x",IF(I148="","",IF(I148="x","x"))))</f>
        <v/>
      </c>
      <c r="X148" s="569">
        <f>IF('Aanpassen Werkschema'!Y178="x","",IF('Aanpassen Werkschema'!S178="v","x",IF(J148="","",IF(J148="x","x"))))</f>
        <v/>
      </c>
      <c r="Y148" s="569">
        <f>IF('Aanpassen Werkschema'!Z178="x","",IF('Aanpassen Werkschema'!T178="v","x",IF(K148="","",IF(K148="x","x"))))</f>
        <v/>
      </c>
      <c r="Z148" s="850">
        <f>Z147+0.0000000001</f>
        <v/>
      </c>
      <c r="AA148" s="851">
        <f>IFERROR(IF(C148="",1.1,IF(S148="",1,IF($C148=1,VLOOKUP($B148,'Werkschema - Rekening'!$B$2:$C$46,2,FALSE),IF($C148=2,Instellingen!C$16,IF($C148=3,Instellingen!D$16,IF($C148=4,L148))))+$D148)+$Z148),1.1)</f>
        <v/>
      </c>
      <c r="AB148" s="852">
        <f>IF($B148="","",IFERROR(VLOOKUP($B148,'Werkschema - Rekening'!$B$2:$P$46,3,FALSE),""))</f>
        <v/>
      </c>
      <c r="AC148" s="851">
        <f>IFERROR(IF(C148="",1.1,IF(T148="",1,IF($C148=1,VLOOKUP($B148,'Werkschema - Rekening'!$B$2:$E$46,4,FALSE),IF($C148=2,Instellingen!E$16,IF($C148=3,Instellingen!F$16,IF($C148=4,M148))))+$D148)+$Z148),1.1)</f>
        <v/>
      </c>
      <c r="AD148" s="852">
        <f>IF($B148="","",IFERROR(VLOOKUP($B148,'Werkschema - Rekening'!$B$2:$P$46,5,FALSE),""))</f>
        <v/>
      </c>
      <c r="AE148" s="851">
        <f>IFERROR(IF(C148="",1.1,IF(U148="",1,IF($C148=1,VLOOKUP($B148,'Werkschema - Rekening'!$B$2:$G$46,6,FALSE),IF($C148=2,Instellingen!G$16,IF($C148=3,Instellingen!H$16,IF($C148=4,N148))))+$D148)+$Z148),1.1)</f>
        <v/>
      </c>
      <c r="AF148" s="852">
        <f>IF($B148="","",IFERROR(VLOOKUP($B148,'Werkschema - Rekening'!$B$2:$P$46,7,FALSE),""))</f>
        <v/>
      </c>
      <c r="AG148" s="851">
        <f>IFERROR(IF(C148="",1.1,IF(V148="",1,IF($C148=1,VLOOKUP($B148,'Werkschema - Rekening'!$B$2:$I$46,8,FALSE),IF($C148=2,Instellingen!I$16,IF($C148=3,Instellingen!J$16,IF($C148=4,O148))))+$D148)+$Z148),1.1)</f>
        <v/>
      </c>
      <c r="AH148" s="852">
        <f>IF($B148="","",IFERROR(VLOOKUP($B148,'Werkschema - Rekening'!$B$2:$P$46,9,FALSE),""))</f>
        <v/>
      </c>
      <c r="AI148" s="851">
        <f>IFERROR(IF(C148="",1.1,IF(W148="",1,IF($C148=1,VLOOKUP($B148,'Werkschema - Rekening'!$B$2:$K$46,10,FALSE),IF($C148=2,Instellingen!K$16,IF($C148=3,Instellingen!L$16,IF($C148=4,P148))))+$D148)+$Z148),1.1)</f>
        <v/>
      </c>
      <c r="AJ148" s="852">
        <f>IF($B148="","",IFERROR(VLOOKUP($B148,'Werkschema - Rekening'!$B$2:$P$46,11,FALSE),""))</f>
        <v/>
      </c>
      <c r="AK148" s="851">
        <f>IFERROR(IF(C148="",1.1,IF(X148="",1,IF($C148=1,VLOOKUP($B148,'Werkschema - Rekening'!$B$2:$M$46,12,FALSE),IF($C148=2,Instellingen!M$16,IF($C148=3,Instellingen!N$16,IF($C148=4,Q148))))+$D148)+$Z148),1.1)</f>
        <v/>
      </c>
      <c r="AL148" s="852">
        <f>IF($B148="","",IFERROR(VLOOKUP($B148,'Werkschema - Rekening'!$B$2:$P$46,13,FALSE),""))</f>
        <v/>
      </c>
      <c r="AM148" s="851">
        <f>IFERROR(IF(C148="",1.1,IF(Y148="",1,IF($C148=1,VLOOKUP($B148,'Werkschema - Rekening'!$B$2:$O$46,14,FALSE),IF($C148=2,Instellingen!O$16,IF($C148=3,Instellingen!P$16,IF($C148=4,R148))))+$D148)+$Z148),1.1)</f>
        <v/>
      </c>
      <c r="AN148" s="852">
        <f>IF($B148="","",IFERROR(VLOOKUP($B148,'Werkschema - Rekening'!$B$2:$P$46,15,FALSE),""))</f>
        <v/>
      </c>
      <c r="AO148" s="852">
        <f>A148</f>
        <v/>
      </c>
      <c r="AP148" s="852">
        <f>B148</f>
        <v/>
      </c>
    </row>
    <row r="149" ht="12.6" customHeight="1">
      <c r="A149" s="830">
        <f>'Aanpassen Werkschema'!B179</f>
        <v/>
      </c>
      <c r="B149" s="569">
        <f>'Aanpassen Werkschema'!C179</f>
        <v/>
      </c>
      <c r="C149" s="569">
        <f>IF('Aanpassen Werkschema'!D179="geplande taak",1,IF('Aanpassen Werkschema'!D179="openingstijd",2,IF('Aanpassen Werkschema'!D179="sluitingstijd",3,IF('Aanpassen Werkschema'!D179="vaste tijd",4,""))))</f>
        <v/>
      </c>
      <c r="D149" s="849">
        <f>'Aanpassen Werkschema'!E179</f>
        <v/>
      </c>
      <c r="E149" s="569">
        <f>IF('Aanpassen Werkschema'!F179="v","x","")</f>
        <v/>
      </c>
      <c r="F149" s="569">
        <f>IF('Aanpassen Werkschema'!G179="v","x","")</f>
        <v/>
      </c>
      <c r="G149" s="569">
        <f>IF('Aanpassen Werkschema'!H179="v","x","")</f>
        <v/>
      </c>
      <c r="H149" s="569">
        <f>IF('Aanpassen Werkschema'!I179="v","x","")</f>
        <v/>
      </c>
      <c r="I149" s="569">
        <f>IF('Aanpassen Werkschema'!J179="v","x","")</f>
        <v/>
      </c>
      <c r="J149" s="569">
        <f>IF('Aanpassen Werkschema'!K179="v","x","")</f>
        <v/>
      </c>
      <c r="K149" s="569">
        <f>IF('Aanpassen Werkschema'!L179="v","x","")</f>
        <v/>
      </c>
      <c r="L149" s="571">
        <f>IF('Aanpassen Werkschema'!M179&gt;0,'Aanpassen Werkschema'!M179,"")</f>
        <v/>
      </c>
      <c r="M149" s="571">
        <f>IF('Aanpassen Werkschema'!N179&gt;0,'Aanpassen Werkschema'!N179,"")</f>
        <v/>
      </c>
      <c r="N149" s="571">
        <f>IF('Aanpassen Werkschema'!O179&gt;0,'Aanpassen Werkschema'!O179,"")</f>
        <v/>
      </c>
      <c r="O149" s="571">
        <f>IF('Aanpassen Werkschema'!P179&gt;0,'Aanpassen Werkschema'!P179,"")</f>
        <v/>
      </c>
      <c r="P149" s="571">
        <f>IF('Aanpassen Werkschema'!Q179&gt;0,'Aanpassen Werkschema'!Q179,"")</f>
        <v/>
      </c>
      <c r="Q149" s="571">
        <f>IF('Aanpassen Werkschema'!R179&gt;0,'Aanpassen Werkschema'!R179,"")</f>
        <v/>
      </c>
      <c r="R149" s="571">
        <f>IF('Aanpassen Werkschema'!S179&gt;0,'Aanpassen Werkschema'!S179,"")</f>
        <v/>
      </c>
      <c r="S149" s="569">
        <f>IF('Aanpassen Werkschema'!T179="x","",IF('Aanpassen Werkschema'!N179="v","x",IF(E149="","",IF(E149="x","x"))))</f>
        <v/>
      </c>
      <c r="T149" s="569">
        <f>IF('Aanpassen Werkschema'!U179="x","",IF('Aanpassen Werkschema'!O179="v","x",IF(F149="","",IF(F149="x","x"))))</f>
        <v/>
      </c>
      <c r="U149" s="569">
        <f>IF('Aanpassen Werkschema'!V179="x","",IF('Aanpassen Werkschema'!P179="v","x",IF(G149="","",IF(G149="x","x"))))</f>
        <v/>
      </c>
      <c r="V149" s="569">
        <f>IF('Aanpassen Werkschema'!W179="x","",IF('Aanpassen Werkschema'!Q179="v","x",IF(H149="","",IF(H149="x","x"))))</f>
        <v/>
      </c>
      <c r="W149" s="569">
        <f>IF('Aanpassen Werkschema'!X179="x","",IF('Aanpassen Werkschema'!R179="v","x",IF(I149="","",IF(I149="x","x"))))</f>
        <v/>
      </c>
      <c r="X149" s="569">
        <f>IF('Aanpassen Werkschema'!Y179="x","",IF('Aanpassen Werkschema'!S179="v","x",IF(J149="","",IF(J149="x","x"))))</f>
        <v/>
      </c>
      <c r="Y149" s="569">
        <f>IF('Aanpassen Werkschema'!Z179="x","",IF('Aanpassen Werkschema'!T179="v","x",IF(K149="","",IF(K149="x","x"))))</f>
        <v/>
      </c>
      <c r="Z149" s="850">
        <f>Z148+0.0000000001</f>
        <v/>
      </c>
      <c r="AA149" s="851">
        <f>IFERROR(IF(C149="",1.1,IF(S149="",1,IF($C149=1,VLOOKUP($B149,'Werkschema - Rekening'!$B$2:$C$46,2,FALSE),IF($C149=2,Instellingen!C$16,IF($C149=3,Instellingen!D$16,IF($C149=4,L149))))+$D149)+$Z149),1.1)</f>
        <v/>
      </c>
      <c r="AB149" s="852">
        <f>IF($B149="","",IFERROR(VLOOKUP($B149,'Werkschema - Rekening'!$B$2:$P$46,3,FALSE),""))</f>
        <v/>
      </c>
      <c r="AC149" s="851">
        <f>IFERROR(IF(C149="",1.1,IF(T149="",1,IF($C149=1,VLOOKUP($B149,'Werkschema - Rekening'!$B$2:$E$46,4,FALSE),IF($C149=2,Instellingen!E$16,IF($C149=3,Instellingen!F$16,IF($C149=4,M149))))+$D149)+$Z149),1.1)</f>
        <v/>
      </c>
      <c r="AD149" s="852">
        <f>IF($B149="","",IFERROR(VLOOKUP($B149,'Werkschema - Rekening'!$B$2:$P$46,5,FALSE),""))</f>
        <v/>
      </c>
      <c r="AE149" s="851">
        <f>IFERROR(IF(C149="",1.1,IF(U149="",1,IF($C149=1,VLOOKUP($B149,'Werkschema - Rekening'!$B$2:$G$46,6,FALSE),IF($C149=2,Instellingen!G$16,IF($C149=3,Instellingen!H$16,IF($C149=4,N149))))+$D149)+$Z149),1.1)</f>
        <v/>
      </c>
      <c r="AF149" s="852">
        <f>IF($B149="","",IFERROR(VLOOKUP($B149,'Werkschema - Rekening'!$B$2:$P$46,7,FALSE),""))</f>
        <v/>
      </c>
      <c r="AG149" s="851">
        <f>IFERROR(IF(C149="",1.1,IF(V149="",1,IF($C149=1,VLOOKUP($B149,'Werkschema - Rekening'!$B$2:$I$46,8,FALSE),IF($C149=2,Instellingen!I$16,IF($C149=3,Instellingen!J$16,IF($C149=4,O149))))+$D149)+$Z149),1.1)</f>
        <v/>
      </c>
      <c r="AH149" s="852">
        <f>IF($B149="","",IFERROR(VLOOKUP($B149,'Werkschema - Rekening'!$B$2:$P$46,9,FALSE),""))</f>
        <v/>
      </c>
      <c r="AI149" s="851">
        <f>IFERROR(IF(C149="",1.1,IF(W149="",1,IF($C149=1,VLOOKUP($B149,'Werkschema - Rekening'!$B$2:$K$46,10,FALSE),IF($C149=2,Instellingen!K$16,IF($C149=3,Instellingen!L$16,IF($C149=4,P149))))+$D149)+$Z149),1.1)</f>
        <v/>
      </c>
      <c r="AJ149" s="852">
        <f>IF($B149="","",IFERROR(VLOOKUP($B149,'Werkschema - Rekening'!$B$2:$P$46,11,FALSE),""))</f>
        <v/>
      </c>
      <c r="AK149" s="851">
        <f>IFERROR(IF(C149="",1.1,IF(X149="",1,IF($C149=1,VLOOKUP($B149,'Werkschema - Rekening'!$B$2:$M$46,12,FALSE),IF($C149=2,Instellingen!M$16,IF($C149=3,Instellingen!N$16,IF($C149=4,Q149))))+$D149)+$Z149),1.1)</f>
        <v/>
      </c>
      <c r="AL149" s="852">
        <f>IF($B149="","",IFERROR(VLOOKUP($B149,'Werkschema - Rekening'!$B$2:$P$46,13,FALSE),""))</f>
        <v/>
      </c>
      <c r="AM149" s="851">
        <f>IFERROR(IF(C149="",1.1,IF(Y149="",1,IF($C149=1,VLOOKUP($B149,'Werkschema - Rekening'!$B$2:$O$46,14,FALSE),IF($C149=2,Instellingen!O$16,IF($C149=3,Instellingen!P$16,IF($C149=4,R149))))+$D149)+$Z149),1.1)</f>
        <v/>
      </c>
      <c r="AN149" s="852">
        <f>IF($B149="","",IFERROR(VLOOKUP($B149,'Werkschema - Rekening'!$B$2:$P$46,15,FALSE),""))</f>
        <v/>
      </c>
      <c r="AO149" s="852">
        <f>A149</f>
        <v/>
      </c>
      <c r="AP149" s="852">
        <f>B149</f>
        <v/>
      </c>
    </row>
    <row r="150" ht="12.6" customHeight="1">
      <c r="A150" s="830">
        <f>'Aanpassen Werkschema'!B180</f>
        <v/>
      </c>
      <c r="B150" s="569">
        <f>'Aanpassen Werkschema'!C180</f>
        <v/>
      </c>
      <c r="C150" s="569">
        <f>IF('Aanpassen Werkschema'!D180="geplande taak",1,IF('Aanpassen Werkschema'!D180="openingstijd",2,IF('Aanpassen Werkschema'!D180="sluitingstijd",3,IF('Aanpassen Werkschema'!D180="vaste tijd",4,""))))</f>
        <v/>
      </c>
      <c r="D150" s="849">
        <f>'Aanpassen Werkschema'!E180</f>
        <v/>
      </c>
      <c r="E150" s="569">
        <f>IF('Aanpassen Werkschema'!F180="v","x","")</f>
        <v/>
      </c>
      <c r="F150" s="569">
        <f>IF('Aanpassen Werkschema'!G180="v","x","")</f>
        <v/>
      </c>
      <c r="G150" s="569">
        <f>IF('Aanpassen Werkschema'!H180="v","x","")</f>
        <v/>
      </c>
      <c r="H150" s="569">
        <f>IF('Aanpassen Werkschema'!I180="v","x","")</f>
        <v/>
      </c>
      <c r="I150" s="569">
        <f>IF('Aanpassen Werkschema'!J180="v","x","")</f>
        <v/>
      </c>
      <c r="J150" s="569">
        <f>IF('Aanpassen Werkschema'!K180="v","x","")</f>
        <v/>
      </c>
      <c r="K150" s="569">
        <f>IF('Aanpassen Werkschema'!L180="v","x","")</f>
        <v/>
      </c>
      <c r="L150" s="571">
        <f>IF('Aanpassen Werkschema'!M180&gt;0,'Aanpassen Werkschema'!M180,"")</f>
        <v/>
      </c>
      <c r="M150" s="571">
        <f>IF('Aanpassen Werkschema'!N180&gt;0,'Aanpassen Werkschema'!N180,"")</f>
        <v/>
      </c>
      <c r="N150" s="571">
        <f>IF('Aanpassen Werkschema'!O180&gt;0,'Aanpassen Werkschema'!O180,"")</f>
        <v/>
      </c>
      <c r="O150" s="571">
        <f>IF('Aanpassen Werkschema'!P180&gt;0,'Aanpassen Werkschema'!P180,"")</f>
        <v/>
      </c>
      <c r="P150" s="571">
        <f>IF('Aanpassen Werkschema'!Q180&gt;0,'Aanpassen Werkschema'!Q180,"")</f>
        <v/>
      </c>
      <c r="Q150" s="571">
        <f>IF('Aanpassen Werkschema'!R180&gt;0,'Aanpassen Werkschema'!R180,"")</f>
        <v/>
      </c>
      <c r="R150" s="571">
        <f>IF('Aanpassen Werkschema'!S180&gt;0,'Aanpassen Werkschema'!S180,"")</f>
        <v/>
      </c>
      <c r="S150" s="569">
        <f>IF('Aanpassen Werkschema'!T180="x","",IF('Aanpassen Werkschema'!N180="v","x",IF(E150="","",IF(E150="x","x"))))</f>
        <v/>
      </c>
      <c r="T150" s="569">
        <f>IF('Aanpassen Werkschema'!U180="x","",IF('Aanpassen Werkschema'!O180="v","x",IF(F150="","",IF(F150="x","x"))))</f>
        <v/>
      </c>
      <c r="U150" s="569">
        <f>IF('Aanpassen Werkschema'!V180="x","",IF('Aanpassen Werkschema'!P180="v","x",IF(G150="","",IF(G150="x","x"))))</f>
        <v/>
      </c>
      <c r="V150" s="569">
        <f>IF('Aanpassen Werkschema'!W180="x","",IF('Aanpassen Werkschema'!Q180="v","x",IF(H150="","",IF(H150="x","x"))))</f>
        <v/>
      </c>
      <c r="W150" s="569">
        <f>IF('Aanpassen Werkschema'!X180="x","",IF('Aanpassen Werkschema'!R180="v","x",IF(I150="","",IF(I150="x","x"))))</f>
        <v/>
      </c>
      <c r="X150" s="569">
        <f>IF('Aanpassen Werkschema'!Y180="x","",IF('Aanpassen Werkschema'!S180="v","x",IF(J150="","",IF(J150="x","x"))))</f>
        <v/>
      </c>
      <c r="Y150" s="569">
        <f>IF('Aanpassen Werkschema'!Z180="x","",IF('Aanpassen Werkschema'!T180="v","x",IF(K150="","",IF(K150="x","x"))))</f>
        <v/>
      </c>
      <c r="Z150" s="850">
        <f>Z149+0.0000000001</f>
        <v/>
      </c>
      <c r="AA150" s="851">
        <f>IFERROR(IF(C150="",1.1,IF(S150="",1,IF($C150=1,VLOOKUP($B150,'Werkschema - Rekening'!$B$2:$C$46,2,FALSE),IF($C150=2,Instellingen!C$16,IF($C150=3,Instellingen!D$16,IF($C150=4,L150))))+$D150)+$Z150),1.1)</f>
        <v/>
      </c>
      <c r="AB150" s="852">
        <f>IF($B150="","",IFERROR(VLOOKUP($B150,'Werkschema - Rekening'!$B$2:$P$46,3,FALSE),""))</f>
        <v/>
      </c>
      <c r="AC150" s="851">
        <f>IFERROR(IF(C150="",1.1,IF(T150="",1,IF($C150=1,VLOOKUP($B150,'Werkschema - Rekening'!$B$2:$E$46,4,FALSE),IF($C150=2,Instellingen!E$16,IF($C150=3,Instellingen!F$16,IF($C150=4,M150))))+$D150)+$Z150),1.1)</f>
        <v/>
      </c>
      <c r="AD150" s="852">
        <f>IF($B150="","",IFERROR(VLOOKUP($B150,'Werkschema - Rekening'!$B$2:$P$46,5,FALSE),""))</f>
        <v/>
      </c>
      <c r="AE150" s="851">
        <f>IFERROR(IF(C150="",1.1,IF(U150="",1,IF($C150=1,VLOOKUP($B150,'Werkschema - Rekening'!$B$2:$G$46,6,FALSE),IF($C150=2,Instellingen!G$16,IF($C150=3,Instellingen!H$16,IF($C150=4,N150))))+$D150)+$Z150),1.1)</f>
        <v/>
      </c>
      <c r="AF150" s="852">
        <f>IF($B150="","",IFERROR(VLOOKUP($B150,'Werkschema - Rekening'!$B$2:$P$46,7,FALSE),""))</f>
        <v/>
      </c>
      <c r="AG150" s="851">
        <f>IFERROR(IF(C150="",1.1,IF(V150="",1,IF($C150=1,VLOOKUP($B150,'Werkschema - Rekening'!$B$2:$I$46,8,FALSE),IF($C150=2,Instellingen!I$16,IF($C150=3,Instellingen!J$16,IF($C150=4,O150))))+$D150)+$Z150),1.1)</f>
        <v/>
      </c>
      <c r="AH150" s="852">
        <f>IF($B150="","",IFERROR(VLOOKUP($B150,'Werkschema - Rekening'!$B$2:$P$46,9,FALSE),""))</f>
        <v/>
      </c>
      <c r="AI150" s="851">
        <f>IFERROR(IF(C150="",1.1,IF(W150="",1,IF($C150=1,VLOOKUP($B150,'Werkschema - Rekening'!$B$2:$K$46,10,FALSE),IF($C150=2,Instellingen!K$16,IF($C150=3,Instellingen!L$16,IF($C150=4,P150))))+$D150)+$Z150),1.1)</f>
        <v/>
      </c>
      <c r="AJ150" s="852">
        <f>IF($B150="","",IFERROR(VLOOKUP($B150,'Werkschema - Rekening'!$B$2:$P$46,11,FALSE),""))</f>
        <v/>
      </c>
      <c r="AK150" s="851">
        <f>IFERROR(IF(C150="",1.1,IF(X150="",1,IF($C150=1,VLOOKUP($B150,'Werkschema - Rekening'!$B$2:$M$46,12,FALSE),IF($C150=2,Instellingen!M$16,IF($C150=3,Instellingen!N$16,IF($C150=4,Q150))))+$D150)+$Z150),1.1)</f>
        <v/>
      </c>
      <c r="AL150" s="852">
        <f>IF($B150="","",IFERROR(VLOOKUP($B150,'Werkschema - Rekening'!$B$2:$P$46,13,FALSE),""))</f>
        <v/>
      </c>
      <c r="AM150" s="851">
        <f>IFERROR(IF(C150="",1.1,IF(Y150="",1,IF($C150=1,VLOOKUP($B150,'Werkschema - Rekening'!$B$2:$O$46,14,FALSE),IF($C150=2,Instellingen!O$16,IF($C150=3,Instellingen!P$16,IF($C150=4,R150))))+$D150)+$Z150),1.1)</f>
        <v/>
      </c>
      <c r="AN150" s="852">
        <f>IF($B150="","",IFERROR(VLOOKUP($B150,'Werkschema - Rekening'!$B$2:$P$46,15,FALSE),""))</f>
        <v/>
      </c>
      <c r="AO150" s="852">
        <f>A150</f>
        <v/>
      </c>
      <c r="AP150" s="852">
        <f>B150</f>
        <v/>
      </c>
    </row>
    <row r="151" ht="12.6" customHeight="1">
      <c r="A151" s="830">
        <f>'Aanpassen Werkschema'!B181</f>
        <v/>
      </c>
      <c r="B151" s="569">
        <f>'Aanpassen Werkschema'!C181</f>
        <v/>
      </c>
      <c r="C151" s="569">
        <f>IF('Aanpassen Werkschema'!D181="geplande taak",1,IF('Aanpassen Werkschema'!D181="openingstijd",2,IF('Aanpassen Werkschema'!D181="sluitingstijd",3,IF('Aanpassen Werkschema'!D181="vaste tijd",4,""))))</f>
        <v/>
      </c>
      <c r="D151" s="849">
        <f>'Aanpassen Werkschema'!E181</f>
        <v/>
      </c>
      <c r="E151" s="569">
        <f>IF('Aanpassen Werkschema'!F181="v","x","")</f>
        <v/>
      </c>
      <c r="F151" s="569">
        <f>IF('Aanpassen Werkschema'!G181="v","x","")</f>
        <v/>
      </c>
      <c r="G151" s="569">
        <f>IF('Aanpassen Werkschema'!H181="v","x","")</f>
        <v/>
      </c>
      <c r="H151" s="569">
        <f>IF('Aanpassen Werkschema'!I181="v","x","")</f>
        <v/>
      </c>
      <c r="I151" s="569">
        <f>IF('Aanpassen Werkschema'!J181="v","x","")</f>
        <v/>
      </c>
      <c r="J151" s="569">
        <f>IF('Aanpassen Werkschema'!K181="v","x","")</f>
        <v/>
      </c>
      <c r="K151" s="569">
        <f>IF('Aanpassen Werkschema'!L181="v","x","")</f>
        <v/>
      </c>
      <c r="L151" s="571">
        <f>IF('Aanpassen Werkschema'!M181&gt;0,'Aanpassen Werkschema'!M181,"")</f>
        <v/>
      </c>
      <c r="M151" s="571">
        <f>IF('Aanpassen Werkschema'!N181&gt;0,'Aanpassen Werkschema'!N181,"")</f>
        <v/>
      </c>
      <c r="N151" s="571">
        <f>IF('Aanpassen Werkschema'!O181&gt;0,'Aanpassen Werkschema'!O181,"")</f>
        <v/>
      </c>
      <c r="O151" s="571">
        <f>IF('Aanpassen Werkschema'!P181&gt;0,'Aanpassen Werkschema'!P181,"")</f>
        <v/>
      </c>
      <c r="P151" s="571">
        <f>IF('Aanpassen Werkschema'!Q181&gt;0,'Aanpassen Werkschema'!Q181,"")</f>
        <v/>
      </c>
      <c r="Q151" s="571">
        <f>IF('Aanpassen Werkschema'!R181&gt;0,'Aanpassen Werkschema'!R181,"")</f>
        <v/>
      </c>
      <c r="R151" s="571">
        <f>IF('Aanpassen Werkschema'!S181&gt;0,'Aanpassen Werkschema'!S181,"")</f>
        <v/>
      </c>
      <c r="S151" s="569">
        <f>IF('Aanpassen Werkschema'!T181="x","",IF('Aanpassen Werkschema'!N181="v","x",IF(E151="","",IF(E151="x","x"))))</f>
        <v/>
      </c>
      <c r="T151" s="569">
        <f>IF('Aanpassen Werkschema'!U181="x","",IF('Aanpassen Werkschema'!O181="v","x",IF(F151="","",IF(F151="x","x"))))</f>
        <v/>
      </c>
      <c r="U151" s="569">
        <f>IF('Aanpassen Werkschema'!V181="x","",IF('Aanpassen Werkschema'!P181="v","x",IF(G151="","",IF(G151="x","x"))))</f>
        <v/>
      </c>
      <c r="V151" s="569">
        <f>IF('Aanpassen Werkschema'!W181="x","",IF('Aanpassen Werkschema'!Q181="v","x",IF(H151="","",IF(H151="x","x"))))</f>
        <v/>
      </c>
      <c r="W151" s="569">
        <f>IF('Aanpassen Werkschema'!X181="x","",IF('Aanpassen Werkschema'!R181="v","x",IF(I151="","",IF(I151="x","x"))))</f>
        <v/>
      </c>
      <c r="X151" s="569">
        <f>IF('Aanpassen Werkschema'!Y181="x","",IF('Aanpassen Werkschema'!S181="v","x",IF(J151="","",IF(J151="x","x"))))</f>
        <v/>
      </c>
      <c r="Y151" s="569">
        <f>IF('Aanpassen Werkschema'!Z181="x","",IF('Aanpassen Werkschema'!T181="v","x",IF(K151="","",IF(K151="x","x"))))</f>
        <v/>
      </c>
      <c r="Z151" s="850">
        <f>Z150+0.0000000001</f>
        <v/>
      </c>
      <c r="AA151" s="851">
        <f>IFERROR(IF(C151="",1.1,IF(S151="",1,IF($C151=1,VLOOKUP($B151,'Werkschema - Rekening'!$B$2:$C$46,2,FALSE),IF($C151=2,Instellingen!C$16,IF($C151=3,Instellingen!D$16,IF($C151=4,L151))))+$D151)+$Z151),1.1)</f>
        <v/>
      </c>
      <c r="AB151" s="852">
        <f>IF($B151="","",IFERROR(VLOOKUP($B151,'Werkschema - Rekening'!$B$2:$P$46,3,FALSE),""))</f>
        <v/>
      </c>
      <c r="AC151" s="851">
        <f>IFERROR(IF(C151="",1.1,IF(T151="",1,IF($C151=1,VLOOKUP($B151,'Werkschema - Rekening'!$B$2:$E$46,4,FALSE),IF($C151=2,Instellingen!E$16,IF($C151=3,Instellingen!F$16,IF($C151=4,M151))))+$D151)+$Z151),1.1)</f>
        <v/>
      </c>
      <c r="AD151" s="852">
        <f>IF($B151="","",IFERROR(VLOOKUP($B151,'Werkschema - Rekening'!$B$2:$P$46,5,FALSE),""))</f>
        <v/>
      </c>
      <c r="AE151" s="851">
        <f>IFERROR(IF(C151="",1.1,IF(U151="",1,IF($C151=1,VLOOKUP($B151,'Werkschema - Rekening'!$B$2:$G$46,6,FALSE),IF($C151=2,Instellingen!G$16,IF($C151=3,Instellingen!H$16,IF($C151=4,N151))))+$D151)+$Z151),1.1)</f>
        <v/>
      </c>
      <c r="AF151" s="852">
        <f>IF($B151="","",IFERROR(VLOOKUP($B151,'Werkschema - Rekening'!$B$2:$P$46,7,FALSE),""))</f>
        <v/>
      </c>
      <c r="AG151" s="851">
        <f>IFERROR(IF(C151="",1.1,IF(V151="",1,IF($C151=1,VLOOKUP($B151,'Werkschema - Rekening'!$B$2:$I$46,8,FALSE),IF($C151=2,Instellingen!I$16,IF($C151=3,Instellingen!J$16,IF($C151=4,O151))))+$D151)+$Z151),1.1)</f>
        <v/>
      </c>
      <c r="AH151" s="852">
        <f>IF($B151="","",IFERROR(VLOOKUP($B151,'Werkschema - Rekening'!$B$2:$P$46,9,FALSE),""))</f>
        <v/>
      </c>
      <c r="AI151" s="851">
        <f>IFERROR(IF(C151="",1.1,IF(W151="",1,IF($C151=1,VLOOKUP($B151,'Werkschema - Rekening'!$B$2:$K$46,10,FALSE),IF($C151=2,Instellingen!K$16,IF($C151=3,Instellingen!L$16,IF($C151=4,P151))))+$D151)+$Z151),1.1)</f>
        <v/>
      </c>
      <c r="AJ151" s="852">
        <f>IF($B151="","",IFERROR(VLOOKUP($B151,'Werkschema - Rekening'!$B$2:$P$46,11,FALSE),""))</f>
        <v/>
      </c>
      <c r="AK151" s="851">
        <f>IFERROR(IF(C151="",1.1,IF(X151="",1,IF($C151=1,VLOOKUP($B151,'Werkschema - Rekening'!$B$2:$M$46,12,FALSE),IF($C151=2,Instellingen!M$16,IF($C151=3,Instellingen!N$16,IF($C151=4,Q151))))+$D151)+$Z151),1.1)</f>
        <v/>
      </c>
      <c r="AL151" s="852">
        <f>IF($B151="","",IFERROR(VLOOKUP($B151,'Werkschema - Rekening'!$B$2:$P$46,13,FALSE),""))</f>
        <v/>
      </c>
      <c r="AM151" s="851">
        <f>IFERROR(IF(C151="",1.1,IF(Y151="",1,IF($C151=1,VLOOKUP($B151,'Werkschema - Rekening'!$B$2:$O$46,14,FALSE),IF($C151=2,Instellingen!O$16,IF($C151=3,Instellingen!P$16,IF($C151=4,R151))))+$D151)+$Z151),1.1)</f>
        <v/>
      </c>
      <c r="AN151" s="852">
        <f>IF($B151="","",IFERROR(VLOOKUP($B151,'Werkschema - Rekening'!$B$2:$P$46,15,FALSE),""))</f>
        <v/>
      </c>
      <c r="AO151" s="852">
        <f>A151</f>
        <v/>
      </c>
      <c r="AP151" s="852">
        <f>B151</f>
        <v/>
      </c>
    </row>
    <row r="152" ht="12.6" customHeight="1">
      <c r="A152" s="830">
        <f>'Aanpassen Werkschema'!B182</f>
        <v/>
      </c>
      <c r="B152" s="569">
        <f>'Aanpassen Werkschema'!C182</f>
        <v/>
      </c>
      <c r="C152" s="569">
        <f>IF('Aanpassen Werkschema'!D182="geplande taak",1,IF('Aanpassen Werkschema'!D182="openingstijd",2,IF('Aanpassen Werkschema'!D182="sluitingstijd",3,IF('Aanpassen Werkschema'!D182="vaste tijd",4,""))))</f>
        <v/>
      </c>
      <c r="D152" s="849">
        <f>'Aanpassen Werkschema'!E182</f>
        <v/>
      </c>
      <c r="E152" s="569">
        <f>IF('Aanpassen Werkschema'!F182="v","x","")</f>
        <v/>
      </c>
      <c r="F152" s="569">
        <f>IF('Aanpassen Werkschema'!G182="v","x","")</f>
        <v/>
      </c>
      <c r="G152" s="569">
        <f>IF('Aanpassen Werkschema'!H182="v","x","")</f>
        <v/>
      </c>
      <c r="H152" s="569">
        <f>IF('Aanpassen Werkschema'!I182="v","x","")</f>
        <v/>
      </c>
      <c r="I152" s="569">
        <f>IF('Aanpassen Werkschema'!J182="v","x","")</f>
        <v/>
      </c>
      <c r="J152" s="569">
        <f>IF('Aanpassen Werkschema'!K182="v","x","")</f>
        <v/>
      </c>
      <c r="K152" s="569">
        <f>IF('Aanpassen Werkschema'!L182="v","x","")</f>
        <v/>
      </c>
      <c r="L152" s="571">
        <f>IF('Aanpassen Werkschema'!M182&gt;0,'Aanpassen Werkschema'!M182,"")</f>
        <v/>
      </c>
      <c r="M152" s="571">
        <f>IF('Aanpassen Werkschema'!N182&gt;0,'Aanpassen Werkschema'!N182,"")</f>
        <v/>
      </c>
      <c r="N152" s="571">
        <f>IF('Aanpassen Werkschema'!O182&gt;0,'Aanpassen Werkschema'!O182,"")</f>
        <v/>
      </c>
      <c r="O152" s="571">
        <f>IF('Aanpassen Werkschema'!P182&gt;0,'Aanpassen Werkschema'!P182,"")</f>
        <v/>
      </c>
      <c r="P152" s="571">
        <f>IF('Aanpassen Werkschema'!Q182&gt;0,'Aanpassen Werkschema'!Q182,"")</f>
        <v/>
      </c>
      <c r="Q152" s="571">
        <f>IF('Aanpassen Werkschema'!R182&gt;0,'Aanpassen Werkschema'!R182,"")</f>
        <v/>
      </c>
      <c r="R152" s="571">
        <f>IF('Aanpassen Werkschema'!S182&gt;0,'Aanpassen Werkschema'!S182,"")</f>
        <v/>
      </c>
      <c r="S152" s="569">
        <f>IF('Aanpassen Werkschema'!T182="x","",IF('Aanpassen Werkschema'!N182="v","x",IF(E152="","",IF(E152="x","x"))))</f>
        <v/>
      </c>
      <c r="T152" s="569">
        <f>IF('Aanpassen Werkschema'!U182="x","",IF('Aanpassen Werkschema'!O182="v","x",IF(F152="","",IF(F152="x","x"))))</f>
        <v/>
      </c>
      <c r="U152" s="569">
        <f>IF('Aanpassen Werkschema'!V182="x","",IF('Aanpassen Werkschema'!P182="v","x",IF(G152="","",IF(G152="x","x"))))</f>
        <v/>
      </c>
      <c r="V152" s="569">
        <f>IF('Aanpassen Werkschema'!W182="x","",IF('Aanpassen Werkschema'!Q182="v","x",IF(H152="","",IF(H152="x","x"))))</f>
        <v/>
      </c>
      <c r="W152" s="569">
        <f>IF('Aanpassen Werkschema'!X182="x","",IF('Aanpassen Werkschema'!R182="v","x",IF(I152="","",IF(I152="x","x"))))</f>
        <v/>
      </c>
      <c r="X152" s="569">
        <f>IF('Aanpassen Werkschema'!Y182="x","",IF('Aanpassen Werkschema'!S182="v","x",IF(J152="","",IF(J152="x","x"))))</f>
        <v/>
      </c>
      <c r="Y152" s="569">
        <f>IF('Aanpassen Werkschema'!Z182="x","",IF('Aanpassen Werkschema'!T182="v","x",IF(K152="","",IF(K152="x","x"))))</f>
        <v/>
      </c>
      <c r="Z152" s="850">
        <f>Z151+0.0000000001</f>
        <v/>
      </c>
      <c r="AA152" s="851">
        <f>IFERROR(IF(C152="",1.1,IF(S152="",1,IF($C152=1,VLOOKUP($B152,'Werkschema - Rekening'!$B$2:$C$46,2,FALSE),IF($C152=2,Instellingen!C$16,IF($C152=3,Instellingen!D$16,IF($C152=4,L152))))+$D152)+$Z152),1.1)</f>
        <v/>
      </c>
      <c r="AB152" s="852">
        <f>IF($B152="","",IFERROR(VLOOKUP($B152,'Werkschema - Rekening'!$B$2:$P$46,3,FALSE),""))</f>
        <v/>
      </c>
      <c r="AC152" s="851">
        <f>IFERROR(IF(C152="",1.1,IF(T152="",1,IF($C152=1,VLOOKUP($B152,'Werkschema - Rekening'!$B$2:$E$46,4,FALSE),IF($C152=2,Instellingen!E$16,IF($C152=3,Instellingen!F$16,IF($C152=4,M152))))+$D152)+$Z152),1.1)</f>
        <v/>
      </c>
      <c r="AD152" s="852">
        <f>IF($B152="","",IFERROR(VLOOKUP($B152,'Werkschema - Rekening'!$B$2:$P$46,5,FALSE),""))</f>
        <v/>
      </c>
      <c r="AE152" s="851">
        <f>IFERROR(IF(C152="",1.1,IF(U152="",1,IF($C152=1,VLOOKUP($B152,'Werkschema - Rekening'!$B$2:$G$46,6,FALSE),IF($C152=2,Instellingen!G$16,IF($C152=3,Instellingen!H$16,IF($C152=4,N152))))+$D152)+$Z152),1.1)</f>
        <v/>
      </c>
      <c r="AF152" s="852">
        <f>IF($B152="","",IFERROR(VLOOKUP($B152,'Werkschema - Rekening'!$B$2:$P$46,7,FALSE),""))</f>
        <v/>
      </c>
      <c r="AG152" s="851">
        <f>IFERROR(IF(C152="",1.1,IF(V152="",1,IF($C152=1,VLOOKUP($B152,'Werkschema - Rekening'!$B$2:$I$46,8,FALSE),IF($C152=2,Instellingen!I$16,IF($C152=3,Instellingen!J$16,IF($C152=4,O152))))+$D152)+$Z152),1.1)</f>
        <v/>
      </c>
      <c r="AH152" s="852">
        <f>IF($B152="","",IFERROR(VLOOKUP($B152,'Werkschema - Rekening'!$B$2:$P$46,9,FALSE),""))</f>
        <v/>
      </c>
      <c r="AI152" s="851">
        <f>IFERROR(IF(C152="",1.1,IF(W152="",1,IF($C152=1,VLOOKUP($B152,'Werkschema - Rekening'!$B$2:$K$46,10,FALSE),IF($C152=2,Instellingen!K$16,IF($C152=3,Instellingen!L$16,IF($C152=4,P152))))+$D152)+$Z152),1.1)</f>
        <v/>
      </c>
      <c r="AJ152" s="852">
        <f>IF($B152="","",IFERROR(VLOOKUP($B152,'Werkschema - Rekening'!$B$2:$P$46,11,FALSE),""))</f>
        <v/>
      </c>
      <c r="AK152" s="851">
        <f>IFERROR(IF(C152="",1.1,IF(X152="",1,IF($C152=1,VLOOKUP($B152,'Werkschema - Rekening'!$B$2:$M$46,12,FALSE),IF($C152=2,Instellingen!M$16,IF($C152=3,Instellingen!N$16,IF($C152=4,Q152))))+$D152)+$Z152),1.1)</f>
        <v/>
      </c>
      <c r="AL152" s="852">
        <f>IF($B152="","",IFERROR(VLOOKUP($B152,'Werkschema - Rekening'!$B$2:$P$46,13,FALSE),""))</f>
        <v/>
      </c>
      <c r="AM152" s="851">
        <f>IFERROR(IF(C152="",1.1,IF(Y152="",1,IF($C152=1,VLOOKUP($B152,'Werkschema - Rekening'!$B$2:$O$46,14,FALSE),IF($C152=2,Instellingen!O$16,IF($C152=3,Instellingen!P$16,IF($C152=4,R152))))+$D152)+$Z152),1.1)</f>
        <v/>
      </c>
      <c r="AN152" s="852">
        <f>IF($B152="","",IFERROR(VLOOKUP($B152,'Werkschema - Rekening'!$B$2:$P$46,15,FALSE),""))</f>
        <v/>
      </c>
      <c r="AO152" s="852">
        <f>A152</f>
        <v/>
      </c>
      <c r="AP152" s="852">
        <f>B152</f>
        <v/>
      </c>
    </row>
    <row r="153" ht="12.6" customHeight="1">
      <c r="A153" s="575">
        <f>IF('Aanpassen Werkschema'!B11="","",'Aanpassen Werkschema'!B11)</f>
        <v/>
      </c>
      <c r="B153" s="575">
        <f>IF('Aanpassen Werkschema'!C11="","",'Aanpassen Werkschema'!C11)</f>
        <v/>
      </c>
      <c r="C153" s="576">
        <f>IF('Aanpassen Werkschema'!D11="geplande taak",1,IF('Aanpassen Werkschema'!D11="openingstijd",2,IF('Aanpassen Werkschema'!D11="sluitingstijd",3,IF('Aanpassen Werkschema'!D11="vaste tijd",4,""))))</f>
        <v/>
      </c>
      <c r="D153" s="853">
        <f>'Aanpassen Werkschema'!E11</f>
        <v/>
      </c>
      <c r="E153" s="578" t="n"/>
      <c r="F153" s="578" t="n"/>
      <c r="G153" s="578" t="n"/>
      <c r="H153" s="578" t="n"/>
      <c r="I153" s="578" t="n"/>
      <c r="J153" s="578" t="n"/>
      <c r="K153" s="578" t="n"/>
      <c r="L153" s="579">
        <f>IF('Aanpassen Werkschema'!T11&gt;0,'Aanpassen Werkschema'!T11,"")</f>
        <v/>
      </c>
      <c r="M153" s="579">
        <f>IF('Aanpassen Werkschema'!U11&gt;0,'Aanpassen Werkschema'!U11,"")</f>
        <v/>
      </c>
      <c r="N153" s="579">
        <f>IF('Aanpassen Werkschema'!V11&gt;0,'Aanpassen Werkschema'!V11,"")</f>
        <v/>
      </c>
      <c r="O153" s="579">
        <f>IF('Aanpassen Werkschema'!W11&gt;0,'Aanpassen Werkschema'!W11,"")</f>
        <v/>
      </c>
      <c r="P153" s="579">
        <f>IF('Aanpassen Werkschema'!X11&gt;0,'Aanpassen Werkschema'!X11,"")</f>
        <v/>
      </c>
      <c r="Q153" s="579">
        <f>IF('Aanpassen Werkschema'!Y11&gt;0,'Aanpassen Werkschema'!Y11,"")</f>
        <v/>
      </c>
      <c r="R153" s="579">
        <f>IF('Aanpassen Werkschema'!Z11&gt;0,'Aanpassen Werkschema'!Z11,"")</f>
        <v/>
      </c>
      <c r="S153" s="578">
        <f>IF('Aanpassen Werkschema'!F11="v","x","")</f>
        <v/>
      </c>
      <c r="T153" s="578">
        <f>IF('Aanpassen Werkschema'!G11="v","x","")</f>
        <v/>
      </c>
      <c r="U153" s="578">
        <f>IF('Aanpassen Werkschema'!H11="v","x","")</f>
        <v/>
      </c>
      <c r="V153" s="578">
        <f>IF('Aanpassen Werkschema'!I11="v","x","")</f>
        <v/>
      </c>
      <c r="W153" s="578">
        <f>IF('Aanpassen Werkschema'!J11="v","x","")</f>
        <v/>
      </c>
      <c r="X153" s="578">
        <f>IF('Aanpassen Werkschema'!K11="v","x","")</f>
        <v/>
      </c>
      <c r="Y153" s="578">
        <f>IF('Aanpassen Werkschema'!L11="v","x","")</f>
        <v/>
      </c>
      <c r="Z153" s="854">
        <f>Z152+0.0000000001</f>
        <v/>
      </c>
      <c r="AA153" s="851">
        <f>IFERROR(IF(C153="",1.1,IF(S153="",1,IF($C153=1,VLOOKUP($B153,'Werkschema - Rekening'!$B$2:$C$46,2,FALSE),IF($C153=2,Instellingen!C$16,IF($C153=3,Instellingen!D$16,IF($C153=4,L153))))+$D153)+$Z153),1.1)</f>
        <v/>
      </c>
      <c r="AB153" s="852">
        <f>IF($B153="","",IFERROR(VLOOKUP($B153,'Werkschema - Rekening'!$B$2:$P$46,3,FALSE),""))</f>
        <v/>
      </c>
      <c r="AC153" s="851">
        <f>IFERROR(IF(C153="",1.1,IF(T153="",1,IF($C153=1,VLOOKUP($B153,'Werkschema - Rekening'!$B$2:$E$46,4,FALSE),IF($C153=2,Instellingen!E$16,IF($C153=3,Instellingen!F$16,IF($C153=4,M153))))+$D153)+$Z153),1.1)</f>
        <v/>
      </c>
      <c r="AD153" s="852">
        <f>IF($B153="","",IFERROR(VLOOKUP($B153,'Werkschema - Rekening'!$B$2:$P$46,5,FALSE),""))</f>
        <v/>
      </c>
      <c r="AE153" s="851">
        <f>IFERROR(IF(C153="",1.1,IF(U153="",1,IF($C153=1,VLOOKUP($B153,'Werkschema - Rekening'!$B$2:$G$46,6,FALSE),IF($C153=2,Instellingen!G$16,IF($C153=3,Instellingen!H$16,IF($C153=4,N153))))+$D153)+$Z153),1.1)</f>
        <v/>
      </c>
      <c r="AF153" s="852">
        <f>IF($B153="","",IFERROR(VLOOKUP($B153,'Werkschema - Rekening'!$B$2:$P$46,7,FALSE),""))</f>
        <v/>
      </c>
      <c r="AG153" s="851">
        <f>IFERROR(IF(C153="",1.1,IF(V153="",1,IF($C153=1,VLOOKUP($B153,'Werkschema - Rekening'!$B$2:$I$46,8,FALSE),IF($C153=2,Instellingen!I$16,IF($C153=3,Instellingen!J$16,IF($C153=4,O153))))+$D153)+$Z153),1.1)</f>
        <v/>
      </c>
      <c r="AH153" s="852">
        <f>IF($B153="","",IFERROR(VLOOKUP($B153,'Werkschema - Rekening'!$B$2:$P$46,9,FALSE),""))</f>
        <v/>
      </c>
      <c r="AI153" s="851">
        <f>IFERROR(IF(C153="",1.1,IF(W153="",1,IF($C153=1,VLOOKUP($B153,'Werkschema - Rekening'!$B$2:$K$46,10,FALSE),IF($C153=2,Instellingen!K$16,IF($C153=3,Instellingen!L$16,IF($C153=4,P153))))+$D153)+$Z153),1.1)</f>
        <v/>
      </c>
      <c r="AJ153" s="852">
        <f>IF($B153="","",IFERROR(VLOOKUP($B153,'Werkschema - Rekening'!$B$2:$P$46,11,FALSE),""))</f>
        <v/>
      </c>
      <c r="AK153" s="851">
        <f>IFERROR(IF(C153="",1.1,IF(X153="",1,IF($C153=1,VLOOKUP($B153,'Werkschema - Rekening'!$B$2:$M$46,12,FALSE),IF($C153=2,Instellingen!M$16,IF($C153=3,Instellingen!N$16,IF($C153=4,Q153))))+$D153)+$Z153),1.1)</f>
        <v/>
      </c>
      <c r="AL153" s="852">
        <f>IF($B153="","",IFERROR(VLOOKUP($B153,'Werkschema - Rekening'!$B$2:$P$46,13,FALSE),""))</f>
        <v/>
      </c>
      <c r="AM153" s="851">
        <f>IFERROR(IF(C153="",1.1,IF(Y153="",1,IF($C153=1,VLOOKUP($B153,'Werkschema - Rekening'!$B$2:$O$46,14,FALSE),IF($C153=2,Instellingen!O$16,IF($C153=3,Instellingen!P$16,IF($C153=4,R153))))+$D153)+$Z153),1.1)</f>
        <v/>
      </c>
      <c r="AN153" s="852">
        <f>IF($B153="","",IFERROR(VLOOKUP($B153,'Werkschema - Rekening'!$B$2:$P$46,15,FALSE),""))</f>
        <v/>
      </c>
      <c r="AO153" s="855">
        <f>A153</f>
        <v/>
      </c>
      <c r="AP153" s="855">
        <f>B153</f>
        <v/>
      </c>
    </row>
    <row r="154" ht="12.6" customHeight="1">
      <c r="A154" s="575">
        <f>IF('Aanpassen Werkschema'!B12="","",'Aanpassen Werkschema'!B12)</f>
        <v/>
      </c>
      <c r="B154" s="575">
        <f>IF('Aanpassen Werkschema'!C12="","",'Aanpassen Werkschema'!C12)</f>
        <v/>
      </c>
      <c r="C154" s="576">
        <f>IF('Aanpassen Werkschema'!D12="geplande taak",1,IF('Aanpassen Werkschema'!D12="openingstijd",2,IF('Aanpassen Werkschema'!D12="sluitingstijd",3,IF('Aanpassen Werkschema'!D12="vaste tijd",4,""))))</f>
        <v/>
      </c>
      <c r="D154" s="853">
        <f>'Aanpassen Werkschema'!E12</f>
        <v/>
      </c>
      <c r="E154" s="578" t="n"/>
      <c r="F154" s="578" t="n"/>
      <c r="G154" s="578" t="n"/>
      <c r="H154" s="578" t="n"/>
      <c r="I154" s="578" t="n"/>
      <c r="J154" s="578" t="n"/>
      <c r="K154" s="578" t="n"/>
      <c r="L154" s="579">
        <f>IF('Aanpassen Werkschema'!T12&gt;0,'Aanpassen Werkschema'!T12,"")</f>
        <v/>
      </c>
      <c r="M154" s="579">
        <f>IF('Aanpassen Werkschema'!U12&gt;0,'Aanpassen Werkschema'!U12,"")</f>
        <v/>
      </c>
      <c r="N154" s="579">
        <f>IF('Aanpassen Werkschema'!V12&gt;0,'Aanpassen Werkschema'!V12,"")</f>
        <v/>
      </c>
      <c r="O154" s="579">
        <f>IF('Aanpassen Werkschema'!W12&gt;0,'Aanpassen Werkschema'!W12,"")</f>
        <v/>
      </c>
      <c r="P154" s="579">
        <f>IF('Aanpassen Werkschema'!X12&gt;0,'Aanpassen Werkschema'!X12,"")</f>
        <v/>
      </c>
      <c r="Q154" s="579">
        <f>IF('Aanpassen Werkschema'!Y12&gt;0,'Aanpassen Werkschema'!Y12,"")</f>
        <v/>
      </c>
      <c r="R154" s="579">
        <f>IF('Aanpassen Werkschema'!Z12&gt;0,'Aanpassen Werkschema'!Z12,"")</f>
        <v/>
      </c>
      <c r="S154" s="578">
        <f>IF('Aanpassen Werkschema'!F12="v","x","")</f>
        <v/>
      </c>
      <c r="T154" s="578">
        <f>IF('Aanpassen Werkschema'!G12="v","x","")</f>
        <v/>
      </c>
      <c r="U154" s="578">
        <f>IF('Aanpassen Werkschema'!H12="v","x","")</f>
        <v/>
      </c>
      <c r="V154" s="578">
        <f>IF('Aanpassen Werkschema'!I12="v","x","")</f>
        <v/>
      </c>
      <c r="W154" s="578">
        <f>IF('Aanpassen Werkschema'!J12="v","x","")</f>
        <v/>
      </c>
      <c r="X154" s="578">
        <f>IF('Aanpassen Werkschema'!K12="v","x","")</f>
        <v/>
      </c>
      <c r="Y154" s="578">
        <f>IF('Aanpassen Werkschema'!L12="v","x","")</f>
        <v/>
      </c>
      <c r="Z154" s="854">
        <f>Z153+0.0000000001</f>
        <v/>
      </c>
      <c r="AA154" s="851">
        <f>IFERROR(IF(C154="",1.1,IF(S154="",1,IF($C154=1,VLOOKUP($B154,'Werkschema - Rekening'!$B$2:$C$46,2,FALSE),IF($C154=2,Instellingen!C$16,IF($C154=3,Instellingen!D$16,IF($C154=4,L154))))+$D154)+$Z154),1.1)</f>
        <v/>
      </c>
      <c r="AB154" s="852">
        <f>IF($B154="","",IFERROR(VLOOKUP($B154,'Werkschema - Rekening'!$B$2:$P$46,3,FALSE),""))</f>
        <v/>
      </c>
      <c r="AC154" s="851">
        <f>IFERROR(IF(C154="",1.1,IF(T154="",1,IF($C154=1,VLOOKUP($B154,'Werkschema - Rekening'!$B$2:$E$46,4,FALSE),IF($C154=2,Instellingen!E$16,IF($C154=3,Instellingen!F$16,IF($C154=4,M154))))+$D154)+$Z154),1.1)</f>
        <v/>
      </c>
      <c r="AD154" s="852">
        <f>IF($B154="","",IFERROR(VLOOKUP($B154,'Werkschema - Rekening'!$B$2:$P$46,5,FALSE),""))</f>
        <v/>
      </c>
      <c r="AE154" s="851">
        <f>IFERROR(IF(C154="",1.1,IF(U154="",1,IF($C154=1,VLOOKUP($B154,'Werkschema - Rekening'!$B$2:$G$46,6,FALSE),IF($C154=2,Instellingen!G$16,IF($C154=3,Instellingen!H$16,IF($C154=4,N154))))+$D154)+$Z154),1.1)</f>
        <v/>
      </c>
      <c r="AF154" s="852">
        <f>IF($B154="","",IFERROR(VLOOKUP($B154,'Werkschema - Rekening'!$B$2:$P$46,7,FALSE),""))</f>
        <v/>
      </c>
      <c r="AG154" s="851">
        <f>IFERROR(IF(C154="",1.1,IF(V154="",1,IF($C154=1,VLOOKUP($B154,'Werkschema - Rekening'!$B$2:$I$46,8,FALSE),IF($C154=2,Instellingen!I$16,IF($C154=3,Instellingen!J$16,IF($C154=4,O154))))+$D154)+$Z154),1.1)</f>
        <v/>
      </c>
      <c r="AH154" s="852">
        <f>IF($B154="","",IFERROR(VLOOKUP($B154,'Werkschema - Rekening'!$B$2:$P$46,9,FALSE),""))</f>
        <v/>
      </c>
      <c r="AI154" s="851">
        <f>IFERROR(IF(C154="",1.1,IF(W154="",1,IF($C154=1,VLOOKUP($B154,'Werkschema - Rekening'!$B$2:$K$46,10,FALSE),IF($C154=2,Instellingen!K$16,IF($C154=3,Instellingen!L$16,IF($C154=4,P154))))+$D154)+$Z154),1.1)</f>
        <v/>
      </c>
      <c r="AJ154" s="852">
        <f>IF($B154="","",IFERROR(VLOOKUP($B154,'Werkschema - Rekening'!$B$2:$P$46,11,FALSE),""))</f>
        <v/>
      </c>
      <c r="AK154" s="851">
        <f>IFERROR(IF(C154="",1.1,IF(X154="",1,IF($C154=1,VLOOKUP($B154,'Werkschema - Rekening'!$B$2:$M$46,12,FALSE),IF($C154=2,Instellingen!M$16,IF($C154=3,Instellingen!N$16,IF($C154=4,Q154))))+$D154)+$Z154),1.1)</f>
        <v/>
      </c>
      <c r="AL154" s="852">
        <f>IF($B154="","",IFERROR(VLOOKUP($B154,'Werkschema - Rekening'!$B$2:$P$46,13,FALSE),""))</f>
        <v/>
      </c>
      <c r="AM154" s="851">
        <f>IFERROR(IF(C154="",1.1,IF(Y154="",1,IF($C154=1,VLOOKUP($B154,'Werkschema - Rekening'!$B$2:$O$46,14,FALSE),IF($C154=2,Instellingen!O$16,IF($C154=3,Instellingen!P$16,IF($C154=4,R154))))+$D154)+$Z154),1.1)</f>
        <v/>
      </c>
      <c r="AN154" s="852">
        <f>IF($B154="","",IFERROR(VLOOKUP($B154,'Werkschema - Rekening'!$B$2:$P$46,15,FALSE),""))</f>
        <v/>
      </c>
      <c r="AO154" s="855">
        <f>A154</f>
        <v/>
      </c>
      <c r="AP154" s="855">
        <f>B154</f>
        <v/>
      </c>
    </row>
    <row r="155" ht="12.6" customHeight="1">
      <c r="A155" s="575">
        <f>IF('Aanpassen Werkschema'!B13="","",'Aanpassen Werkschema'!B13)</f>
        <v/>
      </c>
      <c r="B155" s="575">
        <f>IF('Aanpassen Werkschema'!C13="","",'Aanpassen Werkschema'!C13)</f>
        <v/>
      </c>
      <c r="C155" s="576">
        <f>IF('Aanpassen Werkschema'!D13="geplande taak",1,IF('Aanpassen Werkschema'!D13="openingstijd",2,IF('Aanpassen Werkschema'!D13="sluitingstijd",3,IF('Aanpassen Werkschema'!D13="vaste tijd",4,""))))</f>
        <v/>
      </c>
      <c r="D155" s="853">
        <f>'Aanpassen Werkschema'!E13</f>
        <v/>
      </c>
      <c r="E155" s="578" t="n"/>
      <c r="F155" s="578" t="n"/>
      <c r="G155" s="578" t="n"/>
      <c r="H155" s="578" t="n"/>
      <c r="I155" s="578" t="n"/>
      <c r="J155" s="578" t="n"/>
      <c r="K155" s="578" t="n"/>
      <c r="L155" s="579">
        <f>IF('Aanpassen Werkschema'!T13&gt;0,'Aanpassen Werkschema'!T13,"")</f>
        <v/>
      </c>
      <c r="M155" s="579">
        <f>IF('Aanpassen Werkschema'!U13&gt;0,'Aanpassen Werkschema'!U13,"")</f>
        <v/>
      </c>
      <c r="N155" s="579">
        <f>IF('Aanpassen Werkschema'!V13&gt;0,'Aanpassen Werkschema'!V13,"")</f>
        <v/>
      </c>
      <c r="O155" s="579">
        <f>IF('Aanpassen Werkschema'!W13&gt;0,'Aanpassen Werkschema'!W13,"")</f>
        <v/>
      </c>
      <c r="P155" s="579">
        <f>IF('Aanpassen Werkschema'!X13&gt;0,'Aanpassen Werkschema'!X13,"")</f>
        <v/>
      </c>
      <c r="Q155" s="579">
        <f>IF('Aanpassen Werkschema'!Y13&gt;0,'Aanpassen Werkschema'!Y13,"")</f>
        <v/>
      </c>
      <c r="R155" s="579">
        <f>IF('Aanpassen Werkschema'!Z13&gt;0,'Aanpassen Werkschema'!Z13,"")</f>
        <v/>
      </c>
      <c r="S155" s="578">
        <f>IF('Aanpassen Werkschema'!F13="v","x","")</f>
        <v/>
      </c>
      <c r="T155" s="578">
        <f>IF('Aanpassen Werkschema'!G13="v","x","")</f>
        <v/>
      </c>
      <c r="U155" s="578">
        <f>IF('Aanpassen Werkschema'!H13="v","x","")</f>
        <v/>
      </c>
      <c r="V155" s="578">
        <f>IF('Aanpassen Werkschema'!I13="v","x","")</f>
        <v/>
      </c>
      <c r="W155" s="578">
        <f>IF('Aanpassen Werkschema'!J13="v","x","")</f>
        <v/>
      </c>
      <c r="X155" s="578">
        <f>IF('Aanpassen Werkschema'!K13="v","x","")</f>
        <v/>
      </c>
      <c r="Y155" s="578">
        <f>IF('Aanpassen Werkschema'!L13="v","x","")</f>
        <v/>
      </c>
      <c r="Z155" s="854">
        <f>Z154+0.0000000001</f>
        <v/>
      </c>
      <c r="AA155" s="851">
        <f>IFERROR(IF(C155="",1.1,IF(S155="",1,IF($C155=1,VLOOKUP($B155,'Werkschema - Rekening'!$B$2:$C$46,2,FALSE),IF($C155=2,Instellingen!C$16,IF($C155=3,Instellingen!D$16,IF($C155=4,L155))))+$D155)+$Z155),1.1)</f>
        <v/>
      </c>
      <c r="AB155" s="852">
        <f>IF($B155="","",IFERROR(VLOOKUP($B155,'Werkschema - Rekening'!$B$2:$P$46,3,FALSE),""))</f>
        <v/>
      </c>
      <c r="AC155" s="851">
        <f>IFERROR(IF(C155="",1.1,IF(T155="",1,IF($C155=1,VLOOKUP($B155,'Werkschema - Rekening'!$B$2:$E$46,4,FALSE),IF($C155=2,Instellingen!E$16,IF($C155=3,Instellingen!F$16,IF($C155=4,M155))))+$D155)+$Z155),1.1)</f>
        <v/>
      </c>
      <c r="AD155" s="852">
        <f>IF($B155="","",IFERROR(VLOOKUP($B155,'Werkschema - Rekening'!$B$2:$P$46,5,FALSE),""))</f>
        <v/>
      </c>
      <c r="AE155" s="851">
        <f>IFERROR(IF(C155="",1.1,IF(U155="",1,IF($C155=1,VLOOKUP($B155,'Werkschema - Rekening'!$B$2:$G$46,6,FALSE),IF($C155=2,Instellingen!G$16,IF($C155=3,Instellingen!H$16,IF($C155=4,N155))))+$D155)+$Z155),1.1)</f>
        <v/>
      </c>
      <c r="AF155" s="852">
        <f>IF($B155="","",IFERROR(VLOOKUP($B155,'Werkschema - Rekening'!$B$2:$P$46,7,FALSE),""))</f>
        <v/>
      </c>
      <c r="AG155" s="851">
        <f>IFERROR(IF(C155="",1.1,IF(V155="",1,IF($C155=1,VLOOKUP($B155,'Werkschema - Rekening'!$B$2:$I$46,8,FALSE),IF($C155=2,Instellingen!I$16,IF($C155=3,Instellingen!J$16,IF($C155=4,O155))))+$D155)+$Z155),1.1)</f>
        <v/>
      </c>
      <c r="AH155" s="852">
        <f>IF($B155="","",IFERROR(VLOOKUP($B155,'Werkschema - Rekening'!$B$2:$P$46,9,FALSE),""))</f>
        <v/>
      </c>
      <c r="AI155" s="851">
        <f>IFERROR(IF(C155="",1.1,IF(W155="",1,IF($C155=1,VLOOKUP($B155,'Werkschema - Rekening'!$B$2:$K$46,10,FALSE),IF($C155=2,Instellingen!K$16,IF($C155=3,Instellingen!L$16,IF($C155=4,P155))))+$D155)+$Z155),1.1)</f>
        <v/>
      </c>
      <c r="AJ155" s="852">
        <f>IF($B155="","",IFERROR(VLOOKUP($B155,'Werkschema - Rekening'!$B$2:$P$46,11,FALSE),""))</f>
        <v/>
      </c>
      <c r="AK155" s="851">
        <f>IFERROR(IF(C155="",1.1,IF(X155="",1,IF($C155=1,VLOOKUP($B155,'Werkschema - Rekening'!$B$2:$M$46,12,FALSE),IF($C155=2,Instellingen!M$16,IF($C155=3,Instellingen!N$16,IF($C155=4,Q155))))+$D155)+$Z155),1.1)</f>
        <v/>
      </c>
      <c r="AL155" s="852">
        <f>IF($B155="","",IFERROR(VLOOKUP($B155,'Werkschema - Rekening'!$B$2:$P$46,13,FALSE),""))</f>
        <v/>
      </c>
      <c r="AM155" s="851">
        <f>IFERROR(IF(C155="",1.1,IF(Y155="",1,IF($C155=1,VLOOKUP($B155,'Werkschema - Rekening'!$B$2:$O$46,14,FALSE),IF($C155=2,Instellingen!O$16,IF($C155=3,Instellingen!P$16,IF($C155=4,R155))))+$D155)+$Z155),1.1)</f>
        <v/>
      </c>
      <c r="AN155" s="852">
        <f>IF($B155="","",IFERROR(VLOOKUP($B155,'Werkschema - Rekening'!$B$2:$P$46,15,FALSE),""))</f>
        <v/>
      </c>
      <c r="AO155" s="855">
        <f>A155</f>
        <v/>
      </c>
      <c r="AP155" s="855">
        <f>B155</f>
        <v/>
      </c>
    </row>
    <row r="156" ht="12.6" customHeight="1">
      <c r="A156" s="575">
        <f>IF('Aanpassen Werkschema'!B14="","",'Aanpassen Werkschema'!B14)</f>
        <v/>
      </c>
      <c r="B156" s="575">
        <f>IF('Aanpassen Werkschema'!C14="","",'Aanpassen Werkschema'!C14)</f>
        <v/>
      </c>
      <c r="C156" s="576">
        <f>IF('Aanpassen Werkschema'!D14="geplande taak",1,IF('Aanpassen Werkschema'!D14="openingstijd",2,IF('Aanpassen Werkschema'!D14="sluitingstijd",3,IF('Aanpassen Werkschema'!D14="vaste tijd",4,""))))</f>
        <v/>
      </c>
      <c r="D156" s="853">
        <f>'Aanpassen Werkschema'!E14</f>
        <v/>
      </c>
      <c r="E156" s="578" t="n"/>
      <c r="F156" s="578" t="n"/>
      <c r="G156" s="578" t="n"/>
      <c r="H156" s="578" t="n"/>
      <c r="I156" s="578" t="n"/>
      <c r="J156" s="578" t="n"/>
      <c r="K156" s="578" t="n"/>
      <c r="L156" s="579">
        <f>IF('Aanpassen Werkschema'!T14&gt;0,'Aanpassen Werkschema'!T14,"")</f>
        <v/>
      </c>
      <c r="M156" s="579">
        <f>IF('Aanpassen Werkschema'!U14&gt;0,'Aanpassen Werkschema'!U14,"")</f>
        <v/>
      </c>
      <c r="N156" s="579">
        <f>IF('Aanpassen Werkschema'!V14&gt;0,'Aanpassen Werkschema'!V14,"")</f>
        <v/>
      </c>
      <c r="O156" s="579">
        <f>IF('Aanpassen Werkschema'!W14&gt;0,'Aanpassen Werkschema'!W14,"")</f>
        <v/>
      </c>
      <c r="P156" s="579">
        <f>IF('Aanpassen Werkschema'!X14&gt;0,'Aanpassen Werkschema'!X14,"")</f>
        <v/>
      </c>
      <c r="Q156" s="579">
        <f>IF('Aanpassen Werkschema'!Y14&gt;0,'Aanpassen Werkschema'!Y14,"")</f>
        <v/>
      </c>
      <c r="R156" s="579">
        <f>IF('Aanpassen Werkschema'!Z14&gt;0,'Aanpassen Werkschema'!Z14,"")</f>
        <v/>
      </c>
      <c r="S156" s="578">
        <f>IF('Aanpassen Werkschema'!F14="v","x","")</f>
        <v/>
      </c>
      <c r="T156" s="578">
        <f>IF('Aanpassen Werkschema'!G14="v","x","")</f>
        <v/>
      </c>
      <c r="U156" s="578">
        <f>IF('Aanpassen Werkschema'!H14="v","x","")</f>
        <v/>
      </c>
      <c r="V156" s="578">
        <f>IF('Aanpassen Werkschema'!I14="v","x","")</f>
        <v/>
      </c>
      <c r="W156" s="578">
        <f>IF('Aanpassen Werkschema'!J14="v","x","")</f>
        <v/>
      </c>
      <c r="X156" s="578">
        <f>IF('Aanpassen Werkschema'!K14="v","x","")</f>
        <v/>
      </c>
      <c r="Y156" s="578">
        <f>IF('Aanpassen Werkschema'!L14="v","x","")</f>
        <v/>
      </c>
      <c r="Z156" s="854">
        <f>Z155+0.0000000001</f>
        <v/>
      </c>
      <c r="AA156" s="851">
        <f>IFERROR(IF(C156="",1.1,IF(S156="",1,IF($C156=1,VLOOKUP($B156,'Werkschema - Rekening'!$B$2:$C$46,2,FALSE),IF($C156=2,Instellingen!C$16,IF($C156=3,Instellingen!D$16,IF($C156=4,L156))))+$D156)+$Z156),1.1)</f>
        <v/>
      </c>
      <c r="AB156" s="852">
        <f>IF($B156="","",IFERROR(VLOOKUP($B156,'Werkschema - Rekening'!$B$2:$P$46,3,FALSE),""))</f>
        <v/>
      </c>
      <c r="AC156" s="851">
        <f>IFERROR(IF(C156="",1.1,IF(T156="",1,IF($C156=1,VLOOKUP($B156,'Werkschema - Rekening'!$B$2:$E$46,4,FALSE),IF($C156=2,Instellingen!E$16,IF($C156=3,Instellingen!F$16,IF($C156=4,M156))))+$D156)+$Z156),1.1)</f>
        <v/>
      </c>
      <c r="AD156" s="852">
        <f>IF($B156="","",IFERROR(VLOOKUP($B156,'Werkschema - Rekening'!$B$2:$P$46,5,FALSE),""))</f>
        <v/>
      </c>
      <c r="AE156" s="851">
        <f>IFERROR(IF(C156="",1.1,IF(U156="",1,IF($C156=1,VLOOKUP($B156,'Werkschema - Rekening'!$B$2:$G$46,6,FALSE),IF($C156=2,Instellingen!G$16,IF($C156=3,Instellingen!H$16,IF($C156=4,N156))))+$D156)+$Z156),1.1)</f>
        <v/>
      </c>
      <c r="AF156" s="852">
        <f>IF($B156="","",IFERROR(VLOOKUP($B156,'Werkschema - Rekening'!$B$2:$P$46,7,FALSE),""))</f>
        <v/>
      </c>
      <c r="AG156" s="851">
        <f>IFERROR(IF(C156="",1.1,IF(V156="",1,IF($C156=1,VLOOKUP($B156,'Werkschema - Rekening'!$B$2:$I$46,8,FALSE),IF($C156=2,Instellingen!I$16,IF($C156=3,Instellingen!J$16,IF($C156=4,O156))))+$D156)+$Z156),1.1)</f>
        <v/>
      </c>
      <c r="AH156" s="852">
        <f>IF($B156="","",IFERROR(VLOOKUP($B156,'Werkschema - Rekening'!$B$2:$P$46,9,FALSE),""))</f>
        <v/>
      </c>
      <c r="AI156" s="851">
        <f>IFERROR(IF(C156="",1.1,IF(W156="",1,IF($C156=1,VLOOKUP($B156,'Werkschema - Rekening'!$B$2:$K$46,10,FALSE),IF($C156=2,Instellingen!K$16,IF($C156=3,Instellingen!L$16,IF($C156=4,P156))))+$D156)+$Z156),1.1)</f>
        <v/>
      </c>
      <c r="AJ156" s="852">
        <f>IF($B156="","",IFERROR(VLOOKUP($B156,'Werkschema - Rekening'!$B$2:$P$46,11,FALSE),""))</f>
        <v/>
      </c>
      <c r="AK156" s="851">
        <f>IFERROR(IF(C156="",1.1,IF(X156="",1,IF($C156=1,VLOOKUP($B156,'Werkschema - Rekening'!$B$2:$M$46,12,FALSE),IF($C156=2,Instellingen!M$16,IF($C156=3,Instellingen!N$16,IF($C156=4,Q156))))+$D156)+$Z156),1.1)</f>
        <v/>
      </c>
      <c r="AL156" s="852">
        <f>IF($B156="","",IFERROR(VLOOKUP($B156,'Werkschema - Rekening'!$B$2:$P$46,13,FALSE),""))</f>
        <v/>
      </c>
      <c r="AM156" s="851">
        <f>IFERROR(IF(C156="",1.1,IF(Y156="",1,IF($C156=1,VLOOKUP($B156,'Werkschema - Rekening'!$B$2:$O$46,14,FALSE),IF($C156=2,Instellingen!O$16,IF($C156=3,Instellingen!P$16,IF($C156=4,R156))))+$D156)+$Z156),1.1)</f>
        <v/>
      </c>
      <c r="AN156" s="852">
        <f>IF($B156="","",IFERROR(VLOOKUP($B156,'Werkschema - Rekening'!$B$2:$P$46,15,FALSE),""))</f>
        <v/>
      </c>
      <c r="AO156" s="855">
        <f>A156</f>
        <v/>
      </c>
      <c r="AP156" s="855">
        <f>B156</f>
        <v/>
      </c>
    </row>
    <row r="157" ht="12.6" customHeight="1">
      <c r="A157" s="575">
        <f>IF('Aanpassen Werkschema'!B15="","",'Aanpassen Werkschema'!B15)</f>
        <v/>
      </c>
      <c r="B157" s="575">
        <f>IF('Aanpassen Werkschema'!C15="","",'Aanpassen Werkschema'!C15)</f>
        <v/>
      </c>
      <c r="C157" s="576">
        <f>IF('Aanpassen Werkschema'!D15="geplande taak",1,IF('Aanpassen Werkschema'!D15="openingstijd",2,IF('Aanpassen Werkschema'!D15="sluitingstijd",3,IF('Aanpassen Werkschema'!D15="vaste tijd",4,""))))</f>
        <v/>
      </c>
      <c r="D157" s="853">
        <f>'Aanpassen Werkschema'!E15</f>
        <v/>
      </c>
      <c r="E157" s="578" t="n"/>
      <c r="F157" s="578" t="n"/>
      <c r="G157" s="578" t="n"/>
      <c r="H157" s="578" t="n"/>
      <c r="I157" s="578" t="n"/>
      <c r="J157" s="578" t="n"/>
      <c r="K157" s="578" t="n"/>
      <c r="L157" s="579">
        <f>IF('Aanpassen Werkschema'!T15&gt;0,'Aanpassen Werkschema'!T15,"")</f>
        <v/>
      </c>
      <c r="M157" s="579">
        <f>IF('Aanpassen Werkschema'!U15&gt;0,'Aanpassen Werkschema'!U15,"")</f>
        <v/>
      </c>
      <c r="N157" s="579">
        <f>IF('Aanpassen Werkschema'!V15&gt;0,'Aanpassen Werkschema'!V15,"")</f>
        <v/>
      </c>
      <c r="O157" s="579">
        <f>IF('Aanpassen Werkschema'!W15&gt;0,'Aanpassen Werkschema'!W15,"")</f>
        <v/>
      </c>
      <c r="P157" s="579">
        <f>IF('Aanpassen Werkschema'!X15&gt;0,'Aanpassen Werkschema'!X15,"")</f>
        <v/>
      </c>
      <c r="Q157" s="579">
        <f>IF('Aanpassen Werkschema'!Y15&gt;0,'Aanpassen Werkschema'!Y15,"")</f>
        <v/>
      </c>
      <c r="R157" s="579">
        <f>IF('Aanpassen Werkschema'!Z15&gt;0,'Aanpassen Werkschema'!Z15,"")</f>
        <v/>
      </c>
      <c r="S157" s="578">
        <f>IF('Aanpassen Werkschema'!F15="v","x","")</f>
        <v/>
      </c>
      <c r="T157" s="578">
        <f>IF('Aanpassen Werkschema'!G15="v","x","")</f>
        <v/>
      </c>
      <c r="U157" s="578">
        <f>IF('Aanpassen Werkschema'!H15="v","x","")</f>
        <v/>
      </c>
      <c r="V157" s="578">
        <f>IF('Aanpassen Werkschema'!I15="v","x","")</f>
        <v/>
      </c>
      <c r="W157" s="578">
        <f>IF('Aanpassen Werkschema'!J15="v","x","")</f>
        <v/>
      </c>
      <c r="X157" s="578">
        <f>IF('Aanpassen Werkschema'!K15="v","x","")</f>
        <v/>
      </c>
      <c r="Y157" s="578">
        <f>IF('Aanpassen Werkschema'!L15="v","x","")</f>
        <v/>
      </c>
      <c r="Z157" s="854">
        <f>Z156+0.0000000001</f>
        <v/>
      </c>
      <c r="AA157" s="851">
        <f>IFERROR(IF(C157="",1.1,IF(S157="",1,IF($C157=1,VLOOKUP($B157,'Werkschema - Rekening'!$B$2:$C$46,2,FALSE),IF($C157=2,Instellingen!C$16,IF($C157=3,Instellingen!D$16,IF($C157=4,L157))))+$D157)+$Z157),1.1)</f>
        <v/>
      </c>
      <c r="AB157" s="852">
        <f>IF($B157="","",IFERROR(VLOOKUP($B157,'Werkschema - Rekening'!$B$2:$P$46,3,FALSE),""))</f>
        <v/>
      </c>
      <c r="AC157" s="851">
        <f>IFERROR(IF(C157="",1.1,IF(T157="",1,IF($C157=1,VLOOKUP($B157,'Werkschema - Rekening'!$B$2:$E$46,4,FALSE),IF($C157=2,Instellingen!E$16,IF($C157=3,Instellingen!F$16,IF($C157=4,M157))))+$D157)+$Z157),1.1)</f>
        <v/>
      </c>
      <c r="AD157" s="852">
        <f>IF($B157="","",IFERROR(VLOOKUP($B157,'Werkschema - Rekening'!$B$2:$P$46,5,FALSE),""))</f>
        <v/>
      </c>
      <c r="AE157" s="851">
        <f>IFERROR(IF(C157="",1.1,IF(U157="",1,IF($C157=1,VLOOKUP($B157,'Werkschema - Rekening'!$B$2:$G$46,6,FALSE),IF($C157=2,Instellingen!G$16,IF($C157=3,Instellingen!H$16,IF($C157=4,N157))))+$D157)+$Z157),1.1)</f>
        <v/>
      </c>
      <c r="AF157" s="852">
        <f>IF($B157="","",IFERROR(VLOOKUP($B157,'Werkschema - Rekening'!$B$2:$P$46,7,FALSE),""))</f>
        <v/>
      </c>
      <c r="AG157" s="851">
        <f>IFERROR(IF(C157="",1.1,IF(V157="",1,IF($C157=1,VLOOKUP($B157,'Werkschema - Rekening'!$B$2:$I$46,8,FALSE),IF($C157=2,Instellingen!I$16,IF($C157=3,Instellingen!J$16,IF($C157=4,O157))))+$D157)+$Z157),1.1)</f>
        <v/>
      </c>
      <c r="AH157" s="852">
        <f>IF($B157="","",IFERROR(VLOOKUP($B157,'Werkschema - Rekening'!$B$2:$P$46,9,FALSE),""))</f>
        <v/>
      </c>
      <c r="AI157" s="851">
        <f>IFERROR(IF(C157="",1.1,IF(W157="",1,IF($C157=1,VLOOKUP($B157,'Werkschema - Rekening'!$B$2:$K$46,10,FALSE),IF($C157=2,Instellingen!K$16,IF($C157=3,Instellingen!L$16,IF($C157=4,P157))))+$D157)+$Z157),1.1)</f>
        <v/>
      </c>
      <c r="AJ157" s="852">
        <f>IF($B157="","",IFERROR(VLOOKUP($B157,'Werkschema - Rekening'!$B$2:$P$46,11,FALSE),""))</f>
        <v/>
      </c>
      <c r="AK157" s="851">
        <f>IFERROR(IF(C157="",1.1,IF(X157="",1,IF($C157=1,VLOOKUP($B157,'Werkschema - Rekening'!$B$2:$M$46,12,FALSE),IF($C157=2,Instellingen!M$16,IF($C157=3,Instellingen!N$16,IF($C157=4,Q157))))+$D157)+$Z157),1.1)</f>
        <v/>
      </c>
      <c r="AL157" s="852">
        <f>IF($B157="","",IFERROR(VLOOKUP($B157,'Werkschema - Rekening'!$B$2:$P$46,13,FALSE),""))</f>
        <v/>
      </c>
      <c r="AM157" s="851">
        <f>IFERROR(IF(C157="",1.1,IF(Y157="",1,IF($C157=1,VLOOKUP($B157,'Werkschema - Rekening'!$B$2:$O$46,14,FALSE),IF($C157=2,Instellingen!O$16,IF($C157=3,Instellingen!P$16,IF($C157=4,R157))))+$D157)+$Z157),1.1)</f>
        <v/>
      </c>
      <c r="AN157" s="852">
        <f>IF($B157="","",IFERROR(VLOOKUP($B157,'Werkschema - Rekening'!$B$2:$P$46,15,FALSE),""))</f>
        <v/>
      </c>
      <c r="AO157" s="855">
        <f>A157</f>
        <v/>
      </c>
      <c r="AP157" s="855">
        <f>B157</f>
        <v/>
      </c>
    </row>
    <row r="158" ht="12.6" customHeight="1">
      <c r="A158" s="575">
        <f>IF('Aanpassen Werkschema'!B16="","",'Aanpassen Werkschema'!B16)</f>
        <v/>
      </c>
      <c r="B158" s="575">
        <f>IF('Aanpassen Werkschema'!C16="","",'Aanpassen Werkschema'!C16)</f>
        <v/>
      </c>
      <c r="C158" s="576">
        <f>IF('Aanpassen Werkschema'!D16="geplande taak",1,IF('Aanpassen Werkschema'!D16="openingstijd",2,IF('Aanpassen Werkschema'!D16="sluitingstijd",3,IF('Aanpassen Werkschema'!D16="vaste tijd",4,""))))</f>
        <v/>
      </c>
      <c r="D158" s="853">
        <f>'Aanpassen Werkschema'!E16</f>
        <v/>
      </c>
      <c r="E158" s="578" t="n"/>
      <c r="F158" s="578" t="n"/>
      <c r="G158" s="578" t="n"/>
      <c r="H158" s="578" t="n"/>
      <c r="I158" s="578" t="n"/>
      <c r="J158" s="578" t="n"/>
      <c r="K158" s="578" t="n"/>
      <c r="L158" s="579">
        <f>IF('Aanpassen Werkschema'!T16&gt;0,'Aanpassen Werkschema'!T16,"")</f>
        <v/>
      </c>
      <c r="M158" s="579">
        <f>IF('Aanpassen Werkschema'!U16&gt;0,'Aanpassen Werkschema'!U16,"")</f>
        <v/>
      </c>
      <c r="N158" s="579">
        <f>IF('Aanpassen Werkschema'!V16&gt;0,'Aanpassen Werkschema'!V16,"")</f>
        <v/>
      </c>
      <c r="O158" s="579">
        <f>IF('Aanpassen Werkschema'!W16&gt;0,'Aanpassen Werkschema'!W16,"")</f>
        <v/>
      </c>
      <c r="P158" s="579">
        <f>IF('Aanpassen Werkschema'!X16&gt;0,'Aanpassen Werkschema'!X16,"")</f>
        <v/>
      </c>
      <c r="Q158" s="579">
        <f>IF('Aanpassen Werkschema'!Y16&gt;0,'Aanpassen Werkschema'!Y16,"")</f>
        <v/>
      </c>
      <c r="R158" s="579">
        <f>IF('Aanpassen Werkschema'!Z16&gt;0,'Aanpassen Werkschema'!Z16,"")</f>
        <v/>
      </c>
      <c r="S158" s="578">
        <f>IF('Aanpassen Werkschema'!F16="v","x","")</f>
        <v/>
      </c>
      <c r="T158" s="578">
        <f>IF('Aanpassen Werkschema'!G16="v","x","")</f>
        <v/>
      </c>
      <c r="U158" s="578">
        <f>IF('Aanpassen Werkschema'!H16="v","x","")</f>
        <v/>
      </c>
      <c r="V158" s="578">
        <f>IF('Aanpassen Werkschema'!I16="v","x","")</f>
        <v/>
      </c>
      <c r="W158" s="578">
        <f>IF('Aanpassen Werkschema'!J16="v","x","")</f>
        <v/>
      </c>
      <c r="X158" s="578">
        <f>IF('Aanpassen Werkschema'!K16="v","x","")</f>
        <v/>
      </c>
      <c r="Y158" s="578">
        <f>IF('Aanpassen Werkschema'!L16="v","x","")</f>
        <v/>
      </c>
      <c r="Z158" s="854">
        <f>Z157+0.0000000001</f>
        <v/>
      </c>
      <c r="AA158" s="851">
        <f>IFERROR(IF(C158="",1.1,IF(S158="",1,IF($C158=1,VLOOKUP($B158,'Werkschema - Rekening'!$B$2:$C$46,2,FALSE),IF($C158=2,Instellingen!C$16,IF($C158=3,Instellingen!D$16,IF($C158=4,L158))))+$D158)+$Z158),1.1)</f>
        <v/>
      </c>
      <c r="AB158" s="852">
        <f>IF($B158="","",IFERROR(VLOOKUP($B158,'Werkschema - Rekening'!$B$2:$P$46,3,FALSE),""))</f>
        <v/>
      </c>
      <c r="AC158" s="851">
        <f>IFERROR(IF(C158="",1.1,IF(T158="",1,IF($C158=1,VLOOKUP($B158,'Werkschema - Rekening'!$B$2:$E$46,4,FALSE),IF($C158=2,Instellingen!E$16,IF($C158=3,Instellingen!F$16,IF($C158=4,M158))))+$D158)+$Z158),1.1)</f>
        <v/>
      </c>
      <c r="AD158" s="852">
        <f>IF($B158="","",IFERROR(VLOOKUP($B158,'Werkschema - Rekening'!$B$2:$P$46,5,FALSE),""))</f>
        <v/>
      </c>
      <c r="AE158" s="851">
        <f>IFERROR(IF(C158="",1.1,IF(U158="",1,IF($C158=1,VLOOKUP($B158,'Werkschema - Rekening'!$B$2:$G$46,6,FALSE),IF($C158=2,Instellingen!G$16,IF($C158=3,Instellingen!H$16,IF($C158=4,N158))))+$D158)+$Z158),1.1)</f>
        <v/>
      </c>
      <c r="AF158" s="852">
        <f>IF($B158="","",IFERROR(VLOOKUP($B158,'Werkschema - Rekening'!$B$2:$P$46,7,FALSE),""))</f>
        <v/>
      </c>
      <c r="AG158" s="851">
        <f>IFERROR(IF(C158="",1.1,IF(V158="",1,IF($C158=1,VLOOKUP($B158,'Werkschema - Rekening'!$B$2:$I$46,8,FALSE),IF($C158=2,Instellingen!I$16,IF($C158=3,Instellingen!J$16,IF($C158=4,O158))))+$D158)+$Z158),1.1)</f>
        <v/>
      </c>
      <c r="AH158" s="852">
        <f>IF($B158="","",IFERROR(VLOOKUP($B158,'Werkschema - Rekening'!$B$2:$P$46,9,FALSE),""))</f>
        <v/>
      </c>
      <c r="AI158" s="851">
        <f>IFERROR(IF(C158="",1.1,IF(W158="",1,IF($C158=1,VLOOKUP($B158,'Werkschema - Rekening'!$B$2:$K$46,10,FALSE),IF($C158=2,Instellingen!K$16,IF($C158=3,Instellingen!L$16,IF($C158=4,P158))))+$D158)+$Z158),1.1)</f>
        <v/>
      </c>
      <c r="AJ158" s="852">
        <f>IF($B158="","",IFERROR(VLOOKUP($B158,'Werkschema - Rekening'!$B$2:$P$46,11,FALSE),""))</f>
        <v/>
      </c>
      <c r="AK158" s="851">
        <f>IFERROR(IF(C158="",1.1,IF(X158="",1,IF($C158=1,VLOOKUP($B158,'Werkschema - Rekening'!$B$2:$M$46,12,FALSE),IF($C158=2,Instellingen!M$16,IF($C158=3,Instellingen!N$16,IF($C158=4,Q158))))+$D158)+$Z158),1.1)</f>
        <v/>
      </c>
      <c r="AL158" s="852">
        <f>IF($B158="","",IFERROR(VLOOKUP($B158,'Werkschema - Rekening'!$B$2:$P$46,13,FALSE),""))</f>
        <v/>
      </c>
      <c r="AM158" s="851">
        <f>IFERROR(IF(C158="",1.1,IF(Y158="",1,IF($C158=1,VLOOKUP($B158,'Werkschema - Rekening'!$B$2:$O$46,14,FALSE),IF($C158=2,Instellingen!O$16,IF($C158=3,Instellingen!P$16,IF($C158=4,R158))))+$D158)+$Z158),1.1)</f>
        <v/>
      </c>
      <c r="AN158" s="852">
        <f>IF($B158="","",IFERROR(VLOOKUP($B158,'Werkschema - Rekening'!$B$2:$P$46,15,FALSE),""))</f>
        <v/>
      </c>
      <c r="AO158" s="855">
        <f>A158</f>
        <v/>
      </c>
      <c r="AP158" s="855">
        <f>B158</f>
        <v/>
      </c>
    </row>
    <row r="159" ht="12.6" customHeight="1">
      <c r="A159" s="575">
        <f>IF('Aanpassen Werkschema'!B17="","",'Aanpassen Werkschema'!B17)</f>
        <v/>
      </c>
      <c r="B159" s="575">
        <f>IF('Aanpassen Werkschema'!C17="","",'Aanpassen Werkschema'!C17)</f>
        <v/>
      </c>
      <c r="C159" s="576">
        <f>IF('Aanpassen Werkschema'!D17="geplande taak",1,IF('Aanpassen Werkschema'!D17="openingstijd",2,IF('Aanpassen Werkschema'!D17="sluitingstijd",3,IF('Aanpassen Werkschema'!D17="vaste tijd",4,""))))</f>
        <v/>
      </c>
      <c r="D159" s="853">
        <f>'Aanpassen Werkschema'!E17</f>
        <v/>
      </c>
      <c r="E159" s="578" t="n"/>
      <c r="F159" s="578" t="n"/>
      <c r="G159" s="578" t="n"/>
      <c r="H159" s="578" t="n"/>
      <c r="I159" s="578" t="n"/>
      <c r="J159" s="578" t="n"/>
      <c r="K159" s="578" t="n"/>
      <c r="L159" s="579">
        <f>IF('Aanpassen Werkschema'!T17&gt;0,'Aanpassen Werkschema'!T17,"")</f>
        <v/>
      </c>
      <c r="M159" s="579">
        <f>IF('Aanpassen Werkschema'!U17&gt;0,'Aanpassen Werkschema'!U17,"")</f>
        <v/>
      </c>
      <c r="N159" s="579">
        <f>IF('Aanpassen Werkschema'!V17&gt;0,'Aanpassen Werkschema'!V17,"")</f>
        <v/>
      </c>
      <c r="O159" s="579">
        <f>IF('Aanpassen Werkschema'!W17&gt;0,'Aanpassen Werkschema'!W17,"")</f>
        <v/>
      </c>
      <c r="P159" s="579">
        <f>IF('Aanpassen Werkschema'!X17&gt;0,'Aanpassen Werkschema'!X17,"")</f>
        <v/>
      </c>
      <c r="Q159" s="579">
        <f>IF('Aanpassen Werkschema'!Y17&gt;0,'Aanpassen Werkschema'!Y17,"")</f>
        <v/>
      </c>
      <c r="R159" s="579">
        <f>IF('Aanpassen Werkschema'!Z17&gt;0,'Aanpassen Werkschema'!Z17,"")</f>
        <v/>
      </c>
      <c r="S159" s="578">
        <f>IF('Aanpassen Werkschema'!F17="v","x","")</f>
        <v/>
      </c>
      <c r="T159" s="578">
        <f>IF('Aanpassen Werkschema'!G17="v","x","")</f>
        <v/>
      </c>
      <c r="U159" s="578">
        <f>IF('Aanpassen Werkschema'!H17="v","x","")</f>
        <v/>
      </c>
      <c r="V159" s="578">
        <f>IF('Aanpassen Werkschema'!I17="v","x","")</f>
        <v/>
      </c>
      <c r="W159" s="578">
        <f>IF('Aanpassen Werkschema'!J17="v","x","")</f>
        <v/>
      </c>
      <c r="X159" s="578">
        <f>IF('Aanpassen Werkschema'!K17="v","x","")</f>
        <v/>
      </c>
      <c r="Y159" s="578">
        <f>IF('Aanpassen Werkschema'!L17="v","x","")</f>
        <v/>
      </c>
      <c r="Z159" s="854">
        <f>Z158+0.0000000001</f>
        <v/>
      </c>
      <c r="AA159" s="851">
        <f>IFERROR(IF(C159="",1.1,IF(S159="",1,IF($C159=1,VLOOKUP($B159,'Werkschema - Rekening'!$B$2:$C$46,2,FALSE),IF($C159=2,Instellingen!C$16,IF($C159=3,Instellingen!D$16,IF($C159=4,L159))))+$D159)+$Z159),1.1)</f>
        <v/>
      </c>
      <c r="AB159" s="852">
        <f>IF($B159="","",IFERROR(VLOOKUP($B159,'Werkschema - Rekening'!$B$2:$P$46,3,FALSE),""))</f>
        <v/>
      </c>
      <c r="AC159" s="851">
        <f>IFERROR(IF(C159="",1.1,IF(T159="",1,IF($C159=1,VLOOKUP($B159,'Werkschema - Rekening'!$B$2:$E$46,4,FALSE),IF($C159=2,Instellingen!E$16,IF($C159=3,Instellingen!F$16,IF($C159=4,M159))))+$D159)+$Z159),1.1)</f>
        <v/>
      </c>
      <c r="AD159" s="852">
        <f>IF($B159="","",IFERROR(VLOOKUP($B159,'Werkschema - Rekening'!$B$2:$P$46,5,FALSE),""))</f>
        <v/>
      </c>
      <c r="AE159" s="851">
        <f>IFERROR(IF(C159="",1.1,IF(U159="",1,IF($C159=1,VLOOKUP($B159,'Werkschema - Rekening'!$B$2:$G$46,6,FALSE),IF($C159=2,Instellingen!G$16,IF($C159=3,Instellingen!H$16,IF($C159=4,N159))))+$D159)+$Z159),1.1)</f>
        <v/>
      </c>
      <c r="AF159" s="852">
        <f>IF($B159="","",IFERROR(VLOOKUP($B159,'Werkschema - Rekening'!$B$2:$P$46,7,FALSE),""))</f>
        <v/>
      </c>
      <c r="AG159" s="851">
        <f>IFERROR(IF(C159="",1.1,IF(V159="",1,IF($C159=1,VLOOKUP($B159,'Werkschema - Rekening'!$B$2:$I$46,8,FALSE),IF($C159=2,Instellingen!I$16,IF($C159=3,Instellingen!J$16,IF($C159=4,O159))))+$D159)+$Z159),1.1)</f>
        <v/>
      </c>
      <c r="AH159" s="852">
        <f>IF($B159="","",IFERROR(VLOOKUP($B159,'Werkschema - Rekening'!$B$2:$P$46,9,FALSE),""))</f>
        <v/>
      </c>
      <c r="AI159" s="851">
        <f>IFERROR(IF(C159="",1.1,IF(W159="",1,IF($C159=1,VLOOKUP($B159,'Werkschema - Rekening'!$B$2:$K$46,10,FALSE),IF($C159=2,Instellingen!K$16,IF($C159=3,Instellingen!L$16,IF($C159=4,P159))))+$D159)+$Z159),1.1)</f>
        <v/>
      </c>
      <c r="AJ159" s="852">
        <f>IF($B159="","",IFERROR(VLOOKUP($B159,'Werkschema - Rekening'!$B$2:$P$46,11,FALSE),""))</f>
        <v/>
      </c>
      <c r="AK159" s="851">
        <f>IFERROR(IF(C159="",1.1,IF(X159="",1,IF($C159=1,VLOOKUP($B159,'Werkschema - Rekening'!$B$2:$M$46,12,FALSE),IF($C159=2,Instellingen!M$16,IF($C159=3,Instellingen!N$16,IF($C159=4,Q159))))+$D159)+$Z159),1.1)</f>
        <v/>
      </c>
      <c r="AL159" s="852">
        <f>IF($B159="","",IFERROR(VLOOKUP($B159,'Werkschema - Rekening'!$B$2:$P$46,13,FALSE),""))</f>
        <v/>
      </c>
      <c r="AM159" s="851">
        <f>IFERROR(IF(C159="",1.1,IF(Y159="",1,IF($C159=1,VLOOKUP($B159,'Werkschema - Rekening'!$B$2:$O$46,14,FALSE),IF($C159=2,Instellingen!O$16,IF($C159=3,Instellingen!P$16,IF($C159=4,R159))))+$D159)+$Z159),1.1)</f>
        <v/>
      </c>
      <c r="AN159" s="852">
        <f>IF($B159="","",IFERROR(VLOOKUP($B159,'Werkschema - Rekening'!$B$2:$P$46,15,FALSE),""))</f>
        <v/>
      </c>
      <c r="AO159" s="855">
        <f>A159</f>
        <v/>
      </c>
      <c r="AP159" s="855">
        <f>B159</f>
        <v/>
      </c>
    </row>
    <row r="160" ht="12.6" customHeight="1">
      <c r="A160" s="575">
        <f>IF('Aanpassen Werkschema'!B18="","",'Aanpassen Werkschema'!B18)</f>
        <v/>
      </c>
      <c r="B160" s="575">
        <f>IF('Aanpassen Werkschema'!C18="","",'Aanpassen Werkschema'!C18)</f>
        <v/>
      </c>
      <c r="C160" s="576">
        <f>IF('Aanpassen Werkschema'!D18="geplande taak",1,IF('Aanpassen Werkschema'!D18="openingstijd",2,IF('Aanpassen Werkschema'!D18="sluitingstijd",3,IF('Aanpassen Werkschema'!D18="vaste tijd",4,""))))</f>
        <v/>
      </c>
      <c r="D160" s="853">
        <f>'Aanpassen Werkschema'!E18</f>
        <v/>
      </c>
      <c r="E160" s="578" t="n"/>
      <c r="F160" s="578" t="n"/>
      <c r="G160" s="578" t="n"/>
      <c r="H160" s="578" t="n"/>
      <c r="I160" s="578" t="n"/>
      <c r="J160" s="578" t="n"/>
      <c r="K160" s="578" t="n"/>
      <c r="L160" s="579">
        <f>IF('Aanpassen Werkschema'!T18&gt;0,'Aanpassen Werkschema'!T18,"")</f>
        <v/>
      </c>
      <c r="M160" s="579">
        <f>IF('Aanpassen Werkschema'!U18&gt;0,'Aanpassen Werkschema'!U18,"")</f>
        <v/>
      </c>
      <c r="N160" s="579">
        <f>IF('Aanpassen Werkschema'!V18&gt;0,'Aanpassen Werkschema'!V18,"")</f>
        <v/>
      </c>
      <c r="O160" s="579">
        <f>IF('Aanpassen Werkschema'!W18&gt;0,'Aanpassen Werkschema'!W18,"")</f>
        <v/>
      </c>
      <c r="P160" s="579">
        <f>IF('Aanpassen Werkschema'!X18&gt;0,'Aanpassen Werkschema'!X18,"")</f>
        <v/>
      </c>
      <c r="Q160" s="579">
        <f>IF('Aanpassen Werkschema'!Y18&gt;0,'Aanpassen Werkschema'!Y18,"")</f>
        <v/>
      </c>
      <c r="R160" s="579">
        <f>IF('Aanpassen Werkschema'!Z18&gt;0,'Aanpassen Werkschema'!Z18,"")</f>
        <v/>
      </c>
      <c r="S160" s="578">
        <f>IF('Aanpassen Werkschema'!F18="v","x","")</f>
        <v/>
      </c>
      <c r="T160" s="578">
        <f>IF('Aanpassen Werkschema'!G18="v","x","")</f>
        <v/>
      </c>
      <c r="U160" s="578">
        <f>IF('Aanpassen Werkschema'!H18="v","x","")</f>
        <v/>
      </c>
      <c r="V160" s="578">
        <f>IF('Aanpassen Werkschema'!I18="v","x","")</f>
        <v/>
      </c>
      <c r="W160" s="578">
        <f>IF('Aanpassen Werkschema'!J18="v","x","")</f>
        <v/>
      </c>
      <c r="X160" s="578">
        <f>IF('Aanpassen Werkschema'!K18="v","x","")</f>
        <v/>
      </c>
      <c r="Y160" s="578">
        <f>IF('Aanpassen Werkschema'!L18="v","x","")</f>
        <v/>
      </c>
      <c r="Z160" s="854">
        <f>Z159+0.0000000001</f>
        <v/>
      </c>
      <c r="AA160" s="851">
        <f>IFERROR(IF(C160="",1.1,IF(S160="",1,IF($C160=1,VLOOKUP($B160,'Werkschema - Rekening'!$B$2:$C$46,2,FALSE),IF($C160=2,Instellingen!C$16,IF($C160=3,Instellingen!D$16,IF($C160=4,L160))))+$D160)+$Z160),1.1)</f>
        <v/>
      </c>
      <c r="AB160" s="852">
        <f>IF($B160="","",IFERROR(VLOOKUP($B160,'Werkschema - Rekening'!$B$2:$P$46,3,FALSE),""))</f>
        <v/>
      </c>
      <c r="AC160" s="851">
        <f>IFERROR(IF(C160="",1.1,IF(T160="",1,IF($C160=1,VLOOKUP($B160,'Werkschema - Rekening'!$B$2:$E$46,4,FALSE),IF($C160=2,Instellingen!E$16,IF($C160=3,Instellingen!F$16,IF($C160=4,M160))))+$D160)+$Z160),1.1)</f>
        <v/>
      </c>
      <c r="AD160" s="852">
        <f>IF($B160="","",IFERROR(VLOOKUP($B160,'Werkschema - Rekening'!$B$2:$P$46,5,FALSE),""))</f>
        <v/>
      </c>
      <c r="AE160" s="851">
        <f>IFERROR(IF(C160="",1.1,IF(U160="",1,IF($C160=1,VLOOKUP($B160,'Werkschema - Rekening'!$B$2:$G$46,6,FALSE),IF($C160=2,Instellingen!G$16,IF($C160=3,Instellingen!H$16,IF($C160=4,N160))))+$D160)+$Z160),1.1)</f>
        <v/>
      </c>
      <c r="AF160" s="852">
        <f>IF($B160="","",IFERROR(VLOOKUP($B160,'Werkschema - Rekening'!$B$2:$P$46,7,FALSE),""))</f>
        <v/>
      </c>
      <c r="AG160" s="851">
        <f>IFERROR(IF(C160="",1.1,IF(V160="",1,IF($C160=1,VLOOKUP($B160,'Werkschema - Rekening'!$B$2:$I$46,8,FALSE),IF($C160=2,Instellingen!I$16,IF($C160=3,Instellingen!J$16,IF($C160=4,O160))))+$D160)+$Z160),1.1)</f>
        <v/>
      </c>
      <c r="AH160" s="852">
        <f>IF($B160="","",IFERROR(VLOOKUP($B160,'Werkschema - Rekening'!$B$2:$P$46,9,FALSE),""))</f>
        <v/>
      </c>
      <c r="AI160" s="851">
        <f>IFERROR(IF(C160="",1.1,IF(W160="",1,IF($C160=1,VLOOKUP($B160,'Werkschema - Rekening'!$B$2:$K$46,10,FALSE),IF($C160=2,Instellingen!K$16,IF($C160=3,Instellingen!L$16,IF($C160=4,P160))))+$D160)+$Z160),1.1)</f>
        <v/>
      </c>
      <c r="AJ160" s="852">
        <f>IF($B160="","",IFERROR(VLOOKUP($B160,'Werkschema - Rekening'!$B$2:$P$46,11,FALSE),""))</f>
        <v/>
      </c>
      <c r="AK160" s="851">
        <f>IFERROR(IF(C160="",1.1,IF(X160="",1,IF($C160=1,VLOOKUP($B160,'Werkschema - Rekening'!$B$2:$M$46,12,FALSE),IF($C160=2,Instellingen!M$16,IF($C160=3,Instellingen!N$16,IF($C160=4,Q160))))+$D160)+$Z160),1.1)</f>
        <v/>
      </c>
      <c r="AL160" s="852">
        <f>IF($B160="","",IFERROR(VLOOKUP($B160,'Werkschema - Rekening'!$B$2:$P$46,13,FALSE),""))</f>
        <v/>
      </c>
      <c r="AM160" s="851">
        <f>IFERROR(IF(C160="",1.1,IF(Y160="",1,IF($C160=1,VLOOKUP($B160,'Werkschema - Rekening'!$B$2:$O$46,14,FALSE),IF($C160=2,Instellingen!O$16,IF($C160=3,Instellingen!P$16,IF($C160=4,R160))))+$D160)+$Z160),1.1)</f>
        <v/>
      </c>
      <c r="AN160" s="852">
        <f>IF($B160="","",IFERROR(VLOOKUP($B160,'Werkschema - Rekening'!$B$2:$P$46,15,FALSE),""))</f>
        <v/>
      </c>
      <c r="AO160" s="855">
        <f>A160</f>
        <v/>
      </c>
      <c r="AP160" s="855">
        <f>B160</f>
        <v/>
      </c>
    </row>
    <row r="161" ht="12.6" customHeight="1">
      <c r="A161" s="575">
        <f>IF('Aanpassen Werkschema'!B19="","",'Aanpassen Werkschema'!B19)</f>
        <v/>
      </c>
      <c r="B161" s="575">
        <f>IF('Aanpassen Werkschema'!C19="","",'Aanpassen Werkschema'!C19)</f>
        <v/>
      </c>
      <c r="C161" s="576">
        <f>IF('Aanpassen Werkschema'!D19="geplande taak",1,IF('Aanpassen Werkschema'!D19="openingstijd",2,IF('Aanpassen Werkschema'!D19="sluitingstijd",3,IF('Aanpassen Werkschema'!D19="vaste tijd",4,""))))</f>
        <v/>
      </c>
      <c r="D161" s="853">
        <f>'Aanpassen Werkschema'!E19</f>
        <v/>
      </c>
      <c r="E161" s="578" t="n"/>
      <c r="F161" s="578" t="n"/>
      <c r="G161" s="578" t="n"/>
      <c r="H161" s="578" t="n"/>
      <c r="I161" s="578" t="n"/>
      <c r="J161" s="578" t="n"/>
      <c r="K161" s="578" t="n"/>
      <c r="L161" s="579">
        <f>IF('Aanpassen Werkschema'!T19&gt;0,'Aanpassen Werkschema'!T19,"")</f>
        <v/>
      </c>
      <c r="M161" s="579">
        <f>IF('Aanpassen Werkschema'!U19&gt;0,'Aanpassen Werkschema'!U19,"")</f>
        <v/>
      </c>
      <c r="N161" s="579">
        <f>IF('Aanpassen Werkschema'!V19&gt;0,'Aanpassen Werkschema'!V19,"")</f>
        <v/>
      </c>
      <c r="O161" s="579">
        <f>IF('Aanpassen Werkschema'!W19&gt;0,'Aanpassen Werkschema'!W19,"")</f>
        <v/>
      </c>
      <c r="P161" s="579">
        <f>IF('Aanpassen Werkschema'!X19&gt;0,'Aanpassen Werkschema'!X19,"")</f>
        <v/>
      </c>
      <c r="Q161" s="579">
        <f>IF('Aanpassen Werkschema'!Y19&gt;0,'Aanpassen Werkschema'!Y19,"")</f>
        <v/>
      </c>
      <c r="R161" s="579">
        <f>IF('Aanpassen Werkschema'!Z19&gt;0,'Aanpassen Werkschema'!Z19,"")</f>
        <v/>
      </c>
      <c r="S161" s="578">
        <f>IF('Aanpassen Werkschema'!F19="v","x","")</f>
        <v/>
      </c>
      <c r="T161" s="578">
        <f>IF('Aanpassen Werkschema'!G19="v","x","")</f>
        <v/>
      </c>
      <c r="U161" s="578">
        <f>IF('Aanpassen Werkschema'!H19="v","x","")</f>
        <v/>
      </c>
      <c r="V161" s="578">
        <f>IF('Aanpassen Werkschema'!I19="v","x","")</f>
        <v/>
      </c>
      <c r="W161" s="578">
        <f>IF('Aanpassen Werkschema'!J19="v","x","")</f>
        <v/>
      </c>
      <c r="X161" s="578">
        <f>IF('Aanpassen Werkschema'!K19="v","x","")</f>
        <v/>
      </c>
      <c r="Y161" s="578">
        <f>IF('Aanpassen Werkschema'!L19="v","x","")</f>
        <v/>
      </c>
      <c r="Z161" s="854">
        <f>Z160+0.0000000001</f>
        <v/>
      </c>
      <c r="AA161" s="851">
        <f>IFERROR(IF(C161="",1.1,IF(S161="",1,IF($C161=1,VLOOKUP($B161,'Werkschema - Rekening'!$B$2:$C$46,2,FALSE),IF($C161=2,Instellingen!C$16,IF($C161=3,Instellingen!D$16,IF($C161=4,L161))))+$D161)+$Z161),1.1)</f>
        <v/>
      </c>
      <c r="AB161" s="852">
        <f>IF($B161="","",IFERROR(VLOOKUP($B161,'Werkschema - Rekening'!$B$2:$P$46,3,FALSE),""))</f>
        <v/>
      </c>
      <c r="AC161" s="851">
        <f>IFERROR(IF(C161="",1.1,IF(T161="",1,IF($C161=1,VLOOKUP($B161,'Werkschema - Rekening'!$B$2:$E$46,4,FALSE),IF($C161=2,Instellingen!E$16,IF($C161=3,Instellingen!F$16,IF($C161=4,M161))))+$D161)+$Z161),1.1)</f>
        <v/>
      </c>
      <c r="AD161" s="852">
        <f>IF($B161="","",IFERROR(VLOOKUP($B161,'Werkschema - Rekening'!$B$2:$P$46,5,FALSE),""))</f>
        <v/>
      </c>
      <c r="AE161" s="851">
        <f>IFERROR(IF(C161="",1.1,IF(U161="",1,IF($C161=1,VLOOKUP($B161,'Werkschema - Rekening'!$B$2:$G$46,6,FALSE),IF($C161=2,Instellingen!G$16,IF($C161=3,Instellingen!H$16,IF($C161=4,N161))))+$D161)+$Z161),1.1)</f>
        <v/>
      </c>
      <c r="AF161" s="852">
        <f>IF($B161="","",IFERROR(VLOOKUP($B161,'Werkschema - Rekening'!$B$2:$P$46,7,FALSE),""))</f>
        <v/>
      </c>
      <c r="AG161" s="851">
        <f>IFERROR(IF(C161="",1.1,IF(V161="",1,IF($C161=1,VLOOKUP($B161,'Werkschema - Rekening'!$B$2:$I$46,8,FALSE),IF($C161=2,Instellingen!I$16,IF($C161=3,Instellingen!J$16,IF($C161=4,O161))))+$D161)+$Z161),1.1)</f>
        <v/>
      </c>
      <c r="AH161" s="852">
        <f>IF($B161="","",IFERROR(VLOOKUP($B161,'Werkschema - Rekening'!$B$2:$P$46,9,FALSE),""))</f>
        <v/>
      </c>
      <c r="AI161" s="851">
        <f>IFERROR(IF(C161="",1.1,IF(W161="",1,IF($C161=1,VLOOKUP($B161,'Werkschema - Rekening'!$B$2:$K$46,10,FALSE),IF($C161=2,Instellingen!K$16,IF($C161=3,Instellingen!L$16,IF($C161=4,P161))))+$D161)+$Z161),1.1)</f>
        <v/>
      </c>
      <c r="AJ161" s="852">
        <f>IF($B161="","",IFERROR(VLOOKUP($B161,'Werkschema - Rekening'!$B$2:$P$46,11,FALSE),""))</f>
        <v/>
      </c>
      <c r="AK161" s="851">
        <f>IFERROR(IF(C161="",1.1,IF(X161="",1,IF($C161=1,VLOOKUP($B161,'Werkschema - Rekening'!$B$2:$M$46,12,FALSE),IF($C161=2,Instellingen!M$16,IF($C161=3,Instellingen!N$16,IF($C161=4,Q161))))+$D161)+$Z161),1.1)</f>
        <v/>
      </c>
      <c r="AL161" s="852">
        <f>IF($B161="","",IFERROR(VLOOKUP($B161,'Werkschema - Rekening'!$B$2:$P$46,13,FALSE),""))</f>
        <v/>
      </c>
      <c r="AM161" s="851">
        <f>IFERROR(IF(C161="",1.1,IF(Y161="",1,IF($C161=1,VLOOKUP($B161,'Werkschema - Rekening'!$B$2:$O$46,14,FALSE),IF($C161=2,Instellingen!O$16,IF($C161=3,Instellingen!P$16,IF($C161=4,R161))))+$D161)+$Z161),1.1)</f>
        <v/>
      </c>
      <c r="AN161" s="852">
        <f>IF($B161="","",IFERROR(VLOOKUP($B161,'Werkschema - Rekening'!$B$2:$P$46,15,FALSE),""))</f>
        <v/>
      </c>
      <c r="AO161" s="855">
        <f>A161</f>
        <v/>
      </c>
      <c r="AP161" s="855">
        <f>B161</f>
        <v/>
      </c>
    </row>
    <row r="162" ht="12.6" customHeight="1">
      <c r="A162" s="575">
        <f>IF('Aanpassen Werkschema'!B20="","",'Aanpassen Werkschema'!B20)</f>
        <v/>
      </c>
      <c r="B162" s="575">
        <f>IF('Aanpassen Werkschema'!C20="","",'Aanpassen Werkschema'!C20)</f>
        <v/>
      </c>
      <c r="C162" s="576">
        <f>IF('Aanpassen Werkschema'!D20="geplande taak",1,IF('Aanpassen Werkschema'!D20="openingstijd",2,IF('Aanpassen Werkschema'!D20="sluitingstijd",3,IF('Aanpassen Werkschema'!D20="vaste tijd",4,""))))</f>
        <v/>
      </c>
      <c r="D162" s="853">
        <f>'Aanpassen Werkschema'!E20</f>
        <v/>
      </c>
      <c r="E162" s="578" t="n"/>
      <c r="F162" s="578" t="n"/>
      <c r="G162" s="578" t="n"/>
      <c r="H162" s="578" t="n"/>
      <c r="I162" s="578" t="n"/>
      <c r="J162" s="578" t="n"/>
      <c r="K162" s="578" t="n"/>
      <c r="L162" s="579">
        <f>IF('Aanpassen Werkschema'!T20&gt;0,'Aanpassen Werkschema'!T20,"")</f>
        <v/>
      </c>
      <c r="M162" s="579">
        <f>IF('Aanpassen Werkschema'!U20&gt;0,'Aanpassen Werkschema'!U20,"")</f>
        <v/>
      </c>
      <c r="N162" s="579">
        <f>IF('Aanpassen Werkschema'!V20&gt;0,'Aanpassen Werkschema'!V20,"")</f>
        <v/>
      </c>
      <c r="O162" s="579">
        <f>IF('Aanpassen Werkschema'!W20&gt;0,'Aanpassen Werkschema'!W20,"")</f>
        <v/>
      </c>
      <c r="P162" s="579">
        <f>IF('Aanpassen Werkschema'!X20&gt;0,'Aanpassen Werkschema'!X20,"")</f>
        <v/>
      </c>
      <c r="Q162" s="579">
        <f>IF('Aanpassen Werkschema'!Y20&gt;0,'Aanpassen Werkschema'!Y20,"")</f>
        <v/>
      </c>
      <c r="R162" s="579">
        <f>IF('Aanpassen Werkschema'!Z20&gt;0,'Aanpassen Werkschema'!Z20,"")</f>
        <v/>
      </c>
      <c r="S162" s="578">
        <f>IF('Aanpassen Werkschema'!F20="v","x","")</f>
        <v/>
      </c>
      <c r="T162" s="578">
        <f>IF('Aanpassen Werkschema'!G20="v","x","")</f>
        <v/>
      </c>
      <c r="U162" s="578">
        <f>IF('Aanpassen Werkschema'!H20="v","x","")</f>
        <v/>
      </c>
      <c r="V162" s="578">
        <f>IF('Aanpassen Werkschema'!I20="v","x","")</f>
        <v/>
      </c>
      <c r="W162" s="578">
        <f>IF('Aanpassen Werkschema'!J20="v","x","")</f>
        <v/>
      </c>
      <c r="X162" s="578">
        <f>IF('Aanpassen Werkschema'!K20="v","x","")</f>
        <v/>
      </c>
      <c r="Y162" s="578">
        <f>IF('Aanpassen Werkschema'!L20="v","x","")</f>
        <v/>
      </c>
      <c r="Z162" s="854">
        <f>Z161+0.0000000001</f>
        <v/>
      </c>
      <c r="AA162" s="851">
        <f>IFERROR(IF(C162="",1.1,IF(S162="",1,IF($C162=1,VLOOKUP($B162,'Werkschema - Rekening'!$B$2:$C$46,2,FALSE),IF($C162=2,Instellingen!C$16,IF($C162=3,Instellingen!D$16,IF($C162=4,L162))))+$D162)+$Z162),1.1)</f>
        <v/>
      </c>
      <c r="AB162" s="852">
        <f>IF($B162="","",IFERROR(VLOOKUP($B162,'Werkschema - Rekening'!$B$2:$P$46,3,FALSE),""))</f>
        <v/>
      </c>
      <c r="AC162" s="851">
        <f>IFERROR(IF(C162="",1.1,IF(T162="",1,IF($C162=1,VLOOKUP($B162,'Werkschema - Rekening'!$B$2:$E$46,4,FALSE),IF($C162=2,Instellingen!E$16,IF($C162=3,Instellingen!F$16,IF($C162=4,M162))))+$D162)+$Z162),1.1)</f>
        <v/>
      </c>
      <c r="AD162" s="852">
        <f>IF($B162="","",IFERROR(VLOOKUP($B162,'Werkschema - Rekening'!$B$2:$P$46,5,FALSE),""))</f>
        <v/>
      </c>
      <c r="AE162" s="851">
        <f>IFERROR(IF(C162="",1.1,IF(U162="",1,IF($C162=1,VLOOKUP($B162,'Werkschema - Rekening'!$B$2:$G$46,6,FALSE),IF($C162=2,Instellingen!G$16,IF($C162=3,Instellingen!H$16,IF($C162=4,N162))))+$D162)+$Z162),1.1)</f>
        <v/>
      </c>
      <c r="AF162" s="852">
        <f>IF($B162="","",IFERROR(VLOOKUP($B162,'Werkschema - Rekening'!$B$2:$P$46,7,FALSE),""))</f>
        <v/>
      </c>
      <c r="AG162" s="851">
        <f>IFERROR(IF(C162="",1.1,IF(V162="",1,IF($C162=1,VLOOKUP($B162,'Werkschema - Rekening'!$B$2:$I$46,8,FALSE),IF($C162=2,Instellingen!I$16,IF($C162=3,Instellingen!J$16,IF($C162=4,O162))))+$D162)+$Z162),1.1)</f>
        <v/>
      </c>
      <c r="AH162" s="852">
        <f>IF($B162="","",IFERROR(VLOOKUP($B162,'Werkschema - Rekening'!$B$2:$P$46,9,FALSE),""))</f>
        <v/>
      </c>
      <c r="AI162" s="851">
        <f>IFERROR(IF(C162="",1.1,IF(W162="",1,IF($C162=1,VLOOKUP($B162,'Werkschema - Rekening'!$B$2:$K$46,10,FALSE),IF($C162=2,Instellingen!K$16,IF($C162=3,Instellingen!L$16,IF($C162=4,P162))))+$D162)+$Z162),1.1)</f>
        <v/>
      </c>
      <c r="AJ162" s="852">
        <f>IF($B162="","",IFERROR(VLOOKUP($B162,'Werkschema - Rekening'!$B$2:$P$46,11,FALSE),""))</f>
        <v/>
      </c>
      <c r="AK162" s="851">
        <f>IFERROR(IF(C162="",1.1,IF(X162="",1,IF($C162=1,VLOOKUP($B162,'Werkschema - Rekening'!$B$2:$M$46,12,FALSE),IF($C162=2,Instellingen!M$16,IF($C162=3,Instellingen!N$16,IF($C162=4,Q162))))+$D162)+$Z162),1.1)</f>
        <v/>
      </c>
      <c r="AL162" s="852">
        <f>IF($B162="","",IFERROR(VLOOKUP($B162,'Werkschema - Rekening'!$B$2:$P$46,13,FALSE),""))</f>
        <v/>
      </c>
      <c r="AM162" s="851">
        <f>IFERROR(IF(C162="",1.1,IF(Y162="",1,IF($C162=1,VLOOKUP($B162,'Werkschema - Rekening'!$B$2:$O$46,14,FALSE),IF($C162=2,Instellingen!O$16,IF($C162=3,Instellingen!P$16,IF($C162=4,R162))))+$D162)+$Z162),1.1)</f>
        <v/>
      </c>
      <c r="AN162" s="852">
        <f>IF($B162="","",IFERROR(VLOOKUP($B162,'Werkschema - Rekening'!$B$2:$P$46,15,FALSE),""))</f>
        <v/>
      </c>
      <c r="AO162" s="855">
        <f>A162</f>
        <v/>
      </c>
      <c r="AP162" s="855">
        <f>B162</f>
        <v/>
      </c>
    </row>
    <row r="163" ht="12.6" customHeight="1">
      <c r="A163" s="575">
        <f>IF('Aanpassen Werkschema'!B21="","",'Aanpassen Werkschema'!B21)</f>
        <v/>
      </c>
      <c r="B163" s="575">
        <f>IF('Aanpassen Werkschema'!C21="","",'Aanpassen Werkschema'!C21)</f>
        <v/>
      </c>
      <c r="C163" s="576">
        <f>IF('Aanpassen Werkschema'!D21="geplande taak",1,IF('Aanpassen Werkschema'!D21="openingstijd",2,IF('Aanpassen Werkschema'!D21="sluitingstijd",3,IF('Aanpassen Werkschema'!D21="vaste tijd",4,""))))</f>
        <v/>
      </c>
      <c r="D163" s="853">
        <f>'Aanpassen Werkschema'!E21</f>
        <v/>
      </c>
      <c r="E163" s="578" t="n"/>
      <c r="F163" s="578" t="n"/>
      <c r="G163" s="578" t="n"/>
      <c r="H163" s="578" t="n"/>
      <c r="I163" s="578" t="n"/>
      <c r="J163" s="578" t="n"/>
      <c r="K163" s="578" t="n"/>
      <c r="L163" s="579">
        <f>IF('Aanpassen Werkschema'!T21&gt;0,'Aanpassen Werkschema'!T21,"")</f>
        <v/>
      </c>
      <c r="M163" s="579">
        <f>IF('Aanpassen Werkschema'!U21&gt;0,'Aanpassen Werkschema'!U21,"")</f>
        <v/>
      </c>
      <c r="N163" s="579">
        <f>IF('Aanpassen Werkschema'!V21&gt;0,'Aanpassen Werkschema'!V21,"")</f>
        <v/>
      </c>
      <c r="O163" s="579">
        <f>IF('Aanpassen Werkschema'!W21&gt;0,'Aanpassen Werkschema'!W21,"")</f>
        <v/>
      </c>
      <c r="P163" s="579">
        <f>IF('Aanpassen Werkschema'!X21&gt;0,'Aanpassen Werkschema'!X21,"")</f>
        <v/>
      </c>
      <c r="Q163" s="579">
        <f>IF('Aanpassen Werkschema'!Y21&gt;0,'Aanpassen Werkschema'!Y21,"")</f>
        <v/>
      </c>
      <c r="R163" s="579">
        <f>IF('Aanpassen Werkschema'!Z21&gt;0,'Aanpassen Werkschema'!Z21,"")</f>
        <v/>
      </c>
      <c r="S163" s="578">
        <f>IF('Aanpassen Werkschema'!F21="v","x","")</f>
        <v/>
      </c>
      <c r="T163" s="578">
        <f>IF('Aanpassen Werkschema'!G21="v","x","")</f>
        <v/>
      </c>
      <c r="U163" s="578">
        <f>IF('Aanpassen Werkschema'!H21="v","x","")</f>
        <v/>
      </c>
      <c r="V163" s="578">
        <f>IF('Aanpassen Werkschema'!I21="v","x","")</f>
        <v/>
      </c>
      <c r="W163" s="578">
        <f>IF('Aanpassen Werkschema'!J21="v","x","")</f>
        <v/>
      </c>
      <c r="X163" s="578">
        <f>IF('Aanpassen Werkschema'!K21="v","x","")</f>
        <v/>
      </c>
      <c r="Y163" s="578">
        <f>IF('Aanpassen Werkschema'!L21="v","x","")</f>
        <v/>
      </c>
      <c r="Z163" s="854">
        <f>Z162+0.0000000001</f>
        <v/>
      </c>
      <c r="AA163" s="851">
        <f>IFERROR(IF(C163="",1.1,IF(S163="",1,IF($C163=1,VLOOKUP($B163,'Werkschema - Rekening'!$B$2:$C$46,2,FALSE),IF($C163=2,Instellingen!C$16,IF($C163=3,Instellingen!D$16,IF($C163=4,L163))))+$D163)+$Z163),1.1)</f>
        <v/>
      </c>
      <c r="AB163" s="852">
        <f>IF($B163="","",IFERROR(VLOOKUP($B163,'Werkschema - Rekening'!$B$2:$P$46,3,FALSE),""))</f>
        <v/>
      </c>
      <c r="AC163" s="851">
        <f>IFERROR(IF(C163="",1.1,IF(T163="",1,IF($C163=1,VLOOKUP($B163,'Werkschema - Rekening'!$B$2:$E$46,4,FALSE),IF($C163=2,Instellingen!E$16,IF($C163=3,Instellingen!F$16,IF($C163=4,M163))))+$D163)+$Z163),1.1)</f>
        <v/>
      </c>
      <c r="AD163" s="852">
        <f>IF($B163="","",IFERROR(VLOOKUP($B163,'Werkschema - Rekening'!$B$2:$P$46,5,FALSE),""))</f>
        <v/>
      </c>
      <c r="AE163" s="851">
        <f>IFERROR(IF(C163="",1.1,IF(U163="",1,IF($C163=1,VLOOKUP($B163,'Werkschema - Rekening'!$B$2:$G$46,6,FALSE),IF($C163=2,Instellingen!G$16,IF($C163=3,Instellingen!H$16,IF($C163=4,N163))))+$D163)+$Z163),1.1)</f>
        <v/>
      </c>
      <c r="AF163" s="852">
        <f>IF($B163="","",IFERROR(VLOOKUP($B163,'Werkschema - Rekening'!$B$2:$P$46,7,FALSE),""))</f>
        <v/>
      </c>
      <c r="AG163" s="851">
        <f>IFERROR(IF(C163="",1.1,IF(V163="",1,IF($C163=1,VLOOKUP($B163,'Werkschema - Rekening'!$B$2:$I$46,8,FALSE),IF($C163=2,Instellingen!I$16,IF($C163=3,Instellingen!J$16,IF($C163=4,O163))))+$D163)+$Z163),1.1)</f>
        <v/>
      </c>
      <c r="AH163" s="852">
        <f>IF($B163="","",IFERROR(VLOOKUP($B163,'Werkschema - Rekening'!$B$2:$P$46,9,FALSE),""))</f>
        <v/>
      </c>
      <c r="AI163" s="851">
        <f>IFERROR(IF(C163="",1.1,IF(W163="",1,IF($C163=1,VLOOKUP($B163,'Werkschema - Rekening'!$B$2:$K$46,10,FALSE),IF($C163=2,Instellingen!K$16,IF($C163=3,Instellingen!L$16,IF($C163=4,P163))))+$D163)+$Z163),1.1)</f>
        <v/>
      </c>
      <c r="AJ163" s="852">
        <f>IF($B163="","",IFERROR(VLOOKUP($B163,'Werkschema - Rekening'!$B$2:$P$46,11,FALSE),""))</f>
        <v/>
      </c>
      <c r="AK163" s="851">
        <f>IFERROR(IF(C163="",1.1,IF(X163="",1,IF($C163=1,VLOOKUP($B163,'Werkschema - Rekening'!$B$2:$M$46,12,FALSE),IF($C163=2,Instellingen!M$16,IF($C163=3,Instellingen!N$16,IF($C163=4,Q163))))+$D163)+$Z163),1.1)</f>
        <v/>
      </c>
      <c r="AL163" s="852">
        <f>IF($B163="","",IFERROR(VLOOKUP($B163,'Werkschema - Rekening'!$B$2:$P$46,13,FALSE),""))</f>
        <v/>
      </c>
      <c r="AM163" s="851">
        <f>IFERROR(IF(C163="",1.1,IF(Y163="",1,IF($C163=1,VLOOKUP($B163,'Werkschema - Rekening'!$B$2:$O$46,14,FALSE),IF($C163=2,Instellingen!O$16,IF($C163=3,Instellingen!P$16,IF($C163=4,R163))))+$D163)+$Z163),1.1)</f>
        <v/>
      </c>
      <c r="AN163" s="852">
        <f>IF($B163="","",IFERROR(VLOOKUP($B163,'Werkschema - Rekening'!$B$2:$P$46,15,FALSE),""))</f>
        <v/>
      </c>
      <c r="AO163" s="855">
        <f>A163</f>
        <v/>
      </c>
      <c r="AP163" s="855">
        <f>B163</f>
        <v/>
      </c>
    </row>
    <row r="164" ht="12.6" customHeight="1">
      <c r="A164" s="575">
        <f>IF('Aanpassen Werkschema'!B22="","",'Aanpassen Werkschema'!B22)</f>
        <v/>
      </c>
      <c r="B164" s="575">
        <f>IF('Aanpassen Werkschema'!C22="","",'Aanpassen Werkschema'!C22)</f>
        <v/>
      </c>
      <c r="C164" s="576">
        <f>IF('Aanpassen Werkschema'!D22="geplande taak",1,IF('Aanpassen Werkschema'!D22="openingstijd",2,IF('Aanpassen Werkschema'!D22="sluitingstijd",3,IF('Aanpassen Werkschema'!D22="vaste tijd",4,""))))</f>
        <v/>
      </c>
      <c r="D164" s="853">
        <f>'Aanpassen Werkschema'!E22</f>
        <v/>
      </c>
      <c r="E164" s="578" t="n"/>
      <c r="F164" s="578" t="n"/>
      <c r="G164" s="578" t="n"/>
      <c r="H164" s="578" t="n"/>
      <c r="I164" s="578" t="n"/>
      <c r="J164" s="578" t="n"/>
      <c r="K164" s="578" t="n"/>
      <c r="L164" s="579">
        <f>IF('Aanpassen Werkschema'!T22&gt;0,'Aanpassen Werkschema'!T22,"")</f>
        <v/>
      </c>
      <c r="M164" s="579">
        <f>IF('Aanpassen Werkschema'!U22&gt;0,'Aanpassen Werkschema'!U22,"")</f>
        <v/>
      </c>
      <c r="N164" s="579">
        <f>IF('Aanpassen Werkschema'!V22&gt;0,'Aanpassen Werkschema'!V22,"")</f>
        <v/>
      </c>
      <c r="O164" s="579">
        <f>IF('Aanpassen Werkschema'!W22&gt;0,'Aanpassen Werkschema'!W22,"")</f>
        <v/>
      </c>
      <c r="P164" s="579">
        <f>IF('Aanpassen Werkschema'!X22&gt;0,'Aanpassen Werkschema'!X22,"")</f>
        <v/>
      </c>
      <c r="Q164" s="579">
        <f>IF('Aanpassen Werkschema'!Y22&gt;0,'Aanpassen Werkschema'!Y22,"")</f>
        <v/>
      </c>
      <c r="R164" s="579">
        <f>IF('Aanpassen Werkschema'!Z22&gt;0,'Aanpassen Werkschema'!Z22,"")</f>
        <v/>
      </c>
      <c r="S164" s="578">
        <f>IF('Aanpassen Werkschema'!F22="v","x","")</f>
        <v/>
      </c>
      <c r="T164" s="578">
        <f>IF('Aanpassen Werkschema'!G22="v","x","")</f>
        <v/>
      </c>
      <c r="U164" s="578">
        <f>IF('Aanpassen Werkschema'!H22="v","x","")</f>
        <v/>
      </c>
      <c r="V164" s="578">
        <f>IF('Aanpassen Werkschema'!I22="v","x","")</f>
        <v/>
      </c>
      <c r="W164" s="578">
        <f>IF('Aanpassen Werkschema'!J22="v","x","")</f>
        <v/>
      </c>
      <c r="X164" s="578">
        <f>IF('Aanpassen Werkschema'!K22="v","x","")</f>
        <v/>
      </c>
      <c r="Y164" s="578">
        <f>IF('Aanpassen Werkschema'!L22="v","x","")</f>
        <v/>
      </c>
      <c r="Z164" s="854">
        <f>Z163+0.0000000001</f>
        <v/>
      </c>
      <c r="AA164" s="851">
        <f>IFERROR(IF(C164="",1.1,IF(S164="",1,IF($C164=1,VLOOKUP($B164,'Werkschema - Rekening'!$B$2:$C$46,2,FALSE),IF($C164=2,Instellingen!C$16,IF($C164=3,Instellingen!D$16,IF($C164=4,L164))))+$D164)+$Z164),1.1)</f>
        <v/>
      </c>
      <c r="AB164" s="852">
        <f>IF($B164="","",IFERROR(VLOOKUP($B164,'Werkschema - Rekening'!$B$2:$P$46,3,FALSE),""))</f>
        <v/>
      </c>
      <c r="AC164" s="851">
        <f>IFERROR(IF(C164="",1.1,IF(T164="",1,IF($C164=1,VLOOKUP($B164,'Werkschema - Rekening'!$B$2:$E$46,4,FALSE),IF($C164=2,Instellingen!E$16,IF($C164=3,Instellingen!F$16,IF($C164=4,M164))))+$D164)+$Z164),1.1)</f>
        <v/>
      </c>
      <c r="AD164" s="852">
        <f>IF($B164="","",IFERROR(VLOOKUP($B164,'Werkschema - Rekening'!$B$2:$P$46,5,FALSE),""))</f>
        <v/>
      </c>
      <c r="AE164" s="851">
        <f>IFERROR(IF(C164="",1.1,IF(U164="",1,IF($C164=1,VLOOKUP($B164,'Werkschema - Rekening'!$B$2:$G$46,6,FALSE),IF($C164=2,Instellingen!G$16,IF($C164=3,Instellingen!H$16,IF($C164=4,N164))))+$D164)+$Z164),1.1)</f>
        <v/>
      </c>
      <c r="AF164" s="852">
        <f>IF($B164="","",IFERROR(VLOOKUP($B164,'Werkschema - Rekening'!$B$2:$P$46,7,FALSE),""))</f>
        <v/>
      </c>
      <c r="AG164" s="851">
        <f>IFERROR(IF(C164="",1.1,IF(V164="",1,IF($C164=1,VLOOKUP($B164,'Werkschema - Rekening'!$B$2:$I$46,8,FALSE),IF($C164=2,Instellingen!I$16,IF($C164=3,Instellingen!J$16,IF($C164=4,O164))))+$D164)+$Z164),1.1)</f>
        <v/>
      </c>
      <c r="AH164" s="852">
        <f>IF($B164="","",IFERROR(VLOOKUP($B164,'Werkschema - Rekening'!$B$2:$P$46,9,FALSE),""))</f>
        <v/>
      </c>
      <c r="AI164" s="851">
        <f>IFERROR(IF(C164="",1.1,IF(W164="",1,IF($C164=1,VLOOKUP($B164,'Werkschema - Rekening'!$B$2:$K$46,10,FALSE),IF($C164=2,Instellingen!K$16,IF($C164=3,Instellingen!L$16,IF($C164=4,P164))))+$D164)+$Z164),1.1)</f>
        <v/>
      </c>
      <c r="AJ164" s="852">
        <f>IF($B164="","",IFERROR(VLOOKUP($B164,'Werkschema - Rekening'!$B$2:$P$46,11,FALSE),""))</f>
        <v/>
      </c>
      <c r="AK164" s="851">
        <f>IFERROR(IF(C164="",1.1,IF(X164="",1,IF($C164=1,VLOOKUP($B164,'Werkschema - Rekening'!$B$2:$M$46,12,FALSE),IF($C164=2,Instellingen!M$16,IF($C164=3,Instellingen!N$16,IF($C164=4,Q164))))+$D164)+$Z164),1.1)</f>
        <v/>
      </c>
      <c r="AL164" s="852">
        <f>IF($B164="","",IFERROR(VLOOKUP($B164,'Werkschema - Rekening'!$B$2:$P$46,13,FALSE),""))</f>
        <v/>
      </c>
      <c r="AM164" s="851">
        <f>IFERROR(IF(C164="",1.1,IF(Y164="",1,IF($C164=1,VLOOKUP($B164,'Werkschema - Rekening'!$B$2:$O$46,14,FALSE),IF($C164=2,Instellingen!O$16,IF($C164=3,Instellingen!P$16,IF($C164=4,R164))))+$D164)+$Z164),1.1)</f>
        <v/>
      </c>
      <c r="AN164" s="852">
        <f>IF($B164="","",IFERROR(VLOOKUP($B164,'Werkschema - Rekening'!$B$2:$P$46,15,FALSE),""))</f>
        <v/>
      </c>
      <c r="AO164" s="855">
        <f>A164</f>
        <v/>
      </c>
      <c r="AP164" s="855">
        <f>B164</f>
        <v/>
      </c>
    </row>
    <row r="165" ht="12.6" customHeight="1">
      <c r="A165" s="575">
        <f>IF('Aanpassen Werkschema'!B23="","",'Aanpassen Werkschema'!B23)</f>
        <v/>
      </c>
      <c r="B165" s="575">
        <f>IF('Aanpassen Werkschema'!C23="","",'Aanpassen Werkschema'!C23)</f>
        <v/>
      </c>
      <c r="C165" s="576">
        <f>IF('Aanpassen Werkschema'!D23="geplande taak",1,IF('Aanpassen Werkschema'!D23="openingstijd",2,IF('Aanpassen Werkschema'!D23="sluitingstijd",3,IF('Aanpassen Werkschema'!D23="vaste tijd",4,""))))</f>
        <v/>
      </c>
      <c r="D165" s="853">
        <f>'Aanpassen Werkschema'!E23</f>
        <v/>
      </c>
      <c r="E165" s="578" t="n"/>
      <c r="F165" s="578" t="n"/>
      <c r="G165" s="578" t="n"/>
      <c r="H165" s="578" t="n"/>
      <c r="I165" s="578" t="n"/>
      <c r="J165" s="578" t="n"/>
      <c r="K165" s="578" t="n"/>
      <c r="L165" s="579">
        <f>IF('Aanpassen Werkschema'!T23&gt;0,'Aanpassen Werkschema'!T23,"")</f>
        <v/>
      </c>
      <c r="M165" s="579">
        <f>IF('Aanpassen Werkschema'!U23&gt;0,'Aanpassen Werkschema'!U23,"")</f>
        <v/>
      </c>
      <c r="N165" s="579">
        <f>IF('Aanpassen Werkschema'!V23&gt;0,'Aanpassen Werkschema'!V23,"")</f>
        <v/>
      </c>
      <c r="O165" s="579">
        <f>IF('Aanpassen Werkschema'!W23&gt;0,'Aanpassen Werkschema'!W23,"")</f>
        <v/>
      </c>
      <c r="P165" s="579">
        <f>IF('Aanpassen Werkschema'!X23&gt;0,'Aanpassen Werkschema'!X23,"")</f>
        <v/>
      </c>
      <c r="Q165" s="579">
        <f>IF('Aanpassen Werkschema'!Y23&gt;0,'Aanpassen Werkschema'!Y23,"")</f>
        <v/>
      </c>
      <c r="R165" s="579">
        <f>IF('Aanpassen Werkschema'!Z23&gt;0,'Aanpassen Werkschema'!Z23,"")</f>
        <v/>
      </c>
      <c r="S165" s="578">
        <f>IF('Aanpassen Werkschema'!F23="v","x","")</f>
        <v/>
      </c>
      <c r="T165" s="578">
        <f>IF('Aanpassen Werkschema'!G23="v","x","")</f>
        <v/>
      </c>
      <c r="U165" s="578">
        <f>IF('Aanpassen Werkschema'!H23="v","x","")</f>
        <v/>
      </c>
      <c r="V165" s="578">
        <f>IF('Aanpassen Werkschema'!I23="v","x","")</f>
        <v/>
      </c>
      <c r="W165" s="578">
        <f>IF('Aanpassen Werkschema'!J23="v","x","")</f>
        <v/>
      </c>
      <c r="X165" s="578">
        <f>IF('Aanpassen Werkschema'!K23="v","x","")</f>
        <v/>
      </c>
      <c r="Y165" s="578">
        <f>IF('Aanpassen Werkschema'!L23="v","x","")</f>
        <v/>
      </c>
      <c r="Z165" s="854">
        <f>Z164+0.0000000001</f>
        <v/>
      </c>
      <c r="AA165" s="851">
        <f>IFERROR(IF(C165="",1.1,IF(S165="",1,IF($C165=1,VLOOKUP($B165,'Werkschema - Rekening'!$B$2:$C$46,2,FALSE),IF($C165=2,Instellingen!C$16,IF($C165=3,Instellingen!D$16,IF($C165=4,L165))))+$D165)+$Z165),1.1)</f>
        <v/>
      </c>
      <c r="AB165" s="852">
        <f>IF($B165="","",IFERROR(VLOOKUP($B165,'Werkschema - Rekening'!$B$2:$P$46,3,FALSE),""))</f>
        <v/>
      </c>
      <c r="AC165" s="851">
        <f>IFERROR(IF(C165="",1.1,IF(T165="",1,IF($C165=1,VLOOKUP($B165,'Werkschema - Rekening'!$B$2:$E$46,4,FALSE),IF($C165=2,Instellingen!E$16,IF($C165=3,Instellingen!F$16,IF($C165=4,M165))))+$D165)+$Z165),1.1)</f>
        <v/>
      </c>
      <c r="AD165" s="852">
        <f>IF($B165="","",IFERROR(VLOOKUP($B165,'Werkschema - Rekening'!$B$2:$P$46,5,FALSE),""))</f>
        <v/>
      </c>
      <c r="AE165" s="851">
        <f>IFERROR(IF(C165="",1.1,IF(U165="",1,IF($C165=1,VLOOKUP($B165,'Werkschema - Rekening'!$B$2:$G$46,6,FALSE),IF($C165=2,Instellingen!G$16,IF($C165=3,Instellingen!H$16,IF($C165=4,N165))))+$D165)+$Z165),1.1)</f>
        <v/>
      </c>
      <c r="AF165" s="852">
        <f>IF($B165="","",IFERROR(VLOOKUP($B165,'Werkschema - Rekening'!$B$2:$P$46,7,FALSE),""))</f>
        <v/>
      </c>
      <c r="AG165" s="851">
        <f>IFERROR(IF(C165="",1.1,IF(V165="",1,IF($C165=1,VLOOKUP($B165,'Werkschema - Rekening'!$B$2:$I$46,8,FALSE),IF($C165=2,Instellingen!I$16,IF($C165=3,Instellingen!J$16,IF($C165=4,O165))))+$D165)+$Z165),1.1)</f>
        <v/>
      </c>
      <c r="AH165" s="852">
        <f>IF($B165="","",IFERROR(VLOOKUP($B165,'Werkschema - Rekening'!$B$2:$P$46,9,FALSE),""))</f>
        <v/>
      </c>
      <c r="AI165" s="851">
        <f>IFERROR(IF(C165="",1.1,IF(W165="",1,IF($C165=1,VLOOKUP($B165,'Werkschema - Rekening'!$B$2:$K$46,10,FALSE),IF($C165=2,Instellingen!K$16,IF($C165=3,Instellingen!L$16,IF($C165=4,P165))))+$D165)+$Z165),1.1)</f>
        <v/>
      </c>
      <c r="AJ165" s="852">
        <f>IF($B165="","",IFERROR(VLOOKUP($B165,'Werkschema - Rekening'!$B$2:$P$46,11,FALSE),""))</f>
        <v/>
      </c>
      <c r="AK165" s="851">
        <f>IFERROR(IF(C165="",1.1,IF(X165="",1,IF($C165=1,VLOOKUP($B165,'Werkschema - Rekening'!$B$2:$M$46,12,FALSE),IF($C165=2,Instellingen!M$16,IF($C165=3,Instellingen!N$16,IF($C165=4,Q165))))+$D165)+$Z165),1.1)</f>
        <v/>
      </c>
      <c r="AL165" s="852">
        <f>IF($B165="","",IFERROR(VLOOKUP($B165,'Werkschema - Rekening'!$B$2:$P$46,13,FALSE),""))</f>
        <v/>
      </c>
      <c r="AM165" s="851">
        <f>IFERROR(IF(C165="",1.1,IF(Y165="",1,IF($C165=1,VLOOKUP($B165,'Werkschema - Rekening'!$B$2:$O$46,14,FALSE),IF($C165=2,Instellingen!O$16,IF($C165=3,Instellingen!P$16,IF($C165=4,R165))))+$D165)+$Z165),1.1)</f>
        <v/>
      </c>
      <c r="AN165" s="852">
        <f>IF($B165="","",IFERROR(VLOOKUP($B165,'Werkschema - Rekening'!$B$2:$P$46,15,FALSE),""))</f>
        <v/>
      </c>
      <c r="AO165" s="855">
        <f>A165</f>
        <v/>
      </c>
      <c r="AP165" s="855">
        <f>B165</f>
        <v/>
      </c>
    </row>
    <row r="166" ht="12.6" customHeight="1">
      <c r="A166" s="575">
        <f>IF('Aanpassen Werkschema'!B24="","",'Aanpassen Werkschema'!B24)</f>
        <v/>
      </c>
      <c r="B166" s="575">
        <f>IF('Aanpassen Werkschema'!C24="","",'Aanpassen Werkschema'!C24)</f>
        <v/>
      </c>
      <c r="C166" s="576">
        <f>IF('Aanpassen Werkschema'!D24="geplande taak",1,IF('Aanpassen Werkschema'!D24="openingstijd",2,IF('Aanpassen Werkschema'!D24="sluitingstijd",3,IF('Aanpassen Werkschema'!D24="vaste tijd",4,""))))</f>
        <v/>
      </c>
      <c r="D166" s="853">
        <f>'Aanpassen Werkschema'!E24</f>
        <v/>
      </c>
      <c r="E166" s="578" t="n"/>
      <c r="F166" s="578" t="n"/>
      <c r="G166" s="578" t="n"/>
      <c r="H166" s="578" t="n"/>
      <c r="I166" s="578" t="n"/>
      <c r="J166" s="578" t="n"/>
      <c r="K166" s="578" t="n"/>
      <c r="L166" s="579">
        <f>IF('Aanpassen Werkschema'!T24&gt;0,'Aanpassen Werkschema'!T24,"")</f>
        <v/>
      </c>
      <c r="M166" s="579">
        <f>IF('Aanpassen Werkschema'!U24&gt;0,'Aanpassen Werkschema'!U24,"")</f>
        <v/>
      </c>
      <c r="N166" s="579">
        <f>IF('Aanpassen Werkschema'!V24&gt;0,'Aanpassen Werkschema'!V24,"")</f>
        <v/>
      </c>
      <c r="O166" s="579">
        <f>IF('Aanpassen Werkschema'!W24&gt;0,'Aanpassen Werkschema'!W24,"")</f>
        <v/>
      </c>
      <c r="P166" s="579">
        <f>IF('Aanpassen Werkschema'!X24&gt;0,'Aanpassen Werkschema'!X24,"")</f>
        <v/>
      </c>
      <c r="Q166" s="579">
        <f>IF('Aanpassen Werkschema'!Y24&gt;0,'Aanpassen Werkschema'!Y24,"")</f>
        <v/>
      </c>
      <c r="R166" s="579">
        <f>IF('Aanpassen Werkschema'!Z24&gt;0,'Aanpassen Werkschema'!Z24,"")</f>
        <v/>
      </c>
      <c r="S166" s="578">
        <f>IF('Aanpassen Werkschema'!F24="v","x","")</f>
        <v/>
      </c>
      <c r="T166" s="578">
        <f>IF('Aanpassen Werkschema'!G24="v","x","")</f>
        <v/>
      </c>
      <c r="U166" s="578">
        <f>IF('Aanpassen Werkschema'!H24="v","x","")</f>
        <v/>
      </c>
      <c r="V166" s="578">
        <f>IF('Aanpassen Werkschema'!I24="v","x","")</f>
        <v/>
      </c>
      <c r="W166" s="578">
        <f>IF('Aanpassen Werkschema'!J24="v","x","")</f>
        <v/>
      </c>
      <c r="X166" s="578">
        <f>IF('Aanpassen Werkschema'!K24="v","x","")</f>
        <v/>
      </c>
      <c r="Y166" s="578">
        <f>IF('Aanpassen Werkschema'!L24="v","x","")</f>
        <v/>
      </c>
      <c r="Z166" s="854">
        <f>Z165+0.0000000001</f>
        <v/>
      </c>
      <c r="AA166" s="851">
        <f>IFERROR(IF(C166="",1.1,IF(S166="",1,IF($C166=1,VLOOKUP($B166,'Werkschema - Rekening'!$B$2:$C$46,2,FALSE),IF($C166=2,Instellingen!C$16,IF($C166=3,Instellingen!D$16,IF($C166=4,L166))))+$D166)+$Z166),1.1)</f>
        <v/>
      </c>
      <c r="AB166" s="852">
        <f>IF($B166="","",IFERROR(VLOOKUP($B166,'Werkschema - Rekening'!$B$2:$P$46,3,FALSE),""))</f>
        <v/>
      </c>
      <c r="AC166" s="851">
        <f>IFERROR(IF(C166="",1.1,IF(T166="",1,IF($C166=1,VLOOKUP($B166,'Werkschema - Rekening'!$B$2:$E$46,4,FALSE),IF($C166=2,Instellingen!E$16,IF($C166=3,Instellingen!F$16,IF($C166=4,M166))))+$D166)+$Z166),1.1)</f>
        <v/>
      </c>
      <c r="AD166" s="852">
        <f>IF($B166="","",IFERROR(VLOOKUP($B166,'Werkschema - Rekening'!$B$2:$P$46,5,FALSE),""))</f>
        <v/>
      </c>
      <c r="AE166" s="851">
        <f>IFERROR(IF(C166="",1.1,IF(U166="",1,IF($C166=1,VLOOKUP($B166,'Werkschema - Rekening'!$B$2:$G$46,6,FALSE),IF($C166=2,Instellingen!G$16,IF($C166=3,Instellingen!H$16,IF($C166=4,N166))))+$D166)+$Z166),1.1)</f>
        <v/>
      </c>
      <c r="AF166" s="852">
        <f>IF($B166="","",IFERROR(VLOOKUP($B166,'Werkschema - Rekening'!$B$2:$P$46,7,FALSE),""))</f>
        <v/>
      </c>
      <c r="AG166" s="851">
        <f>IFERROR(IF(C166="",1.1,IF(V166="",1,IF($C166=1,VLOOKUP($B166,'Werkschema - Rekening'!$B$2:$I$46,8,FALSE),IF($C166=2,Instellingen!I$16,IF($C166=3,Instellingen!J$16,IF($C166=4,O166))))+$D166)+$Z166),1.1)</f>
        <v/>
      </c>
      <c r="AH166" s="852">
        <f>IF($B166="","",IFERROR(VLOOKUP($B166,'Werkschema - Rekening'!$B$2:$P$46,9,FALSE),""))</f>
        <v/>
      </c>
      <c r="AI166" s="851">
        <f>IFERROR(IF(C166="",1.1,IF(W166="",1,IF($C166=1,VLOOKUP($B166,'Werkschema - Rekening'!$B$2:$K$46,10,FALSE),IF($C166=2,Instellingen!K$16,IF($C166=3,Instellingen!L$16,IF($C166=4,P166))))+$D166)+$Z166),1.1)</f>
        <v/>
      </c>
      <c r="AJ166" s="852">
        <f>IF($B166="","",IFERROR(VLOOKUP($B166,'Werkschema - Rekening'!$B$2:$P$46,11,FALSE),""))</f>
        <v/>
      </c>
      <c r="AK166" s="851">
        <f>IFERROR(IF(C166="",1.1,IF(X166="",1,IF($C166=1,VLOOKUP($B166,'Werkschema - Rekening'!$B$2:$M$46,12,FALSE),IF($C166=2,Instellingen!M$16,IF($C166=3,Instellingen!N$16,IF($C166=4,Q166))))+$D166)+$Z166),1.1)</f>
        <v/>
      </c>
      <c r="AL166" s="852">
        <f>IF($B166="","",IFERROR(VLOOKUP($B166,'Werkschema - Rekening'!$B$2:$P$46,13,FALSE),""))</f>
        <v/>
      </c>
      <c r="AM166" s="851">
        <f>IFERROR(IF(C166="",1.1,IF(Y166="",1,IF($C166=1,VLOOKUP($B166,'Werkschema - Rekening'!$B$2:$O$46,14,FALSE),IF($C166=2,Instellingen!O$16,IF($C166=3,Instellingen!P$16,IF($C166=4,R166))))+$D166)+$Z166),1.1)</f>
        <v/>
      </c>
      <c r="AN166" s="852">
        <f>IF($B166="","",IFERROR(VLOOKUP($B166,'Werkschema - Rekening'!$B$2:$P$46,15,FALSE),""))</f>
        <v/>
      </c>
      <c r="AO166" s="855">
        <f>A166</f>
        <v/>
      </c>
      <c r="AP166" s="855">
        <f>B166</f>
        <v/>
      </c>
    </row>
    <row r="167" ht="12.6" customHeight="1">
      <c r="A167" s="575">
        <f>IF('Aanpassen Werkschema'!B25="","",'Aanpassen Werkschema'!B25)</f>
        <v/>
      </c>
      <c r="B167" s="575">
        <f>IF('Aanpassen Werkschema'!C25="","",'Aanpassen Werkschema'!C25)</f>
        <v/>
      </c>
      <c r="C167" s="576">
        <f>IF('Aanpassen Werkschema'!D25="geplande taak",1,IF('Aanpassen Werkschema'!D25="openingstijd",2,IF('Aanpassen Werkschema'!D25="sluitingstijd",3,IF('Aanpassen Werkschema'!D25="vaste tijd",4,""))))</f>
        <v/>
      </c>
      <c r="D167" s="853">
        <f>'Aanpassen Werkschema'!E25</f>
        <v/>
      </c>
      <c r="E167" s="578" t="n"/>
      <c r="F167" s="578" t="n"/>
      <c r="G167" s="578" t="n"/>
      <c r="H167" s="578" t="n"/>
      <c r="I167" s="578" t="n"/>
      <c r="J167" s="578" t="n"/>
      <c r="K167" s="578" t="n"/>
      <c r="L167" s="579">
        <f>IF('Aanpassen Werkschema'!T25&gt;0,'Aanpassen Werkschema'!T25,"")</f>
        <v/>
      </c>
      <c r="M167" s="579">
        <f>IF('Aanpassen Werkschema'!U25&gt;0,'Aanpassen Werkschema'!U25,"")</f>
        <v/>
      </c>
      <c r="N167" s="579">
        <f>IF('Aanpassen Werkschema'!V25&gt;0,'Aanpassen Werkschema'!V25,"")</f>
        <v/>
      </c>
      <c r="O167" s="579">
        <f>IF('Aanpassen Werkschema'!W25&gt;0,'Aanpassen Werkschema'!W25,"")</f>
        <v/>
      </c>
      <c r="P167" s="579">
        <f>IF('Aanpassen Werkschema'!X25&gt;0,'Aanpassen Werkschema'!X25,"")</f>
        <v/>
      </c>
      <c r="Q167" s="579">
        <f>IF('Aanpassen Werkschema'!Y25&gt;0,'Aanpassen Werkschema'!Y25,"")</f>
        <v/>
      </c>
      <c r="R167" s="579">
        <f>IF('Aanpassen Werkschema'!Z25&gt;0,'Aanpassen Werkschema'!Z25,"")</f>
        <v/>
      </c>
      <c r="S167" s="578">
        <f>IF('Aanpassen Werkschema'!F25="v","x","")</f>
        <v/>
      </c>
      <c r="T167" s="578">
        <f>IF('Aanpassen Werkschema'!G25="v","x","")</f>
        <v/>
      </c>
      <c r="U167" s="578">
        <f>IF('Aanpassen Werkschema'!H25="v","x","")</f>
        <v/>
      </c>
      <c r="V167" s="578">
        <f>IF('Aanpassen Werkschema'!I25="v","x","")</f>
        <v/>
      </c>
      <c r="W167" s="578">
        <f>IF('Aanpassen Werkschema'!J25="v","x","")</f>
        <v/>
      </c>
      <c r="X167" s="578">
        <f>IF('Aanpassen Werkschema'!K25="v","x","")</f>
        <v/>
      </c>
      <c r="Y167" s="578">
        <f>IF('Aanpassen Werkschema'!L25="v","x","")</f>
        <v/>
      </c>
      <c r="Z167" s="854">
        <f>Z166+0.0000000001</f>
        <v/>
      </c>
      <c r="AA167" s="851">
        <f>IFERROR(IF(C167="",1.1,IF(S167="",1,IF($C167=1,VLOOKUP($B167,'Werkschema - Rekening'!$B$2:$C$46,2,FALSE),IF($C167=2,Instellingen!C$16,IF($C167=3,Instellingen!D$16,IF($C167=4,L167))))+$D167)+$Z167),1.1)</f>
        <v/>
      </c>
      <c r="AB167" s="852">
        <f>IF($B167="","",IFERROR(VLOOKUP($B167,'Werkschema - Rekening'!$B$2:$P$46,3,FALSE),""))</f>
        <v/>
      </c>
      <c r="AC167" s="851">
        <f>IFERROR(IF(C167="",1.1,IF(T167="",1,IF($C167=1,VLOOKUP($B167,'Werkschema - Rekening'!$B$2:$E$46,4,FALSE),IF($C167=2,Instellingen!E$16,IF($C167=3,Instellingen!F$16,IF($C167=4,M167))))+$D167)+$Z167),1.1)</f>
        <v/>
      </c>
      <c r="AD167" s="852">
        <f>IF($B167="","",IFERROR(VLOOKUP($B167,'Werkschema - Rekening'!$B$2:$P$46,5,FALSE),""))</f>
        <v/>
      </c>
      <c r="AE167" s="851">
        <f>IFERROR(IF(C167="",1.1,IF(U167="",1,IF($C167=1,VLOOKUP($B167,'Werkschema - Rekening'!$B$2:$G$46,6,FALSE),IF($C167=2,Instellingen!G$16,IF($C167=3,Instellingen!H$16,IF($C167=4,N167))))+$D167)+$Z167),1.1)</f>
        <v/>
      </c>
      <c r="AF167" s="852">
        <f>IF($B167="","",IFERROR(VLOOKUP($B167,'Werkschema - Rekening'!$B$2:$P$46,7,FALSE),""))</f>
        <v/>
      </c>
      <c r="AG167" s="851">
        <f>IFERROR(IF(C167="",1.1,IF(V167="",1,IF($C167=1,VLOOKUP($B167,'Werkschema - Rekening'!$B$2:$I$46,8,FALSE),IF($C167=2,Instellingen!I$16,IF($C167=3,Instellingen!J$16,IF($C167=4,O167))))+$D167)+$Z167),1.1)</f>
        <v/>
      </c>
      <c r="AH167" s="852">
        <f>IF($B167="","",IFERROR(VLOOKUP($B167,'Werkschema - Rekening'!$B$2:$P$46,9,FALSE),""))</f>
        <v/>
      </c>
      <c r="AI167" s="851">
        <f>IFERROR(IF(C167="",1.1,IF(W167="",1,IF($C167=1,VLOOKUP($B167,'Werkschema - Rekening'!$B$2:$K$46,10,FALSE),IF($C167=2,Instellingen!K$16,IF($C167=3,Instellingen!L$16,IF($C167=4,P167))))+$D167)+$Z167),1.1)</f>
        <v/>
      </c>
      <c r="AJ167" s="852">
        <f>IF($B167="","",IFERROR(VLOOKUP($B167,'Werkschema - Rekening'!$B$2:$P$46,11,FALSE),""))</f>
        <v/>
      </c>
      <c r="AK167" s="851">
        <f>IFERROR(IF(C167="",1.1,IF(X167="",1,IF($C167=1,VLOOKUP($B167,'Werkschema - Rekening'!$B$2:$M$46,12,FALSE),IF($C167=2,Instellingen!M$16,IF($C167=3,Instellingen!N$16,IF($C167=4,Q167))))+$D167)+$Z167),1.1)</f>
        <v/>
      </c>
      <c r="AL167" s="852">
        <f>IF($B167="","",IFERROR(VLOOKUP($B167,'Werkschema - Rekening'!$B$2:$P$46,13,FALSE),""))</f>
        <v/>
      </c>
      <c r="AM167" s="851">
        <f>IFERROR(IF(C167="",1.1,IF(Y167="",1,IF($C167=1,VLOOKUP($B167,'Werkschema - Rekening'!$B$2:$O$46,14,FALSE),IF($C167=2,Instellingen!O$16,IF($C167=3,Instellingen!P$16,IF($C167=4,R167))))+$D167)+$Z167),1.1)</f>
        <v/>
      </c>
      <c r="AN167" s="852">
        <f>IF($B167="","",IFERROR(VLOOKUP($B167,'Werkschema - Rekening'!$B$2:$P$46,15,FALSE),""))</f>
        <v/>
      </c>
      <c r="AO167" s="855">
        <f>A167</f>
        <v/>
      </c>
      <c r="AP167" s="855">
        <f>B167</f>
        <v/>
      </c>
    </row>
    <row r="168" ht="12.6" customHeight="1">
      <c r="A168" s="575">
        <f>IF('Aanpassen Werkschema'!B26="","",'Aanpassen Werkschema'!B26)</f>
        <v/>
      </c>
      <c r="B168" s="575">
        <f>IF('Aanpassen Werkschema'!C26="","",'Aanpassen Werkschema'!C26)</f>
        <v/>
      </c>
      <c r="C168" s="576">
        <f>IF('Aanpassen Werkschema'!D26="geplande taak",1,IF('Aanpassen Werkschema'!D26="openingstijd",2,IF('Aanpassen Werkschema'!D26="sluitingstijd",3,IF('Aanpassen Werkschema'!D26="vaste tijd",4,""))))</f>
        <v/>
      </c>
      <c r="D168" s="853">
        <f>'Aanpassen Werkschema'!E26</f>
        <v/>
      </c>
      <c r="E168" s="578" t="n"/>
      <c r="F168" s="578" t="n"/>
      <c r="G168" s="578" t="n"/>
      <c r="H168" s="578" t="n"/>
      <c r="I168" s="578" t="n"/>
      <c r="J168" s="578" t="n"/>
      <c r="K168" s="578" t="n"/>
      <c r="L168" s="579">
        <f>IF('Aanpassen Werkschema'!T26&gt;0,'Aanpassen Werkschema'!T26,"")</f>
        <v/>
      </c>
      <c r="M168" s="579">
        <f>IF('Aanpassen Werkschema'!U26&gt;0,'Aanpassen Werkschema'!U26,"")</f>
        <v/>
      </c>
      <c r="N168" s="579">
        <f>IF('Aanpassen Werkschema'!V26&gt;0,'Aanpassen Werkschema'!V26,"")</f>
        <v/>
      </c>
      <c r="O168" s="579">
        <f>IF('Aanpassen Werkschema'!W26&gt;0,'Aanpassen Werkschema'!W26,"")</f>
        <v/>
      </c>
      <c r="P168" s="579">
        <f>IF('Aanpassen Werkschema'!X26&gt;0,'Aanpassen Werkschema'!X26,"")</f>
        <v/>
      </c>
      <c r="Q168" s="579">
        <f>IF('Aanpassen Werkschema'!Y26&gt;0,'Aanpassen Werkschema'!Y26,"")</f>
        <v/>
      </c>
      <c r="R168" s="579">
        <f>IF('Aanpassen Werkschema'!Z26&gt;0,'Aanpassen Werkschema'!Z26,"")</f>
        <v/>
      </c>
      <c r="S168" s="578">
        <f>IF('Aanpassen Werkschema'!F26="v","x","")</f>
        <v/>
      </c>
      <c r="T168" s="578">
        <f>IF('Aanpassen Werkschema'!G26="v","x","")</f>
        <v/>
      </c>
      <c r="U168" s="578">
        <f>IF('Aanpassen Werkschema'!H26="v","x","")</f>
        <v/>
      </c>
      <c r="V168" s="578">
        <f>IF('Aanpassen Werkschema'!I26="v","x","")</f>
        <v/>
      </c>
      <c r="W168" s="578">
        <f>IF('Aanpassen Werkschema'!J26="v","x","")</f>
        <v/>
      </c>
      <c r="X168" s="578">
        <f>IF('Aanpassen Werkschema'!K26="v","x","")</f>
        <v/>
      </c>
      <c r="Y168" s="578">
        <f>IF('Aanpassen Werkschema'!L26="v","x","")</f>
        <v/>
      </c>
      <c r="Z168" s="854">
        <f>Z167+0.0000000001</f>
        <v/>
      </c>
      <c r="AA168" s="851">
        <f>IFERROR(IF(C168="",1.1,IF(S168="",1,IF($C168=1,VLOOKUP($B168,'Werkschema - Rekening'!$B$2:$C$46,2,FALSE),IF($C168=2,Instellingen!C$16,IF($C168=3,Instellingen!D$16,IF($C168=4,L168))))+$D168)+$Z168),1.1)</f>
        <v/>
      </c>
      <c r="AB168" s="852">
        <f>IF($B168="","",IFERROR(VLOOKUP($B168,'Werkschema - Rekening'!$B$2:$P$46,3,FALSE),""))</f>
        <v/>
      </c>
      <c r="AC168" s="851">
        <f>IFERROR(IF(C168="",1.1,IF(T168="",1,IF($C168=1,VLOOKUP($B168,'Werkschema - Rekening'!$B$2:$E$46,4,FALSE),IF($C168=2,Instellingen!E$16,IF($C168=3,Instellingen!F$16,IF($C168=4,M168))))+$D168)+$Z168),1.1)</f>
        <v/>
      </c>
      <c r="AD168" s="852">
        <f>IF($B168="","",IFERROR(VLOOKUP($B168,'Werkschema - Rekening'!$B$2:$P$46,5,FALSE),""))</f>
        <v/>
      </c>
      <c r="AE168" s="851">
        <f>IFERROR(IF(C168="",1.1,IF(U168="",1,IF($C168=1,VLOOKUP($B168,'Werkschema - Rekening'!$B$2:$G$46,6,FALSE),IF($C168=2,Instellingen!G$16,IF($C168=3,Instellingen!H$16,IF($C168=4,N168))))+$D168)+$Z168),1.1)</f>
        <v/>
      </c>
      <c r="AF168" s="852">
        <f>IF($B168="","",IFERROR(VLOOKUP($B168,'Werkschema - Rekening'!$B$2:$P$46,7,FALSE),""))</f>
        <v/>
      </c>
      <c r="AG168" s="851">
        <f>IFERROR(IF(C168="",1.1,IF(V168="",1,IF($C168=1,VLOOKUP($B168,'Werkschema - Rekening'!$B$2:$I$46,8,FALSE),IF($C168=2,Instellingen!I$16,IF($C168=3,Instellingen!J$16,IF($C168=4,O168))))+$D168)+$Z168),1.1)</f>
        <v/>
      </c>
      <c r="AH168" s="852">
        <f>IF($B168="","",IFERROR(VLOOKUP($B168,'Werkschema - Rekening'!$B$2:$P$46,9,FALSE),""))</f>
        <v/>
      </c>
      <c r="AI168" s="851">
        <f>IFERROR(IF(C168="",1.1,IF(W168="",1,IF($C168=1,VLOOKUP($B168,'Werkschema - Rekening'!$B$2:$K$46,10,FALSE),IF($C168=2,Instellingen!K$16,IF($C168=3,Instellingen!L$16,IF($C168=4,P168))))+$D168)+$Z168),1.1)</f>
        <v/>
      </c>
      <c r="AJ168" s="852">
        <f>IF($B168="","",IFERROR(VLOOKUP($B168,'Werkschema - Rekening'!$B$2:$P$46,11,FALSE),""))</f>
        <v/>
      </c>
      <c r="AK168" s="851">
        <f>IFERROR(IF(C168="",1.1,IF(X168="",1,IF($C168=1,VLOOKUP($B168,'Werkschema - Rekening'!$B$2:$M$46,12,FALSE),IF($C168=2,Instellingen!M$16,IF($C168=3,Instellingen!N$16,IF($C168=4,Q168))))+$D168)+$Z168),1.1)</f>
        <v/>
      </c>
      <c r="AL168" s="852">
        <f>IF($B168="","",IFERROR(VLOOKUP($B168,'Werkschema - Rekening'!$B$2:$P$46,13,FALSE),""))</f>
        <v/>
      </c>
      <c r="AM168" s="851">
        <f>IFERROR(IF(C168="",1.1,IF(Y168="",1,IF($C168=1,VLOOKUP($B168,'Werkschema - Rekening'!$B$2:$O$46,14,FALSE),IF($C168=2,Instellingen!O$16,IF($C168=3,Instellingen!P$16,IF($C168=4,R168))))+$D168)+$Z168),1.1)</f>
        <v/>
      </c>
      <c r="AN168" s="852">
        <f>IF($B168="","",IFERROR(VLOOKUP($B168,'Werkschema - Rekening'!$B$2:$P$46,15,FALSE),""))</f>
        <v/>
      </c>
      <c r="AO168" s="855">
        <f>A168</f>
        <v/>
      </c>
      <c r="AP168" s="855">
        <f>B168</f>
        <v/>
      </c>
    </row>
    <row r="169" ht="12.6" customHeight="1">
      <c r="A169" s="575">
        <f>IF('Aanpassen Werkschema'!B27="","",'Aanpassen Werkschema'!B27)</f>
        <v/>
      </c>
      <c r="B169" s="575">
        <f>IF('Aanpassen Werkschema'!C27="","",'Aanpassen Werkschema'!C27)</f>
        <v/>
      </c>
      <c r="C169" s="576">
        <f>IF('Aanpassen Werkschema'!D27="geplande taak",1,IF('Aanpassen Werkschema'!D27="openingstijd",2,IF('Aanpassen Werkschema'!D27="sluitingstijd",3,IF('Aanpassen Werkschema'!D27="vaste tijd",4,""))))</f>
        <v/>
      </c>
      <c r="D169" s="853">
        <f>'Aanpassen Werkschema'!E27</f>
        <v/>
      </c>
      <c r="E169" s="578" t="n"/>
      <c r="F169" s="578" t="n"/>
      <c r="G169" s="578" t="n"/>
      <c r="H169" s="578" t="n"/>
      <c r="I169" s="578" t="n"/>
      <c r="J169" s="578" t="n"/>
      <c r="K169" s="578" t="n"/>
      <c r="L169" s="579">
        <f>IF('Aanpassen Werkschema'!T27&gt;0,'Aanpassen Werkschema'!T27,"")</f>
        <v/>
      </c>
      <c r="M169" s="579">
        <f>IF('Aanpassen Werkschema'!U27&gt;0,'Aanpassen Werkschema'!U27,"")</f>
        <v/>
      </c>
      <c r="N169" s="579">
        <f>IF('Aanpassen Werkschema'!V27&gt;0,'Aanpassen Werkschema'!V27,"")</f>
        <v/>
      </c>
      <c r="O169" s="579">
        <f>IF('Aanpassen Werkschema'!W27&gt;0,'Aanpassen Werkschema'!W27,"")</f>
        <v/>
      </c>
      <c r="P169" s="579">
        <f>IF('Aanpassen Werkschema'!X27&gt;0,'Aanpassen Werkschema'!X27,"")</f>
        <v/>
      </c>
      <c r="Q169" s="579">
        <f>IF('Aanpassen Werkschema'!Y27&gt;0,'Aanpassen Werkschema'!Y27,"")</f>
        <v/>
      </c>
      <c r="R169" s="579">
        <f>IF('Aanpassen Werkschema'!Z27&gt;0,'Aanpassen Werkschema'!Z27,"")</f>
        <v/>
      </c>
      <c r="S169" s="578">
        <f>IF('Aanpassen Werkschema'!F27="v","x","")</f>
        <v/>
      </c>
      <c r="T169" s="578">
        <f>IF('Aanpassen Werkschema'!G27="v","x","")</f>
        <v/>
      </c>
      <c r="U169" s="578">
        <f>IF('Aanpassen Werkschema'!H27="v","x","")</f>
        <v/>
      </c>
      <c r="V169" s="578">
        <f>IF('Aanpassen Werkschema'!I27="v","x","")</f>
        <v/>
      </c>
      <c r="W169" s="578">
        <f>IF('Aanpassen Werkschema'!J27="v","x","")</f>
        <v/>
      </c>
      <c r="X169" s="578">
        <f>IF('Aanpassen Werkschema'!K27="v","x","")</f>
        <v/>
      </c>
      <c r="Y169" s="578">
        <f>IF('Aanpassen Werkschema'!L27="v","x","")</f>
        <v/>
      </c>
      <c r="Z169" s="854">
        <f>Z168+0.0000000001</f>
        <v/>
      </c>
      <c r="AA169" s="851">
        <f>IFERROR(IF(C169="",1.1,IF(S169="",1,IF($C169=1,VLOOKUP($B169,'Werkschema - Rekening'!$B$2:$C$46,2,FALSE),IF($C169=2,Instellingen!C$16,IF($C169=3,Instellingen!D$16,IF($C169=4,L169))))+$D169)+$Z169),1.1)</f>
        <v/>
      </c>
      <c r="AB169" s="852">
        <f>IF($B169="","",IFERROR(VLOOKUP($B169,'Werkschema - Rekening'!$B$2:$P$46,3,FALSE),""))</f>
        <v/>
      </c>
      <c r="AC169" s="851">
        <f>IFERROR(IF(C169="",1.1,IF(T169="",1,IF($C169=1,VLOOKUP($B169,'Werkschema - Rekening'!$B$2:$E$46,4,FALSE),IF($C169=2,Instellingen!E$16,IF($C169=3,Instellingen!F$16,IF($C169=4,M169))))+$D169)+$Z169),1.1)</f>
        <v/>
      </c>
      <c r="AD169" s="852">
        <f>IF($B169="","",IFERROR(VLOOKUP($B169,'Werkschema - Rekening'!$B$2:$P$46,5,FALSE),""))</f>
        <v/>
      </c>
      <c r="AE169" s="851">
        <f>IFERROR(IF(C169="",1.1,IF(U169="",1,IF($C169=1,VLOOKUP($B169,'Werkschema - Rekening'!$B$2:$G$46,6,FALSE),IF($C169=2,Instellingen!G$16,IF($C169=3,Instellingen!H$16,IF($C169=4,N169))))+$D169)+$Z169),1.1)</f>
        <v/>
      </c>
      <c r="AF169" s="852">
        <f>IF($B169="","",IFERROR(VLOOKUP($B169,'Werkschema - Rekening'!$B$2:$P$46,7,FALSE),""))</f>
        <v/>
      </c>
      <c r="AG169" s="851">
        <f>IFERROR(IF(C169="",1.1,IF(V169="",1,IF($C169=1,VLOOKUP($B169,'Werkschema - Rekening'!$B$2:$I$46,8,FALSE),IF($C169=2,Instellingen!I$16,IF($C169=3,Instellingen!J$16,IF($C169=4,O169))))+$D169)+$Z169),1.1)</f>
        <v/>
      </c>
      <c r="AH169" s="852">
        <f>IF($B169="","",IFERROR(VLOOKUP($B169,'Werkschema - Rekening'!$B$2:$P$46,9,FALSE),""))</f>
        <v/>
      </c>
      <c r="AI169" s="851">
        <f>IFERROR(IF(C169="",1.1,IF(W169="",1,IF($C169=1,VLOOKUP($B169,'Werkschema - Rekening'!$B$2:$K$46,10,FALSE),IF($C169=2,Instellingen!K$16,IF($C169=3,Instellingen!L$16,IF($C169=4,P169))))+$D169)+$Z169),1.1)</f>
        <v/>
      </c>
      <c r="AJ169" s="852">
        <f>IF($B169="","",IFERROR(VLOOKUP($B169,'Werkschema - Rekening'!$B$2:$P$46,11,FALSE),""))</f>
        <v/>
      </c>
      <c r="AK169" s="851">
        <f>IFERROR(IF(C169="",1.1,IF(X169="",1,IF($C169=1,VLOOKUP($B169,'Werkschema - Rekening'!$B$2:$M$46,12,FALSE),IF($C169=2,Instellingen!M$16,IF($C169=3,Instellingen!N$16,IF($C169=4,Q169))))+$D169)+$Z169),1.1)</f>
        <v/>
      </c>
      <c r="AL169" s="852">
        <f>IF($B169="","",IFERROR(VLOOKUP($B169,'Werkschema - Rekening'!$B$2:$P$46,13,FALSE),""))</f>
        <v/>
      </c>
      <c r="AM169" s="851">
        <f>IFERROR(IF(C169="",1.1,IF(Y169="",1,IF($C169=1,VLOOKUP($B169,'Werkschema - Rekening'!$B$2:$O$46,14,FALSE),IF($C169=2,Instellingen!O$16,IF($C169=3,Instellingen!P$16,IF($C169=4,R169))))+$D169)+$Z169),1.1)</f>
        <v/>
      </c>
      <c r="AN169" s="852">
        <f>IF($B169="","",IFERROR(VLOOKUP($B169,'Werkschema - Rekening'!$B$2:$P$46,15,FALSE),""))</f>
        <v/>
      </c>
      <c r="AO169" s="855">
        <f>A169</f>
        <v/>
      </c>
      <c r="AP169" s="855">
        <f>B169</f>
        <v/>
      </c>
    </row>
    <row r="170" ht="12.6" customHeight="1">
      <c r="A170" s="575">
        <f>IF('Aanpassen Werkschema'!B28="","",'Aanpassen Werkschema'!B28)</f>
        <v/>
      </c>
      <c r="B170" s="575">
        <f>IF('Aanpassen Werkschema'!C28="","",'Aanpassen Werkschema'!C28)</f>
        <v/>
      </c>
      <c r="C170" s="576">
        <f>IF('Aanpassen Werkschema'!D28="geplande taak",1,IF('Aanpassen Werkschema'!D28="openingstijd",2,IF('Aanpassen Werkschema'!D28="sluitingstijd",3,IF('Aanpassen Werkschema'!D28="vaste tijd",4,""))))</f>
        <v/>
      </c>
      <c r="D170" s="853">
        <f>'Aanpassen Werkschema'!E28</f>
        <v/>
      </c>
      <c r="E170" s="578" t="n"/>
      <c r="F170" s="578" t="n"/>
      <c r="G170" s="578" t="n"/>
      <c r="H170" s="578" t="n"/>
      <c r="I170" s="578" t="n"/>
      <c r="J170" s="578" t="n"/>
      <c r="K170" s="578" t="n"/>
      <c r="L170" s="579">
        <f>IF('Aanpassen Werkschema'!T28&gt;0,'Aanpassen Werkschema'!T28,"")</f>
        <v/>
      </c>
      <c r="M170" s="579">
        <f>IF('Aanpassen Werkschema'!U28&gt;0,'Aanpassen Werkschema'!U28,"")</f>
        <v/>
      </c>
      <c r="N170" s="579">
        <f>IF('Aanpassen Werkschema'!V28&gt;0,'Aanpassen Werkschema'!V28,"")</f>
        <v/>
      </c>
      <c r="O170" s="579">
        <f>IF('Aanpassen Werkschema'!W28&gt;0,'Aanpassen Werkschema'!W28,"")</f>
        <v/>
      </c>
      <c r="P170" s="579">
        <f>IF('Aanpassen Werkschema'!X28&gt;0,'Aanpassen Werkschema'!X28,"")</f>
        <v/>
      </c>
      <c r="Q170" s="579">
        <f>IF('Aanpassen Werkschema'!Y28&gt;0,'Aanpassen Werkschema'!Y28,"")</f>
        <v/>
      </c>
      <c r="R170" s="579">
        <f>IF('Aanpassen Werkschema'!Z28&gt;0,'Aanpassen Werkschema'!Z28,"")</f>
        <v/>
      </c>
      <c r="S170" s="578">
        <f>IF('Aanpassen Werkschema'!F28="v","x","")</f>
        <v/>
      </c>
      <c r="T170" s="578">
        <f>IF('Aanpassen Werkschema'!G28="v","x","")</f>
        <v/>
      </c>
      <c r="U170" s="578">
        <f>IF('Aanpassen Werkschema'!H28="v","x","")</f>
        <v/>
      </c>
      <c r="V170" s="578">
        <f>IF('Aanpassen Werkschema'!I28="v","x","")</f>
        <v/>
      </c>
      <c r="W170" s="578">
        <f>IF('Aanpassen Werkschema'!J28="v","x","")</f>
        <v/>
      </c>
      <c r="X170" s="578">
        <f>IF('Aanpassen Werkschema'!K28="v","x","")</f>
        <v/>
      </c>
      <c r="Y170" s="578">
        <f>IF('Aanpassen Werkschema'!L28="v","x","")</f>
        <v/>
      </c>
      <c r="Z170" s="854">
        <f>Z169+0.0000000001</f>
        <v/>
      </c>
      <c r="AA170" s="851">
        <f>IFERROR(IF(C170="",1.1,IF(S170="",1,IF($C170=1,VLOOKUP($B170,'Werkschema - Rekening'!$B$2:$C$46,2,FALSE),IF($C170=2,Instellingen!C$16,IF($C170=3,Instellingen!D$16,IF($C170=4,L170))))+$D170)+$Z170),1.1)</f>
        <v/>
      </c>
      <c r="AB170" s="852">
        <f>IF($B170="","",IFERROR(VLOOKUP($B170,'Werkschema - Rekening'!$B$2:$P$46,3,FALSE),""))</f>
        <v/>
      </c>
      <c r="AC170" s="851">
        <f>IFERROR(IF(C170="",1.1,IF(T170="",1,IF($C170=1,VLOOKUP($B170,'Werkschema - Rekening'!$B$2:$E$46,4,FALSE),IF($C170=2,Instellingen!E$16,IF($C170=3,Instellingen!F$16,IF($C170=4,M170))))+$D170)+$Z170),1.1)</f>
        <v/>
      </c>
      <c r="AD170" s="852">
        <f>IF($B170="","",IFERROR(VLOOKUP($B170,'Werkschema - Rekening'!$B$2:$P$46,5,FALSE),""))</f>
        <v/>
      </c>
      <c r="AE170" s="851">
        <f>IFERROR(IF(C170="",1.1,IF(U170="",1,IF($C170=1,VLOOKUP($B170,'Werkschema - Rekening'!$B$2:$G$46,6,FALSE),IF($C170=2,Instellingen!G$16,IF($C170=3,Instellingen!H$16,IF($C170=4,N170))))+$D170)+$Z170),1.1)</f>
        <v/>
      </c>
      <c r="AF170" s="852">
        <f>IF($B170="","",IFERROR(VLOOKUP($B170,'Werkschema - Rekening'!$B$2:$P$46,7,FALSE),""))</f>
        <v/>
      </c>
      <c r="AG170" s="851">
        <f>IFERROR(IF(C170="",1.1,IF(V170="",1,IF($C170=1,VLOOKUP($B170,'Werkschema - Rekening'!$B$2:$I$46,8,FALSE),IF($C170=2,Instellingen!I$16,IF($C170=3,Instellingen!J$16,IF($C170=4,O170))))+$D170)+$Z170),1.1)</f>
        <v/>
      </c>
      <c r="AH170" s="852">
        <f>IF($B170="","",IFERROR(VLOOKUP($B170,'Werkschema - Rekening'!$B$2:$P$46,9,FALSE),""))</f>
        <v/>
      </c>
      <c r="AI170" s="851">
        <f>IFERROR(IF(C170="",1.1,IF(W170="",1,IF($C170=1,VLOOKUP($B170,'Werkschema - Rekening'!$B$2:$K$46,10,FALSE),IF($C170=2,Instellingen!K$16,IF($C170=3,Instellingen!L$16,IF($C170=4,P170))))+$D170)+$Z170),1.1)</f>
        <v/>
      </c>
      <c r="AJ170" s="852">
        <f>IF($B170="","",IFERROR(VLOOKUP($B170,'Werkschema - Rekening'!$B$2:$P$46,11,FALSE),""))</f>
        <v/>
      </c>
      <c r="AK170" s="851">
        <f>IFERROR(IF(C170="",1.1,IF(X170="",1,IF($C170=1,VLOOKUP($B170,'Werkschema - Rekening'!$B$2:$M$46,12,FALSE),IF($C170=2,Instellingen!M$16,IF($C170=3,Instellingen!N$16,IF($C170=4,Q170))))+$D170)+$Z170),1.1)</f>
        <v/>
      </c>
      <c r="AL170" s="852">
        <f>IF($B170="","",IFERROR(VLOOKUP($B170,'Werkschema - Rekening'!$B$2:$P$46,13,FALSE),""))</f>
        <v/>
      </c>
      <c r="AM170" s="851">
        <f>IFERROR(IF(C170="",1.1,IF(Y170="",1,IF($C170=1,VLOOKUP($B170,'Werkschema - Rekening'!$B$2:$O$46,14,FALSE),IF($C170=2,Instellingen!O$16,IF($C170=3,Instellingen!P$16,IF($C170=4,R170))))+$D170)+$Z170),1.1)</f>
        <v/>
      </c>
      <c r="AN170" s="852">
        <f>IF($B170="","",IFERROR(VLOOKUP($B170,'Werkschema - Rekening'!$B$2:$P$46,15,FALSE),""))</f>
        <v/>
      </c>
      <c r="AO170" s="855">
        <f>A170</f>
        <v/>
      </c>
      <c r="AP170" s="855">
        <f>B170</f>
        <v/>
      </c>
    </row>
    <row r="171" ht="12.6" customHeight="1">
      <c r="A171" s="575">
        <f>IF('Aanpassen Werkschema'!B29="","",'Aanpassen Werkschema'!B29)</f>
        <v/>
      </c>
      <c r="B171" s="575">
        <f>IF('Aanpassen Werkschema'!C29="","",'Aanpassen Werkschema'!C29)</f>
        <v/>
      </c>
      <c r="C171" s="576">
        <f>IF('Aanpassen Werkschema'!D29="geplande taak",1,IF('Aanpassen Werkschema'!D29="openingstijd",2,IF('Aanpassen Werkschema'!D29="sluitingstijd",3,IF('Aanpassen Werkschema'!D29="vaste tijd",4,""))))</f>
        <v/>
      </c>
      <c r="D171" s="853">
        <f>'Aanpassen Werkschema'!E29</f>
        <v/>
      </c>
      <c r="E171" s="578" t="n"/>
      <c r="F171" s="578" t="n"/>
      <c r="G171" s="578" t="n"/>
      <c r="H171" s="578" t="n"/>
      <c r="I171" s="578" t="n"/>
      <c r="J171" s="578" t="n"/>
      <c r="K171" s="578" t="n"/>
      <c r="L171" s="579">
        <f>IF('Aanpassen Werkschema'!T29&gt;0,'Aanpassen Werkschema'!T29,"")</f>
        <v/>
      </c>
      <c r="M171" s="579">
        <f>IF('Aanpassen Werkschema'!U29&gt;0,'Aanpassen Werkschema'!U29,"")</f>
        <v/>
      </c>
      <c r="N171" s="579">
        <f>IF('Aanpassen Werkschema'!V29&gt;0,'Aanpassen Werkschema'!V29,"")</f>
        <v/>
      </c>
      <c r="O171" s="579">
        <f>IF('Aanpassen Werkschema'!W29&gt;0,'Aanpassen Werkschema'!W29,"")</f>
        <v/>
      </c>
      <c r="P171" s="579">
        <f>IF('Aanpassen Werkschema'!X29&gt;0,'Aanpassen Werkschema'!X29,"")</f>
        <v/>
      </c>
      <c r="Q171" s="579">
        <f>IF('Aanpassen Werkschema'!Y29&gt;0,'Aanpassen Werkschema'!Y29,"")</f>
        <v/>
      </c>
      <c r="R171" s="579">
        <f>IF('Aanpassen Werkschema'!Z29&gt;0,'Aanpassen Werkschema'!Z29,"")</f>
        <v/>
      </c>
      <c r="S171" s="578">
        <f>IF('Aanpassen Werkschema'!F29="v","x","")</f>
        <v/>
      </c>
      <c r="T171" s="578">
        <f>IF('Aanpassen Werkschema'!G29="v","x","")</f>
        <v/>
      </c>
      <c r="U171" s="578">
        <f>IF('Aanpassen Werkschema'!H29="v","x","")</f>
        <v/>
      </c>
      <c r="V171" s="578">
        <f>IF('Aanpassen Werkschema'!I29="v","x","")</f>
        <v/>
      </c>
      <c r="W171" s="578">
        <f>IF('Aanpassen Werkschema'!J29="v","x","")</f>
        <v/>
      </c>
      <c r="X171" s="578">
        <f>IF('Aanpassen Werkschema'!K29="v","x","")</f>
        <v/>
      </c>
      <c r="Y171" s="578">
        <f>IF('Aanpassen Werkschema'!L29="v","x","")</f>
        <v/>
      </c>
      <c r="Z171" s="854">
        <f>Z170+0.0000000001</f>
        <v/>
      </c>
      <c r="AA171" s="851">
        <f>IFERROR(IF(C171="",1.1,IF(S171="",1,IF($C171=1,VLOOKUP($B171,'Werkschema - Rekening'!$B$2:$C$46,2,FALSE),IF($C171=2,Instellingen!C$16,IF($C171=3,Instellingen!D$16,IF($C171=4,L171))))+$D171)+$Z171),1.1)</f>
        <v/>
      </c>
      <c r="AB171" s="852">
        <f>IF($B171="","",IFERROR(VLOOKUP($B171,'Werkschema - Rekening'!$B$2:$P$46,3,FALSE),""))</f>
        <v/>
      </c>
      <c r="AC171" s="851">
        <f>IFERROR(IF(C171="",1.1,IF(T171="",1,IF($C171=1,VLOOKUP($B171,'Werkschema - Rekening'!$B$2:$E$46,4,FALSE),IF($C171=2,Instellingen!E$16,IF($C171=3,Instellingen!F$16,IF($C171=4,M171))))+$D171)+$Z171),1.1)</f>
        <v/>
      </c>
      <c r="AD171" s="852">
        <f>IF($B171="","",IFERROR(VLOOKUP($B171,'Werkschema - Rekening'!$B$2:$P$46,5,FALSE),""))</f>
        <v/>
      </c>
      <c r="AE171" s="851">
        <f>IFERROR(IF(C171="",1.1,IF(U171="",1,IF($C171=1,VLOOKUP($B171,'Werkschema - Rekening'!$B$2:$G$46,6,FALSE),IF($C171=2,Instellingen!G$16,IF($C171=3,Instellingen!H$16,IF($C171=4,N171))))+$D171)+$Z171),1.1)</f>
        <v/>
      </c>
      <c r="AF171" s="852">
        <f>IF($B171="","",IFERROR(VLOOKUP($B171,'Werkschema - Rekening'!$B$2:$P$46,7,FALSE),""))</f>
        <v/>
      </c>
      <c r="AG171" s="851">
        <f>IFERROR(IF(C171="",1.1,IF(V171="",1,IF($C171=1,VLOOKUP($B171,'Werkschema - Rekening'!$B$2:$I$46,8,FALSE),IF($C171=2,Instellingen!I$16,IF($C171=3,Instellingen!J$16,IF($C171=4,O171))))+$D171)+$Z171),1.1)</f>
        <v/>
      </c>
      <c r="AH171" s="852">
        <f>IF($B171="","",IFERROR(VLOOKUP($B171,'Werkschema - Rekening'!$B$2:$P$46,9,FALSE),""))</f>
        <v/>
      </c>
      <c r="AI171" s="851">
        <f>IFERROR(IF(C171="",1.1,IF(W171="",1,IF($C171=1,VLOOKUP($B171,'Werkschema - Rekening'!$B$2:$K$46,10,FALSE),IF($C171=2,Instellingen!K$16,IF($C171=3,Instellingen!L$16,IF($C171=4,P171))))+$D171)+$Z171),1.1)</f>
        <v/>
      </c>
      <c r="AJ171" s="852">
        <f>IF($B171="","",IFERROR(VLOOKUP($B171,'Werkschema - Rekening'!$B$2:$P$46,11,FALSE),""))</f>
        <v/>
      </c>
      <c r="AK171" s="851">
        <f>IFERROR(IF(C171="",1.1,IF(X171="",1,IF($C171=1,VLOOKUP($B171,'Werkschema - Rekening'!$B$2:$M$46,12,FALSE),IF($C171=2,Instellingen!M$16,IF($C171=3,Instellingen!N$16,IF($C171=4,Q171))))+$D171)+$Z171),1.1)</f>
        <v/>
      </c>
      <c r="AL171" s="852">
        <f>IF($B171="","",IFERROR(VLOOKUP($B171,'Werkschema - Rekening'!$B$2:$P$46,13,FALSE),""))</f>
        <v/>
      </c>
      <c r="AM171" s="851">
        <f>IFERROR(IF(C171="",1.1,IF(Y171="",1,IF($C171=1,VLOOKUP($B171,'Werkschema - Rekening'!$B$2:$O$46,14,FALSE),IF($C171=2,Instellingen!O$16,IF($C171=3,Instellingen!P$16,IF($C171=4,R171))))+$D171)+$Z171),1.1)</f>
        <v/>
      </c>
      <c r="AN171" s="852">
        <f>IF($B171="","",IFERROR(VLOOKUP($B171,'Werkschema - Rekening'!$B$2:$P$46,15,FALSE),""))</f>
        <v/>
      </c>
      <c r="AO171" s="855">
        <f>A171</f>
        <v/>
      </c>
      <c r="AP171" s="855">
        <f>B171</f>
        <v/>
      </c>
    </row>
    <row r="172" ht="12.6" customHeight="1">
      <c r="A172" s="575">
        <f>IF('Aanpassen Werkschema'!B30="","",'Aanpassen Werkschema'!B30)</f>
        <v/>
      </c>
      <c r="B172" s="575">
        <f>IF('Aanpassen Werkschema'!C30="","",'Aanpassen Werkschema'!C30)</f>
        <v/>
      </c>
      <c r="C172" s="576">
        <f>IF('Aanpassen Werkschema'!D30="geplande taak",1,IF('Aanpassen Werkschema'!D30="openingstijd",2,IF('Aanpassen Werkschema'!D30="sluitingstijd",3,IF('Aanpassen Werkschema'!D30="vaste tijd",4,""))))</f>
        <v/>
      </c>
      <c r="D172" s="853">
        <f>'Aanpassen Werkschema'!E30</f>
        <v/>
      </c>
      <c r="E172" s="578" t="n"/>
      <c r="F172" s="578" t="n"/>
      <c r="G172" s="578" t="n"/>
      <c r="H172" s="578" t="n"/>
      <c r="I172" s="578" t="n"/>
      <c r="J172" s="578" t="n"/>
      <c r="K172" s="578" t="n"/>
      <c r="L172" s="579">
        <f>IF('Aanpassen Werkschema'!T30&gt;0,'Aanpassen Werkschema'!T30,"")</f>
        <v/>
      </c>
      <c r="M172" s="579">
        <f>IF('Aanpassen Werkschema'!U30&gt;0,'Aanpassen Werkschema'!U30,"")</f>
        <v/>
      </c>
      <c r="N172" s="579">
        <f>IF('Aanpassen Werkschema'!V30&gt;0,'Aanpassen Werkschema'!V30,"")</f>
        <v/>
      </c>
      <c r="O172" s="579">
        <f>IF('Aanpassen Werkschema'!W30&gt;0,'Aanpassen Werkschema'!W30,"")</f>
        <v/>
      </c>
      <c r="P172" s="579">
        <f>IF('Aanpassen Werkschema'!X30&gt;0,'Aanpassen Werkschema'!X30,"")</f>
        <v/>
      </c>
      <c r="Q172" s="579">
        <f>IF('Aanpassen Werkschema'!Y30&gt;0,'Aanpassen Werkschema'!Y30,"")</f>
        <v/>
      </c>
      <c r="R172" s="579">
        <f>IF('Aanpassen Werkschema'!Z30&gt;0,'Aanpassen Werkschema'!Z30,"")</f>
        <v/>
      </c>
      <c r="S172" s="578">
        <f>IF('Aanpassen Werkschema'!F30="v","x","")</f>
        <v/>
      </c>
      <c r="T172" s="578">
        <f>IF('Aanpassen Werkschema'!G30="v","x","")</f>
        <v/>
      </c>
      <c r="U172" s="578">
        <f>IF('Aanpassen Werkschema'!H30="v","x","")</f>
        <v/>
      </c>
      <c r="V172" s="578">
        <f>IF('Aanpassen Werkschema'!I30="v","x","")</f>
        <v/>
      </c>
      <c r="W172" s="578">
        <f>IF('Aanpassen Werkschema'!J30="v","x","")</f>
        <v/>
      </c>
      <c r="X172" s="578">
        <f>IF('Aanpassen Werkschema'!K30="v","x","")</f>
        <v/>
      </c>
      <c r="Y172" s="578">
        <f>IF('Aanpassen Werkschema'!L30="v","x","")</f>
        <v/>
      </c>
      <c r="Z172" s="854">
        <f>Z171+0.0000000001</f>
        <v/>
      </c>
      <c r="AA172" s="851">
        <f>IFERROR(IF(C172="",1.1,IF(S172="",1,IF($C172=1,VLOOKUP($B172,'Werkschema - Rekening'!$B$2:$C$46,2,FALSE),IF($C172=2,Instellingen!C$16,IF($C172=3,Instellingen!D$16,IF($C172=4,L172))))+$D172)+$Z172),1.1)</f>
        <v/>
      </c>
      <c r="AB172" s="852">
        <f>IF($B172="","",IFERROR(VLOOKUP($B172,'Werkschema - Rekening'!$B$2:$P$46,3,FALSE),""))</f>
        <v/>
      </c>
      <c r="AC172" s="851">
        <f>IFERROR(IF(C172="",1.1,IF(T172="",1,IF($C172=1,VLOOKUP($B172,'Werkschema - Rekening'!$B$2:$E$46,4,FALSE),IF($C172=2,Instellingen!E$16,IF($C172=3,Instellingen!F$16,IF($C172=4,M172))))+$D172)+$Z172),1.1)</f>
        <v/>
      </c>
      <c r="AD172" s="852">
        <f>IF($B172="","",IFERROR(VLOOKUP($B172,'Werkschema - Rekening'!$B$2:$P$46,5,FALSE),""))</f>
        <v/>
      </c>
      <c r="AE172" s="851">
        <f>IFERROR(IF(C172="",1.1,IF(U172="",1,IF($C172=1,VLOOKUP($B172,'Werkschema - Rekening'!$B$2:$G$46,6,FALSE),IF($C172=2,Instellingen!G$16,IF($C172=3,Instellingen!H$16,IF($C172=4,N172))))+$D172)+$Z172),1.1)</f>
        <v/>
      </c>
      <c r="AF172" s="852">
        <f>IF($B172="","",IFERROR(VLOOKUP($B172,'Werkschema - Rekening'!$B$2:$P$46,7,FALSE),""))</f>
        <v/>
      </c>
      <c r="AG172" s="851">
        <f>IFERROR(IF(C172="",1.1,IF(V172="",1,IF($C172=1,VLOOKUP($B172,'Werkschema - Rekening'!$B$2:$I$46,8,FALSE),IF($C172=2,Instellingen!I$16,IF($C172=3,Instellingen!J$16,IF($C172=4,O172))))+$D172)+$Z172),1.1)</f>
        <v/>
      </c>
      <c r="AH172" s="852">
        <f>IF($B172="","",IFERROR(VLOOKUP($B172,'Werkschema - Rekening'!$B$2:$P$46,9,FALSE),""))</f>
        <v/>
      </c>
      <c r="AI172" s="851">
        <f>IFERROR(IF(C172="",1.1,IF(W172="",1,IF($C172=1,VLOOKUP($B172,'Werkschema - Rekening'!$B$2:$K$46,10,FALSE),IF($C172=2,Instellingen!K$16,IF($C172=3,Instellingen!L$16,IF($C172=4,P172))))+$D172)+$Z172),1.1)</f>
        <v/>
      </c>
      <c r="AJ172" s="852">
        <f>IF($B172="","",IFERROR(VLOOKUP($B172,'Werkschema - Rekening'!$B$2:$P$46,11,FALSE),""))</f>
        <v/>
      </c>
      <c r="AK172" s="851">
        <f>IFERROR(IF(C172="",1.1,IF(X172="",1,IF($C172=1,VLOOKUP($B172,'Werkschema - Rekening'!$B$2:$M$46,12,FALSE),IF($C172=2,Instellingen!M$16,IF($C172=3,Instellingen!N$16,IF($C172=4,Q172))))+$D172)+$Z172),1.1)</f>
        <v/>
      </c>
      <c r="AL172" s="852">
        <f>IF($B172="","",IFERROR(VLOOKUP($B172,'Werkschema - Rekening'!$B$2:$P$46,13,FALSE),""))</f>
        <v/>
      </c>
      <c r="AM172" s="851">
        <f>IFERROR(IF(C172="",1.1,IF(Y172="",1,IF($C172=1,VLOOKUP($B172,'Werkschema - Rekening'!$B$2:$O$46,14,FALSE),IF($C172=2,Instellingen!O$16,IF($C172=3,Instellingen!P$16,IF($C172=4,R172))))+$D172)+$Z172),1.1)</f>
        <v/>
      </c>
      <c r="AN172" s="852">
        <f>IF($B172="","",IFERROR(VLOOKUP($B172,'Werkschema - Rekening'!$B$2:$P$46,15,FALSE),""))</f>
        <v/>
      </c>
      <c r="AO172" s="855">
        <f>A172</f>
        <v/>
      </c>
      <c r="AP172" s="855">
        <f>B172</f>
        <v/>
      </c>
    </row>
  </sheetData>
  <mergeCells count="4">
    <mergeCell ref="AA1:AM1"/>
    <mergeCell ref="E1:K1"/>
    <mergeCell ref="S1:Y1"/>
    <mergeCell ref="L1:R1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tabColor rgb="FFFF0000"/>
    <outlinePr summaryBelow="0" summaryRight="0"/>
    <pageSetUpPr/>
  </sheetPr>
  <dimension ref="A1:P46"/>
  <sheetViews>
    <sheetView showGridLines="0" showRowColHeaders="0" topLeftCell="Q1" workbookViewId="0">
      <selection activeCell="R30" sqref="R30"/>
    </sheetView>
  </sheetViews>
  <sheetFormatPr baseColWidth="8" defaultColWidth="17.28515625" defaultRowHeight="15" customHeight="1"/>
  <cols>
    <col hidden="1" width="4" customWidth="1" style="1" min="1" max="2"/>
    <col hidden="1" width="7.140625" customWidth="1" style="1" min="3" max="3"/>
    <col hidden="1" width="15.42578125" customWidth="1" style="1" min="4" max="4"/>
    <col hidden="1" width="7.140625" customWidth="1" style="1" min="5" max="5"/>
    <col hidden="1" width="15.42578125" customWidth="1" style="1" min="6" max="6"/>
    <col hidden="1" width="7.140625" customWidth="1" style="1" min="7" max="7"/>
    <col hidden="1" width="15.42578125" customWidth="1" style="1" min="8" max="8"/>
    <col hidden="1" width="7.140625" customWidth="1" style="1" min="9" max="9"/>
    <col hidden="1" width="15.42578125" customWidth="1" style="1" min="10" max="10"/>
    <col hidden="1" width="7.140625" customWidth="1" style="1" min="11" max="11"/>
    <col hidden="1" width="15.42578125" customWidth="1" style="1" min="12" max="12"/>
    <col hidden="1" width="7.140625" customWidth="1" style="1" min="13" max="13"/>
    <col hidden="1" width="15.42578125" customWidth="1" style="1" min="14" max="14"/>
    <col hidden="1" width="7.140625" customWidth="1" style="1" min="15" max="15"/>
    <col hidden="1" width="15.42578125" customWidth="1" style="1" min="16" max="16"/>
    <col width="17.28515625" customWidth="1" style="1" min="17" max="17"/>
    <col width="17.28515625" customWidth="1" style="1" min="18" max="16384"/>
  </cols>
  <sheetData>
    <row r="1" ht="15" customHeight="1">
      <c r="A1" s="265" t="n"/>
      <c r="B1" s="6" t="n"/>
      <c r="C1" s="6" t="inlineStr">
        <is>
          <t>Ma</t>
        </is>
      </c>
      <c r="D1" s="7" t="inlineStr">
        <is>
          <t>Naam</t>
        </is>
      </c>
      <c r="E1" s="856" t="inlineStr">
        <is>
          <t>Di</t>
        </is>
      </c>
      <c r="F1" s="7" t="inlineStr">
        <is>
          <t>Naam</t>
        </is>
      </c>
      <c r="G1" s="9" t="inlineStr">
        <is>
          <t>Wo</t>
        </is>
      </c>
      <c r="H1" s="10" t="inlineStr">
        <is>
          <t>Naam</t>
        </is>
      </c>
      <c r="I1" s="9" t="inlineStr">
        <is>
          <t>Do</t>
        </is>
      </c>
      <c r="J1" s="10" t="inlineStr">
        <is>
          <t>Naam</t>
        </is>
      </c>
      <c r="K1" s="9" t="inlineStr">
        <is>
          <t>Vr</t>
        </is>
      </c>
      <c r="L1" s="10" t="inlineStr">
        <is>
          <t>Naam</t>
        </is>
      </c>
      <c r="M1" s="9" t="inlineStr">
        <is>
          <t>Za</t>
        </is>
      </c>
      <c r="N1" s="10" t="inlineStr">
        <is>
          <t>Naam</t>
        </is>
      </c>
      <c r="O1" s="9" t="inlineStr">
        <is>
          <t>Zo</t>
        </is>
      </c>
      <c r="P1" s="10" t="inlineStr">
        <is>
          <t>Naam</t>
        </is>
      </c>
    </row>
    <row r="2" ht="15" customHeight="1">
      <c r="A2" s="66" t="inlineStr">
        <is>
          <t>hv</t>
        </is>
      </c>
      <c r="B2" s="67">
        <f>A2</f>
        <v/>
      </c>
      <c r="C2" s="857">
        <f>9/48+(1/48)*MIN(IFERROR(MATCH($A2,Ma!$F$13:$AQ$13,0),100),IFERROR(MATCH($A2,Ma!$F$14:$AQ$14,0),100),IFERROR(MATCH($A2,Ma!$F$15:$AQ$15,0),100),IFERROR(MATCH($A2,Ma!$F$16:$AQ$16,0),100),IFERROR(MATCH($A2,Ma!$F$17:$AQ$17,0),100),IFERROR(MATCH($A2,Ma!$F$18:$AQ$18,0),100),IFERROR(MATCH($A2,Ma!$F$19:$AQ$19,0),100),IFERROR(MATCH($A2,Ma!$F$20:$AQ$20,0),100),IFERROR(MATCH($A2,Ma!$F$21:$AQ$21,0),100),IFERROR(MATCH($A2,Ma!$F$22:$AQ$22,0),100),IFERROR(MATCH($A2,Ma!$F$23:$AQ$23,0),100),IFERROR(MATCH($A2,Ma!$F$24:$AQ$24,0),100),IFERROR(MATCH($A2,Ma!$F$25:$AQ$25,0),100),IFERROR(MATCH($A2,Ma!$F$26:$AQ$26,0),100),IFERROR(MATCH($A2,Ma!$F$27:$AQ$27,0),100),IFERROR(MATCH($A2,Ma!$F$28:$AQ$28,0),100),IFERROR(MATCH($A2,Ma!$F$29:$AQ$29,0),100),IFERROR(MATCH($A2,Ma!$F$30:$AQ$30,0),100),IFERROR(MATCH($A2,Ma!$F$31:$AQ$31,0),100),IFERROR(MATCH($A2,Ma!$F$32:$AQ$32,0),100),IFERROR(MATCH($A2,Ma!$F$33:$AQ$33,0),100),IFERROR(MATCH($A2,Ma!$F$34:$AQ$34,0),100),IFERROR(MATCH($A2,Ma!$F$35:$AQ$35,0),100),IFERROR(MATCH($A2,Ma!$F$36:$AQ$36,0),100),IFERROR(MATCH($A2,Ma!$F$37:$AQ$37,0),100),IFERROR(MATCH($A2,Ma!$F$38:$AQ$38,0),100),IFERROR(MATCH($A2,Ma!$F$39:$AQ$39,0),100),IFERROR(MATCH($A2,Ma!$F$40:$AQ$40,0),100),IFERROR(MATCH($A2,Ma!$F$41:$AQ$41,0),100),IFERROR(MATCH($A2,Ma!$F$42:$AQ$42,0),100),IFERROR(MATCH($A2,Ma!$F$43:$AQ$43,0),100),IFERROR(MATCH($A2,Ma!$F$44:$AQ$44,0),100),IFERROR(MATCH($A2,Ma!$F$45:$AQ$45,0),100),IFERROR(MATCH($A2,Ma!$F$46:$AQ$46,0),100),IFERROR(MATCH($A2,Ma!$F$47:$AQ$47,0),100),IFERROR(MATCH($A2,Ma!$F$48:$AQ$48,0),100),IFERROR(MATCH($A2,Ma!$F$49:$AQ$49,0),100),IFERROR(MATCH($A2,Ma!$F$50:$AQ$50,0),100),IFERROR(MATCH($A2,Ma!$F$51:$AQ$51,0),100),IFERROR(MATCH($A2,Ma!$F$52:$AQ$52,0),100),IFERROR(MATCH($A2,Ma!$F$53:$AQ$53,0),100),IFERROR(MATCH($A2,Ma!$F$54:$AQ$54,0),100),IFERROR(MATCH($A2,Ma!$F$55:$AQ$55,0),100),IFERROR(MATCH($A2,Ma!$F$56:$AQ$56,0),100),IFERROR(MATCH($A2,Ma!$F$57:$AQ$57,0),100),IFERROR(MATCH($A2,Ma!$F$58:$AQ$58,0),100),IFERROR(MATCH($A2,Ma!$F$59:$AQ$59,0),100),IFERROR(MATCH($A2,Ma!$F$60:$AQ$60,0),100),IFERROR(MATCH($A2,Ma!$F$61:$AQ$61,0),100),IFERROR(MATCH($A2,Ma!$F$62:$AQ$62,0),100),IFERROR(MATCH($A2,Ma!$F$63:$AQ$63,0),100),39)</f>
        <v/>
      </c>
      <c r="D2" s="66" t="n"/>
      <c r="E2" s="857">
        <f>9/48+(1/48)*MIN(IFERROR(MATCH($A2,Di!$F$13:$AQ$13,0),100),IFERROR(MATCH($A2,Di!$F$14:$AQ$14,0),100),IFERROR(MATCH($A2,Di!$F$15:$AQ$15,0),100),IFERROR(MATCH($A2,Di!$F$16:$AQ$16,0),100),IFERROR(MATCH($A2,Di!$F$17:$AQ$17,0),100),IFERROR(MATCH($A2,Di!$F$18:$AQ$18,0),100),IFERROR(MATCH($A2,Di!$F$19:$AQ$19,0),100),IFERROR(MATCH($A2,Di!$F$20:$AQ$20,0),100),IFERROR(MATCH($A2,Di!$F$21:$AQ$21,0),100),IFERROR(MATCH($A2,Di!$F$22:$AQ$22,0),100),IFERROR(MATCH($A2,Di!$F$23:$AQ$23,0),100),IFERROR(MATCH($A2,Di!$F$24:$AQ$24,0),100),IFERROR(MATCH($A2,Di!$F$25:$AQ$25,0),100),IFERROR(MATCH($A2,Di!$F$26:$AQ$26,0),100),IFERROR(MATCH($A2,Di!$F$27:$AQ$27,0),100),IFERROR(MATCH($A2,Di!$F$28:$AQ$28,0),100),IFERROR(MATCH($A2,Di!$F$29:$AQ$29,0),100),IFERROR(MATCH($A2,Di!$F$30:$AQ$30,0),100),IFERROR(MATCH($A2,Di!$F$31:$AQ$31,0),100),IFERROR(MATCH($A2,Di!$F$32:$AQ$32,0),100),IFERROR(MATCH($A2,Di!$F$33:$AQ$33,0),100),IFERROR(MATCH($A2,Di!$F$34:$AQ$34,0),100),IFERROR(MATCH($A2,Di!$F$35:$AQ$35,0),100),IFERROR(MATCH($A2,Di!$F$36:$AQ$36,0),100),IFERROR(MATCH($A2,Di!$F$37:$AQ$37,0),100),IFERROR(MATCH($A2,Di!$F$38:$AQ$38,0),100),IFERROR(MATCH($A2,Di!$F$39:$AQ$39,0),100),IFERROR(MATCH($A2,Di!$F$40:$AQ$40,0),100),IFERROR(MATCH($A2,Di!$F$41:$AQ$41,0),100),IFERROR(MATCH($A2,Di!$F$42:$AQ$42,0),100),IFERROR(MATCH($A2,Di!$F$43:$AQ$43,0),100),IFERROR(MATCH($A2,Di!$F$44:$AQ$44,0),100),IFERROR(MATCH($A2,Di!$F$45:$AQ$45,0),100),IFERROR(MATCH($A2,Di!$F$46:$AQ$46,0),100),IFERROR(MATCH($A2,Di!$F$47:$AQ$47,0),100),IFERROR(MATCH($A2,Di!$F$48:$AQ$48,0),100),IFERROR(MATCH($A2,Di!$F$49:$AQ$49,0),100),IFERROR(MATCH($A2,Di!$F$50:$AQ$50,0),100),IFERROR(MATCH($A2,Di!$F$51:$AQ$51,0),100),IFERROR(MATCH($A2,Di!$F$52:$AQ$52,0),100),IFERROR(MATCH($A2,Di!$F$53:$AQ$53,0),100),IFERROR(MATCH($A2,Di!$F$54:$AQ$54,0),100),IFERROR(MATCH($A2,Di!$F$55:$AQ$55,0),100),IFERROR(MATCH($A2,Di!$F$56:$AQ$56,0),100),IFERROR(MATCH($A2,Di!$F$57:$AQ$57,0),100),IFERROR(MATCH($A2,Di!$F$58:$AQ$58,0),100),IFERROR(MATCH($A2,Di!$F$59:$AQ$59,0),100),IFERROR(MATCH($A2,Di!$F$60:$AQ$60,0),100),IFERROR(MATCH($A2,Di!$F$61:$AQ$61,0),100),IFERROR(MATCH($A2,Di!$F$62:$AQ$62,0),100),IFERROR(MATCH($A2,Di!$F$63:$AQ$63,0),100),39)</f>
        <v/>
      </c>
      <c r="F2" s="66" t="n"/>
      <c r="G2" s="857">
        <f>9/48+(1/48)*MIN(IFERROR(MATCH($A2,Wo!$F$13:$AQ$13,0),100),IFERROR(MATCH($A2,Wo!$F$14:$AQ$14,0),100),IFERROR(MATCH($A2,Wo!$F$15:$AQ$15,0),100),IFERROR(MATCH($A2,Wo!$F$16:$AQ$16,0),100),IFERROR(MATCH($A2,Wo!$F$17:$AQ$17,0),100),IFERROR(MATCH($A2,Wo!$F$18:$AQ$18,0),100),IFERROR(MATCH($A2,Wo!$F$19:$AQ$19,0),100),IFERROR(MATCH($A2,Wo!$F$20:$AQ$20,0),100),IFERROR(MATCH($A2,Wo!$F$21:$AQ$21,0),100),IFERROR(MATCH($A2,Wo!$F$22:$AQ$22,0),100),IFERROR(MATCH($A2,Wo!$F$23:$AQ$23,0),100),IFERROR(MATCH($A2,Wo!$F$24:$AQ$24,0),100),IFERROR(MATCH($A2,Wo!$F$25:$AQ$25,0),100),IFERROR(MATCH($A2,Wo!$F$26:$AQ$26,0),100),IFERROR(MATCH($A2,Wo!$F$27:$AQ$27,0),100),IFERROR(MATCH($A2,Wo!$F$28:$AQ$28,0),100),IFERROR(MATCH($A2,Wo!$F$29:$AQ$29,0),100),IFERROR(MATCH($A2,Wo!$F$30:$AQ$30,0),100),IFERROR(MATCH($A2,Wo!$F$31:$AQ$31,0),100),IFERROR(MATCH($A2,Wo!$F$32:$AQ$32,0),100),IFERROR(MATCH($A2,Wo!$F$33:$AQ$33,0),100),IFERROR(MATCH($A2,Wo!$F$34:$AQ$34,0),100),IFERROR(MATCH($A2,Wo!$F$35:$AQ$35,0),100),IFERROR(MATCH($A2,Wo!$F$36:$AQ$36,0),100),IFERROR(MATCH($A2,Wo!$F$37:$AQ$37,0),100),IFERROR(MATCH($A2,Wo!$F$38:$AQ$38,0),100),IFERROR(MATCH($A2,Wo!$F$39:$AQ$39,0),100),IFERROR(MATCH($A2,Wo!$F$40:$AQ$40,0),100),IFERROR(MATCH($A2,Wo!$F$41:$AQ$41,0),100),IFERROR(MATCH($A2,Wo!$F$42:$AQ$42,0),100),IFERROR(MATCH($A2,Wo!$F$43:$AQ$43,0),100),IFERROR(MATCH($A2,Wo!$F$44:$AQ$44,0),100),IFERROR(MATCH($A2,Wo!$F$45:$AQ$45,0),100),IFERROR(MATCH($A2,Wo!$F$46:$AQ$46,0),100),IFERROR(MATCH($A2,Wo!$F$47:$AQ$47,0),100),IFERROR(MATCH($A2,Wo!$F$48:$AQ$48,0),100),IFERROR(MATCH($A2,Wo!$F$49:$AQ$49,0),100),IFERROR(MATCH($A2,Wo!$F$50:$AQ$50,0),100),IFERROR(MATCH($A2,Wo!$F$51:$AQ$51,0),100),IFERROR(MATCH($A2,Wo!$F$52:$AQ$52,0),100),IFERROR(MATCH($A2,Wo!$F$53:$AQ$53,0),100),IFERROR(MATCH($A2,Wo!$F$54:$AQ$54,0),100),IFERROR(MATCH($A2,Wo!$F$55:$AQ$55,0),100),IFERROR(MATCH($A2,Wo!$F$56:$AQ$56,0),100),IFERROR(MATCH($A2,Wo!$F$57:$AQ$57,0),100),IFERROR(MATCH($A2,Wo!$F$58:$AQ$58,0),100),IFERROR(MATCH($A2,Wo!$F$59:$AQ$59,0),100),IFERROR(MATCH($A2,Wo!$F$60:$AQ$60,0),100),IFERROR(MATCH($A2,Wo!$F$61:$AQ$61,0),100),IFERROR(MATCH($A2,Wo!$F$62:$AQ$62,0),100),IFERROR(MATCH($A2,Wo!$F$63:$AQ$63,0),100),39)</f>
        <v/>
      </c>
      <c r="H2" s="66" t="n"/>
      <c r="I2" s="857">
        <f>9/48+(1/48)*MIN(IFERROR(MATCH($A2,Do!$F$13:$AQ$13,0),100),IFERROR(MATCH($A2,Do!$F$14:$AQ$14,0),100),IFERROR(MATCH($A2,Do!$F$15:$AQ$15,0),100),IFERROR(MATCH($A2,Do!$F$16:$AQ$16,0),100),IFERROR(MATCH($A2,Do!$F$17:$AQ$17,0),100),IFERROR(MATCH($A2,Do!$F$18:$AQ$18,0),100),IFERROR(MATCH($A2,Do!$F$19:$AQ$19,0),100),IFERROR(MATCH($A2,Do!$F$20:$AQ$20,0),100),IFERROR(MATCH($A2,Do!$F$21:$AQ$21,0),100),IFERROR(MATCH($A2,Do!$F$22:$AQ$22,0),100),IFERROR(MATCH($A2,Do!$F$23:$AQ$23,0),100),IFERROR(MATCH($A2,Do!$F$24:$AQ$24,0),100),IFERROR(MATCH($A2,Do!$F$25:$AQ$25,0),100),IFERROR(MATCH($A2,Do!$F$26:$AQ$26,0),100),IFERROR(MATCH($A2,Do!$F$27:$AQ$27,0),100),IFERROR(MATCH($A2,Do!$F$28:$AQ$28,0),100),IFERROR(MATCH($A2,Do!$F$29:$AQ$29,0),100),IFERROR(MATCH($A2,Do!$F$30:$AQ$30,0),100),IFERROR(MATCH($A2,Do!$F$31:$AQ$31,0),100),IFERROR(MATCH($A2,Do!$F$32:$AQ$32,0),100),IFERROR(MATCH($A2,Do!$F$33:$AQ$33,0),100),IFERROR(MATCH($A2,Do!$F$34:$AQ$34,0),100),IFERROR(MATCH($A2,Do!$F$35:$AQ$35,0),100),IFERROR(MATCH($A2,Do!$F$36:$AQ$36,0),100),IFERROR(MATCH($A2,Do!$F$37:$AQ$37,0),100),IFERROR(MATCH($A2,Do!$F$38:$AQ$38,0),100),IFERROR(MATCH($A2,Do!$F$39:$AQ$39,0),100),IFERROR(MATCH($A2,Do!$F$40:$AQ$40,0),100),IFERROR(MATCH($A2,Do!$F$41:$AQ$41,0),100),IFERROR(MATCH($A2,Do!$F$42:$AQ$42,0),100),IFERROR(MATCH($A2,Do!$F$43:$AQ$43,0),100),IFERROR(MATCH($A2,Do!$F$44:$AQ$44,0),100),IFERROR(MATCH($A2,Do!$F$45:$AQ$45,0),100),IFERROR(MATCH($A2,Do!$F$46:$AQ$46,0),100),IFERROR(MATCH($A2,Do!$F$47:$AQ$47,0),100),IFERROR(MATCH($A2,Do!$F$48:$AQ$48,0),100),IFERROR(MATCH($A2,Do!$F$49:$AQ$49,0),100),IFERROR(MATCH($A2,Do!$F$50:$AQ$50,0),100),IFERROR(MATCH($A2,Do!$F$51:$AQ$51,0),100),IFERROR(MATCH($A2,Do!$F$52:$AQ$52,0),100),IFERROR(MATCH($A2,Do!$F$53:$AQ$53,0),100),IFERROR(MATCH($A2,Do!$F$54:$AQ$54,0),100),IFERROR(MATCH($A2,Do!$F$55:$AQ$55,0),100),IFERROR(MATCH($A2,Do!$F$56:$AQ$56,0),100),IFERROR(MATCH($A2,Do!$F$57:$AQ$57,0),100),IFERROR(MATCH($A2,Do!$F$58:$AQ$58,0),100),IFERROR(MATCH($A2,Do!$F$59:$AQ$59,0),100),IFERROR(MATCH($A2,Do!$F$60:$AQ$60,0),100),IFERROR(MATCH($A2,Do!$F$61:$AQ$61,0),100),IFERROR(MATCH($A2,Do!$F$62:$AQ$62,0),100),IFERROR(MATCH($A2,Do!$F$63:$AQ$63,0),100),39)</f>
        <v/>
      </c>
      <c r="J2" s="66" t="n"/>
      <c r="K2" s="857">
        <f>9/48+(1/48)*MIN(IFERROR(MATCH($A2,Vr!$F$13:$AQ$13,0),100),IFERROR(MATCH($A2,Vr!$F$14:$AQ$14,0),100),IFERROR(MATCH($A2,Vr!$F$15:$AQ$15,0),100),IFERROR(MATCH($A2,Vr!$F$16:$AQ$16,0),100),IFERROR(MATCH($A2,Vr!$F$17:$AQ$17,0),100),IFERROR(MATCH($A2,Vr!$F$18:$AQ$18,0),100),IFERROR(MATCH($A2,Vr!$F$19:$AQ$19,0),100),IFERROR(MATCH($A2,Vr!$F$20:$AQ$20,0),100),IFERROR(MATCH($A2,Vr!$F$21:$AQ$21,0),100),IFERROR(MATCH($A2,Vr!$F$22:$AQ$22,0),100),IFERROR(MATCH($A2,Vr!$F$23:$AQ$23,0),100),IFERROR(MATCH($A2,Vr!$F$24:$AQ$24,0),100),IFERROR(MATCH($A2,Vr!$F$25:$AQ$25,0),100),IFERROR(MATCH($A2,Vr!$F$26:$AQ$26,0),100),IFERROR(MATCH($A2,Vr!$F$27:$AQ$27,0),100),IFERROR(MATCH($A2,Vr!$F$28:$AQ$28,0),100),IFERROR(MATCH($A2,Vr!$F$29:$AQ$29,0),100),IFERROR(MATCH($A2,Vr!$F$30:$AQ$30,0),100),IFERROR(MATCH($A2,Vr!$F$31:$AQ$31,0),100),IFERROR(MATCH($A2,Vr!$F$32:$AQ$32,0),100),IFERROR(MATCH($A2,Vr!$F$33:$AQ$33,0),100),IFERROR(MATCH($A2,Vr!$F$34:$AQ$34,0),100),IFERROR(MATCH($A2,Vr!$F$35:$AQ$35,0),100),IFERROR(MATCH($A2,Vr!$F$36:$AQ$36,0),100),IFERROR(MATCH($A2,Vr!$F$37:$AQ$37,0),100),IFERROR(MATCH($A2,Vr!$F$38:$AQ$38,0),100),IFERROR(MATCH($A2,Vr!$F$39:$AQ$39,0),100),IFERROR(MATCH($A2,Vr!$F$40:$AQ$40,0),100),IFERROR(MATCH($A2,Vr!$F$41:$AQ$41,0),100),IFERROR(MATCH($A2,Vr!$F$42:$AQ$42,0),100),IFERROR(MATCH($A2,Vr!$F$43:$AQ$43,0),100),IFERROR(MATCH($A2,Vr!$F$44:$AQ$44,0),100),IFERROR(MATCH($A2,Vr!$F$45:$AQ$45,0),100),IFERROR(MATCH($A2,Vr!$F$46:$AQ$46,0),100),IFERROR(MATCH($A2,Vr!$F$47:$AQ$47,0),100),IFERROR(MATCH($A2,Vr!$F$48:$AQ$48,0),100),IFERROR(MATCH($A2,Vr!$F$49:$AQ$49,0),100),IFERROR(MATCH($A2,Vr!$F$50:$AQ$50,0),100),IFERROR(MATCH($A2,Vr!$F$51:$AQ$51,0),100),IFERROR(MATCH($A2,Vr!$F$52:$AQ$52,0),100),IFERROR(MATCH($A2,Vr!$F$53:$AQ$53,0),100),IFERROR(MATCH($A2,Vr!$F$54:$AQ$54,0),100),IFERROR(MATCH($A2,Vr!$F$55:$AQ$55,0),100),IFERROR(MATCH($A2,Vr!$F$56:$AQ$56,0),100),IFERROR(MATCH($A2,Vr!$F$57:$AQ$57,0),100),IFERROR(MATCH($A2,Vr!$F$58:$AQ$58,0),100),IFERROR(MATCH($A2,Vr!$F$59:$AQ$59,0),100),IFERROR(MATCH($A2,Vr!$F$60:$AQ$60,0),100),IFERROR(MATCH($A2,Vr!$F$61:$AQ$61,0),100),IFERROR(MATCH($A2,Vr!$F$62:$AQ$62,0),100),IFERROR(MATCH($A2,Vr!$F$63:$AQ$63,0),100),39)</f>
        <v/>
      </c>
      <c r="L2" s="66" t="n"/>
      <c r="M2" s="857">
        <f>9/48+(1/48)*MIN(IFERROR(MATCH($A2,Za!$F$13:$AQ$13,0),100),IFERROR(MATCH($A2,Za!$F$14:$AQ$14,0),100),IFERROR(MATCH($A2,Za!$F$15:$AQ$15,0),100),IFERROR(MATCH($A2,Za!$F$16:$AQ$16,0),100),IFERROR(MATCH($A2,Za!$F$17:$AQ$17,0),100),IFERROR(MATCH($A2,Za!$F$18:$AQ$18,0),100),IFERROR(MATCH($A2,Za!$F$19:$AQ$19,0),100),IFERROR(MATCH($A2,Za!$F$20:$AQ$20,0),100),IFERROR(MATCH($A2,Za!$F$21:$AQ$21,0),100),IFERROR(MATCH($A2,Za!$F$22:$AQ$22,0),100),IFERROR(MATCH($A2,Za!$F$23:$AQ$23,0),100),IFERROR(MATCH($A2,Za!$F$24:$AQ$24,0),100),IFERROR(MATCH($A2,Za!$F$25:$AQ$25,0),100),IFERROR(MATCH($A2,Za!$F$26:$AQ$26,0),100),IFERROR(MATCH($A2,Za!$F$27:$AQ$27,0),100),IFERROR(MATCH($A2,Za!$F$28:$AQ$28,0),100),IFERROR(MATCH($A2,Za!$F$29:$AQ$29,0),100),IFERROR(MATCH($A2,Za!$F$30:$AQ$30,0),100),IFERROR(MATCH($A2,Za!$F$31:$AQ$31,0),100),IFERROR(MATCH($A2,Za!$F$32:$AQ$32,0),100),IFERROR(MATCH($A2,Za!$F$33:$AQ$33,0),100),IFERROR(MATCH($A2,Za!$F$34:$AQ$34,0),100),IFERROR(MATCH($A2,Za!$F$35:$AQ$35,0),100),IFERROR(MATCH($A2,Za!$F$36:$AQ$36,0),100),IFERROR(MATCH($A2,Za!$F$37:$AQ$37,0),100),IFERROR(MATCH($A2,Za!$F$38:$AQ$38,0),100),IFERROR(MATCH($A2,Za!$F$39:$AQ$39,0),100),IFERROR(MATCH($A2,Za!$F$40:$AQ$40,0),100),IFERROR(MATCH($A2,Za!$F$41:$AQ$41,0),100),IFERROR(MATCH($A2,Za!$F$42:$AQ$42,0),100),IFERROR(MATCH($A2,Za!$F$43:$AQ$43,0),100),IFERROR(MATCH($A2,Za!$F$44:$AQ$44,0),100),IFERROR(MATCH($A2,Za!$F$45:$AQ$45,0),100),IFERROR(MATCH($A2,Za!$F$46:$AQ$46,0),100),IFERROR(MATCH($A2,Za!$F$47:$AQ$47,0),100),IFERROR(MATCH($A2,Za!$F$48:$AQ$48,0),100),IFERROR(MATCH($A2,Za!$F$49:$AQ$49,0),100),IFERROR(MATCH($A2,Za!$F$50:$AQ$50,0),100),IFERROR(MATCH($A2,Za!$F$51:$AQ$51,0),100),IFERROR(MATCH($A2,Za!$F$52:$AQ$52,0),100),IFERROR(MATCH($A2,Za!$F$53:$AQ$53,0),100),IFERROR(MATCH($A2,Za!$F$54:$AQ$54,0),100),IFERROR(MATCH($A2,Za!$F$55:$AQ$55,0),100),IFERROR(MATCH($A2,Za!$F$56:$AQ$56,0),100),IFERROR(MATCH($A2,Za!$F$57:$AQ$57,0),100),IFERROR(MATCH($A2,Za!$F$58:$AQ$58,0),100),IFERROR(MATCH($A2,Za!$F$59:$AQ$59,0),100),IFERROR(MATCH($A2,Za!$F$60:$AQ$60,0),100),IFERROR(MATCH($A2,Za!$F$61:$AQ$61,0),100),IFERROR(MATCH($A2,Za!$F$62:$AQ$62,0),100),IFERROR(MATCH($A2,Za!$F$63:$AQ$63,0),100),39)</f>
        <v/>
      </c>
      <c r="N2" s="66" t="n"/>
      <c r="O2" s="857">
        <f>9/48+(1/48)*MIN(IFERROR(MATCH($A2,Zo!$F$13:$AQ$13,0),100),IFERROR(MATCH($A2,Zo!$F$14:$AQ$14,0),100),IFERROR(MATCH($A2,Zo!$F$15:$AQ$15,0),100),IFERROR(MATCH($A2,Zo!$F$16:$AQ$16,0),100),IFERROR(MATCH($A2,Zo!$F$17:$AQ$17,0),100),IFERROR(MATCH($A2,Zo!$F$18:$AQ$18,0),100),IFERROR(MATCH($A2,Zo!$F$19:$AQ$19,0),100),IFERROR(MATCH($A2,Zo!$F$20:$AQ$20,0),100),IFERROR(MATCH($A2,Zo!$F$21:$AQ$21,0),100),IFERROR(MATCH($A2,Zo!$F$22:$AQ$22,0),100),IFERROR(MATCH($A2,Zo!$F$23:$AQ$23,0),100),IFERROR(MATCH($A2,Zo!$F$24:$AQ$24,0),100),IFERROR(MATCH($A2,Zo!$F$25:$AQ$25,0),100),IFERROR(MATCH($A2,Zo!$F$26:$AQ$26,0),100),IFERROR(MATCH($A2,Zo!$F$27:$AQ$27,0),100),IFERROR(MATCH($A2,Zo!$F$28:$AQ$28,0),100),IFERROR(MATCH($A2,Zo!$F$29:$AQ$29,0),100),IFERROR(MATCH($A2,Zo!$F$30:$AQ$30,0),100),IFERROR(MATCH($A2,Zo!$F$31:$AQ$31,0),100),IFERROR(MATCH($A2,Zo!$F$32:$AQ$32,0),100),IFERROR(MATCH($A2,Zo!$F$33:$AQ$33,0),100),IFERROR(MATCH($A2,Zo!$F$34:$AQ$34,0),100),IFERROR(MATCH($A2,Zo!$F$35:$AQ$35,0),100),IFERROR(MATCH($A2,Zo!$F$36:$AQ$36,0),100),IFERROR(MATCH($A2,Zo!$F$37:$AQ$37,0),100),IFERROR(MATCH($A2,Zo!$F$38:$AQ$38,0),100),IFERROR(MATCH($A2,Zo!$F$39:$AQ$39,0),100),IFERROR(MATCH($A2,Zo!$F$40:$AQ$40,0),100),IFERROR(MATCH($A2,Zo!$F$41:$AQ$41,0),100),IFERROR(MATCH($A2,Zo!$F$42:$AQ$42,0),100),IFERROR(MATCH($A2,Zo!$F$43:$AQ$43,0),100),IFERROR(MATCH($A2,Zo!$F$44:$AQ$44,0),100),IFERROR(MATCH($A2,Zo!$F$45:$AQ$45,0),100),IFERROR(MATCH($A2,Zo!$F$46:$AQ$46,0),100),IFERROR(MATCH($A2,Zo!$F$47:$AQ$47,0),100),IFERROR(MATCH($A2,Zo!$F$48:$AQ$48,0),100),IFERROR(MATCH($A2,Zo!$F$49:$AQ$49,0),100),IFERROR(MATCH($A2,Zo!$F$50:$AQ$50,0),100),IFERROR(MATCH($A2,Zo!$F$51:$AQ$51,0),100),IFERROR(MATCH($A2,Zo!$F$52:$AQ$52,0),100),IFERROR(MATCH($A2,Zo!$F$53:$AQ$53,0),100),IFERROR(MATCH($A2,Zo!$F$54:$AQ$54,0),100),IFERROR(MATCH($A2,Zo!$F$55:$AQ$55,0),100),IFERROR(MATCH($A2,Zo!$F$56:$AQ$56,0),100),IFERROR(MATCH($A2,Zo!$F$57:$AQ$57,0),100),IFERROR(MATCH($A2,Zo!$F$58:$AQ$58,0),100),IFERROR(MATCH($A2,Zo!$F$59:$AQ$59,0),100),IFERROR(MATCH($A2,Zo!$F$60:$AQ$60,0),100),IFERROR(MATCH($A2,Zo!$F$61:$AQ$61,0),100),IFERROR(MATCH($A2,Zo!$F$62:$AQ$62,0),100),IFERROR(MATCH($A2,Zo!$F$63:$AQ$63,0),100),39)</f>
        <v/>
      </c>
      <c r="P2" s="66" t="n"/>
    </row>
    <row r="3" ht="15" customHeight="1">
      <c r="A3" s="66" t="inlineStr">
        <is>
          <t>dv</t>
        </is>
      </c>
      <c r="B3" s="67">
        <f>A3</f>
        <v/>
      </c>
      <c r="C3" s="857">
        <f>9/48+(1/48)*MIN(IFERROR(MATCH($A3,Ma!$F$13:$AQ$13,0),100),IFERROR(MATCH($A3,Ma!$F$14:$AQ$14,0),100),IFERROR(MATCH($A3,Ma!$F$15:$AQ$15,0),100),IFERROR(MATCH($A3,Ma!$F$16:$AQ$16,0),100),IFERROR(MATCH($A3,Ma!$F$17:$AQ$17,0),100),IFERROR(MATCH($A3,Ma!$F$18:$AQ$18,0),100),IFERROR(MATCH($A3,Ma!$F$19:$AQ$19,0),100),IFERROR(MATCH($A3,Ma!$F$20:$AQ$20,0),100),IFERROR(MATCH($A3,Ma!$F$21:$AQ$21,0),100),IFERROR(MATCH($A3,Ma!$F$22:$AQ$22,0),100),IFERROR(MATCH($A3,Ma!$F$23:$AQ$23,0),100),IFERROR(MATCH($A3,Ma!$F$24:$AQ$24,0),100),IFERROR(MATCH($A3,Ma!$F$25:$AQ$25,0),100),IFERROR(MATCH($A3,Ma!$F$26:$AQ$26,0),100),IFERROR(MATCH($A3,Ma!$F$27:$AQ$27,0),100),IFERROR(MATCH($A3,Ma!$F$28:$AQ$28,0),100),IFERROR(MATCH($A3,Ma!$F$29:$AQ$29,0),100),IFERROR(MATCH($A3,Ma!$F$30:$AQ$30,0),100),IFERROR(MATCH($A3,Ma!$F$31:$AQ$31,0),100),IFERROR(MATCH($A3,Ma!$F$32:$AQ$32,0),100),IFERROR(MATCH($A3,Ma!$F$33:$AQ$33,0),100),IFERROR(MATCH($A3,Ma!$F$34:$AQ$34,0),100),IFERROR(MATCH($A3,Ma!$F$35:$AQ$35,0),100),IFERROR(MATCH($A3,Ma!$F$36:$AQ$36,0),100),IFERROR(MATCH($A3,Ma!$F$37:$AQ$37,0),100),IFERROR(MATCH($A3,Ma!$F$38:$AQ$38,0),100),IFERROR(MATCH($A3,Ma!$F$39:$AQ$39,0),100),IFERROR(MATCH($A3,Ma!$F$40:$AQ$40,0),100),IFERROR(MATCH($A3,Ma!$F$41:$AQ$41,0),100),IFERROR(MATCH($A3,Ma!$F$42:$AQ$42,0),100),IFERROR(MATCH($A3,Ma!$F$43:$AQ$43,0),100),IFERROR(MATCH($A3,Ma!$F$44:$AQ$44,0),100),IFERROR(MATCH($A3,Ma!$F$45:$AQ$45,0),100),IFERROR(MATCH($A3,Ma!$F$46:$AQ$46,0),100),IFERROR(MATCH($A3,Ma!$F$47:$AQ$47,0),100),IFERROR(MATCH($A3,Ma!$F$48:$AQ$48,0),100),IFERROR(MATCH($A3,Ma!$F$49:$AQ$49,0),100),IFERROR(MATCH($A3,Ma!$F$50:$AQ$50,0),100),IFERROR(MATCH($A3,Ma!$F$51:$AQ$51,0),100),IFERROR(MATCH($A3,Ma!$F$52:$AQ$52,0),100),IFERROR(MATCH($A3,Ma!$F$53:$AQ$53,0),100),IFERROR(MATCH($A3,Ma!$F$54:$AQ$54,0),100),IFERROR(MATCH($A3,Ma!$F$55:$AQ$55,0),100),IFERROR(MATCH($A3,Ma!$F$56:$AQ$56,0),100),IFERROR(MATCH($A3,Ma!$F$57:$AQ$57,0),100),IFERROR(MATCH($A3,Ma!$F$58:$AQ$58,0),100),IFERROR(MATCH($A3,Ma!$F$59:$AQ$59,0),100),IFERROR(MATCH($A3,Ma!$F$60:$AQ$60,0),100),IFERROR(MATCH($A3,Ma!$F$61:$AQ$61,0),100),IFERROR(MATCH($A3,Ma!$F$62:$AQ$62,0),100),IFERROR(MATCH($A3,Ma!$F$63:$AQ$63,0),100),39)</f>
        <v/>
      </c>
      <c r="D3" s="66" t="n"/>
      <c r="E3" s="857">
        <f>9/48+(1/48)*MIN(IFERROR(MATCH($A3,Di!$F$13:$AQ$13,0),100),IFERROR(MATCH($A3,Di!$F$14:$AQ$14,0),100),IFERROR(MATCH($A3,Di!$F$15:$AQ$15,0),100),IFERROR(MATCH($A3,Di!$F$16:$AQ$16,0),100),IFERROR(MATCH($A3,Di!$F$17:$AQ$17,0),100),IFERROR(MATCH($A3,Di!$F$18:$AQ$18,0),100),IFERROR(MATCH($A3,Di!$F$19:$AQ$19,0),100),IFERROR(MATCH($A3,Di!$F$20:$AQ$20,0),100),IFERROR(MATCH($A3,Di!$F$21:$AQ$21,0),100),IFERROR(MATCH($A3,Di!$F$22:$AQ$22,0),100),IFERROR(MATCH($A3,Di!$F$23:$AQ$23,0),100),IFERROR(MATCH($A3,Di!$F$24:$AQ$24,0),100),IFERROR(MATCH($A3,Di!$F$25:$AQ$25,0),100),IFERROR(MATCH($A3,Di!$F$26:$AQ$26,0),100),IFERROR(MATCH($A3,Di!$F$27:$AQ$27,0),100),IFERROR(MATCH($A3,Di!$F$28:$AQ$28,0),100),IFERROR(MATCH($A3,Di!$F$29:$AQ$29,0),100),IFERROR(MATCH($A3,Di!$F$30:$AQ$30,0),100),IFERROR(MATCH($A3,Di!$F$31:$AQ$31,0),100),IFERROR(MATCH($A3,Di!$F$32:$AQ$32,0),100),IFERROR(MATCH($A3,Di!$F$33:$AQ$33,0),100),IFERROR(MATCH($A3,Di!$F$34:$AQ$34,0),100),IFERROR(MATCH($A3,Di!$F$35:$AQ$35,0),100),IFERROR(MATCH($A3,Di!$F$36:$AQ$36,0),100),IFERROR(MATCH($A3,Di!$F$37:$AQ$37,0),100),IFERROR(MATCH($A3,Di!$F$38:$AQ$38,0),100),IFERROR(MATCH($A3,Di!$F$39:$AQ$39,0),100),IFERROR(MATCH($A3,Di!$F$40:$AQ$40,0),100),IFERROR(MATCH($A3,Di!$F$41:$AQ$41,0),100),IFERROR(MATCH($A3,Di!$F$42:$AQ$42,0),100),IFERROR(MATCH($A3,Di!$F$43:$AQ$43,0),100),IFERROR(MATCH($A3,Di!$F$44:$AQ$44,0),100),IFERROR(MATCH($A3,Di!$F$45:$AQ$45,0),100),IFERROR(MATCH($A3,Di!$F$46:$AQ$46,0),100),IFERROR(MATCH($A3,Di!$F$47:$AQ$47,0),100),IFERROR(MATCH($A3,Di!$F$48:$AQ$48,0),100),IFERROR(MATCH($A3,Di!$F$49:$AQ$49,0),100),IFERROR(MATCH($A3,Di!$F$50:$AQ$50,0),100),IFERROR(MATCH($A3,Di!$F$51:$AQ$51,0),100),IFERROR(MATCH($A3,Di!$F$52:$AQ$52,0),100),IFERROR(MATCH($A3,Di!$F$53:$AQ$53,0),100),IFERROR(MATCH($A3,Di!$F$54:$AQ$54,0),100),IFERROR(MATCH($A3,Di!$F$55:$AQ$55,0),100),IFERROR(MATCH($A3,Di!$F$56:$AQ$56,0),100),IFERROR(MATCH($A3,Di!$F$57:$AQ$57,0),100),IFERROR(MATCH($A3,Di!$F$58:$AQ$58,0),100),IFERROR(MATCH($A3,Di!$F$59:$AQ$59,0),100),IFERROR(MATCH($A3,Di!$F$60:$AQ$60,0),100),IFERROR(MATCH($A3,Di!$F$61:$AQ$61,0),100),IFERROR(MATCH($A3,Di!$F$62:$AQ$62,0),100),IFERROR(MATCH($A3,Di!$F$63:$AQ$63,0),100),39)</f>
        <v/>
      </c>
      <c r="F3" s="66" t="n"/>
      <c r="G3" s="857">
        <f>9/48+(1/48)*MIN(IFERROR(MATCH($A3,Wo!$F$13:$AQ$13,0),100),IFERROR(MATCH($A3,Wo!$F$14:$AQ$14,0),100),IFERROR(MATCH($A3,Wo!$F$15:$AQ$15,0),100),IFERROR(MATCH($A3,Wo!$F$16:$AQ$16,0),100),IFERROR(MATCH($A3,Wo!$F$17:$AQ$17,0),100),IFERROR(MATCH($A3,Wo!$F$18:$AQ$18,0),100),IFERROR(MATCH($A3,Wo!$F$19:$AQ$19,0),100),IFERROR(MATCH($A3,Wo!$F$20:$AQ$20,0),100),IFERROR(MATCH($A3,Wo!$F$21:$AQ$21,0),100),IFERROR(MATCH($A3,Wo!$F$22:$AQ$22,0),100),IFERROR(MATCH($A3,Wo!$F$23:$AQ$23,0),100),IFERROR(MATCH($A3,Wo!$F$24:$AQ$24,0),100),IFERROR(MATCH($A3,Wo!$F$25:$AQ$25,0),100),IFERROR(MATCH($A3,Wo!$F$26:$AQ$26,0),100),IFERROR(MATCH($A3,Wo!$F$27:$AQ$27,0),100),IFERROR(MATCH($A3,Wo!$F$28:$AQ$28,0),100),IFERROR(MATCH($A3,Wo!$F$29:$AQ$29,0),100),IFERROR(MATCH($A3,Wo!$F$30:$AQ$30,0),100),IFERROR(MATCH($A3,Wo!$F$31:$AQ$31,0),100),IFERROR(MATCH($A3,Wo!$F$32:$AQ$32,0),100),IFERROR(MATCH($A3,Wo!$F$33:$AQ$33,0),100),IFERROR(MATCH($A3,Wo!$F$34:$AQ$34,0),100),IFERROR(MATCH($A3,Wo!$F$35:$AQ$35,0),100),IFERROR(MATCH($A3,Wo!$F$36:$AQ$36,0),100),IFERROR(MATCH($A3,Wo!$F$37:$AQ$37,0),100),IFERROR(MATCH($A3,Wo!$F$38:$AQ$38,0),100),IFERROR(MATCH($A3,Wo!$F$39:$AQ$39,0),100),IFERROR(MATCH($A3,Wo!$F$40:$AQ$40,0),100),IFERROR(MATCH($A3,Wo!$F$41:$AQ$41,0),100),IFERROR(MATCH($A3,Wo!$F$42:$AQ$42,0),100),IFERROR(MATCH($A3,Wo!$F$43:$AQ$43,0),100),IFERROR(MATCH($A3,Wo!$F$44:$AQ$44,0),100),IFERROR(MATCH($A3,Wo!$F$45:$AQ$45,0),100),IFERROR(MATCH($A3,Wo!$F$46:$AQ$46,0),100),IFERROR(MATCH($A3,Wo!$F$47:$AQ$47,0),100),IFERROR(MATCH($A3,Wo!$F$48:$AQ$48,0),100),IFERROR(MATCH($A3,Wo!$F$49:$AQ$49,0),100),IFERROR(MATCH($A3,Wo!$F$50:$AQ$50,0),100),IFERROR(MATCH($A3,Wo!$F$51:$AQ$51,0),100),IFERROR(MATCH($A3,Wo!$F$52:$AQ$52,0),100),IFERROR(MATCH($A3,Wo!$F$53:$AQ$53,0),100),IFERROR(MATCH($A3,Wo!$F$54:$AQ$54,0),100),IFERROR(MATCH($A3,Wo!$F$55:$AQ$55,0),100),IFERROR(MATCH($A3,Wo!$F$56:$AQ$56,0),100),IFERROR(MATCH($A3,Wo!$F$57:$AQ$57,0),100),IFERROR(MATCH($A3,Wo!$F$58:$AQ$58,0),100),IFERROR(MATCH($A3,Wo!$F$59:$AQ$59,0),100),IFERROR(MATCH($A3,Wo!$F$60:$AQ$60,0),100),IFERROR(MATCH($A3,Wo!$F$61:$AQ$61,0),100),IFERROR(MATCH($A3,Wo!$F$62:$AQ$62,0),100),IFERROR(MATCH($A3,Wo!$F$63:$AQ$63,0),100),39)</f>
        <v/>
      </c>
      <c r="H3" s="66" t="n"/>
      <c r="I3" s="857">
        <f>9/48+(1/48)*MIN(IFERROR(MATCH($A3,Do!$F$13:$AQ$13,0),100),IFERROR(MATCH($A3,Do!$F$14:$AQ$14,0),100),IFERROR(MATCH($A3,Do!$F$15:$AQ$15,0),100),IFERROR(MATCH($A3,Do!$F$16:$AQ$16,0),100),IFERROR(MATCH($A3,Do!$F$17:$AQ$17,0),100),IFERROR(MATCH($A3,Do!$F$18:$AQ$18,0),100),IFERROR(MATCH($A3,Do!$F$19:$AQ$19,0),100),IFERROR(MATCH($A3,Do!$F$20:$AQ$20,0),100),IFERROR(MATCH($A3,Do!$F$21:$AQ$21,0),100),IFERROR(MATCH($A3,Do!$F$22:$AQ$22,0),100),IFERROR(MATCH($A3,Do!$F$23:$AQ$23,0),100),IFERROR(MATCH($A3,Do!$F$24:$AQ$24,0),100),IFERROR(MATCH($A3,Do!$F$25:$AQ$25,0),100),IFERROR(MATCH($A3,Do!$F$26:$AQ$26,0),100),IFERROR(MATCH($A3,Do!$F$27:$AQ$27,0),100),IFERROR(MATCH($A3,Do!$F$28:$AQ$28,0),100),IFERROR(MATCH($A3,Do!$F$29:$AQ$29,0),100),IFERROR(MATCH($A3,Do!$F$30:$AQ$30,0),100),IFERROR(MATCH($A3,Do!$F$31:$AQ$31,0),100),IFERROR(MATCH($A3,Do!$F$32:$AQ$32,0),100),IFERROR(MATCH($A3,Do!$F$33:$AQ$33,0),100),IFERROR(MATCH($A3,Do!$F$34:$AQ$34,0),100),IFERROR(MATCH($A3,Do!$F$35:$AQ$35,0),100),IFERROR(MATCH($A3,Do!$F$36:$AQ$36,0),100),IFERROR(MATCH($A3,Do!$F$37:$AQ$37,0),100),IFERROR(MATCH($A3,Do!$F$38:$AQ$38,0),100),IFERROR(MATCH($A3,Do!$F$39:$AQ$39,0),100),IFERROR(MATCH($A3,Do!$F$40:$AQ$40,0),100),IFERROR(MATCH($A3,Do!$F$41:$AQ$41,0),100),IFERROR(MATCH($A3,Do!$F$42:$AQ$42,0),100),IFERROR(MATCH($A3,Do!$F$43:$AQ$43,0),100),IFERROR(MATCH($A3,Do!$F$44:$AQ$44,0),100),IFERROR(MATCH($A3,Do!$F$45:$AQ$45,0),100),IFERROR(MATCH($A3,Do!$F$46:$AQ$46,0),100),IFERROR(MATCH($A3,Do!$F$47:$AQ$47,0),100),IFERROR(MATCH($A3,Do!$F$48:$AQ$48,0),100),IFERROR(MATCH($A3,Do!$F$49:$AQ$49,0),100),IFERROR(MATCH($A3,Do!$F$50:$AQ$50,0),100),IFERROR(MATCH($A3,Do!$F$51:$AQ$51,0),100),IFERROR(MATCH($A3,Do!$F$52:$AQ$52,0),100),IFERROR(MATCH($A3,Do!$F$53:$AQ$53,0),100),IFERROR(MATCH($A3,Do!$F$54:$AQ$54,0),100),IFERROR(MATCH($A3,Do!$F$55:$AQ$55,0),100),IFERROR(MATCH($A3,Do!$F$56:$AQ$56,0),100),IFERROR(MATCH($A3,Do!$F$57:$AQ$57,0),100),IFERROR(MATCH($A3,Do!$F$58:$AQ$58,0),100),IFERROR(MATCH($A3,Do!$F$59:$AQ$59,0),100),IFERROR(MATCH($A3,Do!$F$60:$AQ$60,0),100),IFERROR(MATCH($A3,Do!$F$61:$AQ$61,0),100),IFERROR(MATCH($A3,Do!$F$62:$AQ$62,0),100),IFERROR(MATCH($A3,Do!$F$63:$AQ$63,0),100),39)</f>
        <v/>
      </c>
      <c r="J3" s="66" t="n"/>
      <c r="K3" s="857">
        <f>9/48+(1/48)*MIN(IFERROR(MATCH($A3,Vr!$F$13:$AQ$13,0),100),IFERROR(MATCH($A3,Vr!$F$14:$AQ$14,0),100),IFERROR(MATCH($A3,Vr!$F$15:$AQ$15,0),100),IFERROR(MATCH($A3,Vr!$F$16:$AQ$16,0),100),IFERROR(MATCH($A3,Vr!$F$17:$AQ$17,0),100),IFERROR(MATCH($A3,Vr!$F$18:$AQ$18,0),100),IFERROR(MATCH($A3,Vr!$F$19:$AQ$19,0),100),IFERROR(MATCH($A3,Vr!$F$20:$AQ$20,0),100),IFERROR(MATCH($A3,Vr!$F$21:$AQ$21,0),100),IFERROR(MATCH($A3,Vr!$F$22:$AQ$22,0),100),IFERROR(MATCH($A3,Vr!$F$23:$AQ$23,0),100),IFERROR(MATCH($A3,Vr!$F$24:$AQ$24,0),100),IFERROR(MATCH($A3,Vr!$F$25:$AQ$25,0),100),IFERROR(MATCH($A3,Vr!$F$26:$AQ$26,0),100),IFERROR(MATCH($A3,Vr!$F$27:$AQ$27,0),100),IFERROR(MATCH($A3,Vr!$F$28:$AQ$28,0),100),IFERROR(MATCH($A3,Vr!$F$29:$AQ$29,0),100),IFERROR(MATCH($A3,Vr!$F$30:$AQ$30,0),100),IFERROR(MATCH($A3,Vr!$F$31:$AQ$31,0),100),IFERROR(MATCH($A3,Vr!$F$32:$AQ$32,0),100),IFERROR(MATCH($A3,Vr!$F$33:$AQ$33,0),100),IFERROR(MATCH($A3,Vr!$F$34:$AQ$34,0),100),IFERROR(MATCH($A3,Vr!$F$35:$AQ$35,0),100),IFERROR(MATCH($A3,Vr!$F$36:$AQ$36,0),100),IFERROR(MATCH($A3,Vr!$F$37:$AQ$37,0),100),IFERROR(MATCH($A3,Vr!$F$38:$AQ$38,0),100),IFERROR(MATCH($A3,Vr!$F$39:$AQ$39,0),100),IFERROR(MATCH($A3,Vr!$F$40:$AQ$40,0),100),IFERROR(MATCH($A3,Vr!$F$41:$AQ$41,0),100),IFERROR(MATCH($A3,Vr!$F$42:$AQ$42,0),100),IFERROR(MATCH($A3,Vr!$F$43:$AQ$43,0),100),IFERROR(MATCH($A3,Vr!$F$44:$AQ$44,0),100),IFERROR(MATCH($A3,Vr!$F$45:$AQ$45,0),100),IFERROR(MATCH($A3,Vr!$F$46:$AQ$46,0),100),IFERROR(MATCH($A3,Vr!$F$47:$AQ$47,0),100),IFERROR(MATCH($A3,Vr!$F$48:$AQ$48,0),100),IFERROR(MATCH($A3,Vr!$F$49:$AQ$49,0),100),IFERROR(MATCH($A3,Vr!$F$50:$AQ$50,0),100),IFERROR(MATCH($A3,Vr!$F$51:$AQ$51,0),100),IFERROR(MATCH($A3,Vr!$F$52:$AQ$52,0),100),IFERROR(MATCH($A3,Vr!$F$53:$AQ$53,0),100),IFERROR(MATCH($A3,Vr!$F$54:$AQ$54,0),100),IFERROR(MATCH($A3,Vr!$F$55:$AQ$55,0),100),IFERROR(MATCH($A3,Vr!$F$56:$AQ$56,0),100),IFERROR(MATCH($A3,Vr!$F$57:$AQ$57,0),100),IFERROR(MATCH($A3,Vr!$F$58:$AQ$58,0),100),IFERROR(MATCH($A3,Vr!$F$59:$AQ$59,0),100),IFERROR(MATCH($A3,Vr!$F$60:$AQ$60,0),100),IFERROR(MATCH($A3,Vr!$F$61:$AQ$61,0),100),IFERROR(MATCH($A3,Vr!$F$62:$AQ$62,0),100),IFERROR(MATCH($A3,Vr!$F$63:$AQ$63,0),100),39)</f>
        <v/>
      </c>
      <c r="L3" s="66" t="n"/>
      <c r="M3" s="857">
        <f>9/48+(1/48)*MIN(IFERROR(MATCH($A3,Za!$F$13:$AQ$13,0),100),IFERROR(MATCH($A3,Za!$F$14:$AQ$14,0),100),IFERROR(MATCH($A3,Za!$F$15:$AQ$15,0),100),IFERROR(MATCH($A3,Za!$F$16:$AQ$16,0),100),IFERROR(MATCH($A3,Za!$F$17:$AQ$17,0),100),IFERROR(MATCH($A3,Za!$F$18:$AQ$18,0),100),IFERROR(MATCH($A3,Za!$F$19:$AQ$19,0),100),IFERROR(MATCH($A3,Za!$F$20:$AQ$20,0),100),IFERROR(MATCH($A3,Za!$F$21:$AQ$21,0),100),IFERROR(MATCH($A3,Za!$F$22:$AQ$22,0),100),IFERROR(MATCH($A3,Za!$F$23:$AQ$23,0),100),IFERROR(MATCH($A3,Za!$F$24:$AQ$24,0),100),IFERROR(MATCH($A3,Za!$F$25:$AQ$25,0),100),IFERROR(MATCH($A3,Za!$F$26:$AQ$26,0),100),IFERROR(MATCH($A3,Za!$F$27:$AQ$27,0),100),IFERROR(MATCH($A3,Za!$F$28:$AQ$28,0),100),IFERROR(MATCH($A3,Za!$F$29:$AQ$29,0),100),IFERROR(MATCH($A3,Za!$F$30:$AQ$30,0),100),IFERROR(MATCH($A3,Za!$F$31:$AQ$31,0),100),IFERROR(MATCH($A3,Za!$F$32:$AQ$32,0),100),IFERROR(MATCH($A3,Za!$F$33:$AQ$33,0),100),IFERROR(MATCH($A3,Za!$F$34:$AQ$34,0),100),IFERROR(MATCH($A3,Za!$F$35:$AQ$35,0),100),IFERROR(MATCH($A3,Za!$F$36:$AQ$36,0),100),IFERROR(MATCH($A3,Za!$F$37:$AQ$37,0),100),IFERROR(MATCH($A3,Za!$F$38:$AQ$38,0),100),IFERROR(MATCH($A3,Za!$F$39:$AQ$39,0),100),IFERROR(MATCH($A3,Za!$F$40:$AQ$40,0),100),IFERROR(MATCH($A3,Za!$F$41:$AQ$41,0),100),IFERROR(MATCH($A3,Za!$F$42:$AQ$42,0),100),IFERROR(MATCH($A3,Za!$F$43:$AQ$43,0),100),IFERROR(MATCH($A3,Za!$F$44:$AQ$44,0),100),IFERROR(MATCH($A3,Za!$F$45:$AQ$45,0),100),IFERROR(MATCH($A3,Za!$F$46:$AQ$46,0),100),IFERROR(MATCH($A3,Za!$F$47:$AQ$47,0),100),IFERROR(MATCH($A3,Za!$F$48:$AQ$48,0),100),IFERROR(MATCH($A3,Za!$F$49:$AQ$49,0),100),IFERROR(MATCH($A3,Za!$F$50:$AQ$50,0),100),IFERROR(MATCH($A3,Za!$F$51:$AQ$51,0),100),IFERROR(MATCH($A3,Za!$F$52:$AQ$52,0),100),IFERROR(MATCH($A3,Za!$F$53:$AQ$53,0),100),IFERROR(MATCH($A3,Za!$F$54:$AQ$54,0),100),IFERROR(MATCH($A3,Za!$F$55:$AQ$55,0),100),IFERROR(MATCH($A3,Za!$F$56:$AQ$56,0),100),IFERROR(MATCH($A3,Za!$F$57:$AQ$57,0),100),IFERROR(MATCH($A3,Za!$F$58:$AQ$58,0),100),IFERROR(MATCH($A3,Za!$F$59:$AQ$59,0),100),IFERROR(MATCH($A3,Za!$F$60:$AQ$60,0),100),IFERROR(MATCH($A3,Za!$F$61:$AQ$61,0),100),IFERROR(MATCH($A3,Za!$F$62:$AQ$62,0),100),IFERROR(MATCH($A3,Za!$F$63:$AQ$63,0),100),39)</f>
        <v/>
      </c>
      <c r="N3" s="66" t="n"/>
      <c r="O3" s="857">
        <f>9/48+(1/48)*MIN(IFERROR(MATCH($A3,Zo!$F$13:$AQ$13,0),100),IFERROR(MATCH($A3,Zo!$F$14:$AQ$14,0),100),IFERROR(MATCH($A3,Zo!$F$15:$AQ$15,0),100),IFERROR(MATCH($A3,Zo!$F$16:$AQ$16,0),100),IFERROR(MATCH($A3,Zo!$F$17:$AQ$17,0),100),IFERROR(MATCH($A3,Zo!$F$18:$AQ$18,0),100),IFERROR(MATCH($A3,Zo!$F$19:$AQ$19,0),100),IFERROR(MATCH($A3,Zo!$F$20:$AQ$20,0),100),IFERROR(MATCH($A3,Zo!$F$21:$AQ$21,0),100),IFERROR(MATCH($A3,Zo!$F$22:$AQ$22,0),100),IFERROR(MATCH($A3,Zo!$F$23:$AQ$23,0),100),IFERROR(MATCH($A3,Zo!$F$24:$AQ$24,0),100),IFERROR(MATCH($A3,Zo!$F$25:$AQ$25,0),100),IFERROR(MATCH($A3,Zo!$F$26:$AQ$26,0),100),IFERROR(MATCH($A3,Zo!$F$27:$AQ$27,0),100),IFERROR(MATCH($A3,Zo!$F$28:$AQ$28,0),100),IFERROR(MATCH($A3,Zo!$F$29:$AQ$29,0),100),IFERROR(MATCH($A3,Zo!$F$30:$AQ$30,0),100),IFERROR(MATCH($A3,Zo!$F$31:$AQ$31,0),100),IFERROR(MATCH($A3,Zo!$F$32:$AQ$32,0),100),IFERROR(MATCH($A3,Zo!$F$33:$AQ$33,0),100),IFERROR(MATCH($A3,Zo!$F$34:$AQ$34,0),100),IFERROR(MATCH($A3,Zo!$F$35:$AQ$35,0),100),IFERROR(MATCH($A3,Zo!$F$36:$AQ$36,0),100),IFERROR(MATCH($A3,Zo!$F$37:$AQ$37,0),100),IFERROR(MATCH($A3,Zo!$F$38:$AQ$38,0),100),IFERROR(MATCH($A3,Zo!$F$39:$AQ$39,0),100),IFERROR(MATCH($A3,Zo!$F$40:$AQ$40,0),100),IFERROR(MATCH($A3,Zo!$F$41:$AQ$41,0),100),IFERROR(MATCH($A3,Zo!$F$42:$AQ$42,0),100),IFERROR(MATCH($A3,Zo!$F$43:$AQ$43,0),100),IFERROR(MATCH($A3,Zo!$F$44:$AQ$44,0),100),IFERROR(MATCH($A3,Zo!$F$45:$AQ$45,0),100),IFERROR(MATCH($A3,Zo!$F$46:$AQ$46,0),100),IFERROR(MATCH($A3,Zo!$F$47:$AQ$47,0),100),IFERROR(MATCH($A3,Zo!$F$48:$AQ$48,0),100),IFERROR(MATCH($A3,Zo!$F$49:$AQ$49,0),100),IFERROR(MATCH($A3,Zo!$F$50:$AQ$50,0),100),IFERROR(MATCH($A3,Zo!$F$51:$AQ$51,0),100),IFERROR(MATCH($A3,Zo!$F$52:$AQ$52,0),100),IFERROR(MATCH($A3,Zo!$F$53:$AQ$53,0),100),IFERROR(MATCH($A3,Zo!$F$54:$AQ$54,0),100),IFERROR(MATCH($A3,Zo!$F$55:$AQ$55,0),100),IFERROR(MATCH($A3,Zo!$F$56:$AQ$56,0),100),IFERROR(MATCH($A3,Zo!$F$57:$AQ$57,0),100),IFERROR(MATCH($A3,Zo!$F$58:$AQ$58,0),100),IFERROR(MATCH($A3,Zo!$F$59:$AQ$59,0),100),IFERROR(MATCH($A3,Zo!$F$60:$AQ$60,0),100),IFERROR(MATCH($A3,Zo!$F$61:$AQ$61,0),100),IFERROR(MATCH($A3,Zo!$F$62:$AQ$62,0),100),IFERROR(MATCH($A3,Zo!$F$63:$AQ$63,0),100),39)</f>
        <v/>
      </c>
      <c r="P3" s="66" t="n"/>
    </row>
    <row r="4" ht="15" customHeight="1">
      <c r="A4" s="66" t="inlineStr">
        <is>
          <t>vv</t>
        </is>
      </c>
      <c r="B4" s="67">
        <f>A4</f>
        <v/>
      </c>
      <c r="C4" s="857">
        <f>9/48+(1/48)*MIN(IFERROR(MATCH($A4,Ma!$F$13:$AQ$13,0),100),IFERROR(MATCH($A4,Ma!$F$14:$AQ$14,0),100),IFERROR(MATCH($A4,Ma!$F$15:$AQ$15,0),100),IFERROR(MATCH($A4,Ma!$F$16:$AQ$16,0),100),IFERROR(MATCH($A4,Ma!$F$17:$AQ$17,0),100),IFERROR(MATCH($A4,Ma!$F$18:$AQ$18,0),100),IFERROR(MATCH($A4,Ma!$F$19:$AQ$19,0),100),IFERROR(MATCH($A4,Ma!$F$20:$AQ$20,0),100),IFERROR(MATCH($A4,Ma!$F$21:$AQ$21,0),100),IFERROR(MATCH($A4,Ma!$F$22:$AQ$22,0),100),IFERROR(MATCH($A4,Ma!$F$23:$AQ$23,0),100),IFERROR(MATCH($A4,Ma!$F$24:$AQ$24,0),100),IFERROR(MATCH($A4,Ma!$F$25:$AQ$25,0),100),IFERROR(MATCH($A4,Ma!$F$26:$AQ$26,0),100),IFERROR(MATCH($A4,Ma!$F$27:$AQ$27,0),100),IFERROR(MATCH($A4,Ma!$F$28:$AQ$28,0),100),IFERROR(MATCH($A4,Ma!$F$29:$AQ$29,0),100),IFERROR(MATCH($A4,Ma!$F$30:$AQ$30,0),100),IFERROR(MATCH($A4,Ma!$F$31:$AQ$31,0),100),IFERROR(MATCH($A4,Ma!$F$32:$AQ$32,0),100),IFERROR(MATCH($A4,Ma!$F$33:$AQ$33,0),100),IFERROR(MATCH($A4,Ma!$F$34:$AQ$34,0),100),IFERROR(MATCH($A4,Ma!$F$35:$AQ$35,0),100),IFERROR(MATCH($A4,Ma!$F$36:$AQ$36,0),100),IFERROR(MATCH($A4,Ma!$F$37:$AQ$37,0),100),IFERROR(MATCH($A4,Ma!$F$38:$AQ$38,0),100),IFERROR(MATCH($A4,Ma!$F$39:$AQ$39,0),100),IFERROR(MATCH($A4,Ma!$F$40:$AQ$40,0),100),IFERROR(MATCH($A4,Ma!$F$41:$AQ$41,0),100),IFERROR(MATCH($A4,Ma!$F$42:$AQ$42,0),100),IFERROR(MATCH($A4,Ma!$F$43:$AQ$43,0),100),IFERROR(MATCH($A4,Ma!$F$44:$AQ$44,0),100),IFERROR(MATCH($A4,Ma!$F$45:$AQ$45,0),100),IFERROR(MATCH($A4,Ma!$F$46:$AQ$46,0),100),IFERROR(MATCH($A4,Ma!$F$47:$AQ$47,0),100),IFERROR(MATCH($A4,Ma!$F$48:$AQ$48,0),100),IFERROR(MATCH($A4,Ma!$F$49:$AQ$49,0),100),IFERROR(MATCH($A4,Ma!$F$50:$AQ$50,0),100),IFERROR(MATCH($A4,Ma!$F$51:$AQ$51,0),100),IFERROR(MATCH($A4,Ma!$F$52:$AQ$52,0),100),IFERROR(MATCH($A4,Ma!$F$53:$AQ$53,0),100),IFERROR(MATCH($A4,Ma!$F$54:$AQ$54,0),100),IFERROR(MATCH($A4,Ma!$F$55:$AQ$55,0),100),IFERROR(MATCH($A4,Ma!$F$56:$AQ$56,0),100),IFERROR(MATCH($A4,Ma!$F$57:$AQ$57,0),100),IFERROR(MATCH($A4,Ma!$F$58:$AQ$58,0),100),IFERROR(MATCH($A4,Ma!$F$59:$AQ$59,0),100),IFERROR(MATCH($A4,Ma!$F$60:$AQ$60,0),100),IFERROR(MATCH($A4,Ma!$F$61:$AQ$61,0),100),IFERROR(MATCH($A4,Ma!$F$62:$AQ$62,0),100),IFERROR(MATCH($A4,Ma!$F$63:$AQ$63,0),100),39)</f>
        <v/>
      </c>
      <c r="D4" s="66" t="n"/>
      <c r="E4" s="857">
        <f>9/48+(1/48)*MIN(IFERROR(MATCH($A4,Di!$F$13:$AQ$13,0),100),IFERROR(MATCH($A4,Di!$F$14:$AQ$14,0),100),IFERROR(MATCH($A4,Di!$F$15:$AQ$15,0),100),IFERROR(MATCH($A4,Di!$F$16:$AQ$16,0),100),IFERROR(MATCH($A4,Di!$F$17:$AQ$17,0),100),IFERROR(MATCH($A4,Di!$F$18:$AQ$18,0),100),IFERROR(MATCH($A4,Di!$F$19:$AQ$19,0),100),IFERROR(MATCH($A4,Di!$F$20:$AQ$20,0),100),IFERROR(MATCH($A4,Di!$F$21:$AQ$21,0),100),IFERROR(MATCH($A4,Di!$F$22:$AQ$22,0),100),IFERROR(MATCH($A4,Di!$F$23:$AQ$23,0),100),IFERROR(MATCH($A4,Di!$F$24:$AQ$24,0),100),IFERROR(MATCH($A4,Di!$F$25:$AQ$25,0),100),IFERROR(MATCH($A4,Di!$F$26:$AQ$26,0),100),IFERROR(MATCH($A4,Di!$F$27:$AQ$27,0),100),IFERROR(MATCH($A4,Di!$F$28:$AQ$28,0),100),IFERROR(MATCH($A4,Di!$F$29:$AQ$29,0),100),IFERROR(MATCH($A4,Di!$F$30:$AQ$30,0),100),IFERROR(MATCH($A4,Di!$F$31:$AQ$31,0),100),IFERROR(MATCH($A4,Di!$F$32:$AQ$32,0),100),IFERROR(MATCH($A4,Di!$F$33:$AQ$33,0),100),IFERROR(MATCH($A4,Di!$F$34:$AQ$34,0),100),IFERROR(MATCH($A4,Di!$F$35:$AQ$35,0),100),IFERROR(MATCH($A4,Di!$F$36:$AQ$36,0),100),IFERROR(MATCH($A4,Di!$F$37:$AQ$37,0),100),IFERROR(MATCH($A4,Di!$F$38:$AQ$38,0),100),IFERROR(MATCH($A4,Di!$F$39:$AQ$39,0),100),IFERROR(MATCH($A4,Di!$F$40:$AQ$40,0),100),IFERROR(MATCH($A4,Di!$F$41:$AQ$41,0),100),IFERROR(MATCH($A4,Di!$F$42:$AQ$42,0),100),IFERROR(MATCH($A4,Di!$F$43:$AQ$43,0),100),IFERROR(MATCH($A4,Di!$F$44:$AQ$44,0),100),IFERROR(MATCH($A4,Di!$F$45:$AQ$45,0),100),IFERROR(MATCH($A4,Di!$F$46:$AQ$46,0),100),IFERROR(MATCH($A4,Di!$F$47:$AQ$47,0),100),IFERROR(MATCH($A4,Di!$F$48:$AQ$48,0),100),IFERROR(MATCH($A4,Di!$F$49:$AQ$49,0),100),IFERROR(MATCH($A4,Di!$F$50:$AQ$50,0),100),IFERROR(MATCH($A4,Di!$F$51:$AQ$51,0),100),IFERROR(MATCH($A4,Di!$F$52:$AQ$52,0),100),IFERROR(MATCH($A4,Di!$F$53:$AQ$53,0),100),IFERROR(MATCH($A4,Di!$F$54:$AQ$54,0),100),IFERROR(MATCH($A4,Di!$F$55:$AQ$55,0),100),IFERROR(MATCH($A4,Di!$F$56:$AQ$56,0),100),IFERROR(MATCH($A4,Di!$F$57:$AQ$57,0),100),IFERROR(MATCH($A4,Di!$F$58:$AQ$58,0),100),IFERROR(MATCH($A4,Di!$F$59:$AQ$59,0),100),IFERROR(MATCH($A4,Di!$F$60:$AQ$60,0),100),IFERROR(MATCH($A4,Di!$F$61:$AQ$61,0),100),IFERROR(MATCH($A4,Di!$F$62:$AQ$62,0),100),IFERROR(MATCH($A4,Di!$F$63:$AQ$63,0),100),39)</f>
        <v/>
      </c>
      <c r="F4" s="66" t="n"/>
      <c r="G4" s="857">
        <f>9/48+(1/48)*MIN(IFERROR(MATCH($A4,Wo!$F$13:$AQ$13,0),100),IFERROR(MATCH($A4,Wo!$F$14:$AQ$14,0),100),IFERROR(MATCH($A4,Wo!$F$15:$AQ$15,0),100),IFERROR(MATCH($A4,Wo!$F$16:$AQ$16,0),100),IFERROR(MATCH($A4,Wo!$F$17:$AQ$17,0),100),IFERROR(MATCH($A4,Wo!$F$18:$AQ$18,0),100),IFERROR(MATCH($A4,Wo!$F$19:$AQ$19,0),100),IFERROR(MATCH($A4,Wo!$F$20:$AQ$20,0),100),IFERROR(MATCH($A4,Wo!$F$21:$AQ$21,0),100),IFERROR(MATCH($A4,Wo!$F$22:$AQ$22,0),100),IFERROR(MATCH($A4,Wo!$F$23:$AQ$23,0),100),IFERROR(MATCH($A4,Wo!$F$24:$AQ$24,0),100),IFERROR(MATCH($A4,Wo!$F$25:$AQ$25,0),100),IFERROR(MATCH($A4,Wo!$F$26:$AQ$26,0),100),IFERROR(MATCH($A4,Wo!$F$27:$AQ$27,0),100),IFERROR(MATCH($A4,Wo!$F$28:$AQ$28,0),100),IFERROR(MATCH($A4,Wo!$F$29:$AQ$29,0),100),IFERROR(MATCH($A4,Wo!$F$30:$AQ$30,0),100),IFERROR(MATCH($A4,Wo!$F$31:$AQ$31,0),100),IFERROR(MATCH($A4,Wo!$F$32:$AQ$32,0),100),IFERROR(MATCH($A4,Wo!$F$33:$AQ$33,0),100),IFERROR(MATCH($A4,Wo!$F$34:$AQ$34,0),100),IFERROR(MATCH($A4,Wo!$F$35:$AQ$35,0),100),IFERROR(MATCH($A4,Wo!$F$36:$AQ$36,0),100),IFERROR(MATCH($A4,Wo!$F$37:$AQ$37,0),100),IFERROR(MATCH($A4,Wo!$F$38:$AQ$38,0),100),IFERROR(MATCH($A4,Wo!$F$39:$AQ$39,0),100),IFERROR(MATCH($A4,Wo!$F$40:$AQ$40,0),100),IFERROR(MATCH($A4,Wo!$F$41:$AQ$41,0),100),IFERROR(MATCH($A4,Wo!$F$42:$AQ$42,0),100),IFERROR(MATCH($A4,Wo!$F$43:$AQ$43,0),100),IFERROR(MATCH($A4,Wo!$F$44:$AQ$44,0),100),IFERROR(MATCH($A4,Wo!$F$45:$AQ$45,0),100),IFERROR(MATCH($A4,Wo!$F$46:$AQ$46,0),100),IFERROR(MATCH($A4,Wo!$F$47:$AQ$47,0),100),IFERROR(MATCH($A4,Wo!$F$48:$AQ$48,0),100),IFERROR(MATCH($A4,Wo!$F$49:$AQ$49,0),100),IFERROR(MATCH($A4,Wo!$F$50:$AQ$50,0),100),IFERROR(MATCH($A4,Wo!$F$51:$AQ$51,0),100),IFERROR(MATCH($A4,Wo!$F$52:$AQ$52,0),100),IFERROR(MATCH($A4,Wo!$F$53:$AQ$53,0),100),IFERROR(MATCH($A4,Wo!$F$54:$AQ$54,0),100),IFERROR(MATCH($A4,Wo!$F$55:$AQ$55,0),100),IFERROR(MATCH($A4,Wo!$F$56:$AQ$56,0),100),IFERROR(MATCH($A4,Wo!$F$57:$AQ$57,0),100),IFERROR(MATCH($A4,Wo!$F$58:$AQ$58,0),100),IFERROR(MATCH($A4,Wo!$F$59:$AQ$59,0),100),IFERROR(MATCH($A4,Wo!$F$60:$AQ$60,0),100),IFERROR(MATCH($A4,Wo!$F$61:$AQ$61,0),100),IFERROR(MATCH($A4,Wo!$F$62:$AQ$62,0),100),IFERROR(MATCH($A4,Wo!$F$63:$AQ$63,0),100),39)</f>
        <v/>
      </c>
      <c r="H4" s="66" t="n"/>
      <c r="I4" s="857">
        <f>9/48+(1/48)*MIN(IFERROR(MATCH($A4,Do!$F$13:$AQ$13,0),100),IFERROR(MATCH($A4,Do!$F$14:$AQ$14,0),100),IFERROR(MATCH($A4,Do!$F$15:$AQ$15,0),100),IFERROR(MATCH($A4,Do!$F$16:$AQ$16,0),100),IFERROR(MATCH($A4,Do!$F$17:$AQ$17,0),100),IFERROR(MATCH($A4,Do!$F$18:$AQ$18,0),100),IFERROR(MATCH($A4,Do!$F$19:$AQ$19,0),100),IFERROR(MATCH($A4,Do!$F$20:$AQ$20,0),100),IFERROR(MATCH($A4,Do!$F$21:$AQ$21,0),100),IFERROR(MATCH($A4,Do!$F$22:$AQ$22,0),100),IFERROR(MATCH($A4,Do!$F$23:$AQ$23,0),100),IFERROR(MATCH($A4,Do!$F$24:$AQ$24,0),100),IFERROR(MATCH($A4,Do!$F$25:$AQ$25,0),100),IFERROR(MATCH($A4,Do!$F$26:$AQ$26,0),100),IFERROR(MATCH($A4,Do!$F$27:$AQ$27,0),100),IFERROR(MATCH($A4,Do!$F$28:$AQ$28,0),100),IFERROR(MATCH($A4,Do!$F$29:$AQ$29,0),100),IFERROR(MATCH($A4,Do!$F$30:$AQ$30,0),100),IFERROR(MATCH($A4,Do!$F$31:$AQ$31,0),100),IFERROR(MATCH($A4,Do!$F$32:$AQ$32,0),100),IFERROR(MATCH($A4,Do!$F$33:$AQ$33,0),100),IFERROR(MATCH($A4,Do!$F$34:$AQ$34,0),100),IFERROR(MATCH($A4,Do!$F$35:$AQ$35,0),100),IFERROR(MATCH($A4,Do!$F$36:$AQ$36,0),100),IFERROR(MATCH($A4,Do!$F$37:$AQ$37,0),100),IFERROR(MATCH($A4,Do!$F$38:$AQ$38,0),100),IFERROR(MATCH($A4,Do!$F$39:$AQ$39,0),100),IFERROR(MATCH($A4,Do!$F$40:$AQ$40,0),100),IFERROR(MATCH($A4,Do!$F$41:$AQ$41,0),100),IFERROR(MATCH($A4,Do!$F$42:$AQ$42,0),100),IFERROR(MATCH($A4,Do!$F$43:$AQ$43,0),100),IFERROR(MATCH($A4,Do!$F$44:$AQ$44,0),100),IFERROR(MATCH($A4,Do!$F$45:$AQ$45,0),100),IFERROR(MATCH($A4,Do!$F$46:$AQ$46,0),100),IFERROR(MATCH($A4,Do!$F$47:$AQ$47,0),100),IFERROR(MATCH($A4,Do!$F$48:$AQ$48,0),100),IFERROR(MATCH($A4,Do!$F$49:$AQ$49,0),100),IFERROR(MATCH($A4,Do!$F$50:$AQ$50,0),100),IFERROR(MATCH($A4,Do!$F$51:$AQ$51,0),100),IFERROR(MATCH($A4,Do!$F$52:$AQ$52,0),100),IFERROR(MATCH($A4,Do!$F$53:$AQ$53,0),100),IFERROR(MATCH($A4,Do!$F$54:$AQ$54,0),100),IFERROR(MATCH($A4,Do!$F$55:$AQ$55,0),100),IFERROR(MATCH($A4,Do!$F$56:$AQ$56,0),100),IFERROR(MATCH($A4,Do!$F$57:$AQ$57,0),100),IFERROR(MATCH($A4,Do!$F$58:$AQ$58,0),100),IFERROR(MATCH($A4,Do!$F$59:$AQ$59,0),100),IFERROR(MATCH($A4,Do!$F$60:$AQ$60,0),100),IFERROR(MATCH($A4,Do!$F$61:$AQ$61,0),100),IFERROR(MATCH($A4,Do!$F$62:$AQ$62,0),100),IFERROR(MATCH($A4,Do!$F$63:$AQ$63,0),100),39)</f>
        <v/>
      </c>
      <c r="J4" s="66" t="n"/>
      <c r="K4" s="857">
        <f>9/48+(1/48)*MIN(IFERROR(MATCH($A4,Vr!$F$13:$AQ$13,0),100),IFERROR(MATCH($A4,Vr!$F$14:$AQ$14,0),100),IFERROR(MATCH($A4,Vr!$F$15:$AQ$15,0),100),IFERROR(MATCH($A4,Vr!$F$16:$AQ$16,0),100),IFERROR(MATCH($A4,Vr!$F$17:$AQ$17,0),100),IFERROR(MATCH($A4,Vr!$F$18:$AQ$18,0),100),IFERROR(MATCH($A4,Vr!$F$19:$AQ$19,0),100),IFERROR(MATCH($A4,Vr!$F$20:$AQ$20,0),100),IFERROR(MATCH($A4,Vr!$F$21:$AQ$21,0),100),IFERROR(MATCH($A4,Vr!$F$22:$AQ$22,0),100),IFERROR(MATCH($A4,Vr!$F$23:$AQ$23,0),100),IFERROR(MATCH($A4,Vr!$F$24:$AQ$24,0),100),IFERROR(MATCH($A4,Vr!$F$25:$AQ$25,0),100),IFERROR(MATCH($A4,Vr!$F$26:$AQ$26,0),100),IFERROR(MATCH($A4,Vr!$F$27:$AQ$27,0),100),IFERROR(MATCH($A4,Vr!$F$28:$AQ$28,0),100),IFERROR(MATCH($A4,Vr!$F$29:$AQ$29,0),100),IFERROR(MATCH($A4,Vr!$F$30:$AQ$30,0),100),IFERROR(MATCH($A4,Vr!$F$31:$AQ$31,0),100),IFERROR(MATCH($A4,Vr!$F$32:$AQ$32,0),100),IFERROR(MATCH($A4,Vr!$F$33:$AQ$33,0),100),IFERROR(MATCH($A4,Vr!$F$34:$AQ$34,0),100),IFERROR(MATCH($A4,Vr!$F$35:$AQ$35,0),100),IFERROR(MATCH($A4,Vr!$F$36:$AQ$36,0),100),IFERROR(MATCH($A4,Vr!$F$37:$AQ$37,0),100),IFERROR(MATCH($A4,Vr!$F$38:$AQ$38,0),100),IFERROR(MATCH($A4,Vr!$F$39:$AQ$39,0),100),IFERROR(MATCH($A4,Vr!$F$40:$AQ$40,0),100),IFERROR(MATCH($A4,Vr!$F$41:$AQ$41,0),100),IFERROR(MATCH($A4,Vr!$F$42:$AQ$42,0),100),IFERROR(MATCH($A4,Vr!$F$43:$AQ$43,0),100),IFERROR(MATCH($A4,Vr!$F$44:$AQ$44,0),100),IFERROR(MATCH($A4,Vr!$F$45:$AQ$45,0),100),IFERROR(MATCH($A4,Vr!$F$46:$AQ$46,0),100),IFERROR(MATCH($A4,Vr!$F$47:$AQ$47,0),100),IFERROR(MATCH($A4,Vr!$F$48:$AQ$48,0),100),IFERROR(MATCH($A4,Vr!$F$49:$AQ$49,0),100),IFERROR(MATCH($A4,Vr!$F$50:$AQ$50,0),100),IFERROR(MATCH($A4,Vr!$F$51:$AQ$51,0),100),IFERROR(MATCH($A4,Vr!$F$52:$AQ$52,0),100),IFERROR(MATCH($A4,Vr!$F$53:$AQ$53,0),100),IFERROR(MATCH($A4,Vr!$F$54:$AQ$54,0),100),IFERROR(MATCH($A4,Vr!$F$55:$AQ$55,0),100),IFERROR(MATCH($A4,Vr!$F$56:$AQ$56,0),100),IFERROR(MATCH($A4,Vr!$F$57:$AQ$57,0),100),IFERROR(MATCH($A4,Vr!$F$58:$AQ$58,0),100),IFERROR(MATCH($A4,Vr!$F$59:$AQ$59,0),100),IFERROR(MATCH($A4,Vr!$F$60:$AQ$60,0),100),IFERROR(MATCH($A4,Vr!$F$61:$AQ$61,0),100),IFERROR(MATCH($A4,Vr!$F$62:$AQ$62,0),100),IFERROR(MATCH($A4,Vr!$F$63:$AQ$63,0),100),39)</f>
        <v/>
      </c>
      <c r="L4" s="66" t="n"/>
      <c r="M4" s="857">
        <f>9/48+(1/48)*MIN(IFERROR(MATCH($A4,Za!$F$13:$AQ$13,0),100),IFERROR(MATCH($A4,Za!$F$14:$AQ$14,0),100),IFERROR(MATCH($A4,Za!$F$15:$AQ$15,0),100),IFERROR(MATCH($A4,Za!$F$16:$AQ$16,0),100),IFERROR(MATCH($A4,Za!$F$17:$AQ$17,0),100),IFERROR(MATCH($A4,Za!$F$18:$AQ$18,0),100),IFERROR(MATCH($A4,Za!$F$19:$AQ$19,0),100),IFERROR(MATCH($A4,Za!$F$20:$AQ$20,0),100),IFERROR(MATCH($A4,Za!$F$21:$AQ$21,0),100),IFERROR(MATCH($A4,Za!$F$22:$AQ$22,0),100),IFERROR(MATCH($A4,Za!$F$23:$AQ$23,0),100),IFERROR(MATCH($A4,Za!$F$24:$AQ$24,0),100),IFERROR(MATCH($A4,Za!$F$25:$AQ$25,0),100),IFERROR(MATCH($A4,Za!$F$26:$AQ$26,0),100),IFERROR(MATCH($A4,Za!$F$27:$AQ$27,0),100),IFERROR(MATCH($A4,Za!$F$28:$AQ$28,0),100),IFERROR(MATCH($A4,Za!$F$29:$AQ$29,0),100),IFERROR(MATCH($A4,Za!$F$30:$AQ$30,0),100),IFERROR(MATCH($A4,Za!$F$31:$AQ$31,0),100),IFERROR(MATCH($A4,Za!$F$32:$AQ$32,0),100),IFERROR(MATCH($A4,Za!$F$33:$AQ$33,0),100),IFERROR(MATCH($A4,Za!$F$34:$AQ$34,0),100),IFERROR(MATCH($A4,Za!$F$35:$AQ$35,0),100),IFERROR(MATCH($A4,Za!$F$36:$AQ$36,0),100),IFERROR(MATCH($A4,Za!$F$37:$AQ$37,0),100),IFERROR(MATCH($A4,Za!$F$38:$AQ$38,0),100),IFERROR(MATCH($A4,Za!$F$39:$AQ$39,0),100),IFERROR(MATCH($A4,Za!$F$40:$AQ$40,0),100),IFERROR(MATCH($A4,Za!$F$41:$AQ$41,0),100),IFERROR(MATCH($A4,Za!$F$42:$AQ$42,0),100),IFERROR(MATCH($A4,Za!$F$43:$AQ$43,0),100),IFERROR(MATCH($A4,Za!$F$44:$AQ$44,0),100),IFERROR(MATCH($A4,Za!$F$45:$AQ$45,0),100),IFERROR(MATCH($A4,Za!$F$46:$AQ$46,0),100),IFERROR(MATCH($A4,Za!$F$47:$AQ$47,0),100),IFERROR(MATCH($A4,Za!$F$48:$AQ$48,0),100),IFERROR(MATCH($A4,Za!$F$49:$AQ$49,0),100),IFERROR(MATCH($A4,Za!$F$50:$AQ$50,0),100),IFERROR(MATCH($A4,Za!$F$51:$AQ$51,0),100),IFERROR(MATCH($A4,Za!$F$52:$AQ$52,0),100),IFERROR(MATCH($A4,Za!$F$53:$AQ$53,0),100),IFERROR(MATCH($A4,Za!$F$54:$AQ$54,0),100),IFERROR(MATCH($A4,Za!$F$55:$AQ$55,0),100),IFERROR(MATCH($A4,Za!$F$56:$AQ$56,0),100),IFERROR(MATCH($A4,Za!$F$57:$AQ$57,0),100),IFERROR(MATCH($A4,Za!$F$58:$AQ$58,0),100),IFERROR(MATCH($A4,Za!$F$59:$AQ$59,0),100),IFERROR(MATCH($A4,Za!$F$60:$AQ$60,0),100),IFERROR(MATCH($A4,Za!$F$61:$AQ$61,0),100),IFERROR(MATCH($A4,Za!$F$62:$AQ$62,0),100),IFERROR(MATCH($A4,Za!$F$63:$AQ$63,0),100),39)</f>
        <v/>
      </c>
      <c r="N4" s="66" t="n"/>
      <c r="O4" s="857">
        <f>9/48+(1/48)*MIN(IFERROR(MATCH($A4,Zo!$F$13:$AQ$13,0),100),IFERROR(MATCH($A4,Zo!$F$14:$AQ$14,0),100),IFERROR(MATCH($A4,Zo!$F$15:$AQ$15,0),100),IFERROR(MATCH($A4,Zo!$F$16:$AQ$16,0),100),IFERROR(MATCH($A4,Zo!$F$17:$AQ$17,0),100),IFERROR(MATCH($A4,Zo!$F$18:$AQ$18,0),100),IFERROR(MATCH($A4,Zo!$F$19:$AQ$19,0),100),IFERROR(MATCH($A4,Zo!$F$20:$AQ$20,0),100),IFERROR(MATCH($A4,Zo!$F$21:$AQ$21,0),100),IFERROR(MATCH($A4,Zo!$F$22:$AQ$22,0),100),IFERROR(MATCH($A4,Zo!$F$23:$AQ$23,0),100),IFERROR(MATCH($A4,Zo!$F$24:$AQ$24,0),100),IFERROR(MATCH($A4,Zo!$F$25:$AQ$25,0),100),IFERROR(MATCH($A4,Zo!$F$26:$AQ$26,0),100),IFERROR(MATCH($A4,Zo!$F$27:$AQ$27,0),100),IFERROR(MATCH($A4,Zo!$F$28:$AQ$28,0),100),IFERROR(MATCH($A4,Zo!$F$29:$AQ$29,0),100),IFERROR(MATCH($A4,Zo!$F$30:$AQ$30,0),100),IFERROR(MATCH($A4,Zo!$F$31:$AQ$31,0),100),IFERROR(MATCH($A4,Zo!$F$32:$AQ$32,0),100),IFERROR(MATCH($A4,Zo!$F$33:$AQ$33,0),100),IFERROR(MATCH($A4,Zo!$F$34:$AQ$34,0),100),IFERROR(MATCH($A4,Zo!$F$35:$AQ$35,0),100),IFERROR(MATCH($A4,Zo!$F$36:$AQ$36,0),100),IFERROR(MATCH($A4,Zo!$F$37:$AQ$37,0),100),IFERROR(MATCH($A4,Zo!$F$38:$AQ$38,0),100),IFERROR(MATCH($A4,Zo!$F$39:$AQ$39,0),100),IFERROR(MATCH($A4,Zo!$F$40:$AQ$40,0),100),IFERROR(MATCH($A4,Zo!$F$41:$AQ$41,0),100),IFERROR(MATCH($A4,Zo!$F$42:$AQ$42,0),100),IFERROR(MATCH($A4,Zo!$F$43:$AQ$43,0),100),IFERROR(MATCH($A4,Zo!$F$44:$AQ$44,0),100),IFERROR(MATCH($A4,Zo!$F$45:$AQ$45,0),100),IFERROR(MATCH($A4,Zo!$F$46:$AQ$46,0),100),IFERROR(MATCH($A4,Zo!$F$47:$AQ$47,0),100),IFERROR(MATCH($A4,Zo!$F$48:$AQ$48,0),100),IFERROR(MATCH($A4,Zo!$F$49:$AQ$49,0),100),IFERROR(MATCH($A4,Zo!$F$50:$AQ$50,0),100),IFERROR(MATCH($A4,Zo!$F$51:$AQ$51,0),100),IFERROR(MATCH($A4,Zo!$F$52:$AQ$52,0),100),IFERROR(MATCH($A4,Zo!$F$53:$AQ$53,0),100),IFERROR(MATCH($A4,Zo!$F$54:$AQ$54,0),100),IFERROR(MATCH($A4,Zo!$F$55:$AQ$55,0),100),IFERROR(MATCH($A4,Zo!$F$56:$AQ$56,0),100),IFERROR(MATCH($A4,Zo!$F$57:$AQ$57,0),100),IFERROR(MATCH($A4,Zo!$F$58:$AQ$58,0),100),IFERROR(MATCH($A4,Zo!$F$59:$AQ$59,0),100),IFERROR(MATCH($A4,Zo!$F$60:$AQ$60,0),100),IFERROR(MATCH($A4,Zo!$F$61:$AQ$61,0),100),IFERROR(MATCH($A4,Zo!$F$62:$AQ$62,0),100),IFERROR(MATCH($A4,Zo!$F$63:$AQ$63,0),100),39)</f>
        <v/>
      </c>
      <c r="P4" s="66" t="n"/>
    </row>
    <row r="5" ht="15" customHeight="1">
      <c r="A5" s="66" t="inlineStr">
        <is>
          <t>nh</t>
        </is>
      </c>
      <c r="B5" s="67">
        <f>A5</f>
        <v/>
      </c>
      <c r="C5" s="857">
        <f>9/48+(1/48)*MIN(IFERROR(MATCH($A5,Ma!$F$13:$AQ$13,0),100),IFERROR(MATCH($A5,Ma!$F$14:$AQ$14,0),100),IFERROR(MATCH($A5,Ma!$F$15:$AQ$15,0),100),IFERROR(MATCH($A5,Ma!$F$16:$AQ$16,0),100),IFERROR(MATCH($A5,Ma!$F$17:$AQ$17,0),100),IFERROR(MATCH($A5,Ma!$F$18:$AQ$18,0),100),IFERROR(MATCH($A5,Ma!$F$19:$AQ$19,0),100),IFERROR(MATCH($A5,Ma!$F$20:$AQ$20,0),100),IFERROR(MATCH($A5,Ma!$F$21:$AQ$21,0),100),IFERROR(MATCH($A5,Ma!$F$22:$AQ$22,0),100),IFERROR(MATCH($A5,Ma!$F$23:$AQ$23,0),100),IFERROR(MATCH($A5,Ma!$F$24:$AQ$24,0),100),IFERROR(MATCH($A5,Ma!$F$25:$AQ$25,0),100),IFERROR(MATCH($A5,Ma!$F$26:$AQ$26,0),100),IFERROR(MATCH($A5,Ma!$F$27:$AQ$27,0),100),IFERROR(MATCH($A5,Ma!$F$28:$AQ$28,0),100),IFERROR(MATCH($A5,Ma!$F$29:$AQ$29,0),100),IFERROR(MATCH($A5,Ma!$F$30:$AQ$30,0),100),IFERROR(MATCH($A5,Ma!$F$31:$AQ$31,0),100),IFERROR(MATCH($A5,Ma!$F$32:$AQ$32,0),100),IFERROR(MATCH($A5,Ma!$F$33:$AQ$33,0),100),IFERROR(MATCH($A5,Ma!$F$34:$AQ$34,0),100),IFERROR(MATCH($A5,Ma!$F$35:$AQ$35,0),100),IFERROR(MATCH($A5,Ma!$F$36:$AQ$36,0),100),IFERROR(MATCH($A5,Ma!$F$37:$AQ$37,0),100),IFERROR(MATCH($A5,Ma!$F$38:$AQ$38,0),100),IFERROR(MATCH($A5,Ma!$F$39:$AQ$39,0),100),IFERROR(MATCH($A5,Ma!$F$40:$AQ$40,0),100),IFERROR(MATCH($A5,Ma!$F$41:$AQ$41,0),100),IFERROR(MATCH($A5,Ma!$F$42:$AQ$42,0),100),IFERROR(MATCH($A5,Ma!$F$43:$AQ$43,0),100),IFERROR(MATCH($A5,Ma!$F$44:$AQ$44,0),100),IFERROR(MATCH($A5,Ma!$F$45:$AQ$45,0),100),IFERROR(MATCH($A5,Ma!$F$46:$AQ$46,0),100),IFERROR(MATCH($A5,Ma!$F$47:$AQ$47,0),100),IFERROR(MATCH($A5,Ma!$F$48:$AQ$48,0),100),IFERROR(MATCH($A5,Ma!$F$49:$AQ$49,0),100),IFERROR(MATCH($A5,Ma!$F$50:$AQ$50,0),100),IFERROR(MATCH($A5,Ma!$F$51:$AQ$51,0),100),IFERROR(MATCH($A5,Ma!$F$52:$AQ$52,0),100),IFERROR(MATCH($A5,Ma!$F$53:$AQ$53,0),100),IFERROR(MATCH($A5,Ma!$F$54:$AQ$54,0),100),IFERROR(MATCH($A5,Ma!$F$55:$AQ$55,0),100),IFERROR(MATCH($A5,Ma!$F$56:$AQ$56,0),100),IFERROR(MATCH($A5,Ma!$F$57:$AQ$57,0),100),IFERROR(MATCH($A5,Ma!$F$58:$AQ$58,0),100),IFERROR(MATCH($A5,Ma!$F$59:$AQ$59,0),100),IFERROR(MATCH($A5,Ma!$F$60:$AQ$60,0),100),IFERROR(MATCH($A5,Ma!$F$61:$AQ$61,0),100),IFERROR(MATCH($A5,Ma!$F$62:$AQ$62,0),100),IFERROR(MATCH($A5,Ma!$F$63:$AQ$63,0),100),39)</f>
        <v/>
      </c>
      <c r="D5" s="66">
        <f>IFERROR(IF(VLOOKUP(INDEX(Ma!$B$12:$B$63,MATCH($A5,OFFSET( Ma!$F$12:$F$63,0,(C5*48)-(IF(C5=7/24,9,IF(C5=12.5/24,9,IF(C5=14/24,9,IF(C5=15.5/24,9,10)))))),0),0),Ma!$B$13:$C$63,2,FALSE)="TL","",INDEX(Ma!$B$12:$B$63,MATCH($A5,OFFSET( Ma!$F$12:$F$63,0,(C5*48)-(IF(C5=7/24,9,IF(C5=12.5/24,9,IF(C5=14/24,9,IF(C5=15.5/24,9,10)))))),0),0)),"")</f>
        <v/>
      </c>
      <c r="E5" s="857">
        <f>9/48+(1/48)*MIN(IFERROR(MATCH($A5,Di!$F$13:$AQ$13,0),100),IFERROR(MATCH($A5,Di!$F$14:$AQ$14,0),100),IFERROR(MATCH($A5,Di!$F$15:$AQ$15,0),100),IFERROR(MATCH($A5,Di!$F$16:$AQ$16,0),100),IFERROR(MATCH($A5,Di!$F$17:$AQ$17,0),100),IFERROR(MATCH($A5,Di!$F$18:$AQ$18,0),100),IFERROR(MATCH($A5,Di!$F$19:$AQ$19,0),100),IFERROR(MATCH($A5,Di!$F$20:$AQ$20,0),100),IFERROR(MATCH($A5,Di!$F$21:$AQ$21,0),100),IFERROR(MATCH($A5,Di!$F$22:$AQ$22,0),100),IFERROR(MATCH($A5,Di!$F$23:$AQ$23,0),100),IFERROR(MATCH($A5,Di!$F$24:$AQ$24,0),100),IFERROR(MATCH($A5,Di!$F$25:$AQ$25,0),100),IFERROR(MATCH($A5,Di!$F$26:$AQ$26,0),100),IFERROR(MATCH($A5,Di!$F$27:$AQ$27,0),100),IFERROR(MATCH($A5,Di!$F$28:$AQ$28,0),100),IFERROR(MATCH($A5,Di!$F$29:$AQ$29,0),100),IFERROR(MATCH($A5,Di!$F$30:$AQ$30,0),100),IFERROR(MATCH($A5,Di!$F$31:$AQ$31,0),100),IFERROR(MATCH($A5,Di!$F$32:$AQ$32,0),100),IFERROR(MATCH($A5,Di!$F$33:$AQ$33,0),100),IFERROR(MATCH($A5,Di!$F$34:$AQ$34,0),100),IFERROR(MATCH($A5,Di!$F$35:$AQ$35,0),100),IFERROR(MATCH($A5,Di!$F$36:$AQ$36,0),100),IFERROR(MATCH($A5,Di!$F$37:$AQ$37,0),100),IFERROR(MATCH($A5,Di!$F$38:$AQ$38,0),100),IFERROR(MATCH($A5,Di!$F$39:$AQ$39,0),100),IFERROR(MATCH($A5,Di!$F$40:$AQ$40,0),100),IFERROR(MATCH($A5,Di!$F$41:$AQ$41,0),100),IFERROR(MATCH($A5,Di!$F$42:$AQ$42,0),100),IFERROR(MATCH($A5,Di!$F$43:$AQ$43,0),100),IFERROR(MATCH($A5,Di!$F$44:$AQ$44,0),100),IFERROR(MATCH($A5,Di!$F$45:$AQ$45,0),100),IFERROR(MATCH($A5,Di!$F$46:$AQ$46,0),100),IFERROR(MATCH($A5,Di!$F$47:$AQ$47,0),100),IFERROR(MATCH($A5,Di!$F$48:$AQ$48,0),100),IFERROR(MATCH($A5,Di!$F$49:$AQ$49,0),100),IFERROR(MATCH($A5,Di!$F$50:$AQ$50,0),100),IFERROR(MATCH($A5,Di!$F$51:$AQ$51,0),100),IFERROR(MATCH($A5,Di!$F$52:$AQ$52,0),100),IFERROR(MATCH($A5,Di!$F$53:$AQ$53,0),100),IFERROR(MATCH($A5,Di!$F$54:$AQ$54,0),100),IFERROR(MATCH($A5,Di!$F$55:$AQ$55,0),100),IFERROR(MATCH($A5,Di!$F$56:$AQ$56,0),100),IFERROR(MATCH($A5,Di!$F$57:$AQ$57,0),100),IFERROR(MATCH($A5,Di!$F$58:$AQ$58,0),100),IFERROR(MATCH($A5,Di!$F$59:$AQ$59,0),100),IFERROR(MATCH($A5,Di!$F$60:$AQ$60,0),100),IFERROR(MATCH($A5,Di!$F$61:$AQ$61,0),100),IFERROR(MATCH($A5,Di!$F$62:$AQ$62,0),100),IFERROR(MATCH($A5,Di!$F$63:$AQ$63,0),100),39)</f>
        <v/>
      </c>
      <c r="F5" s="66">
        <f>IFERROR(IF(VLOOKUP(INDEX(Di!$B$12:$B$63,MATCH($A5,OFFSET( Di!$F$12:$F$63,0,(E5*48)-(IF(E5=7/24,9,IF(E5=12.5/24,9,IF(E5=14/24,9,IF(E5=15.5/24,9,10)))))),0),0),Di!$B$13:$C$63,2,FALSE)="TL","",INDEX(Di!$B$12:$B$63,MATCH($A5,OFFSET( Di!$F$12:$F$63,0,(E5*48)-(IF(E5=7/24,9,IF(E5=12.5/24,9,IF(E5=14/24,9,IF(E5=15.5/24,9,10)))))),0),0)),"")</f>
        <v/>
      </c>
      <c r="G5" s="857">
        <f>9/48+(1/48)*MIN(IFERROR(MATCH($A5,Wo!$F$13:$AQ$13,0),100),IFERROR(MATCH($A5,Wo!$F$14:$AQ$14,0),100),IFERROR(MATCH($A5,Wo!$F$15:$AQ$15,0),100),IFERROR(MATCH($A5,Wo!$F$16:$AQ$16,0),100),IFERROR(MATCH($A5,Wo!$F$17:$AQ$17,0),100),IFERROR(MATCH($A5,Wo!$F$18:$AQ$18,0),100),IFERROR(MATCH($A5,Wo!$F$19:$AQ$19,0),100),IFERROR(MATCH($A5,Wo!$F$20:$AQ$20,0),100),IFERROR(MATCH($A5,Wo!$F$21:$AQ$21,0),100),IFERROR(MATCH($A5,Wo!$F$22:$AQ$22,0),100),IFERROR(MATCH($A5,Wo!$F$23:$AQ$23,0),100),IFERROR(MATCH($A5,Wo!$F$24:$AQ$24,0),100),IFERROR(MATCH($A5,Wo!$F$25:$AQ$25,0),100),IFERROR(MATCH($A5,Wo!$F$26:$AQ$26,0),100),IFERROR(MATCH($A5,Wo!$F$27:$AQ$27,0),100),IFERROR(MATCH($A5,Wo!$F$28:$AQ$28,0),100),IFERROR(MATCH($A5,Wo!$F$29:$AQ$29,0),100),IFERROR(MATCH($A5,Wo!$F$30:$AQ$30,0),100),IFERROR(MATCH($A5,Wo!$F$31:$AQ$31,0),100),IFERROR(MATCH($A5,Wo!$F$32:$AQ$32,0),100),IFERROR(MATCH($A5,Wo!$F$33:$AQ$33,0),100),IFERROR(MATCH($A5,Wo!$F$34:$AQ$34,0),100),IFERROR(MATCH($A5,Wo!$F$35:$AQ$35,0),100),IFERROR(MATCH($A5,Wo!$F$36:$AQ$36,0),100),IFERROR(MATCH($A5,Wo!$F$37:$AQ$37,0),100),IFERROR(MATCH($A5,Wo!$F$38:$AQ$38,0),100),IFERROR(MATCH($A5,Wo!$F$39:$AQ$39,0),100),IFERROR(MATCH($A5,Wo!$F$40:$AQ$40,0),100),IFERROR(MATCH($A5,Wo!$F$41:$AQ$41,0),100),IFERROR(MATCH($A5,Wo!$F$42:$AQ$42,0),100),IFERROR(MATCH($A5,Wo!$F$43:$AQ$43,0),100),IFERROR(MATCH($A5,Wo!$F$44:$AQ$44,0),100),IFERROR(MATCH($A5,Wo!$F$45:$AQ$45,0),100),IFERROR(MATCH($A5,Wo!$F$46:$AQ$46,0),100),IFERROR(MATCH($A5,Wo!$F$47:$AQ$47,0),100),IFERROR(MATCH($A5,Wo!$F$48:$AQ$48,0),100),IFERROR(MATCH($A5,Wo!$F$49:$AQ$49,0),100),IFERROR(MATCH($A5,Wo!$F$50:$AQ$50,0),100),IFERROR(MATCH($A5,Wo!$F$51:$AQ$51,0),100),IFERROR(MATCH($A5,Wo!$F$52:$AQ$52,0),100),IFERROR(MATCH($A5,Wo!$F$53:$AQ$53,0),100),IFERROR(MATCH($A5,Wo!$F$54:$AQ$54,0),100),IFERROR(MATCH($A5,Wo!$F$55:$AQ$55,0),100),IFERROR(MATCH($A5,Wo!$F$56:$AQ$56,0),100),IFERROR(MATCH($A5,Wo!$F$57:$AQ$57,0),100),IFERROR(MATCH($A5,Wo!$F$58:$AQ$58,0),100),IFERROR(MATCH($A5,Wo!$F$59:$AQ$59,0),100),IFERROR(MATCH($A5,Wo!$F$60:$AQ$60,0),100),IFERROR(MATCH($A5,Wo!$F$61:$AQ$61,0),100),IFERROR(MATCH($A5,Wo!$F$62:$AQ$62,0),100),IFERROR(MATCH($A5,Wo!$F$63:$AQ$63,0),100),39)</f>
        <v/>
      </c>
      <c r="H5" s="66">
        <f>IFERROR(IF(VLOOKUP(INDEX(Wo!$B$12:$B$63,MATCH($A5,OFFSET( Wo!$F$12:$F$63,0,(G5*48)-(IF(G5=7/24,9,IF(G5=12.5/24,9,IF(G5=14/24,9,IF(G5=15.5/24,9,10)))))),0),0),Wo!$B$13:$C$63,2,FALSE)="TL","",INDEX(Wo!$B$12:$B$63,MATCH($A5,OFFSET( Wo!$F$12:$F$63,0,(G5*48)-(IF(G5=7/24,9,IF(G5=12.5/24,9,IF(G5=14/24,9,IF(G5=15.5/24,9,10)))))),0),0)),"")</f>
        <v/>
      </c>
      <c r="I5" s="857">
        <f>9/48+(1/48)*MIN(IFERROR(MATCH($A5,Do!$F$13:$AQ$13,0),100),IFERROR(MATCH($A5,Do!$F$14:$AQ$14,0),100),IFERROR(MATCH($A5,Do!$F$15:$AQ$15,0),100),IFERROR(MATCH($A5,Do!$F$16:$AQ$16,0),100),IFERROR(MATCH($A5,Do!$F$17:$AQ$17,0),100),IFERROR(MATCH($A5,Do!$F$18:$AQ$18,0),100),IFERROR(MATCH($A5,Do!$F$19:$AQ$19,0),100),IFERROR(MATCH($A5,Do!$F$20:$AQ$20,0),100),IFERROR(MATCH($A5,Do!$F$21:$AQ$21,0),100),IFERROR(MATCH($A5,Do!$F$22:$AQ$22,0),100),IFERROR(MATCH($A5,Do!$F$23:$AQ$23,0),100),IFERROR(MATCH($A5,Do!$F$24:$AQ$24,0),100),IFERROR(MATCH($A5,Do!$F$25:$AQ$25,0),100),IFERROR(MATCH($A5,Do!$F$26:$AQ$26,0),100),IFERROR(MATCH($A5,Do!$F$27:$AQ$27,0),100),IFERROR(MATCH($A5,Do!$F$28:$AQ$28,0),100),IFERROR(MATCH($A5,Do!$F$29:$AQ$29,0),100),IFERROR(MATCH($A5,Do!$F$30:$AQ$30,0),100),IFERROR(MATCH($A5,Do!$F$31:$AQ$31,0),100),IFERROR(MATCH($A5,Do!$F$32:$AQ$32,0),100),IFERROR(MATCH($A5,Do!$F$33:$AQ$33,0),100),IFERROR(MATCH($A5,Do!$F$34:$AQ$34,0),100),IFERROR(MATCH($A5,Do!$F$35:$AQ$35,0),100),IFERROR(MATCH($A5,Do!$F$36:$AQ$36,0),100),IFERROR(MATCH($A5,Do!$F$37:$AQ$37,0),100),IFERROR(MATCH($A5,Do!$F$38:$AQ$38,0),100),IFERROR(MATCH($A5,Do!$F$39:$AQ$39,0),100),IFERROR(MATCH($A5,Do!$F$40:$AQ$40,0),100),IFERROR(MATCH($A5,Do!$F$41:$AQ$41,0),100),IFERROR(MATCH($A5,Do!$F$42:$AQ$42,0),100),IFERROR(MATCH($A5,Do!$F$43:$AQ$43,0),100),IFERROR(MATCH($A5,Do!$F$44:$AQ$44,0),100),IFERROR(MATCH($A5,Do!$F$45:$AQ$45,0),100),IFERROR(MATCH($A5,Do!$F$46:$AQ$46,0),100),IFERROR(MATCH($A5,Do!$F$47:$AQ$47,0),100),IFERROR(MATCH($A5,Do!$F$48:$AQ$48,0),100),IFERROR(MATCH($A5,Do!$F$49:$AQ$49,0),100),IFERROR(MATCH($A5,Do!$F$50:$AQ$50,0),100),IFERROR(MATCH($A5,Do!$F$51:$AQ$51,0),100),IFERROR(MATCH($A5,Do!$F$52:$AQ$52,0),100),IFERROR(MATCH($A5,Do!$F$53:$AQ$53,0),100),IFERROR(MATCH($A5,Do!$F$54:$AQ$54,0),100),IFERROR(MATCH($A5,Do!$F$55:$AQ$55,0),100),IFERROR(MATCH($A5,Do!$F$56:$AQ$56,0),100),IFERROR(MATCH($A5,Do!$F$57:$AQ$57,0),100),IFERROR(MATCH($A5,Do!$F$58:$AQ$58,0),100),IFERROR(MATCH($A5,Do!$F$59:$AQ$59,0),100),IFERROR(MATCH($A5,Do!$F$60:$AQ$60,0),100),IFERROR(MATCH($A5,Do!$F$61:$AQ$61,0),100),IFERROR(MATCH($A5,Do!$F$62:$AQ$62,0),100),IFERROR(MATCH($A5,Do!$F$63:$AQ$63,0),100),39)</f>
        <v/>
      </c>
      <c r="J5" s="66">
        <f>IFERROR(IF(VLOOKUP(INDEX(Do!$B$12:$B$63,MATCH($A5,OFFSET( Do!$F$12:$F$63,0,(I5*48)-(IF(I5=7/24,9,IF(I5=12.5/24,9,IF(I5=14/24,9,IF(I5=15.5/24,9,10)))))),0),0),Do!$B$13:$C$63,2,FALSE)="TL","",INDEX(Do!$B$12:$B$63,MATCH($A5,OFFSET( Do!$F$12:$F$63,0,(I5*48)-(IF(I5=7/24,9,IF(I5=12.5/24,9,IF(I5=14/24,9,IF(I5=15.5/24,9,10)))))),0),0)),"")</f>
        <v/>
      </c>
      <c r="K5" s="857">
        <f>9/48+(1/48)*MIN(IFERROR(MATCH($A5,Vr!$F$13:$AQ$13,0),100),IFERROR(MATCH($A5,Vr!$F$14:$AQ$14,0),100),IFERROR(MATCH($A5,Vr!$F$15:$AQ$15,0),100),IFERROR(MATCH($A5,Vr!$F$16:$AQ$16,0),100),IFERROR(MATCH($A5,Vr!$F$17:$AQ$17,0),100),IFERROR(MATCH($A5,Vr!$F$18:$AQ$18,0),100),IFERROR(MATCH($A5,Vr!$F$19:$AQ$19,0),100),IFERROR(MATCH($A5,Vr!$F$20:$AQ$20,0),100),IFERROR(MATCH($A5,Vr!$F$21:$AQ$21,0),100),IFERROR(MATCH($A5,Vr!$F$22:$AQ$22,0),100),IFERROR(MATCH($A5,Vr!$F$23:$AQ$23,0),100),IFERROR(MATCH($A5,Vr!$F$24:$AQ$24,0),100),IFERROR(MATCH($A5,Vr!$F$25:$AQ$25,0),100),IFERROR(MATCH($A5,Vr!$F$26:$AQ$26,0),100),IFERROR(MATCH($A5,Vr!$F$27:$AQ$27,0),100),IFERROR(MATCH($A5,Vr!$F$28:$AQ$28,0),100),IFERROR(MATCH($A5,Vr!$F$29:$AQ$29,0),100),IFERROR(MATCH($A5,Vr!$F$30:$AQ$30,0),100),IFERROR(MATCH($A5,Vr!$F$31:$AQ$31,0),100),IFERROR(MATCH($A5,Vr!$F$32:$AQ$32,0),100),IFERROR(MATCH($A5,Vr!$F$33:$AQ$33,0),100),IFERROR(MATCH($A5,Vr!$F$34:$AQ$34,0),100),IFERROR(MATCH($A5,Vr!$F$35:$AQ$35,0),100),IFERROR(MATCH($A5,Vr!$F$36:$AQ$36,0),100),IFERROR(MATCH($A5,Vr!$F$37:$AQ$37,0),100),IFERROR(MATCH($A5,Vr!$F$38:$AQ$38,0),100),IFERROR(MATCH($A5,Vr!$F$39:$AQ$39,0),100),IFERROR(MATCH($A5,Vr!$F$40:$AQ$40,0),100),IFERROR(MATCH($A5,Vr!$F$41:$AQ$41,0),100),IFERROR(MATCH($A5,Vr!$F$42:$AQ$42,0),100),IFERROR(MATCH($A5,Vr!$F$43:$AQ$43,0),100),IFERROR(MATCH($A5,Vr!$F$44:$AQ$44,0),100),IFERROR(MATCH($A5,Vr!$F$45:$AQ$45,0),100),IFERROR(MATCH($A5,Vr!$F$46:$AQ$46,0),100),IFERROR(MATCH($A5,Vr!$F$47:$AQ$47,0),100),IFERROR(MATCH($A5,Vr!$F$48:$AQ$48,0),100),IFERROR(MATCH($A5,Vr!$F$49:$AQ$49,0),100),IFERROR(MATCH($A5,Vr!$F$50:$AQ$50,0),100),IFERROR(MATCH($A5,Vr!$F$51:$AQ$51,0),100),IFERROR(MATCH($A5,Vr!$F$52:$AQ$52,0),100),IFERROR(MATCH($A5,Vr!$F$53:$AQ$53,0),100),IFERROR(MATCH($A5,Vr!$F$54:$AQ$54,0),100),IFERROR(MATCH($A5,Vr!$F$55:$AQ$55,0),100),IFERROR(MATCH($A5,Vr!$F$56:$AQ$56,0),100),IFERROR(MATCH($A5,Vr!$F$57:$AQ$57,0),100),IFERROR(MATCH($A5,Vr!$F$58:$AQ$58,0),100),IFERROR(MATCH($A5,Vr!$F$59:$AQ$59,0),100),IFERROR(MATCH($A5,Vr!$F$60:$AQ$60,0),100),IFERROR(MATCH($A5,Vr!$F$61:$AQ$61,0),100),IFERROR(MATCH($A5,Vr!$F$62:$AQ$62,0),100),IFERROR(MATCH($A5,Vr!$F$63:$AQ$63,0),100),39)</f>
        <v/>
      </c>
      <c r="L5" s="66">
        <f>IFERROR(IF(VLOOKUP(INDEX(Vr!$B$12:$B$63,MATCH($A5,OFFSET( Vr!$F$12:$F$63,0,(K5*48)-(IF(K5=7/24,9,IF(K5=12.5/24,9,IF(K5=14/24,9,IF(K5=15.5/24,9,10)))))),0),0),Vr!$B$13:$C$63,2,FALSE)="TL","",INDEX(Vr!$B$12:$B$63,MATCH($A5,OFFSET( Vr!$F$12:$F$63,0,(K5*48)-(IF(K5=7/24,9,IF(K5=12.5/24,9,IF(K5=14/24,9,IF(K5=15.5/24,9,10)))))),0),0)),"")</f>
        <v/>
      </c>
      <c r="M5" s="857">
        <f>9/48+(1/48)*MIN(IFERROR(MATCH($A5,Za!$F$13:$AQ$13,0),100),IFERROR(MATCH($A5,Za!$F$14:$AQ$14,0),100),IFERROR(MATCH($A5,Za!$F$15:$AQ$15,0),100),IFERROR(MATCH($A5,Za!$F$16:$AQ$16,0),100),IFERROR(MATCH($A5,Za!$F$17:$AQ$17,0),100),IFERROR(MATCH($A5,Za!$F$18:$AQ$18,0),100),IFERROR(MATCH($A5,Za!$F$19:$AQ$19,0),100),IFERROR(MATCH($A5,Za!$F$20:$AQ$20,0),100),IFERROR(MATCH($A5,Za!$F$21:$AQ$21,0),100),IFERROR(MATCH($A5,Za!$F$22:$AQ$22,0),100),IFERROR(MATCH($A5,Za!$F$23:$AQ$23,0),100),IFERROR(MATCH($A5,Za!$F$24:$AQ$24,0),100),IFERROR(MATCH($A5,Za!$F$25:$AQ$25,0),100),IFERROR(MATCH($A5,Za!$F$26:$AQ$26,0),100),IFERROR(MATCH($A5,Za!$F$27:$AQ$27,0),100),IFERROR(MATCH($A5,Za!$F$28:$AQ$28,0),100),IFERROR(MATCH($A5,Za!$F$29:$AQ$29,0),100),IFERROR(MATCH($A5,Za!$F$30:$AQ$30,0),100),IFERROR(MATCH($A5,Za!$F$31:$AQ$31,0),100),IFERROR(MATCH($A5,Za!$F$32:$AQ$32,0),100),IFERROR(MATCH($A5,Za!$F$33:$AQ$33,0),100),IFERROR(MATCH($A5,Za!$F$34:$AQ$34,0),100),IFERROR(MATCH($A5,Za!$F$35:$AQ$35,0),100),IFERROR(MATCH($A5,Za!$F$36:$AQ$36,0),100),IFERROR(MATCH($A5,Za!$F$37:$AQ$37,0),100),IFERROR(MATCH($A5,Za!$F$38:$AQ$38,0),100),IFERROR(MATCH($A5,Za!$F$39:$AQ$39,0),100),IFERROR(MATCH($A5,Za!$F$40:$AQ$40,0),100),IFERROR(MATCH($A5,Za!$F$41:$AQ$41,0),100),IFERROR(MATCH($A5,Za!$F$42:$AQ$42,0),100),IFERROR(MATCH($A5,Za!$F$43:$AQ$43,0),100),IFERROR(MATCH($A5,Za!$F$44:$AQ$44,0),100),IFERROR(MATCH($A5,Za!$F$45:$AQ$45,0),100),IFERROR(MATCH($A5,Za!$F$46:$AQ$46,0),100),IFERROR(MATCH($A5,Za!$F$47:$AQ$47,0),100),IFERROR(MATCH($A5,Za!$F$48:$AQ$48,0),100),IFERROR(MATCH($A5,Za!$F$49:$AQ$49,0),100),IFERROR(MATCH($A5,Za!$F$50:$AQ$50,0),100),IFERROR(MATCH($A5,Za!$F$51:$AQ$51,0),100),IFERROR(MATCH($A5,Za!$F$52:$AQ$52,0),100),IFERROR(MATCH($A5,Za!$F$53:$AQ$53,0),100),IFERROR(MATCH($A5,Za!$F$54:$AQ$54,0),100),IFERROR(MATCH($A5,Za!$F$55:$AQ$55,0),100),IFERROR(MATCH($A5,Za!$F$56:$AQ$56,0),100),IFERROR(MATCH($A5,Za!$F$57:$AQ$57,0),100),IFERROR(MATCH($A5,Za!$F$58:$AQ$58,0),100),IFERROR(MATCH($A5,Za!$F$59:$AQ$59,0),100),IFERROR(MATCH($A5,Za!$F$60:$AQ$60,0),100),IFERROR(MATCH($A5,Za!$F$61:$AQ$61,0),100),IFERROR(MATCH($A5,Za!$F$62:$AQ$62,0),100),IFERROR(MATCH($A5,Za!$F$63:$AQ$63,0),100),39)</f>
        <v/>
      </c>
      <c r="N5" s="66">
        <f>IFERROR(IF(VLOOKUP(INDEX(Za!$B$12:$B$63,MATCH($A5,OFFSET( Za!$F$12:$F$63,0,(M5*48)-(IF(M5=7/24,9,IF(M5=12.5/24,9,IF(M5=14/24,9,IF(M5=15.5/24,9,10)))))),0),0),Za!$B$13:$C$63,2,FALSE)="TL","",INDEX(Za!$B$12:$B$63,MATCH($A5,OFFSET( Za!$F$12:$F$63,0,(M5*48)-(IF(M5=7/24,9,IF(M5=12.5/24,9,IF(M5=14/24,9,IF(M5=15.5/24,9,10)))))),0),0)),"")</f>
        <v/>
      </c>
      <c r="O5" s="857">
        <f>9/48+(1/48)*MIN(IFERROR(MATCH($A5,Zo!$F$13:$AQ$13,0),100),IFERROR(MATCH($A5,Zo!$F$14:$AQ$14,0),100),IFERROR(MATCH($A5,Zo!$F$15:$AQ$15,0),100),IFERROR(MATCH($A5,Zo!$F$16:$AQ$16,0),100),IFERROR(MATCH($A5,Zo!$F$17:$AQ$17,0),100),IFERROR(MATCH($A5,Zo!$F$18:$AQ$18,0),100),IFERROR(MATCH($A5,Zo!$F$19:$AQ$19,0),100),IFERROR(MATCH($A5,Zo!$F$20:$AQ$20,0),100),IFERROR(MATCH($A5,Zo!$F$21:$AQ$21,0),100),IFERROR(MATCH($A5,Zo!$F$22:$AQ$22,0),100),IFERROR(MATCH($A5,Zo!$F$23:$AQ$23,0),100),IFERROR(MATCH($A5,Zo!$F$24:$AQ$24,0),100),IFERROR(MATCH($A5,Zo!$F$25:$AQ$25,0),100),IFERROR(MATCH($A5,Zo!$F$26:$AQ$26,0),100),IFERROR(MATCH($A5,Zo!$F$27:$AQ$27,0),100),IFERROR(MATCH($A5,Zo!$F$28:$AQ$28,0),100),IFERROR(MATCH($A5,Zo!$F$29:$AQ$29,0),100),IFERROR(MATCH($A5,Zo!$F$30:$AQ$30,0),100),IFERROR(MATCH($A5,Zo!$F$31:$AQ$31,0),100),IFERROR(MATCH($A5,Zo!$F$32:$AQ$32,0),100),IFERROR(MATCH($A5,Zo!$F$33:$AQ$33,0),100),IFERROR(MATCH($A5,Zo!$F$34:$AQ$34,0),100),IFERROR(MATCH($A5,Zo!$F$35:$AQ$35,0),100),IFERROR(MATCH($A5,Zo!$F$36:$AQ$36,0),100),IFERROR(MATCH($A5,Zo!$F$37:$AQ$37,0),100),IFERROR(MATCH($A5,Zo!$F$38:$AQ$38,0),100),IFERROR(MATCH($A5,Zo!$F$39:$AQ$39,0),100),IFERROR(MATCH($A5,Zo!$F$40:$AQ$40,0),100),IFERROR(MATCH($A5,Zo!$F$41:$AQ$41,0),100),IFERROR(MATCH($A5,Zo!$F$42:$AQ$42,0),100),IFERROR(MATCH($A5,Zo!$F$43:$AQ$43,0),100),IFERROR(MATCH($A5,Zo!$F$44:$AQ$44,0),100),IFERROR(MATCH($A5,Zo!$F$45:$AQ$45,0),100),IFERROR(MATCH($A5,Zo!$F$46:$AQ$46,0),100),IFERROR(MATCH($A5,Zo!$F$47:$AQ$47,0),100),IFERROR(MATCH($A5,Zo!$F$48:$AQ$48,0),100),IFERROR(MATCH($A5,Zo!$F$49:$AQ$49,0),100),IFERROR(MATCH($A5,Zo!$F$50:$AQ$50,0),100),IFERROR(MATCH($A5,Zo!$F$51:$AQ$51,0),100),IFERROR(MATCH($A5,Zo!$F$52:$AQ$52,0),100),IFERROR(MATCH($A5,Zo!$F$53:$AQ$53,0),100),IFERROR(MATCH($A5,Zo!$F$54:$AQ$54,0),100),IFERROR(MATCH($A5,Zo!$F$55:$AQ$55,0),100),IFERROR(MATCH($A5,Zo!$F$56:$AQ$56,0),100),IFERROR(MATCH($A5,Zo!$F$57:$AQ$57,0),100),IFERROR(MATCH($A5,Zo!$F$58:$AQ$58,0),100),IFERROR(MATCH($A5,Zo!$F$59:$AQ$59,0),100),IFERROR(MATCH($A5,Zo!$F$60:$AQ$60,0),100),IFERROR(MATCH($A5,Zo!$F$61:$AQ$61,0),100),IFERROR(MATCH($A5,Zo!$F$62:$AQ$62,0),100),IFERROR(MATCH($A5,Zo!$F$63:$AQ$63,0),100),39)</f>
        <v/>
      </c>
      <c r="P5" s="66">
        <f>IFERROR(IF(VLOOKUP(INDEX(Zo!$B$12:$B$63,MATCH($A5,OFFSET( Zo!$F$12:$F$63,0,(O5*48)-(IF(O5=7/24,9,IF(O5=12.5/24,9,IF(O5=14/24,9,IF(O5=15.5/24,9,10)))))),0),0),Zo!$B$13:$C$63,2,FALSE)="TL","",INDEX(Zo!$B$12:$B$63,MATCH($A5,OFFSET( Zo!$F$12:$F$63,0,(O5*48)-(IF(O5=7/24,9,IF(O5=12.5/24,9,IF(O5=14/24,9,IF(O5=15.5/24,9,10)))))),0),0)),"")</f>
        <v/>
      </c>
    </row>
    <row r="6" ht="15" customHeight="1">
      <c r="A6" s="66" t="inlineStr">
        <is>
          <t>nd</t>
        </is>
      </c>
      <c r="B6" s="67">
        <f>A6</f>
        <v/>
      </c>
      <c r="C6" s="857">
        <f>9/48+(1/48)*MIN(IFERROR(MATCH($A6,Ma!$F$13:$AQ$13,0),100),IFERROR(MATCH($A6,Ma!$F$14:$AQ$14,0),100),IFERROR(MATCH($A6,Ma!$F$15:$AQ$15,0),100),IFERROR(MATCH($A6,Ma!$F$16:$AQ$16,0),100),IFERROR(MATCH($A6,Ma!$F$17:$AQ$17,0),100),IFERROR(MATCH($A6,Ma!$F$18:$AQ$18,0),100),IFERROR(MATCH($A6,Ma!$F$19:$AQ$19,0),100),IFERROR(MATCH($A6,Ma!$F$20:$AQ$20,0),100),IFERROR(MATCH($A6,Ma!$F$21:$AQ$21,0),100),IFERROR(MATCH($A6,Ma!$F$22:$AQ$22,0),100),IFERROR(MATCH($A6,Ma!$F$23:$AQ$23,0),100),IFERROR(MATCH($A6,Ma!$F$24:$AQ$24,0),100),IFERROR(MATCH($A6,Ma!$F$25:$AQ$25,0),100),IFERROR(MATCH($A6,Ma!$F$26:$AQ$26,0),100),IFERROR(MATCH($A6,Ma!$F$27:$AQ$27,0),100),IFERROR(MATCH($A6,Ma!$F$28:$AQ$28,0),100),IFERROR(MATCH($A6,Ma!$F$29:$AQ$29,0),100),IFERROR(MATCH($A6,Ma!$F$30:$AQ$30,0),100),IFERROR(MATCH($A6,Ma!$F$31:$AQ$31,0),100),IFERROR(MATCH($A6,Ma!$F$32:$AQ$32,0),100),IFERROR(MATCH($A6,Ma!$F$33:$AQ$33,0),100),IFERROR(MATCH($A6,Ma!$F$34:$AQ$34,0),100),IFERROR(MATCH($A6,Ma!$F$35:$AQ$35,0),100),IFERROR(MATCH($A6,Ma!$F$36:$AQ$36,0),100),IFERROR(MATCH($A6,Ma!$F$37:$AQ$37,0),100),IFERROR(MATCH($A6,Ma!$F$38:$AQ$38,0),100),IFERROR(MATCH($A6,Ma!$F$39:$AQ$39,0),100),IFERROR(MATCH($A6,Ma!$F$40:$AQ$40,0),100),IFERROR(MATCH($A6,Ma!$F$41:$AQ$41,0),100),IFERROR(MATCH($A6,Ma!$F$42:$AQ$42,0),100),IFERROR(MATCH($A6,Ma!$F$43:$AQ$43,0),100),IFERROR(MATCH($A6,Ma!$F$44:$AQ$44,0),100),IFERROR(MATCH($A6,Ma!$F$45:$AQ$45,0),100),IFERROR(MATCH($A6,Ma!$F$46:$AQ$46,0),100),IFERROR(MATCH($A6,Ma!$F$47:$AQ$47,0),100),IFERROR(MATCH($A6,Ma!$F$48:$AQ$48,0),100),IFERROR(MATCH($A6,Ma!$F$49:$AQ$49,0),100),IFERROR(MATCH($A6,Ma!$F$50:$AQ$50,0),100),IFERROR(MATCH($A6,Ma!$F$51:$AQ$51,0),100),IFERROR(MATCH($A6,Ma!$F$52:$AQ$52,0),100),IFERROR(MATCH($A6,Ma!$F$53:$AQ$53,0),100),IFERROR(MATCH($A6,Ma!$F$54:$AQ$54,0),100),IFERROR(MATCH($A6,Ma!$F$55:$AQ$55,0),100),IFERROR(MATCH($A6,Ma!$F$56:$AQ$56,0),100),IFERROR(MATCH($A6,Ma!$F$57:$AQ$57,0),100),IFERROR(MATCH($A6,Ma!$F$58:$AQ$58,0),100),IFERROR(MATCH($A6,Ma!$F$59:$AQ$59,0),100),IFERROR(MATCH($A6,Ma!$F$60:$AQ$60,0),100),IFERROR(MATCH($A6,Ma!$F$61:$AQ$61,0),100),IFERROR(MATCH($A6,Ma!$F$62:$AQ$62,0),100),IFERROR(MATCH($A6,Ma!$F$63:$AQ$63,0),100),39)</f>
        <v/>
      </c>
      <c r="D6" s="66">
        <f>IFERROR(IF(VLOOKUP(INDEX(Ma!$B$12:$B$63,MATCH($A6,OFFSET( Ma!$F$12:$F$63,0,(C6*48)-(IF(C6=7/24,9,IF(C6=12.5/24,9,IF(C6=14/24,9,IF(C6=15.5/24,9,10)))))),0),0),Ma!$B$13:$C$63,2,FALSE)="TL","",INDEX(Ma!$B$12:$B$63,MATCH($A6,OFFSET( Ma!$F$12:$F$63,0,(C6*48)-(IF(C6=7/24,9,IF(C6=12.5/24,9,IF(C6=14/24,9,IF(C6=15.5/24,9,10)))))),0),0)),"")</f>
        <v/>
      </c>
      <c r="E6" s="857">
        <f>9/48+(1/48)*MIN(IFERROR(MATCH($A6,Di!$F$13:$AQ$13,0),100),IFERROR(MATCH($A6,Di!$F$14:$AQ$14,0),100),IFERROR(MATCH($A6,Di!$F$15:$AQ$15,0),100),IFERROR(MATCH($A6,Di!$F$16:$AQ$16,0),100),IFERROR(MATCH($A6,Di!$F$17:$AQ$17,0),100),IFERROR(MATCH($A6,Di!$F$18:$AQ$18,0),100),IFERROR(MATCH($A6,Di!$F$19:$AQ$19,0),100),IFERROR(MATCH($A6,Di!$F$20:$AQ$20,0),100),IFERROR(MATCH($A6,Di!$F$21:$AQ$21,0),100),IFERROR(MATCH($A6,Di!$F$22:$AQ$22,0),100),IFERROR(MATCH($A6,Di!$F$23:$AQ$23,0),100),IFERROR(MATCH($A6,Di!$F$24:$AQ$24,0),100),IFERROR(MATCH($A6,Di!$F$25:$AQ$25,0),100),IFERROR(MATCH($A6,Di!$F$26:$AQ$26,0),100),IFERROR(MATCH($A6,Di!$F$27:$AQ$27,0),100),IFERROR(MATCH($A6,Di!$F$28:$AQ$28,0),100),IFERROR(MATCH($A6,Di!$F$29:$AQ$29,0),100),IFERROR(MATCH($A6,Di!$F$30:$AQ$30,0),100),IFERROR(MATCH($A6,Di!$F$31:$AQ$31,0),100),IFERROR(MATCH($A6,Di!$F$32:$AQ$32,0),100),IFERROR(MATCH($A6,Di!$F$33:$AQ$33,0),100),IFERROR(MATCH($A6,Di!$F$34:$AQ$34,0),100),IFERROR(MATCH($A6,Di!$F$35:$AQ$35,0),100),IFERROR(MATCH($A6,Di!$F$36:$AQ$36,0),100),IFERROR(MATCH($A6,Di!$F$37:$AQ$37,0),100),IFERROR(MATCH($A6,Di!$F$38:$AQ$38,0),100),IFERROR(MATCH($A6,Di!$F$39:$AQ$39,0),100),IFERROR(MATCH($A6,Di!$F$40:$AQ$40,0),100),IFERROR(MATCH($A6,Di!$F$41:$AQ$41,0),100),IFERROR(MATCH($A6,Di!$F$42:$AQ$42,0),100),IFERROR(MATCH($A6,Di!$F$43:$AQ$43,0),100),IFERROR(MATCH($A6,Di!$F$44:$AQ$44,0),100),IFERROR(MATCH($A6,Di!$F$45:$AQ$45,0),100),IFERROR(MATCH($A6,Di!$F$46:$AQ$46,0),100),IFERROR(MATCH($A6,Di!$F$47:$AQ$47,0),100),IFERROR(MATCH($A6,Di!$F$48:$AQ$48,0),100),IFERROR(MATCH($A6,Di!$F$49:$AQ$49,0),100),IFERROR(MATCH($A6,Di!$F$50:$AQ$50,0),100),IFERROR(MATCH($A6,Di!$F$51:$AQ$51,0),100),IFERROR(MATCH($A6,Di!$F$52:$AQ$52,0),100),IFERROR(MATCH($A6,Di!$F$53:$AQ$53,0),100),IFERROR(MATCH($A6,Di!$F$54:$AQ$54,0),100),IFERROR(MATCH($A6,Di!$F$55:$AQ$55,0),100),IFERROR(MATCH($A6,Di!$F$56:$AQ$56,0),100),IFERROR(MATCH($A6,Di!$F$57:$AQ$57,0),100),IFERROR(MATCH($A6,Di!$F$58:$AQ$58,0),100),IFERROR(MATCH($A6,Di!$F$59:$AQ$59,0),100),IFERROR(MATCH($A6,Di!$F$60:$AQ$60,0),100),IFERROR(MATCH($A6,Di!$F$61:$AQ$61,0),100),IFERROR(MATCH($A6,Di!$F$62:$AQ$62,0),100),IFERROR(MATCH($A6,Di!$F$63:$AQ$63,0),100),39)</f>
        <v/>
      </c>
      <c r="F6" s="66">
        <f>IFERROR(IF(VLOOKUP(INDEX(Di!$B$12:$B$63,MATCH($A6,OFFSET( Di!$F$12:$F$63,0,(E6*48)-(IF(E6=7/24,9,IF(E6=12.5/24,9,IF(E6=14/24,9,IF(E6=15.5/24,9,10)))))),0),0),Di!$B$13:$C$63,2,FALSE)="TL","",INDEX(Di!$B$12:$B$63,MATCH($A6,OFFSET( Di!$F$12:$F$63,0,(E6*48)-(IF(E6=7/24,9,IF(E6=12.5/24,9,IF(E6=14/24,9,IF(E6=15.5/24,9,10)))))),0),0)),"")</f>
        <v/>
      </c>
      <c r="G6" s="857">
        <f>9/48+(1/48)*MIN(IFERROR(MATCH($A6,Wo!$F$13:$AQ$13,0),100),IFERROR(MATCH($A6,Wo!$F$14:$AQ$14,0),100),IFERROR(MATCH($A6,Wo!$F$15:$AQ$15,0),100),IFERROR(MATCH($A6,Wo!$F$16:$AQ$16,0),100),IFERROR(MATCH($A6,Wo!$F$17:$AQ$17,0),100),IFERROR(MATCH($A6,Wo!$F$18:$AQ$18,0),100),IFERROR(MATCH($A6,Wo!$F$19:$AQ$19,0),100),IFERROR(MATCH($A6,Wo!$F$20:$AQ$20,0),100),IFERROR(MATCH($A6,Wo!$F$21:$AQ$21,0),100),IFERROR(MATCH($A6,Wo!$F$22:$AQ$22,0),100),IFERROR(MATCH($A6,Wo!$F$23:$AQ$23,0),100),IFERROR(MATCH($A6,Wo!$F$24:$AQ$24,0),100),IFERROR(MATCH($A6,Wo!$F$25:$AQ$25,0),100),IFERROR(MATCH($A6,Wo!$F$26:$AQ$26,0),100),IFERROR(MATCH($A6,Wo!$F$27:$AQ$27,0),100),IFERROR(MATCH($A6,Wo!$F$28:$AQ$28,0),100),IFERROR(MATCH($A6,Wo!$F$29:$AQ$29,0),100),IFERROR(MATCH($A6,Wo!$F$30:$AQ$30,0),100),IFERROR(MATCH($A6,Wo!$F$31:$AQ$31,0),100),IFERROR(MATCH($A6,Wo!$F$32:$AQ$32,0),100),IFERROR(MATCH($A6,Wo!$F$33:$AQ$33,0),100),IFERROR(MATCH($A6,Wo!$F$34:$AQ$34,0),100),IFERROR(MATCH($A6,Wo!$F$35:$AQ$35,0),100),IFERROR(MATCH($A6,Wo!$F$36:$AQ$36,0),100),IFERROR(MATCH($A6,Wo!$F$37:$AQ$37,0),100),IFERROR(MATCH($A6,Wo!$F$38:$AQ$38,0),100),IFERROR(MATCH($A6,Wo!$F$39:$AQ$39,0),100),IFERROR(MATCH($A6,Wo!$F$40:$AQ$40,0),100),IFERROR(MATCH($A6,Wo!$F$41:$AQ$41,0),100),IFERROR(MATCH($A6,Wo!$F$42:$AQ$42,0),100),IFERROR(MATCH($A6,Wo!$F$43:$AQ$43,0),100),IFERROR(MATCH($A6,Wo!$F$44:$AQ$44,0),100),IFERROR(MATCH($A6,Wo!$F$45:$AQ$45,0),100),IFERROR(MATCH($A6,Wo!$F$46:$AQ$46,0),100),IFERROR(MATCH($A6,Wo!$F$47:$AQ$47,0),100),IFERROR(MATCH($A6,Wo!$F$48:$AQ$48,0),100),IFERROR(MATCH($A6,Wo!$F$49:$AQ$49,0),100),IFERROR(MATCH($A6,Wo!$F$50:$AQ$50,0),100),IFERROR(MATCH($A6,Wo!$F$51:$AQ$51,0),100),IFERROR(MATCH($A6,Wo!$F$52:$AQ$52,0),100),IFERROR(MATCH($A6,Wo!$F$53:$AQ$53,0),100),IFERROR(MATCH($A6,Wo!$F$54:$AQ$54,0),100),IFERROR(MATCH($A6,Wo!$F$55:$AQ$55,0),100),IFERROR(MATCH($A6,Wo!$F$56:$AQ$56,0),100),IFERROR(MATCH($A6,Wo!$F$57:$AQ$57,0),100),IFERROR(MATCH($A6,Wo!$F$58:$AQ$58,0),100),IFERROR(MATCH($A6,Wo!$F$59:$AQ$59,0),100),IFERROR(MATCH($A6,Wo!$F$60:$AQ$60,0),100),IFERROR(MATCH($A6,Wo!$F$61:$AQ$61,0),100),IFERROR(MATCH($A6,Wo!$F$62:$AQ$62,0),100),IFERROR(MATCH($A6,Wo!$F$63:$AQ$63,0),100),39)</f>
        <v/>
      </c>
      <c r="H6" s="66">
        <f>IFERROR(IF(VLOOKUP(INDEX(Wo!$B$12:$B$63,MATCH($A6,OFFSET( Wo!$F$12:$F$63,0,(G6*48)-(IF(G6=7/24,9,IF(G6=12.5/24,9,IF(G6=14/24,9,IF(G6=15.5/24,9,10)))))),0),0),Wo!$B$13:$C$63,2,FALSE)="TL","",INDEX(Wo!$B$12:$B$63,MATCH($A6,OFFSET( Wo!$F$12:$F$63,0,(G6*48)-(IF(G6=7/24,9,IF(G6=12.5/24,9,IF(G6=14/24,9,IF(G6=15.5/24,9,10)))))),0),0)),"")</f>
        <v/>
      </c>
      <c r="I6" s="857">
        <f>9/48+(1/48)*MIN(IFERROR(MATCH($A6,Do!$F$13:$AQ$13,0),100),IFERROR(MATCH($A6,Do!$F$14:$AQ$14,0),100),IFERROR(MATCH($A6,Do!$F$15:$AQ$15,0),100),IFERROR(MATCH($A6,Do!$F$16:$AQ$16,0),100),IFERROR(MATCH($A6,Do!$F$17:$AQ$17,0),100),IFERROR(MATCH($A6,Do!$F$18:$AQ$18,0),100),IFERROR(MATCH($A6,Do!$F$19:$AQ$19,0),100),IFERROR(MATCH($A6,Do!$F$20:$AQ$20,0),100),IFERROR(MATCH($A6,Do!$F$21:$AQ$21,0),100),IFERROR(MATCH($A6,Do!$F$22:$AQ$22,0),100),IFERROR(MATCH($A6,Do!$F$23:$AQ$23,0),100),IFERROR(MATCH($A6,Do!$F$24:$AQ$24,0),100),IFERROR(MATCH($A6,Do!$F$25:$AQ$25,0),100),IFERROR(MATCH($A6,Do!$F$26:$AQ$26,0),100),IFERROR(MATCH($A6,Do!$F$27:$AQ$27,0),100),IFERROR(MATCH($A6,Do!$F$28:$AQ$28,0),100),IFERROR(MATCH($A6,Do!$F$29:$AQ$29,0),100),IFERROR(MATCH($A6,Do!$F$30:$AQ$30,0),100),IFERROR(MATCH($A6,Do!$F$31:$AQ$31,0),100),IFERROR(MATCH($A6,Do!$F$32:$AQ$32,0),100),IFERROR(MATCH($A6,Do!$F$33:$AQ$33,0),100),IFERROR(MATCH($A6,Do!$F$34:$AQ$34,0),100),IFERROR(MATCH($A6,Do!$F$35:$AQ$35,0),100),IFERROR(MATCH($A6,Do!$F$36:$AQ$36,0),100),IFERROR(MATCH($A6,Do!$F$37:$AQ$37,0),100),IFERROR(MATCH($A6,Do!$F$38:$AQ$38,0),100),IFERROR(MATCH($A6,Do!$F$39:$AQ$39,0),100),IFERROR(MATCH($A6,Do!$F$40:$AQ$40,0),100),IFERROR(MATCH($A6,Do!$F$41:$AQ$41,0),100),IFERROR(MATCH($A6,Do!$F$42:$AQ$42,0),100),IFERROR(MATCH($A6,Do!$F$43:$AQ$43,0),100),IFERROR(MATCH($A6,Do!$F$44:$AQ$44,0),100),IFERROR(MATCH($A6,Do!$F$45:$AQ$45,0),100),IFERROR(MATCH($A6,Do!$F$46:$AQ$46,0),100),IFERROR(MATCH($A6,Do!$F$47:$AQ$47,0),100),IFERROR(MATCH($A6,Do!$F$48:$AQ$48,0),100),IFERROR(MATCH($A6,Do!$F$49:$AQ$49,0),100),IFERROR(MATCH($A6,Do!$F$50:$AQ$50,0),100),IFERROR(MATCH($A6,Do!$F$51:$AQ$51,0),100),IFERROR(MATCH($A6,Do!$F$52:$AQ$52,0),100),IFERROR(MATCH($A6,Do!$F$53:$AQ$53,0),100),IFERROR(MATCH($A6,Do!$F$54:$AQ$54,0),100),IFERROR(MATCH($A6,Do!$F$55:$AQ$55,0),100),IFERROR(MATCH($A6,Do!$F$56:$AQ$56,0),100),IFERROR(MATCH($A6,Do!$F$57:$AQ$57,0),100),IFERROR(MATCH($A6,Do!$F$58:$AQ$58,0),100),IFERROR(MATCH($A6,Do!$F$59:$AQ$59,0),100),IFERROR(MATCH($A6,Do!$F$60:$AQ$60,0),100),IFERROR(MATCH($A6,Do!$F$61:$AQ$61,0),100),IFERROR(MATCH($A6,Do!$F$62:$AQ$62,0),100),IFERROR(MATCH($A6,Do!$F$63:$AQ$63,0),100),39)</f>
        <v/>
      </c>
      <c r="J6" s="66">
        <f>IFERROR(IF(VLOOKUP(INDEX(Do!$B$12:$B$63,MATCH($A6,OFFSET( Do!$F$12:$F$63,0,(I6*48)-(IF(I6=7/24,9,IF(I6=12.5/24,9,IF(I6=14/24,9,IF(I6=15.5/24,9,10)))))),0),0),Do!$B$13:$C$63,2,FALSE)="TL","",INDEX(Do!$B$12:$B$63,MATCH($A6,OFFSET( Do!$F$12:$F$63,0,(I6*48)-(IF(I6=7/24,9,IF(I6=12.5/24,9,IF(I6=14/24,9,IF(I6=15.5/24,9,10)))))),0),0)),"")</f>
        <v/>
      </c>
      <c r="K6" s="857">
        <f>9/48+(1/48)*MIN(IFERROR(MATCH($A6,Vr!$F$13:$AQ$13,0),100),IFERROR(MATCH($A6,Vr!$F$14:$AQ$14,0),100),IFERROR(MATCH($A6,Vr!$F$15:$AQ$15,0),100),IFERROR(MATCH($A6,Vr!$F$16:$AQ$16,0),100),IFERROR(MATCH($A6,Vr!$F$17:$AQ$17,0),100),IFERROR(MATCH($A6,Vr!$F$18:$AQ$18,0),100),IFERROR(MATCH($A6,Vr!$F$19:$AQ$19,0),100),IFERROR(MATCH($A6,Vr!$F$20:$AQ$20,0),100),IFERROR(MATCH($A6,Vr!$F$21:$AQ$21,0),100),IFERROR(MATCH($A6,Vr!$F$22:$AQ$22,0),100),IFERROR(MATCH($A6,Vr!$F$23:$AQ$23,0),100),IFERROR(MATCH($A6,Vr!$F$24:$AQ$24,0),100),IFERROR(MATCH($A6,Vr!$F$25:$AQ$25,0),100),IFERROR(MATCH($A6,Vr!$F$26:$AQ$26,0),100),IFERROR(MATCH($A6,Vr!$F$27:$AQ$27,0),100),IFERROR(MATCH($A6,Vr!$F$28:$AQ$28,0),100),IFERROR(MATCH($A6,Vr!$F$29:$AQ$29,0),100),IFERROR(MATCH($A6,Vr!$F$30:$AQ$30,0),100),IFERROR(MATCH($A6,Vr!$F$31:$AQ$31,0),100),IFERROR(MATCH($A6,Vr!$F$32:$AQ$32,0),100),IFERROR(MATCH($A6,Vr!$F$33:$AQ$33,0),100),IFERROR(MATCH($A6,Vr!$F$34:$AQ$34,0),100),IFERROR(MATCH($A6,Vr!$F$35:$AQ$35,0),100),IFERROR(MATCH($A6,Vr!$F$36:$AQ$36,0),100),IFERROR(MATCH($A6,Vr!$F$37:$AQ$37,0),100),IFERROR(MATCH($A6,Vr!$F$38:$AQ$38,0),100),IFERROR(MATCH($A6,Vr!$F$39:$AQ$39,0),100),IFERROR(MATCH($A6,Vr!$F$40:$AQ$40,0),100),IFERROR(MATCH($A6,Vr!$F$41:$AQ$41,0),100),IFERROR(MATCH($A6,Vr!$F$42:$AQ$42,0),100),IFERROR(MATCH($A6,Vr!$F$43:$AQ$43,0),100),IFERROR(MATCH($A6,Vr!$F$44:$AQ$44,0),100),IFERROR(MATCH($A6,Vr!$F$45:$AQ$45,0),100),IFERROR(MATCH($A6,Vr!$F$46:$AQ$46,0),100),IFERROR(MATCH($A6,Vr!$F$47:$AQ$47,0),100),IFERROR(MATCH($A6,Vr!$F$48:$AQ$48,0),100),IFERROR(MATCH($A6,Vr!$F$49:$AQ$49,0),100),IFERROR(MATCH($A6,Vr!$F$50:$AQ$50,0),100),IFERROR(MATCH($A6,Vr!$F$51:$AQ$51,0),100),IFERROR(MATCH($A6,Vr!$F$52:$AQ$52,0),100),IFERROR(MATCH($A6,Vr!$F$53:$AQ$53,0),100),IFERROR(MATCH($A6,Vr!$F$54:$AQ$54,0),100),IFERROR(MATCH($A6,Vr!$F$55:$AQ$55,0),100),IFERROR(MATCH($A6,Vr!$F$56:$AQ$56,0),100),IFERROR(MATCH($A6,Vr!$F$57:$AQ$57,0),100),IFERROR(MATCH($A6,Vr!$F$58:$AQ$58,0),100),IFERROR(MATCH($A6,Vr!$F$59:$AQ$59,0),100),IFERROR(MATCH($A6,Vr!$F$60:$AQ$60,0),100),IFERROR(MATCH($A6,Vr!$F$61:$AQ$61,0),100),IFERROR(MATCH($A6,Vr!$F$62:$AQ$62,0),100),IFERROR(MATCH($A6,Vr!$F$63:$AQ$63,0),100),39)</f>
        <v/>
      </c>
      <c r="L6" s="66">
        <f>IFERROR(IF(VLOOKUP(INDEX(Vr!$B$12:$B$63,MATCH($A6,OFFSET( Vr!$F$12:$F$63,0,(K6*48)-(IF(K6=7/24,9,IF(K6=12.5/24,9,IF(K6=14/24,9,IF(K6=15.5/24,9,10)))))),0),0),Vr!$B$13:$C$63,2,FALSE)="TL","",INDEX(Vr!$B$12:$B$63,MATCH($A6,OFFSET( Vr!$F$12:$F$63,0,(K6*48)-(IF(K6=7/24,9,IF(K6=12.5/24,9,IF(K6=14/24,9,IF(K6=15.5/24,9,10)))))),0),0)),"")</f>
        <v/>
      </c>
      <c r="M6" s="857">
        <f>9/48+(1/48)*MIN(IFERROR(MATCH($A6,Za!$F$13:$AQ$13,0),100),IFERROR(MATCH($A6,Za!$F$14:$AQ$14,0),100),IFERROR(MATCH($A6,Za!$F$15:$AQ$15,0),100),IFERROR(MATCH($A6,Za!$F$16:$AQ$16,0),100),IFERROR(MATCH($A6,Za!$F$17:$AQ$17,0),100),IFERROR(MATCH($A6,Za!$F$18:$AQ$18,0),100),IFERROR(MATCH($A6,Za!$F$19:$AQ$19,0),100),IFERROR(MATCH($A6,Za!$F$20:$AQ$20,0),100),IFERROR(MATCH($A6,Za!$F$21:$AQ$21,0),100),IFERROR(MATCH($A6,Za!$F$22:$AQ$22,0),100),IFERROR(MATCH($A6,Za!$F$23:$AQ$23,0),100),IFERROR(MATCH($A6,Za!$F$24:$AQ$24,0),100),IFERROR(MATCH($A6,Za!$F$25:$AQ$25,0),100),IFERROR(MATCH($A6,Za!$F$26:$AQ$26,0),100),IFERROR(MATCH($A6,Za!$F$27:$AQ$27,0),100),IFERROR(MATCH($A6,Za!$F$28:$AQ$28,0),100),IFERROR(MATCH($A6,Za!$F$29:$AQ$29,0),100),IFERROR(MATCH($A6,Za!$F$30:$AQ$30,0),100),IFERROR(MATCH($A6,Za!$F$31:$AQ$31,0),100),IFERROR(MATCH($A6,Za!$F$32:$AQ$32,0),100),IFERROR(MATCH($A6,Za!$F$33:$AQ$33,0),100),IFERROR(MATCH($A6,Za!$F$34:$AQ$34,0),100),IFERROR(MATCH($A6,Za!$F$35:$AQ$35,0),100),IFERROR(MATCH($A6,Za!$F$36:$AQ$36,0),100),IFERROR(MATCH($A6,Za!$F$37:$AQ$37,0),100),IFERROR(MATCH($A6,Za!$F$38:$AQ$38,0),100),IFERROR(MATCH($A6,Za!$F$39:$AQ$39,0),100),IFERROR(MATCH($A6,Za!$F$40:$AQ$40,0),100),IFERROR(MATCH($A6,Za!$F$41:$AQ$41,0),100),IFERROR(MATCH($A6,Za!$F$42:$AQ$42,0),100),IFERROR(MATCH($A6,Za!$F$43:$AQ$43,0),100),IFERROR(MATCH($A6,Za!$F$44:$AQ$44,0),100),IFERROR(MATCH($A6,Za!$F$45:$AQ$45,0),100),IFERROR(MATCH($A6,Za!$F$46:$AQ$46,0),100),IFERROR(MATCH($A6,Za!$F$47:$AQ$47,0),100),IFERROR(MATCH($A6,Za!$F$48:$AQ$48,0),100),IFERROR(MATCH($A6,Za!$F$49:$AQ$49,0),100),IFERROR(MATCH($A6,Za!$F$50:$AQ$50,0),100),IFERROR(MATCH($A6,Za!$F$51:$AQ$51,0),100),IFERROR(MATCH($A6,Za!$F$52:$AQ$52,0),100),IFERROR(MATCH($A6,Za!$F$53:$AQ$53,0),100),IFERROR(MATCH($A6,Za!$F$54:$AQ$54,0),100),IFERROR(MATCH($A6,Za!$F$55:$AQ$55,0),100),IFERROR(MATCH($A6,Za!$F$56:$AQ$56,0),100),IFERROR(MATCH($A6,Za!$F$57:$AQ$57,0),100),IFERROR(MATCH($A6,Za!$F$58:$AQ$58,0),100),IFERROR(MATCH($A6,Za!$F$59:$AQ$59,0),100),IFERROR(MATCH($A6,Za!$F$60:$AQ$60,0),100),IFERROR(MATCH($A6,Za!$F$61:$AQ$61,0),100),IFERROR(MATCH($A6,Za!$F$62:$AQ$62,0),100),IFERROR(MATCH($A6,Za!$F$63:$AQ$63,0),100),39)</f>
        <v/>
      </c>
      <c r="N6" s="66">
        <f>IFERROR(IF(VLOOKUP(INDEX(Za!$B$12:$B$63,MATCH($A6,OFFSET( Za!$F$12:$F$63,0,(M6*48)-(IF(M6=7/24,9,IF(M6=12.5/24,9,IF(M6=14/24,9,IF(M6=15.5/24,9,10)))))),0),0),Za!$B$13:$C$63,2,FALSE)="TL","",INDEX(Za!$B$12:$B$63,MATCH($A6,OFFSET( Za!$F$12:$F$63,0,(M6*48)-(IF(M6=7/24,9,IF(M6=12.5/24,9,IF(M6=14/24,9,IF(M6=15.5/24,9,10)))))),0),0)),"")</f>
        <v/>
      </c>
      <c r="O6" s="857">
        <f>9/48+(1/48)*MIN(IFERROR(MATCH($A6,Zo!$F$13:$AQ$13,0),100),IFERROR(MATCH($A6,Zo!$F$14:$AQ$14,0),100),IFERROR(MATCH($A6,Zo!$F$15:$AQ$15,0),100),IFERROR(MATCH($A6,Zo!$F$16:$AQ$16,0),100),IFERROR(MATCH($A6,Zo!$F$17:$AQ$17,0),100),IFERROR(MATCH($A6,Zo!$F$18:$AQ$18,0),100),IFERROR(MATCH($A6,Zo!$F$19:$AQ$19,0),100),IFERROR(MATCH($A6,Zo!$F$20:$AQ$20,0),100),IFERROR(MATCH($A6,Zo!$F$21:$AQ$21,0),100),IFERROR(MATCH($A6,Zo!$F$22:$AQ$22,0),100),IFERROR(MATCH($A6,Zo!$F$23:$AQ$23,0),100),IFERROR(MATCH($A6,Zo!$F$24:$AQ$24,0),100),IFERROR(MATCH($A6,Zo!$F$25:$AQ$25,0),100),IFERROR(MATCH($A6,Zo!$F$26:$AQ$26,0),100),IFERROR(MATCH($A6,Zo!$F$27:$AQ$27,0),100),IFERROR(MATCH($A6,Zo!$F$28:$AQ$28,0),100),IFERROR(MATCH($A6,Zo!$F$29:$AQ$29,0),100),IFERROR(MATCH($A6,Zo!$F$30:$AQ$30,0),100),IFERROR(MATCH($A6,Zo!$F$31:$AQ$31,0),100),IFERROR(MATCH($A6,Zo!$F$32:$AQ$32,0),100),IFERROR(MATCH($A6,Zo!$F$33:$AQ$33,0),100),IFERROR(MATCH($A6,Zo!$F$34:$AQ$34,0),100),IFERROR(MATCH($A6,Zo!$F$35:$AQ$35,0),100),IFERROR(MATCH($A6,Zo!$F$36:$AQ$36,0),100),IFERROR(MATCH($A6,Zo!$F$37:$AQ$37,0),100),IFERROR(MATCH($A6,Zo!$F$38:$AQ$38,0),100),IFERROR(MATCH($A6,Zo!$F$39:$AQ$39,0),100),IFERROR(MATCH($A6,Zo!$F$40:$AQ$40,0),100),IFERROR(MATCH($A6,Zo!$F$41:$AQ$41,0),100),IFERROR(MATCH($A6,Zo!$F$42:$AQ$42,0),100),IFERROR(MATCH($A6,Zo!$F$43:$AQ$43,0),100),IFERROR(MATCH($A6,Zo!$F$44:$AQ$44,0),100),IFERROR(MATCH($A6,Zo!$F$45:$AQ$45,0),100),IFERROR(MATCH($A6,Zo!$F$46:$AQ$46,0),100),IFERROR(MATCH($A6,Zo!$F$47:$AQ$47,0),100),IFERROR(MATCH($A6,Zo!$F$48:$AQ$48,0),100),IFERROR(MATCH($A6,Zo!$F$49:$AQ$49,0),100),IFERROR(MATCH($A6,Zo!$F$50:$AQ$50,0),100),IFERROR(MATCH($A6,Zo!$F$51:$AQ$51,0),100),IFERROR(MATCH($A6,Zo!$F$52:$AQ$52,0),100),IFERROR(MATCH($A6,Zo!$F$53:$AQ$53,0),100),IFERROR(MATCH($A6,Zo!$F$54:$AQ$54,0),100),IFERROR(MATCH($A6,Zo!$F$55:$AQ$55,0),100),IFERROR(MATCH($A6,Zo!$F$56:$AQ$56,0),100),IFERROR(MATCH($A6,Zo!$F$57:$AQ$57,0),100),IFERROR(MATCH($A6,Zo!$F$58:$AQ$58,0),100),IFERROR(MATCH($A6,Zo!$F$59:$AQ$59,0),100),IFERROR(MATCH($A6,Zo!$F$60:$AQ$60,0),100),IFERROR(MATCH($A6,Zo!$F$61:$AQ$61,0),100),IFERROR(MATCH($A6,Zo!$F$62:$AQ$62,0),100),IFERROR(MATCH($A6,Zo!$F$63:$AQ$63,0),100),39)</f>
        <v/>
      </c>
      <c r="P6" s="66">
        <f>IFERROR(IF(VLOOKUP(INDEX(Zo!$B$12:$B$63,MATCH($A6,OFFSET( Zo!$F$12:$F$63,0,(O6*48)-(IF(O6=7/24,9,IF(O6=12.5/24,9,IF(O6=14/24,9,IF(O6=15.5/24,9,10)))))),0),0),Zo!$B$13:$C$63,2,FALSE)="TL","",INDEX(Zo!$B$12:$B$63,MATCH($A6,OFFSET( Zo!$F$12:$F$63,0,(O6*48)-(IF(O6=7/24,9,IF(O6=12.5/24,9,IF(O6=14/24,9,IF(O6=15.5/24,9,10)))))),0),0)),"")</f>
        <v/>
      </c>
    </row>
    <row r="7" ht="15" customHeight="1">
      <c r="A7" s="66" t="inlineStr">
        <is>
          <t>nv</t>
        </is>
      </c>
      <c r="B7" s="67">
        <f>A7</f>
        <v/>
      </c>
      <c r="C7" s="857">
        <f>9/48+(1/48)*MIN(IFERROR(MATCH($A7,Ma!$F$13:$AQ$13,0),100),IFERROR(MATCH($A7,Ma!$F$14:$AQ$14,0),100),IFERROR(MATCH($A7,Ma!$F$15:$AQ$15,0),100),IFERROR(MATCH($A7,Ma!$F$16:$AQ$16,0),100),IFERROR(MATCH($A7,Ma!$F$17:$AQ$17,0),100),IFERROR(MATCH($A7,Ma!$F$18:$AQ$18,0),100),IFERROR(MATCH($A7,Ma!$F$19:$AQ$19,0),100),IFERROR(MATCH($A7,Ma!$F$20:$AQ$20,0),100),IFERROR(MATCH($A7,Ma!$F$21:$AQ$21,0),100),IFERROR(MATCH($A7,Ma!$F$22:$AQ$22,0),100),IFERROR(MATCH($A7,Ma!$F$23:$AQ$23,0),100),IFERROR(MATCH($A7,Ma!$F$24:$AQ$24,0),100),IFERROR(MATCH($A7,Ma!$F$25:$AQ$25,0),100),IFERROR(MATCH($A7,Ma!$F$26:$AQ$26,0),100),IFERROR(MATCH($A7,Ma!$F$27:$AQ$27,0),100),IFERROR(MATCH($A7,Ma!$F$28:$AQ$28,0),100),IFERROR(MATCH($A7,Ma!$F$29:$AQ$29,0),100),IFERROR(MATCH($A7,Ma!$F$30:$AQ$30,0),100),IFERROR(MATCH($A7,Ma!$F$31:$AQ$31,0),100),IFERROR(MATCH($A7,Ma!$F$32:$AQ$32,0),100),IFERROR(MATCH($A7,Ma!$F$33:$AQ$33,0),100),IFERROR(MATCH($A7,Ma!$F$34:$AQ$34,0),100),IFERROR(MATCH($A7,Ma!$F$35:$AQ$35,0),100),IFERROR(MATCH($A7,Ma!$F$36:$AQ$36,0),100),IFERROR(MATCH($A7,Ma!$F$37:$AQ$37,0),100),IFERROR(MATCH($A7,Ma!$F$38:$AQ$38,0),100),IFERROR(MATCH($A7,Ma!$F$39:$AQ$39,0),100),IFERROR(MATCH($A7,Ma!$F$40:$AQ$40,0),100),IFERROR(MATCH($A7,Ma!$F$41:$AQ$41,0),100),IFERROR(MATCH($A7,Ma!$F$42:$AQ$42,0),100),IFERROR(MATCH($A7,Ma!$F$43:$AQ$43,0),100),IFERROR(MATCH($A7,Ma!$F$44:$AQ$44,0),100),IFERROR(MATCH($A7,Ma!$F$45:$AQ$45,0),100),IFERROR(MATCH($A7,Ma!$F$46:$AQ$46,0),100),IFERROR(MATCH($A7,Ma!$F$47:$AQ$47,0),100),IFERROR(MATCH($A7,Ma!$F$48:$AQ$48,0),100),IFERROR(MATCH($A7,Ma!$F$49:$AQ$49,0),100),IFERROR(MATCH($A7,Ma!$F$50:$AQ$50,0),100),IFERROR(MATCH($A7,Ma!$F$51:$AQ$51,0),100),IFERROR(MATCH($A7,Ma!$F$52:$AQ$52,0),100),IFERROR(MATCH($A7,Ma!$F$53:$AQ$53,0),100),IFERROR(MATCH($A7,Ma!$F$54:$AQ$54,0),100),IFERROR(MATCH($A7,Ma!$F$55:$AQ$55,0),100),IFERROR(MATCH($A7,Ma!$F$56:$AQ$56,0),100),IFERROR(MATCH($A7,Ma!$F$57:$AQ$57,0),100),IFERROR(MATCH($A7,Ma!$F$58:$AQ$58,0),100),IFERROR(MATCH($A7,Ma!$F$59:$AQ$59,0),100),IFERROR(MATCH($A7,Ma!$F$60:$AQ$60,0),100),IFERROR(MATCH($A7,Ma!$F$61:$AQ$61,0),100),IFERROR(MATCH($A7,Ma!$F$62:$AQ$62,0),100),IFERROR(MATCH($A7,Ma!$F$63:$AQ$63,0),100),39)</f>
        <v/>
      </c>
      <c r="D7" s="66">
        <f>IFERROR(IF(VLOOKUP(INDEX(Ma!$B$12:$B$63,MATCH($A7,OFFSET( Ma!$F$12:$F$63,0,(C7*48)-(IF(C7=7/24,9,IF(C7=12.5/24,9,IF(C7=14/24,9,IF(C7=15.5/24,9,10)))))),0),0),Ma!$B$13:$C$63,2,FALSE)="TL","",INDEX(Ma!$B$12:$B$63,MATCH($A7,OFFSET( Ma!$F$12:$F$63,0,(C7*48)-(IF(C7=7/24,9,IF(C7=12.5/24,9,IF(C7=14/24,9,IF(C7=15.5/24,9,10)))))),0),0)),"")</f>
        <v/>
      </c>
      <c r="E7" s="857">
        <f>9/48+(1/48)*MIN(IFERROR(MATCH($A7,Di!$F$13:$AQ$13,0),100),IFERROR(MATCH($A7,Di!$F$14:$AQ$14,0),100),IFERROR(MATCH($A7,Di!$F$15:$AQ$15,0),100),IFERROR(MATCH($A7,Di!$F$16:$AQ$16,0),100),IFERROR(MATCH($A7,Di!$F$17:$AQ$17,0),100),IFERROR(MATCH($A7,Di!$F$18:$AQ$18,0),100),IFERROR(MATCH($A7,Di!$F$19:$AQ$19,0),100),IFERROR(MATCH($A7,Di!$F$20:$AQ$20,0),100),IFERROR(MATCH($A7,Di!$F$21:$AQ$21,0),100),IFERROR(MATCH($A7,Di!$F$22:$AQ$22,0),100),IFERROR(MATCH($A7,Di!$F$23:$AQ$23,0),100),IFERROR(MATCH($A7,Di!$F$24:$AQ$24,0),100),IFERROR(MATCH($A7,Di!$F$25:$AQ$25,0),100),IFERROR(MATCH($A7,Di!$F$26:$AQ$26,0),100),IFERROR(MATCH($A7,Di!$F$27:$AQ$27,0),100),IFERROR(MATCH($A7,Di!$F$28:$AQ$28,0),100),IFERROR(MATCH($A7,Di!$F$29:$AQ$29,0),100),IFERROR(MATCH($A7,Di!$F$30:$AQ$30,0),100),IFERROR(MATCH($A7,Di!$F$31:$AQ$31,0),100),IFERROR(MATCH($A7,Di!$F$32:$AQ$32,0),100),IFERROR(MATCH($A7,Di!$F$33:$AQ$33,0),100),IFERROR(MATCH($A7,Di!$F$34:$AQ$34,0),100),IFERROR(MATCH($A7,Di!$F$35:$AQ$35,0),100),IFERROR(MATCH($A7,Di!$F$36:$AQ$36,0),100),IFERROR(MATCH($A7,Di!$F$37:$AQ$37,0),100),IFERROR(MATCH($A7,Di!$F$38:$AQ$38,0),100),IFERROR(MATCH($A7,Di!$F$39:$AQ$39,0),100),IFERROR(MATCH($A7,Di!$F$40:$AQ$40,0),100),IFERROR(MATCH($A7,Di!$F$41:$AQ$41,0),100),IFERROR(MATCH($A7,Di!$F$42:$AQ$42,0),100),IFERROR(MATCH($A7,Di!$F$43:$AQ$43,0),100),IFERROR(MATCH($A7,Di!$F$44:$AQ$44,0),100),IFERROR(MATCH($A7,Di!$F$45:$AQ$45,0),100),IFERROR(MATCH($A7,Di!$F$46:$AQ$46,0),100),IFERROR(MATCH($A7,Di!$F$47:$AQ$47,0),100),IFERROR(MATCH($A7,Di!$F$48:$AQ$48,0),100),IFERROR(MATCH($A7,Di!$F$49:$AQ$49,0),100),IFERROR(MATCH($A7,Di!$F$50:$AQ$50,0),100),IFERROR(MATCH($A7,Di!$F$51:$AQ$51,0),100),IFERROR(MATCH($A7,Di!$F$52:$AQ$52,0),100),IFERROR(MATCH($A7,Di!$F$53:$AQ$53,0),100),IFERROR(MATCH($A7,Di!$F$54:$AQ$54,0),100),IFERROR(MATCH($A7,Di!$F$55:$AQ$55,0),100),IFERROR(MATCH($A7,Di!$F$56:$AQ$56,0),100),IFERROR(MATCH($A7,Di!$F$57:$AQ$57,0),100),IFERROR(MATCH($A7,Di!$F$58:$AQ$58,0),100),IFERROR(MATCH($A7,Di!$F$59:$AQ$59,0),100),IFERROR(MATCH($A7,Di!$F$60:$AQ$60,0),100),IFERROR(MATCH($A7,Di!$F$61:$AQ$61,0),100),IFERROR(MATCH($A7,Di!$F$62:$AQ$62,0),100),IFERROR(MATCH($A7,Di!$F$63:$AQ$63,0),100),39)</f>
        <v/>
      </c>
      <c r="F7" s="66">
        <f>IFERROR(IF(VLOOKUP(INDEX(Di!$B$12:$B$63,MATCH($A7,OFFSET( Di!$F$12:$F$63,0,(E7*48)-(IF(E7=7/24,9,IF(E7=12.5/24,9,IF(E7=14/24,9,IF(E7=15.5/24,9,10)))))),0),0),Di!$B$13:$C$63,2,FALSE)="TL","",INDEX(Di!$B$12:$B$63,MATCH($A7,OFFSET( Di!$F$12:$F$63,0,(E7*48)-(IF(E7=7/24,9,IF(E7=12.5/24,9,IF(E7=14/24,9,IF(E7=15.5/24,9,10)))))),0),0)),"")</f>
        <v/>
      </c>
      <c r="G7" s="857">
        <f>9/48+(1/48)*MIN(IFERROR(MATCH($A7,Wo!$F$13:$AQ$13,0),100),IFERROR(MATCH($A7,Wo!$F$14:$AQ$14,0),100),IFERROR(MATCH($A7,Wo!$F$15:$AQ$15,0),100),IFERROR(MATCH($A7,Wo!$F$16:$AQ$16,0),100),IFERROR(MATCH($A7,Wo!$F$17:$AQ$17,0),100),IFERROR(MATCH($A7,Wo!$F$18:$AQ$18,0),100),IFERROR(MATCH($A7,Wo!$F$19:$AQ$19,0),100),IFERROR(MATCH($A7,Wo!$F$20:$AQ$20,0),100),IFERROR(MATCH($A7,Wo!$F$21:$AQ$21,0),100),IFERROR(MATCH($A7,Wo!$F$22:$AQ$22,0),100),IFERROR(MATCH($A7,Wo!$F$23:$AQ$23,0),100),IFERROR(MATCH($A7,Wo!$F$24:$AQ$24,0),100),IFERROR(MATCH($A7,Wo!$F$25:$AQ$25,0),100),IFERROR(MATCH($A7,Wo!$F$26:$AQ$26,0),100),IFERROR(MATCH($A7,Wo!$F$27:$AQ$27,0),100),IFERROR(MATCH($A7,Wo!$F$28:$AQ$28,0),100),IFERROR(MATCH($A7,Wo!$F$29:$AQ$29,0),100),IFERROR(MATCH($A7,Wo!$F$30:$AQ$30,0),100),IFERROR(MATCH($A7,Wo!$F$31:$AQ$31,0),100),IFERROR(MATCH($A7,Wo!$F$32:$AQ$32,0),100),IFERROR(MATCH($A7,Wo!$F$33:$AQ$33,0),100),IFERROR(MATCH($A7,Wo!$F$34:$AQ$34,0),100),IFERROR(MATCH($A7,Wo!$F$35:$AQ$35,0),100),IFERROR(MATCH($A7,Wo!$F$36:$AQ$36,0),100),IFERROR(MATCH($A7,Wo!$F$37:$AQ$37,0),100),IFERROR(MATCH($A7,Wo!$F$38:$AQ$38,0),100),IFERROR(MATCH($A7,Wo!$F$39:$AQ$39,0),100),IFERROR(MATCH($A7,Wo!$F$40:$AQ$40,0),100),IFERROR(MATCH($A7,Wo!$F$41:$AQ$41,0),100),IFERROR(MATCH($A7,Wo!$F$42:$AQ$42,0),100),IFERROR(MATCH($A7,Wo!$F$43:$AQ$43,0),100),IFERROR(MATCH($A7,Wo!$F$44:$AQ$44,0),100),IFERROR(MATCH($A7,Wo!$F$45:$AQ$45,0),100),IFERROR(MATCH($A7,Wo!$F$46:$AQ$46,0),100),IFERROR(MATCH($A7,Wo!$F$47:$AQ$47,0),100),IFERROR(MATCH($A7,Wo!$F$48:$AQ$48,0),100),IFERROR(MATCH($A7,Wo!$F$49:$AQ$49,0),100),IFERROR(MATCH($A7,Wo!$F$50:$AQ$50,0),100),IFERROR(MATCH($A7,Wo!$F$51:$AQ$51,0),100),IFERROR(MATCH($A7,Wo!$F$52:$AQ$52,0),100),IFERROR(MATCH($A7,Wo!$F$53:$AQ$53,0),100),IFERROR(MATCH($A7,Wo!$F$54:$AQ$54,0),100),IFERROR(MATCH($A7,Wo!$F$55:$AQ$55,0),100),IFERROR(MATCH($A7,Wo!$F$56:$AQ$56,0),100),IFERROR(MATCH($A7,Wo!$F$57:$AQ$57,0),100),IFERROR(MATCH($A7,Wo!$F$58:$AQ$58,0),100),IFERROR(MATCH($A7,Wo!$F$59:$AQ$59,0),100),IFERROR(MATCH($A7,Wo!$F$60:$AQ$60,0),100),IFERROR(MATCH($A7,Wo!$F$61:$AQ$61,0),100),IFERROR(MATCH($A7,Wo!$F$62:$AQ$62,0),100),IFERROR(MATCH($A7,Wo!$F$63:$AQ$63,0),100),39)</f>
        <v/>
      </c>
      <c r="H7" s="66">
        <f>IFERROR(IF(VLOOKUP(INDEX(Wo!$B$12:$B$63,MATCH($A7,OFFSET( Wo!$F$12:$F$63,0,(G7*48)-(IF(G7=7/24,9,IF(G7=12.5/24,9,IF(G7=14/24,9,IF(G7=15.5/24,9,10)))))),0),0),Wo!$B$13:$C$63,2,FALSE)="TL","",INDEX(Wo!$B$12:$B$63,MATCH($A7,OFFSET( Wo!$F$12:$F$63,0,(G7*48)-(IF(G7=7/24,9,IF(G7=12.5/24,9,IF(G7=14/24,9,IF(G7=15.5/24,9,10)))))),0),0)),"")</f>
        <v/>
      </c>
      <c r="I7" s="857">
        <f>9/48+(1/48)*MIN(IFERROR(MATCH($A7,Do!$F$13:$AQ$13,0),100),IFERROR(MATCH($A7,Do!$F$14:$AQ$14,0),100),IFERROR(MATCH($A7,Do!$F$15:$AQ$15,0),100),IFERROR(MATCH($A7,Do!$F$16:$AQ$16,0),100),IFERROR(MATCH($A7,Do!$F$17:$AQ$17,0),100),IFERROR(MATCH($A7,Do!$F$18:$AQ$18,0),100),IFERROR(MATCH($A7,Do!$F$19:$AQ$19,0),100),IFERROR(MATCH($A7,Do!$F$20:$AQ$20,0),100),IFERROR(MATCH($A7,Do!$F$21:$AQ$21,0),100),IFERROR(MATCH($A7,Do!$F$22:$AQ$22,0),100),IFERROR(MATCH($A7,Do!$F$23:$AQ$23,0),100),IFERROR(MATCH($A7,Do!$F$24:$AQ$24,0),100),IFERROR(MATCH($A7,Do!$F$25:$AQ$25,0),100),IFERROR(MATCH($A7,Do!$F$26:$AQ$26,0),100),IFERROR(MATCH($A7,Do!$F$27:$AQ$27,0),100),IFERROR(MATCH($A7,Do!$F$28:$AQ$28,0),100),IFERROR(MATCH($A7,Do!$F$29:$AQ$29,0),100),IFERROR(MATCH($A7,Do!$F$30:$AQ$30,0),100),IFERROR(MATCH($A7,Do!$F$31:$AQ$31,0),100),IFERROR(MATCH($A7,Do!$F$32:$AQ$32,0),100),IFERROR(MATCH($A7,Do!$F$33:$AQ$33,0),100),IFERROR(MATCH($A7,Do!$F$34:$AQ$34,0),100),IFERROR(MATCH($A7,Do!$F$35:$AQ$35,0),100),IFERROR(MATCH($A7,Do!$F$36:$AQ$36,0),100),IFERROR(MATCH($A7,Do!$F$37:$AQ$37,0),100),IFERROR(MATCH($A7,Do!$F$38:$AQ$38,0),100),IFERROR(MATCH($A7,Do!$F$39:$AQ$39,0),100),IFERROR(MATCH($A7,Do!$F$40:$AQ$40,0),100),IFERROR(MATCH($A7,Do!$F$41:$AQ$41,0),100),IFERROR(MATCH($A7,Do!$F$42:$AQ$42,0),100),IFERROR(MATCH($A7,Do!$F$43:$AQ$43,0),100),IFERROR(MATCH($A7,Do!$F$44:$AQ$44,0),100),IFERROR(MATCH($A7,Do!$F$45:$AQ$45,0),100),IFERROR(MATCH($A7,Do!$F$46:$AQ$46,0),100),IFERROR(MATCH($A7,Do!$F$47:$AQ$47,0),100),IFERROR(MATCH($A7,Do!$F$48:$AQ$48,0),100),IFERROR(MATCH($A7,Do!$F$49:$AQ$49,0),100),IFERROR(MATCH($A7,Do!$F$50:$AQ$50,0),100),IFERROR(MATCH($A7,Do!$F$51:$AQ$51,0),100),IFERROR(MATCH($A7,Do!$F$52:$AQ$52,0),100),IFERROR(MATCH($A7,Do!$F$53:$AQ$53,0),100),IFERROR(MATCH($A7,Do!$F$54:$AQ$54,0),100),IFERROR(MATCH($A7,Do!$F$55:$AQ$55,0),100),IFERROR(MATCH($A7,Do!$F$56:$AQ$56,0),100),IFERROR(MATCH($A7,Do!$F$57:$AQ$57,0),100),IFERROR(MATCH($A7,Do!$F$58:$AQ$58,0),100),IFERROR(MATCH($A7,Do!$F$59:$AQ$59,0),100),IFERROR(MATCH($A7,Do!$F$60:$AQ$60,0),100),IFERROR(MATCH($A7,Do!$F$61:$AQ$61,0),100),IFERROR(MATCH($A7,Do!$F$62:$AQ$62,0),100),IFERROR(MATCH($A7,Do!$F$63:$AQ$63,0),100),39)</f>
        <v/>
      </c>
      <c r="J7" s="66">
        <f>IFERROR(IF(VLOOKUP(INDEX(Do!$B$12:$B$63,MATCH($A7,OFFSET( Do!$F$12:$F$63,0,(I7*48)-(IF(I7=7/24,9,IF(I7=12.5/24,9,IF(I7=14/24,9,IF(I7=15.5/24,9,10)))))),0),0),Do!$B$13:$C$63,2,FALSE)="TL","",INDEX(Do!$B$12:$B$63,MATCH($A7,OFFSET( Do!$F$12:$F$63,0,(I7*48)-(IF(I7=7/24,9,IF(I7=12.5/24,9,IF(I7=14/24,9,IF(I7=15.5/24,9,10)))))),0),0)),"")</f>
        <v/>
      </c>
      <c r="K7" s="857">
        <f>9/48+(1/48)*MIN(IFERROR(MATCH($A7,Vr!$F$13:$AQ$13,0),100),IFERROR(MATCH($A7,Vr!$F$14:$AQ$14,0),100),IFERROR(MATCH($A7,Vr!$F$15:$AQ$15,0),100),IFERROR(MATCH($A7,Vr!$F$16:$AQ$16,0),100),IFERROR(MATCH($A7,Vr!$F$17:$AQ$17,0),100),IFERROR(MATCH($A7,Vr!$F$18:$AQ$18,0),100),IFERROR(MATCH($A7,Vr!$F$19:$AQ$19,0),100),IFERROR(MATCH($A7,Vr!$F$20:$AQ$20,0),100),IFERROR(MATCH($A7,Vr!$F$21:$AQ$21,0),100),IFERROR(MATCH($A7,Vr!$F$22:$AQ$22,0),100),IFERROR(MATCH($A7,Vr!$F$23:$AQ$23,0),100),IFERROR(MATCH($A7,Vr!$F$24:$AQ$24,0),100),IFERROR(MATCH($A7,Vr!$F$25:$AQ$25,0),100),IFERROR(MATCH($A7,Vr!$F$26:$AQ$26,0),100),IFERROR(MATCH($A7,Vr!$F$27:$AQ$27,0),100),IFERROR(MATCH($A7,Vr!$F$28:$AQ$28,0),100),IFERROR(MATCH($A7,Vr!$F$29:$AQ$29,0),100),IFERROR(MATCH($A7,Vr!$F$30:$AQ$30,0),100),IFERROR(MATCH($A7,Vr!$F$31:$AQ$31,0),100),IFERROR(MATCH($A7,Vr!$F$32:$AQ$32,0),100),IFERROR(MATCH($A7,Vr!$F$33:$AQ$33,0),100),IFERROR(MATCH($A7,Vr!$F$34:$AQ$34,0),100),IFERROR(MATCH($A7,Vr!$F$35:$AQ$35,0),100),IFERROR(MATCH($A7,Vr!$F$36:$AQ$36,0),100),IFERROR(MATCH($A7,Vr!$F$37:$AQ$37,0),100),IFERROR(MATCH($A7,Vr!$F$38:$AQ$38,0),100),IFERROR(MATCH($A7,Vr!$F$39:$AQ$39,0),100),IFERROR(MATCH($A7,Vr!$F$40:$AQ$40,0),100),IFERROR(MATCH($A7,Vr!$F$41:$AQ$41,0),100),IFERROR(MATCH($A7,Vr!$F$42:$AQ$42,0),100),IFERROR(MATCH($A7,Vr!$F$43:$AQ$43,0),100),IFERROR(MATCH($A7,Vr!$F$44:$AQ$44,0),100),IFERROR(MATCH($A7,Vr!$F$45:$AQ$45,0),100),IFERROR(MATCH($A7,Vr!$F$46:$AQ$46,0),100),IFERROR(MATCH($A7,Vr!$F$47:$AQ$47,0),100),IFERROR(MATCH($A7,Vr!$F$48:$AQ$48,0),100),IFERROR(MATCH($A7,Vr!$F$49:$AQ$49,0),100),IFERROR(MATCH($A7,Vr!$F$50:$AQ$50,0),100),IFERROR(MATCH($A7,Vr!$F$51:$AQ$51,0),100),IFERROR(MATCH($A7,Vr!$F$52:$AQ$52,0),100),IFERROR(MATCH($A7,Vr!$F$53:$AQ$53,0),100),IFERROR(MATCH($A7,Vr!$F$54:$AQ$54,0),100),IFERROR(MATCH($A7,Vr!$F$55:$AQ$55,0),100),IFERROR(MATCH($A7,Vr!$F$56:$AQ$56,0),100),IFERROR(MATCH($A7,Vr!$F$57:$AQ$57,0),100),IFERROR(MATCH($A7,Vr!$F$58:$AQ$58,0),100),IFERROR(MATCH($A7,Vr!$F$59:$AQ$59,0),100),IFERROR(MATCH($A7,Vr!$F$60:$AQ$60,0),100),IFERROR(MATCH($A7,Vr!$F$61:$AQ$61,0),100),IFERROR(MATCH($A7,Vr!$F$62:$AQ$62,0),100),IFERROR(MATCH($A7,Vr!$F$63:$AQ$63,0),100),39)</f>
        <v/>
      </c>
      <c r="L7" s="66">
        <f>IFERROR(IF(VLOOKUP(INDEX(Vr!$B$12:$B$63,MATCH($A7,OFFSET( Vr!$F$12:$F$63,0,(K7*48)-(IF(K7=7/24,9,IF(K7=12.5/24,9,IF(K7=14/24,9,IF(K7=15.5/24,9,10)))))),0),0),Vr!$B$13:$C$63,2,FALSE)="TL","",INDEX(Vr!$B$12:$B$63,MATCH($A7,OFFSET( Vr!$F$12:$F$63,0,(K7*48)-(IF(K7=7/24,9,IF(K7=12.5/24,9,IF(K7=14/24,9,IF(K7=15.5/24,9,10)))))),0),0)),"")</f>
        <v/>
      </c>
      <c r="M7" s="857">
        <f>9/48+(1/48)*MIN(IFERROR(MATCH($A7,Za!$F$13:$AQ$13,0),100),IFERROR(MATCH($A7,Za!$F$14:$AQ$14,0),100),IFERROR(MATCH($A7,Za!$F$15:$AQ$15,0),100),IFERROR(MATCH($A7,Za!$F$16:$AQ$16,0),100),IFERROR(MATCH($A7,Za!$F$17:$AQ$17,0),100),IFERROR(MATCH($A7,Za!$F$18:$AQ$18,0),100),IFERROR(MATCH($A7,Za!$F$19:$AQ$19,0),100),IFERROR(MATCH($A7,Za!$F$20:$AQ$20,0),100),IFERROR(MATCH($A7,Za!$F$21:$AQ$21,0),100),IFERROR(MATCH($A7,Za!$F$22:$AQ$22,0),100),IFERROR(MATCH($A7,Za!$F$23:$AQ$23,0),100),IFERROR(MATCH($A7,Za!$F$24:$AQ$24,0),100),IFERROR(MATCH($A7,Za!$F$25:$AQ$25,0),100),IFERROR(MATCH($A7,Za!$F$26:$AQ$26,0),100),IFERROR(MATCH($A7,Za!$F$27:$AQ$27,0),100),IFERROR(MATCH($A7,Za!$F$28:$AQ$28,0),100),IFERROR(MATCH($A7,Za!$F$29:$AQ$29,0),100),IFERROR(MATCH($A7,Za!$F$30:$AQ$30,0),100),IFERROR(MATCH($A7,Za!$F$31:$AQ$31,0),100),IFERROR(MATCH($A7,Za!$F$32:$AQ$32,0),100),IFERROR(MATCH($A7,Za!$F$33:$AQ$33,0),100),IFERROR(MATCH($A7,Za!$F$34:$AQ$34,0),100),IFERROR(MATCH($A7,Za!$F$35:$AQ$35,0),100),IFERROR(MATCH($A7,Za!$F$36:$AQ$36,0),100),IFERROR(MATCH($A7,Za!$F$37:$AQ$37,0),100),IFERROR(MATCH($A7,Za!$F$38:$AQ$38,0),100),IFERROR(MATCH($A7,Za!$F$39:$AQ$39,0),100),IFERROR(MATCH($A7,Za!$F$40:$AQ$40,0),100),IFERROR(MATCH($A7,Za!$F$41:$AQ$41,0),100),IFERROR(MATCH($A7,Za!$F$42:$AQ$42,0),100),IFERROR(MATCH($A7,Za!$F$43:$AQ$43,0),100),IFERROR(MATCH($A7,Za!$F$44:$AQ$44,0),100),IFERROR(MATCH($A7,Za!$F$45:$AQ$45,0),100),IFERROR(MATCH($A7,Za!$F$46:$AQ$46,0),100),IFERROR(MATCH($A7,Za!$F$47:$AQ$47,0),100),IFERROR(MATCH($A7,Za!$F$48:$AQ$48,0),100),IFERROR(MATCH($A7,Za!$F$49:$AQ$49,0),100),IFERROR(MATCH($A7,Za!$F$50:$AQ$50,0),100),IFERROR(MATCH($A7,Za!$F$51:$AQ$51,0),100),IFERROR(MATCH($A7,Za!$F$52:$AQ$52,0),100),IFERROR(MATCH($A7,Za!$F$53:$AQ$53,0),100),IFERROR(MATCH($A7,Za!$F$54:$AQ$54,0),100),IFERROR(MATCH($A7,Za!$F$55:$AQ$55,0),100),IFERROR(MATCH($A7,Za!$F$56:$AQ$56,0),100),IFERROR(MATCH($A7,Za!$F$57:$AQ$57,0),100),IFERROR(MATCH($A7,Za!$F$58:$AQ$58,0),100),IFERROR(MATCH($A7,Za!$F$59:$AQ$59,0),100),IFERROR(MATCH($A7,Za!$F$60:$AQ$60,0),100),IFERROR(MATCH($A7,Za!$F$61:$AQ$61,0),100),IFERROR(MATCH($A7,Za!$F$62:$AQ$62,0),100),IFERROR(MATCH($A7,Za!$F$63:$AQ$63,0),100),39)</f>
        <v/>
      </c>
      <c r="N7" s="66">
        <f>IFERROR(IF(VLOOKUP(INDEX(Za!$B$12:$B$63,MATCH($A7,OFFSET( Za!$F$12:$F$63,0,(M7*48)-(IF(M7=7/24,9,IF(M7=12.5/24,9,IF(M7=14/24,9,IF(M7=15.5/24,9,10)))))),0),0),Za!$B$13:$C$63,2,FALSE)="TL","",INDEX(Za!$B$12:$B$63,MATCH($A7,OFFSET( Za!$F$12:$F$63,0,(M7*48)-(IF(M7=7/24,9,IF(M7=12.5/24,9,IF(M7=14/24,9,IF(M7=15.5/24,9,10)))))),0),0)),"")</f>
        <v/>
      </c>
      <c r="O7" s="857">
        <f>9/48+(1/48)*MIN(IFERROR(MATCH($A7,Zo!$F$13:$AQ$13,0),100),IFERROR(MATCH($A7,Zo!$F$14:$AQ$14,0),100),IFERROR(MATCH($A7,Zo!$F$15:$AQ$15,0),100),IFERROR(MATCH($A7,Zo!$F$16:$AQ$16,0),100),IFERROR(MATCH($A7,Zo!$F$17:$AQ$17,0),100),IFERROR(MATCH($A7,Zo!$F$18:$AQ$18,0),100),IFERROR(MATCH($A7,Zo!$F$19:$AQ$19,0),100),IFERROR(MATCH($A7,Zo!$F$20:$AQ$20,0),100),IFERROR(MATCH($A7,Zo!$F$21:$AQ$21,0),100),IFERROR(MATCH($A7,Zo!$F$22:$AQ$22,0),100),IFERROR(MATCH($A7,Zo!$F$23:$AQ$23,0),100),IFERROR(MATCH($A7,Zo!$F$24:$AQ$24,0),100),IFERROR(MATCH($A7,Zo!$F$25:$AQ$25,0),100),IFERROR(MATCH($A7,Zo!$F$26:$AQ$26,0),100),IFERROR(MATCH($A7,Zo!$F$27:$AQ$27,0),100),IFERROR(MATCH($A7,Zo!$F$28:$AQ$28,0),100),IFERROR(MATCH($A7,Zo!$F$29:$AQ$29,0),100),IFERROR(MATCH($A7,Zo!$F$30:$AQ$30,0),100),IFERROR(MATCH($A7,Zo!$F$31:$AQ$31,0),100),IFERROR(MATCH($A7,Zo!$F$32:$AQ$32,0),100),IFERROR(MATCH($A7,Zo!$F$33:$AQ$33,0),100),IFERROR(MATCH($A7,Zo!$F$34:$AQ$34,0),100),IFERROR(MATCH($A7,Zo!$F$35:$AQ$35,0),100),IFERROR(MATCH($A7,Zo!$F$36:$AQ$36,0),100),IFERROR(MATCH($A7,Zo!$F$37:$AQ$37,0),100),IFERROR(MATCH($A7,Zo!$F$38:$AQ$38,0),100),IFERROR(MATCH($A7,Zo!$F$39:$AQ$39,0),100),IFERROR(MATCH($A7,Zo!$F$40:$AQ$40,0),100),IFERROR(MATCH($A7,Zo!$F$41:$AQ$41,0),100),IFERROR(MATCH($A7,Zo!$F$42:$AQ$42,0),100),IFERROR(MATCH($A7,Zo!$F$43:$AQ$43,0),100),IFERROR(MATCH($A7,Zo!$F$44:$AQ$44,0),100),IFERROR(MATCH($A7,Zo!$F$45:$AQ$45,0),100),IFERROR(MATCH($A7,Zo!$F$46:$AQ$46,0),100),IFERROR(MATCH($A7,Zo!$F$47:$AQ$47,0),100),IFERROR(MATCH($A7,Zo!$F$48:$AQ$48,0),100),IFERROR(MATCH($A7,Zo!$F$49:$AQ$49,0),100),IFERROR(MATCH($A7,Zo!$F$50:$AQ$50,0),100),IFERROR(MATCH($A7,Zo!$F$51:$AQ$51,0),100),IFERROR(MATCH($A7,Zo!$F$52:$AQ$52,0),100),IFERROR(MATCH($A7,Zo!$F$53:$AQ$53,0),100),IFERROR(MATCH($A7,Zo!$F$54:$AQ$54,0),100),IFERROR(MATCH($A7,Zo!$F$55:$AQ$55,0),100),IFERROR(MATCH($A7,Zo!$F$56:$AQ$56,0),100),IFERROR(MATCH($A7,Zo!$F$57:$AQ$57,0),100),IFERROR(MATCH($A7,Zo!$F$58:$AQ$58,0),100),IFERROR(MATCH($A7,Zo!$F$59:$AQ$59,0),100),IFERROR(MATCH($A7,Zo!$F$60:$AQ$60,0),100),IFERROR(MATCH($A7,Zo!$F$61:$AQ$61,0),100),IFERROR(MATCH($A7,Zo!$F$62:$AQ$62,0),100),IFERROR(MATCH($A7,Zo!$F$63:$AQ$63,0),100),39)</f>
        <v/>
      </c>
      <c r="P7" s="66">
        <f>IFERROR(IF(VLOOKUP(INDEX(Zo!$B$12:$B$63,MATCH($A7,OFFSET( Zo!$F$12:$F$63,0,(O7*48)-(IF(O7=7/24,9,IF(O7=12.5/24,9,IF(O7=14/24,9,IF(O7=15.5/24,9,10)))))),0),0),Zo!$B$13:$C$63,2,FALSE)="TL","",INDEX(Zo!$B$12:$B$63,MATCH($A7,OFFSET( Zo!$F$12:$F$63,0,(O7*48)-(IF(O7=7/24,9,IF(O7=12.5/24,9,IF(O7=14/24,9,IF(O7=15.5/24,9,10)))))),0),0)),"")</f>
        <v/>
      </c>
    </row>
    <row r="8" ht="15" customHeight="1">
      <c r="A8" s="66" t="inlineStr">
        <is>
          <t>rh</t>
        </is>
      </c>
      <c r="B8" s="67">
        <f>A8</f>
        <v/>
      </c>
      <c r="C8" s="857">
        <f>9/48+(1/48)*MIN(IFERROR(MATCH($A8,Ma!$F$13:$AQ$13,0),100),IFERROR(MATCH($A8,Ma!$F$14:$AQ$14,0),100),IFERROR(MATCH($A8,Ma!$F$15:$AQ$15,0),100),IFERROR(MATCH($A8,Ma!$F$16:$AQ$16,0),100),IFERROR(MATCH($A8,Ma!$F$17:$AQ$17,0),100),IFERROR(MATCH($A8,Ma!$F$18:$AQ$18,0),100),IFERROR(MATCH($A8,Ma!$F$19:$AQ$19,0),100),IFERROR(MATCH($A8,Ma!$F$20:$AQ$20,0),100),IFERROR(MATCH($A8,Ma!$F$21:$AQ$21,0),100),IFERROR(MATCH($A8,Ma!$F$22:$AQ$22,0),100),IFERROR(MATCH($A8,Ma!$F$23:$AQ$23,0),100),IFERROR(MATCH($A8,Ma!$F$24:$AQ$24,0),100),IFERROR(MATCH($A8,Ma!$F$25:$AQ$25,0),100),IFERROR(MATCH($A8,Ma!$F$26:$AQ$26,0),100),IFERROR(MATCH($A8,Ma!$F$27:$AQ$27,0),100),IFERROR(MATCH($A8,Ma!$F$28:$AQ$28,0),100),IFERROR(MATCH($A8,Ma!$F$29:$AQ$29,0),100),IFERROR(MATCH($A8,Ma!$F$30:$AQ$30,0),100),IFERROR(MATCH($A8,Ma!$F$31:$AQ$31,0),100),IFERROR(MATCH($A8,Ma!$F$32:$AQ$32,0),100),IFERROR(MATCH($A8,Ma!$F$33:$AQ$33,0),100),IFERROR(MATCH($A8,Ma!$F$34:$AQ$34,0),100),IFERROR(MATCH($A8,Ma!$F$35:$AQ$35,0),100),IFERROR(MATCH($A8,Ma!$F$36:$AQ$36,0),100),IFERROR(MATCH($A8,Ma!$F$37:$AQ$37,0),100),IFERROR(MATCH($A8,Ma!$F$38:$AQ$38,0),100),IFERROR(MATCH($A8,Ma!$F$39:$AQ$39,0),100),IFERROR(MATCH($A8,Ma!$F$40:$AQ$40,0),100),IFERROR(MATCH($A8,Ma!$F$41:$AQ$41,0),100),IFERROR(MATCH($A8,Ma!$F$42:$AQ$42,0),100),IFERROR(MATCH($A8,Ma!$F$43:$AQ$43,0),100),IFERROR(MATCH($A8,Ma!$F$44:$AQ$44,0),100),IFERROR(MATCH($A8,Ma!$F$45:$AQ$45,0),100),IFERROR(MATCH($A8,Ma!$F$46:$AQ$46,0),100),IFERROR(MATCH($A8,Ma!$F$47:$AQ$47,0),100),IFERROR(MATCH($A8,Ma!$F$48:$AQ$48,0),100),IFERROR(MATCH($A8,Ma!$F$49:$AQ$49,0),100),IFERROR(MATCH($A8,Ma!$F$50:$AQ$50,0),100),IFERROR(MATCH($A8,Ma!$F$51:$AQ$51,0),100),IFERROR(MATCH($A8,Ma!$F$52:$AQ$52,0),100),IFERROR(MATCH($A8,Ma!$F$53:$AQ$53,0),100),IFERROR(MATCH($A8,Ma!$F$54:$AQ$54,0),100),IFERROR(MATCH($A8,Ma!$F$55:$AQ$55,0),100),IFERROR(MATCH($A8,Ma!$F$56:$AQ$56,0),100),IFERROR(MATCH($A8,Ma!$F$57:$AQ$57,0),100),IFERROR(MATCH($A8,Ma!$F$58:$AQ$58,0),100),IFERROR(MATCH($A8,Ma!$F$59:$AQ$59,0),100),IFERROR(MATCH($A8,Ma!$F$60:$AQ$60,0),100),IFERROR(MATCH($A8,Ma!$F$61:$AQ$61,0),100),IFERROR(MATCH($A8,Ma!$F$62:$AQ$62,0),100),IFERROR(MATCH($A8,Ma!$F$63:$AQ$63,0),100),39)</f>
        <v/>
      </c>
      <c r="D8" s="66">
        <f>IFERROR(IF(VLOOKUP(INDEX(Ma!$B$12:$B$63,MATCH($A8,OFFSET( Ma!$F$12:$F$63,0,(C8*48)-(IF(C8=7/24,9,IF(C8=12.5/24,9,IF(C8=14/24,9,IF(C8=15.5/24,9,10)))))),0),0),Ma!$B$13:$C$63,2,FALSE)="TL","",INDEX(Ma!$B$12:$B$63,MATCH($A8,OFFSET( Ma!$F$12:$F$63,0,(C8*48)-(IF(C8=7/24,9,IF(C8=12.5/24,9,IF(C8=14/24,9,IF(C8=15.5/24,9,10)))))),0),0)),"")</f>
        <v/>
      </c>
      <c r="E8" s="857">
        <f>9/48+(1/48)*MIN(IFERROR(MATCH($A8,Di!$F$13:$AQ$13,0),100),IFERROR(MATCH($A8,Di!$F$14:$AQ$14,0),100),IFERROR(MATCH($A8,Di!$F$15:$AQ$15,0),100),IFERROR(MATCH($A8,Di!$F$16:$AQ$16,0),100),IFERROR(MATCH($A8,Di!$F$17:$AQ$17,0),100),IFERROR(MATCH($A8,Di!$F$18:$AQ$18,0),100),IFERROR(MATCH($A8,Di!$F$19:$AQ$19,0),100),IFERROR(MATCH($A8,Di!$F$20:$AQ$20,0),100),IFERROR(MATCH($A8,Di!$F$21:$AQ$21,0),100),IFERROR(MATCH($A8,Di!$F$22:$AQ$22,0),100),IFERROR(MATCH($A8,Di!$F$23:$AQ$23,0),100),IFERROR(MATCH($A8,Di!$F$24:$AQ$24,0),100),IFERROR(MATCH($A8,Di!$F$25:$AQ$25,0),100),IFERROR(MATCH($A8,Di!$F$26:$AQ$26,0),100),IFERROR(MATCH($A8,Di!$F$27:$AQ$27,0),100),IFERROR(MATCH($A8,Di!$F$28:$AQ$28,0),100),IFERROR(MATCH($A8,Di!$F$29:$AQ$29,0),100),IFERROR(MATCH($A8,Di!$F$30:$AQ$30,0),100),IFERROR(MATCH($A8,Di!$F$31:$AQ$31,0),100),IFERROR(MATCH($A8,Di!$F$32:$AQ$32,0),100),IFERROR(MATCH($A8,Di!$F$33:$AQ$33,0),100),IFERROR(MATCH($A8,Di!$F$34:$AQ$34,0),100),IFERROR(MATCH($A8,Di!$F$35:$AQ$35,0),100),IFERROR(MATCH($A8,Di!$F$36:$AQ$36,0),100),IFERROR(MATCH($A8,Di!$F$37:$AQ$37,0),100),IFERROR(MATCH($A8,Di!$F$38:$AQ$38,0),100),IFERROR(MATCH($A8,Di!$F$39:$AQ$39,0),100),IFERROR(MATCH($A8,Di!$F$40:$AQ$40,0),100),IFERROR(MATCH($A8,Di!$F$41:$AQ$41,0),100),IFERROR(MATCH($A8,Di!$F$42:$AQ$42,0),100),IFERROR(MATCH($A8,Di!$F$43:$AQ$43,0),100),IFERROR(MATCH($A8,Di!$F$44:$AQ$44,0),100),IFERROR(MATCH($A8,Di!$F$45:$AQ$45,0),100),IFERROR(MATCH($A8,Di!$F$46:$AQ$46,0),100),IFERROR(MATCH($A8,Di!$F$47:$AQ$47,0),100),IFERROR(MATCH($A8,Di!$F$48:$AQ$48,0),100),IFERROR(MATCH($A8,Di!$F$49:$AQ$49,0),100),IFERROR(MATCH($A8,Di!$F$50:$AQ$50,0),100),IFERROR(MATCH($A8,Di!$F$51:$AQ$51,0),100),IFERROR(MATCH($A8,Di!$F$52:$AQ$52,0),100),IFERROR(MATCH($A8,Di!$F$53:$AQ$53,0),100),IFERROR(MATCH($A8,Di!$F$54:$AQ$54,0),100),IFERROR(MATCH($A8,Di!$F$55:$AQ$55,0),100),IFERROR(MATCH($A8,Di!$F$56:$AQ$56,0),100),IFERROR(MATCH($A8,Di!$F$57:$AQ$57,0),100),IFERROR(MATCH($A8,Di!$F$58:$AQ$58,0),100),IFERROR(MATCH($A8,Di!$F$59:$AQ$59,0),100),IFERROR(MATCH($A8,Di!$F$60:$AQ$60,0),100),IFERROR(MATCH($A8,Di!$F$61:$AQ$61,0),100),IFERROR(MATCH($A8,Di!$F$62:$AQ$62,0),100),IFERROR(MATCH($A8,Di!$F$63:$AQ$63,0),100),39)</f>
        <v/>
      </c>
      <c r="F8" s="66">
        <f>IFERROR(IF(VLOOKUP(INDEX(Di!$B$12:$B$63,MATCH($A8,OFFSET( Di!$F$12:$F$63,0,(E8*48)-(IF(E8=7/24,9,IF(E8=12.5/24,9,IF(E8=14/24,9,IF(E8=15.5/24,9,10)))))),0),0),Di!$B$13:$C$63,2,FALSE)="TL","",INDEX(Di!$B$12:$B$63,MATCH($A8,OFFSET( Di!$F$12:$F$63,0,(E8*48)-(IF(E8=7/24,9,IF(E8=12.5/24,9,IF(E8=14/24,9,IF(E8=15.5/24,9,10)))))),0),0)),"")</f>
        <v/>
      </c>
      <c r="G8" s="857">
        <f>9/48+(1/48)*MIN(IFERROR(MATCH($A8,Wo!$F$13:$AQ$13,0),100),IFERROR(MATCH($A8,Wo!$F$14:$AQ$14,0),100),IFERROR(MATCH($A8,Wo!$F$15:$AQ$15,0),100),IFERROR(MATCH($A8,Wo!$F$16:$AQ$16,0),100),IFERROR(MATCH($A8,Wo!$F$17:$AQ$17,0),100),IFERROR(MATCH($A8,Wo!$F$18:$AQ$18,0),100),IFERROR(MATCH($A8,Wo!$F$19:$AQ$19,0),100),IFERROR(MATCH($A8,Wo!$F$20:$AQ$20,0),100),IFERROR(MATCH($A8,Wo!$F$21:$AQ$21,0),100),IFERROR(MATCH($A8,Wo!$F$22:$AQ$22,0),100),IFERROR(MATCH($A8,Wo!$F$23:$AQ$23,0),100),IFERROR(MATCH($A8,Wo!$F$24:$AQ$24,0),100),IFERROR(MATCH($A8,Wo!$F$25:$AQ$25,0),100),IFERROR(MATCH($A8,Wo!$F$26:$AQ$26,0),100),IFERROR(MATCH($A8,Wo!$F$27:$AQ$27,0),100),IFERROR(MATCH($A8,Wo!$F$28:$AQ$28,0),100),IFERROR(MATCH($A8,Wo!$F$29:$AQ$29,0),100),IFERROR(MATCH($A8,Wo!$F$30:$AQ$30,0),100),IFERROR(MATCH($A8,Wo!$F$31:$AQ$31,0),100),IFERROR(MATCH($A8,Wo!$F$32:$AQ$32,0),100),IFERROR(MATCH($A8,Wo!$F$33:$AQ$33,0),100),IFERROR(MATCH($A8,Wo!$F$34:$AQ$34,0),100),IFERROR(MATCH($A8,Wo!$F$35:$AQ$35,0),100),IFERROR(MATCH($A8,Wo!$F$36:$AQ$36,0),100),IFERROR(MATCH($A8,Wo!$F$37:$AQ$37,0),100),IFERROR(MATCH($A8,Wo!$F$38:$AQ$38,0),100),IFERROR(MATCH($A8,Wo!$F$39:$AQ$39,0),100),IFERROR(MATCH($A8,Wo!$F$40:$AQ$40,0),100),IFERROR(MATCH($A8,Wo!$F$41:$AQ$41,0),100),IFERROR(MATCH($A8,Wo!$F$42:$AQ$42,0),100),IFERROR(MATCH($A8,Wo!$F$43:$AQ$43,0),100),IFERROR(MATCH($A8,Wo!$F$44:$AQ$44,0),100),IFERROR(MATCH($A8,Wo!$F$45:$AQ$45,0),100),IFERROR(MATCH($A8,Wo!$F$46:$AQ$46,0),100),IFERROR(MATCH($A8,Wo!$F$47:$AQ$47,0),100),IFERROR(MATCH($A8,Wo!$F$48:$AQ$48,0),100),IFERROR(MATCH($A8,Wo!$F$49:$AQ$49,0),100),IFERROR(MATCH($A8,Wo!$F$50:$AQ$50,0),100),IFERROR(MATCH($A8,Wo!$F$51:$AQ$51,0),100),IFERROR(MATCH($A8,Wo!$F$52:$AQ$52,0),100),IFERROR(MATCH($A8,Wo!$F$53:$AQ$53,0),100),IFERROR(MATCH($A8,Wo!$F$54:$AQ$54,0),100),IFERROR(MATCH($A8,Wo!$F$55:$AQ$55,0),100),IFERROR(MATCH($A8,Wo!$F$56:$AQ$56,0),100),IFERROR(MATCH($A8,Wo!$F$57:$AQ$57,0),100),IFERROR(MATCH($A8,Wo!$F$58:$AQ$58,0),100),IFERROR(MATCH($A8,Wo!$F$59:$AQ$59,0),100),IFERROR(MATCH($A8,Wo!$F$60:$AQ$60,0),100),IFERROR(MATCH($A8,Wo!$F$61:$AQ$61,0),100),IFERROR(MATCH($A8,Wo!$F$62:$AQ$62,0),100),IFERROR(MATCH($A8,Wo!$F$63:$AQ$63,0),100),39)</f>
        <v/>
      </c>
      <c r="H8" s="66">
        <f>IFERROR(IF(VLOOKUP(INDEX(Wo!$B$12:$B$63,MATCH($A8,OFFSET( Wo!$F$12:$F$63,0,(G8*48)-(IF(G8=7/24,9,IF(G8=12.5/24,9,IF(G8=14/24,9,IF(G8=15.5/24,9,10)))))),0),0),Wo!$B$13:$C$63,2,FALSE)="TL","",INDEX(Wo!$B$12:$B$63,MATCH($A8,OFFSET( Wo!$F$12:$F$63,0,(G8*48)-(IF(G8=7/24,9,IF(G8=12.5/24,9,IF(G8=14/24,9,IF(G8=15.5/24,9,10)))))),0),0)),"")</f>
        <v/>
      </c>
      <c r="I8" s="857">
        <f>9/48+(1/48)*MIN(IFERROR(MATCH($A8,Do!$F$13:$AQ$13,0),100),IFERROR(MATCH($A8,Do!$F$14:$AQ$14,0),100),IFERROR(MATCH($A8,Do!$F$15:$AQ$15,0),100),IFERROR(MATCH($A8,Do!$F$16:$AQ$16,0),100),IFERROR(MATCH($A8,Do!$F$17:$AQ$17,0),100),IFERROR(MATCH($A8,Do!$F$18:$AQ$18,0),100),IFERROR(MATCH($A8,Do!$F$19:$AQ$19,0),100),IFERROR(MATCH($A8,Do!$F$20:$AQ$20,0),100),IFERROR(MATCH($A8,Do!$F$21:$AQ$21,0),100),IFERROR(MATCH($A8,Do!$F$22:$AQ$22,0),100),IFERROR(MATCH($A8,Do!$F$23:$AQ$23,0),100),IFERROR(MATCH($A8,Do!$F$24:$AQ$24,0),100),IFERROR(MATCH($A8,Do!$F$25:$AQ$25,0),100),IFERROR(MATCH($A8,Do!$F$26:$AQ$26,0),100),IFERROR(MATCH($A8,Do!$F$27:$AQ$27,0),100),IFERROR(MATCH($A8,Do!$F$28:$AQ$28,0),100),IFERROR(MATCH($A8,Do!$F$29:$AQ$29,0),100),IFERROR(MATCH($A8,Do!$F$30:$AQ$30,0),100),IFERROR(MATCH($A8,Do!$F$31:$AQ$31,0),100),IFERROR(MATCH($A8,Do!$F$32:$AQ$32,0),100),IFERROR(MATCH($A8,Do!$F$33:$AQ$33,0),100),IFERROR(MATCH($A8,Do!$F$34:$AQ$34,0),100),IFERROR(MATCH($A8,Do!$F$35:$AQ$35,0),100),IFERROR(MATCH($A8,Do!$F$36:$AQ$36,0),100),IFERROR(MATCH($A8,Do!$F$37:$AQ$37,0),100),IFERROR(MATCH($A8,Do!$F$38:$AQ$38,0),100),IFERROR(MATCH($A8,Do!$F$39:$AQ$39,0),100),IFERROR(MATCH($A8,Do!$F$40:$AQ$40,0),100),IFERROR(MATCH($A8,Do!$F$41:$AQ$41,0),100),IFERROR(MATCH($A8,Do!$F$42:$AQ$42,0),100),IFERROR(MATCH($A8,Do!$F$43:$AQ$43,0),100),IFERROR(MATCH($A8,Do!$F$44:$AQ$44,0),100),IFERROR(MATCH($A8,Do!$F$45:$AQ$45,0),100),IFERROR(MATCH($A8,Do!$F$46:$AQ$46,0),100),IFERROR(MATCH($A8,Do!$F$47:$AQ$47,0),100),IFERROR(MATCH($A8,Do!$F$48:$AQ$48,0),100),IFERROR(MATCH($A8,Do!$F$49:$AQ$49,0),100),IFERROR(MATCH($A8,Do!$F$50:$AQ$50,0),100),IFERROR(MATCH($A8,Do!$F$51:$AQ$51,0),100),IFERROR(MATCH($A8,Do!$F$52:$AQ$52,0),100),IFERROR(MATCH($A8,Do!$F$53:$AQ$53,0),100),IFERROR(MATCH($A8,Do!$F$54:$AQ$54,0),100),IFERROR(MATCH($A8,Do!$F$55:$AQ$55,0),100),IFERROR(MATCH($A8,Do!$F$56:$AQ$56,0),100),IFERROR(MATCH($A8,Do!$F$57:$AQ$57,0),100),IFERROR(MATCH($A8,Do!$F$58:$AQ$58,0),100),IFERROR(MATCH($A8,Do!$F$59:$AQ$59,0),100),IFERROR(MATCH($A8,Do!$F$60:$AQ$60,0),100),IFERROR(MATCH($A8,Do!$F$61:$AQ$61,0),100),IFERROR(MATCH($A8,Do!$F$62:$AQ$62,0),100),IFERROR(MATCH($A8,Do!$F$63:$AQ$63,0),100),39)</f>
        <v/>
      </c>
      <c r="J8" s="66">
        <f>IFERROR(IF(VLOOKUP(INDEX(Do!$B$12:$B$63,MATCH($A8,OFFSET( Do!$F$12:$F$63,0,(I8*48)-(IF(I8=7/24,9,IF(I8=12.5/24,9,IF(I8=14/24,9,IF(I8=15.5/24,9,10)))))),0),0),Do!$B$13:$C$63,2,FALSE)="TL","",INDEX(Do!$B$12:$B$63,MATCH($A8,OFFSET( Do!$F$12:$F$63,0,(I8*48)-(IF(I8=7/24,9,IF(I8=12.5/24,9,IF(I8=14/24,9,IF(I8=15.5/24,9,10)))))),0),0)),"")</f>
        <v/>
      </c>
      <c r="K8" s="857">
        <f>9/48+(1/48)*MIN(IFERROR(MATCH($A8,Vr!$F$13:$AQ$13,0),100),IFERROR(MATCH($A8,Vr!$F$14:$AQ$14,0),100),IFERROR(MATCH($A8,Vr!$F$15:$AQ$15,0),100),IFERROR(MATCH($A8,Vr!$F$16:$AQ$16,0),100),IFERROR(MATCH($A8,Vr!$F$17:$AQ$17,0),100),IFERROR(MATCH($A8,Vr!$F$18:$AQ$18,0),100),IFERROR(MATCH($A8,Vr!$F$19:$AQ$19,0),100),IFERROR(MATCH($A8,Vr!$F$20:$AQ$20,0),100),IFERROR(MATCH($A8,Vr!$F$21:$AQ$21,0),100),IFERROR(MATCH($A8,Vr!$F$22:$AQ$22,0),100),IFERROR(MATCH($A8,Vr!$F$23:$AQ$23,0),100),IFERROR(MATCH($A8,Vr!$F$24:$AQ$24,0),100),IFERROR(MATCH($A8,Vr!$F$25:$AQ$25,0),100),IFERROR(MATCH($A8,Vr!$F$26:$AQ$26,0),100),IFERROR(MATCH($A8,Vr!$F$27:$AQ$27,0),100),IFERROR(MATCH($A8,Vr!$F$28:$AQ$28,0),100),IFERROR(MATCH($A8,Vr!$F$29:$AQ$29,0),100),IFERROR(MATCH($A8,Vr!$F$30:$AQ$30,0),100),IFERROR(MATCH($A8,Vr!$F$31:$AQ$31,0),100),IFERROR(MATCH($A8,Vr!$F$32:$AQ$32,0),100),IFERROR(MATCH($A8,Vr!$F$33:$AQ$33,0),100),IFERROR(MATCH($A8,Vr!$F$34:$AQ$34,0),100),IFERROR(MATCH($A8,Vr!$F$35:$AQ$35,0),100),IFERROR(MATCH($A8,Vr!$F$36:$AQ$36,0),100),IFERROR(MATCH($A8,Vr!$F$37:$AQ$37,0),100),IFERROR(MATCH($A8,Vr!$F$38:$AQ$38,0),100),IFERROR(MATCH($A8,Vr!$F$39:$AQ$39,0),100),IFERROR(MATCH($A8,Vr!$F$40:$AQ$40,0),100),IFERROR(MATCH($A8,Vr!$F$41:$AQ$41,0),100),IFERROR(MATCH($A8,Vr!$F$42:$AQ$42,0),100),IFERROR(MATCH($A8,Vr!$F$43:$AQ$43,0),100),IFERROR(MATCH($A8,Vr!$F$44:$AQ$44,0),100),IFERROR(MATCH($A8,Vr!$F$45:$AQ$45,0),100),IFERROR(MATCH($A8,Vr!$F$46:$AQ$46,0),100),IFERROR(MATCH($A8,Vr!$F$47:$AQ$47,0),100),IFERROR(MATCH($A8,Vr!$F$48:$AQ$48,0),100),IFERROR(MATCH($A8,Vr!$F$49:$AQ$49,0),100),IFERROR(MATCH($A8,Vr!$F$50:$AQ$50,0),100),IFERROR(MATCH($A8,Vr!$F$51:$AQ$51,0),100),IFERROR(MATCH($A8,Vr!$F$52:$AQ$52,0),100),IFERROR(MATCH($A8,Vr!$F$53:$AQ$53,0),100),IFERROR(MATCH($A8,Vr!$F$54:$AQ$54,0),100),IFERROR(MATCH($A8,Vr!$F$55:$AQ$55,0),100),IFERROR(MATCH($A8,Vr!$F$56:$AQ$56,0),100),IFERROR(MATCH($A8,Vr!$F$57:$AQ$57,0),100),IFERROR(MATCH($A8,Vr!$F$58:$AQ$58,0),100),IFERROR(MATCH($A8,Vr!$F$59:$AQ$59,0),100),IFERROR(MATCH($A8,Vr!$F$60:$AQ$60,0),100),IFERROR(MATCH($A8,Vr!$F$61:$AQ$61,0),100),IFERROR(MATCH($A8,Vr!$F$62:$AQ$62,0),100),IFERROR(MATCH($A8,Vr!$F$63:$AQ$63,0),100),39)</f>
        <v/>
      </c>
      <c r="L8" s="66">
        <f>IFERROR(IF(VLOOKUP(INDEX(Vr!$B$12:$B$63,MATCH($A8,OFFSET( Vr!$F$12:$F$63,0,(K8*48)-(IF(K8=7/24,9,IF(K8=12.5/24,9,IF(K8=14/24,9,IF(K8=15.5/24,9,10)))))),0),0),Vr!$B$13:$C$63,2,FALSE)="TL","",INDEX(Vr!$B$12:$B$63,MATCH($A8,OFFSET( Vr!$F$12:$F$63,0,(K8*48)-(IF(K8=7/24,9,IF(K8=12.5/24,9,IF(K8=14/24,9,IF(K8=15.5/24,9,10)))))),0),0)),"")</f>
        <v/>
      </c>
      <c r="M8" s="857">
        <f>9/48+(1/48)*MIN(IFERROR(MATCH($A8,Za!$F$13:$AQ$13,0),100),IFERROR(MATCH($A8,Za!$F$14:$AQ$14,0),100),IFERROR(MATCH($A8,Za!$F$15:$AQ$15,0),100),IFERROR(MATCH($A8,Za!$F$16:$AQ$16,0),100),IFERROR(MATCH($A8,Za!$F$17:$AQ$17,0),100),IFERROR(MATCH($A8,Za!$F$18:$AQ$18,0),100),IFERROR(MATCH($A8,Za!$F$19:$AQ$19,0),100),IFERROR(MATCH($A8,Za!$F$20:$AQ$20,0),100),IFERROR(MATCH($A8,Za!$F$21:$AQ$21,0),100),IFERROR(MATCH($A8,Za!$F$22:$AQ$22,0),100),IFERROR(MATCH($A8,Za!$F$23:$AQ$23,0),100),IFERROR(MATCH($A8,Za!$F$24:$AQ$24,0),100),IFERROR(MATCH($A8,Za!$F$25:$AQ$25,0),100),IFERROR(MATCH($A8,Za!$F$26:$AQ$26,0),100),IFERROR(MATCH($A8,Za!$F$27:$AQ$27,0),100),IFERROR(MATCH($A8,Za!$F$28:$AQ$28,0),100),IFERROR(MATCH($A8,Za!$F$29:$AQ$29,0),100),IFERROR(MATCH($A8,Za!$F$30:$AQ$30,0),100),IFERROR(MATCH($A8,Za!$F$31:$AQ$31,0),100),IFERROR(MATCH($A8,Za!$F$32:$AQ$32,0),100),IFERROR(MATCH($A8,Za!$F$33:$AQ$33,0),100),IFERROR(MATCH($A8,Za!$F$34:$AQ$34,0),100),IFERROR(MATCH($A8,Za!$F$35:$AQ$35,0),100),IFERROR(MATCH($A8,Za!$F$36:$AQ$36,0),100),IFERROR(MATCH($A8,Za!$F$37:$AQ$37,0),100),IFERROR(MATCH($A8,Za!$F$38:$AQ$38,0),100),IFERROR(MATCH($A8,Za!$F$39:$AQ$39,0),100),IFERROR(MATCH($A8,Za!$F$40:$AQ$40,0),100),IFERROR(MATCH($A8,Za!$F$41:$AQ$41,0),100),IFERROR(MATCH($A8,Za!$F$42:$AQ$42,0),100),IFERROR(MATCH($A8,Za!$F$43:$AQ$43,0),100),IFERROR(MATCH($A8,Za!$F$44:$AQ$44,0),100),IFERROR(MATCH($A8,Za!$F$45:$AQ$45,0),100),IFERROR(MATCH($A8,Za!$F$46:$AQ$46,0),100),IFERROR(MATCH($A8,Za!$F$47:$AQ$47,0),100),IFERROR(MATCH($A8,Za!$F$48:$AQ$48,0),100),IFERROR(MATCH($A8,Za!$F$49:$AQ$49,0),100),IFERROR(MATCH($A8,Za!$F$50:$AQ$50,0),100),IFERROR(MATCH($A8,Za!$F$51:$AQ$51,0),100),IFERROR(MATCH($A8,Za!$F$52:$AQ$52,0),100),IFERROR(MATCH($A8,Za!$F$53:$AQ$53,0),100),IFERROR(MATCH($A8,Za!$F$54:$AQ$54,0),100),IFERROR(MATCH($A8,Za!$F$55:$AQ$55,0),100),IFERROR(MATCH($A8,Za!$F$56:$AQ$56,0),100),IFERROR(MATCH($A8,Za!$F$57:$AQ$57,0),100),IFERROR(MATCH($A8,Za!$F$58:$AQ$58,0),100),IFERROR(MATCH($A8,Za!$F$59:$AQ$59,0),100),IFERROR(MATCH($A8,Za!$F$60:$AQ$60,0),100),IFERROR(MATCH($A8,Za!$F$61:$AQ$61,0),100),IFERROR(MATCH($A8,Za!$F$62:$AQ$62,0),100),IFERROR(MATCH($A8,Za!$F$63:$AQ$63,0),100),39)</f>
        <v/>
      </c>
      <c r="N8" s="66">
        <f>IFERROR(IF(VLOOKUP(INDEX(Za!$B$12:$B$63,MATCH($A8,OFFSET( Za!$F$12:$F$63,0,(M8*48)-(IF(M8=7/24,9,IF(M8=12.5/24,9,IF(M8=14/24,9,IF(M8=15.5/24,9,10)))))),0),0),Za!$B$13:$C$63,2,FALSE)="TL","",INDEX(Za!$B$12:$B$63,MATCH($A8,OFFSET( Za!$F$12:$F$63,0,(M8*48)-(IF(M8=7/24,9,IF(M8=12.5/24,9,IF(M8=14/24,9,IF(M8=15.5/24,9,10)))))),0),0)),"")</f>
        <v/>
      </c>
      <c r="O8" s="857">
        <f>9/48+(1/48)*MIN(IFERROR(MATCH($A8,Zo!$F$13:$AQ$13,0),100),IFERROR(MATCH($A8,Zo!$F$14:$AQ$14,0),100),IFERROR(MATCH($A8,Zo!$F$15:$AQ$15,0),100),IFERROR(MATCH($A8,Zo!$F$16:$AQ$16,0),100),IFERROR(MATCH($A8,Zo!$F$17:$AQ$17,0),100),IFERROR(MATCH($A8,Zo!$F$18:$AQ$18,0),100),IFERROR(MATCH($A8,Zo!$F$19:$AQ$19,0),100),IFERROR(MATCH($A8,Zo!$F$20:$AQ$20,0),100),IFERROR(MATCH($A8,Zo!$F$21:$AQ$21,0),100),IFERROR(MATCH($A8,Zo!$F$22:$AQ$22,0),100),IFERROR(MATCH($A8,Zo!$F$23:$AQ$23,0),100),IFERROR(MATCH($A8,Zo!$F$24:$AQ$24,0),100),IFERROR(MATCH($A8,Zo!$F$25:$AQ$25,0),100),IFERROR(MATCH($A8,Zo!$F$26:$AQ$26,0),100),IFERROR(MATCH($A8,Zo!$F$27:$AQ$27,0),100),IFERROR(MATCH($A8,Zo!$F$28:$AQ$28,0),100),IFERROR(MATCH($A8,Zo!$F$29:$AQ$29,0),100),IFERROR(MATCH($A8,Zo!$F$30:$AQ$30,0),100),IFERROR(MATCH($A8,Zo!$F$31:$AQ$31,0),100),IFERROR(MATCH($A8,Zo!$F$32:$AQ$32,0),100),IFERROR(MATCH($A8,Zo!$F$33:$AQ$33,0),100),IFERROR(MATCH($A8,Zo!$F$34:$AQ$34,0),100),IFERROR(MATCH($A8,Zo!$F$35:$AQ$35,0),100),IFERROR(MATCH($A8,Zo!$F$36:$AQ$36,0),100),IFERROR(MATCH($A8,Zo!$F$37:$AQ$37,0),100),IFERROR(MATCH($A8,Zo!$F$38:$AQ$38,0),100),IFERROR(MATCH($A8,Zo!$F$39:$AQ$39,0),100),IFERROR(MATCH($A8,Zo!$F$40:$AQ$40,0),100),IFERROR(MATCH($A8,Zo!$F$41:$AQ$41,0),100),IFERROR(MATCH($A8,Zo!$F$42:$AQ$42,0),100),IFERROR(MATCH($A8,Zo!$F$43:$AQ$43,0),100),IFERROR(MATCH($A8,Zo!$F$44:$AQ$44,0),100),IFERROR(MATCH($A8,Zo!$F$45:$AQ$45,0),100),IFERROR(MATCH($A8,Zo!$F$46:$AQ$46,0),100),IFERROR(MATCH($A8,Zo!$F$47:$AQ$47,0),100),IFERROR(MATCH($A8,Zo!$F$48:$AQ$48,0),100),IFERROR(MATCH($A8,Zo!$F$49:$AQ$49,0),100),IFERROR(MATCH($A8,Zo!$F$50:$AQ$50,0),100),IFERROR(MATCH($A8,Zo!$F$51:$AQ$51,0),100),IFERROR(MATCH($A8,Zo!$F$52:$AQ$52,0),100),IFERROR(MATCH($A8,Zo!$F$53:$AQ$53,0),100),IFERROR(MATCH($A8,Zo!$F$54:$AQ$54,0),100),IFERROR(MATCH($A8,Zo!$F$55:$AQ$55,0),100),IFERROR(MATCH($A8,Zo!$F$56:$AQ$56,0),100),IFERROR(MATCH($A8,Zo!$F$57:$AQ$57,0),100),IFERROR(MATCH($A8,Zo!$F$58:$AQ$58,0),100),IFERROR(MATCH($A8,Zo!$F$59:$AQ$59,0),100),IFERROR(MATCH($A8,Zo!$F$60:$AQ$60,0),100),IFERROR(MATCH($A8,Zo!$F$61:$AQ$61,0),100),IFERROR(MATCH($A8,Zo!$F$62:$AQ$62,0),100),IFERROR(MATCH($A8,Zo!$F$63:$AQ$63,0),100),39)</f>
        <v/>
      </c>
      <c r="P8" s="66">
        <f>IFERROR(IF(VLOOKUP(INDEX(Zo!$B$12:$B$63,MATCH($A8,OFFSET( Zo!$F$12:$F$63,0,(O8*48)-(IF(O8=7/24,9,IF(O8=12.5/24,9,IF(O8=14/24,9,IF(O8=15.5/24,9,10)))))),0),0),Zo!$B$13:$C$63,2,FALSE)="TL","",INDEX(Zo!$B$12:$B$63,MATCH($A8,OFFSET( Zo!$F$12:$F$63,0,(O8*48)-(IF(O8=7/24,9,IF(O8=12.5/24,9,IF(O8=14/24,9,IF(O8=15.5/24,9,10)))))),0),0)),"")</f>
        <v/>
      </c>
    </row>
    <row r="9" ht="15" customHeight="1">
      <c r="A9" s="66" t="inlineStr">
        <is>
          <t>rd</t>
        </is>
      </c>
      <c r="B9" s="67">
        <f>A9</f>
        <v/>
      </c>
      <c r="C9" s="857">
        <f>9/48+(1/48)*MIN(IFERROR(MATCH($A9,Ma!$F$13:$AQ$13,0),100),IFERROR(MATCH($A9,Ma!$F$14:$AQ$14,0),100),IFERROR(MATCH($A9,Ma!$F$15:$AQ$15,0),100),IFERROR(MATCH($A9,Ma!$F$16:$AQ$16,0),100),IFERROR(MATCH($A9,Ma!$F$17:$AQ$17,0),100),IFERROR(MATCH($A9,Ma!$F$18:$AQ$18,0),100),IFERROR(MATCH($A9,Ma!$F$19:$AQ$19,0),100),IFERROR(MATCH($A9,Ma!$F$20:$AQ$20,0),100),IFERROR(MATCH($A9,Ma!$F$21:$AQ$21,0),100),IFERROR(MATCH($A9,Ma!$F$22:$AQ$22,0),100),IFERROR(MATCH($A9,Ma!$F$23:$AQ$23,0),100),IFERROR(MATCH($A9,Ma!$F$24:$AQ$24,0),100),IFERROR(MATCH($A9,Ma!$F$25:$AQ$25,0),100),IFERROR(MATCH($A9,Ma!$F$26:$AQ$26,0),100),IFERROR(MATCH($A9,Ma!$F$27:$AQ$27,0),100),IFERROR(MATCH($A9,Ma!$F$28:$AQ$28,0),100),IFERROR(MATCH($A9,Ma!$F$29:$AQ$29,0),100),IFERROR(MATCH($A9,Ma!$F$30:$AQ$30,0),100),IFERROR(MATCH($A9,Ma!$F$31:$AQ$31,0),100),IFERROR(MATCH($A9,Ma!$F$32:$AQ$32,0),100),IFERROR(MATCH($A9,Ma!$F$33:$AQ$33,0),100),IFERROR(MATCH($A9,Ma!$F$34:$AQ$34,0),100),IFERROR(MATCH($A9,Ma!$F$35:$AQ$35,0),100),IFERROR(MATCH($A9,Ma!$F$36:$AQ$36,0),100),IFERROR(MATCH($A9,Ma!$F$37:$AQ$37,0),100),IFERROR(MATCH($A9,Ma!$F$38:$AQ$38,0),100),IFERROR(MATCH($A9,Ma!$F$39:$AQ$39,0),100),IFERROR(MATCH($A9,Ma!$F$40:$AQ$40,0),100),IFERROR(MATCH($A9,Ma!$F$41:$AQ$41,0),100),IFERROR(MATCH($A9,Ma!$F$42:$AQ$42,0),100),IFERROR(MATCH($A9,Ma!$F$43:$AQ$43,0),100),IFERROR(MATCH($A9,Ma!$F$44:$AQ$44,0),100),IFERROR(MATCH($A9,Ma!$F$45:$AQ$45,0),100),IFERROR(MATCH($A9,Ma!$F$46:$AQ$46,0),100),IFERROR(MATCH($A9,Ma!$F$47:$AQ$47,0),100),IFERROR(MATCH($A9,Ma!$F$48:$AQ$48,0),100),IFERROR(MATCH($A9,Ma!$F$49:$AQ$49,0),100),IFERROR(MATCH($A9,Ma!$F$50:$AQ$50,0),100),IFERROR(MATCH($A9,Ma!$F$51:$AQ$51,0),100),IFERROR(MATCH($A9,Ma!$F$52:$AQ$52,0),100),IFERROR(MATCH($A9,Ma!$F$53:$AQ$53,0),100),IFERROR(MATCH($A9,Ma!$F$54:$AQ$54,0),100),IFERROR(MATCH($A9,Ma!$F$55:$AQ$55,0),100),IFERROR(MATCH($A9,Ma!$F$56:$AQ$56,0),100),IFERROR(MATCH($A9,Ma!$F$57:$AQ$57,0),100),IFERROR(MATCH($A9,Ma!$F$58:$AQ$58,0),100),IFERROR(MATCH($A9,Ma!$F$59:$AQ$59,0),100),IFERROR(MATCH($A9,Ma!$F$60:$AQ$60,0),100),IFERROR(MATCH($A9,Ma!$F$61:$AQ$61,0),100),IFERROR(MATCH($A9,Ma!$F$62:$AQ$62,0),100),IFERROR(MATCH($A9,Ma!$F$63:$AQ$63,0),100),39)</f>
        <v/>
      </c>
      <c r="D9" s="66">
        <f>IFERROR(IF(VLOOKUP(INDEX(Ma!$B$12:$B$63,MATCH($A9,OFFSET( Ma!$F$12:$F$63,0,(C9*48)-(IF(C9=7/24,9,IF(C9=12.5/24,9,IF(C9=14/24,9,IF(C9=15.5/24,9,10)))))),0),0),Ma!$B$13:$C$63,2,FALSE)="TL","",INDEX(Ma!$B$12:$B$63,MATCH($A9,OFFSET( Ma!$F$12:$F$63,0,(C9*48)-(IF(C9=7/24,9,IF(C9=12.5/24,9,IF(C9=14/24,9,IF(C9=15.5/24,9,10)))))),0),0)),"")</f>
        <v/>
      </c>
      <c r="E9" s="857">
        <f>9/48+(1/48)*MIN(IFERROR(MATCH($A9,Di!$F$13:$AQ$13,0),100),IFERROR(MATCH($A9,Di!$F$14:$AQ$14,0),100),IFERROR(MATCH($A9,Di!$F$15:$AQ$15,0),100),IFERROR(MATCH($A9,Di!$F$16:$AQ$16,0),100),IFERROR(MATCH($A9,Di!$F$17:$AQ$17,0),100),IFERROR(MATCH($A9,Di!$F$18:$AQ$18,0),100),IFERROR(MATCH($A9,Di!$F$19:$AQ$19,0),100),IFERROR(MATCH($A9,Di!$F$20:$AQ$20,0),100),IFERROR(MATCH($A9,Di!$F$21:$AQ$21,0),100),IFERROR(MATCH($A9,Di!$F$22:$AQ$22,0),100),IFERROR(MATCH($A9,Di!$F$23:$AQ$23,0),100),IFERROR(MATCH($A9,Di!$F$24:$AQ$24,0),100),IFERROR(MATCH($A9,Di!$F$25:$AQ$25,0),100),IFERROR(MATCH($A9,Di!$F$26:$AQ$26,0),100),IFERROR(MATCH($A9,Di!$F$27:$AQ$27,0),100),IFERROR(MATCH($A9,Di!$F$28:$AQ$28,0),100),IFERROR(MATCH($A9,Di!$F$29:$AQ$29,0),100),IFERROR(MATCH($A9,Di!$F$30:$AQ$30,0),100),IFERROR(MATCH($A9,Di!$F$31:$AQ$31,0),100),IFERROR(MATCH($A9,Di!$F$32:$AQ$32,0),100),IFERROR(MATCH($A9,Di!$F$33:$AQ$33,0),100),IFERROR(MATCH($A9,Di!$F$34:$AQ$34,0),100),IFERROR(MATCH($A9,Di!$F$35:$AQ$35,0),100),IFERROR(MATCH($A9,Di!$F$36:$AQ$36,0),100),IFERROR(MATCH($A9,Di!$F$37:$AQ$37,0),100),IFERROR(MATCH($A9,Di!$F$38:$AQ$38,0),100),IFERROR(MATCH($A9,Di!$F$39:$AQ$39,0),100),IFERROR(MATCH($A9,Di!$F$40:$AQ$40,0),100),IFERROR(MATCH($A9,Di!$F$41:$AQ$41,0),100),IFERROR(MATCH($A9,Di!$F$42:$AQ$42,0),100),IFERROR(MATCH($A9,Di!$F$43:$AQ$43,0),100),IFERROR(MATCH($A9,Di!$F$44:$AQ$44,0),100),IFERROR(MATCH($A9,Di!$F$45:$AQ$45,0),100),IFERROR(MATCH($A9,Di!$F$46:$AQ$46,0),100),IFERROR(MATCH($A9,Di!$F$47:$AQ$47,0),100),IFERROR(MATCH($A9,Di!$F$48:$AQ$48,0),100),IFERROR(MATCH($A9,Di!$F$49:$AQ$49,0),100),IFERROR(MATCH($A9,Di!$F$50:$AQ$50,0),100),IFERROR(MATCH($A9,Di!$F$51:$AQ$51,0),100),IFERROR(MATCH($A9,Di!$F$52:$AQ$52,0),100),IFERROR(MATCH($A9,Di!$F$53:$AQ$53,0),100),IFERROR(MATCH($A9,Di!$F$54:$AQ$54,0),100),IFERROR(MATCH($A9,Di!$F$55:$AQ$55,0),100),IFERROR(MATCH($A9,Di!$F$56:$AQ$56,0),100),IFERROR(MATCH($A9,Di!$F$57:$AQ$57,0),100),IFERROR(MATCH($A9,Di!$F$58:$AQ$58,0),100),IFERROR(MATCH($A9,Di!$F$59:$AQ$59,0),100),IFERROR(MATCH($A9,Di!$F$60:$AQ$60,0),100),IFERROR(MATCH($A9,Di!$F$61:$AQ$61,0),100),IFERROR(MATCH($A9,Di!$F$62:$AQ$62,0),100),IFERROR(MATCH($A9,Di!$F$63:$AQ$63,0),100),39)</f>
        <v/>
      </c>
      <c r="F9" s="66">
        <f>IFERROR(IF(VLOOKUP(INDEX(Di!$B$12:$B$63,MATCH($A9,OFFSET( Di!$F$12:$F$63,0,(E9*48)-(IF(E9=7/24,9,IF(E9=12.5/24,9,IF(E9=14/24,9,IF(E9=15.5/24,9,10)))))),0),0),Di!$B$13:$C$63,2,FALSE)="TL","",INDEX(Di!$B$12:$B$63,MATCH($A9,OFFSET( Di!$F$12:$F$63,0,(E9*48)-(IF(E9=7/24,9,IF(E9=12.5/24,9,IF(E9=14/24,9,IF(E9=15.5/24,9,10)))))),0),0)),"")</f>
        <v/>
      </c>
      <c r="G9" s="857">
        <f>9/48+(1/48)*MIN(IFERROR(MATCH($A9,Wo!$F$13:$AQ$13,0),100),IFERROR(MATCH($A9,Wo!$F$14:$AQ$14,0),100),IFERROR(MATCH($A9,Wo!$F$15:$AQ$15,0),100),IFERROR(MATCH($A9,Wo!$F$16:$AQ$16,0),100),IFERROR(MATCH($A9,Wo!$F$17:$AQ$17,0),100),IFERROR(MATCH($A9,Wo!$F$18:$AQ$18,0),100),IFERROR(MATCH($A9,Wo!$F$19:$AQ$19,0),100),IFERROR(MATCH($A9,Wo!$F$20:$AQ$20,0),100),IFERROR(MATCH($A9,Wo!$F$21:$AQ$21,0),100),IFERROR(MATCH($A9,Wo!$F$22:$AQ$22,0),100),IFERROR(MATCH($A9,Wo!$F$23:$AQ$23,0),100),IFERROR(MATCH($A9,Wo!$F$24:$AQ$24,0),100),IFERROR(MATCH($A9,Wo!$F$25:$AQ$25,0),100),IFERROR(MATCH($A9,Wo!$F$26:$AQ$26,0),100),IFERROR(MATCH($A9,Wo!$F$27:$AQ$27,0),100),IFERROR(MATCH($A9,Wo!$F$28:$AQ$28,0),100),IFERROR(MATCH($A9,Wo!$F$29:$AQ$29,0),100),IFERROR(MATCH($A9,Wo!$F$30:$AQ$30,0),100),IFERROR(MATCH($A9,Wo!$F$31:$AQ$31,0),100),IFERROR(MATCH($A9,Wo!$F$32:$AQ$32,0),100),IFERROR(MATCH($A9,Wo!$F$33:$AQ$33,0),100),IFERROR(MATCH($A9,Wo!$F$34:$AQ$34,0),100),IFERROR(MATCH($A9,Wo!$F$35:$AQ$35,0),100),IFERROR(MATCH($A9,Wo!$F$36:$AQ$36,0),100),IFERROR(MATCH($A9,Wo!$F$37:$AQ$37,0),100),IFERROR(MATCH($A9,Wo!$F$38:$AQ$38,0),100),IFERROR(MATCH($A9,Wo!$F$39:$AQ$39,0),100),IFERROR(MATCH($A9,Wo!$F$40:$AQ$40,0),100),IFERROR(MATCH($A9,Wo!$F$41:$AQ$41,0),100),IFERROR(MATCH($A9,Wo!$F$42:$AQ$42,0),100),IFERROR(MATCH($A9,Wo!$F$43:$AQ$43,0),100),IFERROR(MATCH($A9,Wo!$F$44:$AQ$44,0),100),IFERROR(MATCH($A9,Wo!$F$45:$AQ$45,0),100),IFERROR(MATCH($A9,Wo!$F$46:$AQ$46,0),100),IFERROR(MATCH($A9,Wo!$F$47:$AQ$47,0),100),IFERROR(MATCH($A9,Wo!$F$48:$AQ$48,0),100),IFERROR(MATCH($A9,Wo!$F$49:$AQ$49,0),100),IFERROR(MATCH($A9,Wo!$F$50:$AQ$50,0),100),IFERROR(MATCH($A9,Wo!$F$51:$AQ$51,0),100),IFERROR(MATCH($A9,Wo!$F$52:$AQ$52,0),100),IFERROR(MATCH($A9,Wo!$F$53:$AQ$53,0),100),IFERROR(MATCH($A9,Wo!$F$54:$AQ$54,0),100),IFERROR(MATCH($A9,Wo!$F$55:$AQ$55,0),100),IFERROR(MATCH($A9,Wo!$F$56:$AQ$56,0),100),IFERROR(MATCH($A9,Wo!$F$57:$AQ$57,0),100),IFERROR(MATCH($A9,Wo!$F$58:$AQ$58,0),100),IFERROR(MATCH($A9,Wo!$F$59:$AQ$59,0),100),IFERROR(MATCH($A9,Wo!$F$60:$AQ$60,0),100),IFERROR(MATCH($A9,Wo!$F$61:$AQ$61,0),100),IFERROR(MATCH($A9,Wo!$F$62:$AQ$62,0),100),IFERROR(MATCH($A9,Wo!$F$63:$AQ$63,0),100),39)</f>
        <v/>
      </c>
      <c r="H9" s="66">
        <f>IFERROR(IF(VLOOKUP(INDEX(Wo!$B$12:$B$63,MATCH($A9,OFFSET( Wo!$F$12:$F$63,0,(G9*48)-(IF(G9=7/24,9,IF(G9=12.5/24,9,IF(G9=14/24,9,IF(G9=15.5/24,9,10)))))),0),0),Wo!$B$13:$C$63,2,FALSE)="TL","",INDEX(Wo!$B$12:$B$63,MATCH($A9,OFFSET( Wo!$F$12:$F$63,0,(G9*48)-(IF(G9=7/24,9,IF(G9=12.5/24,9,IF(G9=14/24,9,IF(G9=15.5/24,9,10)))))),0),0)),"")</f>
        <v/>
      </c>
      <c r="I9" s="857">
        <f>9/48+(1/48)*MIN(IFERROR(MATCH($A9,Do!$F$13:$AQ$13,0),100),IFERROR(MATCH($A9,Do!$F$14:$AQ$14,0),100),IFERROR(MATCH($A9,Do!$F$15:$AQ$15,0),100),IFERROR(MATCH($A9,Do!$F$16:$AQ$16,0),100),IFERROR(MATCH($A9,Do!$F$17:$AQ$17,0),100),IFERROR(MATCH($A9,Do!$F$18:$AQ$18,0),100),IFERROR(MATCH($A9,Do!$F$19:$AQ$19,0),100),IFERROR(MATCH($A9,Do!$F$20:$AQ$20,0),100),IFERROR(MATCH($A9,Do!$F$21:$AQ$21,0),100),IFERROR(MATCH($A9,Do!$F$22:$AQ$22,0),100),IFERROR(MATCH($A9,Do!$F$23:$AQ$23,0),100),IFERROR(MATCH($A9,Do!$F$24:$AQ$24,0),100),IFERROR(MATCH($A9,Do!$F$25:$AQ$25,0),100),IFERROR(MATCH($A9,Do!$F$26:$AQ$26,0),100),IFERROR(MATCH($A9,Do!$F$27:$AQ$27,0),100),IFERROR(MATCH($A9,Do!$F$28:$AQ$28,0),100),IFERROR(MATCH($A9,Do!$F$29:$AQ$29,0),100),IFERROR(MATCH($A9,Do!$F$30:$AQ$30,0),100),IFERROR(MATCH($A9,Do!$F$31:$AQ$31,0),100),IFERROR(MATCH($A9,Do!$F$32:$AQ$32,0),100),IFERROR(MATCH($A9,Do!$F$33:$AQ$33,0),100),IFERROR(MATCH($A9,Do!$F$34:$AQ$34,0),100),IFERROR(MATCH($A9,Do!$F$35:$AQ$35,0),100),IFERROR(MATCH($A9,Do!$F$36:$AQ$36,0),100),IFERROR(MATCH($A9,Do!$F$37:$AQ$37,0),100),IFERROR(MATCH($A9,Do!$F$38:$AQ$38,0),100),IFERROR(MATCH($A9,Do!$F$39:$AQ$39,0),100),IFERROR(MATCH($A9,Do!$F$40:$AQ$40,0),100),IFERROR(MATCH($A9,Do!$F$41:$AQ$41,0),100),IFERROR(MATCH($A9,Do!$F$42:$AQ$42,0),100),IFERROR(MATCH($A9,Do!$F$43:$AQ$43,0),100),IFERROR(MATCH($A9,Do!$F$44:$AQ$44,0),100),IFERROR(MATCH($A9,Do!$F$45:$AQ$45,0),100),IFERROR(MATCH($A9,Do!$F$46:$AQ$46,0),100),IFERROR(MATCH($A9,Do!$F$47:$AQ$47,0),100),IFERROR(MATCH($A9,Do!$F$48:$AQ$48,0),100),IFERROR(MATCH($A9,Do!$F$49:$AQ$49,0),100),IFERROR(MATCH($A9,Do!$F$50:$AQ$50,0),100),IFERROR(MATCH($A9,Do!$F$51:$AQ$51,0),100),IFERROR(MATCH($A9,Do!$F$52:$AQ$52,0),100),IFERROR(MATCH($A9,Do!$F$53:$AQ$53,0),100),IFERROR(MATCH($A9,Do!$F$54:$AQ$54,0),100),IFERROR(MATCH($A9,Do!$F$55:$AQ$55,0),100),IFERROR(MATCH($A9,Do!$F$56:$AQ$56,0),100),IFERROR(MATCH($A9,Do!$F$57:$AQ$57,0),100),IFERROR(MATCH($A9,Do!$F$58:$AQ$58,0),100),IFERROR(MATCH($A9,Do!$F$59:$AQ$59,0),100),IFERROR(MATCH($A9,Do!$F$60:$AQ$60,0),100),IFERROR(MATCH($A9,Do!$F$61:$AQ$61,0),100),IFERROR(MATCH($A9,Do!$F$62:$AQ$62,0),100),IFERROR(MATCH($A9,Do!$F$63:$AQ$63,0),100),39)</f>
        <v/>
      </c>
      <c r="J9" s="66">
        <f>IFERROR(IF(VLOOKUP(INDEX(Do!$B$12:$B$63,MATCH($A9,OFFSET( Do!$F$12:$F$63,0,(I9*48)-(IF(I9=7/24,9,IF(I9=12.5/24,9,IF(I9=14/24,9,IF(I9=15.5/24,9,10)))))),0),0),Do!$B$13:$C$63,2,FALSE)="TL","",INDEX(Do!$B$12:$B$63,MATCH($A9,OFFSET( Do!$F$12:$F$63,0,(I9*48)-(IF(I9=7/24,9,IF(I9=12.5/24,9,IF(I9=14/24,9,IF(I9=15.5/24,9,10)))))),0),0)),"")</f>
        <v/>
      </c>
      <c r="K9" s="857">
        <f>9/48+(1/48)*MIN(IFERROR(MATCH($A9,Vr!$F$13:$AQ$13,0),100),IFERROR(MATCH($A9,Vr!$F$14:$AQ$14,0),100),IFERROR(MATCH($A9,Vr!$F$15:$AQ$15,0),100),IFERROR(MATCH($A9,Vr!$F$16:$AQ$16,0),100),IFERROR(MATCH($A9,Vr!$F$17:$AQ$17,0),100),IFERROR(MATCH($A9,Vr!$F$18:$AQ$18,0),100),IFERROR(MATCH($A9,Vr!$F$19:$AQ$19,0),100),IFERROR(MATCH($A9,Vr!$F$20:$AQ$20,0),100),IFERROR(MATCH($A9,Vr!$F$21:$AQ$21,0),100),IFERROR(MATCH($A9,Vr!$F$22:$AQ$22,0),100),IFERROR(MATCH($A9,Vr!$F$23:$AQ$23,0),100),IFERROR(MATCH($A9,Vr!$F$24:$AQ$24,0),100),IFERROR(MATCH($A9,Vr!$F$25:$AQ$25,0),100),IFERROR(MATCH($A9,Vr!$F$26:$AQ$26,0),100),IFERROR(MATCH($A9,Vr!$F$27:$AQ$27,0),100),IFERROR(MATCH($A9,Vr!$F$28:$AQ$28,0),100),IFERROR(MATCH($A9,Vr!$F$29:$AQ$29,0),100),IFERROR(MATCH($A9,Vr!$F$30:$AQ$30,0),100),IFERROR(MATCH($A9,Vr!$F$31:$AQ$31,0),100),IFERROR(MATCH($A9,Vr!$F$32:$AQ$32,0),100),IFERROR(MATCH($A9,Vr!$F$33:$AQ$33,0),100),IFERROR(MATCH($A9,Vr!$F$34:$AQ$34,0),100),IFERROR(MATCH($A9,Vr!$F$35:$AQ$35,0),100),IFERROR(MATCH($A9,Vr!$F$36:$AQ$36,0),100),IFERROR(MATCH($A9,Vr!$F$37:$AQ$37,0),100),IFERROR(MATCH($A9,Vr!$F$38:$AQ$38,0),100),IFERROR(MATCH($A9,Vr!$F$39:$AQ$39,0),100),IFERROR(MATCH($A9,Vr!$F$40:$AQ$40,0),100),IFERROR(MATCH($A9,Vr!$F$41:$AQ$41,0),100),IFERROR(MATCH($A9,Vr!$F$42:$AQ$42,0),100),IFERROR(MATCH($A9,Vr!$F$43:$AQ$43,0),100),IFERROR(MATCH($A9,Vr!$F$44:$AQ$44,0),100),IFERROR(MATCH($A9,Vr!$F$45:$AQ$45,0),100),IFERROR(MATCH($A9,Vr!$F$46:$AQ$46,0),100),IFERROR(MATCH($A9,Vr!$F$47:$AQ$47,0),100),IFERROR(MATCH($A9,Vr!$F$48:$AQ$48,0),100),IFERROR(MATCH($A9,Vr!$F$49:$AQ$49,0),100),IFERROR(MATCH($A9,Vr!$F$50:$AQ$50,0),100),IFERROR(MATCH($A9,Vr!$F$51:$AQ$51,0),100),IFERROR(MATCH($A9,Vr!$F$52:$AQ$52,0),100),IFERROR(MATCH($A9,Vr!$F$53:$AQ$53,0),100),IFERROR(MATCH($A9,Vr!$F$54:$AQ$54,0),100),IFERROR(MATCH($A9,Vr!$F$55:$AQ$55,0),100),IFERROR(MATCH($A9,Vr!$F$56:$AQ$56,0),100),IFERROR(MATCH($A9,Vr!$F$57:$AQ$57,0),100),IFERROR(MATCH($A9,Vr!$F$58:$AQ$58,0),100),IFERROR(MATCH($A9,Vr!$F$59:$AQ$59,0),100),IFERROR(MATCH($A9,Vr!$F$60:$AQ$60,0),100),IFERROR(MATCH($A9,Vr!$F$61:$AQ$61,0),100),IFERROR(MATCH($A9,Vr!$F$62:$AQ$62,0),100),IFERROR(MATCH($A9,Vr!$F$63:$AQ$63,0),100),39)</f>
        <v/>
      </c>
      <c r="L9" s="66">
        <f>IFERROR(IF(VLOOKUP(INDEX(Vr!$B$12:$B$63,MATCH($A9,OFFSET( Vr!$F$12:$F$63,0,(K9*48)-(IF(K9=7/24,9,IF(K9=12.5/24,9,IF(K9=14/24,9,IF(K9=15.5/24,9,10)))))),0),0),Vr!$B$13:$C$63,2,FALSE)="TL","",INDEX(Vr!$B$12:$B$63,MATCH($A9,OFFSET( Vr!$F$12:$F$63,0,(K9*48)-(IF(K9=7/24,9,IF(K9=12.5/24,9,IF(K9=14/24,9,IF(K9=15.5/24,9,10)))))),0),0)),"")</f>
        <v/>
      </c>
      <c r="M9" s="857">
        <f>9/48+(1/48)*MIN(IFERROR(MATCH($A9,Za!$F$13:$AQ$13,0),100),IFERROR(MATCH($A9,Za!$F$14:$AQ$14,0),100),IFERROR(MATCH($A9,Za!$F$15:$AQ$15,0),100),IFERROR(MATCH($A9,Za!$F$16:$AQ$16,0),100),IFERROR(MATCH($A9,Za!$F$17:$AQ$17,0),100),IFERROR(MATCH($A9,Za!$F$18:$AQ$18,0),100),IFERROR(MATCH($A9,Za!$F$19:$AQ$19,0),100),IFERROR(MATCH($A9,Za!$F$20:$AQ$20,0),100),IFERROR(MATCH($A9,Za!$F$21:$AQ$21,0),100),IFERROR(MATCH($A9,Za!$F$22:$AQ$22,0),100),IFERROR(MATCH($A9,Za!$F$23:$AQ$23,0),100),IFERROR(MATCH($A9,Za!$F$24:$AQ$24,0),100),IFERROR(MATCH($A9,Za!$F$25:$AQ$25,0),100),IFERROR(MATCH($A9,Za!$F$26:$AQ$26,0),100),IFERROR(MATCH($A9,Za!$F$27:$AQ$27,0),100),IFERROR(MATCH($A9,Za!$F$28:$AQ$28,0),100),IFERROR(MATCH($A9,Za!$F$29:$AQ$29,0),100),IFERROR(MATCH($A9,Za!$F$30:$AQ$30,0),100),IFERROR(MATCH($A9,Za!$F$31:$AQ$31,0),100),IFERROR(MATCH($A9,Za!$F$32:$AQ$32,0),100),IFERROR(MATCH($A9,Za!$F$33:$AQ$33,0),100),IFERROR(MATCH($A9,Za!$F$34:$AQ$34,0),100),IFERROR(MATCH($A9,Za!$F$35:$AQ$35,0),100),IFERROR(MATCH($A9,Za!$F$36:$AQ$36,0),100),IFERROR(MATCH($A9,Za!$F$37:$AQ$37,0),100),IFERROR(MATCH($A9,Za!$F$38:$AQ$38,0),100),IFERROR(MATCH($A9,Za!$F$39:$AQ$39,0),100),IFERROR(MATCH($A9,Za!$F$40:$AQ$40,0),100),IFERROR(MATCH($A9,Za!$F$41:$AQ$41,0),100),IFERROR(MATCH($A9,Za!$F$42:$AQ$42,0),100),IFERROR(MATCH($A9,Za!$F$43:$AQ$43,0),100),IFERROR(MATCH($A9,Za!$F$44:$AQ$44,0),100),IFERROR(MATCH($A9,Za!$F$45:$AQ$45,0),100),IFERROR(MATCH($A9,Za!$F$46:$AQ$46,0),100),IFERROR(MATCH($A9,Za!$F$47:$AQ$47,0),100),IFERROR(MATCH($A9,Za!$F$48:$AQ$48,0),100),IFERROR(MATCH($A9,Za!$F$49:$AQ$49,0),100),IFERROR(MATCH($A9,Za!$F$50:$AQ$50,0),100),IFERROR(MATCH($A9,Za!$F$51:$AQ$51,0),100),IFERROR(MATCH($A9,Za!$F$52:$AQ$52,0),100),IFERROR(MATCH($A9,Za!$F$53:$AQ$53,0),100),IFERROR(MATCH($A9,Za!$F$54:$AQ$54,0),100),IFERROR(MATCH($A9,Za!$F$55:$AQ$55,0),100),IFERROR(MATCH($A9,Za!$F$56:$AQ$56,0),100),IFERROR(MATCH($A9,Za!$F$57:$AQ$57,0),100),IFERROR(MATCH($A9,Za!$F$58:$AQ$58,0),100),IFERROR(MATCH($A9,Za!$F$59:$AQ$59,0),100),IFERROR(MATCH($A9,Za!$F$60:$AQ$60,0),100),IFERROR(MATCH($A9,Za!$F$61:$AQ$61,0),100),IFERROR(MATCH($A9,Za!$F$62:$AQ$62,0),100),IFERROR(MATCH($A9,Za!$F$63:$AQ$63,0),100),39)</f>
        <v/>
      </c>
      <c r="N9" s="66">
        <f>IFERROR(IF(VLOOKUP(INDEX(Za!$B$12:$B$63,MATCH($A9,OFFSET( Za!$F$12:$F$63,0,(M9*48)-(IF(M9=7/24,9,IF(M9=12.5/24,9,IF(M9=14/24,9,IF(M9=15.5/24,9,10)))))),0),0),Za!$B$13:$C$63,2,FALSE)="TL","",INDEX(Za!$B$12:$B$63,MATCH($A9,OFFSET( Za!$F$12:$F$63,0,(M9*48)-(IF(M9=7/24,9,IF(M9=12.5/24,9,IF(M9=14/24,9,IF(M9=15.5/24,9,10)))))),0),0)),"")</f>
        <v/>
      </c>
      <c r="O9" s="857">
        <f>9/48+(1/48)*MIN(IFERROR(MATCH($A9,Zo!$F$13:$AQ$13,0),100),IFERROR(MATCH($A9,Zo!$F$14:$AQ$14,0),100),IFERROR(MATCH($A9,Zo!$F$15:$AQ$15,0),100),IFERROR(MATCH($A9,Zo!$F$16:$AQ$16,0),100),IFERROR(MATCH($A9,Zo!$F$17:$AQ$17,0),100),IFERROR(MATCH($A9,Zo!$F$18:$AQ$18,0),100),IFERROR(MATCH($A9,Zo!$F$19:$AQ$19,0),100),IFERROR(MATCH($A9,Zo!$F$20:$AQ$20,0),100),IFERROR(MATCH($A9,Zo!$F$21:$AQ$21,0),100),IFERROR(MATCH($A9,Zo!$F$22:$AQ$22,0),100),IFERROR(MATCH($A9,Zo!$F$23:$AQ$23,0),100),IFERROR(MATCH($A9,Zo!$F$24:$AQ$24,0),100),IFERROR(MATCH($A9,Zo!$F$25:$AQ$25,0),100),IFERROR(MATCH($A9,Zo!$F$26:$AQ$26,0),100),IFERROR(MATCH($A9,Zo!$F$27:$AQ$27,0),100),IFERROR(MATCH($A9,Zo!$F$28:$AQ$28,0),100),IFERROR(MATCH($A9,Zo!$F$29:$AQ$29,0),100),IFERROR(MATCH($A9,Zo!$F$30:$AQ$30,0),100),IFERROR(MATCH($A9,Zo!$F$31:$AQ$31,0),100),IFERROR(MATCH($A9,Zo!$F$32:$AQ$32,0),100),IFERROR(MATCH($A9,Zo!$F$33:$AQ$33,0),100),IFERROR(MATCH($A9,Zo!$F$34:$AQ$34,0),100),IFERROR(MATCH($A9,Zo!$F$35:$AQ$35,0),100),IFERROR(MATCH($A9,Zo!$F$36:$AQ$36,0),100),IFERROR(MATCH($A9,Zo!$F$37:$AQ$37,0),100),IFERROR(MATCH($A9,Zo!$F$38:$AQ$38,0),100),IFERROR(MATCH($A9,Zo!$F$39:$AQ$39,0),100),IFERROR(MATCH($A9,Zo!$F$40:$AQ$40,0),100),IFERROR(MATCH($A9,Zo!$F$41:$AQ$41,0),100),IFERROR(MATCH($A9,Zo!$F$42:$AQ$42,0),100),IFERROR(MATCH($A9,Zo!$F$43:$AQ$43,0),100),IFERROR(MATCH($A9,Zo!$F$44:$AQ$44,0),100),IFERROR(MATCH($A9,Zo!$F$45:$AQ$45,0),100),IFERROR(MATCH($A9,Zo!$F$46:$AQ$46,0),100),IFERROR(MATCH($A9,Zo!$F$47:$AQ$47,0),100),IFERROR(MATCH($A9,Zo!$F$48:$AQ$48,0),100),IFERROR(MATCH($A9,Zo!$F$49:$AQ$49,0),100),IFERROR(MATCH($A9,Zo!$F$50:$AQ$50,0),100),IFERROR(MATCH($A9,Zo!$F$51:$AQ$51,0),100),IFERROR(MATCH($A9,Zo!$F$52:$AQ$52,0),100),IFERROR(MATCH($A9,Zo!$F$53:$AQ$53,0),100),IFERROR(MATCH($A9,Zo!$F$54:$AQ$54,0),100),IFERROR(MATCH($A9,Zo!$F$55:$AQ$55,0),100),IFERROR(MATCH($A9,Zo!$F$56:$AQ$56,0),100),IFERROR(MATCH($A9,Zo!$F$57:$AQ$57,0),100),IFERROR(MATCH($A9,Zo!$F$58:$AQ$58,0),100),IFERROR(MATCH($A9,Zo!$F$59:$AQ$59,0),100),IFERROR(MATCH($A9,Zo!$F$60:$AQ$60,0),100),IFERROR(MATCH($A9,Zo!$F$61:$AQ$61,0),100),IFERROR(MATCH($A9,Zo!$F$62:$AQ$62,0),100),IFERROR(MATCH($A9,Zo!$F$63:$AQ$63,0),100),39)</f>
        <v/>
      </c>
      <c r="P9" s="66">
        <f>IFERROR(IF(VLOOKUP(INDEX(Zo!$B$12:$B$63,MATCH($A9,OFFSET( Zo!$F$12:$F$63,0,(O9*48)-(IF(O9=7/24,9,IF(O9=12.5/24,9,IF(O9=14/24,9,IF(O9=15.5/24,9,10)))))),0),0),Zo!$B$13:$C$63,2,FALSE)="TL","",INDEX(Zo!$B$12:$B$63,MATCH($A9,OFFSET( Zo!$F$12:$F$63,0,(O9*48)-(IF(O9=7/24,9,IF(O9=12.5/24,9,IF(O9=14/24,9,IF(O9=15.5/24,9,10)))))),0),0)),"")</f>
        <v/>
      </c>
    </row>
    <row r="10" ht="15" customHeight="1">
      <c r="A10" s="66" t="inlineStr">
        <is>
          <t>rv</t>
        </is>
      </c>
      <c r="B10" s="67">
        <f>A10</f>
        <v/>
      </c>
      <c r="C10" s="857">
        <f>9/48+(1/48)*MIN(IFERROR(MATCH($A10,Ma!$F$13:$AQ$13,0),100),IFERROR(MATCH($A10,Ma!$F$14:$AQ$14,0),100),IFERROR(MATCH($A10,Ma!$F$15:$AQ$15,0),100),IFERROR(MATCH($A10,Ma!$F$16:$AQ$16,0),100),IFERROR(MATCH($A10,Ma!$F$17:$AQ$17,0),100),IFERROR(MATCH($A10,Ma!$F$18:$AQ$18,0),100),IFERROR(MATCH($A10,Ma!$F$19:$AQ$19,0),100),IFERROR(MATCH($A10,Ma!$F$20:$AQ$20,0),100),IFERROR(MATCH($A10,Ma!$F$21:$AQ$21,0),100),IFERROR(MATCH($A10,Ma!$F$22:$AQ$22,0),100),IFERROR(MATCH($A10,Ma!$F$23:$AQ$23,0),100),IFERROR(MATCH($A10,Ma!$F$24:$AQ$24,0),100),IFERROR(MATCH($A10,Ma!$F$25:$AQ$25,0),100),IFERROR(MATCH($A10,Ma!$F$26:$AQ$26,0),100),IFERROR(MATCH($A10,Ma!$F$27:$AQ$27,0),100),IFERROR(MATCH($A10,Ma!$F$28:$AQ$28,0),100),IFERROR(MATCH($A10,Ma!$F$29:$AQ$29,0),100),IFERROR(MATCH($A10,Ma!$F$30:$AQ$30,0),100),IFERROR(MATCH($A10,Ma!$F$31:$AQ$31,0),100),IFERROR(MATCH($A10,Ma!$F$32:$AQ$32,0),100),IFERROR(MATCH($A10,Ma!$F$33:$AQ$33,0),100),IFERROR(MATCH($A10,Ma!$F$34:$AQ$34,0),100),IFERROR(MATCH($A10,Ma!$F$35:$AQ$35,0),100),IFERROR(MATCH($A10,Ma!$F$36:$AQ$36,0),100),IFERROR(MATCH($A10,Ma!$F$37:$AQ$37,0),100),IFERROR(MATCH($A10,Ma!$F$38:$AQ$38,0),100),IFERROR(MATCH($A10,Ma!$F$39:$AQ$39,0),100),IFERROR(MATCH($A10,Ma!$F$40:$AQ$40,0),100),IFERROR(MATCH($A10,Ma!$F$41:$AQ$41,0),100),IFERROR(MATCH($A10,Ma!$F$42:$AQ$42,0),100),IFERROR(MATCH($A10,Ma!$F$43:$AQ$43,0),100),IFERROR(MATCH($A10,Ma!$F$44:$AQ$44,0),100),IFERROR(MATCH($A10,Ma!$F$45:$AQ$45,0),100),IFERROR(MATCH($A10,Ma!$F$46:$AQ$46,0),100),IFERROR(MATCH($A10,Ma!$F$47:$AQ$47,0),100),IFERROR(MATCH($A10,Ma!$F$48:$AQ$48,0),100),IFERROR(MATCH($A10,Ma!$F$49:$AQ$49,0),100),IFERROR(MATCH($A10,Ma!$F$50:$AQ$50,0),100),IFERROR(MATCH($A10,Ma!$F$51:$AQ$51,0),100),IFERROR(MATCH($A10,Ma!$F$52:$AQ$52,0),100),IFERROR(MATCH($A10,Ma!$F$53:$AQ$53,0),100),IFERROR(MATCH($A10,Ma!$F$54:$AQ$54,0),100),IFERROR(MATCH($A10,Ma!$F$55:$AQ$55,0),100),IFERROR(MATCH($A10,Ma!$F$56:$AQ$56,0),100),IFERROR(MATCH($A10,Ma!$F$57:$AQ$57,0),100),IFERROR(MATCH($A10,Ma!$F$58:$AQ$58,0),100),IFERROR(MATCH($A10,Ma!$F$59:$AQ$59,0),100),IFERROR(MATCH($A10,Ma!$F$60:$AQ$60,0),100),IFERROR(MATCH($A10,Ma!$F$61:$AQ$61,0),100),IFERROR(MATCH($A10,Ma!$F$62:$AQ$62,0),100),IFERROR(MATCH($A10,Ma!$F$63:$AQ$63,0),100),39)</f>
        <v/>
      </c>
      <c r="D10" s="66">
        <f>IFERROR(IF(VLOOKUP(INDEX(Ma!$B$12:$B$63,MATCH($A10,OFFSET( Ma!$F$12:$F$63,0,(C10*48)-(IF(C10=7/24,9,IF(C10=12.5/24,9,IF(C10=14/24,9,IF(C10=15.5/24,9,10)))))),0),0),Ma!$B$13:$C$63,2,FALSE)="TL","",INDEX(Ma!$B$12:$B$63,MATCH($A10,OFFSET( Ma!$F$12:$F$63,0,(C10*48)-(IF(C10=7/24,9,IF(C10=12.5/24,9,IF(C10=14/24,9,IF(C10=15.5/24,9,10)))))),0),0)),"")</f>
        <v/>
      </c>
      <c r="E10" s="857">
        <f>9/48+(1/48)*MIN(IFERROR(MATCH($A10,Di!$F$13:$AQ$13,0),100),IFERROR(MATCH($A10,Di!$F$14:$AQ$14,0),100),IFERROR(MATCH($A10,Di!$F$15:$AQ$15,0),100),IFERROR(MATCH($A10,Di!$F$16:$AQ$16,0),100),IFERROR(MATCH($A10,Di!$F$17:$AQ$17,0),100),IFERROR(MATCH($A10,Di!$F$18:$AQ$18,0),100),IFERROR(MATCH($A10,Di!$F$19:$AQ$19,0),100),IFERROR(MATCH($A10,Di!$F$20:$AQ$20,0),100),IFERROR(MATCH($A10,Di!$F$21:$AQ$21,0),100),IFERROR(MATCH($A10,Di!$F$22:$AQ$22,0),100),IFERROR(MATCH($A10,Di!$F$23:$AQ$23,0),100),IFERROR(MATCH($A10,Di!$F$24:$AQ$24,0),100),IFERROR(MATCH($A10,Di!$F$25:$AQ$25,0),100),IFERROR(MATCH($A10,Di!$F$26:$AQ$26,0),100),IFERROR(MATCH($A10,Di!$F$27:$AQ$27,0),100),IFERROR(MATCH($A10,Di!$F$28:$AQ$28,0),100),IFERROR(MATCH($A10,Di!$F$29:$AQ$29,0),100),IFERROR(MATCH($A10,Di!$F$30:$AQ$30,0),100),IFERROR(MATCH($A10,Di!$F$31:$AQ$31,0),100),IFERROR(MATCH($A10,Di!$F$32:$AQ$32,0),100),IFERROR(MATCH($A10,Di!$F$33:$AQ$33,0),100),IFERROR(MATCH($A10,Di!$F$34:$AQ$34,0),100),IFERROR(MATCH($A10,Di!$F$35:$AQ$35,0),100),IFERROR(MATCH($A10,Di!$F$36:$AQ$36,0),100),IFERROR(MATCH($A10,Di!$F$37:$AQ$37,0),100),IFERROR(MATCH($A10,Di!$F$38:$AQ$38,0),100),IFERROR(MATCH($A10,Di!$F$39:$AQ$39,0),100),IFERROR(MATCH($A10,Di!$F$40:$AQ$40,0),100),IFERROR(MATCH($A10,Di!$F$41:$AQ$41,0),100),IFERROR(MATCH($A10,Di!$F$42:$AQ$42,0),100),IFERROR(MATCH($A10,Di!$F$43:$AQ$43,0),100),IFERROR(MATCH($A10,Di!$F$44:$AQ$44,0),100),IFERROR(MATCH($A10,Di!$F$45:$AQ$45,0),100),IFERROR(MATCH($A10,Di!$F$46:$AQ$46,0),100),IFERROR(MATCH($A10,Di!$F$47:$AQ$47,0),100),IFERROR(MATCH($A10,Di!$F$48:$AQ$48,0),100),IFERROR(MATCH($A10,Di!$F$49:$AQ$49,0),100),IFERROR(MATCH($A10,Di!$F$50:$AQ$50,0),100),IFERROR(MATCH($A10,Di!$F$51:$AQ$51,0),100),IFERROR(MATCH($A10,Di!$F$52:$AQ$52,0),100),IFERROR(MATCH($A10,Di!$F$53:$AQ$53,0),100),IFERROR(MATCH($A10,Di!$F$54:$AQ$54,0),100),IFERROR(MATCH($A10,Di!$F$55:$AQ$55,0),100),IFERROR(MATCH($A10,Di!$F$56:$AQ$56,0),100),IFERROR(MATCH($A10,Di!$F$57:$AQ$57,0),100),IFERROR(MATCH($A10,Di!$F$58:$AQ$58,0),100),IFERROR(MATCH($A10,Di!$F$59:$AQ$59,0),100),IFERROR(MATCH($A10,Di!$F$60:$AQ$60,0),100),IFERROR(MATCH($A10,Di!$F$61:$AQ$61,0),100),IFERROR(MATCH($A10,Di!$F$62:$AQ$62,0),100),IFERROR(MATCH($A10,Di!$F$63:$AQ$63,0),100),39)</f>
        <v/>
      </c>
      <c r="F10" s="66">
        <f>IFERROR(IF(VLOOKUP(INDEX(Di!$B$12:$B$63,MATCH($A10,OFFSET( Di!$F$12:$F$63,0,(E10*48)-(IF(E10=7/24,9,IF(E10=12.5/24,9,IF(E10=14/24,9,IF(E10=15.5/24,9,10)))))),0),0),Di!$B$13:$C$63,2,FALSE)="TL","",INDEX(Di!$B$12:$B$63,MATCH($A10,OFFSET( Di!$F$12:$F$63,0,(E10*48)-(IF(E10=7/24,9,IF(E10=12.5/24,9,IF(E10=14/24,9,IF(E10=15.5/24,9,10)))))),0),0)),"")</f>
        <v/>
      </c>
      <c r="G10" s="857">
        <f>9/48+(1/48)*MIN(IFERROR(MATCH($A10,Wo!$F$13:$AQ$13,0),100),IFERROR(MATCH($A10,Wo!$F$14:$AQ$14,0),100),IFERROR(MATCH($A10,Wo!$F$15:$AQ$15,0),100),IFERROR(MATCH($A10,Wo!$F$16:$AQ$16,0),100),IFERROR(MATCH($A10,Wo!$F$17:$AQ$17,0),100),IFERROR(MATCH($A10,Wo!$F$18:$AQ$18,0),100),IFERROR(MATCH($A10,Wo!$F$19:$AQ$19,0),100),IFERROR(MATCH($A10,Wo!$F$20:$AQ$20,0),100),IFERROR(MATCH($A10,Wo!$F$21:$AQ$21,0),100),IFERROR(MATCH($A10,Wo!$F$22:$AQ$22,0),100),IFERROR(MATCH($A10,Wo!$F$23:$AQ$23,0),100),IFERROR(MATCH($A10,Wo!$F$24:$AQ$24,0),100),IFERROR(MATCH($A10,Wo!$F$25:$AQ$25,0),100),IFERROR(MATCH($A10,Wo!$F$26:$AQ$26,0),100),IFERROR(MATCH($A10,Wo!$F$27:$AQ$27,0),100),IFERROR(MATCH($A10,Wo!$F$28:$AQ$28,0),100),IFERROR(MATCH($A10,Wo!$F$29:$AQ$29,0),100),IFERROR(MATCH($A10,Wo!$F$30:$AQ$30,0),100),IFERROR(MATCH($A10,Wo!$F$31:$AQ$31,0),100),IFERROR(MATCH($A10,Wo!$F$32:$AQ$32,0),100),IFERROR(MATCH($A10,Wo!$F$33:$AQ$33,0),100),IFERROR(MATCH($A10,Wo!$F$34:$AQ$34,0),100),IFERROR(MATCH($A10,Wo!$F$35:$AQ$35,0),100),IFERROR(MATCH($A10,Wo!$F$36:$AQ$36,0),100),IFERROR(MATCH($A10,Wo!$F$37:$AQ$37,0),100),IFERROR(MATCH($A10,Wo!$F$38:$AQ$38,0),100),IFERROR(MATCH($A10,Wo!$F$39:$AQ$39,0),100),IFERROR(MATCH($A10,Wo!$F$40:$AQ$40,0),100),IFERROR(MATCH($A10,Wo!$F$41:$AQ$41,0),100),IFERROR(MATCH($A10,Wo!$F$42:$AQ$42,0),100),IFERROR(MATCH($A10,Wo!$F$43:$AQ$43,0),100),IFERROR(MATCH($A10,Wo!$F$44:$AQ$44,0),100),IFERROR(MATCH($A10,Wo!$F$45:$AQ$45,0),100),IFERROR(MATCH($A10,Wo!$F$46:$AQ$46,0),100),IFERROR(MATCH($A10,Wo!$F$47:$AQ$47,0),100),IFERROR(MATCH($A10,Wo!$F$48:$AQ$48,0),100),IFERROR(MATCH($A10,Wo!$F$49:$AQ$49,0),100),IFERROR(MATCH($A10,Wo!$F$50:$AQ$50,0),100),IFERROR(MATCH($A10,Wo!$F$51:$AQ$51,0),100),IFERROR(MATCH($A10,Wo!$F$52:$AQ$52,0),100),IFERROR(MATCH($A10,Wo!$F$53:$AQ$53,0),100),IFERROR(MATCH($A10,Wo!$F$54:$AQ$54,0),100),IFERROR(MATCH($A10,Wo!$F$55:$AQ$55,0),100),IFERROR(MATCH($A10,Wo!$F$56:$AQ$56,0),100),IFERROR(MATCH($A10,Wo!$F$57:$AQ$57,0),100),IFERROR(MATCH($A10,Wo!$F$58:$AQ$58,0),100),IFERROR(MATCH($A10,Wo!$F$59:$AQ$59,0),100),IFERROR(MATCH($A10,Wo!$F$60:$AQ$60,0),100),IFERROR(MATCH($A10,Wo!$F$61:$AQ$61,0),100),IFERROR(MATCH($A10,Wo!$F$62:$AQ$62,0),100),IFERROR(MATCH($A10,Wo!$F$63:$AQ$63,0),100),39)</f>
        <v/>
      </c>
      <c r="H10" s="66">
        <f>IFERROR(IF(VLOOKUP(INDEX(Wo!$B$12:$B$63,MATCH($A10,OFFSET( Wo!$F$12:$F$63,0,(G10*48)-(IF(G10=7/24,9,IF(G10=12.5/24,9,IF(G10=14/24,9,IF(G10=15.5/24,9,10)))))),0),0),Wo!$B$13:$C$63,2,FALSE)="TL","",INDEX(Wo!$B$12:$B$63,MATCH($A10,OFFSET( Wo!$F$12:$F$63,0,(G10*48)-(IF(G10=7/24,9,IF(G10=12.5/24,9,IF(G10=14/24,9,IF(G10=15.5/24,9,10)))))),0),0)),"")</f>
        <v/>
      </c>
      <c r="I10" s="857">
        <f>9/48+(1/48)*MIN(IFERROR(MATCH($A10,Do!$F$13:$AQ$13,0),100),IFERROR(MATCH($A10,Do!$F$14:$AQ$14,0),100),IFERROR(MATCH($A10,Do!$F$15:$AQ$15,0),100),IFERROR(MATCH($A10,Do!$F$16:$AQ$16,0),100),IFERROR(MATCH($A10,Do!$F$17:$AQ$17,0),100),IFERROR(MATCH($A10,Do!$F$18:$AQ$18,0),100),IFERROR(MATCH($A10,Do!$F$19:$AQ$19,0),100),IFERROR(MATCH($A10,Do!$F$20:$AQ$20,0),100),IFERROR(MATCH($A10,Do!$F$21:$AQ$21,0),100),IFERROR(MATCH($A10,Do!$F$22:$AQ$22,0),100),IFERROR(MATCH($A10,Do!$F$23:$AQ$23,0),100),IFERROR(MATCH($A10,Do!$F$24:$AQ$24,0),100),IFERROR(MATCH($A10,Do!$F$25:$AQ$25,0),100),IFERROR(MATCH($A10,Do!$F$26:$AQ$26,0),100),IFERROR(MATCH($A10,Do!$F$27:$AQ$27,0),100),IFERROR(MATCH($A10,Do!$F$28:$AQ$28,0),100),IFERROR(MATCH($A10,Do!$F$29:$AQ$29,0),100),IFERROR(MATCH($A10,Do!$F$30:$AQ$30,0),100),IFERROR(MATCH($A10,Do!$F$31:$AQ$31,0),100),IFERROR(MATCH($A10,Do!$F$32:$AQ$32,0),100),IFERROR(MATCH($A10,Do!$F$33:$AQ$33,0),100),IFERROR(MATCH($A10,Do!$F$34:$AQ$34,0),100),IFERROR(MATCH($A10,Do!$F$35:$AQ$35,0),100),IFERROR(MATCH($A10,Do!$F$36:$AQ$36,0),100),IFERROR(MATCH($A10,Do!$F$37:$AQ$37,0),100),IFERROR(MATCH($A10,Do!$F$38:$AQ$38,0),100),IFERROR(MATCH($A10,Do!$F$39:$AQ$39,0),100),IFERROR(MATCH($A10,Do!$F$40:$AQ$40,0),100),IFERROR(MATCH($A10,Do!$F$41:$AQ$41,0),100),IFERROR(MATCH($A10,Do!$F$42:$AQ$42,0),100),IFERROR(MATCH($A10,Do!$F$43:$AQ$43,0),100),IFERROR(MATCH($A10,Do!$F$44:$AQ$44,0),100),IFERROR(MATCH($A10,Do!$F$45:$AQ$45,0),100),IFERROR(MATCH($A10,Do!$F$46:$AQ$46,0),100),IFERROR(MATCH($A10,Do!$F$47:$AQ$47,0),100),IFERROR(MATCH($A10,Do!$F$48:$AQ$48,0),100),IFERROR(MATCH($A10,Do!$F$49:$AQ$49,0),100),IFERROR(MATCH($A10,Do!$F$50:$AQ$50,0),100),IFERROR(MATCH($A10,Do!$F$51:$AQ$51,0),100),IFERROR(MATCH($A10,Do!$F$52:$AQ$52,0),100),IFERROR(MATCH($A10,Do!$F$53:$AQ$53,0),100),IFERROR(MATCH($A10,Do!$F$54:$AQ$54,0),100),IFERROR(MATCH($A10,Do!$F$55:$AQ$55,0),100),IFERROR(MATCH($A10,Do!$F$56:$AQ$56,0),100),IFERROR(MATCH($A10,Do!$F$57:$AQ$57,0),100),IFERROR(MATCH($A10,Do!$F$58:$AQ$58,0),100),IFERROR(MATCH($A10,Do!$F$59:$AQ$59,0),100),IFERROR(MATCH($A10,Do!$F$60:$AQ$60,0),100),IFERROR(MATCH($A10,Do!$F$61:$AQ$61,0),100),IFERROR(MATCH($A10,Do!$F$62:$AQ$62,0),100),IFERROR(MATCH($A10,Do!$F$63:$AQ$63,0),100),39)</f>
        <v/>
      </c>
      <c r="J10" s="66">
        <f>IFERROR(IF(VLOOKUP(INDEX(Do!$B$12:$B$63,MATCH($A10,OFFSET( Do!$F$12:$F$63,0,(I10*48)-(IF(I10=7/24,9,IF(I10=12.5/24,9,IF(I10=14/24,9,IF(I10=15.5/24,9,10)))))),0),0),Do!$B$13:$C$63,2,FALSE)="TL","",INDEX(Do!$B$12:$B$63,MATCH($A10,OFFSET( Do!$F$12:$F$63,0,(I10*48)-(IF(I10=7/24,9,IF(I10=12.5/24,9,IF(I10=14/24,9,IF(I10=15.5/24,9,10)))))),0),0)),"")</f>
        <v/>
      </c>
      <c r="K10" s="857">
        <f>9/48+(1/48)*MIN(IFERROR(MATCH($A10,Vr!$F$13:$AQ$13,0),100),IFERROR(MATCH($A10,Vr!$F$14:$AQ$14,0),100),IFERROR(MATCH($A10,Vr!$F$15:$AQ$15,0),100),IFERROR(MATCH($A10,Vr!$F$16:$AQ$16,0),100),IFERROR(MATCH($A10,Vr!$F$17:$AQ$17,0),100),IFERROR(MATCH($A10,Vr!$F$18:$AQ$18,0),100),IFERROR(MATCH($A10,Vr!$F$19:$AQ$19,0),100),IFERROR(MATCH($A10,Vr!$F$20:$AQ$20,0),100),IFERROR(MATCH($A10,Vr!$F$21:$AQ$21,0),100),IFERROR(MATCH($A10,Vr!$F$22:$AQ$22,0),100),IFERROR(MATCH($A10,Vr!$F$23:$AQ$23,0),100),IFERROR(MATCH($A10,Vr!$F$24:$AQ$24,0),100),IFERROR(MATCH($A10,Vr!$F$25:$AQ$25,0),100),IFERROR(MATCH($A10,Vr!$F$26:$AQ$26,0),100),IFERROR(MATCH($A10,Vr!$F$27:$AQ$27,0),100),IFERROR(MATCH($A10,Vr!$F$28:$AQ$28,0),100),IFERROR(MATCH($A10,Vr!$F$29:$AQ$29,0),100),IFERROR(MATCH($A10,Vr!$F$30:$AQ$30,0),100),IFERROR(MATCH($A10,Vr!$F$31:$AQ$31,0),100),IFERROR(MATCH($A10,Vr!$F$32:$AQ$32,0),100),IFERROR(MATCH($A10,Vr!$F$33:$AQ$33,0),100),IFERROR(MATCH($A10,Vr!$F$34:$AQ$34,0),100),IFERROR(MATCH($A10,Vr!$F$35:$AQ$35,0),100),IFERROR(MATCH($A10,Vr!$F$36:$AQ$36,0),100),IFERROR(MATCH($A10,Vr!$F$37:$AQ$37,0),100),IFERROR(MATCH($A10,Vr!$F$38:$AQ$38,0),100),IFERROR(MATCH($A10,Vr!$F$39:$AQ$39,0),100),IFERROR(MATCH($A10,Vr!$F$40:$AQ$40,0),100),IFERROR(MATCH($A10,Vr!$F$41:$AQ$41,0),100),IFERROR(MATCH($A10,Vr!$F$42:$AQ$42,0),100),IFERROR(MATCH($A10,Vr!$F$43:$AQ$43,0),100),IFERROR(MATCH($A10,Vr!$F$44:$AQ$44,0),100),IFERROR(MATCH($A10,Vr!$F$45:$AQ$45,0),100),IFERROR(MATCH($A10,Vr!$F$46:$AQ$46,0),100),IFERROR(MATCH($A10,Vr!$F$47:$AQ$47,0),100),IFERROR(MATCH($A10,Vr!$F$48:$AQ$48,0),100),IFERROR(MATCH($A10,Vr!$F$49:$AQ$49,0),100),IFERROR(MATCH($A10,Vr!$F$50:$AQ$50,0),100),IFERROR(MATCH($A10,Vr!$F$51:$AQ$51,0),100),IFERROR(MATCH($A10,Vr!$F$52:$AQ$52,0),100),IFERROR(MATCH($A10,Vr!$F$53:$AQ$53,0),100),IFERROR(MATCH($A10,Vr!$F$54:$AQ$54,0),100),IFERROR(MATCH($A10,Vr!$F$55:$AQ$55,0),100),IFERROR(MATCH($A10,Vr!$F$56:$AQ$56,0),100),IFERROR(MATCH($A10,Vr!$F$57:$AQ$57,0),100),IFERROR(MATCH($A10,Vr!$F$58:$AQ$58,0),100),IFERROR(MATCH($A10,Vr!$F$59:$AQ$59,0),100),IFERROR(MATCH($A10,Vr!$F$60:$AQ$60,0),100),IFERROR(MATCH($A10,Vr!$F$61:$AQ$61,0),100),IFERROR(MATCH($A10,Vr!$F$62:$AQ$62,0),100),IFERROR(MATCH($A10,Vr!$F$63:$AQ$63,0),100),39)</f>
        <v/>
      </c>
      <c r="L10" s="66">
        <f>IFERROR(IF(VLOOKUP(INDEX(Vr!$B$12:$B$63,MATCH($A10,OFFSET( Vr!$F$12:$F$63,0,(K10*48)-(IF(K10=7/24,9,IF(K10=12.5/24,9,IF(K10=14/24,9,IF(K10=15.5/24,9,10)))))),0),0),Vr!$B$13:$C$63,2,FALSE)="TL","",INDEX(Vr!$B$12:$B$63,MATCH($A10,OFFSET( Vr!$F$12:$F$63,0,(K10*48)-(IF(K10=7/24,9,IF(K10=12.5/24,9,IF(K10=14/24,9,IF(K10=15.5/24,9,10)))))),0),0)),"")</f>
        <v/>
      </c>
      <c r="M10" s="857">
        <f>9/48+(1/48)*MIN(IFERROR(MATCH($A10,Za!$F$13:$AQ$13,0),100),IFERROR(MATCH($A10,Za!$F$14:$AQ$14,0),100),IFERROR(MATCH($A10,Za!$F$15:$AQ$15,0),100),IFERROR(MATCH($A10,Za!$F$16:$AQ$16,0),100),IFERROR(MATCH($A10,Za!$F$17:$AQ$17,0),100),IFERROR(MATCH($A10,Za!$F$18:$AQ$18,0),100),IFERROR(MATCH($A10,Za!$F$19:$AQ$19,0),100),IFERROR(MATCH($A10,Za!$F$20:$AQ$20,0),100),IFERROR(MATCH($A10,Za!$F$21:$AQ$21,0),100),IFERROR(MATCH($A10,Za!$F$22:$AQ$22,0),100),IFERROR(MATCH($A10,Za!$F$23:$AQ$23,0),100),IFERROR(MATCH($A10,Za!$F$24:$AQ$24,0),100),IFERROR(MATCH($A10,Za!$F$25:$AQ$25,0),100),IFERROR(MATCH($A10,Za!$F$26:$AQ$26,0),100),IFERROR(MATCH($A10,Za!$F$27:$AQ$27,0),100),IFERROR(MATCH($A10,Za!$F$28:$AQ$28,0),100),IFERROR(MATCH($A10,Za!$F$29:$AQ$29,0),100),IFERROR(MATCH($A10,Za!$F$30:$AQ$30,0),100),IFERROR(MATCH($A10,Za!$F$31:$AQ$31,0),100),IFERROR(MATCH($A10,Za!$F$32:$AQ$32,0),100),IFERROR(MATCH($A10,Za!$F$33:$AQ$33,0),100),IFERROR(MATCH($A10,Za!$F$34:$AQ$34,0),100),IFERROR(MATCH($A10,Za!$F$35:$AQ$35,0),100),IFERROR(MATCH($A10,Za!$F$36:$AQ$36,0),100),IFERROR(MATCH($A10,Za!$F$37:$AQ$37,0),100),IFERROR(MATCH($A10,Za!$F$38:$AQ$38,0),100),IFERROR(MATCH($A10,Za!$F$39:$AQ$39,0),100),IFERROR(MATCH($A10,Za!$F$40:$AQ$40,0),100),IFERROR(MATCH($A10,Za!$F$41:$AQ$41,0),100),IFERROR(MATCH($A10,Za!$F$42:$AQ$42,0),100),IFERROR(MATCH($A10,Za!$F$43:$AQ$43,0),100),IFERROR(MATCH($A10,Za!$F$44:$AQ$44,0),100),IFERROR(MATCH($A10,Za!$F$45:$AQ$45,0),100),IFERROR(MATCH($A10,Za!$F$46:$AQ$46,0),100),IFERROR(MATCH($A10,Za!$F$47:$AQ$47,0),100),IFERROR(MATCH($A10,Za!$F$48:$AQ$48,0),100),IFERROR(MATCH($A10,Za!$F$49:$AQ$49,0),100),IFERROR(MATCH($A10,Za!$F$50:$AQ$50,0),100),IFERROR(MATCH($A10,Za!$F$51:$AQ$51,0),100),IFERROR(MATCH($A10,Za!$F$52:$AQ$52,0),100),IFERROR(MATCH($A10,Za!$F$53:$AQ$53,0),100),IFERROR(MATCH($A10,Za!$F$54:$AQ$54,0),100),IFERROR(MATCH($A10,Za!$F$55:$AQ$55,0),100),IFERROR(MATCH($A10,Za!$F$56:$AQ$56,0),100),IFERROR(MATCH($A10,Za!$F$57:$AQ$57,0),100),IFERROR(MATCH($A10,Za!$F$58:$AQ$58,0),100),IFERROR(MATCH($A10,Za!$F$59:$AQ$59,0),100),IFERROR(MATCH($A10,Za!$F$60:$AQ$60,0),100),IFERROR(MATCH($A10,Za!$F$61:$AQ$61,0),100),IFERROR(MATCH($A10,Za!$F$62:$AQ$62,0),100),IFERROR(MATCH($A10,Za!$F$63:$AQ$63,0),100),39)</f>
        <v/>
      </c>
      <c r="N10" s="66">
        <f>IFERROR(IF(VLOOKUP(INDEX(Za!$B$12:$B$63,MATCH($A10,OFFSET( Za!$F$12:$F$63,0,(M10*48)-(IF(M10=7/24,9,IF(M10=12.5/24,9,IF(M10=14/24,9,IF(M10=15.5/24,9,10)))))),0),0),Za!$B$13:$C$63,2,FALSE)="TL","",INDEX(Za!$B$12:$B$63,MATCH($A10,OFFSET( Za!$F$12:$F$63,0,(M10*48)-(IF(M10=7/24,9,IF(M10=12.5/24,9,IF(M10=14/24,9,IF(M10=15.5/24,9,10)))))),0),0)),"")</f>
        <v/>
      </c>
      <c r="O10" s="857">
        <f>9/48+(1/48)*MIN(IFERROR(MATCH($A10,Zo!$F$13:$AQ$13,0),100),IFERROR(MATCH($A10,Zo!$F$14:$AQ$14,0),100),IFERROR(MATCH($A10,Zo!$F$15:$AQ$15,0),100),IFERROR(MATCH($A10,Zo!$F$16:$AQ$16,0),100),IFERROR(MATCH($A10,Zo!$F$17:$AQ$17,0),100),IFERROR(MATCH($A10,Zo!$F$18:$AQ$18,0),100),IFERROR(MATCH($A10,Zo!$F$19:$AQ$19,0),100),IFERROR(MATCH($A10,Zo!$F$20:$AQ$20,0),100),IFERROR(MATCH($A10,Zo!$F$21:$AQ$21,0),100),IFERROR(MATCH($A10,Zo!$F$22:$AQ$22,0),100),IFERROR(MATCH($A10,Zo!$F$23:$AQ$23,0),100),IFERROR(MATCH($A10,Zo!$F$24:$AQ$24,0),100),IFERROR(MATCH($A10,Zo!$F$25:$AQ$25,0),100),IFERROR(MATCH($A10,Zo!$F$26:$AQ$26,0),100),IFERROR(MATCH($A10,Zo!$F$27:$AQ$27,0),100),IFERROR(MATCH($A10,Zo!$F$28:$AQ$28,0),100),IFERROR(MATCH($A10,Zo!$F$29:$AQ$29,0),100),IFERROR(MATCH($A10,Zo!$F$30:$AQ$30,0),100),IFERROR(MATCH($A10,Zo!$F$31:$AQ$31,0),100),IFERROR(MATCH($A10,Zo!$F$32:$AQ$32,0),100),IFERROR(MATCH($A10,Zo!$F$33:$AQ$33,0),100),IFERROR(MATCH($A10,Zo!$F$34:$AQ$34,0),100),IFERROR(MATCH($A10,Zo!$F$35:$AQ$35,0),100),IFERROR(MATCH($A10,Zo!$F$36:$AQ$36,0),100),IFERROR(MATCH($A10,Zo!$F$37:$AQ$37,0),100),IFERROR(MATCH($A10,Zo!$F$38:$AQ$38,0),100),IFERROR(MATCH($A10,Zo!$F$39:$AQ$39,0),100),IFERROR(MATCH($A10,Zo!$F$40:$AQ$40,0),100),IFERROR(MATCH($A10,Zo!$F$41:$AQ$41,0),100),IFERROR(MATCH($A10,Zo!$F$42:$AQ$42,0),100),IFERROR(MATCH($A10,Zo!$F$43:$AQ$43,0),100),IFERROR(MATCH($A10,Zo!$F$44:$AQ$44,0),100),IFERROR(MATCH($A10,Zo!$F$45:$AQ$45,0),100),IFERROR(MATCH($A10,Zo!$F$46:$AQ$46,0),100),IFERROR(MATCH($A10,Zo!$F$47:$AQ$47,0),100),IFERROR(MATCH($A10,Zo!$F$48:$AQ$48,0),100),IFERROR(MATCH($A10,Zo!$F$49:$AQ$49,0),100),IFERROR(MATCH($A10,Zo!$F$50:$AQ$50,0),100),IFERROR(MATCH($A10,Zo!$F$51:$AQ$51,0),100),IFERROR(MATCH($A10,Zo!$F$52:$AQ$52,0),100),IFERROR(MATCH($A10,Zo!$F$53:$AQ$53,0),100),IFERROR(MATCH($A10,Zo!$F$54:$AQ$54,0),100),IFERROR(MATCH($A10,Zo!$F$55:$AQ$55,0),100),IFERROR(MATCH($A10,Zo!$F$56:$AQ$56,0),100),IFERROR(MATCH($A10,Zo!$F$57:$AQ$57,0),100),IFERROR(MATCH($A10,Zo!$F$58:$AQ$58,0),100),IFERROR(MATCH($A10,Zo!$F$59:$AQ$59,0),100),IFERROR(MATCH($A10,Zo!$F$60:$AQ$60,0),100),IFERROR(MATCH($A10,Zo!$F$61:$AQ$61,0),100),IFERROR(MATCH($A10,Zo!$F$62:$AQ$62,0),100),IFERROR(MATCH($A10,Zo!$F$63:$AQ$63,0),100),39)</f>
        <v/>
      </c>
      <c r="P10" s="66">
        <f>IFERROR(IF(VLOOKUP(INDEX(Zo!$B$12:$B$63,MATCH($A10,OFFSET( Zo!$F$12:$F$63,0,(O10*48)-(IF(O10=7/24,9,IF(O10=12.5/24,9,IF(O10=14/24,9,IF(O10=15.5/24,9,10)))))),0),0),Zo!$B$13:$C$63,2,FALSE)="TL","",INDEX(Zo!$B$12:$B$63,MATCH($A10,OFFSET( Zo!$F$12:$F$63,0,(O10*48)-(IF(O10=7/24,9,IF(O10=12.5/24,9,IF(O10=14/24,9,IF(O10=15.5/24,9,10)))))),0),0)),"")</f>
        <v/>
      </c>
    </row>
    <row r="11" ht="15" customHeight="1">
      <c r="A11" s="66" t="inlineStr">
        <is>
          <t>br</t>
        </is>
      </c>
      <c r="B11" s="67">
        <f>A11</f>
        <v/>
      </c>
      <c r="C11" s="857">
        <f>9/48+(1/48)*MIN(IFERROR(MATCH($A11,Ma!$F$13:$AQ$13,0),100),IFERROR(MATCH($A11,Ma!$F$14:$AQ$14,0),100),IFERROR(MATCH($A11,Ma!$F$15:$AQ$15,0),100),IFERROR(MATCH($A11,Ma!$F$16:$AQ$16,0),100),IFERROR(MATCH($A11,Ma!$F$17:$AQ$17,0),100),IFERROR(MATCH($A11,Ma!$F$18:$AQ$18,0),100),IFERROR(MATCH($A11,Ma!$F$19:$AQ$19,0),100),IFERROR(MATCH($A11,Ma!$F$20:$AQ$20,0),100),IFERROR(MATCH($A11,Ma!$F$21:$AQ$21,0),100),IFERROR(MATCH($A11,Ma!$F$22:$AQ$22,0),100),IFERROR(MATCH($A11,Ma!$F$23:$AQ$23,0),100),IFERROR(MATCH($A11,Ma!$F$24:$AQ$24,0),100),IFERROR(MATCH($A11,Ma!$F$25:$AQ$25,0),100),IFERROR(MATCH($A11,Ma!$F$26:$AQ$26,0),100),IFERROR(MATCH($A11,Ma!$F$27:$AQ$27,0),100),IFERROR(MATCH($A11,Ma!$F$28:$AQ$28,0),100),IFERROR(MATCH($A11,Ma!$F$29:$AQ$29,0),100),IFERROR(MATCH($A11,Ma!$F$30:$AQ$30,0),100),IFERROR(MATCH($A11,Ma!$F$31:$AQ$31,0),100),IFERROR(MATCH($A11,Ma!$F$32:$AQ$32,0),100),IFERROR(MATCH($A11,Ma!$F$33:$AQ$33,0),100),IFERROR(MATCH($A11,Ma!$F$34:$AQ$34,0),100),IFERROR(MATCH($A11,Ma!$F$35:$AQ$35,0),100),IFERROR(MATCH($A11,Ma!$F$36:$AQ$36,0),100),IFERROR(MATCH($A11,Ma!$F$37:$AQ$37,0),100),IFERROR(MATCH($A11,Ma!$F$38:$AQ$38,0),100),IFERROR(MATCH($A11,Ma!$F$39:$AQ$39,0),100),IFERROR(MATCH($A11,Ma!$F$40:$AQ$40,0),100),IFERROR(MATCH($A11,Ma!$F$41:$AQ$41,0),100),IFERROR(MATCH($A11,Ma!$F$42:$AQ$42,0),100),IFERROR(MATCH($A11,Ma!$F$43:$AQ$43,0),100),IFERROR(MATCH($A11,Ma!$F$44:$AQ$44,0),100),IFERROR(MATCH($A11,Ma!$F$45:$AQ$45,0),100),IFERROR(MATCH($A11,Ma!$F$46:$AQ$46,0),100),IFERROR(MATCH($A11,Ma!$F$47:$AQ$47,0),100),IFERROR(MATCH($A11,Ma!$F$48:$AQ$48,0),100),IFERROR(MATCH($A11,Ma!$F$49:$AQ$49,0),100),IFERROR(MATCH($A11,Ma!$F$50:$AQ$50,0),100),IFERROR(MATCH($A11,Ma!$F$51:$AQ$51,0),100),IFERROR(MATCH($A11,Ma!$F$52:$AQ$52,0),100),IFERROR(MATCH($A11,Ma!$F$53:$AQ$53,0),100),IFERROR(MATCH($A11,Ma!$F$54:$AQ$54,0),100),IFERROR(MATCH($A11,Ma!$F$55:$AQ$55,0),100),IFERROR(MATCH($A11,Ma!$F$56:$AQ$56,0),100),IFERROR(MATCH($A11,Ma!$F$57:$AQ$57,0),100),IFERROR(MATCH($A11,Ma!$F$58:$AQ$58,0),100),IFERROR(MATCH($A11,Ma!$F$59:$AQ$59,0),100),IFERROR(MATCH($A11,Ma!$F$60:$AQ$60,0),100),IFERROR(MATCH($A11,Ma!$F$61:$AQ$61,0),100),IFERROR(MATCH($A11,Ma!$F$62:$AQ$62,0),100),IFERROR(MATCH($A11,Ma!$F$63:$AQ$63,0),100),39)</f>
        <v/>
      </c>
      <c r="D11" s="66">
        <f>IFERROR(IF(VLOOKUP(INDEX(Ma!$B$12:$B$63,MATCH($A11,OFFSET( Ma!$F$12:$F$63,0,(C11*48)-(IF(C11=7/24,9,IF(C11=12.5/24,9,IF(C11=14/24,9,IF(C11=15.5/24,9,10)))))),0),0),Ma!$B$13:$C$63,2,FALSE)="TL","",INDEX(Ma!$B$12:$B$63,MATCH($A11,OFFSET( Ma!$F$12:$F$63,0,(C11*48)-(IF(C11=7/24,9,IF(C11=12.5/24,9,IF(C11=14/24,9,IF(C11=15.5/24,9,10)))))),0),0)),"")</f>
        <v/>
      </c>
      <c r="E11" s="857">
        <f>9/48+(1/48)*MIN(IFERROR(MATCH($A11,Di!$F$13:$AQ$13,0),100),IFERROR(MATCH($A11,Di!$F$14:$AQ$14,0),100),IFERROR(MATCH($A11,Di!$F$15:$AQ$15,0),100),IFERROR(MATCH($A11,Di!$F$16:$AQ$16,0),100),IFERROR(MATCH($A11,Di!$F$17:$AQ$17,0),100),IFERROR(MATCH($A11,Di!$F$18:$AQ$18,0),100),IFERROR(MATCH($A11,Di!$F$19:$AQ$19,0),100),IFERROR(MATCH($A11,Di!$F$20:$AQ$20,0),100),IFERROR(MATCH($A11,Di!$F$21:$AQ$21,0),100),IFERROR(MATCH($A11,Di!$F$22:$AQ$22,0),100),IFERROR(MATCH($A11,Di!$F$23:$AQ$23,0),100),IFERROR(MATCH($A11,Di!$F$24:$AQ$24,0),100),IFERROR(MATCH($A11,Di!$F$25:$AQ$25,0),100),IFERROR(MATCH($A11,Di!$F$26:$AQ$26,0),100),IFERROR(MATCH($A11,Di!$F$27:$AQ$27,0),100),IFERROR(MATCH($A11,Di!$F$28:$AQ$28,0),100),IFERROR(MATCH($A11,Di!$F$29:$AQ$29,0),100),IFERROR(MATCH($A11,Di!$F$30:$AQ$30,0),100),IFERROR(MATCH($A11,Di!$F$31:$AQ$31,0),100),IFERROR(MATCH($A11,Di!$F$32:$AQ$32,0),100),IFERROR(MATCH($A11,Di!$F$33:$AQ$33,0),100),IFERROR(MATCH($A11,Di!$F$34:$AQ$34,0),100),IFERROR(MATCH($A11,Di!$F$35:$AQ$35,0),100),IFERROR(MATCH($A11,Di!$F$36:$AQ$36,0),100),IFERROR(MATCH($A11,Di!$F$37:$AQ$37,0),100),IFERROR(MATCH($A11,Di!$F$38:$AQ$38,0),100),IFERROR(MATCH($A11,Di!$F$39:$AQ$39,0),100),IFERROR(MATCH($A11,Di!$F$40:$AQ$40,0),100),IFERROR(MATCH($A11,Di!$F$41:$AQ$41,0),100),IFERROR(MATCH($A11,Di!$F$42:$AQ$42,0),100),IFERROR(MATCH($A11,Di!$F$43:$AQ$43,0),100),IFERROR(MATCH($A11,Di!$F$44:$AQ$44,0),100),IFERROR(MATCH($A11,Di!$F$45:$AQ$45,0),100),IFERROR(MATCH($A11,Di!$F$46:$AQ$46,0),100),IFERROR(MATCH($A11,Di!$F$47:$AQ$47,0),100),IFERROR(MATCH($A11,Di!$F$48:$AQ$48,0),100),IFERROR(MATCH($A11,Di!$F$49:$AQ$49,0),100),IFERROR(MATCH($A11,Di!$F$50:$AQ$50,0),100),IFERROR(MATCH($A11,Di!$F$51:$AQ$51,0),100),IFERROR(MATCH($A11,Di!$F$52:$AQ$52,0),100),IFERROR(MATCH($A11,Di!$F$53:$AQ$53,0),100),IFERROR(MATCH($A11,Di!$F$54:$AQ$54,0),100),IFERROR(MATCH($A11,Di!$F$55:$AQ$55,0),100),IFERROR(MATCH($A11,Di!$F$56:$AQ$56,0),100),IFERROR(MATCH($A11,Di!$F$57:$AQ$57,0),100),IFERROR(MATCH($A11,Di!$F$58:$AQ$58,0),100),IFERROR(MATCH($A11,Di!$F$59:$AQ$59,0),100),IFERROR(MATCH($A11,Di!$F$60:$AQ$60,0),100),IFERROR(MATCH($A11,Di!$F$61:$AQ$61,0),100),IFERROR(MATCH($A11,Di!$F$62:$AQ$62,0),100),IFERROR(MATCH($A11,Di!$F$63:$AQ$63,0),100),39)</f>
        <v/>
      </c>
      <c r="F11" s="66">
        <f>IFERROR(IF(VLOOKUP(INDEX(Di!$B$12:$B$63,MATCH($A11,OFFSET( Di!$F$12:$F$63,0,(E11*48)-(IF(E11=7/24,9,IF(E11=12.5/24,9,IF(E11=14/24,9,IF(E11=15.5/24,9,10)))))),0),0),Di!$B$13:$C$63,2,FALSE)="TL","",INDEX(Di!$B$12:$B$63,MATCH($A11,OFFSET( Di!$F$12:$F$63,0,(E11*48)-(IF(E11=7/24,9,IF(E11=12.5/24,9,IF(E11=14/24,9,IF(E11=15.5/24,9,10)))))),0),0)),"")</f>
        <v/>
      </c>
      <c r="G11" s="857">
        <f>9/48+(1/48)*MIN(IFERROR(MATCH($A11,Wo!$F$13:$AQ$13,0),100),IFERROR(MATCH($A11,Wo!$F$14:$AQ$14,0),100),IFERROR(MATCH($A11,Wo!$F$15:$AQ$15,0),100),IFERROR(MATCH($A11,Wo!$F$16:$AQ$16,0),100),IFERROR(MATCH($A11,Wo!$F$17:$AQ$17,0),100),IFERROR(MATCH($A11,Wo!$F$18:$AQ$18,0),100),IFERROR(MATCH($A11,Wo!$F$19:$AQ$19,0),100),IFERROR(MATCH($A11,Wo!$F$20:$AQ$20,0),100),IFERROR(MATCH($A11,Wo!$F$21:$AQ$21,0),100),IFERROR(MATCH($A11,Wo!$F$22:$AQ$22,0),100),IFERROR(MATCH($A11,Wo!$F$23:$AQ$23,0),100),IFERROR(MATCH($A11,Wo!$F$24:$AQ$24,0),100),IFERROR(MATCH($A11,Wo!$F$25:$AQ$25,0),100),IFERROR(MATCH($A11,Wo!$F$26:$AQ$26,0),100),IFERROR(MATCH($A11,Wo!$F$27:$AQ$27,0),100),IFERROR(MATCH($A11,Wo!$F$28:$AQ$28,0),100),IFERROR(MATCH($A11,Wo!$F$29:$AQ$29,0),100),IFERROR(MATCH($A11,Wo!$F$30:$AQ$30,0),100),IFERROR(MATCH($A11,Wo!$F$31:$AQ$31,0),100),IFERROR(MATCH($A11,Wo!$F$32:$AQ$32,0),100),IFERROR(MATCH($A11,Wo!$F$33:$AQ$33,0),100),IFERROR(MATCH($A11,Wo!$F$34:$AQ$34,0),100),IFERROR(MATCH($A11,Wo!$F$35:$AQ$35,0),100),IFERROR(MATCH($A11,Wo!$F$36:$AQ$36,0),100),IFERROR(MATCH($A11,Wo!$F$37:$AQ$37,0),100),IFERROR(MATCH($A11,Wo!$F$38:$AQ$38,0),100),IFERROR(MATCH($A11,Wo!$F$39:$AQ$39,0),100),IFERROR(MATCH($A11,Wo!$F$40:$AQ$40,0),100),IFERROR(MATCH($A11,Wo!$F$41:$AQ$41,0),100),IFERROR(MATCH($A11,Wo!$F$42:$AQ$42,0),100),IFERROR(MATCH($A11,Wo!$F$43:$AQ$43,0),100),IFERROR(MATCH($A11,Wo!$F$44:$AQ$44,0),100),IFERROR(MATCH($A11,Wo!$F$45:$AQ$45,0),100),IFERROR(MATCH($A11,Wo!$F$46:$AQ$46,0),100),IFERROR(MATCH($A11,Wo!$F$47:$AQ$47,0),100),IFERROR(MATCH($A11,Wo!$F$48:$AQ$48,0),100),IFERROR(MATCH($A11,Wo!$F$49:$AQ$49,0),100),IFERROR(MATCH($A11,Wo!$F$50:$AQ$50,0),100),IFERROR(MATCH($A11,Wo!$F$51:$AQ$51,0),100),IFERROR(MATCH($A11,Wo!$F$52:$AQ$52,0),100),IFERROR(MATCH($A11,Wo!$F$53:$AQ$53,0),100),IFERROR(MATCH($A11,Wo!$F$54:$AQ$54,0),100),IFERROR(MATCH($A11,Wo!$F$55:$AQ$55,0),100),IFERROR(MATCH($A11,Wo!$F$56:$AQ$56,0),100),IFERROR(MATCH($A11,Wo!$F$57:$AQ$57,0),100),IFERROR(MATCH($A11,Wo!$F$58:$AQ$58,0),100),IFERROR(MATCH($A11,Wo!$F$59:$AQ$59,0),100),IFERROR(MATCH($A11,Wo!$F$60:$AQ$60,0),100),IFERROR(MATCH($A11,Wo!$F$61:$AQ$61,0),100),IFERROR(MATCH($A11,Wo!$F$62:$AQ$62,0),100),IFERROR(MATCH($A11,Wo!$F$63:$AQ$63,0),100),39)</f>
        <v/>
      </c>
      <c r="H11" s="66">
        <f>IFERROR(IF(VLOOKUP(INDEX(Wo!$B$12:$B$63,MATCH($A11,OFFSET( Wo!$F$12:$F$63,0,(G11*48)-(IF(G11=7/24,9,IF(G11=12.5/24,9,IF(G11=14/24,9,IF(G11=15.5/24,9,10)))))),0),0),Wo!$B$13:$C$63,2,FALSE)="TL","",INDEX(Wo!$B$12:$B$63,MATCH($A11,OFFSET( Wo!$F$12:$F$63,0,(G11*48)-(IF(G11=7/24,9,IF(G11=12.5/24,9,IF(G11=14/24,9,IF(G11=15.5/24,9,10)))))),0),0)),"")</f>
        <v/>
      </c>
      <c r="I11" s="857">
        <f>9/48+(1/48)*MIN(IFERROR(MATCH($A11,Do!$F$13:$AQ$13,0),100),IFERROR(MATCH($A11,Do!$F$14:$AQ$14,0),100),IFERROR(MATCH($A11,Do!$F$15:$AQ$15,0),100),IFERROR(MATCH($A11,Do!$F$16:$AQ$16,0),100),IFERROR(MATCH($A11,Do!$F$17:$AQ$17,0),100),IFERROR(MATCH($A11,Do!$F$18:$AQ$18,0),100),IFERROR(MATCH($A11,Do!$F$19:$AQ$19,0),100),IFERROR(MATCH($A11,Do!$F$20:$AQ$20,0),100),IFERROR(MATCH($A11,Do!$F$21:$AQ$21,0),100),IFERROR(MATCH($A11,Do!$F$22:$AQ$22,0),100),IFERROR(MATCH($A11,Do!$F$23:$AQ$23,0),100),IFERROR(MATCH($A11,Do!$F$24:$AQ$24,0),100),IFERROR(MATCH($A11,Do!$F$25:$AQ$25,0),100),IFERROR(MATCH($A11,Do!$F$26:$AQ$26,0),100),IFERROR(MATCH($A11,Do!$F$27:$AQ$27,0),100),IFERROR(MATCH($A11,Do!$F$28:$AQ$28,0),100),IFERROR(MATCH($A11,Do!$F$29:$AQ$29,0),100),IFERROR(MATCH($A11,Do!$F$30:$AQ$30,0),100),IFERROR(MATCH($A11,Do!$F$31:$AQ$31,0),100),IFERROR(MATCH($A11,Do!$F$32:$AQ$32,0),100),IFERROR(MATCH($A11,Do!$F$33:$AQ$33,0),100),IFERROR(MATCH($A11,Do!$F$34:$AQ$34,0),100),IFERROR(MATCH($A11,Do!$F$35:$AQ$35,0),100),IFERROR(MATCH($A11,Do!$F$36:$AQ$36,0),100),IFERROR(MATCH($A11,Do!$F$37:$AQ$37,0),100),IFERROR(MATCH($A11,Do!$F$38:$AQ$38,0),100),IFERROR(MATCH($A11,Do!$F$39:$AQ$39,0),100),IFERROR(MATCH($A11,Do!$F$40:$AQ$40,0),100),IFERROR(MATCH($A11,Do!$F$41:$AQ$41,0),100),IFERROR(MATCH($A11,Do!$F$42:$AQ$42,0),100),IFERROR(MATCH($A11,Do!$F$43:$AQ$43,0),100),IFERROR(MATCH($A11,Do!$F$44:$AQ$44,0),100),IFERROR(MATCH($A11,Do!$F$45:$AQ$45,0),100),IFERROR(MATCH($A11,Do!$F$46:$AQ$46,0),100),IFERROR(MATCH($A11,Do!$F$47:$AQ$47,0),100),IFERROR(MATCH($A11,Do!$F$48:$AQ$48,0),100),IFERROR(MATCH($A11,Do!$F$49:$AQ$49,0),100),IFERROR(MATCH($A11,Do!$F$50:$AQ$50,0),100),IFERROR(MATCH($A11,Do!$F$51:$AQ$51,0),100),IFERROR(MATCH($A11,Do!$F$52:$AQ$52,0),100),IFERROR(MATCH($A11,Do!$F$53:$AQ$53,0),100),IFERROR(MATCH($A11,Do!$F$54:$AQ$54,0),100),IFERROR(MATCH($A11,Do!$F$55:$AQ$55,0),100),IFERROR(MATCH($A11,Do!$F$56:$AQ$56,0),100),IFERROR(MATCH($A11,Do!$F$57:$AQ$57,0),100),IFERROR(MATCH($A11,Do!$F$58:$AQ$58,0),100),IFERROR(MATCH($A11,Do!$F$59:$AQ$59,0),100),IFERROR(MATCH($A11,Do!$F$60:$AQ$60,0),100),IFERROR(MATCH($A11,Do!$F$61:$AQ$61,0),100),IFERROR(MATCH($A11,Do!$F$62:$AQ$62,0),100),IFERROR(MATCH($A11,Do!$F$63:$AQ$63,0),100),39)</f>
        <v/>
      </c>
      <c r="J11" s="66">
        <f>IFERROR(IF(VLOOKUP(INDEX(Do!$B$12:$B$63,MATCH($A11,OFFSET( Do!$F$12:$F$63,0,(I11*48)-(IF(I11=7/24,9,IF(I11=12.5/24,9,IF(I11=14/24,9,IF(I11=15.5/24,9,10)))))),0),0),Do!$B$13:$C$63,2,FALSE)="TL","",INDEX(Do!$B$12:$B$63,MATCH($A11,OFFSET( Do!$F$12:$F$63,0,(I11*48)-(IF(I11=7/24,9,IF(I11=12.5/24,9,IF(I11=14/24,9,IF(I11=15.5/24,9,10)))))),0),0)),"")</f>
        <v/>
      </c>
      <c r="K11" s="857">
        <f>9/48+(1/48)*MIN(IFERROR(MATCH($A11,Vr!$F$13:$AQ$13,0),100),IFERROR(MATCH($A11,Vr!$F$14:$AQ$14,0),100),IFERROR(MATCH($A11,Vr!$F$15:$AQ$15,0),100),IFERROR(MATCH($A11,Vr!$F$16:$AQ$16,0),100),IFERROR(MATCH($A11,Vr!$F$17:$AQ$17,0),100),IFERROR(MATCH($A11,Vr!$F$18:$AQ$18,0),100),IFERROR(MATCH($A11,Vr!$F$19:$AQ$19,0),100),IFERROR(MATCH($A11,Vr!$F$20:$AQ$20,0),100),IFERROR(MATCH($A11,Vr!$F$21:$AQ$21,0),100),IFERROR(MATCH($A11,Vr!$F$22:$AQ$22,0),100),IFERROR(MATCH($A11,Vr!$F$23:$AQ$23,0),100),IFERROR(MATCH($A11,Vr!$F$24:$AQ$24,0),100),IFERROR(MATCH($A11,Vr!$F$25:$AQ$25,0),100),IFERROR(MATCH($A11,Vr!$F$26:$AQ$26,0),100),IFERROR(MATCH($A11,Vr!$F$27:$AQ$27,0),100),IFERROR(MATCH($A11,Vr!$F$28:$AQ$28,0),100),IFERROR(MATCH($A11,Vr!$F$29:$AQ$29,0),100),IFERROR(MATCH($A11,Vr!$F$30:$AQ$30,0),100),IFERROR(MATCH($A11,Vr!$F$31:$AQ$31,0),100),IFERROR(MATCH($A11,Vr!$F$32:$AQ$32,0),100),IFERROR(MATCH($A11,Vr!$F$33:$AQ$33,0),100),IFERROR(MATCH($A11,Vr!$F$34:$AQ$34,0),100),IFERROR(MATCH($A11,Vr!$F$35:$AQ$35,0),100),IFERROR(MATCH($A11,Vr!$F$36:$AQ$36,0),100),IFERROR(MATCH($A11,Vr!$F$37:$AQ$37,0),100),IFERROR(MATCH($A11,Vr!$F$38:$AQ$38,0),100),IFERROR(MATCH($A11,Vr!$F$39:$AQ$39,0),100),IFERROR(MATCH($A11,Vr!$F$40:$AQ$40,0),100),IFERROR(MATCH($A11,Vr!$F$41:$AQ$41,0),100),IFERROR(MATCH($A11,Vr!$F$42:$AQ$42,0),100),IFERROR(MATCH($A11,Vr!$F$43:$AQ$43,0),100),IFERROR(MATCH($A11,Vr!$F$44:$AQ$44,0),100),IFERROR(MATCH($A11,Vr!$F$45:$AQ$45,0),100),IFERROR(MATCH($A11,Vr!$F$46:$AQ$46,0),100),IFERROR(MATCH($A11,Vr!$F$47:$AQ$47,0),100),IFERROR(MATCH($A11,Vr!$F$48:$AQ$48,0),100),IFERROR(MATCH($A11,Vr!$F$49:$AQ$49,0),100),IFERROR(MATCH($A11,Vr!$F$50:$AQ$50,0),100),IFERROR(MATCH($A11,Vr!$F$51:$AQ$51,0),100),IFERROR(MATCH($A11,Vr!$F$52:$AQ$52,0),100),IFERROR(MATCH($A11,Vr!$F$53:$AQ$53,0),100),IFERROR(MATCH($A11,Vr!$F$54:$AQ$54,0),100),IFERROR(MATCH($A11,Vr!$F$55:$AQ$55,0),100),IFERROR(MATCH($A11,Vr!$F$56:$AQ$56,0),100),IFERROR(MATCH($A11,Vr!$F$57:$AQ$57,0),100),IFERROR(MATCH($A11,Vr!$F$58:$AQ$58,0),100),IFERROR(MATCH($A11,Vr!$F$59:$AQ$59,0),100),IFERROR(MATCH($A11,Vr!$F$60:$AQ$60,0),100),IFERROR(MATCH($A11,Vr!$F$61:$AQ$61,0),100),IFERROR(MATCH($A11,Vr!$F$62:$AQ$62,0),100),IFERROR(MATCH($A11,Vr!$F$63:$AQ$63,0),100),39)</f>
        <v/>
      </c>
      <c r="L11" s="66">
        <f>IFERROR(IF(VLOOKUP(INDEX(Vr!$B$12:$B$63,MATCH($A11,OFFSET( Vr!$F$12:$F$63,0,(K11*48)-(IF(K11=7/24,9,IF(K11=12.5/24,9,IF(K11=14/24,9,IF(K11=15.5/24,9,10)))))),0),0),Vr!$B$13:$C$63,2,FALSE)="TL","",INDEX(Vr!$B$12:$B$63,MATCH($A11,OFFSET( Vr!$F$12:$F$63,0,(K11*48)-(IF(K11=7/24,9,IF(K11=12.5/24,9,IF(K11=14/24,9,IF(K11=15.5/24,9,10)))))),0),0)),"")</f>
        <v/>
      </c>
      <c r="M11" s="857">
        <f>9/48+(1/48)*MIN(IFERROR(MATCH($A11,Za!$F$13:$AQ$13,0),100),IFERROR(MATCH($A11,Za!$F$14:$AQ$14,0),100),IFERROR(MATCH($A11,Za!$F$15:$AQ$15,0),100),IFERROR(MATCH($A11,Za!$F$16:$AQ$16,0),100),IFERROR(MATCH($A11,Za!$F$17:$AQ$17,0),100),IFERROR(MATCH($A11,Za!$F$18:$AQ$18,0),100),IFERROR(MATCH($A11,Za!$F$19:$AQ$19,0),100),IFERROR(MATCH($A11,Za!$F$20:$AQ$20,0),100),IFERROR(MATCH($A11,Za!$F$21:$AQ$21,0),100),IFERROR(MATCH($A11,Za!$F$22:$AQ$22,0),100),IFERROR(MATCH($A11,Za!$F$23:$AQ$23,0),100),IFERROR(MATCH($A11,Za!$F$24:$AQ$24,0),100),IFERROR(MATCH($A11,Za!$F$25:$AQ$25,0),100),IFERROR(MATCH($A11,Za!$F$26:$AQ$26,0),100),IFERROR(MATCH($A11,Za!$F$27:$AQ$27,0),100),IFERROR(MATCH($A11,Za!$F$28:$AQ$28,0),100),IFERROR(MATCH($A11,Za!$F$29:$AQ$29,0),100),IFERROR(MATCH($A11,Za!$F$30:$AQ$30,0),100),IFERROR(MATCH($A11,Za!$F$31:$AQ$31,0),100),IFERROR(MATCH($A11,Za!$F$32:$AQ$32,0),100),IFERROR(MATCH($A11,Za!$F$33:$AQ$33,0),100),IFERROR(MATCH($A11,Za!$F$34:$AQ$34,0),100),IFERROR(MATCH($A11,Za!$F$35:$AQ$35,0),100),IFERROR(MATCH($A11,Za!$F$36:$AQ$36,0),100),IFERROR(MATCH($A11,Za!$F$37:$AQ$37,0),100),IFERROR(MATCH($A11,Za!$F$38:$AQ$38,0),100),IFERROR(MATCH($A11,Za!$F$39:$AQ$39,0),100),IFERROR(MATCH($A11,Za!$F$40:$AQ$40,0),100),IFERROR(MATCH($A11,Za!$F$41:$AQ$41,0),100),IFERROR(MATCH($A11,Za!$F$42:$AQ$42,0),100),IFERROR(MATCH($A11,Za!$F$43:$AQ$43,0),100),IFERROR(MATCH($A11,Za!$F$44:$AQ$44,0),100),IFERROR(MATCH($A11,Za!$F$45:$AQ$45,0),100),IFERROR(MATCH($A11,Za!$F$46:$AQ$46,0),100),IFERROR(MATCH($A11,Za!$F$47:$AQ$47,0),100),IFERROR(MATCH($A11,Za!$F$48:$AQ$48,0),100),IFERROR(MATCH($A11,Za!$F$49:$AQ$49,0),100),IFERROR(MATCH($A11,Za!$F$50:$AQ$50,0),100),IFERROR(MATCH($A11,Za!$F$51:$AQ$51,0),100),IFERROR(MATCH($A11,Za!$F$52:$AQ$52,0),100),IFERROR(MATCH($A11,Za!$F$53:$AQ$53,0),100),IFERROR(MATCH($A11,Za!$F$54:$AQ$54,0),100),IFERROR(MATCH($A11,Za!$F$55:$AQ$55,0),100),IFERROR(MATCH($A11,Za!$F$56:$AQ$56,0),100),IFERROR(MATCH($A11,Za!$F$57:$AQ$57,0),100),IFERROR(MATCH($A11,Za!$F$58:$AQ$58,0),100),IFERROR(MATCH($A11,Za!$F$59:$AQ$59,0),100),IFERROR(MATCH($A11,Za!$F$60:$AQ$60,0),100),IFERROR(MATCH($A11,Za!$F$61:$AQ$61,0),100),IFERROR(MATCH($A11,Za!$F$62:$AQ$62,0),100),IFERROR(MATCH($A11,Za!$F$63:$AQ$63,0),100),39)</f>
        <v/>
      </c>
      <c r="N11" s="66">
        <f>IFERROR(IF(VLOOKUP(INDEX(Za!$B$12:$B$63,MATCH($A11,OFFSET( Za!$F$12:$F$63,0,(M11*48)-(IF(M11=7/24,9,IF(M11=12.5/24,9,IF(M11=14/24,9,IF(M11=15.5/24,9,10)))))),0),0),Za!$B$13:$C$63,2,FALSE)="TL","",INDEX(Za!$B$12:$B$63,MATCH($A11,OFFSET( Za!$F$12:$F$63,0,(M11*48)-(IF(M11=7/24,9,IF(M11=12.5/24,9,IF(M11=14/24,9,IF(M11=15.5/24,9,10)))))),0),0)),"")</f>
        <v/>
      </c>
      <c r="O11" s="857">
        <f>9/48+(1/48)*MIN(IFERROR(MATCH($A11,Zo!$F$13:$AQ$13,0),100),IFERROR(MATCH($A11,Zo!$F$14:$AQ$14,0),100),IFERROR(MATCH($A11,Zo!$F$15:$AQ$15,0),100),IFERROR(MATCH($A11,Zo!$F$16:$AQ$16,0),100),IFERROR(MATCH($A11,Zo!$F$17:$AQ$17,0),100),IFERROR(MATCH($A11,Zo!$F$18:$AQ$18,0),100),IFERROR(MATCH($A11,Zo!$F$19:$AQ$19,0),100),IFERROR(MATCH($A11,Zo!$F$20:$AQ$20,0),100),IFERROR(MATCH($A11,Zo!$F$21:$AQ$21,0),100),IFERROR(MATCH($A11,Zo!$F$22:$AQ$22,0),100),IFERROR(MATCH($A11,Zo!$F$23:$AQ$23,0),100),IFERROR(MATCH($A11,Zo!$F$24:$AQ$24,0),100),IFERROR(MATCH($A11,Zo!$F$25:$AQ$25,0),100),IFERROR(MATCH($A11,Zo!$F$26:$AQ$26,0),100),IFERROR(MATCH($A11,Zo!$F$27:$AQ$27,0),100),IFERROR(MATCH($A11,Zo!$F$28:$AQ$28,0),100),IFERROR(MATCH($A11,Zo!$F$29:$AQ$29,0),100),IFERROR(MATCH($A11,Zo!$F$30:$AQ$30,0),100),IFERROR(MATCH($A11,Zo!$F$31:$AQ$31,0),100),IFERROR(MATCH($A11,Zo!$F$32:$AQ$32,0),100),IFERROR(MATCH($A11,Zo!$F$33:$AQ$33,0),100),IFERROR(MATCH($A11,Zo!$F$34:$AQ$34,0),100),IFERROR(MATCH($A11,Zo!$F$35:$AQ$35,0),100),IFERROR(MATCH($A11,Zo!$F$36:$AQ$36,0),100),IFERROR(MATCH($A11,Zo!$F$37:$AQ$37,0),100),IFERROR(MATCH($A11,Zo!$F$38:$AQ$38,0),100),IFERROR(MATCH($A11,Zo!$F$39:$AQ$39,0),100),IFERROR(MATCH($A11,Zo!$F$40:$AQ$40,0),100),IFERROR(MATCH($A11,Zo!$F$41:$AQ$41,0),100),IFERROR(MATCH($A11,Zo!$F$42:$AQ$42,0),100),IFERROR(MATCH($A11,Zo!$F$43:$AQ$43,0),100),IFERROR(MATCH($A11,Zo!$F$44:$AQ$44,0),100),IFERROR(MATCH($A11,Zo!$F$45:$AQ$45,0),100),IFERROR(MATCH($A11,Zo!$F$46:$AQ$46,0),100),IFERROR(MATCH($A11,Zo!$F$47:$AQ$47,0),100),IFERROR(MATCH($A11,Zo!$F$48:$AQ$48,0),100),IFERROR(MATCH($A11,Zo!$F$49:$AQ$49,0),100),IFERROR(MATCH($A11,Zo!$F$50:$AQ$50,0),100),IFERROR(MATCH($A11,Zo!$F$51:$AQ$51,0),100),IFERROR(MATCH($A11,Zo!$F$52:$AQ$52,0),100),IFERROR(MATCH($A11,Zo!$F$53:$AQ$53,0),100),IFERROR(MATCH($A11,Zo!$F$54:$AQ$54,0),100),IFERROR(MATCH($A11,Zo!$F$55:$AQ$55,0),100),IFERROR(MATCH($A11,Zo!$F$56:$AQ$56,0),100),IFERROR(MATCH($A11,Zo!$F$57:$AQ$57,0),100),IFERROR(MATCH($A11,Zo!$F$58:$AQ$58,0),100),IFERROR(MATCH($A11,Zo!$F$59:$AQ$59,0),100),IFERROR(MATCH($A11,Zo!$F$60:$AQ$60,0),100),IFERROR(MATCH($A11,Zo!$F$61:$AQ$61,0),100),IFERROR(MATCH($A11,Zo!$F$62:$AQ$62,0),100),IFERROR(MATCH($A11,Zo!$F$63:$AQ$63,0),100),39)</f>
        <v/>
      </c>
      <c r="P11" s="66">
        <f>IFERROR(IF(VLOOKUP(INDEX(Zo!$B$12:$B$63,MATCH($A11,OFFSET( Zo!$F$12:$F$63,0,(O11*48)-(IF(O11=7/24,9,IF(O11=12.5/24,9,IF(O11=14/24,9,IF(O11=15.5/24,9,10)))))),0),0),Zo!$B$13:$C$63,2,FALSE)="TL","",INDEX(Zo!$B$12:$B$63,MATCH($A11,OFFSET( Zo!$F$12:$F$63,0,(O11*48)-(IF(O11=7/24,9,IF(O11=12.5/24,9,IF(O11=14/24,9,IF(O11=15.5/24,9,10)))))),0),0)),"")</f>
        <v/>
      </c>
    </row>
    <row r="12" ht="15" customHeight="1">
      <c r="A12" s="66" t="inlineStr">
        <is>
          <t>bl</t>
        </is>
      </c>
      <c r="B12" s="67">
        <f>A12</f>
        <v/>
      </c>
      <c r="C12" s="857">
        <f>9/48+(1/48)*MIN(IFERROR(MATCH($A12,Ma!$F$13:$AQ$13,0),100),IFERROR(MATCH($A12,Ma!$F$14:$AQ$14,0),100),IFERROR(MATCH($A12,Ma!$F$15:$AQ$15,0),100),IFERROR(MATCH($A12,Ma!$F$16:$AQ$16,0),100),IFERROR(MATCH($A12,Ma!$F$17:$AQ$17,0),100),IFERROR(MATCH($A12,Ma!$F$18:$AQ$18,0),100),IFERROR(MATCH($A12,Ma!$F$19:$AQ$19,0),100),IFERROR(MATCH($A12,Ma!$F$20:$AQ$20,0),100),IFERROR(MATCH($A12,Ma!$F$21:$AQ$21,0),100),IFERROR(MATCH($A12,Ma!$F$22:$AQ$22,0),100),IFERROR(MATCH($A12,Ma!$F$23:$AQ$23,0),100),IFERROR(MATCH($A12,Ma!$F$24:$AQ$24,0),100),IFERROR(MATCH($A12,Ma!$F$25:$AQ$25,0),100),IFERROR(MATCH($A12,Ma!$F$26:$AQ$26,0),100),IFERROR(MATCH($A12,Ma!$F$27:$AQ$27,0),100),IFERROR(MATCH($A12,Ma!$F$28:$AQ$28,0),100),IFERROR(MATCH($A12,Ma!$F$29:$AQ$29,0),100),IFERROR(MATCH($A12,Ma!$F$30:$AQ$30,0),100),IFERROR(MATCH($A12,Ma!$F$31:$AQ$31,0),100),IFERROR(MATCH($A12,Ma!$F$32:$AQ$32,0),100),IFERROR(MATCH($A12,Ma!$F$33:$AQ$33,0),100),IFERROR(MATCH($A12,Ma!$F$34:$AQ$34,0),100),IFERROR(MATCH($A12,Ma!$F$35:$AQ$35,0),100),IFERROR(MATCH($A12,Ma!$F$36:$AQ$36,0),100),IFERROR(MATCH($A12,Ma!$F$37:$AQ$37,0),100),IFERROR(MATCH($A12,Ma!$F$38:$AQ$38,0),100),IFERROR(MATCH($A12,Ma!$F$39:$AQ$39,0),100),IFERROR(MATCH($A12,Ma!$F$40:$AQ$40,0),100),IFERROR(MATCH($A12,Ma!$F$41:$AQ$41,0),100),IFERROR(MATCH($A12,Ma!$F$42:$AQ$42,0),100),IFERROR(MATCH($A12,Ma!$F$43:$AQ$43,0),100),IFERROR(MATCH($A12,Ma!$F$44:$AQ$44,0),100),IFERROR(MATCH($A12,Ma!$F$45:$AQ$45,0),100),IFERROR(MATCH($A12,Ma!$F$46:$AQ$46,0),100),IFERROR(MATCH($A12,Ma!$F$47:$AQ$47,0),100),IFERROR(MATCH($A12,Ma!$F$48:$AQ$48,0),100),IFERROR(MATCH($A12,Ma!$F$49:$AQ$49,0),100),IFERROR(MATCH($A12,Ma!$F$50:$AQ$50,0),100),IFERROR(MATCH($A12,Ma!$F$51:$AQ$51,0),100),IFERROR(MATCH($A12,Ma!$F$52:$AQ$52,0),100),IFERROR(MATCH($A12,Ma!$F$53:$AQ$53,0),100),IFERROR(MATCH($A12,Ma!$F$54:$AQ$54,0),100),IFERROR(MATCH($A12,Ma!$F$55:$AQ$55,0),100),IFERROR(MATCH($A12,Ma!$F$56:$AQ$56,0),100),IFERROR(MATCH($A12,Ma!$F$57:$AQ$57,0),100),IFERROR(MATCH($A12,Ma!$F$58:$AQ$58,0),100),IFERROR(MATCH($A12,Ma!$F$59:$AQ$59,0),100),IFERROR(MATCH($A12,Ma!$F$60:$AQ$60,0),100),IFERROR(MATCH($A12,Ma!$F$61:$AQ$61,0),100),IFERROR(MATCH($A12,Ma!$F$62:$AQ$62,0),100),IFERROR(MATCH($A12,Ma!$F$63:$AQ$63,0),100),39)</f>
        <v/>
      </c>
      <c r="D12" s="66">
        <f>IFERROR(IF(VLOOKUP(INDEX(Ma!$B$12:$B$63,MATCH($A12,OFFSET( Ma!$F$12:$F$63,0,(C12*48)-(IF(C12=7/24,9,IF(C12=12.5/24,9,IF(C12=14/24,9,IF(C12=15.5/24,9,10)))))),0),0),Ma!$B$13:$C$63,2,FALSE)="TL","",INDEX(Ma!$B$12:$B$63,MATCH($A12,OFFSET( Ma!$F$12:$F$63,0,(C12*48)-(IF(C12=7/24,9,IF(C12=12.5/24,9,IF(C12=14/24,9,IF(C12=15.5/24,9,10)))))),0),0)),"")</f>
        <v/>
      </c>
      <c r="E12" s="857">
        <f>9/48+(1/48)*MIN(IFERROR(MATCH($A12,Di!$F$13:$AQ$13,0),100),IFERROR(MATCH($A12,Di!$F$14:$AQ$14,0),100),IFERROR(MATCH($A12,Di!$F$15:$AQ$15,0),100),IFERROR(MATCH($A12,Di!$F$16:$AQ$16,0),100),IFERROR(MATCH($A12,Di!$F$17:$AQ$17,0),100),IFERROR(MATCH($A12,Di!$F$18:$AQ$18,0),100),IFERROR(MATCH($A12,Di!$F$19:$AQ$19,0),100),IFERROR(MATCH($A12,Di!$F$20:$AQ$20,0),100),IFERROR(MATCH($A12,Di!$F$21:$AQ$21,0),100),IFERROR(MATCH($A12,Di!$F$22:$AQ$22,0),100),IFERROR(MATCH($A12,Di!$F$23:$AQ$23,0),100),IFERROR(MATCH($A12,Di!$F$24:$AQ$24,0),100),IFERROR(MATCH($A12,Di!$F$25:$AQ$25,0),100),IFERROR(MATCH($A12,Di!$F$26:$AQ$26,0),100),IFERROR(MATCH($A12,Di!$F$27:$AQ$27,0),100),IFERROR(MATCH($A12,Di!$F$28:$AQ$28,0),100),IFERROR(MATCH($A12,Di!$F$29:$AQ$29,0),100),IFERROR(MATCH($A12,Di!$F$30:$AQ$30,0),100),IFERROR(MATCH($A12,Di!$F$31:$AQ$31,0),100),IFERROR(MATCH($A12,Di!$F$32:$AQ$32,0),100),IFERROR(MATCH($A12,Di!$F$33:$AQ$33,0),100),IFERROR(MATCH($A12,Di!$F$34:$AQ$34,0),100),IFERROR(MATCH($A12,Di!$F$35:$AQ$35,0),100),IFERROR(MATCH($A12,Di!$F$36:$AQ$36,0),100),IFERROR(MATCH($A12,Di!$F$37:$AQ$37,0),100),IFERROR(MATCH($A12,Di!$F$38:$AQ$38,0),100),IFERROR(MATCH($A12,Di!$F$39:$AQ$39,0),100),IFERROR(MATCH($A12,Di!$F$40:$AQ$40,0),100),IFERROR(MATCH($A12,Di!$F$41:$AQ$41,0),100),IFERROR(MATCH($A12,Di!$F$42:$AQ$42,0),100),IFERROR(MATCH($A12,Di!$F$43:$AQ$43,0),100),IFERROR(MATCH($A12,Di!$F$44:$AQ$44,0),100),IFERROR(MATCH($A12,Di!$F$45:$AQ$45,0),100),IFERROR(MATCH($A12,Di!$F$46:$AQ$46,0),100),IFERROR(MATCH($A12,Di!$F$47:$AQ$47,0),100),IFERROR(MATCH($A12,Di!$F$48:$AQ$48,0),100),IFERROR(MATCH($A12,Di!$F$49:$AQ$49,0),100),IFERROR(MATCH($A12,Di!$F$50:$AQ$50,0),100),IFERROR(MATCH($A12,Di!$F$51:$AQ$51,0),100),IFERROR(MATCH($A12,Di!$F$52:$AQ$52,0),100),IFERROR(MATCH($A12,Di!$F$53:$AQ$53,0),100),IFERROR(MATCH($A12,Di!$F$54:$AQ$54,0),100),IFERROR(MATCH($A12,Di!$F$55:$AQ$55,0),100),IFERROR(MATCH($A12,Di!$F$56:$AQ$56,0),100),IFERROR(MATCH($A12,Di!$F$57:$AQ$57,0),100),IFERROR(MATCH($A12,Di!$F$58:$AQ$58,0),100),IFERROR(MATCH($A12,Di!$F$59:$AQ$59,0),100),IFERROR(MATCH($A12,Di!$F$60:$AQ$60,0),100),IFERROR(MATCH($A12,Di!$F$61:$AQ$61,0),100),IFERROR(MATCH($A12,Di!$F$62:$AQ$62,0),100),IFERROR(MATCH($A12,Di!$F$63:$AQ$63,0),100),39)</f>
        <v/>
      </c>
      <c r="F12" s="66">
        <f>IFERROR(IF(VLOOKUP(INDEX(Di!$B$12:$B$63,MATCH($A12,OFFSET( Di!$F$12:$F$63,0,(E12*48)-(IF(E12=7/24,9,IF(E12=12.5/24,9,IF(E12=14/24,9,IF(E12=15.5/24,9,10)))))),0),0),Di!$B$13:$C$63,2,FALSE)="TL","",INDEX(Di!$B$12:$B$63,MATCH($A12,OFFSET( Di!$F$12:$F$63,0,(E12*48)-(IF(E12=7/24,9,IF(E12=12.5/24,9,IF(E12=14/24,9,IF(E12=15.5/24,9,10)))))),0),0)),"")</f>
        <v/>
      </c>
      <c r="G12" s="857">
        <f>9/48+(1/48)*MIN(IFERROR(MATCH($A12,Wo!$F$13:$AQ$13,0),100),IFERROR(MATCH($A12,Wo!$F$14:$AQ$14,0),100),IFERROR(MATCH($A12,Wo!$F$15:$AQ$15,0),100),IFERROR(MATCH($A12,Wo!$F$16:$AQ$16,0),100),IFERROR(MATCH($A12,Wo!$F$17:$AQ$17,0),100),IFERROR(MATCH($A12,Wo!$F$18:$AQ$18,0),100),IFERROR(MATCH($A12,Wo!$F$19:$AQ$19,0),100),IFERROR(MATCH($A12,Wo!$F$20:$AQ$20,0),100),IFERROR(MATCH($A12,Wo!$F$21:$AQ$21,0),100),IFERROR(MATCH($A12,Wo!$F$22:$AQ$22,0),100),IFERROR(MATCH($A12,Wo!$F$23:$AQ$23,0),100),IFERROR(MATCH($A12,Wo!$F$24:$AQ$24,0),100),IFERROR(MATCH($A12,Wo!$F$25:$AQ$25,0),100),IFERROR(MATCH($A12,Wo!$F$26:$AQ$26,0),100),IFERROR(MATCH($A12,Wo!$F$27:$AQ$27,0),100),IFERROR(MATCH($A12,Wo!$F$28:$AQ$28,0),100),IFERROR(MATCH($A12,Wo!$F$29:$AQ$29,0),100),IFERROR(MATCH($A12,Wo!$F$30:$AQ$30,0),100),IFERROR(MATCH($A12,Wo!$F$31:$AQ$31,0),100),IFERROR(MATCH($A12,Wo!$F$32:$AQ$32,0),100),IFERROR(MATCH($A12,Wo!$F$33:$AQ$33,0),100),IFERROR(MATCH($A12,Wo!$F$34:$AQ$34,0),100),IFERROR(MATCH($A12,Wo!$F$35:$AQ$35,0),100),IFERROR(MATCH($A12,Wo!$F$36:$AQ$36,0),100),IFERROR(MATCH($A12,Wo!$F$37:$AQ$37,0),100),IFERROR(MATCH($A12,Wo!$F$38:$AQ$38,0),100),IFERROR(MATCH($A12,Wo!$F$39:$AQ$39,0),100),IFERROR(MATCH($A12,Wo!$F$40:$AQ$40,0),100),IFERROR(MATCH($A12,Wo!$F$41:$AQ$41,0),100),IFERROR(MATCH($A12,Wo!$F$42:$AQ$42,0),100),IFERROR(MATCH($A12,Wo!$F$43:$AQ$43,0),100),IFERROR(MATCH($A12,Wo!$F$44:$AQ$44,0),100),IFERROR(MATCH($A12,Wo!$F$45:$AQ$45,0),100),IFERROR(MATCH($A12,Wo!$F$46:$AQ$46,0),100),IFERROR(MATCH($A12,Wo!$F$47:$AQ$47,0),100),IFERROR(MATCH($A12,Wo!$F$48:$AQ$48,0),100),IFERROR(MATCH($A12,Wo!$F$49:$AQ$49,0),100),IFERROR(MATCH($A12,Wo!$F$50:$AQ$50,0),100),IFERROR(MATCH($A12,Wo!$F$51:$AQ$51,0),100),IFERROR(MATCH($A12,Wo!$F$52:$AQ$52,0),100),IFERROR(MATCH($A12,Wo!$F$53:$AQ$53,0),100),IFERROR(MATCH($A12,Wo!$F$54:$AQ$54,0),100),IFERROR(MATCH($A12,Wo!$F$55:$AQ$55,0),100),IFERROR(MATCH($A12,Wo!$F$56:$AQ$56,0),100),IFERROR(MATCH($A12,Wo!$F$57:$AQ$57,0),100),IFERROR(MATCH($A12,Wo!$F$58:$AQ$58,0),100),IFERROR(MATCH($A12,Wo!$F$59:$AQ$59,0),100),IFERROR(MATCH($A12,Wo!$F$60:$AQ$60,0),100),IFERROR(MATCH($A12,Wo!$F$61:$AQ$61,0),100),IFERROR(MATCH($A12,Wo!$F$62:$AQ$62,0),100),IFERROR(MATCH($A12,Wo!$F$63:$AQ$63,0),100),39)</f>
        <v/>
      </c>
      <c r="H12" s="66">
        <f>IFERROR(IF(VLOOKUP(INDEX(Wo!$B$12:$B$63,MATCH($A12,OFFSET( Wo!$F$12:$F$63,0,(G12*48)-(IF(G12=7/24,9,IF(G12=12.5/24,9,IF(G12=14/24,9,IF(G12=15.5/24,9,10)))))),0),0),Wo!$B$13:$C$63,2,FALSE)="TL","",INDEX(Wo!$B$12:$B$63,MATCH($A12,OFFSET( Wo!$F$12:$F$63,0,(G12*48)-(IF(G12=7/24,9,IF(G12=12.5/24,9,IF(G12=14/24,9,IF(G12=15.5/24,9,10)))))),0),0)),"")</f>
        <v/>
      </c>
      <c r="I12" s="857">
        <f>9/48+(1/48)*MIN(IFERROR(MATCH($A12,Do!$F$13:$AQ$13,0),100),IFERROR(MATCH($A12,Do!$F$14:$AQ$14,0),100),IFERROR(MATCH($A12,Do!$F$15:$AQ$15,0),100),IFERROR(MATCH($A12,Do!$F$16:$AQ$16,0),100),IFERROR(MATCH($A12,Do!$F$17:$AQ$17,0),100),IFERROR(MATCH($A12,Do!$F$18:$AQ$18,0),100),IFERROR(MATCH($A12,Do!$F$19:$AQ$19,0),100),IFERROR(MATCH($A12,Do!$F$20:$AQ$20,0),100),IFERROR(MATCH($A12,Do!$F$21:$AQ$21,0),100),IFERROR(MATCH($A12,Do!$F$22:$AQ$22,0),100),IFERROR(MATCH($A12,Do!$F$23:$AQ$23,0),100),IFERROR(MATCH($A12,Do!$F$24:$AQ$24,0),100),IFERROR(MATCH($A12,Do!$F$25:$AQ$25,0),100),IFERROR(MATCH($A12,Do!$F$26:$AQ$26,0),100),IFERROR(MATCH($A12,Do!$F$27:$AQ$27,0),100),IFERROR(MATCH($A12,Do!$F$28:$AQ$28,0),100),IFERROR(MATCH($A12,Do!$F$29:$AQ$29,0),100),IFERROR(MATCH($A12,Do!$F$30:$AQ$30,0),100),IFERROR(MATCH($A12,Do!$F$31:$AQ$31,0),100),IFERROR(MATCH($A12,Do!$F$32:$AQ$32,0),100),IFERROR(MATCH($A12,Do!$F$33:$AQ$33,0),100),IFERROR(MATCH($A12,Do!$F$34:$AQ$34,0),100),IFERROR(MATCH($A12,Do!$F$35:$AQ$35,0),100),IFERROR(MATCH($A12,Do!$F$36:$AQ$36,0),100),IFERROR(MATCH($A12,Do!$F$37:$AQ$37,0),100),IFERROR(MATCH($A12,Do!$F$38:$AQ$38,0),100),IFERROR(MATCH($A12,Do!$F$39:$AQ$39,0),100),IFERROR(MATCH($A12,Do!$F$40:$AQ$40,0),100),IFERROR(MATCH($A12,Do!$F$41:$AQ$41,0),100),IFERROR(MATCH($A12,Do!$F$42:$AQ$42,0),100),IFERROR(MATCH($A12,Do!$F$43:$AQ$43,0),100),IFERROR(MATCH($A12,Do!$F$44:$AQ$44,0),100),IFERROR(MATCH($A12,Do!$F$45:$AQ$45,0),100),IFERROR(MATCH($A12,Do!$F$46:$AQ$46,0),100),IFERROR(MATCH($A12,Do!$F$47:$AQ$47,0),100),IFERROR(MATCH($A12,Do!$F$48:$AQ$48,0),100),IFERROR(MATCH($A12,Do!$F$49:$AQ$49,0),100),IFERROR(MATCH($A12,Do!$F$50:$AQ$50,0),100),IFERROR(MATCH($A12,Do!$F$51:$AQ$51,0),100),IFERROR(MATCH($A12,Do!$F$52:$AQ$52,0),100),IFERROR(MATCH($A12,Do!$F$53:$AQ$53,0),100),IFERROR(MATCH($A12,Do!$F$54:$AQ$54,0),100),IFERROR(MATCH($A12,Do!$F$55:$AQ$55,0),100),IFERROR(MATCH($A12,Do!$F$56:$AQ$56,0),100),IFERROR(MATCH($A12,Do!$F$57:$AQ$57,0),100),IFERROR(MATCH($A12,Do!$F$58:$AQ$58,0),100),IFERROR(MATCH($A12,Do!$F$59:$AQ$59,0),100),IFERROR(MATCH($A12,Do!$F$60:$AQ$60,0),100),IFERROR(MATCH($A12,Do!$F$61:$AQ$61,0),100),IFERROR(MATCH($A12,Do!$F$62:$AQ$62,0),100),IFERROR(MATCH($A12,Do!$F$63:$AQ$63,0),100),39)</f>
        <v/>
      </c>
      <c r="J12" s="66">
        <f>IFERROR(IF(VLOOKUP(INDEX(Do!$B$12:$B$63,MATCH($A12,OFFSET( Do!$F$12:$F$63,0,(I12*48)-(IF(I12=7/24,9,IF(I12=12.5/24,9,IF(I12=14/24,9,IF(I12=15.5/24,9,10)))))),0),0),Do!$B$13:$C$63,2,FALSE)="TL","",INDEX(Do!$B$12:$B$63,MATCH($A12,OFFSET( Do!$F$12:$F$63,0,(I12*48)-(IF(I12=7/24,9,IF(I12=12.5/24,9,IF(I12=14/24,9,IF(I12=15.5/24,9,10)))))),0),0)),"")</f>
        <v/>
      </c>
      <c r="K12" s="857">
        <f>9/48+(1/48)*MIN(IFERROR(MATCH($A12,Vr!$F$13:$AQ$13,0),100),IFERROR(MATCH($A12,Vr!$F$14:$AQ$14,0),100),IFERROR(MATCH($A12,Vr!$F$15:$AQ$15,0),100),IFERROR(MATCH($A12,Vr!$F$16:$AQ$16,0),100),IFERROR(MATCH($A12,Vr!$F$17:$AQ$17,0),100),IFERROR(MATCH($A12,Vr!$F$18:$AQ$18,0),100),IFERROR(MATCH($A12,Vr!$F$19:$AQ$19,0),100),IFERROR(MATCH($A12,Vr!$F$20:$AQ$20,0),100),IFERROR(MATCH($A12,Vr!$F$21:$AQ$21,0),100),IFERROR(MATCH($A12,Vr!$F$22:$AQ$22,0),100),IFERROR(MATCH($A12,Vr!$F$23:$AQ$23,0),100),IFERROR(MATCH($A12,Vr!$F$24:$AQ$24,0),100),IFERROR(MATCH($A12,Vr!$F$25:$AQ$25,0),100),IFERROR(MATCH($A12,Vr!$F$26:$AQ$26,0),100),IFERROR(MATCH($A12,Vr!$F$27:$AQ$27,0),100),IFERROR(MATCH($A12,Vr!$F$28:$AQ$28,0),100),IFERROR(MATCH($A12,Vr!$F$29:$AQ$29,0),100),IFERROR(MATCH($A12,Vr!$F$30:$AQ$30,0),100),IFERROR(MATCH($A12,Vr!$F$31:$AQ$31,0),100),IFERROR(MATCH($A12,Vr!$F$32:$AQ$32,0),100),IFERROR(MATCH($A12,Vr!$F$33:$AQ$33,0),100),IFERROR(MATCH($A12,Vr!$F$34:$AQ$34,0),100),IFERROR(MATCH($A12,Vr!$F$35:$AQ$35,0),100),IFERROR(MATCH($A12,Vr!$F$36:$AQ$36,0),100),IFERROR(MATCH($A12,Vr!$F$37:$AQ$37,0),100),IFERROR(MATCH($A12,Vr!$F$38:$AQ$38,0),100),IFERROR(MATCH($A12,Vr!$F$39:$AQ$39,0),100),IFERROR(MATCH($A12,Vr!$F$40:$AQ$40,0),100),IFERROR(MATCH($A12,Vr!$F$41:$AQ$41,0),100),IFERROR(MATCH($A12,Vr!$F$42:$AQ$42,0),100),IFERROR(MATCH($A12,Vr!$F$43:$AQ$43,0),100),IFERROR(MATCH($A12,Vr!$F$44:$AQ$44,0),100),IFERROR(MATCH($A12,Vr!$F$45:$AQ$45,0),100),IFERROR(MATCH($A12,Vr!$F$46:$AQ$46,0),100),IFERROR(MATCH($A12,Vr!$F$47:$AQ$47,0),100),IFERROR(MATCH($A12,Vr!$F$48:$AQ$48,0),100),IFERROR(MATCH($A12,Vr!$F$49:$AQ$49,0),100),IFERROR(MATCH($A12,Vr!$F$50:$AQ$50,0),100),IFERROR(MATCH($A12,Vr!$F$51:$AQ$51,0),100),IFERROR(MATCH($A12,Vr!$F$52:$AQ$52,0),100),IFERROR(MATCH($A12,Vr!$F$53:$AQ$53,0),100),IFERROR(MATCH($A12,Vr!$F$54:$AQ$54,0),100),IFERROR(MATCH($A12,Vr!$F$55:$AQ$55,0),100),IFERROR(MATCH($A12,Vr!$F$56:$AQ$56,0),100),IFERROR(MATCH($A12,Vr!$F$57:$AQ$57,0),100),IFERROR(MATCH($A12,Vr!$F$58:$AQ$58,0),100),IFERROR(MATCH($A12,Vr!$F$59:$AQ$59,0),100),IFERROR(MATCH($A12,Vr!$F$60:$AQ$60,0),100),IFERROR(MATCH($A12,Vr!$F$61:$AQ$61,0),100),IFERROR(MATCH($A12,Vr!$F$62:$AQ$62,0),100),IFERROR(MATCH($A12,Vr!$F$63:$AQ$63,0),100),39)</f>
        <v/>
      </c>
      <c r="L12" s="66">
        <f>IFERROR(IF(VLOOKUP(INDEX(Vr!$B$12:$B$63,MATCH($A12,OFFSET( Vr!$F$12:$F$63,0,(K12*48)-(IF(K12=7/24,9,IF(K12=12.5/24,9,IF(K12=14/24,9,IF(K12=15.5/24,9,10)))))),0),0),Vr!$B$13:$C$63,2,FALSE)="TL","",INDEX(Vr!$B$12:$B$63,MATCH($A12,OFFSET( Vr!$F$12:$F$63,0,(K12*48)-(IF(K12=7/24,9,IF(K12=12.5/24,9,IF(K12=14/24,9,IF(K12=15.5/24,9,10)))))),0),0)),"")</f>
        <v/>
      </c>
      <c r="M12" s="857">
        <f>9/48+(1/48)*MIN(IFERROR(MATCH($A12,Za!$F$13:$AQ$13,0),100),IFERROR(MATCH($A12,Za!$F$14:$AQ$14,0),100),IFERROR(MATCH($A12,Za!$F$15:$AQ$15,0),100),IFERROR(MATCH($A12,Za!$F$16:$AQ$16,0),100),IFERROR(MATCH($A12,Za!$F$17:$AQ$17,0),100),IFERROR(MATCH($A12,Za!$F$18:$AQ$18,0),100),IFERROR(MATCH($A12,Za!$F$19:$AQ$19,0),100),IFERROR(MATCH($A12,Za!$F$20:$AQ$20,0),100),IFERROR(MATCH($A12,Za!$F$21:$AQ$21,0),100),IFERROR(MATCH($A12,Za!$F$22:$AQ$22,0),100),IFERROR(MATCH($A12,Za!$F$23:$AQ$23,0),100),IFERROR(MATCH($A12,Za!$F$24:$AQ$24,0),100),IFERROR(MATCH($A12,Za!$F$25:$AQ$25,0),100),IFERROR(MATCH($A12,Za!$F$26:$AQ$26,0),100),IFERROR(MATCH($A12,Za!$F$27:$AQ$27,0),100),IFERROR(MATCH($A12,Za!$F$28:$AQ$28,0),100),IFERROR(MATCH($A12,Za!$F$29:$AQ$29,0),100),IFERROR(MATCH($A12,Za!$F$30:$AQ$30,0),100),IFERROR(MATCH($A12,Za!$F$31:$AQ$31,0),100),IFERROR(MATCH($A12,Za!$F$32:$AQ$32,0),100),IFERROR(MATCH($A12,Za!$F$33:$AQ$33,0),100),IFERROR(MATCH($A12,Za!$F$34:$AQ$34,0),100),IFERROR(MATCH($A12,Za!$F$35:$AQ$35,0),100),IFERROR(MATCH($A12,Za!$F$36:$AQ$36,0),100),IFERROR(MATCH($A12,Za!$F$37:$AQ$37,0),100),IFERROR(MATCH($A12,Za!$F$38:$AQ$38,0),100),IFERROR(MATCH($A12,Za!$F$39:$AQ$39,0),100),IFERROR(MATCH($A12,Za!$F$40:$AQ$40,0),100),IFERROR(MATCH($A12,Za!$F$41:$AQ$41,0),100),IFERROR(MATCH($A12,Za!$F$42:$AQ$42,0),100),IFERROR(MATCH($A12,Za!$F$43:$AQ$43,0),100),IFERROR(MATCH($A12,Za!$F$44:$AQ$44,0),100),IFERROR(MATCH($A12,Za!$F$45:$AQ$45,0),100),IFERROR(MATCH($A12,Za!$F$46:$AQ$46,0),100),IFERROR(MATCH($A12,Za!$F$47:$AQ$47,0),100),IFERROR(MATCH($A12,Za!$F$48:$AQ$48,0),100),IFERROR(MATCH($A12,Za!$F$49:$AQ$49,0),100),IFERROR(MATCH($A12,Za!$F$50:$AQ$50,0),100),IFERROR(MATCH($A12,Za!$F$51:$AQ$51,0),100),IFERROR(MATCH($A12,Za!$F$52:$AQ$52,0),100),IFERROR(MATCH($A12,Za!$F$53:$AQ$53,0),100),IFERROR(MATCH($A12,Za!$F$54:$AQ$54,0),100),IFERROR(MATCH($A12,Za!$F$55:$AQ$55,0),100),IFERROR(MATCH($A12,Za!$F$56:$AQ$56,0),100),IFERROR(MATCH($A12,Za!$F$57:$AQ$57,0),100),IFERROR(MATCH($A12,Za!$F$58:$AQ$58,0),100),IFERROR(MATCH($A12,Za!$F$59:$AQ$59,0),100),IFERROR(MATCH($A12,Za!$F$60:$AQ$60,0),100),IFERROR(MATCH($A12,Za!$F$61:$AQ$61,0),100),IFERROR(MATCH($A12,Za!$F$62:$AQ$62,0),100),IFERROR(MATCH($A12,Za!$F$63:$AQ$63,0),100),39)</f>
        <v/>
      </c>
      <c r="N12" s="66">
        <f>IFERROR(IF(VLOOKUP(INDEX(Za!$B$12:$B$63,MATCH($A12,OFFSET( Za!$F$12:$F$63,0,(M12*48)-(IF(M12=7/24,9,IF(M12=12.5/24,9,IF(M12=14/24,9,IF(M12=15.5/24,9,10)))))),0),0),Za!$B$13:$C$63,2,FALSE)="TL","",INDEX(Za!$B$12:$B$63,MATCH($A12,OFFSET( Za!$F$12:$F$63,0,(M12*48)-(IF(M12=7/24,9,IF(M12=12.5/24,9,IF(M12=14/24,9,IF(M12=15.5/24,9,10)))))),0),0)),"")</f>
        <v/>
      </c>
      <c r="O12" s="857">
        <f>9/48+(1/48)*MIN(IFERROR(MATCH($A12,Zo!$F$13:$AQ$13,0),100),IFERROR(MATCH($A12,Zo!$F$14:$AQ$14,0),100),IFERROR(MATCH($A12,Zo!$F$15:$AQ$15,0),100),IFERROR(MATCH($A12,Zo!$F$16:$AQ$16,0),100),IFERROR(MATCH($A12,Zo!$F$17:$AQ$17,0),100),IFERROR(MATCH($A12,Zo!$F$18:$AQ$18,0),100),IFERROR(MATCH($A12,Zo!$F$19:$AQ$19,0),100),IFERROR(MATCH($A12,Zo!$F$20:$AQ$20,0),100),IFERROR(MATCH($A12,Zo!$F$21:$AQ$21,0),100),IFERROR(MATCH($A12,Zo!$F$22:$AQ$22,0),100),IFERROR(MATCH($A12,Zo!$F$23:$AQ$23,0),100),IFERROR(MATCH($A12,Zo!$F$24:$AQ$24,0),100),IFERROR(MATCH($A12,Zo!$F$25:$AQ$25,0),100),IFERROR(MATCH($A12,Zo!$F$26:$AQ$26,0),100),IFERROR(MATCH($A12,Zo!$F$27:$AQ$27,0),100),IFERROR(MATCH($A12,Zo!$F$28:$AQ$28,0),100),IFERROR(MATCH($A12,Zo!$F$29:$AQ$29,0),100),IFERROR(MATCH($A12,Zo!$F$30:$AQ$30,0),100),IFERROR(MATCH($A12,Zo!$F$31:$AQ$31,0),100),IFERROR(MATCH($A12,Zo!$F$32:$AQ$32,0),100),IFERROR(MATCH($A12,Zo!$F$33:$AQ$33,0),100),IFERROR(MATCH($A12,Zo!$F$34:$AQ$34,0),100),IFERROR(MATCH($A12,Zo!$F$35:$AQ$35,0),100),IFERROR(MATCH($A12,Zo!$F$36:$AQ$36,0),100),IFERROR(MATCH($A12,Zo!$F$37:$AQ$37,0),100),IFERROR(MATCH($A12,Zo!$F$38:$AQ$38,0),100),IFERROR(MATCH($A12,Zo!$F$39:$AQ$39,0),100),IFERROR(MATCH($A12,Zo!$F$40:$AQ$40,0),100),IFERROR(MATCH($A12,Zo!$F$41:$AQ$41,0),100),IFERROR(MATCH($A12,Zo!$F$42:$AQ$42,0),100),IFERROR(MATCH($A12,Zo!$F$43:$AQ$43,0),100),IFERROR(MATCH($A12,Zo!$F$44:$AQ$44,0),100),IFERROR(MATCH($A12,Zo!$F$45:$AQ$45,0),100),IFERROR(MATCH($A12,Zo!$F$46:$AQ$46,0),100),IFERROR(MATCH($A12,Zo!$F$47:$AQ$47,0),100),IFERROR(MATCH($A12,Zo!$F$48:$AQ$48,0),100),IFERROR(MATCH($A12,Zo!$F$49:$AQ$49,0),100),IFERROR(MATCH($A12,Zo!$F$50:$AQ$50,0),100),IFERROR(MATCH($A12,Zo!$F$51:$AQ$51,0),100),IFERROR(MATCH($A12,Zo!$F$52:$AQ$52,0),100),IFERROR(MATCH($A12,Zo!$F$53:$AQ$53,0),100),IFERROR(MATCH($A12,Zo!$F$54:$AQ$54,0),100),IFERROR(MATCH($A12,Zo!$F$55:$AQ$55,0),100),IFERROR(MATCH($A12,Zo!$F$56:$AQ$56,0),100),IFERROR(MATCH($A12,Zo!$F$57:$AQ$57,0),100),IFERROR(MATCH($A12,Zo!$F$58:$AQ$58,0),100),IFERROR(MATCH($A12,Zo!$F$59:$AQ$59,0),100),IFERROR(MATCH($A12,Zo!$F$60:$AQ$60,0),100),IFERROR(MATCH($A12,Zo!$F$61:$AQ$61,0),100),IFERROR(MATCH($A12,Zo!$F$62:$AQ$62,0),100),IFERROR(MATCH($A12,Zo!$F$63:$AQ$63,0),100),39)</f>
        <v/>
      </c>
      <c r="P12" s="66">
        <f>IFERROR(IF(VLOOKUP(INDEX(Zo!$B$12:$B$63,MATCH($A12,OFFSET( Zo!$F$12:$F$63,0,(O12*48)-(IF(O12=7/24,9,IF(O12=12.5/24,9,IF(O12=14/24,9,IF(O12=15.5/24,9,10)))))),0),0),Zo!$B$13:$C$63,2,FALSE)="TL","",INDEX(Zo!$B$12:$B$63,MATCH($A12,OFFSET( Zo!$F$12:$F$63,0,(O12*48)-(IF(O12=7/24,9,IF(O12=12.5/24,9,IF(O12=14/24,9,IF(O12=15.5/24,9,10)))))),0),0)),"")</f>
        <v/>
      </c>
    </row>
    <row r="13" ht="15" customHeight="1">
      <c r="A13" s="66" t="inlineStr">
        <is>
          <t>hl</t>
        </is>
      </c>
      <c r="B13" s="67">
        <f>A13</f>
        <v/>
      </c>
      <c r="C13" s="857">
        <f>9/48+(1/48)*MIN(IFERROR(MATCH($A13,Ma!$F$13:$AQ$13,0),100),IFERROR(MATCH($A13,Ma!$F$14:$AQ$14,0),100),IFERROR(MATCH($A13,Ma!$F$15:$AQ$15,0),100),IFERROR(MATCH($A13,Ma!$F$16:$AQ$16,0),100),IFERROR(MATCH($A13,Ma!$F$17:$AQ$17,0),100),IFERROR(MATCH($A13,Ma!$F$18:$AQ$18,0),100),IFERROR(MATCH($A13,Ma!$F$19:$AQ$19,0),100),IFERROR(MATCH($A13,Ma!$F$20:$AQ$20,0),100),IFERROR(MATCH($A13,Ma!$F$21:$AQ$21,0),100),IFERROR(MATCH($A13,Ma!$F$22:$AQ$22,0),100),IFERROR(MATCH($A13,Ma!$F$23:$AQ$23,0),100),IFERROR(MATCH($A13,Ma!$F$24:$AQ$24,0),100),IFERROR(MATCH($A13,Ma!$F$25:$AQ$25,0),100),IFERROR(MATCH($A13,Ma!$F$26:$AQ$26,0),100),IFERROR(MATCH($A13,Ma!$F$27:$AQ$27,0),100),IFERROR(MATCH($A13,Ma!$F$28:$AQ$28,0),100),IFERROR(MATCH($A13,Ma!$F$29:$AQ$29,0),100),IFERROR(MATCH($A13,Ma!$F$30:$AQ$30,0),100),IFERROR(MATCH($A13,Ma!$F$31:$AQ$31,0),100),IFERROR(MATCH($A13,Ma!$F$32:$AQ$32,0),100),IFERROR(MATCH($A13,Ma!$F$33:$AQ$33,0),100),IFERROR(MATCH($A13,Ma!$F$34:$AQ$34,0),100),IFERROR(MATCH($A13,Ma!$F$35:$AQ$35,0),100),IFERROR(MATCH($A13,Ma!$F$36:$AQ$36,0),100),IFERROR(MATCH($A13,Ma!$F$37:$AQ$37,0),100),IFERROR(MATCH($A13,Ma!$F$38:$AQ$38,0),100),IFERROR(MATCH($A13,Ma!$F$39:$AQ$39,0),100),IFERROR(MATCH($A13,Ma!$F$40:$AQ$40,0),100),IFERROR(MATCH($A13,Ma!$F$41:$AQ$41,0),100),IFERROR(MATCH($A13,Ma!$F$42:$AQ$42,0),100),IFERROR(MATCH($A13,Ma!$F$43:$AQ$43,0),100),IFERROR(MATCH($A13,Ma!$F$44:$AQ$44,0),100),IFERROR(MATCH($A13,Ma!$F$45:$AQ$45,0),100),IFERROR(MATCH($A13,Ma!$F$46:$AQ$46,0),100),IFERROR(MATCH($A13,Ma!$F$47:$AQ$47,0),100),IFERROR(MATCH($A13,Ma!$F$48:$AQ$48,0),100),IFERROR(MATCH($A13,Ma!$F$49:$AQ$49,0),100),IFERROR(MATCH($A13,Ma!$F$50:$AQ$50,0),100),IFERROR(MATCH($A13,Ma!$F$51:$AQ$51,0),100),IFERROR(MATCH($A13,Ma!$F$52:$AQ$52,0),100),IFERROR(MATCH($A13,Ma!$F$53:$AQ$53,0),100),IFERROR(MATCH($A13,Ma!$F$54:$AQ$54,0),100),IFERROR(MATCH($A13,Ma!$F$55:$AQ$55,0),100),IFERROR(MATCH($A13,Ma!$F$56:$AQ$56,0),100),IFERROR(MATCH($A13,Ma!$F$57:$AQ$57,0),100),IFERROR(MATCH($A13,Ma!$F$58:$AQ$58,0),100),IFERROR(MATCH($A13,Ma!$F$59:$AQ$59,0),100),IFERROR(MATCH($A13,Ma!$F$60:$AQ$60,0),100),IFERROR(MATCH($A13,Ma!$F$61:$AQ$61,0),100),IFERROR(MATCH($A13,Ma!$F$62:$AQ$62,0),100),IFERROR(MATCH($A13,Ma!$F$63:$AQ$63,0),100),39)</f>
        <v/>
      </c>
      <c r="D13" s="66">
        <f>IFERROR(IF(VLOOKUP(INDEX(Ma!$B$12:$B$63,MATCH($A13,OFFSET( Ma!$F$12:$F$63,0,(C13*48)-(IF(C13=7/24,9,IF(C13=12.5/24,9,IF(C13=14/24,9,IF(C13=15.5/24,9,10)))))),0),0),Ma!$B$13:$C$63,2,FALSE)="TL","",INDEX(Ma!$B$12:$B$63,MATCH($A13,OFFSET( Ma!$F$12:$F$63,0,(C13*48)-(IF(C13=7/24,9,IF(C13=12.5/24,9,IF(C13=14/24,9,IF(C13=15.5/24,9,10)))))),0),0)),"")</f>
        <v/>
      </c>
      <c r="E13" s="857">
        <f>9/48+(1/48)*MIN(IFERROR(MATCH($A13,Di!$F$13:$AQ$13,0),100),IFERROR(MATCH($A13,Di!$F$14:$AQ$14,0),100),IFERROR(MATCH($A13,Di!$F$15:$AQ$15,0),100),IFERROR(MATCH($A13,Di!$F$16:$AQ$16,0),100),IFERROR(MATCH($A13,Di!$F$17:$AQ$17,0),100),IFERROR(MATCH($A13,Di!$F$18:$AQ$18,0),100),IFERROR(MATCH($A13,Di!$F$19:$AQ$19,0),100),IFERROR(MATCH($A13,Di!$F$20:$AQ$20,0),100),IFERROR(MATCH($A13,Di!$F$21:$AQ$21,0),100),IFERROR(MATCH($A13,Di!$F$22:$AQ$22,0),100),IFERROR(MATCH($A13,Di!$F$23:$AQ$23,0),100),IFERROR(MATCH($A13,Di!$F$24:$AQ$24,0),100),IFERROR(MATCH($A13,Di!$F$25:$AQ$25,0),100),IFERROR(MATCH($A13,Di!$F$26:$AQ$26,0),100),IFERROR(MATCH($A13,Di!$F$27:$AQ$27,0),100),IFERROR(MATCH($A13,Di!$F$28:$AQ$28,0),100),IFERROR(MATCH($A13,Di!$F$29:$AQ$29,0),100),IFERROR(MATCH($A13,Di!$F$30:$AQ$30,0),100),IFERROR(MATCH($A13,Di!$F$31:$AQ$31,0),100),IFERROR(MATCH($A13,Di!$F$32:$AQ$32,0),100),IFERROR(MATCH($A13,Di!$F$33:$AQ$33,0),100),IFERROR(MATCH($A13,Di!$F$34:$AQ$34,0),100),IFERROR(MATCH($A13,Di!$F$35:$AQ$35,0),100),IFERROR(MATCH($A13,Di!$F$36:$AQ$36,0),100),IFERROR(MATCH($A13,Di!$F$37:$AQ$37,0),100),IFERROR(MATCH($A13,Di!$F$38:$AQ$38,0),100),IFERROR(MATCH($A13,Di!$F$39:$AQ$39,0),100),IFERROR(MATCH($A13,Di!$F$40:$AQ$40,0),100),IFERROR(MATCH($A13,Di!$F$41:$AQ$41,0),100),IFERROR(MATCH($A13,Di!$F$42:$AQ$42,0),100),IFERROR(MATCH($A13,Di!$F$43:$AQ$43,0),100),IFERROR(MATCH($A13,Di!$F$44:$AQ$44,0),100),IFERROR(MATCH($A13,Di!$F$45:$AQ$45,0),100),IFERROR(MATCH($A13,Di!$F$46:$AQ$46,0),100),IFERROR(MATCH($A13,Di!$F$47:$AQ$47,0),100),IFERROR(MATCH($A13,Di!$F$48:$AQ$48,0),100),IFERROR(MATCH($A13,Di!$F$49:$AQ$49,0),100),IFERROR(MATCH($A13,Di!$F$50:$AQ$50,0),100),IFERROR(MATCH($A13,Di!$F$51:$AQ$51,0),100),IFERROR(MATCH($A13,Di!$F$52:$AQ$52,0),100),IFERROR(MATCH($A13,Di!$F$53:$AQ$53,0),100),IFERROR(MATCH($A13,Di!$F$54:$AQ$54,0),100),IFERROR(MATCH($A13,Di!$F$55:$AQ$55,0),100),IFERROR(MATCH($A13,Di!$F$56:$AQ$56,0),100),IFERROR(MATCH($A13,Di!$F$57:$AQ$57,0),100),IFERROR(MATCH($A13,Di!$F$58:$AQ$58,0),100),IFERROR(MATCH($A13,Di!$F$59:$AQ$59,0),100),IFERROR(MATCH($A13,Di!$F$60:$AQ$60,0),100),IFERROR(MATCH($A13,Di!$F$61:$AQ$61,0),100),IFERROR(MATCH($A13,Di!$F$62:$AQ$62,0),100),IFERROR(MATCH($A13,Di!$F$63:$AQ$63,0),100),39)</f>
        <v/>
      </c>
      <c r="F13" s="66">
        <f>IFERROR(IF(VLOOKUP(INDEX(Di!$B$12:$B$63,MATCH($A13,OFFSET( Di!$F$12:$F$63,0,(E13*48)-(IF(E13=7/24,9,IF(E13=12.5/24,9,IF(E13=14/24,9,IF(E13=15.5/24,9,10)))))),0),0),Di!$B$13:$C$63,2,FALSE)="TL","",INDEX(Di!$B$12:$B$63,MATCH($A13,OFFSET( Di!$F$12:$F$63,0,(E13*48)-(IF(E13=7/24,9,IF(E13=12.5/24,9,IF(E13=14/24,9,IF(E13=15.5/24,9,10)))))),0),0)),"")</f>
        <v/>
      </c>
      <c r="G13" s="857">
        <f>9/48+(1/48)*MIN(IFERROR(MATCH($A13,Wo!$F$13:$AQ$13,0),100),IFERROR(MATCH($A13,Wo!$F$14:$AQ$14,0),100),IFERROR(MATCH($A13,Wo!$F$15:$AQ$15,0),100),IFERROR(MATCH($A13,Wo!$F$16:$AQ$16,0),100),IFERROR(MATCH($A13,Wo!$F$17:$AQ$17,0),100),IFERROR(MATCH($A13,Wo!$F$18:$AQ$18,0),100),IFERROR(MATCH($A13,Wo!$F$19:$AQ$19,0),100),IFERROR(MATCH($A13,Wo!$F$20:$AQ$20,0),100),IFERROR(MATCH($A13,Wo!$F$21:$AQ$21,0),100),IFERROR(MATCH($A13,Wo!$F$22:$AQ$22,0),100),IFERROR(MATCH($A13,Wo!$F$23:$AQ$23,0),100),IFERROR(MATCH($A13,Wo!$F$24:$AQ$24,0),100),IFERROR(MATCH($A13,Wo!$F$25:$AQ$25,0),100),IFERROR(MATCH($A13,Wo!$F$26:$AQ$26,0),100),IFERROR(MATCH($A13,Wo!$F$27:$AQ$27,0),100),IFERROR(MATCH($A13,Wo!$F$28:$AQ$28,0),100),IFERROR(MATCH($A13,Wo!$F$29:$AQ$29,0),100),IFERROR(MATCH($A13,Wo!$F$30:$AQ$30,0),100),IFERROR(MATCH($A13,Wo!$F$31:$AQ$31,0),100),IFERROR(MATCH($A13,Wo!$F$32:$AQ$32,0),100),IFERROR(MATCH($A13,Wo!$F$33:$AQ$33,0),100),IFERROR(MATCH($A13,Wo!$F$34:$AQ$34,0),100),IFERROR(MATCH($A13,Wo!$F$35:$AQ$35,0),100),IFERROR(MATCH($A13,Wo!$F$36:$AQ$36,0),100),IFERROR(MATCH($A13,Wo!$F$37:$AQ$37,0),100),IFERROR(MATCH($A13,Wo!$F$38:$AQ$38,0),100),IFERROR(MATCH($A13,Wo!$F$39:$AQ$39,0),100),IFERROR(MATCH($A13,Wo!$F$40:$AQ$40,0),100),IFERROR(MATCH($A13,Wo!$F$41:$AQ$41,0),100),IFERROR(MATCH($A13,Wo!$F$42:$AQ$42,0),100),IFERROR(MATCH($A13,Wo!$F$43:$AQ$43,0),100),IFERROR(MATCH($A13,Wo!$F$44:$AQ$44,0),100),IFERROR(MATCH($A13,Wo!$F$45:$AQ$45,0),100),IFERROR(MATCH($A13,Wo!$F$46:$AQ$46,0),100),IFERROR(MATCH($A13,Wo!$F$47:$AQ$47,0),100),IFERROR(MATCH($A13,Wo!$F$48:$AQ$48,0),100),IFERROR(MATCH($A13,Wo!$F$49:$AQ$49,0),100),IFERROR(MATCH($A13,Wo!$F$50:$AQ$50,0),100),IFERROR(MATCH($A13,Wo!$F$51:$AQ$51,0),100),IFERROR(MATCH($A13,Wo!$F$52:$AQ$52,0),100),IFERROR(MATCH($A13,Wo!$F$53:$AQ$53,0),100),IFERROR(MATCH($A13,Wo!$F$54:$AQ$54,0),100),IFERROR(MATCH($A13,Wo!$F$55:$AQ$55,0),100),IFERROR(MATCH($A13,Wo!$F$56:$AQ$56,0),100),IFERROR(MATCH($A13,Wo!$F$57:$AQ$57,0),100),IFERROR(MATCH($A13,Wo!$F$58:$AQ$58,0),100),IFERROR(MATCH($A13,Wo!$F$59:$AQ$59,0),100),IFERROR(MATCH($A13,Wo!$F$60:$AQ$60,0),100),IFERROR(MATCH($A13,Wo!$F$61:$AQ$61,0),100),IFERROR(MATCH($A13,Wo!$F$62:$AQ$62,0),100),IFERROR(MATCH($A13,Wo!$F$63:$AQ$63,0),100),39)</f>
        <v/>
      </c>
      <c r="H13" s="66">
        <f>IFERROR(IF(VLOOKUP(INDEX(Wo!$B$12:$B$63,MATCH($A13,OFFSET( Wo!$F$12:$F$63,0,(G13*48)-(IF(G13=7/24,9,IF(G13=12.5/24,9,IF(G13=14/24,9,IF(G13=15.5/24,9,10)))))),0),0),Wo!$B$13:$C$63,2,FALSE)="TL","",INDEX(Wo!$B$12:$B$63,MATCH($A13,OFFSET( Wo!$F$12:$F$63,0,(G13*48)-(IF(G13=7/24,9,IF(G13=12.5/24,9,IF(G13=14/24,9,IF(G13=15.5/24,9,10)))))),0),0)),"")</f>
        <v/>
      </c>
      <c r="I13" s="857">
        <f>9/48+(1/48)*MIN(IFERROR(MATCH($A13,Do!$F$13:$AQ$13,0),100),IFERROR(MATCH($A13,Do!$F$14:$AQ$14,0),100),IFERROR(MATCH($A13,Do!$F$15:$AQ$15,0),100),IFERROR(MATCH($A13,Do!$F$16:$AQ$16,0),100),IFERROR(MATCH($A13,Do!$F$17:$AQ$17,0),100),IFERROR(MATCH($A13,Do!$F$18:$AQ$18,0),100),IFERROR(MATCH($A13,Do!$F$19:$AQ$19,0),100),IFERROR(MATCH($A13,Do!$F$20:$AQ$20,0),100),IFERROR(MATCH($A13,Do!$F$21:$AQ$21,0),100),IFERROR(MATCH($A13,Do!$F$22:$AQ$22,0),100),IFERROR(MATCH($A13,Do!$F$23:$AQ$23,0),100),IFERROR(MATCH($A13,Do!$F$24:$AQ$24,0),100),IFERROR(MATCH($A13,Do!$F$25:$AQ$25,0),100),IFERROR(MATCH($A13,Do!$F$26:$AQ$26,0),100),IFERROR(MATCH($A13,Do!$F$27:$AQ$27,0),100),IFERROR(MATCH($A13,Do!$F$28:$AQ$28,0),100),IFERROR(MATCH($A13,Do!$F$29:$AQ$29,0),100),IFERROR(MATCH($A13,Do!$F$30:$AQ$30,0),100),IFERROR(MATCH($A13,Do!$F$31:$AQ$31,0),100),IFERROR(MATCH($A13,Do!$F$32:$AQ$32,0),100),IFERROR(MATCH($A13,Do!$F$33:$AQ$33,0),100),IFERROR(MATCH($A13,Do!$F$34:$AQ$34,0),100),IFERROR(MATCH($A13,Do!$F$35:$AQ$35,0),100),IFERROR(MATCH($A13,Do!$F$36:$AQ$36,0),100),IFERROR(MATCH($A13,Do!$F$37:$AQ$37,0),100),IFERROR(MATCH($A13,Do!$F$38:$AQ$38,0),100),IFERROR(MATCH($A13,Do!$F$39:$AQ$39,0),100),IFERROR(MATCH($A13,Do!$F$40:$AQ$40,0),100),IFERROR(MATCH($A13,Do!$F$41:$AQ$41,0),100),IFERROR(MATCH($A13,Do!$F$42:$AQ$42,0),100),IFERROR(MATCH($A13,Do!$F$43:$AQ$43,0),100),IFERROR(MATCH($A13,Do!$F$44:$AQ$44,0),100),IFERROR(MATCH($A13,Do!$F$45:$AQ$45,0),100),IFERROR(MATCH($A13,Do!$F$46:$AQ$46,0),100),IFERROR(MATCH($A13,Do!$F$47:$AQ$47,0),100),IFERROR(MATCH($A13,Do!$F$48:$AQ$48,0),100),IFERROR(MATCH($A13,Do!$F$49:$AQ$49,0),100),IFERROR(MATCH($A13,Do!$F$50:$AQ$50,0),100),IFERROR(MATCH($A13,Do!$F$51:$AQ$51,0),100),IFERROR(MATCH($A13,Do!$F$52:$AQ$52,0),100),IFERROR(MATCH($A13,Do!$F$53:$AQ$53,0),100),IFERROR(MATCH($A13,Do!$F$54:$AQ$54,0),100),IFERROR(MATCH($A13,Do!$F$55:$AQ$55,0),100),IFERROR(MATCH($A13,Do!$F$56:$AQ$56,0),100),IFERROR(MATCH($A13,Do!$F$57:$AQ$57,0),100),IFERROR(MATCH($A13,Do!$F$58:$AQ$58,0),100),IFERROR(MATCH($A13,Do!$F$59:$AQ$59,0),100),IFERROR(MATCH($A13,Do!$F$60:$AQ$60,0),100),IFERROR(MATCH($A13,Do!$F$61:$AQ$61,0),100),IFERROR(MATCH($A13,Do!$F$62:$AQ$62,0),100),IFERROR(MATCH($A13,Do!$F$63:$AQ$63,0),100),39)</f>
        <v/>
      </c>
      <c r="J13" s="66">
        <f>IFERROR(IF(VLOOKUP(INDEX(Do!$B$12:$B$63,MATCH($A13,OFFSET( Do!$F$12:$F$63,0,(I13*48)-(IF(I13=7/24,9,IF(I13=12.5/24,9,IF(I13=14/24,9,IF(I13=15.5/24,9,10)))))),0),0),Do!$B$13:$C$63,2,FALSE)="TL","",INDEX(Do!$B$12:$B$63,MATCH($A13,OFFSET( Do!$F$12:$F$63,0,(I13*48)-(IF(I13=7/24,9,IF(I13=12.5/24,9,IF(I13=14/24,9,IF(I13=15.5/24,9,10)))))),0),0)),"")</f>
        <v/>
      </c>
      <c r="K13" s="857">
        <f>9/48+(1/48)*MIN(IFERROR(MATCH($A13,Vr!$F$13:$AQ$13,0),100),IFERROR(MATCH($A13,Vr!$F$14:$AQ$14,0),100),IFERROR(MATCH($A13,Vr!$F$15:$AQ$15,0),100),IFERROR(MATCH($A13,Vr!$F$16:$AQ$16,0),100),IFERROR(MATCH($A13,Vr!$F$17:$AQ$17,0),100),IFERROR(MATCH($A13,Vr!$F$18:$AQ$18,0),100),IFERROR(MATCH($A13,Vr!$F$19:$AQ$19,0),100),IFERROR(MATCH($A13,Vr!$F$20:$AQ$20,0),100),IFERROR(MATCH($A13,Vr!$F$21:$AQ$21,0),100),IFERROR(MATCH($A13,Vr!$F$22:$AQ$22,0),100),IFERROR(MATCH($A13,Vr!$F$23:$AQ$23,0),100),IFERROR(MATCH($A13,Vr!$F$24:$AQ$24,0),100),IFERROR(MATCH($A13,Vr!$F$25:$AQ$25,0),100),IFERROR(MATCH($A13,Vr!$F$26:$AQ$26,0),100),IFERROR(MATCH($A13,Vr!$F$27:$AQ$27,0),100),IFERROR(MATCH($A13,Vr!$F$28:$AQ$28,0),100),IFERROR(MATCH($A13,Vr!$F$29:$AQ$29,0),100),IFERROR(MATCH($A13,Vr!$F$30:$AQ$30,0),100),IFERROR(MATCH($A13,Vr!$F$31:$AQ$31,0),100),IFERROR(MATCH($A13,Vr!$F$32:$AQ$32,0),100),IFERROR(MATCH($A13,Vr!$F$33:$AQ$33,0),100),IFERROR(MATCH($A13,Vr!$F$34:$AQ$34,0),100),IFERROR(MATCH($A13,Vr!$F$35:$AQ$35,0),100),IFERROR(MATCH($A13,Vr!$F$36:$AQ$36,0),100),IFERROR(MATCH($A13,Vr!$F$37:$AQ$37,0),100),IFERROR(MATCH($A13,Vr!$F$38:$AQ$38,0),100),IFERROR(MATCH($A13,Vr!$F$39:$AQ$39,0),100),IFERROR(MATCH($A13,Vr!$F$40:$AQ$40,0),100),IFERROR(MATCH($A13,Vr!$F$41:$AQ$41,0),100),IFERROR(MATCH($A13,Vr!$F$42:$AQ$42,0),100),IFERROR(MATCH($A13,Vr!$F$43:$AQ$43,0),100),IFERROR(MATCH($A13,Vr!$F$44:$AQ$44,0),100),IFERROR(MATCH($A13,Vr!$F$45:$AQ$45,0),100),IFERROR(MATCH($A13,Vr!$F$46:$AQ$46,0),100),IFERROR(MATCH($A13,Vr!$F$47:$AQ$47,0),100),IFERROR(MATCH($A13,Vr!$F$48:$AQ$48,0),100),IFERROR(MATCH($A13,Vr!$F$49:$AQ$49,0),100),IFERROR(MATCH($A13,Vr!$F$50:$AQ$50,0),100),IFERROR(MATCH($A13,Vr!$F$51:$AQ$51,0),100),IFERROR(MATCH($A13,Vr!$F$52:$AQ$52,0),100),IFERROR(MATCH($A13,Vr!$F$53:$AQ$53,0),100),IFERROR(MATCH($A13,Vr!$F$54:$AQ$54,0),100),IFERROR(MATCH($A13,Vr!$F$55:$AQ$55,0),100),IFERROR(MATCH($A13,Vr!$F$56:$AQ$56,0),100),IFERROR(MATCH($A13,Vr!$F$57:$AQ$57,0),100),IFERROR(MATCH($A13,Vr!$F$58:$AQ$58,0),100),IFERROR(MATCH($A13,Vr!$F$59:$AQ$59,0),100),IFERROR(MATCH($A13,Vr!$F$60:$AQ$60,0),100),IFERROR(MATCH($A13,Vr!$F$61:$AQ$61,0),100),IFERROR(MATCH($A13,Vr!$F$62:$AQ$62,0),100),IFERROR(MATCH($A13,Vr!$F$63:$AQ$63,0),100),39)</f>
        <v/>
      </c>
      <c r="L13" s="66">
        <f>IFERROR(IF(VLOOKUP(INDEX(Vr!$B$12:$B$63,MATCH($A13,OFFSET( Vr!$F$12:$F$63,0,(K13*48)-(IF(K13=7/24,9,IF(K13=12.5/24,9,IF(K13=14/24,9,IF(K13=15.5/24,9,10)))))),0),0),Vr!$B$13:$C$63,2,FALSE)="TL","",INDEX(Vr!$B$12:$B$63,MATCH($A13,OFFSET( Vr!$F$12:$F$63,0,(K13*48)-(IF(K13=7/24,9,IF(K13=12.5/24,9,IF(K13=14/24,9,IF(K13=15.5/24,9,10)))))),0),0)),"")</f>
        <v/>
      </c>
      <c r="M13" s="857">
        <f>9/48+(1/48)*MIN(IFERROR(MATCH($A13,Za!$F$13:$AQ$13,0),100),IFERROR(MATCH($A13,Za!$F$14:$AQ$14,0),100),IFERROR(MATCH($A13,Za!$F$15:$AQ$15,0),100),IFERROR(MATCH($A13,Za!$F$16:$AQ$16,0),100),IFERROR(MATCH($A13,Za!$F$17:$AQ$17,0),100),IFERROR(MATCH($A13,Za!$F$18:$AQ$18,0),100),IFERROR(MATCH($A13,Za!$F$19:$AQ$19,0),100),IFERROR(MATCH($A13,Za!$F$20:$AQ$20,0),100),IFERROR(MATCH($A13,Za!$F$21:$AQ$21,0),100),IFERROR(MATCH($A13,Za!$F$22:$AQ$22,0),100),IFERROR(MATCH($A13,Za!$F$23:$AQ$23,0),100),IFERROR(MATCH($A13,Za!$F$24:$AQ$24,0),100),IFERROR(MATCH($A13,Za!$F$25:$AQ$25,0),100),IFERROR(MATCH($A13,Za!$F$26:$AQ$26,0),100),IFERROR(MATCH($A13,Za!$F$27:$AQ$27,0),100),IFERROR(MATCH($A13,Za!$F$28:$AQ$28,0),100),IFERROR(MATCH($A13,Za!$F$29:$AQ$29,0),100),IFERROR(MATCH($A13,Za!$F$30:$AQ$30,0),100),IFERROR(MATCH($A13,Za!$F$31:$AQ$31,0),100),IFERROR(MATCH($A13,Za!$F$32:$AQ$32,0),100),IFERROR(MATCH($A13,Za!$F$33:$AQ$33,0),100),IFERROR(MATCH($A13,Za!$F$34:$AQ$34,0),100),IFERROR(MATCH($A13,Za!$F$35:$AQ$35,0),100),IFERROR(MATCH($A13,Za!$F$36:$AQ$36,0),100),IFERROR(MATCH($A13,Za!$F$37:$AQ$37,0),100),IFERROR(MATCH($A13,Za!$F$38:$AQ$38,0),100),IFERROR(MATCH($A13,Za!$F$39:$AQ$39,0),100),IFERROR(MATCH($A13,Za!$F$40:$AQ$40,0),100),IFERROR(MATCH($A13,Za!$F$41:$AQ$41,0),100),IFERROR(MATCH($A13,Za!$F$42:$AQ$42,0),100),IFERROR(MATCH($A13,Za!$F$43:$AQ$43,0),100),IFERROR(MATCH($A13,Za!$F$44:$AQ$44,0),100),IFERROR(MATCH($A13,Za!$F$45:$AQ$45,0),100),IFERROR(MATCH($A13,Za!$F$46:$AQ$46,0),100),IFERROR(MATCH($A13,Za!$F$47:$AQ$47,0),100),IFERROR(MATCH($A13,Za!$F$48:$AQ$48,0),100),IFERROR(MATCH($A13,Za!$F$49:$AQ$49,0),100),IFERROR(MATCH($A13,Za!$F$50:$AQ$50,0),100),IFERROR(MATCH($A13,Za!$F$51:$AQ$51,0),100),IFERROR(MATCH($A13,Za!$F$52:$AQ$52,0),100),IFERROR(MATCH($A13,Za!$F$53:$AQ$53,0),100),IFERROR(MATCH($A13,Za!$F$54:$AQ$54,0),100),IFERROR(MATCH($A13,Za!$F$55:$AQ$55,0),100),IFERROR(MATCH($A13,Za!$F$56:$AQ$56,0),100),IFERROR(MATCH($A13,Za!$F$57:$AQ$57,0),100),IFERROR(MATCH($A13,Za!$F$58:$AQ$58,0),100),IFERROR(MATCH($A13,Za!$F$59:$AQ$59,0),100),IFERROR(MATCH($A13,Za!$F$60:$AQ$60,0),100),IFERROR(MATCH($A13,Za!$F$61:$AQ$61,0),100),IFERROR(MATCH($A13,Za!$F$62:$AQ$62,0),100),IFERROR(MATCH($A13,Za!$F$63:$AQ$63,0),100),39)</f>
        <v/>
      </c>
      <c r="N13" s="66">
        <f>IFERROR(IF(VLOOKUP(INDEX(Za!$B$12:$B$63,MATCH($A13,OFFSET( Za!$F$12:$F$63,0,(M13*48)-(IF(M13=7/24,9,IF(M13=12.5/24,9,IF(M13=14/24,9,IF(M13=15.5/24,9,10)))))),0),0),Za!$B$13:$C$63,2,FALSE)="TL","",INDEX(Za!$B$12:$B$63,MATCH($A13,OFFSET( Za!$F$12:$F$63,0,(M13*48)-(IF(M13=7/24,9,IF(M13=12.5/24,9,IF(M13=14/24,9,IF(M13=15.5/24,9,10)))))),0),0)),"")</f>
        <v/>
      </c>
      <c r="O13" s="857">
        <f>9/48+(1/48)*MIN(IFERROR(MATCH($A13,Zo!$F$13:$AQ$13,0),100),IFERROR(MATCH($A13,Zo!$F$14:$AQ$14,0),100),IFERROR(MATCH($A13,Zo!$F$15:$AQ$15,0),100),IFERROR(MATCH($A13,Zo!$F$16:$AQ$16,0),100),IFERROR(MATCH($A13,Zo!$F$17:$AQ$17,0),100),IFERROR(MATCH($A13,Zo!$F$18:$AQ$18,0),100),IFERROR(MATCH($A13,Zo!$F$19:$AQ$19,0),100),IFERROR(MATCH($A13,Zo!$F$20:$AQ$20,0),100),IFERROR(MATCH($A13,Zo!$F$21:$AQ$21,0),100),IFERROR(MATCH($A13,Zo!$F$22:$AQ$22,0),100),IFERROR(MATCH($A13,Zo!$F$23:$AQ$23,0),100),IFERROR(MATCH($A13,Zo!$F$24:$AQ$24,0),100),IFERROR(MATCH($A13,Zo!$F$25:$AQ$25,0),100),IFERROR(MATCH($A13,Zo!$F$26:$AQ$26,0),100),IFERROR(MATCH($A13,Zo!$F$27:$AQ$27,0),100),IFERROR(MATCH($A13,Zo!$F$28:$AQ$28,0),100),IFERROR(MATCH($A13,Zo!$F$29:$AQ$29,0),100),IFERROR(MATCH($A13,Zo!$F$30:$AQ$30,0),100),IFERROR(MATCH($A13,Zo!$F$31:$AQ$31,0),100),IFERROR(MATCH($A13,Zo!$F$32:$AQ$32,0),100),IFERROR(MATCH($A13,Zo!$F$33:$AQ$33,0),100),IFERROR(MATCH($A13,Zo!$F$34:$AQ$34,0),100),IFERROR(MATCH($A13,Zo!$F$35:$AQ$35,0),100),IFERROR(MATCH($A13,Zo!$F$36:$AQ$36,0),100),IFERROR(MATCH($A13,Zo!$F$37:$AQ$37,0),100),IFERROR(MATCH($A13,Zo!$F$38:$AQ$38,0),100),IFERROR(MATCH($A13,Zo!$F$39:$AQ$39,0),100),IFERROR(MATCH($A13,Zo!$F$40:$AQ$40,0),100),IFERROR(MATCH($A13,Zo!$F$41:$AQ$41,0),100),IFERROR(MATCH($A13,Zo!$F$42:$AQ$42,0),100),IFERROR(MATCH($A13,Zo!$F$43:$AQ$43,0),100),IFERROR(MATCH($A13,Zo!$F$44:$AQ$44,0),100),IFERROR(MATCH($A13,Zo!$F$45:$AQ$45,0),100),IFERROR(MATCH($A13,Zo!$F$46:$AQ$46,0),100),IFERROR(MATCH($A13,Zo!$F$47:$AQ$47,0),100),IFERROR(MATCH($A13,Zo!$F$48:$AQ$48,0),100),IFERROR(MATCH($A13,Zo!$F$49:$AQ$49,0),100),IFERROR(MATCH($A13,Zo!$F$50:$AQ$50,0),100),IFERROR(MATCH($A13,Zo!$F$51:$AQ$51,0),100),IFERROR(MATCH($A13,Zo!$F$52:$AQ$52,0),100),IFERROR(MATCH($A13,Zo!$F$53:$AQ$53,0),100),IFERROR(MATCH($A13,Zo!$F$54:$AQ$54,0),100),IFERROR(MATCH($A13,Zo!$F$55:$AQ$55,0),100),IFERROR(MATCH($A13,Zo!$F$56:$AQ$56,0),100),IFERROR(MATCH($A13,Zo!$F$57:$AQ$57,0),100),IFERROR(MATCH($A13,Zo!$F$58:$AQ$58,0),100),IFERROR(MATCH($A13,Zo!$F$59:$AQ$59,0),100),IFERROR(MATCH($A13,Zo!$F$60:$AQ$60,0),100),IFERROR(MATCH($A13,Zo!$F$61:$AQ$61,0),100),IFERROR(MATCH($A13,Zo!$F$62:$AQ$62,0),100),IFERROR(MATCH($A13,Zo!$F$63:$AQ$63,0),100),39)</f>
        <v/>
      </c>
      <c r="P13" s="66">
        <f>IFERROR(IF(VLOOKUP(INDEX(Zo!$B$12:$B$63,MATCH($A13,OFFSET( Zo!$F$12:$F$63,0,(O13*48)-(IF(O13=7/24,9,IF(O13=12.5/24,9,IF(O13=14/24,9,IF(O13=15.5/24,9,10)))))),0),0),Zo!$B$13:$C$63,2,FALSE)="TL","",INDEX(Zo!$B$12:$B$63,MATCH($A13,OFFSET( Zo!$F$12:$F$63,0,(O13*48)-(IF(O13=7/24,9,IF(O13=12.5/24,9,IF(O13=14/24,9,IF(O13=15.5/24,9,10)))))),0),0)),"")</f>
        <v/>
      </c>
    </row>
    <row r="14" ht="15" customHeight="1">
      <c r="A14" s="66" t="inlineStr">
        <is>
          <t>lhb</t>
        </is>
      </c>
      <c r="B14" s="67">
        <f>A14</f>
        <v/>
      </c>
      <c r="C14" s="857">
        <f>9/48+(1/48)*MIN(IFERROR(MATCH($A14,Ma!$F$13:$AQ$13,0),100),IFERROR(MATCH($A14,Ma!$F$14:$AQ$14,0),100),IFERROR(MATCH($A14,Ma!$F$15:$AQ$15,0),100),IFERROR(MATCH($A14,Ma!$F$16:$AQ$16,0),100),IFERROR(MATCH($A14,Ma!$F$17:$AQ$17,0),100),IFERROR(MATCH($A14,Ma!$F$18:$AQ$18,0),100),IFERROR(MATCH($A14,Ma!$F$19:$AQ$19,0),100),IFERROR(MATCH($A14,Ma!$F$20:$AQ$20,0),100),IFERROR(MATCH($A14,Ma!$F$21:$AQ$21,0),100),IFERROR(MATCH($A14,Ma!$F$22:$AQ$22,0),100),IFERROR(MATCH($A14,Ma!$F$23:$AQ$23,0),100),IFERROR(MATCH($A14,Ma!$F$24:$AQ$24,0),100),IFERROR(MATCH($A14,Ma!$F$25:$AQ$25,0),100),IFERROR(MATCH($A14,Ma!$F$26:$AQ$26,0),100),IFERROR(MATCH($A14,Ma!$F$27:$AQ$27,0),100),IFERROR(MATCH($A14,Ma!$F$28:$AQ$28,0),100),IFERROR(MATCH($A14,Ma!$F$29:$AQ$29,0),100),IFERROR(MATCH($A14,Ma!$F$30:$AQ$30,0),100),IFERROR(MATCH($A14,Ma!$F$31:$AQ$31,0),100),IFERROR(MATCH($A14,Ma!$F$32:$AQ$32,0),100),IFERROR(MATCH($A14,Ma!$F$33:$AQ$33,0),100),IFERROR(MATCH($A14,Ma!$F$34:$AQ$34,0),100),IFERROR(MATCH($A14,Ma!$F$35:$AQ$35,0),100),IFERROR(MATCH($A14,Ma!$F$36:$AQ$36,0),100),IFERROR(MATCH($A14,Ma!$F$37:$AQ$37,0),100),IFERROR(MATCH($A14,Ma!$F$38:$AQ$38,0),100),IFERROR(MATCH($A14,Ma!$F$39:$AQ$39,0),100),IFERROR(MATCH($A14,Ma!$F$40:$AQ$40,0),100),IFERROR(MATCH($A14,Ma!$F$41:$AQ$41,0),100),IFERROR(MATCH($A14,Ma!$F$42:$AQ$42,0),100),IFERROR(MATCH($A14,Ma!$F$43:$AQ$43,0),100),IFERROR(MATCH($A14,Ma!$F$44:$AQ$44,0),100),IFERROR(MATCH($A14,Ma!$F$45:$AQ$45,0),100),IFERROR(MATCH($A14,Ma!$F$46:$AQ$46,0),100),IFERROR(MATCH($A14,Ma!$F$47:$AQ$47,0),100),IFERROR(MATCH($A14,Ma!$F$48:$AQ$48,0),100),IFERROR(MATCH($A14,Ma!$F$49:$AQ$49,0),100),IFERROR(MATCH($A14,Ma!$F$50:$AQ$50,0),100),IFERROR(MATCH($A14,Ma!$F$51:$AQ$51,0),100),IFERROR(MATCH($A14,Ma!$F$52:$AQ$52,0),100),IFERROR(MATCH($A14,Ma!$F$53:$AQ$53,0),100),IFERROR(MATCH($A14,Ma!$F$54:$AQ$54,0),100),IFERROR(MATCH($A14,Ma!$F$55:$AQ$55,0),100),IFERROR(MATCH($A14,Ma!$F$56:$AQ$56,0),100),IFERROR(MATCH($A14,Ma!$F$57:$AQ$57,0),100),IFERROR(MATCH($A14,Ma!$F$58:$AQ$58,0),100),IFERROR(MATCH($A14,Ma!$F$59:$AQ$59,0),100),IFERROR(MATCH($A14,Ma!$F$60:$AQ$60,0),100),IFERROR(MATCH($A14,Ma!$F$61:$AQ$61,0),100),IFERROR(MATCH($A14,Ma!$F$62:$AQ$62,0),100),IFERROR(MATCH($A14,Ma!$F$63:$AQ$63,0),100),39)</f>
        <v/>
      </c>
      <c r="D14" s="66">
        <f>IFERROR(IF(VLOOKUP(INDEX(Ma!$B$12:$B$63,MATCH($A14,OFFSET( Ma!$F$12:$F$63,0,(C14*48)-(IF(C14=7/24,9,IF(C14=12.5/24,9,IF(C14=14/24,9,IF(C14=15.5/24,9,10)))))),0),0),Ma!$B$13:$C$63,2,FALSE)="TL","",INDEX(Ma!$B$12:$B$63,MATCH($A14,OFFSET( Ma!$F$12:$F$63,0,(C14*48)-(IF(C14=7/24,9,IF(C14=12.5/24,9,IF(C14=14/24,9,IF(C14=15.5/24,9,10)))))),0),0)),"")</f>
        <v/>
      </c>
      <c r="E14" s="857">
        <f>9/48+(1/48)*MIN(IFERROR(MATCH($A14,Di!$F$13:$AQ$13,0),100),IFERROR(MATCH($A14,Di!$F$14:$AQ$14,0),100),IFERROR(MATCH($A14,Di!$F$15:$AQ$15,0),100),IFERROR(MATCH($A14,Di!$F$16:$AQ$16,0),100),IFERROR(MATCH($A14,Di!$F$17:$AQ$17,0),100),IFERROR(MATCH($A14,Di!$F$18:$AQ$18,0),100),IFERROR(MATCH($A14,Di!$F$19:$AQ$19,0),100),IFERROR(MATCH($A14,Di!$F$20:$AQ$20,0),100),IFERROR(MATCH($A14,Di!$F$21:$AQ$21,0),100),IFERROR(MATCH($A14,Di!$F$22:$AQ$22,0),100),IFERROR(MATCH($A14,Di!$F$23:$AQ$23,0),100),IFERROR(MATCH($A14,Di!$F$24:$AQ$24,0),100),IFERROR(MATCH($A14,Di!$F$25:$AQ$25,0),100),IFERROR(MATCH($A14,Di!$F$26:$AQ$26,0),100),IFERROR(MATCH($A14,Di!$F$27:$AQ$27,0),100),IFERROR(MATCH($A14,Di!$F$28:$AQ$28,0),100),IFERROR(MATCH($A14,Di!$F$29:$AQ$29,0),100),IFERROR(MATCH($A14,Di!$F$30:$AQ$30,0),100),IFERROR(MATCH($A14,Di!$F$31:$AQ$31,0),100),IFERROR(MATCH($A14,Di!$F$32:$AQ$32,0),100),IFERROR(MATCH($A14,Di!$F$33:$AQ$33,0),100),IFERROR(MATCH($A14,Di!$F$34:$AQ$34,0),100),IFERROR(MATCH($A14,Di!$F$35:$AQ$35,0),100),IFERROR(MATCH($A14,Di!$F$36:$AQ$36,0),100),IFERROR(MATCH($A14,Di!$F$37:$AQ$37,0),100),IFERROR(MATCH($A14,Di!$F$38:$AQ$38,0),100),IFERROR(MATCH($A14,Di!$F$39:$AQ$39,0),100),IFERROR(MATCH($A14,Di!$F$40:$AQ$40,0),100),IFERROR(MATCH($A14,Di!$F$41:$AQ$41,0),100),IFERROR(MATCH($A14,Di!$F$42:$AQ$42,0),100),IFERROR(MATCH($A14,Di!$F$43:$AQ$43,0),100),IFERROR(MATCH($A14,Di!$F$44:$AQ$44,0),100),IFERROR(MATCH($A14,Di!$F$45:$AQ$45,0),100),IFERROR(MATCH($A14,Di!$F$46:$AQ$46,0),100),IFERROR(MATCH($A14,Di!$F$47:$AQ$47,0),100),IFERROR(MATCH($A14,Di!$F$48:$AQ$48,0),100),IFERROR(MATCH($A14,Di!$F$49:$AQ$49,0),100),IFERROR(MATCH($A14,Di!$F$50:$AQ$50,0),100),IFERROR(MATCH($A14,Di!$F$51:$AQ$51,0),100),IFERROR(MATCH($A14,Di!$F$52:$AQ$52,0),100),IFERROR(MATCH($A14,Di!$F$53:$AQ$53,0),100),IFERROR(MATCH($A14,Di!$F$54:$AQ$54,0),100),IFERROR(MATCH($A14,Di!$F$55:$AQ$55,0),100),IFERROR(MATCH($A14,Di!$F$56:$AQ$56,0),100),IFERROR(MATCH($A14,Di!$F$57:$AQ$57,0),100),IFERROR(MATCH($A14,Di!$F$58:$AQ$58,0),100),IFERROR(MATCH($A14,Di!$F$59:$AQ$59,0),100),IFERROR(MATCH($A14,Di!$F$60:$AQ$60,0),100),IFERROR(MATCH($A14,Di!$F$61:$AQ$61,0),100),IFERROR(MATCH($A14,Di!$F$62:$AQ$62,0),100),IFERROR(MATCH($A14,Di!$F$63:$AQ$63,0),100),39)</f>
        <v/>
      </c>
      <c r="F14" s="66">
        <f>IFERROR(IF(VLOOKUP(INDEX(Di!$B$12:$B$63,MATCH($A14,OFFSET( Di!$F$12:$F$63,0,(E14*48)-(IF(E14=7/24,9,IF(E14=12.5/24,9,IF(E14=14/24,9,IF(E14=15.5/24,9,10)))))),0),0),Di!$B$13:$C$63,2,FALSE)="TL","",INDEX(Di!$B$12:$B$63,MATCH($A14,OFFSET( Di!$F$12:$F$63,0,(E14*48)-(IF(E14=7/24,9,IF(E14=12.5/24,9,IF(E14=14/24,9,IF(E14=15.5/24,9,10)))))),0),0)),"")</f>
        <v/>
      </c>
      <c r="G14" s="857">
        <f>9/48+(1/48)*MIN(IFERROR(MATCH($A14,Wo!$F$13:$AQ$13,0),100),IFERROR(MATCH($A14,Wo!$F$14:$AQ$14,0),100),IFERROR(MATCH($A14,Wo!$F$15:$AQ$15,0),100),IFERROR(MATCH($A14,Wo!$F$16:$AQ$16,0),100),IFERROR(MATCH($A14,Wo!$F$17:$AQ$17,0),100),IFERROR(MATCH($A14,Wo!$F$18:$AQ$18,0),100),IFERROR(MATCH($A14,Wo!$F$19:$AQ$19,0),100),IFERROR(MATCH($A14,Wo!$F$20:$AQ$20,0),100),IFERROR(MATCH($A14,Wo!$F$21:$AQ$21,0),100),IFERROR(MATCH($A14,Wo!$F$22:$AQ$22,0),100),IFERROR(MATCH($A14,Wo!$F$23:$AQ$23,0),100),IFERROR(MATCH($A14,Wo!$F$24:$AQ$24,0),100),IFERROR(MATCH($A14,Wo!$F$25:$AQ$25,0),100),IFERROR(MATCH($A14,Wo!$F$26:$AQ$26,0),100),IFERROR(MATCH($A14,Wo!$F$27:$AQ$27,0),100),IFERROR(MATCH($A14,Wo!$F$28:$AQ$28,0),100),IFERROR(MATCH($A14,Wo!$F$29:$AQ$29,0),100),IFERROR(MATCH($A14,Wo!$F$30:$AQ$30,0),100),IFERROR(MATCH($A14,Wo!$F$31:$AQ$31,0),100),IFERROR(MATCH($A14,Wo!$F$32:$AQ$32,0),100),IFERROR(MATCH($A14,Wo!$F$33:$AQ$33,0),100),IFERROR(MATCH($A14,Wo!$F$34:$AQ$34,0),100),IFERROR(MATCH($A14,Wo!$F$35:$AQ$35,0),100),IFERROR(MATCH($A14,Wo!$F$36:$AQ$36,0),100),IFERROR(MATCH($A14,Wo!$F$37:$AQ$37,0),100),IFERROR(MATCH($A14,Wo!$F$38:$AQ$38,0),100),IFERROR(MATCH($A14,Wo!$F$39:$AQ$39,0),100),IFERROR(MATCH($A14,Wo!$F$40:$AQ$40,0),100),IFERROR(MATCH($A14,Wo!$F$41:$AQ$41,0),100),IFERROR(MATCH($A14,Wo!$F$42:$AQ$42,0),100),IFERROR(MATCH($A14,Wo!$F$43:$AQ$43,0),100),IFERROR(MATCH($A14,Wo!$F$44:$AQ$44,0),100),IFERROR(MATCH($A14,Wo!$F$45:$AQ$45,0),100),IFERROR(MATCH($A14,Wo!$F$46:$AQ$46,0),100),IFERROR(MATCH($A14,Wo!$F$47:$AQ$47,0),100),IFERROR(MATCH($A14,Wo!$F$48:$AQ$48,0),100),IFERROR(MATCH($A14,Wo!$F$49:$AQ$49,0),100),IFERROR(MATCH($A14,Wo!$F$50:$AQ$50,0),100),IFERROR(MATCH($A14,Wo!$F$51:$AQ$51,0),100),IFERROR(MATCH($A14,Wo!$F$52:$AQ$52,0),100),IFERROR(MATCH($A14,Wo!$F$53:$AQ$53,0),100),IFERROR(MATCH($A14,Wo!$F$54:$AQ$54,0),100),IFERROR(MATCH($A14,Wo!$F$55:$AQ$55,0),100),IFERROR(MATCH($A14,Wo!$F$56:$AQ$56,0),100),IFERROR(MATCH($A14,Wo!$F$57:$AQ$57,0),100),IFERROR(MATCH($A14,Wo!$F$58:$AQ$58,0),100),IFERROR(MATCH($A14,Wo!$F$59:$AQ$59,0),100),IFERROR(MATCH($A14,Wo!$F$60:$AQ$60,0),100),IFERROR(MATCH($A14,Wo!$F$61:$AQ$61,0),100),IFERROR(MATCH($A14,Wo!$F$62:$AQ$62,0),100),IFERROR(MATCH($A14,Wo!$F$63:$AQ$63,0),100),39)</f>
        <v/>
      </c>
      <c r="H14" s="66">
        <f>IFERROR(IF(VLOOKUP(INDEX(Wo!$B$12:$B$63,MATCH($A14,OFFSET( Wo!$F$12:$F$63,0,(G14*48)-(IF(G14=7/24,9,IF(G14=12.5/24,9,IF(G14=14/24,9,IF(G14=15.5/24,9,10)))))),0),0),Wo!$B$13:$C$63,2,FALSE)="TL","",INDEX(Wo!$B$12:$B$63,MATCH($A14,OFFSET( Wo!$F$12:$F$63,0,(G14*48)-(IF(G14=7/24,9,IF(G14=12.5/24,9,IF(G14=14/24,9,IF(G14=15.5/24,9,10)))))),0),0)),"")</f>
        <v/>
      </c>
      <c r="I14" s="857">
        <f>9/48+(1/48)*MIN(IFERROR(MATCH($A14,Do!$F$13:$AQ$13,0),100),IFERROR(MATCH($A14,Do!$F$14:$AQ$14,0),100),IFERROR(MATCH($A14,Do!$F$15:$AQ$15,0),100),IFERROR(MATCH($A14,Do!$F$16:$AQ$16,0),100),IFERROR(MATCH($A14,Do!$F$17:$AQ$17,0),100),IFERROR(MATCH($A14,Do!$F$18:$AQ$18,0),100),IFERROR(MATCH($A14,Do!$F$19:$AQ$19,0),100),IFERROR(MATCH($A14,Do!$F$20:$AQ$20,0),100),IFERROR(MATCH($A14,Do!$F$21:$AQ$21,0),100),IFERROR(MATCH($A14,Do!$F$22:$AQ$22,0),100),IFERROR(MATCH($A14,Do!$F$23:$AQ$23,0),100),IFERROR(MATCH($A14,Do!$F$24:$AQ$24,0),100),IFERROR(MATCH($A14,Do!$F$25:$AQ$25,0),100),IFERROR(MATCH($A14,Do!$F$26:$AQ$26,0),100),IFERROR(MATCH($A14,Do!$F$27:$AQ$27,0),100),IFERROR(MATCH($A14,Do!$F$28:$AQ$28,0),100),IFERROR(MATCH($A14,Do!$F$29:$AQ$29,0),100),IFERROR(MATCH($A14,Do!$F$30:$AQ$30,0),100),IFERROR(MATCH($A14,Do!$F$31:$AQ$31,0),100),IFERROR(MATCH($A14,Do!$F$32:$AQ$32,0),100),IFERROR(MATCH($A14,Do!$F$33:$AQ$33,0),100),IFERROR(MATCH($A14,Do!$F$34:$AQ$34,0),100),IFERROR(MATCH($A14,Do!$F$35:$AQ$35,0),100),IFERROR(MATCH($A14,Do!$F$36:$AQ$36,0),100),IFERROR(MATCH($A14,Do!$F$37:$AQ$37,0),100),IFERROR(MATCH($A14,Do!$F$38:$AQ$38,0),100),IFERROR(MATCH($A14,Do!$F$39:$AQ$39,0),100),IFERROR(MATCH($A14,Do!$F$40:$AQ$40,0),100),IFERROR(MATCH($A14,Do!$F$41:$AQ$41,0),100),IFERROR(MATCH($A14,Do!$F$42:$AQ$42,0),100),IFERROR(MATCH($A14,Do!$F$43:$AQ$43,0),100),IFERROR(MATCH($A14,Do!$F$44:$AQ$44,0),100),IFERROR(MATCH($A14,Do!$F$45:$AQ$45,0),100),IFERROR(MATCH($A14,Do!$F$46:$AQ$46,0),100),IFERROR(MATCH($A14,Do!$F$47:$AQ$47,0),100),IFERROR(MATCH($A14,Do!$F$48:$AQ$48,0),100),IFERROR(MATCH($A14,Do!$F$49:$AQ$49,0),100),IFERROR(MATCH($A14,Do!$F$50:$AQ$50,0),100),IFERROR(MATCH($A14,Do!$F$51:$AQ$51,0),100),IFERROR(MATCH($A14,Do!$F$52:$AQ$52,0),100),IFERROR(MATCH($A14,Do!$F$53:$AQ$53,0),100),IFERROR(MATCH($A14,Do!$F$54:$AQ$54,0),100),IFERROR(MATCH($A14,Do!$F$55:$AQ$55,0),100),IFERROR(MATCH($A14,Do!$F$56:$AQ$56,0),100),IFERROR(MATCH($A14,Do!$F$57:$AQ$57,0),100),IFERROR(MATCH($A14,Do!$F$58:$AQ$58,0),100),IFERROR(MATCH($A14,Do!$F$59:$AQ$59,0),100),IFERROR(MATCH($A14,Do!$F$60:$AQ$60,0),100),IFERROR(MATCH($A14,Do!$F$61:$AQ$61,0),100),IFERROR(MATCH($A14,Do!$F$62:$AQ$62,0),100),IFERROR(MATCH($A14,Do!$F$63:$AQ$63,0),100),39)</f>
        <v/>
      </c>
      <c r="J14" s="66">
        <f>IFERROR(IF(VLOOKUP(INDEX(Do!$B$12:$B$63,MATCH($A14,OFFSET( Do!$F$12:$F$63,0,(I14*48)-(IF(I14=7/24,9,IF(I14=12.5/24,9,IF(I14=14/24,9,IF(I14=15.5/24,9,10)))))),0),0),Do!$B$13:$C$63,2,FALSE)="TL","",INDEX(Do!$B$12:$B$63,MATCH($A14,OFFSET( Do!$F$12:$F$63,0,(I14*48)-(IF(I14=7/24,9,IF(I14=12.5/24,9,IF(I14=14/24,9,IF(I14=15.5/24,9,10)))))),0),0)),"")</f>
        <v/>
      </c>
      <c r="K14" s="857">
        <f>9/48+(1/48)*MIN(IFERROR(MATCH($A14,Vr!$F$13:$AQ$13,0),100),IFERROR(MATCH($A14,Vr!$F$14:$AQ$14,0),100),IFERROR(MATCH($A14,Vr!$F$15:$AQ$15,0),100),IFERROR(MATCH($A14,Vr!$F$16:$AQ$16,0),100),IFERROR(MATCH($A14,Vr!$F$17:$AQ$17,0),100),IFERROR(MATCH($A14,Vr!$F$18:$AQ$18,0),100),IFERROR(MATCH($A14,Vr!$F$19:$AQ$19,0),100),IFERROR(MATCH($A14,Vr!$F$20:$AQ$20,0),100),IFERROR(MATCH($A14,Vr!$F$21:$AQ$21,0),100),IFERROR(MATCH($A14,Vr!$F$22:$AQ$22,0),100),IFERROR(MATCH($A14,Vr!$F$23:$AQ$23,0),100),IFERROR(MATCH($A14,Vr!$F$24:$AQ$24,0),100),IFERROR(MATCH($A14,Vr!$F$25:$AQ$25,0),100),IFERROR(MATCH($A14,Vr!$F$26:$AQ$26,0),100),IFERROR(MATCH($A14,Vr!$F$27:$AQ$27,0),100),IFERROR(MATCH($A14,Vr!$F$28:$AQ$28,0),100),IFERROR(MATCH($A14,Vr!$F$29:$AQ$29,0),100),IFERROR(MATCH($A14,Vr!$F$30:$AQ$30,0),100),IFERROR(MATCH($A14,Vr!$F$31:$AQ$31,0),100),IFERROR(MATCH($A14,Vr!$F$32:$AQ$32,0),100),IFERROR(MATCH($A14,Vr!$F$33:$AQ$33,0),100),IFERROR(MATCH($A14,Vr!$F$34:$AQ$34,0),100),IFERROR(MATCH($A14,Vr!$F$35:$AQ$35,0),100),IFERROR(MATCH($A14,Vr!$F$36:$AQ$36,0),100),IFERROR(MATCH($A14,Vr!$F$37:$AQ$37,0),100),IFERROR(MATCH($A14,Vr!$F$38:$AQ$38,0),100),IFERROR(MATCH($A14,Vr!$F$39:$AQ$39,0),100),IFERROR(MATCH($A14,Vr!$F$40:$AQ$40,0),100),IFERROR(MATCH($A14,Vr!$F$41:$AQ$41,0),100),IFERROR(MATCH($A14,Vr!$F$42:$AQ$42,0),100),IFERROR(MATCH($A14,Vr!$F$43:$AQ$43,0),100),IFERROR(MATCH($A14,Vr!$F$44:$AQ$44,0),100),IFERROR(MATCH($A14,Vr!$F$45:$AQ$45,0),100),IFERROR(MATCH($A14,Vr!$F$46:$AQ$46,0),100),IFERROR(MATCH($A14,Vr!$F$47:$AQ$47,0),100),IFERROR(MATCH($A14,Vr!$F$48:$AQ$48,0),100),IFERROR(MATCH($A14,Vr!$F$49:$AQ$49,0),100),IFERROR(MATCH($A14,Vr!$F$50:$AQ$50,0),100),IFERROR(MATCH($A14,Vr!$F$51:$AQ$51,0),100),IFERROR(MATCH($A14,Vr!$F$52:$AQ$52,0),100),IFERROR(MATCH($A14,Vr!$F$53:$AQ$53,0),100),IFERROR(MATCH($A14,Vr!$F$54:$AQ$54,0),100),IFERROR(MATCH($A14,Vr!$F$55:$AQ$55,0),100),IFERROR(MATCH($A14,Vr!$F$56:$AQ$56,0),100),IFERROR(MATCH($A14,Vr!$F$57:$AQ$57,0),100),IFERROR(MATCH($A14,Vr!$F$58:$AQ$58,0),100),IFERROR(MATCH($A14,Vr!$F$59:$AQ$59,0),100),IFERROR(MATCH($A14,Vr!$F$60:$AQ$60,0),100),IFERROR(MATCH($A14,Vr!$F$61:$AQ$61,0),100),IFERROR(MATCH($A14,Vr!$F$62:$AQ$62,0),100),IFERROR(MATCH($A14,Vr!$F$63:$AQ$63,0),100),39)</f>
        <v/>
      </c>
      <c r="L14" s="66">
        <f>IFERROR(IF(VLOOKUP(INDEX(Vr!$B$12:$B$63,MATCH($A14,OFFSET( Vr!$F$12:$F$63,0,(K14*48)-(IF(K14=7/24,9,IF(K14=12.5/24,9,IF(K14=14/24,9,IF(K14=15.5/24,9,10)))))),0),0),Vr!$B$13:$C$63,2,FALSE)="TL","",INDEX(Vr!$B$12:$B$63,MATCH($A14,OFFSET( Vr!$F$12:$F$63,0,(K14*48)-(IF(K14=7/24,9,IF(K14=12.5/24,9,IF(K14=14/24,9,IF(K14=15.5/24,9,10)))))),0),0)),"")</f>
        <v/>
      </c>
      <c r="M14" s="857">
        <f>9/48+(1/48)*MIN(IFERROR(MATCH($A14,Za!$F$13:$AQ$13,0),100),IFERROR(MATCH($A14,Za!$F$14:$AQ$14,0),100),IFERROR(MATCH($A14,Za!$F$15:$AQ$15,0),100),IFERROR(MATCH($A14,Za!$F$16:$AQ$16,0),100),IFERROR(MATCH($A14,Za!$F$17:$AQ$17,0),100),IFERROR(MATCH($A14,Za!$F$18:$AQ$18,0),100),IFERROR(MATCH($A14,Za!$F$19:$AQ$19,0),100),IFERROR(MATCH($A14,Za!$F$20:$AQ$20,0),100),IFERROR(MATCH($A14,Za!$F$21:$AQ$21,0),100),IFERROR(MATCH($A14,Za!$F$22:$AQ$22,0),100),IFERROR(MATCH($A14,Za!$F$23:$AQ$23,0),100),IFERROR(MATCH($A14,Za!$F$24:$AQ$24,0),100),IFERROR(MATCH($A14,Za!$F$25:$AQ$25,0),100),IFERROR(MATCH($A14,Za!$F$26:$AQ$26,0),100),IFERROR(MATCH($A14,Za!$F$27:$AQ$27,0),100),IFERROR(MATCH($A14,Za!$F$28:$AQ$28,0),100),IFERROR(MATCH($A14,Za!$F$29:$AQ$29,0),100),IFERROR(MATCH($A14,Za!$F$30:$AQ$30,0),100),IFERROR(MATCH($A14,Za!$F$31:$AQ$31,0),100),IFERROR(MATCH($A14,Za!$F$32:$AQ$32,0),100),IFERROR(MATCH($A14,Za!$F$33:$AQ$33,0),100),IFERROR(MATCH($A14,Za!$F$34:$AQ$34,0),100),IFERROR(MATCH($A14,Za!$F$35:$AQ$35,0),100),IFERROR(MATCH($A14,Za!$F$36:$AQ$36,0),100),IFERROR(MATCH($A14,Za!$F$37:$AQ$37,0),100),IFERROR(MATCH($A14,Za!$F$38:$AQ$38,0),100),IFERROR(MATCH($A14,Za!$F$39:$AQ$39,0),100),IFERROR(MATCH($A14,Za!$F$40:$AQ$40,0),100),IFERROR(MATCH($A14,Za!$F$41:$AQ$41,0),100),IFERROR(MATCH($A14,Za!$F$42:$AQ$42,0),100),IFERROR(MATCH($A14,Za!$F$43:$AQ$43,0),100),IFERROR(MATCH($A14,Za!$F$44:$AQ$44,0),100),IFERROR(MATCH($A14,Za!$F$45:$AQ$45,0),100),IFERROR(MATCH($A14,Za!$F$46:$AQ$46,0),100),IFERROR(MATCH($A14,Za!$F$47:$AQ$47,0),100),IFERROR(MATCH($A14,Za!$F$48:$AQ$48,0),100),IFERROR(MATCH($A14,Za!$F$49:$AQ$49,0),100),IFERROR(MATCH($A14,Za!$F$50:$AQ$50,0),100),IFERROR(MATCH($A14,Za!$F$51:$AQ$51,0),100),IFERROR(MATCH($A14,Za!$F$52:$AQ$52,0),100),IFERROR(MATCH($A14,Za!$F$53:$AQ$53,0),100),IFERROR(MATCH($A14,Za!$F$54:$AQ$54,0),100),IFERROR(MATCH($A14,Za!$F$55:$AQ$55,0),100),IFERROR(MATCH($A14,Za!$F$56:$AQ$56,0),100),IFERROR(MATCH($A14,Za!$F$57:$AQ$57,0),100),IFERROR(MATCH($A14,Za!$F$58:$AQ$58,0),100),IFERROR(MATCH($A14,Za!$F$59:$AQ$59,0),100),IFERROR(MATCH($A14,Za!$F$60:$AQ$60,0),100),IFERROR(MATCH($A14,Za!$F$61:$AQ$61,0),100),IFERROR(MATCH($A14,Za!$F$62:$AQ$62,0),100),IFERROR(MATCH($A14,Za!$F$63:$AQ$63,0),100),39)</f>
        <v/>
      </c>
      <c r="N14" s="66">
        <f>IFERROR(IF(VLOOKUP(INDEX(Za!$B$12:$B$63,MATCH($A14,OFFSET( Za!$F$12:$F$63,0,(M14*48)-(IF(M14=7/24,9,IF(M14=12.5/24,9,IF(M14=14/24,9,IF(M14=15.5/24,9,10)))))),0),0),Za!$B$13:$C$63,2,FALSE)="TL","",INDEX(Za!$B$12:$B$63,MATCH($A14,OFFSET( Za!$F$12:$F$63,0,(M14*48)-(IF(M14=7/24,9,IF(M14=12.5/24,9,IF(M14=14/24,9,IF(M14=15.5/24,9,10)))))),0),0)),"")</f>
        <v/>
      </c>
      <c r="O14" s="857">
        <f>9/48+(1/48)*MIN(IFERROR(MATCH($A14,Zo!$F$13:$AQ$13,0),100),IFERROR(MATCH($A14,Zo!$F$14:$AQ$14,0),100),IFERROR(MATCH($A14,Zo!$F$15:$AQ$15,0),100),IFERROR(MATCH($A14,Zo!$F$16:$AQ$16,0),100),IFERROR(MATCH($A14,Zo!$F$17:$AQ$17,0),100),IFERROR(MATCH($A14,Zo!$F$18:$AQ$18,0),100),IFERROR(MATCH($A14,Zo!$F$19:$AQ$19,0),100),IFERROR(MATCH($A14,Zo!$F$20:$AQ$20,0),100),IFERROR(MATCH($A14,Zo!$F$21:$AQ$21,0),100),IFERROR(MATCH($A14,Zo!$F$22:$AQ$22,0),100),IFERROR(MATCH($A14,Zo!$F$23:$AQ$23,0),100),IFERROR(MATCH($A14,Zo!$F$24:$AQ$24,0),100),IFERROR(MATCH($A14,Zo!$F$25:$AQ$25,0),100),IFERROR(MATCH($A14,Zo!$F$26:$AQ$26,0),100),IFERROR(MATCH($A14,Zo!$F$27:$AQ$27,0),100),IFERROR(MATCH($A14,Zo!$F$28:$AQ$28,0),100),IFERROR(MATCH($A14,Zo!$F$29:$AQ$29,0),100),IFERROR(MATCH($A14,Zo!$F$30:$AQ$30,0),100),IFERROR(MATCH($A14,Zo!$F$31:$AQ$31,0),100),IFERROR(MATCH($A14,Zo!$F$32:$AQ$32,0),100),IFERROR(MATCH($A14,Zo!$F$33:$AQ$33,0),100),IFERROR(MATCH($A14,Zo!$F$34:$AQ$34,0),100),IFERROR(MATCH($A14,Zo!$F$35:$AQ$35,0),100),IFERROR(MATCH($A14,Zo!$F$36:$AQ$36,0),100),IFERROR(MATCH($A14,Zo!$F$37:$AQ$37,0),100),IFERROR(MATCH($A14,Zo!$F$38:$AQ$38,0),100),IFERROR(MATCH($A14,Zo!$F$39:$AQ$39,0),100),IFERROR(MATCH($A14,Zo!$F$40:$AQ$40,0),100),IFERROR(MATCH($A14,Zo!$F$41:$AQ$41,0),100),IFERROR(MATCH($A14,Zo!$F$42:$AQ$42,0),100),IFERROR(MATCH($A14,Zo!$F$43:$AQ$43,0),100),IFERROR(MATCH($A14,Zo!$F$44:$AQ$44,0),100),IFERROR(MATCH($A14,Zo!$F$45:$AQ$45,0),100),IFERROR(MATCH($A14,Zo!$F$46:$AQ$46,0),100),IFERROR(MATCH($A14,Zo!$F$47:$AQ$47,0),100),IFERROR(MATCH($A14,Zo!$F$48:$AQ$48,0),100),IFERROR(MATCH($A14,Zo!$F$49:$AQ$49,0),100),IFERROR(MATCH($A14,Zo!$F$50:$AQ$50,0),100),IFERROR(MATCH($A14,Zo!$F$51:$AQ$51,0),100),IFERROR(MATCH($A14,Zo!$F$52:$AQ$52,0),100),IFERROR(MATCH($A14,Zo!$F$53:$AQ$53,0),100),IFERROR(MATCH($A14,Zo!$F$54:$AQ$54,0),100),IFERROR(MATCH($A14,Zo!$F$55:$AQ$55,0),100),IFERROR(MATCH($A14,Zo!$F$56:$AQ$56,0),100),IFERROR(MATCH($A14,Zo!$F$57:$AQ$57,0),100),IFERROR(MATCH($A14,Zo!$F$58:$AQ$58,0),100),IFERROR(MATCH($A14,Zo!$F$59:$AQ$59,0),100),IFERROR(MATCH($A14,Zo!$F$60:$AQ$60,0),100),IFERROR(MATCH($A14,Zo!$F$61:$AQ$61,0),100),IFERROR(MATCH($A14,Zo!$F$62:$AQ$62,0),100),IFERROR(MATCH($A14,Zo!$F$63:$AQ$63,0),100),39)</f>
        <v/>
      </c>
      <c r="P14" s="66">
        <f>IFERROR(IF(VLOOKUP(INDEX(Zo!$B$12:$B$63,MATCH($A14,OFFSET( Zo!$F$12:$F$63,0,(O14*48)-(IF(O14=7/24,9,IF(O14=12.5/24,9,IF(O14=14/24,9,IF(O14=15.5/24,9,10)))))),0),0),Zo!$B$13:$C$63,2,FALSE)="TL","",INDEX(Zo!$B$12:$B$63,MATCH($A14,OFFSET( Zo!$F$12:$F$63,0,(O14*48)-(IF(O14=7/24,9,IF(O14=12.5/24,9,IF(O14=14/24,9,IF(O14=15.5/24,9,10)))))),0),0)),"")</f>
        <v/>
      </c>
    </row>
    <row r="15" ht="15" customHeight="1">
      <c r="A15" s="66" t="inlineStr">
        <is>
          <t>ldv</t>
        </is>
      </c>
      <c r="B15" s="67">
        <f>A15</f>
        <v/>
      </c>
      <c r="C15" s="857">
        <f>9/48+(1/48)*MIN(IFERROR(MATCH($A15,Ma!$F$13:$AQ$13,0),100),IFERROR(MATCH($A15,Ma!$F$14:$AQ$14,0),100),IFERROR(MATCH($A15,Ma!$F$15:$AQ$15,0),100),IFERROR(MATCH($A15,Ma!$F$16:$AQ$16,0),100),IFERROR(MATCH($A15,Ma!$F$17:$AQ$17,0),100),IFERROR(MATCH($A15,Ma!$F$18:$AQ$18,0),100),IFERROR(MATCH($A15,Ma!$F$19:$AQ$19,0),100),IFERROR(MATCH($A15,Ma!$F$20:$AQ$20,0),100),IFERROR(MATCH($A15,Ma!$F$21:$AQ$21,0),100),IFERROR(MATCH($A15,Ma!$F$22:$AQ$22,0),100),IFERROR(MATCH($A15,Ma!$F$23:$AQ$23,0),100),IFERROR(MATCH($A15,Ma!$F$24:$AQ$24,0),100),IFERROR(MATCH($A15,Ma!$F$25:$AQ$25,0),100),IFERROR(MATCH($A15,Ma!$F$26:$AQ$26,0),100),IFERROR(MATCH($A15,Ma!$F$27:$AQ$27,0),100),IFERROR(MATCH($A15,Ma!$F$28:$AQ$28,0),100),IFERROR(MATCH($A15,Ma!$F$29:$AQ$29,0),100),IFERROR(MATCH($A15,Ma!$F$30:$AQ$30,0),100),IFERROR(MATCH($A15,Ma!$F$31:$AQ$31,0),100),IFERROR(MATCH($A15,Ma!$F$32:$AQ$32,0),100),IFERROR(MATCH($A15,Ma!$F$33:$AQ$33,0),100),IFERROR(MATCH($A15,Ma!$F$34:$AQ$34,0),100),IFERROR(MATCH($A15,Ma!$F$35:$AQ$35,0),100),IFERROR(MATCH($A15,Ma!$F$36:$AQ$36,0),100),IFERROR(MATCH($A15,Ma!$F$37:$AQ$37,0),100),IFERROR(MATCH($A15,Ma!$F$38:$AQ$38,0),100),IFERROR(MATCH($A15,Ma!$F$39:$AQ$39,0),100),IFERROR(MATCH($A15,Ma!$F$40:$AQ$40,0),100),IFERROR(MATCH($A15,Ma!$F$41:$AQ$41,0),100),IFERROR(MATCH($A15,Ma!$F$42:$AQ$42,0),100),IFERROR(MATCH($A15,Ma!$F$43:$AQ$43,0),100),IFERROR(MATCH($A15,Ma!$F$44:$AQ$44,0),100),IFERROR(MATCH($A15,Ma!$F$45:$AQ$45,0),100),IFERROR(MATCH($A15,Ma!$F$46:$AQ$46,0),100),IFERROR(MATCH($A15,Ma!$F$47:$AQ$47,0),100),IFERROR(MATCH($A15,Ma!$F$48:$AQ$48,0),100),IFERROR(MATCH($A15,Ma!$F$49:$AQ$49,0),100),IFERROR(MATCH($A15,Ma!$F$50:$AQ$50,0),100),IFERROR(MATCH($A15,Ma!$F$51:$AQ$51,0),100),IFERROR(MATCH($A15,Ma!$F$52:$AQ$52,0),100),IFERROR(MATCH($A15,Ma!$F$53:$AQ$53,0),100),IFERROR(MATCH($A15,Ma!$F$54:$AQ$54,0),100),IFERROR(MATCH($A15,Ma!$F$55:$AQ$55,0),100),IFERROR(MATCH($A15,Ma!$F$56:$AQ$56,0),100),IFERROR(MATCH($A15,Ma!$F$57:$AQ$57,0),100),IFERROR(MATCH($A15,Ma!$F$58:$AQ$58,0),100),IFERROR(MATCH($A15,Ma!$F$59:$AQ$59,0),100),IFERROR(MATCH($A15,Ma!$F$60:$AQ$60,0),100),IFERROR(MATCH($A15,Ma!$F$61:$AQ$61,0),100),IFERROR(MATCH($A15,Ma!$F$62:$AQ$62,0),100),IFERROR(MATCH($A15,Ma!$F$63:$AQ$63,0),100),39)</f>
        <v/>
      </c>
      <c r="D15" s="66">
        <f>IFERROR(IF(VLOOKUP(INDEX(Ma!$B$12:$B$63,MATCH($A15,OFFSET( Ma!$F$12:$F$63,0,(C15*48)-(IF(C15=7/24,9,IF(C15=12.5/24,9,IF(C15=14/24,9,IF(C15=15.5/24,9,10)))))),0),0),Ma!$B$13:$C$63,2,FALSE)="TL","",INDEX(Ma!$B$12:$B$63,MATCH($A15,OFFSET( Ma!$F$12:$F$63,0,(C15*48)-(IF(C15=7/24,9,IF(C15=12.5/24,9,IF(C15=14/24,9,IF(C15=15.5/24,9,10)))))),0),0)),"")</f>
        <v/>
      </c>
      <c r="E15" s="857">
        <f>9/48+(1/48)*MIN(IFERROR(MATCH($A15,Di!$F$13:$AQ$13,0),100),IFERROR(MATCH($A15,Di!$F$14:$AQ$14,0),100),IFERROR(MATCH($A15,Di!$F$15:$AQ$15,0),100),IFERROR(MATCH($A15,Di!$F$16:$AQ$16,0),100),IFERROR(MATCH($A15,Di!$F$17:$AQ$17,0),100),IFERROR(MATCH($A15,Di!$F$18:$AQ$18,0),100),IFERROR(MATCH($A15,Di!$F$19:$AQ$19,0),100),IFERROR(MATCH($A15,Di!$F$20:$AQ$20,0),100),IFERROR(MATCH($A15,Di!$F$21:$AQ$21,0),100),IFERROR(MATCH($A15,Di!$F$22:$AQ$22,0),100),IFERROR(MATCH($A15,Di!$F$23:$AQ$23,0),100),IFERROR(MATCH($A15,Di!$F$24:$AQ$24,0),100),IFERROR(MATCH($A15,Di!$F$25:$AQ$25,0),100),IFERROR(MATCH($A15,Di!$F$26:$AQ$26,0),100),IFERROR(MATCH($A15,Di!$F$27:$AQ$27,0),100),IFERROR(MATCH($A15,Di!$F$28:$AQ$28,0),100),IFERROR(MATCH($A15,Di!$F$29:$AQ$29,0),100),IFERROR(MATCH($A15,Di!$F$30:$AQ$30,0),100),IFERROR(MATCH($A15,Di!$F$31:$AQ$31,0),100),IFERROR(MATCH($A15,Di!$F$32:$AQ$32,0),100),IFERROR(MATCH($A15,Di!$F$33:$AQ$33,0),100),IFERROR(MATCH($A15,Di!$F$34:$AQ$34,0),100),IFERROR(MATCH($A15,Di!$F$35:$AQ$35,0),100),IFERROR(MATCH($A15,Di!$F$36:$AQ$36,0),100),IFERROR(MATCH($A15,Di!$F$37:$AQ$37,0),100),IFERROR(MATCH($A15,Di!$F$38:$AQ$38,0),100),IFERROR(MATCH($A15,Di!$F$39:$AQ$39,0),100),IFERROR(MATCH($A15,Di!$F$40:$AQ$40,0),100),IFERROR(MATCH($A15,Di!$F$41:$AQ$41,0),100),IFERROR(MATCH($A15,Di!$F$42:$AQ$42,0),100),IFERROR(MATCH($A15,Di!$F$43:$AQ$43,0),100),IFERROR(MATCH($A15,Di!$F$44:$AQ$44,0),100),IFERROR(MATCH($A15,Di!$F$45:$AQ$45,0),100),IFERROR(MATCH($A15,Di!$F$46:$AQ$46,0),100),IFERROR(MATCH($A15,Di!$F$47:$AQ$47,0),100),IFERROR(MATCH($A15,Di!$F$48:$AQ$48,0),100),IFERROR(MATCH($A15,Di!$F$49:$AQ$49,0),100),IFERROR(MATCH($A15,Di!$F$50:$AQ$50,0),100),IFERROR(MATCH($A15,Di!$F$51:$AQ$51,0),100),IFERROR(MATCH($A15,Di!$F$52:$AQ$52,0),100),IFERROR(MATCH($A15,Di!$F$53:$AQ$53,0),100),IFERROR(MATCH($A15,Di!$F$54:$AQ$54,0),100),IFERROR(MATCH($A15,Di!$F$55:$AQ$55,0),100),IFERROR(MATCH($A15,Di!$F$56:$AQ$56,0),100),IFERROR(MATCH($A15,Di!$F$57:$AQ$57,0),100),IFERROR(MATCH($A15,Di!$F$58:$AQ$58,0),100),IFERROR(MATCH($A15,Di!$F$59:$AQ$59,0),100),IFERROR(MATCH($A15,Di!$F$60:$AQ$60,0),100),IFERROR(MATCH($A15,Di!$F$61:$AQ$61,0),100),IFERROR(MATCH($A15,Di!$F$62:$AQ$62,0),100),IFERROR(MATCH($A15,Di!$F$63:$AQ$63,0),100),39)</f>
        <v/>
      </c>
      <c r="F15" s="66">
        <f>IFERROR(IF(VLOOKUP(INDEX(Di!$B$12:$B$63,MATCH($A15,OFFSET( Di!$F$12:$F$63,0,(E15*48)-(IF(E15=7/24,9,IF(E15=12.5/24,9,IF(E15=14/24,9,IF(E15=15.5/24,9,10)))))),0),0),Di!$B$13:$C$63,2,FALSE)="TL","",INDEX(Di!$B$12:$B$63,MATCH($A15,OFFSET( Di!$F$12:$F$63,0,(E15*48)-(IF(E15=7/24,9,IF(E15=12.5/24,9,IF(E15=14/24,9,IF(E15=15.5/24,9,10)))))),0),0)),"")</f>
        <v/>
      </c>
      <c r="G15" s="857">
        <f>9/48+(1/48)*MIN(IFERROR(MATCH($A15,Wo!$F$13:$AQ$13,0),100),IFERROR(MATCH($A15,Wo!$F$14:$AQ$14,0),100),IFERROR(MATCH($A15,Wo!$F$15:$AQ$15,0),100),IFERROR(MATCH($A15,Wo!$F$16:$AQ$16,0),100),IFERROR(MATCH($A15,Wo!$F$17:$AQ$17,0),100),IFERROR(MATCH($A15,Wo!$F$18:$AQ$18,0),100),IFERROR(MATCH($A15,Wo!$F$19:$AQ$19,0),100),IFERROR(MATCH($A15,Wo!$F$20:$AQ$20,0),100),IFERROR(MATCH($A15,Wo!$F$21:$AQ$21,0),100),IFERROR(MATCH($A15,Wo!$F$22:$AQ$22,0),100),IFERROR(MATCH($A15,Wo!$F$23:$AQ$23,0),100),IFERROR(MATCH($A15,Wo!$F$24:$AQ$24,0),100),IFERROR(MATCH($A15,Wo!$F$25:$AQ$25,0),100),IFERROR(MATCH($A15,Wo!$F$26:$AQ$26,0),100),IFERROR(MATCH($A15,Wo!$F$27:$AQ$27,0),100),IFERROR(MATCH($A15,Wo!$F$28:$AQ$28,0),100),IFERROR(MATCH($A15,Wo!$F$29:$AQ$29,0),100),IFERROR(MATCH($A15,Wo!$F$30:$AQ$30,0),100),IFERROR(MATCH($A15,Wo!$F$31:$AQ$31,0),100),IFERROR(MATCH($A15,Wo!$F$32:$AQ$32,0),100),IFERROR(MATCH($A15,Wo!$F$33:$AQ$33,0),100),IFERROR(MATCH($A15,Wo!$F$34:$AQ$34,0),100),IFERROR(MATCH($A15,Wo!$F$35:$AQ$35,0),100),IFERROR(MATCH($A15,Wo!$F$36:$AQ$36,0),100),IFERROR(MATCH($A15,Wo!$F$37:$AQ$37,0),100),IFERROR(MATCH($A15,Wo!$F$38:$AQ$38,0),100),IFERROR(MATCH($A15,Wo!$F$39:$AQ$39,0),100),IFERROR(MATCH($A15,Wo!$F$40:$AQ$40,0),100),IFERROR(MATCH($A15,Wo!$F$41:$AQ$41,0),100),IFERROR(MATCH($A15,Wo!$F$42:$AQ$42,0),100),IFERROR(MATCH($A15,Wo!$F$43:$AQ$43,0),100),IFERROR(MATCH($A15,Wo!$F$44:$AQ$44,0),100),IFERROR(MATCH($A15,Wo!$F$45:$AQ$45,0),100),IFERROR(MATCH($A15,Wo!$F$46:$AQ$46,0),100),IFERROR(MATCH($A15,Wo!$F$47:$AQ$47,0),100),IFERROR(MATCH($A15,Wo!$F$48:$AQ$48,0),100),IFERROR(MATCH($A15,Wo!$F$49:$AQ$49,0),100),IFERROR(MATCH($A15,Wo!$F$50:$AQ$50,0),100),IFERROR(MATCH($A15,Wo!$F$51:$AQ$51,0),100),IFERROR(MATCH($A15,Wo!$F$52:$AQ$52,0),100),IFERROR(MATCH($A15,Wo!$F$53:$AQ$53,0),100),IFERROR(MATCH($A15,Wo!$F$54:$AQ$54,0),100),IFERROR(MATCH($A15,Wo!$F$55:$AQ$55,0),100),IFERROR(MATCH($A15,Wo!$F$56:$AQ$56,0),100),IFERROR(MATCH($A15,Wo!$F$57:$AQ$57,0),100),IFERROR(MATCH($A15,Wo!$F$58:$AQ$58,0),100),IFERROR(MATCH($A15,Wo!$F$59:$AQ$59,0),100),IFERROR(MATCH($A15,Wo!$F$60:$AQ$60,0),100),IFERROR(MATCH($A15,Wo!$F$61:$AQ$61,0),100),IFERROR(MATCH($A15,Wo!$F$62:$AQ$62,0),100),IFERROR(MATCH($A15,Wo!$F$63:$AQ$63,0),100),39)</f>
        <v/>
      </c>
      <c r="H15" s="66">
        <f>IFERROR(IF(VLOOKUP(INDEX(Wo!$B$12:$B$63,MATCH($A15,OFFSET( Wo!$F$12:$F$63,0,(G15*48)-(IF(G15=7/24,9,IF(G15=12.5/24,9,IF(G15=14/24,9,IF(G15=15.5/24,9,10)))))),0),0),Wo!$B$13:$C$63,2,FALSE)="TL","",INDEX(Wo!$B$12:$B$63,MATCH($A15,OFFSET( Wo!$F$12:$F$63,0,(G15*48)-(IF(G15=7/24,9,IF(G15=12.5/24,9,IF(G15=14/24,9,IF(G15=15.5/24,9,10)))))),0),0)),"")</f>
        <v/>
      </c>
      <c r="I15" s="857">
        <f>9/48+(1/48)*MIN(IFERROR(MATCH($A15,Do!$F$13:$AQ$13,0),100),IFERROR(MATCH($A15,Do!$F$14:$AQ$14,0),100),IFERROR(MATCH($A15,Do!$F$15:$AQ$15,0),100),IFERROR(MATCH($A15,Do!$F$16:$AQ$16,0),100),IFERROR(MATCH($A15,Do!$F$17:$AQ$17,0),100),IFERROR(MATCH($A15,Do!$F$18:$AQ$18,0),100),IFERROR(MATCH($A15,Do!$F$19:$AQ$19,0),100),IFERROR(MATCH($A15,Do!$F$20:$AQ$20,0),100),IFERROR(MATCH($A15,Do!$F$21:$AQ$21,0),100),IFERROR(MATCH($A15,Do!$F$22:$AQ$22,0),100),IFERROR(MATCH($A15,Do!$F$23:$AQ$23,0),100),IFERROR(MATCH($A15,Do!$F$24:$AQ$24,0),100),IFERROR(MATCH($A15,Do!$F$25:$AQ$25,0),100),IFERROR(MATCH($A15,Do!$F$26:$AQ$26,0),100),IFERROR(MATCH($A15,Do!$F$27:$AQ$27,0),100),IFERROR(MATCH($A15,Do!$F$28:$AQ$28,0),100),IFERROR(MATCH($A15,Do!$F$29:$AQ$29,0),100),IFERROR(MATCH($A15,Do!$F$30:$AQ$30,0),100),IFERROR(MATCH($A15,Do!$F$31:$AQ$31,0),100),IFERROR(MATCH($A15,Do!$F$32:$AQ$32,0),100),IFERROR(MATCH($A15,Do!$F$33:$AQ$33,0),100),IFERROR(MATCH($A15,Do!$F$34:$AQ$34,0),100),IFERROR(MATCH($A15,Do!$F$35:$AQ$35,0),100),IFERROR(MATCH($A15,Do!$F$36:$AQ$36,0),100),IFERROR(MATCH($A15,Do!$F$37:$AQ$37,0),100),IFERROR(MATCH($A15,Do!$F$38:$AQ$38,0),100),IFERROR(MATCH($A15,Do!$F$39:$AQ$39,0),100),IFERROR(MATCH($A15,Do!$F$40:$AQ$40,0),100),IFERROR(MATCH($A15,Do!$F$41:$AQ$41,0),100),IFERROR(MATCH($A15,Do!$F$42:$AQ$42,0),100),IFERROR(MATCH($A15,Do!$F$43:$AQ$43,0),100),IFERROR(MATCH($A15,Do!$F$44:$AQ$44,0),100),IFERROR(MATCH($A15,Do!$F$45:$AQ$45,0),100),IFERROR(MATCH($A15,Do!$F$46:$AQ$46,0),100),IFERROR(MATCH($A15,Do!$F$47:$AQ$47,0),100),IFERROR(MATCH($A15,Do!$F$48:$AQ$48,0),100),IFERROR(MATCH($A15,Do!$F$49:$AQ$49,0),100),IFERROR(MATCH($A15,Do!$F$50:$AQ$50,0),100),IFERROR(MATCH($A15,Do!$F$51:$AQ$51,0),100),IFERROR(MATCH($A15,Do!$F$52:$AQ$52,0),100),IFERROR(MATCH($A15,Do!$F$53:$AQ$53,0),100),IFERROR(MATCH($A15,Do!$F$54:$AQ$54,0),100),IFERROR(MATCH($A15,Do!$F$55:$AQ$55,0),100),IFERROR(MATCH($A15,Do!$F$56:$AQ$56,0),100),IFERROR(MATCH($A15,Do!$F$57:$AQ$57,0),100),IFERROR(MATCH($A15,Do!$F$58:$AQ$58,0),100),IFERROR(MATCH($A15,Do!$F$59:$AQ$59,0),100),IFERROR(MATCH($A15,Do!$F$60:$AQ$60,0),100),IFERROR(MATCH($A15,Do!$F$61:$AQ$61,0),100),IFERROR(MATCH($A15,Do!$F$62:$AQ$62,0),100),IFERROR(MATCH($A15,Do!$F$63:$AQ$63,0),100),39)</f>
        <v/>
      </c>
      <c r="J15" s="66">
        <f>IFERROR(IF(VLOOKUP(INDEX(Do!$B$12:$B$63,MATCH($A15,OFFSET( Do!$F$12:$F$63,0,(I15*48)-(IF(I15=7/24,9,IF(I15=12.5/24,9,IF(I15=14/24,9,IF(I15=15.5/24,9,10)))))),0),0),Do!$B$13:$C$63,2,FALSE)="TL","",INDEX(Do!$B$12:$B$63,MATCH($A15,OFFSET( Do!$F$12:$F$63,0,(I15*48)-(IF(I15=7/24,9,IF(I15=12.5/24,9,IF(I15=14/24,9,IF(I15=15.5/24,9,10)))))),0),0)),"")</f>
        <v/>
      </c>
      <c r="K15" s="857">
        <f>9/48+(1/48)*MIN(IFERROR(MATCH($A15,Vr!$F$13:$AQ$13,0),100),IFERROR(MATCH($A15,Vr!$F$14:$AQ$14,0),100),IFERROR(MATCH($A15,Vr!$F$15:$AQ$15,0),100),IFERROR(MATCH($A15,Vr!$F$16:$AQ$16,0),100),IFERROR(MATCH($A15,Vr!$F$17:$AQ$17,0),100),IFERROR(MATCH($A15,Vr!$F$18:$AQ$18,0),100),IFERROR(MATCH($A15,Vr!$F$19:$AQ$19,0),100),IFERROR(MATCH($A15,Vr!$F$20:$AQ$20,0),100),IFERROR(MATCH($A15,Vr!$F$21:$AQ$21,0),100),IFERROR(MATCH($A15,Vr!$F$22:$AQ$22,0),100),IFERROR(MATCH($A15,Vr!$F$23:$AQ$23,0),100),IFERROR(MATCH($A15,Vr!$F$24:$AQ$24,0),100),IFERROR(MATCH($A15,Vr!$F$25:$AQ$25,0),100),IFERROR(MATCH($A15,Vr!$F$26:$AQ$26,0),100),IFERROR(MATCH($A15,Vr!$F$27:$AQ$27,0),100),IFERROR(MATCH($A15,Vr!$F$28:$AQ$28,0),100),IFERROR(MATCH($A15,Vr!$F$29:$AQ$29,0),100),IFERROR(MATCH($A15,Vr!$F$30:$AQ$30,0),100),IFERROR(MATCH($A15,Vr!$F$31:$AQ$31,0),100),IFERROR(MATCH($A15,Vr!$F$32:$AQ$32,0),100),IFERROR(MATCH($A15,Vr!$F$33:$AQ$33,0),100),IFERROR(MATCH($A15,Vr!$F$34:$AQ$34,0),100),IFERROR(MATCH($A15,Vr!$F$35:$AQ$35,0),100),IFERROR(MATCH($A15,Vr!$F$36:$AQ$36,0),100),IFERROR(MATCH($A15,Vr!$F$37:$AQ$37,0),100),IFERROR(MATCH($A15,Vr!$F$38:$AQ$38,0),100),IFERROR(MATCH($A15,Vr!$F$39:$AQ$39,0),100),IFERROR(MATCH($A15,Vr!$F$40:$AQ$40,0),100),IFERROR(MATCH($A15,Vr!$F$41:$AQ$41,0),100),IFERROR(MATCH($A15,Vr!$F$42:$AQ$42,0),100),IFERROR(MATCH($A15,Vr!$F$43:$AQ$43,0),100),IFERROR(MATCH($A15,Vr!$F$44:$AQ$44,0),100),IFERROR(MATCH($A15,Vr!$F$45:$AQ$45,0),100),IFERROR(MATCH($A15,Vr!$F$46:$AQ$46,0),100),IFERROR(MATCH($A15,Vr!$F$47:$AQ$47,0),100),IFERROR(MATCH($A15,Vr!$F$48:$AQ$48,0),100),IFERROR(MATCH($A15,Vr!$F$49:$AQ$49,0),100),IFERROR(MATCH($A15,Vr!$F$50:$AQ$50,0),100),IFERROR(MATCH($A15,Vr!$F$51:$AQ$51,0),100),IFERROR(MATCH($A15,Vr!$F$52:$AQ$52,0),100),IFERROR(MATCH($A15,Vr!$F$53:$AQ$53,0),100),IFERROR(MATCH($A15,Vr!$F$54:$AQ$54,0),100),IFERROR(MATCH($A15,Vr!$F$55:$AQ$55,0),100),IFERROR(MATCH($A15,Vr!$F$56:$AQ$56,0),100),IFERROR(MATCH($A15,Vr!$F$57:$AQ$57,0),100),IFERROR(MATCH($A15,Vr!$F$58:$AQ$58,0),100),IFERROR(MATCH($A15,Vr!$F$59:$AQ$59,0),100),IFERROR(MATCH($A15,Vr!$F$60:$AQ$60,0),100),IFERROR(MATCH($A15,Vr!$F$61:$AQ$61,0),100),IFERROR(MATCH($A15,Vr!$F$62:$AQ$62,0),100),IFERROR(MATCH($A15,Vr!$F$63:$AQ$63,0),100),39)</f>
        <v/>
      </c>
      <c r="L15" s="66">
        <f>IFERROR(IF(VLOOKUP(INDEX(Vr!$B$12:$B$63,MATCH($A15,OFFSET( Vr!$F$12:$F$63,0,(K15*48)-(IF(K15=7/24,9,IF(K15=12.5/24,9,IF(K15=14/24,9,IF(K15=15.5/24,9,10)))))),0),0),Vr!$B$13:$C$63,2,FALSE)="TL","",INDEX(Vr!$B$12:$B$63,MATCH($A15,OFFSET( Vr!$F$12:$F$63,0,(K15*48)-(IF(K15=7/24,9,IF(K15=12.5/24,9,IF(K15=14/24,9,IF(K15=15.5/24,9,10)))))),0),0)),"")</f>
        <v/>
      </c>
      <c r="M15" s="857">
        <f>9/48+(1/48)*MIN(IFERROR(MATCH($A15,Za!$F$13:$AQ$13,0),100),IFERROR(MATCH($A15,Za!$F$14:$AQ$14,0),100),IFERROR(MATCH($A15,Za!$F$15:$AQ$15,0),100),IFERROR(MATCH($A15,Za!$F$16:$AQ$16,0),100),IFERROR(MATCH($A15,Za!$F$17:$AQ$17,0),100),IFERROR(MATCH($A15,Za!$F$18:$AQ$18,0),100),IFERROR(MATCH($A15,Za!$F$19:$AQ$19,0),100),IFERROR(MATCH($A15,Za!$F$20:$AQ$20,0),100),IFERROR(MATCH($A15,Za!$F$21:$AQ$21,0),100),IFERROR(MATCH($A15,Za!$F$22:$AQ$22,0),100),IFERROR(MATCH($A15,Za!$F$23:$AQ$23,0),100),IFERROR(MATCH($A15,Za!$F$24:$AQ$24,0),100),IFERROR(MATCH($A15,Za!$F$25:$AQ$25,0),100),IFERROR(MATCH($A15,Za!$F$26:$AQ$26,0),100),IFERROR(MATCH($A15,Za!$F$27:$AQ$27,0),100),IFERROR(MATCH($A15,Za!$F$28:$AQ$28,0),100),IFERROR(MATCH($A15,Za!$F$29:$AQ$29,0),100),IFERROR(MATCH($A15,Za!$F$30:$AQ$30,0),100),IFERROR(MATCH($A15,Za!$F$31:$AQ$31,0),100),IFERROR(MATCH($A15,Za!$F$32:$AQ$32,0),100),IFERROR(MATCH($A15,Za!$F$33:$AQ$33,0),100),IFERROR(MATCH($A15,Za!$F$34:$AQ$34,0),100),IFERROR(MATCH($A15,Za!$F$35:$AQ$35,0),100),IFERROR(MATCH($A15,Za!$F$36:$AQ$36,0),100),IFERROR(MATCH($A15,Za!$F$37:$AQ$37,0),100),IFERROR(MATCH($A15,Za!$F$38:$AQ$38,0),100),IFERROR(MATCH($A15,Za!$F$39:$AQ$39,0),100),IFERROR(MATCH($A15,Za!$F$40:$AQ$40,0),100),IFERROR(MATCH($A15,Za!$F$41:$AQ$41,0),100),IFERROR(MATCH($A15,Za!$F$42:$AQ$42,0),100),IFERROR(MATCH($A15,Za!$F$43:$AQ$43,0),100),IFERROR(MATCH($A15,Za!$F$44:$AQ$44,0),100),IFERROR(MATCH($A15,Za!$F$45:$AQ$45,0),100),IFERROR(MATCH($A15,Za!$F$46:$AQ$46,0),100),IFERROR(MATCH($A15,Za!$F$47:$AQ$47,0),100),IFERROR(MATCH($A15,Za!$F$48:$AQ$48,0),100),IFERROR(MATCH($A15,Za!$F$49:$AQ$49,0),100),IFERROR(MATCH($A15,Za!$F$50:$AQ$50,0),100),IFERROR(MATCH($A15,Za!$F$51:$AQ$51,0),100),IFERROR(MATCH($A15,Za!$F$52:$AQ$52,0),100),IFERROR(MATCH($A15,Za!$F$53:$AQ$53,0),100),IFERROR(MATCH($A15,Za!$F$54:$AQ$54,0),100),IFERROR(MATCH($A15,Za!$F$55:$AQ$55,0),100),IFERROR(MATCH($A15,Za!$F$56:$AQ$56,0),100),IFERROR(MATCH($A15,Za!$F$57:$AQ$57,0),100),IFERROR(MATCH($A15,Za!$F$58:$AQ$58,0),100),IFERROR(MATCH($A15,Za!$F$59:$AQ$59,0),100),IFERROR(MATCH($A15,Za!$F$60:$AQ$60,0),100),IFERROR(MATCH($A15,Za!$F$61:$AQ$61,0),100),IFERROR(MATCH($A15,Za!$F$62:$AQ$62,0),100),IFERROR(MATCH($A15,Za!$F$63:$AQ$63,0),100),39)</f>
        <v/>
      </c>
      <c r="N15" s="66">
        <f>IFERROR(IF(VLOOKUP(INDEX(Za!$B$12:$B$63,MATCH($A15,OFFSET( Za!$F$12:$F$63,0,(M15*48)-(IF(M15=7/24,9,IF(M15=12.5/24,9,IF(M15=14/24,9,IF(M15=15.5/24,9,10)))))),0),0),Za!$B$13:$C$63,2,FALSE)="TL","",INDEX(Za!$B$12:$B$63,MATCH($A15,OFFSET( Za!$F$12:$F$63,0,(M15*48)-(IF(M15=7/24,9,IF(M15=12.5/24,9,IF(M15=14/24,9,IF(M15=15.5/24,9,10)))))),0),0)),"")</f>
        <v/>
      </c>
      <c r="O15" s="857">
        <f>9/48+(1/48)*MIN(IFERROR(MATCH($A15,Zo!$F$13:$AQ$13,0),100),IFERROR(MATCH($A15,Zo!$F$14:$AQ$14,0),100),IFERROR(MATCH($A15,Zo!$F$15:$AQ$15,0),100),IFERROR(MATCH($A15,Zo!$F$16:$AQ$16,0),100),IFERROR(MATCH($A15,Zo!$F$17:$AQ$17,0),100),IFERROR(MATCH($A15,Zo!$F$18:$AQ$18,0),100),IFERROR(MATCH($A15,Zo!$F$19:$AQ$19,0),100),IFERROR(MATCH($A15,Zo!$F$20:$AQ$20,0),100),IFERROR(MATCH($A15,Zo!$F$21:$AQ$21,0),100),IFERROR(MATCH($A15,Zo!$F$22:$AQ$22,0),100),IFERROR(MATCH($A15,Zo!$F$23:$AQ$23,0),100),IFERROR(MATCH($A15,Zo!$F$24:$AQ$24,0),100),IFERROR(MATCH($A15,Zo!$F$25:$AQ$25,0),100),IFERROR(MATCH($A15,Zo!$F$26:$AQ$26,0),100),IFERROR(MATCH($A15,Zo!$F$27:$AQ$27,0),100),IFERROR(MATCH($A15,Zo!$F$28:$AQ$28,0),100),IFERROR(MATCH($A15,Zo!$F$29:$AQ$29,0),100),IFERROR(MATCH($A15,Zo!$F$30:$AQ$30,0),100),IFERROR(MATCH($A15,Zo!$F$31:$AQ$31,0),100),IFERROR(MATCH($A15,Zo!$F$32:$AQ$32,0),100),IFERROR(MATCH($A15,Zo!$F$33:$AQ$33,0),100),IFERROR(MATCH($A15,Zo!$F$34:$AQ$34,0),100),IFERROR(MATCH($A15,Zo!$F$35:$AQ$35,0),100),IFERROR(MATCH($A15,Zo!$F$36:$AQ$36,0),100),IFERROR(MATCH($A15,Zo!$F$37:$AQ$37,0),100),IFERROR(MATCH($A15,Zo!$F$38:$AQ$38,0),100),IFERROR(MATCH($A15,Zo!$F$39:$AQ$39,0),100),IFERROR(MATCH($A15,Zo!$F$40:$AQ$40,0),100),IFERROR(MATCH($A15,Zo!$F$41:$AQ$41,0),100),IFERROR(MATCH($A15,Zo!$F$42:$AQ$42,0),100),IFERROR(MATCH($A15,Zo!$F$43:$AQ$43,0),100),IFERROR(MATCH($A15,Zo!$F$44:$AQ$44,0),100),IFERROR(MATCH($A15,Zo!$F$45:$AQ$45,0),100),IFERROR(MATCH($A15,Zo!$F$46:$AQ$46,0),100),IFERROR(MATCH($A15,Zo!$F$47:$AQ$47,0),100),IFERROR(MATCH($A15,Zo!$F$48:$AQ$48,0),100),IFERROR(MATCH($A15,Zo!$F$49:$AQ$49,0),100),IFERROR(MATCH($A15,Zo!$F$50:$AQ$50,0),100),IFERROR(MATCH($A15,Zo!$F$51:$AQ$51,0),100),IFERROR(MATCH($A15,Zo!$F$52:$AQ$52,0),100),IFERROR(MATCH($A15,Zo!$F$53:$AQ$53,0),100),IFERROR(MATCH($A15,Zo!$F$54:$AQ$54,0),100),IFERROR(MATCH($A15,Zo!$F$55:$AQ$55,0),100),IFERROR(MATCH($A15,Zo!$F$56:$AQ$56,0),100),IFERROR(MATCH($A15,Zo!$F$57:$AQ$57,0),100),IFERROR(MATCH($A15,Zo!$F$58:$AQ$58,0),100),IFERROR(MATCH($A15,Zo!$F$59:$AQ$59,0),100),IFERROR(MATCH($A15,Zo!$F$60:$AQ$60,0),100),IFERROR(MATCH($A15,Zo!$F$61:$AQ$61,0),100),IFERROR(MATCH($A15,Zo!$F$62:$AQ$62,0),100),IFERROR(MATCH($A15,Zo!$F$63:$AQ$63,0),100),39)</f>
        <v/>
      </c>
      <c r="P15" s="66">
        <f>IFERROR(IF(VLOOKUP(INDEX(Zo!$B$12:$B$63,MATCH($A15,OFFSET( Zo!$F$12:$F$63,0,(O15*48)-(IF(O15=7/24,9,IF(O15=12.5/24,9,IF(O15=14/24,9,IF(O15=15.5/24,9,10)))))),0),0),Zo!$B$13:$C$63,2,FALSE)="TL","",INDEX(Zo!$B$12:$B$63,MATCH($A15,OFFSET( Zo!$F$12:$F$63,0,(O15*48)-(IF(O15=7/24,9,IF(O15=12.5/24,9,IF(O15=14/24,9,IF(O15=15.5/24,9,10)))))),0),0)),"")</f>
        <v/>
      </c>
    </row>
    <row r="16" ht="15" customHeight="1">
      <c r="A16" s="66" t="inlineStr">
        <is>
          <t>lvv</t>
        </is>
      </c>
      <c r="B16" s="67">
        <f>A16</f>
        <v/>
      </c>
      <c r="C16" s="857">
        <f>9/48+(1/48)*MIN(IFERROR(MATCH($A16,Ma!$F$13:$AQ$13,0),100),IFERROR(MATCH($A16,Ma!$F$14:$AQ$14,0),100),IFERROR(MATCH($A16,Ma!$F$15:$AQ$15,0),100),IFERROR(MATCH($A16,Ma!$F$16:$AQ$16,0),100),IFERROR(MATCH($A16,Ma!$F$17:$AQ$17,0),100),IFERROR(MATCH($A16,Ma!$F$18:$AQ$18,0),100),IFERROR(MATCH($A16,Ma!$F$19:$AQ$19,0),100),IFERROR(MATCH($A16,Ma!$F$20:$AQ$20,0),100),IFERROR(MATCH($A16,Ma!$F$21:$AQ$21,0),100),IFERROR(MATCH($A16,Ma!$F$22:$AQ$22,0),100),IFERROR(MATCH($A16,Ma!$F$23:$AQ$23,0),100),IFERROR(MATCH($A16,Ma!$F$24:$AQ$24,0),100),IFERROR(MATCH($A16,Ma!$F$25:$AQ$25,0),100),IFERROR(MATCH($A16,Ma!$F$26:$AQ$26,0),100),IFERROR(MATCH($A16,Ma!$F$27:$AQ$27,0),100),IFERROR(MATCH($A16,Ma!$F$28:$AQ$28,0),100),IFERROR(MATCH($A16,Ma!$F$29:$AQ$29,0),100),IFERROR(MATCH($A16,Ma!$F$30:$AQ$30,0),100),IFERROR(MATCH($A16,Ma!$F$31:$AQ$31,0),100),IFERROR(MATCH($A16,Ma!$F$32:$AQ$32,0),100),IFERROR(MATCH($A16,Ma!$F$33:$AQ$33,0),100),IFERROR(MATCH($A16,Ma!$F$34:$AQ$34,0),100),IFERROR(MATCH($A16,Ma!$F$35:$AQ$35,0),100),IFERROR(MATCH($A16,Ma!$F$36:$AQ$36,0),100),IFERROR(MATCH($A16,Ma!$F$37:$AQ$37,0),100),IFERROR(MATCH($A16,Ma!$F$38:$AQ$38,0),100),IFERROR(MATCH($A16,Ma!$F$39:$AQ$39,0),100),IFERROR(MATCH($A16,Ma!$F$40:$AQ$40,0),100),IFERROR(MATCH($A16,Ma!$F$41:$AQ$41,0),100),IFERROR(MATCH($A16,Ma!$F$42:$AQ$42,0),100),IFERROR(MATCH($A16,Ma!$F$43:$AQ$43,0),100),IFERROR(MATCH($A16,Ma!$F$44:$AQ$44,0),100),IFERROR(MATCH($A16,Ma!$F$45:$AQ$45,0),100),IFERROR(MATCH($A16,Ma!$F$46:$AQ$46,0),100),IFERROR(MATCH($A16,Ma!$F$47:$AQ$47,0),100),IFERROR(MATCH($A16,Ma!$F$48:$AQ$48,0),100),IFERROR(MATCH($A16,Ma!$F$49:$AQ$49,0),100),IFERROR(MATCH($A16,Ma!$F$50:$AQ$50,0),100),IFERROR(MATCH($A16,Ma!$F$51:$AQ$51,0),100),IFERROR(MATCH($A16,Ma!$F$52:$AQ$52,0),100),IFERROR(MATCH($A16,Ma!$F$53:$AQ$53,0),100),IFERROR(MATCH($A16,Ma!$F$54:$AQ$54,0),100),IFERROR(MATCH($A16,Ma!$F$55:$AQ$55,0),100),IFERROR(MATCH($A16,Ma!$F$56:$AQ$56,0),100),IFERROR(MATCH($A16,Ma!$F$57:$AQ$57,0),100),IFERROR(MATCH($A16,Ma!$F$58:$AQ$58,0),100),IFERROR(MATCH($A16,Ma!$F$59:$AQ$59,0),100),IFERROR(MATCH($A16,Ma!$F$60:$AQ$60,0),100),IFERROR(MATCH($A16,Ma!$F$61:$AQ$61,0),100),IFERROR(MATCH($A16,Ma!$F$62:$AQ$62,0),100),IFERROR(MATCH($A16,Ma!$F$63:$AQ$63,0),100),39)</f>
        <v/>
      </c>
      <c r="D16" s="66">
        <f>IFERROR(IF(VLOOKUP(INDEX(Ma!$B$12:$B$63,MATCH($A16,OFFSET( Ma!$F$12:$F$63,0,(C16*48)-(IF(C16=7/24,9,IF(C16=12.5/24,9,IF(C16=14/24,9,IF(C16=15.5/24,9,10)))))),0),0),Ma!$B$13:$C$63,2,FALSE)="TL","",INDEX(Ma!$B$12:$B$63,MATCH($A16,OFFSET( Ma!$F$12:$F$63,0,(C16*48)-(IF(C16=7/24,9,IF(C16=12.5/24,9,IF(C16=14/24,9,IF(C16=15.5/24,9,10)))))),0),0)),"")</f>
        <v/>
      </c>
      <c r="E16" s="857">
        <f>9/48+(1/48)*MIN(IFERROR(MATCH($A16,Di!$F$13:$AQ$13,0),100),IFERROR(MATCH($A16,Di!$F$14:$AQ$14,0),100),IFERROR(MATCH($A16,Di!$F$15:$AQ$15,0),100),IFERROR(MATCH($A16,Di!$F$16:$AQ$16,0),100),IFERROR(MATCH($A16,Di!$F$17:$AQ$17,0),100),IFERROR(MATCH($A16,Di!$F$18:$AQ$18,0),100),IFERROR(MATCH($A16,Di!$F$19:$AQ$19,0),100),IFERROR(MATCH($A16,Di!$F$20:$AQ$20,0),100),IFERROR(MATCH($A16,Di!$F$21:$AQ$21,0),100),IFERROR(MATCH($A16,Di!$F$22:$AQ$22,0),100),IFERROR(MATCH($A16,Di!$F$23:$AQ$23,0),100),IFERROR(MATCH($A16,Di!$F$24:$AQ$24,0),100),IFERROR(MATCH($A16,Di!$F$25:$AQ$25,0),100),IFERROR(MATCH($A16,Di!$F$26:$AQ$26,0),100),IFERROR(MATCH($A16,Di!$F$27:$AQ$27,0),100),IFERROR(MATCH($A16,Di!$F$28:$AQ$28,0),100),IFERROR(MATCH($A16,Di!$F$29:$AQ$29,0),100),IFERROR(MATCH($A16,Di!$F$30:$AQ$30,0),100),IFERROR(MATCH($A16,Di!$F$31:$AQ$31,0),100),IFERROR(MATCH($A16,Di!$F$32:$AQ$32,0),100),IFERROR(MATCH($A16,Di!$F$33:$AQ$33,0),100),IFERROR(MATCH($A16,Di!$F$34:$AQ$34,0),100),IFERROR(MATCH($A16,Di!$F$35:$AQ$35,0),100),IFERROR(MATCH($A16,Di!$F$36:$AQ$36,0),100),IFERROR(MATCH($A16,Di!$F$37:$AQ$37,0),100),IFERROR(MATCH($A16,Di!$F$38:$AQ$38,0),100),IFERROR(MATCH($A16,Di!$F$39:$AQ$39,0),100),IFERROR(MATCH($A16,Di!$F$40:$AQ$40,0),100),IFERROR(MATCH($A16,Di!$F$41:$AQ$41,0),100),IFERROR(MATCH($A16,Di!$F$42:$AQ$42,0),100),IFERROR(MATCH($A16,Di!$F$43:$AQ$43,0),100),IFERROR(MATCH($A16,Di!$F$44:$AQ$44,0),100),IFERROR(MATCH($A16,Di!$F$45:$AQ$45,0),100),IFERROR(MATCH($A16,Di!$F$46:$AQ$46,0),100),IFERROR(MATCH($A16,Di!$F$47:$AQ$47,0),100),IFERROR(MATCH($A16,Di!$F$48:$AQ$48,0),100),IFERROR(MATCH($A16,Di!$F$49:$AQ$49,0),100),IFERROR(MATCH($A16,Di!$F$50:$AQ$50,0),100),IFERROR(MATCH($A16,Di!$F$51:$AQ$51,0),100),IFERROR(MATCH($A16,Di!$F$52:$AQ$52,0),100),IFERROR(MATCH($A16,Di!$F$53:$AQ$53,0),100),IFERROR(MATCH($A16,Di!$F$54:$AQ$54,0),100),IFERROR(MATCH($A16,Di!$F$55:$AQ$55,0),100),IFERROR(MATCH($A16,Di!$F$56:$AQ$56,0),100),IFERROR(MATCH($A16,Di!$F$57:$AQ$57,0),100),IFERROR(MATCH($A16,Di!$F$58:$AQ$58,0),100),IFERROR(MATCH($A16,Di!$F$59:$AQ$59,0),100),IFERROR(MATCH($A16,Di!$F$60:$AQ$60,0),100),IFERROR(MATCH($A16,Di!$F$61:$AQ$61,0),100),IFERROR(MATCH($A16,Di!$F$62:$AQ$62,0),100),IFERROR(MATCH($A16,Di!$F$63:$AQ$63,0),100),39)</f>
        <v/>
      </c>
      <c r="F16" s="66">
        <f>IFERROR(IF(VLOOKUP(INDEX(Di!$B$12:$B$63,MATCH($A16,OFFSET( Di!$F$12:$F$63,0,(E16*48)-(IF(E16=7/24,9,IF(E16=12.5/24,9,IF(E16=14/24,9,IF(E16=15.5/24,9,10)))))),0),0),Di!$B$13:$C$63,2,FALSE)="TL","",INDEX(Di!$B$12:$B$63,MATCH($A16,OFFSET( Di!$F$12:$F$63,0,(E16*48)-(IF(E16=7/24,9,IF(E16=12.5/24,9,IF(E16=14/24,9,IF(E16=15.5/24,9,10)))))),0),0)),"")</f>
        <v/>
      </c>
      <c r="G16" s="857">
        <f>9/48+(1/48)*MIN(IFERROR(MATCH($A16,Wo!$F$13:$AQ$13,0),100),IFERROR(MATCH($A16,Wo!$F$14:$AQ$14,0),100),IFERROR(MATCH($A16,Wo!$F$15:$AQ$15,0),100),IFERROR(MATCH($A16,Wo!$F$16:$AQ$16,0),100),IFERROR(MATCH($A16,Wo!$F$17:$AQ$17,0),100),IFERROR(MATCH($A16,Wo!$F$18:$AQ$18,0),100),IFERROR(MATCH($A16,Wo!$F$19:$AQ$19,0),100),IFERROR(MATCH($A16,Wo!$F$20:$AQ$20,0),100),IFERROR(MATCH($A16,Wo!$F$21:$AQ$21,0),100),IFERROR(MATCH($A16,Wo!$F$22:$AQ$22,0),100),IFERROR(MATCH($A16,Wo!$F$23:$AQ$23,0),100),IFERROR(MATCH($A16,Wo!$F$24:$AQ$24,0),100),IFERROR(MATCH($A16,Wo!$F$25:$AQ$25,0),100),IFERROR(MATCH($A16,Wo!$F$26:$AQ$26,0),100),IFERROR(MATCH($A16,Wo!$F$27:$AQ$27,0),100),IFERROR(MATCH($A16,Wo!$F$28:$AQ$28,0),100),IFERROR(MATCH($A16,Wo!$F$29:$AQ$29,0),100),IFERROR(MATCH($A16,Wo!$F$30:$AQ$30,0),100),IFERROR(MATCH($A16,Wo!$F$31:$AQ$31,0),100),IFERROR(MATCH($A16,Wo!$F$32:$AQ$32,0),100),IFERROR(MATCH($A16,Wo!$F$33:$AQ$33,0),100),IFERROR(MATCH($A16,Wo!$F$34:$AQ$34,0),100),IFERROR(MATCH($A16,Wo!$F$35:$AQ$35,0),100),IFERROR(MATCH($A16,Wo!$F$36:$AQ$36,0),100),IFERROR(MATCH($A16,Wo!$F$37:$AQ$37,0),100),IFERROR(MATCH($A16,Wo!$F$38:$AQ$38,0),100),IFERROR(MATCH($A16,Wo!$F$39:$AQ$39,0),100),IFERROR(MATCH($A16,Wo!$F$40:$AQ$40,0),100),IFERROR(MATCH($A16,Wo!$F$41:$AQ$41,0),100),IFERROR(MATCH($A16,Wo!$F$42:$AQ$42,0),100),IFERROR(MATCH($A16,Wo!$F$43:$AQ$43,0),100),IFERROR(MATCH($A16,Wo!$F$44:$AQ$44,0),100),IFERROR(MATCH($A16,Wo!$F$45:$AQ$45,0),100),IFERROR(MATCH($A16,Wo!$F$46:$AQ$46,0),100),IFERROR(MATCH($A16,Wo!$F$47:$AQ$47,0),100),IFERROR(MATCH($A16,Wo!$F$48:$AQ$48,0),100),IFERROR(MATCH($A16,Wo!$F$49:$AQ$49,0),100),IFERROR(MATCH($A16,Wo!$F$50:$AQ$50,0),100),IFERROR(MATCH($A16,Wo!$F$51:$AQ$51,0),100),IFERROR(MATCH($A16,Wo!$F$52:$AQ$52,0),100),IFERROR(MATCH($A16,Wo!$F$53:$AQ$53,0),100),IFERROR(MATCH($A16,Wo!$F$54:$AQ$54,0),100),IFERROR(MATCH($A16,Wo!$F$55:$AQ$55,0),100),IFERROR(MATCH($A16,Wo!$F$56:$AQ$56,0),100),IFERROR(MATCH($A16,Wo!$F$57:$AQ$57,0),100),IFERROR(MATCH($A16,Wo!$F$58:$AQ$58,0),100),IFERROR(MATCH($A16,Wo!$F$59:$AQ$59,0),100),IFERROR(MATCH($A16,Wo!$F$60:$AQ$60,0),100),IFERROR(MATCH($A16,Wo!$F$61:$AQ$61,0),100),IFERROR(MATCH($A16,Wo!$F$62:$AQ$62,0),100),IFERROR(MATCH($A16,Wo!$F$63:$AQ$63,0),100),39)</f>
        <v/>
      </c>
      <c r="H16" s="66">
        <f>IFERROR(IF(VLOOKUP(INDEX(Wo!$B$12:$B$63,MATCH($A16,OFFSET( Wo!$F$12:$F$63,0,(G16*48)-(IF(G16=7/24,9,IF(G16=12.5/24,9,IF(G16=14/24,9,IF(G16=15.5/24,9,10)))))),0),0),Wo!$B$13:$C$63,2,FALSE)="TL","",INDEX(Wo!$B$12:$B$63,MATCH($A16,OFFSET( Wo!$F$12:$F$63,0,(G16*48)-(IF(G16=7/24,9,IF(G16=12.5/24,9,IF(G16=14/24,9,IF(G16=15.5/24,9,10)))))),0),0)),"")</f>
        <v/>
      </c>
      <c r="I16" s="857">
        <f>9/48+(1/48)*MIN(IFERROR(MATCH($A16,Do!$F$13:$AQ$13,0),100),IFERROR(MATCH($A16,Do!$F$14:$AQ$14,0),100),IFERROR(MATCH($A16,Do!$F$15:$AQ$15,0),100),IFERROR(MATCH($A16,Do!$F$16:$AQ$16,0),100),IFERROR(MATCH($A16,Do!$F$17:$AQ$17,0),100),IFERROR(MATCH($A16,Do!$F$18:$AQ$18,0),100),IFERROR(MATCH($A16,Do!$F$19:$AQ$19,0),100),IFERROR(MATCH($A16,Do!$F$20:$AQ$20,0),100),IFERROR(MATCH($A16,Do!$F$21:$AQ$21,0),100),IFERROR(MATCH($A16,Do!$F$22:$AQ$22,0),100),IFERROR(MATCH($A16,Do!$F$23:$AQ$23,0),100),IFERROR(MATCH($A16,Do!$F$24:$AQ$24,0),100),IFERROR(MATCH($A16,Do!$F$25:$AQ$25,0),100),IFERROR(MATCH($A16,Do!$F$26:$AQ$26,0),100),IFERROR(MATCH($A16,Do!$F$27:$AQ$27,0),100),IFERROR(MATCH($A16,Do!$F$28:$AQ$28,0),100),IFERROR(MATCH($A16,Do!$F$29:$AQ$29,0),100),IFERROR(MATCH($A16,Do!$F$30:$AQ$30,0),100),IFERROR(MATCH($A16,Do!$F$31:$AQ$31,0),100),IFERROR(MATCH($A16,Do!$F$32:$AQ$32,0),100),IFERROR(MATCH($A16,Do!$F$33:$AQ$33,0),100),IFERROR(MATCH($A16,Do!$F$34:$AQ$34,0),100),IFERROR(MATCH($A16,Do!$F$35:$AQ$35,0),100),IFERROR(MATCH($A16,Do!$F$36:$AQ$36,0),100),IFERROR(MATCH($A16,Do!$F$37:$AQ$37,0),100),IFERROR(MATCH($A16,Do!$F$38:$AQ$38,0),100),IFERROR(MATCH($A16,Do!$F$39:$AQ$39,0),100),IFERROR(MATCH($A16,Do!$F$40:$AQ$40,0),100),IFERROR(MATCH($A16,Do!$F$41:$AQ$41,0),100),IFERROR(MATCH($A16,Do!$F$42:$AQ$42,0),100),IFERROR(MATCH($A16,Do!$F$43:$AQ$43,0),100),IFERROR(MATCH($A16,Do!$F$44:$AQ$44,0),100),IFERROR(MATCH($A16,Do!$F$45:$AQ$45,0),100),IFERROR(MATCH($A16,Do!$F$46:$AQ$46,0),100),IFERROR(MATCH($A16,Do!$F$47:$AQ$47,0),100),IFERROR(MATCH($A16,Do!$F$48:$AQ$48,0),100),IFERROR(MATCH($A16,Do!$F$49:$AQ$49,0),100),IFERROR(MATCH($A16,Do!$F$50:$AQ$50,0),100),IFERROR(MATCH($A16,Do!$F$51:$AQ$51,0),100),IFERROR(MATCH($A16,Do!$F$52:$AQ$52,0),100),IFERROR(MATCH($A16,Do!$F$53:$AQ$53,0),100),IFERROR(MATCH($A16,Do!$F$54:$AQ$54,0),100),IFERROR(MATCH($A16,Do!$F$55:$AQ$55,0),100),IFERROR(MATCH($A16,Do!$F$56:$AQ$56,0),100),IFERROR(MATCH($A16,Do!$F$57:$AQ$57,0),100),IFERROR(MATCH($A16,Do!$F$58:$AQ$58,0),100),IFERROR(MATCH($A16,Do!$F$59:$AQ$59,0),100),IFERROR(MATCH($A16,Do!$F$60:$AQ$60,0),100),IFERROR(MATCH($A16,Do!$F$61:$AQ$61,0),100),IFERROR(MATCH($A16,Do!$F$62:$AQ$62,0),100),IFERROR(MATCH($A16,Do!$F$63:$AQ$63,0),100),39)</f>
        <v/>
      </c>
      <c r="J16" s="66">
        <f>IFERROR(IF(VLOOKUP(INDEX(Do!$B$12:$B$63,MATCH($A16,OFFSET( Do!$F$12:$F$63,0,(I16*48)-(IF(I16=7/24,9,IF(I16=12.5/24,9,IF(I16=14/24,9,IF(I16=15.5/24,9,10)))))),0),0),Do!$B$13:$C$63,2,FALSE)="TL","",INDEX(Do!$B$12:$B$63,MATCH($A16,OFFSET( Do!$F$12:$F$63,0,(I16*48)-(IF(I16=7/24,9,IF(I16=12.5/24,9,IF(I16=14/24,9,IF(I16=15.5/24,9,10)))))),0),0)),"")</f>
        <v/>
      </c>
      <c r="K16" s="857">
        <f>9/48+(1/48)*MIN(IFERROR(MATCH($A16,Vr!$F$13:$AQ$13,0),100),IFERROR(MATCH($A16,Vr!$F$14:$AQ$14,0),100),IFERROR(MATCH($A16,Vr!$F$15:$AQ$15,0),100),IFERROR(MATCH($A16,Vr!$F$16:$AQ$16,0),100),IFERROR(MATCH($A16,Vr!$F$17:$AQ$17,0),100),IFERROR(MATCH($A16,Vr!$F$18:$AQ$18,0),100),IFERROR(MATCH($A16,Vr!$F$19:$AQ$19,0),100),IFERROR(MATCH($A16,Vr!$F$20:$AQ$20,0),100),IFERROR(MATCH($A16,Vr!$F$21:$AQ$21,0),100),IFERROR(MATCH($A16,Vr!$F$22:$AQ$22,0),100),IFERROR(MATCH($A16,Vr!$F$23:$AQ$23,0),100),IFERROR(MATCH($A16,Vr!$F$24:$AQ$24,0),100),IFERROR(MATCH($A16,Vr!$F$25:$AQ$25,0),100),IFERROR(MATCH($A16,Vr!$F$26:$AQ$26,0),100),IFERROR(MATCH($A16,Vr!$F$27:$AQ$27,0),100),IFERROR(MATCH($A16,Vr!$F$28:$AQ$28,0),100),IFERROR(MATCH($A16,Vr!$F$29:$AQ$29,0),100),IFERROR(MATCH($A16,Vr!$F$30:$AQ$30,0),100),IFERROR(MATCH($A16,Vr!$F$31:$AQ$31,0),100),IFERROR(MATCH($A16,Vr!$F$32:$AQ$32,0),100),IFERROR(MATCH($A16,Vr!$F$33:$AQ$33,0),100),IFERROR(MATCH($A16,Vr!$F$34:$AQ$34,0),100),IFERROR(MATCH($A16,Vr!$F$35:$AQ$35,0),100),IFERROR(MATCH($A16,Vr!$F$36:$AQ$36,0),100),IFERROR(MATCH($A16,Vr!$F$37:$AQ$37,0),100),IFERROR(MATCH($A16,Vr!$F$38:$AQ$38,0),100),IFERROR(MATCH($A16,Vr!$F$39:$AQ$39,0),100),IFERROR(MATCH($A16,Vr!$F$40:$AQ$40,0),100),IFERROR(MATCH($A16,Vr!$F$41:$AQ$41,0),100),IFERROR(MATCH($A16,Vr!$F$42:$AQ$42,0),100),IFERROR(MATCH($A16,Vr!$F$43:$AQ$43,0),100),IFERROR(MATCH($A16,Vr!$F$44:$AQ$44,0),100),IFERROR(MATCH($A16,Vr!$F$45:$AQ$45,0),100),IFERROR(MATCH($A16,Vr!$F$46:$AQ$46,0),100),IFERROR(MATCH($A16,Vr!$F$47:$AQ$47,0),100),IFERROR(MATCH($A16,Vr!$F$48:$AQ$48,0),100),IFERROR(MATCH($A16,Vr!$F$49:$AQ$49,0),100),IFERROR(MATCH($A16,Vr!$F$50:$AQ$50,0),100),IFERROR(MATCH($A16,Vr!$F$51:$AQ$51,0),100),IFERROR(MATCH($A16,Vr!$F$52:$AQ$52,0),100),IFERROR(MATCH($A16,Vr!$F$53:$AQ$53,0),100),IFERROR(MATCH($A16,Vr!$F$54:$AQ$54,0),100),IFERROR(MATCH($A16,Vr!$F$55:$AQ$55,0),100),IFERROR(MATCH($A16,Vr!$F$56:$AQ$56,0),100),IFERROR(MATCH($A16,Vr!$F$57:$AQ$57,0),100),IFERROR(MATCH($A16,Vr!$F$58:$AQ$58,0),100),IFERROR(MATCH($A16,Vr!$F$59:$AQ$59,0),100),IFERROR(MATCH($A16,Vr!$F$60:$AQ$60,0),100),IFERROR(MATCH($A16,Vr!$F$61:$AQ$61,0),100),IFERROR(MATCH($A16,Vr!$F$62:$AQ$62,0),100),IFERROR(MATCH($A16,Vr!$F$63:$AQ$63,0),100),39)</f>
        <v/>
      </c>
      <c r="L16" s="66">
        <f>IFERROR(IF(VLOOKUP(INDEX(Vr!$B$12:$B$63,MATCH($A16,OFFSET( Vr!$F$12:$F$63,0,(K16*48)-(IF(K16=7/24,9,IF(K16=12.5/24,9,IF(K16=14/24,9,IF(K16=15.5/24,9,10)))))),0),0),Vr!$B$13:$C$63,2,FALSE)="TL","",INDEX(Vr!$B$12:$B$63,MATCH($A16,OFFSET( Vr!$F$12:$F$63,0,(K16*48)-(IF(K16=7/24,9,IF(K16=12.5/24,9,IF(K16=14/24,9,IF(K16=15.5/24,9,10)))))),0),0)),"")</f>
        <v/>
      </c>
      <c r="M16" s="857">
        <f>9/48+(1/48)*MIN(IFERROR(MATCH($A16,Za!$F$13:$AQ$13,0),100),IFERROR(MATCH($A16,Za!$F$14:$AQ$14,0),100),IFERROR(MATCH($A16,Za!$F$15:$AQ$15,0),100),IFERROR(MATCH($A16,Za!$F$16:$AQ$16,0),100),IFERROR(MATCH($A16,Za!$F$17:$AQ$17,0),100),IFERROR(MATCH($A16,Za!$F$18:$AQ$18,0),100),IFERROR(MATCH($A16,Za!$F$19:$AQ$19,0),100),IFERROR(MATCH($A16,Za!$F$20:$AQ$20,0),100),IFERROR(MATCH($A16,Za!$F$21:$AQ$21,0),100),IFERROR(MATCH($A16,Za!$F$22:$AQ$22,0),100),IFERROR(MATCH($A16,Za!$F$23:$AQ$23,0),100),IFERROR(MATCH($A16,Za!$F$24:$AQ$24,0),100),IFERROR(MATCH($A16,Za!$F$25:$AQ$25,0),100),IFERROR(MATCH($A16,Za!$F$26:$AQ$26,0),100),IFERROR(MATCH($A16,Za!$F$27:$AQ$27,0),100),IFERROR(MATCH($A16,Za!$F$28:$AQ$28,0),100),IFERROR(MATCH($A16,Za!$F$29:$AQ$29,0),100),IFERROR(MATCH($A16,Za!$F$30:$AQ$30,0),100),IFERROR(MATCH($A16,Za!$F$31:$AQ$31,0),100),IFERROR(MATCH($A16,Za!$F$32:$AQ$32,0),100),IFERROR(MATCH($A16,Za!$F$33:$AQ$33,0),100),IFERROR(MATCH($A16,Za!$F$34:$AQ$34,0),100),IFERROR(MATCH($A16,Za!$F$35:$AQ$35,0),100),IFERROR(MATCH($A16,Za!$F$36:$AQ$36,0),100),IFERROR(MATCH($A16,Za!$F$37:$AQ$37,0),100),IFERROR(MATCH($A16,Za!$F$38:$AQ$38,0),100),IFERROR(MATCH($A16,Za!$F$39:$AQ$39,0),100),IFERROR(MATCH($A16,Za!$F$40:$AQ$40,0),100),IFERROR(MATCH($A16,Za!$F$41:$AQ$41,0),100),IFERROR(MATCH($A16,Za!$F$42:$AQ$42,0),100),IFERROR(MATCH($A16,Za!$F$43:$AQ$43,0),100),IFERROR(MATCH($A16,Za!$F$44:$AQ$44,0),100),IFERROR(MATCH($A16,Za!$F$45:$AQ$45,0),100),IFERROR(MATCH($A16,Za!$F$46:$AQ$46,0),100),IFERROR(MATCH($A16,Za!$F$47:$AQ$47,0),100),IFERROR(MATCH($A16,Za!$F$48:$AQ$48,0),100),IFERROR(MATCH($A16,Za!$F$49:$AQ$49,0),100),IFERROR(MATCH($A16,Za!$F$50:$AQ$50,0),100),IFERROR(MATCH($A16,Za!$F$51:$AQ$51,0),100),IFERROR(MATCH($A16,Za!$F$52:$AQ$52,0),100),IFERROR(MATCH($A16,Za!$F$53:$AQ$53,0),100),IFERROR(MATCH($A16,Za!$F$54:$AQ$54,0),100),IFERROR(MATCH($A16,Za!$F$55:$AQ$55,0),100),IFERROR(MATCH($A16,Za!$F$56:$AQ$56,0),100),IFERROR(MATCH($A16,Za!$F$57:$AQ$57,0),100),IFERROR(MATCH($A16,Za!$F$58:$AQ$58,0),100),IFERROR(MATCH($A16,Za!$F$59:$AQ$59,0),100),IFERROR(MATCH($A16,Za!$F$60:$AQ$60,0),100),IFERROR(MATCH($A16,Za!$F$61:$AQ$61,0),100),IFERROR(MATCH($A16,Za!$F$62:$AQ$62,0),100),IFERROR(MATCH($A16,Za!$F$63:$AQ$63,0),100),39)</f>
        <v/>
      </c>
      <c r="N16" s="66">
        <f>IFERROR(IF(VLOOKUP(INDEX(Za!$B$12:$B$63,MATCH($A16,OFFSET( Za!$F$12:$F$63,0,(M16*48)-(IF(M16=7/24,9,IF(M16=12.5/24,9,IF(M16=14/24,9,IF(M16=15.5/24,9,10)))))),0),0),Za!$B$13:$C$63,2,FALSE)="TL","",INDEX(Za!$B$12:$B$63,MATCH($A16,OFFSET( Za!$F$12:$F$63,0,(M16*48)-(IF(M16=7/24,9,IF(M16=12.5/24,9,IF(M16=14/24,9,IF(M16=15.5/24,9,10)))))),0),0)),"")</f>
        <v/>
      </c>
      <c r="O16" s="857">
        <f>9/48+(1/48)*MIN(IFERROR(MATCH($A16,Zo!$F$13:$AQ$13,0),100),IFERROR(MATCH($A16,Zo!$F$14:$AQ$14,0),100),IFERROR(MATCH($A16,Zo!$F$15:$AQ$15,0),100),IFERROR(MATCH($A16,Zo!$F$16:$AQ$16,0),100),IFERROR(MATCH($A16,Zo!$F$17:$AQ$17,0),100),IFERROR(MATCH($A16,Zo!$F$18:$AQ$18,0),100),IFERROR(MATCH($A16,Zo!$F$19:$AQ$19,0),100),IFERROR(MATCH($A16,Zo!$F$20:$AQ$20,0),100),IFERROR(MATCH($A16,Zo!$F$21:$AQ$21,0),100),IFERROR(MATCH($A16,Zo!$F$22:$AQ$22,0),100),IFERROR(MATCH($A16,Zo!$F$23:$AQ$23,0),100),IFERROR(MATCH($A16,Zo!$F$24:$AQ$24,0),100),IFERROR(MATCH($A16,Zo!$F$25:$AQ$25,0),100),IFERROR(MATCH($A16,Zo!$F$26:$AQ$26,0),100),IFERROR(MATCH($A16,Zo!$F$27:$AQ$27,0),100),IFERROR(MATCH($A16,Zo!$F$28:$AQ$28,0),100),IFERROR(MATCH($A16,Zo!$F$29:$AQ$29,0),100),IFERROR(MATCH($A16,Zo!$F$30:$AQ$30,0),100),IFERROR(MATCH($A16,Zo!$F$31:$AQ$31,0),100),IFERROR(MATCH($A16,Zo!$F$32:$AQ$32,0),100),IFERROR(MATCH($A16,Zo!$F$33:$AQ$33,0),100),IFERROR(MATCH($A16,Zo!$F$34:$AQ$34,0),100),IFERROR(MATCH($A16,Zo!$F$35:$AQ$35,0),100),IFERROR(MATCH($A16,Zo!$F$36:$AQ$36,0),100),IFERROR(MATCH($A16,Zo!$F$37:$AQ$37,0),100),IFERROR(MATCH($A16,Zo!$F$38:$AQ$38,0),100),IFERROR(MATCH($A16,Zo!$F$39:$AQ$39,0),100),IFERROR(MATCH($A16,Zo!$F$40:$AQ$40,0),100),IFERROR(MATCH($A16,Zo!$F$41:$AQ$41,0),100),IFERROR(MATCH($A16,Zo!$F$42:$AQ$42,0),100),IFERROR(MATCH($A16,Zo!$F$43:$AQ$43,0),100),IFERROR(MATCH($A16,Zo!$F$44:$AQ$44,0),100),IFERROR(MATCH($A16,Zo!$F$45:$AQ$45,0),100),IFERROR(MATCH($A16,Zo!$F$46:$AQ$46,0),100),IFERROR(MATCH($A16,Zo!$F$47:$AQ$47,0),100),IFERROR(MATCH($A16,Zo!$F$48:$AQ$48,0),100),IFERROR(MATCH($A16,Zo!$F$49:$AQ$49,0),100),IFERROR(MATCH($A16,Zo!$F$50:$AQ$50,0),100),IFERROR(MATCH($A16,Zo!$F$51:$AQ$51,0),100),IFERROR(MATCH($A16,Zo!$F$52:$AQ$52,0),100),IFERROR(MATCH($A16,Zo!$F$53:$AQ$53,0),100),IFERROR(MATCH($A16,Zo!$F$54:$AQ$54,0),100),IFERROR(MATCH($A16,Zo!$F$55:$AQ$55,0),100),IFERROR(MATCH($A16,Zo!$F$56:$AQ$56,0),100),IFERROR(MATCH($A16,Zo!$F$57:$AQ$57,0),100),IFERROR(MATCH($A16,Zo!$F$58:$AQ$58,0),100),IFERROR(MATCH($A16,Zo!$F$59:$AQ$59,0),100),IFERROR(MATCH($A16,Zo!$F$60:$AQ$60,0),100),IFERROR(MATCH($A16,Zo!$F$61:$AQ$61,0),100),IFERROR(MATCH($A16,Zo!$F$62:$AQ$62,0),100),IFERROR(MATCH($A16,Zo!$F$63:$AQ$63,0),100),39)</f>
        <v/>
      </c>
      <c r="P16" s="66">
        <f>IFERROR(IF(VLOOKUP(INDEX(Zo!$B$12:$B$63,MATCH($A16,OFFSET( Zo!$F$12:$F$63,0,(O16*48)-(IF(O16=7/24,9,IF(O16=12.5/24,9,IF(O16=14/24,9,IF(O16=15.5/24,9,10)))))),0),0),Zo!$B$13:$C$63,2,FALSE)="TL","",INDEX(Zo!$B$12:$B$63,MATCH($A16,OFFSET( Zo!$F$12:$F$63,0,(O16*48)-(IF(O16=7/24,9,IF(O16=12.5/24,9,IF(O16=14/24,9,IF(O16=15.5/24,9,10)))))),0),0)),"")</f>
        <v/>
      </c>
    </row>
    <row r="17" ht="15" customHeight="1">
      <c r="A17" s="66" t="inlineStr">
        <is>
          <t>vcr</t>
        </is>
      </c>
      <c r="B17" s="67">
        <f>A17</f>
        <v/>
      </c>
      <c r="C17" s="857">
        <f>9/48+(1/48)*MIN(IFERROR(MATCH($A17,Ma!$F$13:$AQ$13,0),100),IFERROR(MATCH($A17,Ma!$F$14:$AQ$14,0),100),IFERROR(MATCH($A17,Ma!$F$15:$AQ$15,0),100),IFERROR(MATCH($A17,Ma!$F$16:$AQ$16,0),100),IFERROR(MATCH($A17,Ma!$F$17:$AQ$17,0),100),IFERROR(MATCH($A17,Ma!$F$18:$AQ$18,0),100),IFERROR(MATCH($A17,Ma!$F$19:$AQ$19,0),100),IFERROR(MATCH($A17,Ma!$F$20:$AQ$20,0),100),IFERROR(MATCH($A17,Ma!$F$21:$AQ$21,0),100),IFERROR(MATCH($A17,Ma!$F$22:$AQ$22,0),100),IFERROR(MATCH($A17,Ma!$F$23:$AQ$23,0),100),IFERROR(MATCH($A17,Ma!$F$24:$AQ$24,0),100),IFERROR(MATCH($A17,Ma!$F$25:$AQ$25,0),100),IFERROR(MATCH($A17,Ma!$F$26:$AQ$26,0),100),IFERROR(MATCH($A17,Ma!$F$27:$AQ$27,0),100),IFERROR(MATCH($A17,Ma!$F$28:$AQ$28,0),100),IFERROR(MATCH($A17,Ma!$F$29:$AQ$29,0),100),IFERROR(MATCH($A17,Ma!$F$30:$AQ$30,0),100),IFERROR(MATCH($A17,Ma!$F$31:$AQ$31,0),100),IFERROR(MATCH($A17,Ma!$F$32:$AQ$32,0),100),IFERROR(MATCH($A17,Ma!$F$33:$AQ$33,0),100),IFERROR(MATCH($A17,Ma!$F$34:$AQ$34,0),100),IFERROR(MATCH($A17,Ma!$F$35:$AQ$35,0),100),IFERROR(MATCH($A17,Ma!$F$36:$AQ$36,0),100),IFERROR(MATCH($A17,Ma!$F$37:$AQ$37,0),100),IFERROR(MATCH($A17,Ma!$F$38:$AQ$38,0),100),IFERROR(MATCH($A17,Ma!$F$39:$AQ$39,0),100),IFERROR(MATCH($A17,Ma!$F$40:$AQ$40,0),100),IFERROR(MATCH($A17,Ma!$F$41:$AQ$41,0),100),IFERROR(MATCH($A17,Ma!$F$42:$AQ$42,0),100),IFERROR(MATCH($A17,Ma!$F$43:$AQ$43,0),100),IFERROR(MATCH($A17,Ma!$F$44:$AQ$44,0),100),IFERROR(MATCH($A17,Ma!$F$45:$AQ$45,0),100),IFERROR(MATCH($A17,Ma!$F$46:$AQ$46,0),100),IFERROR(MATCH($A17,Ma!$F$47:$AQ$47,0),100),IFERROR(MATCH($A17,Ma!$F$48:$AQ$48,0),100),IFERROR(MATCH($A17,Ma!$F$49:$AQ$49,0),100),IFERROR(MATCH($A17,Ma!$F$50:$AQ$50,0),100),IFERROR(MATCH($A17,Ma!$F$51:$AQ$51,0),100),IFERROR(MATCH($A17,Ma!$F$52:$AQ$52,0),100),IFERROR(MATCH($A17,Ma!$F$53:$AQ$53,0),100),IFERROR(MATCH($A17,Ma!$F$54:$AQ$54,0),100),IFERROR(MATCH($A17,Ma!$F$55:$AQ$55,0),100),IFERROR(MATCH($A17,Ma!$F$56:$AQ$56,0),100),IFERROR(MATCH($A17,Ma!$F$57:$AQ$57,0),100),IFERROR(MATCH($A17,Ma!$F$58:$AQ$58,0),100),IFERROR(MATCH($A17,Ma!$F$59:$AQ$59,0),100),IFERROR(MATCH($A17,Ma!$F$60:$AQ$60,0),100),IFERROR(MATCH($A17,Ma!$F$61:$AQ$61,0),100),IFERROR(MATCH($A17,Ma!$F$62:$AQ$62,0),100),IFERROR(MATCH($A17,Ma!$F$63:$AQ$63,0),100),39)</f>
        <v/>
      </c>
      <c r="D17" s="66">
        <f>IFERROR(IF(VLOOKUP(INDEX(Ma!$B$12:$B$63,MATCH($A17,OFFSET( Ma!$F$12:$F$63,0,(C17*48)-(IF(C17=7/24,9,IF(C17=12.5/24,9,IF(C17=14/24,9,IF(C17=15.5/24,9,10)))))),0),0),Ma!$B$13:$C$63,2,FALSE)="TL","",INDEX(Ma!$B$12:$B$63,MATCH($A17,OFFSET( Ma!$F$12:$F$63,0,(C17*48)-(IF(C17=7/24,9,IF(C17=12.5/24,9,IF(C17=14/24,9,IF(C17=15.5/24,9,10)))))),0),0)),"")</f>
        <v/>
      </c>
      <c r="E17" s="857">
        <f>9/48+(1/48)*MIN(IFERROR(MATCH($A17,Di!$F$13:$AQ$13,0),100),IFERROR(MATCH($A17,Di!$F$14:$AQ$14,0),100),IFERROR(MATCH($A17,Di!$F$15:$AQ$15,0),100),IFERROR(MATCH($A17,Di!$F$16:$AQ$16,0),100),IFERROR(MATCH($A17,Di!$F$17:$AQ$17,0),100),IFERROR(MATCH($A17,Di!$F$18:$AQ$18,0),100),IFERROR(MATCH($A17,Di!$F$19:$AQ$19,0),100),IFERROR(MATCH($A17,Di!$F$20:$AQ$20,0),100),IFERROR(MATCH($A17,Di!$F$21:$AQ$21,0),100),IFERROR(MATCH($A17,Di!$F$22:$AQ$22,0),100),IFERROR(MATCH($A17,Di!$F$23:$AQ$23,0),100),IFERROR(MATCH($A17,Di!$F$24:$AQ$24,0),100),IFERROR(MATCH($A17,Di!$F$25:$AQ$25,0),100),IFERROR(MATCH($A17,Di!$F$26:$AQ$26,0),100),IFERROR(MATCH($A17,Di!$F$27:$AQ$27,0),100),IFERROR(MATCH($A17,Di!$F$28:$AQ$28,0),100),IFERROR(MATCH($A17,Di!$F$29:$AQ$29,0),100),IFERROR(MATCH($A17,Di!$F$30:$AQ$30,0),100),IFERROR(MATCH($A17,Di!$F$31:$AQ$31,0),100),IFERROR(MATCH($A17,Di!$F$32:$AQ$32,0),100),IFERROR(MATCH($A17,Di!$F$33:$AQ$33,0),100),IFERROR(MATCH($A17,Di!$F$34:$AQ$34,0),100),IFERROR(MATCH($A17,Di!$F$35:$AQ$35,0),100),IFERROR(MATCH($A17,Di!$F$36:$AQ$36,0),100),IFERROR(MATCH($A17,Di!$F$37:$AQ$37,0),100),IFERROR(MATCH($A17,Di!$F$38:$AQ$38,0),100),IFERROR(MATCH($A17,Di!$F$39:$AQ$39,0),100),IFERROR(MATCH($A17,Di!$F$40:$AQ$40,0),100),IFERROR(MATCH($A17,Di!$F$41:$AQ$41,0),100),IFERROR(MATCH($A17,Di!$F$42:$AQ$42,0),100),IFERROR(MATCH($A17,Di!$F$43:$AQ$43,0),100),IFERROR(MATCH($A17,Di!$F$44:$AQ$44,0),100),IFERROR(MATCH($A17,Di!$F$45:$AQ$45,0),100),IFERROR(MATCH($A17,Di!$F$46:$AQ$46,0),100),IFERROR(MATCH($A17,Di!$F$47:$AQ$47,0),100),IFERROR(MATCH($A17,Di!$F$48:$AQ$48,0),100),IFERROR(MATCH($A17,Di!$F$49:$AQ$49,0),100),IFERROR(MATCH($A17,Di!$F$50:$AQ$50,0),100),IFERROR(MATCH($A17,Di!$F$51:$AQ$51,0),100),IFERROR(MATCH($A17,Di!$F$52:$AQ$52,0),100),IFERROR(MATCH($A17,Di!$F$53:$AQ$53,0),100),IFERROR(MATCH($A17,Di!$F$54:$AQ$54,0),100),IFERROR(MATCH($A17,Di!$F$55:$AQ$55,0),100),IFERROR(MATCH($A17,Di!$F$56:$AQ$56,0),100),IFERROR(MATCH($A17,Di!$F$57:$AQ$57,0),100),IFERROR(MATCH($A17,Di!$F$58:$AQ$58,0),100),IFERROR(MATCH($A17,Di!$F$59:$AQ$59,0),100),IFERROR(MATCH($A17,Di!$F$60:$AQ$60,0),100),IFERROR(MATCH($A17,Di!$F$61:$AQ$61,0),100),IFERROR(MATCH($A17,Di!$F$62:$AQ$62,0),100),IFERROR(MATCH($A17,Di!$F$63:$AQ$63,0),100),39)</f>
        <v/>
      </c>
      <c r="F17" s="66">
        <f>IFERROR(IF(VLOOKUP(INDEX(Di!$B$12:$B$63,MATCH($A17,OFFSET( Di!$F$12:$F$63,0,(E17*48)-(IF(E17=7/24,9,IF(E17=12.5/24,9,IF(E17=14/24,9,IF(E17=15.5/24,9,10)))))),0),0),Di!$B$13:$C$63,2,FALSE)="TL","",INDEX(Di!$B$12:$B$63,MATCH($A17,OFFSET( Di!$F$12:$F$63,0,(E17*48)-(IF(E17=7/24,9,IF(E17=12.5/24,9,IF(E17=14/24,9,IF(E17=15.5/24,9,10)))))),0),0)),"")</f>
        <v/>
      </c>
      <c r="G17" s="857">
        <f>9/48+(1/48)*MIN(IFERROR(MATCH($A17,Wo!$F$13:$AQ$13,0),100),IFERROR(MATCH($A17,Wo!$F$14:$AQ$14,0),100),IFERROR(MATCH($A17,Wo!$F$15:$AQ$15,0),100),IFERROR(MATCH($A17,Wo!$F$16:$AQ$16,0),100),IFERROR(MATCH($A17,Wo!$F$17:$AQ$17,0),100),IFERROR(MATCH($A17,Wo!$F$18:$AQ$18,0),100),IFERROR(MATCH($A17,Wo!$F$19:$AQ$19,0),100),IFERROR(MATCH($A17,Wo!$F$20:$AQ$20,0),100),IFERROR(MATCH($A17,Wo!$F$21:$AQ$21,0),100),IFERROR(MATCH($A17,Wo!$F$22:$AQ$22,0),100),IFERROR(MATCH($A17,Wo!$F$23:$AQ$23,0),100),IFERROR(MATCH($A17,Wo!$F$24:$AQ$24,0),100),IFERROR(MATCH($A17,Wo!$F$25:$AQ$25,0),100),IFERROR(MATCH($A17,Wo!$F$26:$AQ$26,0),100),IFERROR(MATCH($A17,Wo!$F$27:$AQ$27,0),100),IFERROR(MATCH($A17,Wo!$F$28:$AQ$28,0),100),IFERROR(MATCH($A17,Wo!$F$29:$AQ$29,0),100),IFERROR(MATCH($A17,Wo!$F$30:$AQ$30,0),100),IFERROR(MATCH($A17,Wo!$F$31:$AQ$31,0),100),IFERROR(MATCH($A17,Wo!$F$32:$AQ$32,0),100),IFERROR(MATCH($A17,Wo!$F$33:$AQ$33,0),100),IFERROR(MATCH($A17,Wo!$F$34:$AQ$34,0),100),IFERROR(MATCH($A17,Wo!$F$35:$AQ$35,0),100),IFERROR(MATCH($A17,Wo!$F$36:$AQ$36,0),100),IFERROR(MATCH($A17,Wo!$F$37:$AQ$37,0),100),IFERROR(MATCH($A17,Wo!$F$38:$AQ$38,0),100),IFERROR(MATCH($A17,Wo!$F$39:$AQ$39,0),100),IFERROR(MATCH($A17,Wo!$F$40:$AQ$40,0),100),IFERROR(MATCH($A17,Wo!$F$41:$AQ$41,0),100),IFERROR(MATCH($A17,Wo!$F$42:$AQ$42,0),100),IFERROR(MATCH($A17,Wo!$F$43:$AQ$43,0),100),IFERROR(MATCH($A17,Wo!$F$44:$AQ$44,0),100),IFERROR(MATCH($A17,Wo!$F$45:$AQ$45,0),100),IFERROR(MATCH($A17,Wo!$F$46:$AQ$46,0),100),IFERROR(MATCH($A17,Wo!$F$47:$AQ$47,0),100),IFERROR(MATCH($A17,Wo!$F$48:$AQ$48,0),100),IFERROR(MATCH($A17,Wo!$F$49:$AQ$49,0),100),IFERROR(MATCH($A17,Wo!$F$50:$AQ$50,0),100),IFERROR(MATCH($A17,Wo!$F$51:$AQ$51,0),100),IFERROR(MATCH($A17,Wo!$F$52:$AQ$52,0),100),IFERROR(MATCH($A17,Wo!$F$53:$AQ$53,0),100),IFERROR(MATCH($A17,Wo!$F$54:$AQ$54,0),100),IFERROR(MATCH($A17,Wo!$F$55:$AQ$55,0),100),IFERROR(MATCH($A17,Wo!$F$56:$AQ$56,0),100),IFERROR(MATCH($A17,Wo!$F$57:$AQ$57,0),100),IFERROR(MATCH($A17,Wo!$F$58:$AQ$58,0),100),IFERROR(MATCH($A17,Wo!$F$59:$AQ$59,0),100),IFERROR(MATCH($A17,Wo!$F$60:$AQ$60,0),100),IFERROR(MATCH($A17,Wo!$F$61:$AQ$61,0),100),IFERROR(MATCH($A17,Wo!$F$62:$AQ$62,0),100),IFERROR(MATCH($A17,Wo!$F$63:$AQ$63,0),100),39)</f>
        <v/>
      </c>
      <c r="H17" s="66">
        <f>IFERROR(IF(VLOOKUP(INDEX(Wo!$B$12:$B$63,MATCH($A17,OFFSET( Wo!$F$12:$F$63,0,(G17*48)-(IF(G17=7/24,9,IF(G17=12.5/24,9,IF(G17=14/24,9,IF(G17=15.5/24,9,10)))))),0),0),Wo!$B$13:$C$63,2,FALSE)="TL","",INDEX(Wo!$B$12:$B$63,MATCH($A17,OFFSET( Wo!$F$12:$F$63,0,(G17*48)-(IF(G17=7/24,9,IF(G17=12.5/24,9,IF(G17=14/24,9,IF(G17=15.5/24,9,10)))))),0),0)),"")</f>
        <v/>
      </c>
      <c r="I17" s="857">
        <f>9/48+(1/48)*MIN(IFERROR(MATCH($A17,Do!$F$13:$AQ$13,0),100),IFERROR(MATCH($A17,Do!$F$14:$AQ$14,0),100),IFERROR(MATCH($A17,Do!$F$15:$AQ$15,0),100),IFERROR(MATCH($A17,Do!$F$16:$AQ$16,0),100),IFERROR(MATCH($A17,Do!$F$17:$AQ$17,0),100),IFERROR(MATCH($A17,Do!$F$18:$AQ$18,0),100),IFERROR(MATCH($A17,Do!$F$19:$AQ$19,0),100),IFERROR(MATCH($A17,Do!$F$20:$AQ$20,0),100),IFERROR(MATCH($A17,Do!$F$21:$AQ$21,0),100),IFERROR(MATCH($A17,Do!$F$22:$AQ$22,0),100),IFERROR(MATCH($A17,Do!$F$23:$AQ$23,0),100),IFERROR(MATCH($A17,Do!$F$24:$AQ$24,0),100),IFERROR(MATCH($A17,Do!$F$25:$AQ$25,0),100),IFERROR(MATCH($A17,Do!$F$26:$AQ$26,0),100),IFERROR(MATCH($A17,Do!$F$27:$AQ$27,0),100),IFERROR(MATCH($A17,Do!$F$28:$AQ$28,0),100),IFERROR(MATCH($A17,Do!$F$29:$AQ$29,0),100),IFERROR(MATCH($A17,Do!$F$30:$AQ$30,0),100),IFERROR(MATCH($A17,Do!$F$31:$AQ$31,0),100),IFERROR(MATCH($A17,Do!$F$32:$AQ$32,0),100),IFERROR(MATCH($A17,Do!$F$33:$AQ$33,0),100),IFERROR(MATCH($A17,Do!$F$34:$AQ$34,0),100),IFERROR(MATCH($A17,Do!$F$35:$AQ$35,0),100),IFERROR(MATCH($A17,Do!$F$36:$AQ$36,0),100),IFERROR(MATCH($A17,Do!$F$37:$AQ$37,0),100),IFERROR(MATCH($A17,Do!$F$38:$AQ$38,0),100),IFERROR(MATCH($A17,Do!$F$39:$AQ$39,0),100),IFERROR(MATCH($A17,Do!$F$40:$AQ$40,0),100),IFERROR(MATCH($A17,Do!$F$41:$AQ$41,0),100),IFERROR(MATCH($A17,Do!$F$42:$AQ$42,0),100),IFERROR(MATCH($A17,Do!$F$43:$AQ$43,0),100),IFERROR(MATCH($A17,Do!$F$44:$AQ$44,0),100),IFERROR(MATCH($A17,Do!$F$45:$AQ$45,0),100),IFERROR(MATCH($A17,Do!$F$46:$AQ$46,0),100),IFERROR(MATCH($A17,Do!$F$47:$AQ$47,0),100),IFERROR(MATCH($A17,Do!$F$48:$AQ$48,0),100),IFERROR(MATCH($A17,Do!$F$49:$AQ$49,0),100),IFERROR(MATCH($A17,Do!$F$50:$AQ$50,0),100),IFERROR(MATCH($A17,Do!$F$51:$AQ$51,0),100),IFERROR(MATCH($A17,Do!$F$52:$AQ$52,0),100),IFERROR(MATCH($A17,Do!$F$53:$AQ$53,0),100),IFERROR(MATCH($A17,Do!$F$54:$AQ$54,0),100),IFERROR(MATCH($A17,Do!$F$55:$AQ$55,0),100),IFERROR(MATCH($A17,Do!$F$56:$AQ$56,0),100),IFERROR(MATCH($A17,Do!$F$57:$AQ$57,0),100),IFERROR(MATCH($A17,Do!$F$58:$AQ$58,0),100),IFERROR(MATCH($A17,Do!$F$59:$AQ$59,0),100),IFERROR(MATCH($A17,Do!$F$60:$AQ$60,0),100),IFERROR(MATCH($A17,Do!$F$61:$AQ$61,0),100),IFERROR(MATCH($A17,Do!$F$62:$AQ$62,0),100),IFERROR(MATCH($A17,Do!$F$63:$AQ$63,0),100),39)</f>
        <v/>
      </c>
      <c r="J17" s="66">
        <f>IFERROR(IF(VLOOKUP(INDEX(Do!$B$12:$B$63,MATCH($A17,OFFSET( Do!$F$12:$F$63,0,(I17*48)-(IF(I17=7/24,9,IF(I17=12.5/24,9,IF(I17=14/24,9,IF(I17=15.5/24,9,10)))))),0),0),Do!$B$13:$C$63,2,FALSE)="TL","",INDEX(Do!$B$12:$B$63,MATCH($A17,OFFSET( Do!$F$12:$F$63,0,(I17*48)-(IF(I17=7/24,9,IF(I17=12.5/24,9,IF(I17=14/24,9,IF(I17=15.5/24,9,10)))))),0),0)),"")</f>
        <v/>
      </c>
      <c r="K17" s="857">
        <f>9/48+(1/48)*MIN(IFERROR(MATCH($A17,Vr!$F$13:$AQ$13,0),100),IFERROR(MATCH($A17,Vr!$F$14:$AQ$14,0),100),IFERROR(MATCH($A17,Vr!$F$15:$AQ$15,0),100),IFERROR(MATCH($A17,Vr!$F$16:$AQ$16,0),100),IFERROR(MATCH($A17,Vr!$F$17:$AQ$17,0),100),IFERROR(MATCH($A17,Vr!$F$18:$AQ$18,0),100),IFERROR(MATCH($A17,Vr!$F$19:$AQ$19,0),100),IFERROR(MATCH($A17,Vr!$F$20:$AQ$20,0),100),IFERROR(MATCH($A17,Vr!$F$21:$AQ$21,0),100),IFERROR(MATCH($A17,Vr!$F$22:$AQ$22,0),100),IFERROR(MATCH($A17,Vr!$F$23:$AQ$23,0),100),IFERROR(MATCH($A17,Vr!$F$24:$AQ$24,0),100),IFERROR(MATCH($A17,Vr!$F$25:$AQ$25,0),100),IFERROR(MATCH($A17,Vr!$F$26:$AQ$26,0),100),IFERROR(MATCH($A17,Vr!$F$27:$AQ$27,0),100),IFERROR(MATCH($A17,Vr!$F$28:$AQ$28,0),100),IFERROR(MATCH($A17,Vr!$F$29:$AQ$29,0),100),IFERROR(MATCH($A17,Vr!$F$30:$AQ$30,0),100),IFERROR(MATCH($A17,Vr!$F$31:$AQ$31,0),100),IFERROR(MATCH($A17,Vr!$F$32:$AQ$32,0),100),IFERROR(MATCH($A17,Vr!$F$33:$AQ$33,0),100),IFERROR(MATCH($A17,Vr!$F$34:$AQ$34,0),100),IFERROR(MATCH($A17,Vr!$F$35:$AQ$35,0),100),IFERROR(MATCH($A17,Vr!$F$36:$AQ$36,0),100),IFERROR(MATCH($A17,Vr!$F$37:$AQ$37,0),100),IFERROR(MATCH($A17,Vr!$F$38:$AQ$38,0),100),IFERROR(MATCH($A17,Vr!$F$39:$AQ$39,0),100),IFERROR(MATCH($A17,Vr!$F$40:$AQ$40,0),100),IFERROR(MATCH($A17,Vr!$F$41:$AQ$41,0),100),IFERROR(MATCH($A17,Vr!$F$42:$AQ$42,0),100),IFERROR(MATCH($A17,Vr!$F$43:$AQ$43,0),100),IFERROR(MATCH($A17,Vr!$F$44:$AQ$44,0),100),IFERROR(MATCH($A17,Vr!$F$45:$AQ$45,0),100),IFERROR(MATCH($A17,Vr!$F$46:$AQ$46,0),100),IFERROR(MATCH($A17,Vr!$F$47:$AQ$47,0),100),IFERROR(MATCH($A17,Vr!$F$48:$AQ$48,0),100),IFERROR(MATCH($A17,Vr!$F$49:$AQ$49,0),100),IFERROR(MATCH($A17,Vr!$F$50:$AQ$50,0),100),IFERROR(MATCH($A17,Vr!$F$51:$AQ$51,0),100),IFERROR(MATCH($A17,Vr!$F$52:$AQ$52,0),100),IFERROR(MATCH($A17,Vr!$F$53:$AQ$53,0),100),IFERROR(MATCH($A17,Vr!$F$54:$AQ$54,0),100),IFERROR(MATCH($A17,Vr!$F$55:$AQ$55,0),100),IFERROR(MATCH($A17,Vr!$F$56:$AQ$56,0),100),IFERROR(MATCH($A17,Vr!$F$57:$AQ$57,0),100),IFERROR(MATCH($A17,Vr!$F$58:$AQ$58,0),100),IFERROR(MATCH($A17,Vr!$F$59:$AQ$59,0),100),IFERROR(MATCH($A17,Vr!$F$60:$AQ$60,0),100),IFERROR(MATCH($A17,Vr!$F$61:$AQ$61,0),100),IFERROR(MATCH($A17,Vr!$F$62:$AQ$62,0),100),IFERROR(MATCH($A17,Vr!$F$63:$AQ$63,0),100),39)</f>
        <v/>
      </c>
      <c r="L17" s="66">
        <f>IFERROR(IF(VLOOKUP(INDEX(Vr!$B$12:$B$63,MATCH($A17,OFFSET( Vr!$F$12:$F$63,0,(K17*48)-(IF(K17=7/24,9,IF(K17=12.5/24,9,IF(K17=14/24,9,IF(K17=15.5/24,9,10)))))),0),0),Vr!$B$13:$C$63,2,FALSE)="TL","",INDEX(Vr!$B$12:$B$63,MATCH($A17,OFFSET( Vr!$F$12:$F$63,0,(K17*48)-(IF(K17=7/24,9,IF(K17=12.5/24,9,IF(K17=14/24,9,IF(K17=15.5/24,9,10)))))),0),0)),"")</f>
        <v/>
      </c>
      <c r="M17" s="857">
        <f>9/48+(1/48)*MIN(IFERROR(MATCH($A17,Za!$F$13:$AQ$13,0),100),IFERROR(MATCH($A17,Za!$F$14:$AQ$14,0),100),IFERROR(MATCH($A17,Za!$F$15:$AQ$15,0),100),IFERROR(MATCH($A17,Za!$F$16:$AQ$16,0),100),IFERROR(MATCH($A17,Za!$F$17:$AQ$17,0),100),IFERROR(MATCH($A17,Za!$F$18:$AQ$18,0),100),IFERROR(MATCH($A17,Za!$F$19:$AQ$19,0),100),IFERROR(MATCH($A17,Za!$F$20:$AQ$20,0),100),IFERROR(MATCH($A17,Za!$F$21:$AQ$21,0),100),IFERROR(MATCH($A17,Za!$F$22:$AQ$22,0),100),IFERROR(MATCH($A17,Za!$F$23:$AQ$23,0),100),IFERROR(MATCH($A17,Za!$F$24:$AQ$24,0),100),IFERROR(MATCH($A17,Za!$F$25:$AQ$25,0),100),IFERROR(MATCH($A17,Za!$F$26:$AQ$26,0),100),IFERROR(MATCH($A17,Za!$F$27:$AQ$27,0),100),IFERROR(MATCH($A17,Za!$F$28:$AQ$28,0),100),IFERROR(MATCH($A17,Za!$F$29:$AQ$29,0),100),IFERROR(MATCH($A17,Za!$F$30:$AQ$30,0),100),IFERROR(MATCH($A17,Za!$F$31:$AQ$31,0),100),IFERROR(MATCH($A17,Za!$F$32:$AQ$32,0),100),IFERROR(MATCH($A17,Za!$F$33:$AQ$33,0),100),IFERROR(MATCH($A17,Za!$F$34:$AQ$34,0),100),IFERROR(MATCH($A17,Za!$F$35:$AQ$35,0),100),IFERROR(MATCH($A17,Za!$F$36:$AQ$36,0),100),IFERROR(MATCH($A17,Za!$F$37:$AQ$37,0),100),IFERROR(MATCH($A17,Za!$F$38:$AQ$38,0),100),IFERROR(MATCH($A17,Za!$F$39:$AQ$39,0),100),IFERROR(MATCH($A17,Za!$F$40:$AQ$40,0),100),IFERROR(MATCH($A17,Za!$F$41:$AQ$41,0),100),IFERROR(MATCH($A17,Za!$F$42:$AQ$42,0),100),IFERROR(MATCH($A17,Za!$F$43:$AQ$43,0),100),IFERROR(MATCH($A17,Za!$F$44:$AQ$44,0),100),IFERROR(MATCH($A17,Za!$F$45:$AQ$45,0),100),IFERROR(MATCH($A17,Za!$F$46:$AQ$46,0),100),IFERROR(MATCH($A17,Za!$F$47:$AQ$47,0),100),IFERROR(MATCH($A17,Za!$F$48:$AQ$48,0),100),IFERROR(MATCH($A17,Za!$F$49:$AQ$49,0),100),IFERROR(MATCH($A17,Za!$F$50:$AQ$50,0),100),IFERROR(MATCH($A17,Za!$F$51:$AQ$51,0),100),IFERROR(MATCH($A17,Za!$F$52:$AQ$52,0),100),IFERROR(MATCH($A17,Za!$F$53:$AQ$53,0),100),IFERROR(MATCH($A17,Za!$F$54:$AQ$54,0),100),IFERROR(MATCH($A17,Za!$F$55:$AQ$55,0),100),IFERROR(MATCH($A17,Za!$F$56:$AQ$56,0),100),IFERROR(MATCH($A17,Za!$F$57:$AQ$57,0),100),IFERROR(MATCH($A17,Za!$F$58:$AQ$58,0),100),IFERROR(MATCH($A17,Za!$F$59:$AQ$59,0),100),IFERROR(MATCH($A17,Za!$F$60:$AQ$60,0),100),IFERROR(MATCH($A17,Za!$F$61:$AQ$61,0),100),IFERROR(MATCH($A17,Za!$F$62:$AQ$62,0),100),IFERROR(MATCH($A17,Za!$F$63:$AQ$63,0),100),39)</f>
        <v/>
      </c>
      <c r="N17" s="66">
        <f>IFERROR(IF(VLOOKUP(INDEX(Za!$B$12:$B$63,MATCH($A17,OFFSET( Za!$F$12:$F$63,0,(M17*48)-(IF(M17=7/24,9,IF(M17=12.5/24,9,IF(M17=14/24,9,IF(M17=15.5/24,9,10)))))),0),0),Za!$B$13:$C$63,2,FALSE)="TL","",INDEX(Za!$B$12:$B$63,MATCH($A17,OFFSET( Za!$F$12:$F$63,0,(M17*48)-(IF(M17=7/24,9,IF(M17=12.5/24,9,IF(M17=14/24,9,IF(M17=15.5/24,9,10)))))),0),0)),"")</f>
        <v/>
      </c>
      <c r="O17" s="857">
        <f>9/48+(1/48)*MIN(IFERROR(MATCH($A17,Zo!$F$13:$AQ$13,0),100),IFERROR(MATCH($A17,Zo!$F$14:$AQ$14,0),100),IFERROR(MATCH($A17,Zo!$F$15:$AQ$15,0),100),IFERROR(MATCH($A17,Zo!$F$16:$AQ$16,0),100),IFERROR(MATCH($A17,Zo!$F$17:$AQ$17,0),100),IFERROR(MATCH($A17,Zo!$F$18:$AQ$18,0),100),IFERROR(MATCH($A17,Zo!$F$19:$AQ$19,0),100),IFERROR(MATCH($A17,Zo!$F$20:$AQ$20,0),100),IFERROR(MATCH($A17,Zo!$F$21:$AQ$21,0),100),IFERROR(MATCH($A17,Zo!$F$22:$AQ$22,0),100),IFERROR(MATCH($A17,Zo!$F$23:$AQ$23,0),100),IFERROR(MATCH($A17,Zo!$F$24:$AQ$24,0),100),IFERROR(MATCH($A17,Zo!$F$25:$AQ$25,0),100),IFERROR(MATCH($A17,Zo!$F$26:$AQ$26,0),100),IFERROR(MATCH($A17,Zo!$F$27:$AQ$27,0),100),IFERROR(MATCH($A17,Zo!$F$28:$AQ$28,0),100),IFERROR(MATCH($A17,Zo!$F$29:$AQ$29,0),100),IFERROR(MATCH($A17,Zo!$F$30:$AQ$30,0),100),IFERROR(MATCH($A17,Zo!$F$31:$AQ$31,0),100),IFERROR(MATCH($A17,Zo!$F$32:$AQ$32,0),100),IFERROR(MATCH($A17,Zo!$F$33:$AQ$33,0),100),IFERROR(MATCH($A17,Zo!$F$34:$AQ$34,0),100),IFERROR(MATCH($A17,Zo!$F$35:$AQ$35,0),100),IFERROR(MATCH($A17,Zo!$F$36:$AQ$36,0),100),IFERROR(MATCH($A17,Zo!$F$37:$AQ$37,0),100),IFERROR(MATCH($A17,Zo!$F$38:$AQ$38,0),100),IFERROR(MATCH($A17,Zo!$F$39:$AQ$39,0),100),IFERROR(MATCH($A17,Zo!$F$40:$AQ$40,0),100),IFERROR(MATCH($A17,Zo!$F$41:$AQ$41,0),100),IFERROR(MATCH($A17,Zo!$F$42:$AQ$42,0),100),IFERROR(MATCH($A17,Zo!$F$43:$AQ$43,0),100),IFERROR(MATCH($A17,Zo!$F$44:$AQ$44,0),100),IFERROR(MATCH($A17,Zo!$F$45:$AQ$45,0),100),IFERROR(MATCH($A17,Zo!$F$46:$AQ$46,0),100),IFERROR(MATCH($A17,Zo!$F$47:$AQ$47,0),100),IFERROR(MATCH($A17,Zo!$F$48:$AQ$48,0),100),IFERROR(MATCH($A17,Zo!$F$49:$AQ$49,0),100),IFERROR(MATCH($A17,Zo!$F$50:$AQ$50,0),100),IFERROR(MATCH($A17,Zo!$F$51:$AQ$51,0),100),IFERROR(MATCH($A17,Zo!$F$52:$AQ$52,0),100),IFERROR(MATCH($A17,Zo!$F$53:$AQ$53,0),100),IFERROR(MATCH($A17,Zo!$F$54:$AQ$54,0),100),IFERROR(MATCH($A17,Zo!$F$55:$AQ$55,0),100),IFERROR(MATCH($A17,Zo!$F$56:$AQ$56,0),100),IFERROR(MATCH($A17,Zo!$F$57:$AQ$57,0),100),IFERROR(MATCH($A17,Zo!$F$58:$AQ$58,0),100),IFERROR(MATCH($A17,Zo!$F$59:$AQ$59,0),100),IFERROR(MATCH($A17,Zo!$F$60:$AQ$60,0),100),IFERROR(MATCH($A17,Zo!$F$61:$AQ$61,0),100),IFERROR(MATCH($A17,Zo!$F$62:$AQ$62,0),100),IFERROR(MATCH($A17,Zo!$F$63:$AQ$63,0),100),39)</f>
        <v/>
      </c>
      <c r="P17" s="66">
        <f>IFERROR(IF(VLOOKUP(INDEX(Zo!$B$12:$B$63,MATCH($A17,OFFSET( Zo!$F$12:$F$63,0,(O17*48)-(IF(O17=7/24,9,IF(O17=12.5/24,9,IF(O17=14/24,9,IF(O17=15.5/24,9,10)))))),0),0),Zo!$B$13:$C$63,2,FALSE)="TL","",INDEX(Zo!$B$12:$B$63,MATCH($A17,OFFSET( Zo!$F$12:$F$63,0,(O17*48)-(IF(O17=7/24,9,IF(O17=12.5/24,9,IF(O17=14/24,9,IF(O17=15.5/24,9,10)))))),0),0)),"")</f>
        <v/>
      </c>
    </row>
    <row r="18" ht="15" customHeight="1">
      <c r="A18" s="66" t="inlineStr">
        <is>
          <t>l</t>
        </is>
      </c>
      <c r="B18" s="67">
        <f>A18</f>
        <v/>
      </c>
      <c r="C18" s="857">
        <f>9/48+(1/48)*MIN(IFERROR(MATCH($A18,Ma!$F$13:$AQ$13,0),100),IFERROR(MATCH($A18,Ma!$F$14:$AQ$14,0),100),IFERROR(MATCH($A18,Ma!$F$15:$AQ$15,0),100),IFERROR(MATCH($A18,Ma!$F$16:$AQ$16,0),100),IFERROR(MATCH($A18,Ma!$F$17:$AQ$17,0),100),IFERROR(MATCH($A18,Ma!$F$18:$AQ$18,0),100),IFERROR(MATCH($A18,Ma!$F$19:$AQ$19,0),100),IFERROR(MATCH($A18,Ma!$F$20:$AQ$20,0),100),IFERROR(MATCH($A18,Ma!$F$21:$AQ$21,0),100),IFERROR(MATCH($A18,Ma!$F$22:$AQ$22,0),100),IFERROR(MATCH($A18,Ma!$F$23:$AQ$23,0),100),IFERROR(MATCH($A18,Ma!$F$24:$AQ$24,0),100),IFERROR(MATCH($A18,Ma!$F$25:$AQ$25,0),100),IFERROR(MATCH($A18,Ma!$F$26:$AQ$26,0),100),IFERROR(MATCH($A18,Ma!$F$27:$AQ$27,0),100),IFERROR(MATCH($A18,Ma!$F$28:$AQ$28,0),100),IFERROR(MATCH($A18,Ma!$F$29:$AQ$29,0),100),IFERROR(MATCH($A18,Ma!$F$30:$AQ$30,0),100),IFERROR(MATCH($A18,Ma!$F$31:$AQ$31,0),100),IFERROR(MATCH($A18,Ma!$F$32:$AQ$32,0),100),IFERROR(MATCH($A18,Ma!$F$33:$AQ$33,0),100),IFERROR(MATCH($A18,Ma!$F$34:$AQ$34,0),100),IFERROR(MATCH($A18,Ma!$F$35:$AQ$35,0),100),IFERROR(MATCH($A18,Ma!$F$36:$AQ$36,0),100),IFERROR(MATCH($A18,Ma!$F$37:$AQ$37,0),100),IFERROR(MATCH($A18,Ma!$F$38:$AQ$38,0),100),IFERROR(MATCH($A18,Ma!$F$39:$AQ$39,0),100),IFERROR(MATCH($A18,Ma!$F$40:$AQ$40,0),100),IFERROR(MATCH($A18,Ma!$F$41:$AQ$41,0),100),IFERROR(MATCH($A18,Ma!$F$42:$AQ$42,0),100),IFERROR(MATCH($A18,Ma!$F$43:$AQ$43,0),100),IFERROR(MATCH($A18,Ma!$F$44:$AQ$44,0),100),IFERROR(MATCH($A18,Ma!$F$45:$AQ$45,0),100),IFERROR(MATCH($A18,Ma!$F$46:$AQ$46,0),100),IFERROR(MATCH($A18,Ma!$F$47:$AQ$47,0),100),IFERROR(MATCH($A18,Ma!$F$48:$AQ$48,0),100),IFERROR(MATCH($A18,Ma!$F$49:$AQ$49,0),100),IFERROR(MATCH($A18,Ma!$F$50:$AQ$50,0),100),IFERROR(MATCH($A18,Ma!$F$51:$AQ$51,0),100),IFERROR(MATCH($A18,Ma!$F$52:$AQ$52,0),100),IFERROR(MATCH($A18,Ma!$F$53:$AQ$53,0),100),IFERROR(MATCH($A18,Ma!$F$54:$AQ$54,0),100),IFERROR(MATCH($A18,Ma!$F$55:$AQ$55,0),100),IFERROR(MATCH($A18,Ma!$F$56:$AQ$56,0),100),IFERROR(MATCH($A18,Ma!$F$57:$AQ$57,0),100),IFERROR(MATCH($A18,Ma!$F$58:$AQ$58,0),100),IFERROR(MATCH($A18,Ma!$F$59:$AQ$59,0),100),IFERROR(MATCH($A18,Ma!$F$60:$AQ$60,0),100),IFERROR(MATCH($A18,Ma!$F$61:$AQ$61,0),100),IFERROR(MATCH($A18,Ma!$F$62:$AQ$62,0),100),IFERROR(MATCH($A18,Ma!$F$63:$AQ$63,0),100),39)</f>
        <v/>
      </c>
      <c r="D18" s="66">
        <f>IFERROR(IF(VLOOKUP(INDEX(Ma!$B$12:$B$63,MATCH($A18,OFFSET( Ma!$F$12:$F$63,0,(C18*48)-(IF(C18=7/24,9,IF(C18=12.5/24,9,IF(C18=14/24,9,IF(C18=15.5/24,9,10)))))),0),0),Ma!$B$13:$C$63,2,FALSE)="TL","",INDEX(Ma!$B$12:$B$63,MATCH($A18,OFFSET( Ma!$F$12:$F$63,0,(C18*48)-(IF(C18=7/24,9,IF(C18=12.5/24,9,IF(C18=14/24,9,IF(C18=15.5/24,9,10)))))),0),0)),"")</f>
        <v/>
      </c>
      <c r="E18" s="857">
        <f>9/48+(1/48)*MIN(IFERROR(MATCH($A18,Di!$F$13:$AQ$13,0),100),IFERROR(MATCH($A18,Di!$F$14:$AQ$14,0),100),IFERROR(MATCH($A18,Di!$F$15:$AQ$15,0),100),IFERROR(MATCH($A18,Di!$F$16:$AQ$16,0),100),IFERROR(MATCH($A18,Di!$F$17:$AQ$17,0),100),IFERROR(MATCH($A18,Di!$F$18:$AQ$18,0),100),IFERROR(MATCH($A18,Di!$F$19:$AQ$19,0),100),IFERROR(MATCH($A18,Di!$F$20:$AQ$20,0),100),IFERROR(MATCH($A18,Di!$F$21:$AQ$21,0),100),IFERROR(MATCH($A18,Di!$F$22:$AQ$22,0),100),IFERROR(MATCH($A18,Di!$F$23:$AQ$23,0),100),IFERROR(MATCH($A18,Di!$F$24:$AQ$24,0),100),IFERROR(MATCH($A18,Di!$F$25:$AQ$25,0),100),IFERROR(MATCH($A18,Di!$F$26:$AQ$26,0),100),IFERROR(MATCH($A18,Di!$F$27:$AQ$27,0),100),IFERROR(MATCH($A18,Di!$F$28:$AQ$28,0),100),IFERROR(MATCH($A18,Di!$F$29:$AQ$29,0),100),IFERROR(MATCH($A18,Di!$F$30:$AQ$30,0),100),IFERROR(MATCH($A18,Di!$F$31:$AQ$31,0),100),IFERROR(MATCH($A18,Di!$F$32:$AQ$32,0),100),IFERROR(MATCH($A18,Di!$F$33:$AQ$33,0),100),IFERROR(MATCH($A18,Di!$F$34:$AQ$34,0),100),IFERROR(MATCH($A18,Di!$F$35:$AQ$35,0),100),IFERROR(MATCH($A18,Di!$F$36:$AQ$36,0),100),IFERROR(MATCH($A18,Di!$F$37:$AQ$37,0),100),IFERROR(MATCH($A18,Di!$F$38:$AQ$38,0),100),IFERROR(MATCH($A18,Di!$F$39:$AQ$39,0),100),IFERROR(MATCH($A18,Di!$F$40:$AQ$40,0),100),IFERROR(MATCH($A18,Di!$F$41:$AQ$41,0),100),IFERROR(MATCH($A18,Di!$F$42:$AQ$42,0),100),IFERROR(MATCH($A18,Di!$F$43:$AQ$43,0),100),IFERROR(MATCH($A18,Di!$F$44:$AQ$44,0),100),IFERROR(MATCH($A18,Di!$F$45:$AQ$45,0),100),IFERROR(MATCH($A18,Di!$F$46:$AQ$46,0),100),IFERROR(MATCH($A18,Di!$F$47:$AQ$47,0),100),IFERROR(MATCH($A18,Di!$F$48:$AQ$48,0),100),IFERROR(MATCH($A18,Di!$F$49:$AQ$49,0),100),IFERROR(MATCH($A18,Di!$F$50:$AQ$50,0),100),IFERROR(MATCH($A18,Di!$F$51:$AQ$51,0),100),IFERROR(MATCH($A18,Di!$F$52:$AQ$52,0),100),IFERROR(MATCH($A18,Di!$F$53:$AQ$53,0),100),IFERROR(MATCH($A18,Di!$F$54:$AQ$54,0),100),IFERROR(MATCH($A18,Di!$F$55:$AQ$55,0),100),IFERROR(MATCH($A18,Di!$F$56:$AQ$56,0),100),IFERROR(MATCH($A18,Di!$F$57:$AQ$57,0),100),IFERROR(MATCH($A18,Di!$F$58:$AQ$58,0),100),IFERROR(MATCH($A18,Di!$F$59:$AQ$59,0),100),IFERROR(MATCH($A18,Di!$F$60:$AQ$60,0),100),IFERROR(MATCH($A18,Di!$F$61:$AQ$61,0),100),IFERROR(MATCH($A18,Di!$F$62:$AQ$62,0),100),IFERROR(MATCH($A18,Di!$F$63:$AQ$63,0),100),39)</f>
        <v/>
      </c>
      <c r="F18" s="66">
        <f>IFERROR(IF(VLOOKUP(INDEX(Di!$B$12:$B$63,MATCH($A18,OFFSET( Di!$F$12:$F$63,0,(E18*48)-(IF(E18=7/24,9,IF(E18=12.5/24,9,IF(E18=14/24,9,IF(E18=15.5/24,9,10)))))),0),0),Di!$B$13:$C$63,2,FALSE)="TL","",INDEX(Di!$B$12:$B$63,MATCH($A18,OFFSET( Di!$F$12:$F$63,0,(E18*48)-(IF(E18=7/24,9,IF(E18=12.5/24,9,IF(E18=14/24,9,IF(E18=15.5/24,9,10)))))),0),0)),"")</f>
        <v/>
      </c>
      <c r="G18" s="857">
        <f>9/48+(1/48)*MIN(IFERROR(MATCH($A18,Wo!$F$13:$AQ$13,0),100),IFERROR(MATCH($A18,Wo!$F$14:$AQ$14,0),100),IFERROR(MATCH($A18,Wo!$F$15:$AQ$15,0),100),IFERROR(MATCH($A18,Wo!$F$16:$AQ$16,0),100),IFERROR(MATCH($A18,Wo!$F$17:$AQ$17,0),100),IFERROR(MATCH($A18,Wo!$F$18:$AQ$18,0),100),IFERROR(MATCH($A18,Wo!$F$19:$AQ$19,0),100),IFERROR(MATCH($A18,Wo!$F$20:$AQ$20,0),100),IFERROR(MATCH($A18,Wo!$F$21:$AQ$21,0),100),IFERROR(MATCH($A18,Wo!$F$22:$AQ$22,0),100),IFERROR(MATCH($A18,Wo!$F$23:$AQ$23,0),100),IFERROR(MATCH($A18,Wo!$F$24:$AQ$24,0),100),IFERROR(MATCH($A18,Wo!$F$25:$AQ$25,0),100),IFERROR(MATCH($A18,Wo!$F$26:$AQ$26,0),100),IFERROR(MATCH($A18,Wo!$F$27:$AQ$27,0),100),IFERROR(MATCH($A18,Wo!$F$28:$AQ$28,0),100),IFERROR(MATCH($A18,Wo!$F$29:$AQ$29,0),100),IFERROR(MATCH($A18,Wo!$F$30:$AQ$30,0),100),IFERROR(MATCH($A18,Wo!$F$31:$AQ$31,0),100),IFERROR(MATCH($A18,Wo!$F$32:$AQ$32,0),100),IFERROR(MATCH($A18,Wo!$F$33:$AQ$33,0),100),IFERROR(MATCH($A18,Wo!$F$34:$AQ$34,0),100),IFERROR(MATCH($A18,Wo!$F$35:$AQ$35,0),100),IFERROR(MATCH($A18,Wo!$F$36:$AQ$36,0),100),IFERROR(MATCH($A18,Wo!$F$37:$AQ$37,0),100),IFERROR(MATCH($A18,Wo!$F$38:$AQ$38,0),100),IFERROR(MATCH($A18,Wo!$F$39:$AQ$39,0),100),IFERROR(MATCH($A18,Wo!$F$40:$AQ$40,0),100),IFERROR(MATCH($A18,Wo!$F$41:$AQ$41,0),100),IFERROR(MATCH($A18,Wo!$F$42:$AQ$42,0),100),IFERROR(MATCH($A18,Wo!$F$43:$AQ$43,0),100),IFERROR(MATCH($A18,Wo!$F$44:$AQ$44,0),100),IFERROR(MATCH($A18,Wo!$F$45:$AQ$45,0),100),IFERROR(MATCH($A18,Wo!$F$46:$AQ$46,0),100),IFERROR(MATCH($A18,Wo!$F$47:$AQ$47,0),100),IFERROR(MATCH($A18,Wo!$F$48:$AQ$48,0),100),IFERROR(MATCH($A18,Wo!$F$49:$AQ$49,0),100),IFERROR(MATCH($A18,Wo!$F$50:$AQ$50,0),100),IFERROR(MATCH($A18,Wo!$F$51:$AQ$51,0),100),IFERROR(MATCH($A18,Wo!$F$52:$AQ$52,0),100),IFERROR(MATCH($A18,Wo!$F$53:$AQ$53,0),100),IFERROR(MATCH($A18,Wo!$F$54:$AQ$54,0),100),IFERROR(MATCH($A18,Wo!$F$55:$AQ$55,0),100),IFERROR(MATCH($A18,Wo!$F$56:$AQ$56,0),100),IFERROR(MATCH($A18,Wo!$F$57:$AQ$57,0),100),IFERROR(MATCH($A18,Wo!$F$58:$AQ$58,0),100),IFERROR(MATCH($A18,Wo!$F$59:$AQ$59,0),100),IFERROR(MATCH($A18,Wo!$F$60:$AQ$60,0),100),IFERROR(MATCH($A18,Wo!$F$61:$AQ$61,0),100),IFERROR(MATCH($A18,Wo!$F$62:$AQ$62,0),100),IFERROR(MATCH($A18,Wo!$F$63:$AQ$63,0),100),39)</f>
        <v/>
      </c>
      <c r="H18" s="66">
        <f>IFERROR(IF(VLOOKUP(INDEX(Wo!$B$12:$B$63,MATCH($A18,OFFSET( Wo!$F$12:$F$63,0,(G18*48)-(IF(G18=7/24,9,IF(G18=12.5/24,9,IF(G18=14/24,9,IF(G18=15.5/24,9,10)))))),0),0),Wo!$B$13:$C$63,2,FALSE)="TL","",INDEX(Wo!$B$12:$B$63,MATCH($A18,OFFSET( Wo!$F$12:$F$63,0,(G18*48)-(IF(G18=7/24,9,IF(G18=12.5/24,9,IF(G18=14/24,9,IF(G18=15.5/24,9,10)))))),0),0)),"")</f>
        <v/>
      </c>
      <c r="I18" s="857">
        <f>9/48+(1/48)*MIN(IFERROR(MATCH($A18,Do!$F$13:$AQ$13,0),100),IFERROR(MATCH($A18,Do!$F$14:$AQ$14,0),100),IFERROR(MATCH($A18,Do!$F$15:$AQ$15,0),100),IFERROR(MATCH($A18,Do!$F$16:$AQ$16,0),100),IFERROR(MATCH($A18,Do!$F$17:$AQ$17,0),100),IFERROR(MATCH($A18,Do!$F$18:$AQ$18,0),100),IFERROR(MATCH($A18,Do!$F$19:$AQ$19,0),100),IFERROR(MATCH($A18,Do!$F$20:$AQ$20,0),100),IFERROR(MATCH($A18,Do!$F$21:$AQ$21,0),100),IFERROR(MATCH($A18,Do!$F$22:$AQ$22,0),100),IFERROR(MATCH($A18,Do!$F$23:$AQ$23,0),100),IFERROR(MATCH($A18,Do!$F$24:$AQ$24,0),100),IFERROR(MATCH($A18,Do!$F$25:$AQ$25,0),100),IFERROR(MATCH($A18,Do!$F$26:$AQ$26,0),100),IFERROR(MATCH($A18,Do!$F$27:$AQ$27,0),100),IFERROR(MATCH($A18,Do!$F$28:$AQ$28,0),100),IFERROR(MATCH($A18,Do!$F$29:$AQ$29,0),100),IFERROR(MATCH($A18,Do!$F$30:$AQ$30,0),100),IFERROR(MATCH($A18,Do!$F$31:$AQ$31,0),100),IFERROR(MATCH($A18,Do!$F$32:$AQ$32,0),100),IFERROR(MATCH($A18,Do!$F$33:$AQ$33,0),100),IFERROR(MATCH($A18,Do!$F$34:$AQ$34,0),100),IFERROR(MATCH($A18,Do!$F$35:$AQ$35,0),100),IFERROR(MATCH($A18,Do!$F$36:$AQ$36,0),100),IFERROR(MATCH($A18,Do!$F$37:$AQ$37,0),100),IFERROR(MATCH($A18,Do!$F$38:$AQ$38,0),100),IFERROR(MATCH($A18,Do!$F$39:$AQ$39,0),100),IFERROR(MATCH($A18,Do!$F$40:$AQ$40,0),100),IFERROR(MATCH($A18,Do!$F$41:$AQ$41,0),100),IFERROR(MATCH($A18,Do!$F$42:$AQ$42,0),100),IFERROR(MATCH($A18,Do!$F$43:$AQ$43,0),100),IFERROR(MATCH($A18,Do!$F$44:$AQ$44,0),100),IFERROR(MATCH($A18,Do!$F$45:$AQ$45,0),100),IFERROR(MATCH($A18,Do!$F$46:$AQ$46,0),100),IFERROR(MATCH($A18,Do!$F$47:$AQ$47,0),100),IFERROR(MATCH($A18,Do!$F$48:$AQ$48,0),100),IFERROR(MATCH($A18,Do!$F$49:$AQ$49,0),100),IFERROR(MATCH($A18,Do!$F$50:$AQ$50,0),100),IFERROR(MATCH($A18,Do!$F$51:$AQ$51,0),100),IFERROR(MATCH($A18,Do!$F$52:$AQ$52,0),100),IFERROR(MATCH($A18,Do!$F$53:$AQ$53,0),100),IFERROR(MATCH($A18,Do!$F$54:$AQ$54,0),100),IFERROR(MATCH($A18,Do!$F$55:$AQ$55,0),100),IFERROR(MATCH($A18,Do!$F$56:$AQ$56,0),100),IFERROR(MATCH($A18,Do!$F$57:$AQ$57,0),100),IFERROR(MATCH($A18,Do!$F$58:$AQ$58,0),100),IFERROR(MATCH($A18,Do!$F$59:$AQ$59,0),100),IFERROR(MATCH($A18,Do!$F$60:$AQ$60,0),100),IFERROR(MATCH($A18,Do!$F$61:$AQ$61,0),100),IFERROR(MATCH($A18,Do!$F$62:$AQ$62,0),100),IFERROR(MATCH($A18,Do!$F$63:$AQ$63,0),100),39)</f>
        <v/>
      </c>
      <c r="J18" s="66">
        <f>IFERROR(IF(VLOOKUP(INDEX(Do!$B$12:$B$63,MATCH($A18,OFFSET( Do!$F$12:$F$63,0,(I18*48)-(IF(I18=7/24,9,IF(I18=12.5/24,9,IF(I18=14/24,9,IF(I18=15.5/24,9,10)))))),0),0),Do!$B$13:$C$63,2,FALSE)="TL","",INDEX(Do!$B$12:$B$63,MATCH($A18,OFFSET( Do!$F$12:$F$63,0,(I18*48)-(IF(I18=7/24,9,IF(I18=12.5/24,9,IF(I18=14/24,9,IF(I18=15.5/24,9,10)))))),0),0)),"")</f>
        <v/>
      </c>
      <c r="K18" s="857">
        <f>9/48+(1/48)*MIN(IFERROR(MATCH($A18,Vr!$F$13:$AQ$13,0),100),IFERROR(MATCH($A18,Vr!$F$14:$AQ$14,0),100),IFERROR(MATCH($A18,Vr!$F$15:$AQ$15,0),100),IFERROR(MATCH($A18,Vr!$F$16:$AQ$16,0),100),IFERROR(MATCH($A18,Vr!$F$17:$AQ$17,0),100),IFERROR(MATCH($A18,Vr!$F$18:$AQ$18,0),100),IFERROR(MATCH($A18,Vr!$F$19:$AQ$19,0),100),IFERROR(MATCH($A18,Vr!$F$20:$AQ$20,0),100),IFERROR(MATCH($A18,Vr!$F$21:$AQ$21,0),100),IFERROR(MATCH($A18,Vr!$F$22:$AQ$22,0),100),IFERROR(MATCH($A18,Vr!$F$23:$AQ$23,0),100),IFERROR(MATCH($A18,Vr!$F$24:$AQ$24,0),100),IFERROR(MATCH($A18,Vr!$F$25:$AQ$25,0),100),IFERROR(MATCH($A18,Vr!$F$26:$AQ$26,0),100),IFERROR(MATCH($A18,Vr!$F$27:$AQ$27,0),100),IFERROR(MATCH($A18,Vr!$F$28:$AQ$28,0),100),IFERROR(MATCH($A18,Vr!$F$29:$AQ$29,0),100),IFERROR(MATCH($A18,Vr!$F$30:$AQ$30,0),100),IFERROR(MATCH($A18,Vr!$F$31:$AQ$31,0),100),IFERROR(MATCH($A18,Vr!$F$32:$AQ$32,0),100),IFERROR(MATCH($A18,Vr!$F$33:$AQ$33,0),100),IFERROR(MATCH($A18,Vr!$F$34:$AQ$34,0),100),IFERROR(MATCH($A18,Vr!$F$35:$AQ$35,0),100),IFERROR(MATCH($A18,Vr!$F$36:$AQ$36,0),100),IFERROR(MATCH($A18,Vr!$F$37:$AQ$37,0),100),IFERROR(MATCH($A18,Vr!$F$38:$AQ$38,0),100),IFERROR(MATCH($A18,Vr!$F$39:$AQ$39,0),100),IFERROR(MATCH($A18,Vr!$F$40:$AQ$40,0),100),IFERROR(MATCH($A18,Vr!$F$41:$AQ$41,0),100),IFERROR(MATCH($A18,Vr!$F$42:$AQ$42,0),100),IFERROR(MATCH($A18,Vr!$F$43:$AQ$43,0),100),IFERROR(MATCH($A18,Vr!$F$44:$AQ$44,0),100),IFERROR(MATCH($A18,Vr!$F$45:$AQ$45,0),100),IFERROR(MATCH($A18,Vr!$F$46:$AQ$46,0),100),IFERROR(MATCH($A18,Vr!$F$47:$AQ$47,0),100),IFERROR(MATCH($A18,Vr!$F$48:$AQ$48,0),100),IFERROR(MATCH($A18,Vr!$F$49:$AQ$49,0),100),IFERROR(MATCH($A18,Vr!$F$50:$AQ$50,0),100),IFERROR(MATCH($A18,Vr!$F$51:$AQ$51,0),100),IFERROR(MATCH($A18,Vr!$F$52:$AQ$52,0),100),IFERROR(MATCH($A18,Vr!$F$53:$AQ$53,0),100),IFERROR(MATCH($A18,Vr!$F$54:$AQ$54,0),100),IFERROR(MATCH($A18,Vr!$F$55:$AQ$55,0),100),IFERROR(MATCH($A18,Vr!$F$56:$AQ$56,0),100),IFERROR(MATCH($A18,Vr!$F$57:$AQ$57,0),100),IFERROR(MATCH($A18,Vr!$F$58:$AQ$58,0),100),IFERROR(MATCH($A18,Vr!$F$59:$AQ$59,0),100),IFERROR(MATCH($A18,Vr!$F$60:$AQ$60,0),100),IFERROR(MATCH($A18,Vr!$F$61:$AQ$61,0),100),IFERROR(MATCH($A18,Vr!$F$62:$AQ$62,0),100),IFERROR(MATCH($A18,Vr!$F$63:$AQ$63,0),100),39)</f>
        <v/>
      </c>
      <c r="L18" s="66">
        <f>IFERROR(IF(VLOOKUP(INDEX(Vr!$B$12:$B$63,MATCH($A18,OFFSET( Vr!$F$12:$F$63,0,(K18*48)-(IF(K18=7/24,9,IF(K18=12.5/24,9,IF(K18=14/24,9,IF(K18=15.5/24,9,10)))))),0),0),Vr!$B$13:$C$63,2,FALSE)="TL","",INDEX(Vr!$B$12:$B$63,MATCH($A18,OFFSET( Vr!$F$12:$F$63,0,(K18*48)-(IF(K18=7/24,9,IF(K18=12.5/24,9,IF(K18=14/24,9,IF(K18=15.5/24,9,10)))))),0),0)),"")</f>
        <v/>
      </c>
      <c r="M18" s="857">
        <f>9/48+(1/48)*MIN(IFERROR(MATCH($A18,Za!$F$13:$AQ$13,0),100),IFERROR(MATCH($A18,Za!$F$14:$AQ$14,0),100),IFERROR(MATCH($A18,Za!$F$15:$AQ$15,0),100),IFERROR(MATCH($A18,Za!$F$16:$AQ$16,0),100),IFERROR(MATCH($A18,Za!$F$17:$AQ$17,0),100),IFERROR(MATCH($A18,Za!$F$18:$AQ$18,0),100),IFERROR(MATCH($A18,Za!$F$19:$AQ$19,0),100),IFERROR(MATCH($A18,Za!$F$20:$AQ$20,0),100),IFERROR(MATCH($A18,Za!$F$21:$AQ$21,0),100),IFERROR(MATCH($A18,Za!$F$22:$AQ$22,0),100),IFERROR(MATCH($A18,Za!$F$23:$AQ$23,0),100),IFERROR(MATCH($A18,Za!$F$24:$AQ$24,0),100),IFERROR(MATCH($A18,Za!$F$25:$AQ$25,0),100),IFERROR(MATCH($A18,Za!$F$26:$AQ$26,0),100),IFERROR(MATCH($A18,Za!$F$27:$AQ$27,0),100),IFERROR(MATCH($A18,Za!$F$28:$AQ$28,0),100),IFERROR(MATCH($A18,Za!$F$29:$AQ$29,0),100),IFERROR(MATCH($A18,Za!$F$30:$AQ$30,0),100),IFERROR(MATCH($A18,Za!$F$31:$AQ$31,0),100),IFERROR(MATCH($A18,Za!$F$32:$AQ$32,0),100),IFERROR(MATCH($A18,Za!$F$33:$AQ$33,0),100),IFERROR(MATCH($A18,Za!$F$34:$AQ$34,0),100),IFERROR(MATCH($A18,Za!$F$35:$AQ$35,0),100),IFERROR(MATCH($A18,Za!$F$36:$AQ$36,0),100),IFERROR(MATCH($A18,Za!$F$37:$AQ$37,0),100),IFERROR(MATCH($A18,Za!$F$38:$AQ$38,0),100),IFERROR(MATCH($A18,Za!$F$39:$AQ$39,0),100),IFERROR(MATCH($A18,Za!$F$40:$AQ$40,0),100),IFERROR(MATCH($A18,Za!$F$41:$AQ$41,0),100),IFERROR(MATCH($A18,Za!$F$42:$AQ$42,0),100),IFERROR(MATCH($A18,Za!$F$43:$AQ$43,0),100),IFERROR(MATCH($A18,Za!$F$44:$AQ$44,0),100),IFERROR(MATCH($A18,Za!$F$45:$AQ$45,0),100),IFERROR(MATCH($A18,Za!$F$46:$AQ$46,0),100),IFERROR(MATCH($A18,Za!$F$47:$AQ$47,0),100),IFERROR(MATCH($A18,Za!$F$48:$AQ$48,0),100),IFERROR(MATCH($A18,Za!$F$49:$AQ$49,0),100),IFERROR(MATCH($A18,Za!$F$50:$AQ$50,0),100),IFERROR(MATCH($A18,Za!$F$51:$AQ$51,0),100),IFERROR(MATCH($A18,Za!$F$52:$AQ$52,0),100),IFERROR(MATCH($A18,Za!$F$53:$AQ$53,0),100),IFERROR(MATCH($A18,Za!$F$54:$AQ$54,0),100),IFERROR(MATCH($A18,Za!$F$55:$AQ$55,0),100),IFERROR(MATCH($A18,Za!$F$56:$AQ$56,0),100),IFERROR(MATCH($A18,Za!$F$57:$AQ$57,0),100),IFERROR(MATCH($A18,Za!$F$58:$AQ$58,0),100),IFERROR(MATCH($A18,Za!$F$59:$AQ$59,0),100),IFERROR(MATCH($A18,Za!$F$60:$AQ$60,0),100),IFERROR(MATCH($A18,Za!$F$61:$AQ$61,0),100),IFERROR(MATCH($A18,Za!$F$62:$AQ$62,0),100),IFERROR(MATCH($A18,Za!$F$63:$AQ$63,0),100),39)</f>
        <v/>
      </c>
      <c r="N18" s="66">
        <f>IFERROR(IF(VLOOKUP(INDEX(Za!$B$12:$B$63,MATCH($A18,OFFSET( Za!$F$12:$F$63,0,(M18*48)-(IF(M18=7/24,9,IF(M18=12.5/24,9,IF(M18=14/24,9,IF(M18=15.5/24,9,10)))))),0),0),Za!$B$13:$C$63,2,FALSE)="TL","",INDEX(Za!$B$12:$B$63,MATCH($A18,OFFSET( Za!$F$12:$F$63,0,(M18*48)-(IF(M18=7/24,9,IF(M18=12.5/24,9,IF(M18=14/24,9,IF(M18=15.5/24,9,10)))))),0),0)),"")</f>
        <v/>
      </c>
      <c r="O18" s="857">
        <f>9/48+(1/48)*MIN(IFERROR(MATCH($A18,Zo!$F$13:$AQ$13,0),100),IFERROR(MATCH($A18,Zo!$F$14:$AQ$14,0),100),IFERROR(MATCH($A18,Zo!$F$15:$AQ$15,0),100),IFERROR(MATCH($A18,Zo!$F$16:$AQ$16,0),100),IFERROR(MATCH($A18,Zo!$F$17:$AQ$17,0),100),IFERROR(MATCH($A18,Zo!$F$18:$AQ$18,0),100),IFERROR(MATCH($A18,Zo!$F$19:$AQ$19,0),100),IFERROR(MATCH($A18,Zo!$F$20:$AQ$20,0),100),IFERROR(MATCH($A18,Zo!$F$21:$AQ$21,0),100),IFERROR(MATCH($A18,Zo!$F$22:$AQ$22,0),100),IFERROR(MATCH($A18,Zo!$F$23:$AQ$23,0),100),IFERROR(MATCH($A18,Zo!$F$24:$AQ$24,0),100),IFERROR(MATCH($A18,Zo!$F$25:$AQ$25,0),100),IFERROR(MATCH($A18,Zo!$F$26:$AQ$26,0),100),IFERROR(MATCH($A18,Zo!$F$27:$AQ$27,0),100),IFERROR(MATCH($A18,Zo!$F$28:$AQ$28,0),100),IFERROR(MATCH($A18,Zo!$F$29:$AQ$29,0),100),IFERROR(MATCH($A18,Zo!$F$30:$AQ$30,0),100),IFERROR(MATCH($A18,Zo!$F$31:$AQ$31,0),100),IFERROR(MATCH($A18,Zo!$F$32:$AQ$32,0),100),IFERROR(MATCH($A18,Zo!$F$33:$AQ$33,0),100),IFERROR(MATCH($A18,Zo!$F$34:$AQ$34,0),100),IFERROR(MATCH($A18,Zo!$F$35:$AQ$35,0),100),IFERROR(MATCH($A18,Zo!$F$36:$AQ$36,0),100),IFERROR(MATCH($A18,Zo!$F$37:$AQ$37,0),100),IFERROR(MATCH($A18,Zo!$F$38:$AQ$38,0),100),IFERROR(MATCH($A18,Zo!$F$39:$AQ$39,0),100),IFERROR(MATCH($A18,Zo!$F$40:$AQ$40,0),100),IFERROR(MATCH($A18,Zo!$F$41:$AQ$41,0),100),IFERROR(MATCH($A18,Zo!$F$42:$AQ$42,0),100),IFERROR(MATCH($A18,Zo!$F$43:$AQ$43,0),100),IFERROR(MATCH($A18,Zo!$F$44:$AQ$44,0),100),IFERROR(MATCH($A18,Zo!$F$45:$AQ$45,0),100),IFERROR(MATCH($A18,Zo!$F$46:$AQ$46,0),100),IFERROR(MATCH($A18,Zo!$F$47:$AQ$47,0),100),IFERROR(MATCH($A18,Zo!$F$48:$AQ$48,0),100),IFERROR(MATCH($A18,Zo!$F$49:$AQ$49,0),100),IFERROR(MATCH($A18,Zo!$F$50:$AQ$50,0),100),IFERROR(MATCH($A18,Zo!$F$51:$AQ$51,0),100),IFERROR(MATCH($A18,Zo!$F$52:$AQ$52,0),100),IFERROR(MATCH($A18,Zo!$F$53:$AQ$53,0),100),IFERROR(MATCH($A18,Zo!$F$54:$AQ$54,0),100),IFERROR(MATCH($A18,Zo!$F$55:$AQ$55,0),100),IFERROR(MATCH($A18,Zo!$F$56:$AQ$56,0),100),IFERROR(MATCH($A18,Zo!$F$57:$AQ$57,0),100),IFERROR(MATCH($A18,Zo!$F$58:$AQ$58,0),100),IFERROR(MATCH($A18,Zo!$F$59:$AQ$59,0),100),IFERROR(MATCH($A18,Zo!$F$60:$AQ$60,0),100),IFERROR(MATCH($A18,Zo!$F$61:$AQ$61,0),100),IFERROR(MATCH($A18,Zo!$F$62:$AQ$62,0),100),IFERROR(MATCH($A18,Zo!$F$63:$AQ$63,0),100),39)</f>
        <v/>
      </c>
      <c r="P18" s="66">
        <f>IFERROR(IF(VLOOKUP(INDEX(Zo!$B$12:$B$63,MATCH($A18,OFFSET( Zo!$F$12:$F$63,0,(O18*48)-(IF(O18=7/24,9,IF(O18=12.5/24,9,IF(O18=14/24,9,IF(O18=15.5/24,9,10)))))),0),0),Zo!$B$13:$C$63,2,FALSE)="TL","",INDEX(Zo!$B$12:$B$63,MATCH($A18,OFFSET( Zo!$F$12:$F$63,0,(O18*48)-(IF(O18=7/24,9,IF(O18=12.5/24,9,IF(O18=14/24,9,IF(O18=15.5/24,9,10)))))),0),0)),"")</f>
        <v/>
      </c>
    </row>
    <row r="19" ht="15" customHeight="1">
      <c r="A19" s="66" t="inlineStr">
        <is>
          <t>ma</t>
        </is>
      </c>
      <c r="B19" s="67">
        <f>A19</f>
        <v/>
      </c>
      <c r="C19" s="857">
        <f>9/48+(1/48)*MIN(IFERROR(MATCH($A19,Ma!$F$13:$AQ$13,0),100),IFERROR(MATCH($A19,Ma!$F$14:$AQ$14,0),100),IFERROR(MATCH($A19,Ma!$F$15:$AQ$15,0),100),IFERROR(MATCH($A19,Ma!$F$16:$AQ$16,0),100),IFERROR(MATCH($A19,Ma!$F$17:$AQ$17,0),100),IFERROR(MATCH($A19,Ma!$F$18:$AQ$18,0),100),IFERROR(MATCH($A19,Ma!$F$19:$AQ$19,0),100),IFERROR(MATCH($A19,Ma!$F$20:$AQ$20,0),100),IFERROR(MATCH($A19,Ma!$F$21:$AQ$21,0),100),IFERROR(MATCH($A19,Ma!$F$22:$AQ$22,0),100),IFERROR(MATCH($A19,Ma!$F$23:$AQ$23,0),100),IFERROR(MATCH($A19,Ma!$F$24:$AQ$24,0),100),IFERROR(MATCH($A19,Ma!$F$25:$AQ$25,0),100),IFERROR(MATCH($A19,Ma!$F$26:$AQ$26,0),100),IFERROR(MATCH($A19,Ma!$F$27:$AQ$27,0),100),IFERROR(MATCH($A19,Ma!$F$28:$AQ$28,0),100),IFERROR(MATCH($A19,Ma!$F$29:$AQ$29,0),100),IFERROR(MATCH($A19,Ma!$F$30:$AQ$30,0),100),IFERROR(MATCH($A19,Ma!$F$31:$AQ$31,0),100),IFERROR(MATCH($A19,Ma!$F$32:$AQ$32,0),100),IFERROR(MATCH($A19,Ma!$F$33:$AQ$33,0),100),IFERROR(MATCH($A19,Ma!$F$34:$AQ$34,0),100),IFERROR(MATCH($A19,Ma!$F$35:$AQ$35,0),100),IFERROR(MATCH($A19,Ma!$F$36:$AQ$36,0),100),IFERROR(MATCH($A19,Ma!$F$37:$AQ$37,0),100),IFERROR(MATCH($A19,Ma!$F$38:$AQ$38,0),100),IFERROR(MATCH($A19,Ma!$F$39:$AQ$39,0),100),IFERROR(MATCH($A19,Ma!$F$40:$AQ$40,0),100),IFERROR(MATCH($A19,Ma!$F$41:$AQ$41,0),100),IFERROR(MATCH($A19,Ma!$F$42:$AQ$42,0),100),IFERROR(MATCH($A19,Ma!$F$43:$AQ$43,0),100),IFERROR(MATCH($A19,Ma!$F$44:$AQ$44,0),100),IFERROR(MATCH($A19,Ma!$F$45:$AQ$45,0),100),IFERROR(MATCH($A19,Ma!$F$46:$AQ$46,0),100),IFERROR(MATCH($A19,Ma!$F$47:$AQ$47,0),100),IFERROR(MATCH($A19,Ma!$F$48:$AQ$48,0),100),IFERROR(MATCH($A19,Ma!$F$49:$AQ$49,0),100),IFERROR(MATCH($A19,Ma!$F$50:$AQ$50,0),100),IFERROR(MATCH($A19,Ma!$F$51:$AQ$51,0),100),IFERROR(MATCH($A19,Ma!$F$52:$AQ$52,0),100),IFERROR(MATCH($A19,Ma!$F$53:$AQ$53,0),100),IFERROR(MATCH($A19,Ma!$F$54:$AQ$54,0),100),IFERROR(MATCH($A19,Ma!$F$55:$AQ$55,0),100),IFERROR(MATCH($A19,Ma!$F$56:$AQ$56,0),100),IFERROR(MATCH($A19,Ma!$F$57:$AQ$57,0),100),IFERROR(MATCH($A19,Ma!$F$58:$AQ$58,0),100),IFERROR(MATCH($A19,Ma!$F$59:$AQ$59,0),100),IFERROR(MATCH($A19,Ma!$F$60:$AQ$60,0),100),IFERROR(MATCH($A19,Ma!$F$61:$AQ$61,0),100),IFERROR(MATCH($A19,Ma!$F$62:$AQ$62,0),100),IFERROR(MATCH($A19,Ma!$F$63:$AQ$63,0),100),39)</f>
        <v/>
      </c>
      <c r="D19" s="66">
        <f>IFERROR(IF(VLOOKUP(INDEX(Ma!$B$12:$B$63,MATCH($A19,OFFSET( Ma!$F$12:$F$63,0,(C19*48)-(IF(C19=7/24,9,IF(C19=12.5/24,9,IF(C19=14/24,9,IF(C19=15.5/24,9,10)))))),0),0),Ma!$B$13:$C$63,2,FALSE)="TL","",INDEX(Ma!$B$12:$B$63,MATCH($A19,OFFSET( Ma!$F$12:$F$63,0,(C19*48)-(IF(C19=7/24,9,IF(C19=12.5/24,9,IF(C19=14/24,9,IF(C19=15.5/24,9,10)))))),0),0)),"")</f>
        <v/>
      </c>
      <c r="E19" s="857">
        <f>9/48+(1/48)*MIN(IFERROR(MATCH($A19,Di!$F$13:$AQ$13,0),100),IFERROR(MATCH($A19,Di!$F$14:$AQ$14,0),100),IFERROR(MATCH($A19,Di!$F$15:$AQ$15,0),100),IFERROR(MATCH($A19,Di!$F$16:$AQ$16,0),100),IFERROR(MATCH($A19,Di!$F$17:$AQ$17,0),100),IFERROR(MATCH($A19,Di!$F$18:$AQ$18,0),100),IFERROR(MATCH($A19,Di!$F$19:$AQ$19,0),100),IFERROR(MATCH($A19,Di!$F$20:$AQ$20,0),100),IFERROR(MATCH($A19,Di!$F$21:$AQ$21,0),100),IFERROR(MATCH($A19,Di!$F$22:$AQ$22,0),100),IFERROR(MATCH($A19,Di!$F$23:$AQ$23,0),100),IFERROR(MATCH($A19,Di!$F$24:$AQ$24,0),100),IFERROR(MATCH($A19,Di!$F$25:$AQ$25,0),100),IFERROR(MATCH($A19,Di!$F$26:$AQ$26,0),100),IFERROR(MATCH($A19,Di!$F$27:$AQ$27,0),100),IFERROR(MATCH($A19,Di!$F$28:$AQ$28,0),100),IFERROR(MATCH($A19,Di!$F$29:$AQ$29,0),100),IFERROR(MATCH($A19,Di!$F$30:$AQ$30,0),100),IFERROR(MATCH($A19,Di!$F$31:$AQ$31,0),100),IFERROR(MATCH($A19,Di!$F$32:$AQ$32,0),100),IFERROR(MATCH($A19,Di!$F$33:$AQ$33,0),100),IFERROR(MATCH($A19,Di!$F$34:$AQ$34,0),100),IFERROR(MATCH($A19,Di!$F$35:$AQ$35,0),100),IFERROR(MATCH($A19,Di!$F$36:$AQ$36,0),100),IFERROR(MATCH($A19,Di!$F$37:$AQ$37,0),100),IFERROR(MATCH($A19,Di!$F$38:$AQ$38,0),100),IFERROR(MATCH($A19,Di!$F$39:$AQ$39,0),100),IFERROR(MATCH($A19,Di!$F$40:$AQ$40,0),100),IFERROR(MATCH($A19,Di!$F$41:$AQ$41,0),100),IFERROR(MATCH($A19,Di!$F$42:$AQ$42,0),100),IFERROR(MATCH($A19,Di!$F$43:$AQ$43,0),100),IFERROR(MATCH($A19,Di!$F$44:$AQ$44,0),100),IFERROR(MATCH($A19,Di!$F$45:$AQ$45,0),100),IFERROR(MATCH($A19,Di!$F$46:$AQ$46,0),100),IFERROR(MATCH($A19,Di!$F$47:$AQ$47,0),100),IFERROR(MATCH($A19,Di!$F$48:$AQ$48,0),100),IFERROR(MATCH($A19,Di!$F$49:$AQ$49,0),100),IFERROR(MATCH($A19,Di!$F$50:$AQ$50,0),100),IFERROR(MATCH($A19,Di!$F$51:$AQ$51,0),100),IFERROR(MATCH($A19,Di!$F$52:$AQ$52,0),100),IFERROR(MATCH($A19,Di!$F$53:$AQ$53,0),100),IFERROR(MATCH($A19,Di!$F$54:$AQ$54,0),100),IFERROR(MATCH($A19,Di!$F$55:$AQ$55,0),100),IFERROR(MATCH($A19,Di!$F$56:$AQ$56,0),100),IFERROR(MATCH($A19,Di!$F$57:$AQ$57,0),100),IFERROR(MATCH($A19,Di!$F$58:$AQ$58,0),100),IFERROR(MATCH($A19,Di!$F$59:$AQ$59,0),100),IFERROR(MATCH($A19,Di!$F$60:$AQ$60,0),100),IFERROR(MATCH($A19,Di!$F$61:$AQ$61,0),100),IFERROR(MATCH($A19,Di!$F$62:$AQ$62,0),100),IFERROR(MATCH($A19,Di!$F$63:$AQ$63,0),100),39)</f>
        <v/>
      </c>
      <c r="F19" s="66">
        <f>IFERROR(IF(VLOOKUP(INDEX(Di!$B$12:$B$63,MATCH($A19,OFFSET( Di!$F$12:$F$63,0,(E19*48)-(IF(E19=7/24,9,IF(E19=12.5/24,9,IF(E19=14/24,9,IF(E19=15.5/24,9,10)))))),0),0),Di!$B$13:$C$63,2,FALSE)="TL","",INDEX(Di!$B$12:$B$63,MATCH($A19,OFFSET( Di!$F$12:$F$63,0,(E19*48)-(IF(E19=7/24,9,IF(E19=12.5/24,9,IF(E19=14/24,9,IF(E19=15.5/24,9,10)))))),0),0)),"")</f>
        <v/>
      </c>
      <c r="G19" s="857">
        <f>9/48+(1/48)*MIN(IFERROR(MATCH($A19,Wo!$F$13:$AQ$13,0),100),IFERROR(MATCH($A19,Wo!$F$14:$AQ$14,0),100),IFERROR(MATCH($A19,Wo!$F$15:$AQ$15,0),100),IFERROR(MATCH($A19,Wo!$F$16:$AQ$16,0),100),IFERROR(MATCH($A19,Wo!$F$17:$AQ$17,0),100),IFERROR(MATCH($A19,Wo!$F$18:$AQ$18,0),100),IFERROR(MATCH($A19,Wo!$F$19:$AQ$19,0),100),IFERROR(MATCH($A19,Wo!$F$20:$AQ$20,0),100),IFERROR(MATCH($A19,Wo!$F$21:$AQ$21,0),100),IFERROR(MATCH($A19,Wo!$F$22:$AQ$22,0),100),IFERROR(MATCH($A19,Wo!$F$23:$AQ$23,0),100),IFERROR(MATCH($A19,Wo!$F$24:$AQ$24,0),100),IFERROR(MATCH($A19,Wo!$F$25:$AQ$25,0),100),IFERROR(MATCH($A19,Wo!$F$26:$AQ$26,0),100),IFERROR(MATCH($A19,Wo!$F$27:$AQ$27,0),100),IFERROR(MATCH($A19,Wo!$F$28:$AQ$28,0),100),IFERROR(MATCH($A19,Wo!$F$29:$AQ$29,0),100),IFERROR(MATCH($A19,Wo!$F$30:$AQ$30,0),100),IFERROR(MATCH($A19,Wo!$F$31:$AQ$31,0),100),IFERROR(MATCH($A19,Wo!$F$32:$AQ$32,0),100),IFERROR(MATCH($A19,Wo!$F$33:$AQ$33,0),100),IFERROR(MATCH($A19,Wo!$F$34:$AQ$34,0),100),IFERROR(MATCH($A19,Wo!$F$35:$AQ$35,0),100),IFERROR(MATCH($A19,Wo!$F$36:$AQ$36,0),100),IFERROR(MATCH($A19,Wo!$F$37:$AQ$37,0),100),IFERROR(MATCH($A19,Wo!$F$38:$AQ$38,0),100),IFERROR(MATCH($A19,Wo!$F$39:$AQ$39,0),100),IFERROR(MATCH($A19,Wo!$F$40:$AQ$40,0),100),IFERROR(MATCH($A19,Wo!$F$41:$AQ$41,0),100),IFERROR(MATCH($A19,Wo!$F$42:$AQ$42,0),100),IFERROR(MATCH($A19,Wo!$F$43:$AQ$43,0),100),IFERROR(MATCH($A19,Wo!$F$44:$AQ$44,0),100),IFERROR(MATCH($A19,Wo!$F$45:$AQ$45,0),100),IFERROR(MATCH($A19,Wo!$F$46:$AQ$46,0),100),IFERROR(MATCH($A19,Wo!$F$47:$AQ$47,0),100),IFERROR(MATCH($A19,Wo!$F$48:$AQ$48,0),100),IFERROR(MATCH($A19,Wo!$F$49:$AQ$49,0),100),IFERROR(MATCH($A19,Wo!$F$50:$AQ$50,0),100),IFERROR(MATCH($A19,Wo!$F$51:$AQ$51,0),100),IFERROR(MATCH($A19,Wo!$F$52:$AQ$52,0),100),IFERROR(MATCH($A19,Wo!$F$53:$AQ$53,0),100),IFERROR(MATCH($A19,Wo!$F$54:$AQ$54,0),100),IFERROR(MATCH($A19,Wo!$F$55:$AQ$55,0),100),IFERROR(MATCH($A19,Wo!$F$56:$AQ$56,0),100),IFERROR(MATCH($A19,Wo!$F$57:$AQ$57,0),100),IFERROR(MATCH($A19,Wo!$F$58:$AQ$58,0),100),IFERROR(MATCH($A19,Wo!$F$59:$AQ$59,0),100),IFERROR(MATCH($A19,Wo!$F$60:$AQ$60,0),100),IFERROR(MATCH($A19,Wo!$F$61:$AQ$61,0),100),IFERROR(MATCH($A19,Wo!$F$62:$AQ$62,0),100),IFERROR(MATCH($A19,Wo!$F$63:$AQ$63,0),100),39)</f>
        <v/>
      </c>
      <c r="H19" s="66">
        <f>IFERROR(IF(VLOOKUP(INDEX(Wo!$B$12:$B$63,MATCH($A19,OFFSET( Wo!$F$12:$F$63,0,(G19*48)-(IF(G19=7/24,9,IF(G19=12.5/24,9,IF(G19=14/24,9,IF(G19=15.5/24,9,10)))))),0),0),Wo!$B$13:$C$63,2,FALSE)="TL","",INDEX(Wo!$B$12:$B$63,MATCH($A19,OFFSET( Wo!$F$12:$F$63,0,(G19*48)-(IF(G19=7/24,9,IF(G19=12.5/24,9,IF(G19=14/24,9,IF(G19=15.5/24,9,10)))))),0),0)),"")</f>
        <v/>
      </c>
      <c r="I19" s="857">
        <f>9/48+(1/48)*MIN(IFERROR(MATCH($A19,Do!$F$13:$AQ$13,0),100),IFERROR(MATCH($A19,Do!$F$14:$AQ$14,0),100),IFERROR(MATCH($A19,Do!$F$15:$AQ$15,0),100),IFERROR(MATCH($A19,Do!$F$16:$AQ$16,0),100),IFERROR(MATCH($A19,Do!$F$17:$AQ$17,0),100),IFERROR(MATCH($A19,Do!$F$18:$AQ$18,0),100),IFERROR(MATCH($A19,Do!$F$19:$AQ$19,0),100),IFERROR(MATCH($A19,Do!$F$20:$AQ$20,0),100),IFERROR(MATCH($A19,Do!$F$21:$AQ$21,0),100),IFERROR(MATCH($A19,Do!$F$22:$AQ$22,0),100),IFERROR(MATCH($A19,Do!$F$23:$AQ$23,0),100),IFERROR(MATCH($A19,Do!$F$24:$AQ$24,0),100),IFERROR(MATCH($A19,Do!$F$25:$AQ$25,0),100),IFERROR(MATCH($A19,Do!$F$26:$AQ$26,0),100),IFERROR(MATCH($A19,Do!$F$27:$AQ$27,0),100),IFERROR(MATCH($A19,Do!$F$28:$AQ$28,0),100),IFERROR(MATCH($A19,Do!$F$29:$AQ$29,0),100),IFERROR(MATCH($A19,Do!$F$30:$AQ$30,0),100),IFERROR(MATCH($A19,Do!$F$31:$AQ$31,0),100),IFERROR(MATCH($A19,Do!$F$32:$AQ$32,0),100),IFERROR(MATCH($A19,Do!$F$33:$AQ$33,0),100),IFERROR(MATCH($A19,Do!$F$34:$AQ$34,0),100),IFERROR(MATCH($A19,Do!$F$35:$AQ$35,0),100),IFERROR(MATCH($A19,Do!$F$36:$AQ$36,0),100),IFERROR(MATCH($A19,Do!$F$37:$AQ$37,0),100),IFERROR(MATCH($A19,Do!$F$38:$AQ$38,0),100),IFERROR(MATCH($A19,Do!$F$39:$AQ$39,0),100),IFERROR(MATCH($A19,Do!$F$40:$AQ$40,0),100),IFERROR(MATCH($A19,Do!$F$41:$AQ$41,0),100),IFERROR(MATCH($A19,Do!$F$42:$AQ$42,0),100),IFERROR(MATCH($A19,Do!$F$43:$AQ$43,0),100),IFERROR(MATCH($A19,Do!$F$44:$AQ$44,0),100),IFERROR(MATCH($A19,Do!$F$45:$AQ$45,0),100),IFERROR(MATCH($A19,Do!$F$46:$AQ$46,0),100),IFERROR(MATCH($A19,Do!$F$47:$AQ$47,0),100),IFERROR(MATCH($A19,Do!$F$48:$AQ$48,0),100),IFERROR(MATCH($A19,Do!$F$49:$AQ$49,0),100),IFERROR(MATCH($A19,Do!$F$50:$AQ$50,0),100),IFERROR(MATCH($A19,Do!$F$51:$AQ$51,0),100),IFERROR(MATCH($A19,Do!$F$52:$AQ$52,0),100),IFERROR(MATCH($A19,Do!$F$53:$AQ$53,0),100),IFERROR(MATCH($A19,Do!$F$54:$AQ$54,0),100),IFERROR(MATCH($A19,Do!$F$55:$AQ$55,0),100),IFERROR(MATCH($A19,Do!$F$56:$AQ$56,0),100),IFERROR(MATCH($A19,Do!$F$57:$AQ$57,0),100),IFERROR(MATCH($A19,Do!$F$58:$AQ$58,0),100),IFERROR(MATCH($A19,Do!$F$59:$AQ$59,0),100),IFERROR(MATCH($A19,Do!$F$60:$AQ$60,0),100),IFERROR(MATCH($A19,Do!$F$61:$AQ$61,0),100),IFERROR(MATCH($A19,Do!$F$62:$AQ$62,0),100),IFERROR(MATCH($A19,Do!$F$63:$AQ$63,0),100),39)</f>
        <v/>
      </c>
      <c r="J19" s="66">
        <f>IFERROR(IF(VLOOKUP(INDEX(Do!$B$12:$B$63,MATCH($A19,OFFSET( Do!$F$12:$F$63,0,(I19*48)-(IF(I19=7/24,9,IF(I19=12.5/24,9,IF(I19=14/24,9,IF(I19=15.5/24,9,10)))))),0),0),Do!$B$13:$C$63,2,FALSE)="TL","",INDEX(Do!$B$12:$B$63,MATCH($A19,OFFSET( Do!$F$12:$F$63,0,(I19*48)-(IF(I19=7/24,9,IF(I19=12.5/24,9,IF(I19=14/24,9,IF(I19=15.5/24,9,10)))))),0),0)),"")</f>
        <v/>
      </c>
      <c r="K19" s="857">
        <f>9/48+(1/48)*MIN(IFERROR(MATCH($A19,Vr!$F$13:$AQ$13,0),100),IFERROR(MATCH($A19,Vr!$F$14:$AQ$14,0),100),IFERROR(MATCH($A19,Vr!$F$15:$AQ$15,0),100),IFERROR(MATCH($A19,Vr!$F$16:$AQ$16,0),100),IFERROR(MATCH($A19,Vr!$F$17:$AQ$17,0),100),IFERROR(MATCH($A19,Vr!$F$18:$AQ$18,0),100),IFERROR(MATCH($A19,Vr!$F$19:$AQ$19,0),100),IFERROR(MATCH($A19,Vr!$F$20:$AQ$20,0),100),IFERROR(MATCH($A19,Vr!$F$21:$AQ$21,0),100),IFERROR(MATCH($A19,Vr!$F$22:$AQ$22,0),100),IFERROR(MATCH($A19,Vr!$F$23:$AQ$23,0),100),IFERROR(MATCH($A19,Vr!$F$24:$AQ$24,0),100),IFERROR(MATCH($A19,Vr!$F$25:$AQ$25,0),100),IFERROR(MATCH($A19,Vr!$F$26:$AQ$26,0),100),IFERROR(MATCH($A19,Vr!$F$27:$AQ$27,0),100),IFERROR(MATCH($A19,Vr!$F$28:$AQ$28,0),100),IFERROR(MATCH($A19,Vr!$F$29:$AQ$29,0),100),IFERROR(MATCH($A19,Vr!$F$30:$AQ$30,0),100),IFERROR(MATCH($A19,Vr!$F$31:$AQ$31,0),100),IFERROR(MATCH($A19,Vr!$F$32:$AQ$32,0),100),IFERROR(MATCH($A19,Vr!$F$33:$AQ$33,0),100),IFERROR(MATCH($A19,Vr!$F$34:$AQ$34,0),100),IFERROR(MATCH($A19,Vr!$F$35:$AQ$35,0),100),IFERROR(MATCH($A19,Vr!$F$36:$AQ$36,0),100),IFERROR(MATCH($A19,Vr!$F$37:$AQ$37,0),100),IFERROR(MATCH($A19,Vr!$F$38:$AQ$38,0),100),IFERROR(MATCH($A19,Vr!$F$39:$AQ$39,0),100),IFERROR(MATCH($A19,Vr!$F$40:$AQ$40,0),100),IFERROR(MATCH($A19,Vr!$F$41:$AQ$41,0),100),IFERROR(MATCH($A19,Vr!$F$42:$AQ$42,0),100),IFERROR(MATCH($A19,Vr!$F$43:$AQ$43,0),100),IFERROR(MATCH($A19,Vr!$F$44:$AQ$44,0),100),IFERROR(MATCH($A19,Vr!$F$45:$AQ$45,0),100),IFERROR(MATCH($A19,Vr!$F$46:$AQ$46,0),100),IFERROR(MATCH($A19,Vr!$F$47:$AQ$47,0),100),IFERROR(MATCH($A19,Vr!$F$48:$AQ$48,0),100),IFERROR(MATCH($A19,Vr!$F$49:$AQ$49,0),100),IFERROR(MATCH($A19,Vr!$F$50:$AQ$50,0),100),IFERROR(MATCH($A19,Vr!$F$51:$AQ$51,0),100),IFERROR(MATCH($A19,Vr!$F$52:$AQ$52,0),100),IFERROR(MATCH($A19,Vr!$F$53:$AQ$53,0),100),IFERROR(MATCH($A19,Vr!$F$54:$AQ$54,0),100),IFERROR(MATCH($A19,Vr!$F$55:$AQ$55,0),100),IFERROR(MATCH($A19,Vr!$F$56:$AQ$56,0),100),IFERROR(MATCH($A19,Vr!$F$57:$AQ$57,0),100),IFERROR(MATCH($A19,Vr!$F$58:$AQ$58,0),100),IFERROR(MATCH($A19,Vr!$F$59:$AQ$59,0),100),IFERROR(MATCH($A19,Vr!$F$60:$AQ$60,0),100),IFERROR(MATCH($A19,Vr!$F$61:$AQ$61,0),100),IFERROR(MATCH($A19,Vr!$F$62:$AQ$62,0),100),IFERROR(MATCH($A19,Vr!$F$63:$AQ$63,0),100),39)</f>
        <v/>
      </c>
      <c r="L19" s="66">
        <f>IFERROR(IF(VLOOKUP(INDEX(Vr!$B$12:$B$63,MATCH($A19,OFFSET( Vr!$F$12:$F$63,0,(K19*48)-(IF(K19=7/24,9,IF(K19=12.5/24,9,IF(K19=14/24,9,IF(K19=15.5/24,9,10)))))),0),0),Vr!$B$13:$C$63,2,FALSE)="TL","",INDEX(Vr!$B$12:$B$63,MATCH($A19,OFFSET( Vr!$F$12:$F$63,0,(K19*48)-(IF(K19=7/24,9,IF(K19=12.5/24,9,IF(K19=14/24,9,IF(K19=15.5/24,9,10)))))),0),0)),"")</f>
        <v/>
      </c>
      <c r="M19" s="857">
        <f>9/48+(1/48)*MIN(IFERROR(MATCH($A19,Za!$F$13:$AQ$13,0),100),IFERROR(MATCH($A19,Za!$F$14:$AQ$14,0),100),IFERROR(MATCH($A19,Za!$F$15:$AQ$15,0),100),IFERROR(MATCH($A19,Za!$F$16:$AQ$16,0),100),IFERROR(MATCH($A19,Za!$F$17:$AQ$17,0),100),IFERROR(MATCH($A19,Za!$F$18:$AQ$18,0),100),IFERROR(MATCH($A19,Za!$F$19:$AQ$19,0),100),IFERROR(MATCH($A19,Za!$F$20:$AQ$20,0),100),IFERROR(MATCH($A19,Za!$F$21:$AQ$21,0),100),IFERROR(MATCH($A19,Za!$F$22:$AQ$22,0),100),IFERROR(MATCH($A19,Za!$F$23:$AQ$23,0),100),IFERROR(MATCH($A19,Za!$F$24:$AQ$24,0),100),IFERROR(MATCH($A19,Za!$F$25:$AQ$25,0),100),IFERROR(MATCH($A19,Za!$F$26:$AQ$26,0),100),IFERROR(MATCH($A19,Za!$F$27:$AQ$27,0),100),IFERROR(MATCH($A19,Za!$F$28:$AQ$28,0),100),IFERROR(MATCH($A19,Za!$F$29:$AQ$29,0),100),IFERROR(MATCH($A19,Za!$F$30:$AQ$30,0),100),IFERROR(MATCH($A19,Za!$F$31:$AQ$31,0),100),IFERROR(MATCH($A19,Za!$F$32:$AQ$32,0),100),IFERROR(MATCH($A19,Za!$F$33:$AQ$33,0),100),IFERROR(MATCH($A19,Za!$F$34:$AQ$34,0),100),IFERROR(MATCH($A19,Za!$F$35:$AQ$35,0),100),IFERROR(MATCH($A19,Za!$F$36:$AQ$36,0),100),IFERROR(MATCH($A19,Za!$F$37:$AQ$37,0),100),IFERROR(MATCH($A19,Za!$F$38:$AQ$38,0),100),IFERROR(MATCH($A19,Za!$F$39:$AQ$39,0),100),IFERROR(MATCH($A19,Za!$F$40:$AQ$40,0),100),IFERROR(MATCH($A19,Za!$F$41:$AQ$41,0),100),IFERROR(MATCH($A19,Za!$F$42:$AQ$42,0),100),IFERROR(MATCH($A19,Za!$F$43:$AQ$43,0),100),IFERROR(MATCH($A19,Za!$F$44:$AQ$44,0),100),IFERROR(MATCH($A19,Za!$F$45:$AQ$45,0),100),IFERROR(MATCH($A19,Za!$F$46:$AQ$46,0),100),IFERROR(MATCH($A19,Za!$F$47:$AQ$47,0),100),IFERROR(MATCH($A19,Za!$F$48:$AQ$48,0),100),IFERROR(MATCH($A19,Za!$F$49:$AQ$49,0),100),IFERROR(MATCH($A19,Za!$F$50:$AQ$50,0),100),IFERROR(MATCH($A19,Za!$F$51:$AQ$51,0),100),IFERROR(MATCH($A19,Za!$F$52:$AQ$52,0),100),IFERROR(MATCH($A19,Za!$F$53:$AQ$53,0),100),IFERROR(MATCH($A19,Za!$F$54:$AQ$54,0),100),IFERROR(MATCH($A19,Za!$F$55:$AQ$55,0),100),IFERROR(MATCH($A19,Za!$F$56:$AQ$56,0),100),IFERROR(MATCH($A19,Za!$F$57:$AQ$57,0),100),IFERROR(MATCH($A19,Za!$F$58:$AQ$58,0),100),IFERROR(MATCH($A19,Za!$F$59:$AQ$59,0),100),IFERROR(MATCH($A19,Za!$F$60:$AQ$60,0),100),IFERROR(MATCH($A19,Za!$F$61:$AQ$61,0),100),IFERROR(MATCH($A19,Za!$F$62:$AQ$62,0),100),IFERROR(MATCH($A19,Za!$F$63:$AQ$63,0),100),39)</f>
        <v/>
      </c>
      <c r="N19" s="66">
        <f>IFERROR(IF(VLOOKUP(INDEX(Za!$B$12:$B$63,MATCH($A19,OFFSET( Za!$F$12:$F$63,0,(M19*48)-(IF(M19=7/24,9,IF(M19=12.5/24,9,IF(M19=14/24,9,IF(M19=15.5/24,9,10)))))),0),0),Za!$B$13:$C$63,2,FALSE)="TL","",INDEX(Za!$B$12:$B$63,MATCH($A19,OFFSET( Za!$F$12:$F$63,0,(M19*48)-(IF(M19=7/24,9,IF(M19=12.5/24,9,IF(M19=14/24,9,IF(M19=15.5/24,9,10)))))),0),0)),"")</f>
        <v/>
      </c>
      <c r="O19" s="857">
        <f>9/48+(1/48)*MIN(IFERROR(MATCH($A19,Zo!$F$13:$AQ$13,0),100),IFERROR(MATCH($A19,Zo!$F$14:$AQ$14,0),100),IFERROR(MATCH($A19,Zo!$F$15:$AQ$15,0),100),IFERROR(MATCH($A19,Zo!$F$16:$AQ$16,0),100),IFERROR(MATCH($A19,Zo!$F$17:$AQ$17,0),100),IFERROR(MATCH($A19,Zo!$F$18:$AQ$18,0),100),IFERROR(MATCH($A19,Zo!$F$19:$AQ$19,0),100),IFERROR(MATCH($A19,Zo!$F$20:$AQ$20,0),100),IFERROR(MATCH($A19,Zo!$F$21:$AQ$21,0),100),IFERROR(MATCH($A19,Zo!$F$22:$AQ$22,0),100),IFERROR(MATCH($A19,Zo!$F$23:$AQ$23,0),100),IFERROR(MATCH($A19,Zo!$F$24:$AQ$24,0),100),IFERROR(MATCH($A19,Zo!$F$25:$AQ$25,0),100),IFERROR(MATCH($A19,Zo!$F$26:$AQ$26,0),100),IFERROR(MATCH($A19,Zo!$F$27:$AQ$27,0),100),IFERROR(MATCH($A19,Zo!$F$28:$AQ$28,0),100),IFERROR(MATCH($A19,Zo!$F$29:$AQ$29,0),100),IFERROR(MATCH($A19,Zo!$F$30:$AQ$30,0),100),IFERROR(MATCH($A19,Zo!$F$31:$AQ$31,0),100),IFERROR(MATCH($A19,Zo!$F$32:$AQ$32,0),100),IFERROR(MATCH($A19,Zo!$F$33:$AQ$33,0),100),IFERROR(MATCH($A19,Zo!$F$34:$AQ$34,0),100),IFERROR(MATCH($A19,Zo!$F$35:$AQ$35,0),100),IFERROR(MATCH($A19,Zo!$F$36:$AQ$36,0),100),IFERROR(MATCH($A19,Zo!$F$37:$AQ$37,0),100),IFERROR(MATCH($A19,Zo!$F$38:$AQ$38,0),100),IFERROR(MATCH($A19,Zo!$F$39:$AQ$39,0),100),IFERROR(MATCH($A19,Zo!$F$40:$AQ$40,0),100),IFERROR(MATCH($A19,Zo!$F$41:$AQ$41,0),100),IFERROR(MATCH($A19,Zo!$F$42:$AQ$42,0),100),IFERROR(MATCH($A19,Zo!$F$43:$AQ$43,0),100),IFERROR(MATCH($A19,Zo!$F$44:$AQ$44,0),100),IFERROR(MATCH($A19,Zo!$F$45:$AQ$45,0),100),IFERROR(MATCH($A19,Zo!$F$46:$AQ$46,0),100),IFERROR(MATCH($A19,Zo!$F$47:$AQ$47,0),100),IFERROR(MATCH($A19,Zo!$F$48:$AQ$48,0),100),IFERROR(MATCH($A19,Zo!$F$49:$AQ$49,0),100),IFERROR(MATCH($A19,Zo!$F$50:$AQ$50,0),100),IFERROR(MATCH($A19,Zo!$F$51:$AQ$51,0),100),IFERROR(MATCH($A19,Zo!$F$52:$AQ$52,0),100),IFERROR(MATCH($A19,Zo!$F$53:$AQ$53,0),100),IFERROR(MATCH($A19,Zo!$F$54:$AQ$54,0),100),IFERROR(MATCH($A19,Zo!$F$55:$AQ$55,0),100),IFERROR(MATCH($A19,Zo!$F$56:$AQ$56,0),100),IFERROR(MATCH($A19,Zo!$F$57:$AQ$57,0),100),IFERROR(MATCH($A19,Zo!$F$58:$AQ$58,0),100),IFERROR(MATCH($A19,Zo!$F$59:$AQ$59,0),100),IFERROR(MATCH($A19,Zo!$F$60:$AQ$60,0),100),IFERROR(MATCH($A19,Zo!$F$61:$AQ$61,0),100),IFERROR(MATCH($A19,Zo!$F$62:$AQ$62,0),100),IFERROR(MATCH($A19,Zo!$F$63:$AQ$63,0),100),39)</f>
        <v/>
      </c>
      <c r="P19" s="66">
        <f>IFERROR(IF(VLOOKUP(INDEX(Zo!$B$12:$B$63,MATCH($A19,OFFSET( Zo!$F$12:$F$63,0,(O19*48)-(IF(O19=7/24,9,IF(O19=12.5/24,9,IF(O19=14/24,9,IF(O19=15.5/24,9,10)))))),0),0),Zo!$B$13:$C$63,2,FALSE)="TL","",INDEX(Zo!$B$12:$B$63,MATCH($A19,OFFSET( Zo!$F$12:$F$63,0,(O19*48)-(IF(O19=7/24,9,IF(O19=12.5/24,9,IF(O19=14/24,9,IF(O19=15.5/24,9,10)))))),0),0)),"")</f>
        <v/>
      </c>
    </row>
    <row r="20" ht="15" customHeight="1">
      <c r="A20" s="66" t="inlineStr">
        <is>
          <t>sp</t>
        </is>
      </c>
      <c r="B20" s="67">
        <f>A20</f>
        <v/>
      </c>
      <c r="C20" s="857">
        <f>9/48+(1/48)*MIN(IFERROR(MATCH($A20,Ma!$F$13:$AQ$13,0),100),IFERROR(MATCH($A20,Ma!$F$14:$AQ$14,0),100),IFERROR(MATCH($A20,Ma!$F$15:$AQ$15,0),100),IFERROR(MATCH($A20,Ma!$F$16:$AQ$16,0),100),IFERROR(MATCH($A20,Ma!$F$17:$AQ$17,0),100),IFERROR(MATCH($A20,Ma!$F$18:$AQ$18,0),100),IFERROR(MATCH($A20,Ma!$F$19:$AQ$19,0),100),IFERROR(MATCH($A20,Ma!$F$20:$AQ$20,0),100),IFERROR(MATCH($A20,Ma!$F$21:$AQ$21,0),100),IFERROR(MATCH($A20,Ma!$F$22:$AQ$22,0),100),IFERROR(MATCH($A20,Ma!$F$23:$AQ$23,0),100),IFERROR(MATCH($A20,Ma!$F$24:$AQ$24,0),100),IFERROR(MATCH($A20,Ma!$F$25:$AQ$25,0),100),IFERROR(MATCH($A20,Ma!$F$26:$AQ$26,0),100),IFERROR(MATCH($A20,Ma!$F$27:$AQ$27,0),100),IFERROR(MATCH($A20,Ma!$F$28:$AQ$28,0),100),IFERROR(MATCH($A20,Ma!$F$29:$AQ$29,0),100),IFERROR(MATCH($A20,Ma!$F$30:$AQ$30,0),100),IFERROR(MATCH($A20,Ma!$F$31:$AQ$31,0),100),IFERROR(MATCH($A20,Ma!$F$32:$AQ$32,0),100),IFERROR(MATCH($A20,Ma!$F$33:$AQ$33,0),100),IFERROR(MATCH($A20,Ma!$F$34:$AQ$34,0),100),IFERROR(MATCH($A20,Ma!$F$35:$AQ$35,0),100),IFERROR(MATCH($A20,Ma!$F$36:$AQ$36,0),100),IFERROR(MATCH($A20,Ma!$F$37:$AQ$37,0),100),IFERROR(MATCH($A20,Ma!$F$38:$AQ$38,0),100),IFERROR(MATCH($A20,Ma!$F$39:$AQ$39,0),100),IFERROR(MATCH($A20,Ma!$F$40:$AQ$40,0),100),IFERROR(MATCH($A20,Ma!$F$41:$AQ$41,0),100),IFERROR(MATCH($A20,Ma!$F$42:$AQ$42,0),100),IFERROR(MATCH($A20,Ma!$F$43:$AQ$43,0),100),IFERROR(MATCH($A20,Ma!$F$44:$AQ$44,0),100),IFERROR(MATCH($A20,Ma!$F$45:$AQ$45,0),100),IFERROR(MATCH($A20,Ma!$F$46:$AQ$46,0),100),IFERROR(MATCH($A20,Ma!$F$47:$AQ$47,0),100),IFERROR(MATCH($A20,Ma!$F$48:$AQ$48,0),100),IFERROR(MATCH($A20,Ma!$F$49:$AQ$49,0),100),IFERROR(MATCH($A20,Ma!$F$50:$AQ$50,0),100),IFERROR(MATCH($A20,Ma!$F$51:$AQ$51,0),100),IFERROR(MATCH($A20,Ma!$F$52:$AQ$52,0),100),IFERROR(MATCH($A20,Ma!$F$53:$AQ$53,0),100),IFERROR(MATCH($A20,Ma!$F$54:$AQ$54,0),100),IFERROR(MATCH($A20,Ma!$F$55:$AQ$55,0),100),IFERROR(MATCH($A20,Ma!$F$56:$AQ$56,0),100),IFERROR(MATCH($A20,Ma!$F$57:$AQ$57,0),100),IFERROR(MATCH($A20,Ma!$F$58:$AQ$58,0),100),IFERROR(MATCH($A20,Ma!$F$59:$AQ$59,0),100),IFERROR(MATCH($A20,Ma!$F$60:$AQ$60,0),100),IFERROR(MATCH($A20,Ma!$F$61:$AQ$61,0),100),IFERROR(MATCH($A20,Ma!$F$62:$AQ$62,0),100),IFERROR(MATCH($A20,Ma!$F$63:$AQ$63,0),100),39)</f>
        <v/>
      </c>
      <c r="D20" s="66">
        <f>IFERROR(IF(VLOOKUP(INDEX(Ma!$B$12:$B$63,MATCH($A20,OFFSET( Ma!$F$12:$F$63,0,(C20*48)-(IF(C20=7/24,9,IF(C20=12.5/24,9,IF(C20=14/24,9,IF(C20=15.5/24,9,10)))))),0),0),Ma!$B$13:$C$63,2,FALSE)="TL","",INDEX(Ma!$B$12:$B$63,MATCH($A20,OFFSET( Ma!$F$12:$F$63,0,(C20*48)-(IF(C20=7/24,9,IF(C20=12.5/24,9,IF(C20=14/24,9,IF(C20=15.5/24,9,10)))))),0),0)),"")</f>
        <v/>
      </c>
      <c r="E20" s="857">
        <f>9/48+(1/48)*MIN(IFERROR(MATCH($A20,Di!$F$13:$AQ$13,0),100),IFERROR(MATCH($A20,Di!$F$14:$AQ$14,0),100),IFERROR(MATCH($A20,Di!$F$15:$AQ$15,0),100),IFERROR(MATCH($A20,Di!$F$16:$AQ$16,0),100),IFERROR(MATCH($A20,Di!$F$17:$AQ$17,0),100),IFERROR(MATCH($A20,Di!$F$18:$AQ$18,0),100),IFERROR(MATCH($A20,Di!$F$19:$AQ$19,0),100),IFERROR(MATCH($A20,Di!$F$20:$AQ$20,0),100),IFERROR(MATCH($A20,Di!$F$21:$AQ$21,0),100),IFERROR(MATCH($A20,Di!$F$22:$AQ$22,0),100),IFERROR(MATCH($A20,Di!$F$23:$AQ$23,0),100),IFERROR(MATCH($A20,Di!$F$24:$AQ$24,0),100),IFERROR(MATCH($A20,Di!$F$25:$AQ$25,0),100),IFERROR(MATCH($A20,Di!$F$26:$AQ$26,0),100),IFERROR(MATCH($A20,Di!$F$27:$AQ$27,0),100),IFERROR(MATCH($A20,Di!$F$28:$AQ$28,0),100),IFERROR(MATCH($A20,Di!$F$29:$AQ$29,0),100),IFERROR(MATCH($A20,Di!$F$30:$AQ$30,0),100),IFERROR(MATCH($A20,Di!$F$31:$AQ$31,0),100),IFERROR(MATCH($A20,Di!$F$32:$AQ$32,0),100),IFERROR(MATCH($A20,Di!$F$33:$AQ$33,0),100),IFERROR(MATCH($A20,Di!$F$34:$AQ$34,0),100),IFERROR(MATCH($A20,Di!$F$35:$AQ$35,0),100),IFERROR(MATCH($A20,Di!$F$36:$AQ$36,0),100),IFERROR(MATCH($A20,Di!$F$37:$AQ$37,0),100),IFERROR(MATCH($A20,Di!$F$38:$AQ$38,0),100),IFERROR(MATCH($A20,Di!$F$39:$AQ$39,0),100),IFERROR(MATCH($A20,Di!$F$40:$AQ$40,0),100),IFERROR(MATCH($A20,Di!$F$41:$AQ$41,0),100),IFERROR(MATCH($A20,Di!$F$42:$AQ$42,0),100),IFERROR(MATCH($A20,Di!$F$43:$AQ$43,0),100),IFERROR(MATCH($A20,Di!$F$44:$AQ$44,0),100),IFERROR(MATCH($A20,Di!$F$45:$AQ$45,0),100),IFERROR(MATCH($A20,Di!$F$46:$AQ$46,0),100),IFERROR(MATCH($A20,Di!$F$47:$AQ$47,0),100),IFERROR(MATCH($A20,Di!$F$48:$AQ$48,0),100),IFERROR(MATCH($A20,Di!$F$49:$AQ$49,0),100),IFERROR(MATCH($A20,Di!$F$50:$AQ$50,0),100),IFERROR(MATCH($A20,Di!$F$51:$AQ$51,0),100),IFERROR(MATCH($A20,Di!$F$52:$AQ$52,0),100),IFERROR(MATCH($A20,Di!$F$53:$AQ$53,0),100),IFERROR(MATCH($A20,Di!$F$54:$AQ$54,0),100),IFERROR(MATCH($A20,Di!$F$55:$AQ$55,0),100),IFERROR(MATCH($A20,Di!$F$56:$AQ$56,0),100),IFERROR(MATCH($A20,Di!$F$57:$AQ$57,0),100),IFERROR(MATCH($A20,Di!$F$58:$AQ$58,0),100),IFERROR(MATCH($A20,Di!$F$59:$AQ$59,0),100),IFERROR(MATCH($A20,Di!$F$60:$AQ$60,0),100),IFERROR(MATCH($A20,Di!$F$61:$AQ$61,0),100),IFERROR(MATCH($A20,Di!$F$62:$AQ$62,0),100),IFERROR(MATCH($A20,Di!$F$63:$AQ$63,0),100),39)</f>
        <v/>
      </c>
      <c r="F20" s="66">
        <f>IFERROR(IF(VLOOKUP(INDEX(Di!$B$12:$B$63,MATCH($A20,OFFSET( Di!$F$12:$F$63,0,(E20*48)-(IF(E20=7/24,9,IF(E20=12.5/24,9,IF(E20=14/24,9,IF(E20=15.5/24,9,10)))))),0),0),Di!$B$13:$C$63,2,FALSE)="TL","",INDEX(Di!$B$12:$B$63,MATCH($A20,OFFSET( Di!$F$12:$F$63,0,(E20*48)-(IF(E20=7/24,9,IF(E20=12.5/24,9,IF(E20=14/24,9,IF(E20=15.5/24,9,10)))))),0),0)),"")</f>
        <v/>
      </c>
      <c r="G20" s="857">
        <f>9/48+(1/48)*MIN(IFERROR(MATCH($A20,Wo!$F$13:$AQ$13,0),100),IFERROR(MATCH($A20,Wo!$F$14:$AQ$14,0),100),IFERROR(MATCH($A20,Wo!$F$15:$AQ$15,0),100),IFERROR(MATCH($A20,Wo!$F$16:$AQ$16,0),100),IFERROR(MATCH($A20,Wo!$F$17:$AQ$17,0),100),IFERROR(MATCH($A20,Wo!$F$18:$AQ$18,0),100),IFERROR(MATCH($A20,Wo!$F$19:$AQ$19,0),100),IFERROR(MATCH($A20,Wo!$F$20:$AQ$20,0),100),IFERROR(MATCH($A20,Wo!$F$21:$AQ$21,0),100),IFERROR(MATCH($A20,Wo!$F$22:$AQ$22,0),100),IFERROR(MATCH($A20,Wo!$F$23:$AQ$23,0),100),IFERROR(MATCH($A20,Wo!$F$24:$AQ$24,0),100),IFERROR(MATCH($A20,Wo!$F$25:$AQ$25,0),100),IFERROR(MATCH($A20,Wo!$F$26:$AQ$26,0),100),IFERROR(MATCH($A20,Wo!$F$27:$AQ$27,0),100),IFERROR(MATCH($A20,Wo!$F$28:$AQ$28,0),100),IFERROR(MATCH($A20,Wo!$F$29:$AQ$29,0),100),IFERROR(MATCH($A20,Wo!$F$30:$AQ$30,0),100),IFERROR(MATCH($A20,Wo!$F$31:$AQ$31,0),100),IFERROR(MATCH($A20,Wo!$F$32:$AQ$32,0),100),IFERROR(MATCH($A20,Wo!$F$33:$AQ$33,0),100),IFERROR(MATCH($A20,Wo!$F$34:$AQ$34,0),100),IFERROR(MATCH($A20,Wo!$F$35:$AQ$35,0),100),IFERROR(MATCH($A20,Wo!$F$36:$AQ$36,0),100),IFERROR(MATCH($A20,Wo!$F$37:$AQ$37,0),100),IFERROR(MATCH($A20,Wo!$F$38:$AQ$38,0),100),IFERROR(MATCH($A20,Wo!$F$39:$AQ$39,0),100),IFERROR(MATCH($A20,Wo!$F$40:$AQ$40,0),100),IFERROR(MATCH($A20,Wo!$F$41:$AQ$41,0),100),IFERROR(MATCH($A20,Wo!$F$42:$AQ$42,0),100),IFERROR(MATCH($A20,Wo!$F$43:$AQ$43,0),100),IFERROR(MATCH($A20,Wo!$F$44:$AQ$44,0),100),IFERROR(MATCH($A20,Wo!$F$45:$AQ$45,0),100),IFERROR(MATCH($A20,Wo!$F$46:$AQ$46,0),100),IFERROR(MATCH($A20,Wo!$F$47:$AQ$47,0),100),IFERROR(MATCH($A20,Wo!$F$48:$AQ$48,0),100),IFERROR(MATCH($A20,Wo!$F$49:$AQ$49,0),100),IFERROR(MATCH($A20,Wo!$F$50:$AQ$50,0),100),IFERROR(MATCH($A20,Wo!$F$51:$AQ$51,0),100),IFERROR(MATCH($A20,Wo!$F$52:$AQ$52,0),100),IFERROR(MATCH($A20,Wo!$F$53:$AQ$53,0),100),IFERROR(MATCH($A20,Wo!$F$54:$AQ$54,0),100),IFERROR(MATCH($A20,Wo!$F$55:$AQ$55,0),100),IFERROR(MATCH($A20,Wo!$F$56:$AQ$56,0),100),IFERROR(MATCH($A20,Wo!$F$57:$AQ$57,0),100),IFERROR(MATCH($A20,Wo!$F$58:$AQ$58,0),100),IFERROR(MATCH($A20,Wo!$F$59:$AQ$59,0),100),IFERROR(MATCH($A20,Wo!$F$60:$AQ$60,0),100),IFERROR(MATCH($A20,Wo!$F$61:$AQ$61,0),100),IFERROR(MATCH($A20,Wo!$F$62:$AQ$62,0),100),IFERROR(MATCH($A20,Wo!$F$63:$AQ$63,0),100),39)</f>
        <v/>
      </c>
      <c r="H20" s="66">
        <f>IFERROR(IF(VLOOKUP(INDEX(Wo!$B$12:$B$63,MATCH($A20,OFFSET( Wo!$F$12:$F$63,0,(G20*48)-(IF(G20=7/24,9,IF(G20=12.5/24,9,IF(G20=14/24,9,IF(G20=15.5/24,9,10)))))),0),0),Wo!$B$13:$C$63,2,FALSE)="TL","",INDEX(Wo!$B$12:$B$63,MATCH($A20,OFFSET( Wo!$F$12:$F$63,0,(G20*48)-(IF(G20=7/24,9,IF(G20=12.5/24,9,IF(G20=14/24,9,IF(G20=15.5/24,9,10)))))),0),0)),"")</f>
        <v/>
      </c>
      <c r="I20" s="857">
        <f>9/48+(1/48)*MIN(IFERROR(MATCH($A20,Do!$F$13:$AQ$13,0),100),IFERROR(MATCH($A20,Do!$F$14:$AQ$14,0),100),IFERROR(MATCH($A20,Do!$F$15:$AQ$15,0),100),IFERROR(MATCH($A20,Do!$F$16:$AQ$16,0),100),IFERROR(MATCH($A20,Do!$F$17:$AQ$17,0),100),IFERROR(MATCH($A20,Do!$F$18:$AQ$18,0),100),IFERROR(MATCH($A20,Do!$F$19:$AQ$19,0),100),IFERROR(MATCH($A20,Do!$F$20:$AQ$20,0),100),IFERROR(MATCH($A20,Do!$F$21:$AQ$21,0),100),IFERROR(MATCH($A20,Do!$F$22:$AQ$22,0),100),IFERROR(MATCH($A20,Do!$F$23:$AQ$23,0),100),IFERROR(MATCH($A20,Do!$F$24:$AQ$24,0),100),IFERROR(MATCH($A20,Do!$F$25:$AQ$25,0),100),IFERROR(MATCH($A20,Do!$F$26:$AQ$26,0),100),IFERROR(MATCH($A20,Do!$F$27:$AQ$27,0),100),IFERROR(MATCH($A20,Do!$F$28:$AQ$28,0),100),IFERROR(MATCH($A20,Do!$F$29:$AQ$29,0),100),IFERROR(MATCH($A20,Do!$F$30:$AQ$30,0),100),IFERROR(MATCH($A20,Do!$F$31:$AQ$31,0),100),IFERROR(MATCH($A20,Do!$F$32:$AQ$32,0),100),IFERROR(MATCH($A20,Do!$F$33:$AQ$33,0),100),IFERROR(MATCH($A20,Do!$F$34:$AQ$34,0),100),IFERROR(MATCH($A20,Do!$F$35:$AQ$35,0),100),IFERROR(MATCH($A20,Do!$F$36:$AQ$36,0),100),IFERROR(MATCH($A20,Do!$F$37:$AQ$37,0),100),IFERROR(MATCH($A20,Do!$F$38:$AQ$38,0),100),IFERROR(MATCH($A20,Do!$F$39:$AQ$39,0),100),IFERROR(MATCH($A20,Do!$F$40:$AQ$40,0),100),IFERROR(MATCH($A20,Do!$F$41:$AQ$41,0),100),IFERROR(MATCH($A20,Do!$F$42:$AQ$42,0),100),IFERROR(MATCH($A20,Do!$F$43:$AQ$43,0),100),IFERROR(MATCH($A20,Do!$F$44:$AQ$44,0),100),IFERROR(MATCH($A20,Do!$F$45:$AQ$45,0),100),IFERROR(MATCH($A20,Do!$F$46:$AQ$46,0),100),IFERROR(MATCH($A20,Do!$F$47:$AQ$47,0),100),IFERROR(MATCH($A20,Do!$F$48:$AQ$48,0),100),IFERROR(MATCH($A20,Do!$F$49:$AQ$49,0),100),IFERROR(MATCH($A20,Do!$F$50:$AQ$50,0),100),IFERROR(MATCH($A20,Do!$F$51:$AQ$51,0),100),IFERROR(MATCH($A20,Do!$F$52:$AQ$52,0),100),IFERROR(MATCH($A20,Do!$F$53:$AQ$53,0),100),IFERROR(MATCH($A20,Do!$F$54:$AQ$54,0),100),IFERROR(MATCH($A20,Do!$F$55:$AQ$55,0),100),IFERROR(MATCH($A20,Do!$F$56:$AQ$56,0),100),IFERROR(MATCH($A20,Do!$F$57:$AQ$57,0),100),IFERROR(MATCH($A20,Do!$F$58:$AQ$58,0),100),IFERROR(MATCH($A20,Do!$F$59:$AQ$59,0),100),IFERROR(MATCH($A20,Do!$F$60:$AQ$60,0),100),IFERROR(MATCH($A20,Do!$F$61:$AQ$61,0),100),IFERROR(MATCH($A20,Do!$F$62:$AQ$62,0),100),IFERROR(MATCH($A20,Do!$F$63:$AQ$63,0),100),39)</f>
        <v/>
      </c>
      <c r="J20" s="66">
        <f>IFERROR(IF(VLOOKUP(INDEX(Do!$B$12:$B$63,MATCH($A20,OFFSET( Do!$F$12:$F$63,0,(I20*48)-(IF(I20=7/24,9,IF(I20=12.5/24,9,IF(I20=14/24,9,IF(I20=15.5/24,9,10)))))),0),0),Do!$B$13:$C$63,2,FALSE)="TL","",INDEX(Do!$B$12:$B$63,MATCH($A20,OFFSET( Do!$F$12:$F$63,0,(I20*48)-(IF(I20=7/24,9,IF(I20=12.5/24,9,IF(I20=14/24,9,IF(I20=15.5/24,9,10)))))),0),0)),"")</f>
        <v/>
      </c>
      <c r="K20" s="857">
        <f>9/48+(1/48)*MIN(IFERROR(MATCH($A20,Vr!$F$13:$AQ$13,0),100),IFERROR(MATCH($A20,Vr!$F$14:$AQ$14,0),100),IFERROR(MATCH($A20,Vr!$F$15:$AQ$15,0),100),IFERROR(MATCH($A20,Vr!$F$16:$AQ$16,0),100),IFERROR(MATCH($A20,Vr!$F$17:$AQ$17,0),100),IFERROR(MATCH($A20,Vr!$F$18:$AQ$18,0),100),IFERROR(MATCH($A20,Vr!$F$19:$AQ$19,0),100),IFERROR(MATCH($A20,Vr!$F$20:$AQ$20,0),100),IFERROR(MATCH($A20,Vr!$F$21:$AQ$21,0),100),IFERROR(MATCH($A20,Vr!$F$22:$AQ$22,0),100),IFERROR(MATCH($A20,Vr!$F$23:$AQ$23,0),100),IFERROR(MATCH($A20,Vr!$F$24:$AQ$24,0),100),IFERROR(MATCH($A20,Vr!$F$25:$AQ$25,0),100),IFERROR(MATCH($A20,Vr!$F$26:$AQ$26,0),100),IFERROR(MATCH($A20,Vr!$F$27:$AQ$27,0),100),IFERROR(MATCH($A20,Vr!$F$28:$AQ$28,0),100),IFERROR(MATCH($A20,Vr!$F$29:$AQ$29,0),100),IFERROR(MATCH($A20,Vr!$F$30:$AQ$30,0),100),IFERROR(MATCH($A20,Vr!$F$31:$AQ$31,0),100),IFERROR(MATCH($A20,Vr!$F$32:$AQ$32,0),100),IFERROR(MATCH($A20,Vr!$F$33:$AQ$33,0),100),IFERROR(MATCH($A20,Vr!$F$34:$AQ$34,0),100),IFERROR(MATCH($A20,Vr!$F$35:$AQ$35,0),100),IFERROR(MATCH($A20,Vr!$F$36:$AQ$36,0),100),IFERROR(MATCH($A20,Vr!$F$37:$AQ$37,0),100),IFERROR(MATCH($A20,Vr!$F$38:$AQ$38,0),100),IFERROR(MATCH($A20,Vr!$F$39:$AQ$39,0),100),IFERROR(MATCH($A20,Vr!$F$40:$AQ$40,0),100),IFERROR(MATCH($A20,Vr!$F$41:$AQ$41,0),100),IFERROR(MATCH($A20,Vr!$F$42:$AQ$42,0),100),IFERROR(MATCH($A20,Vr!$F$43:$AQ$43,0),100),IFERROR(MATCH($A20,Vr!$F$44:$AQ$44,0),100),IFERROR(MATCH($A20,Vr!$F$45:$AQ$45,0),100),IFERROR(MATCH($A20,Vr!$F$46:$AQ$46,0),100),IFERROR(MATCH($A20,Vr!$F$47:$AQ$47,0),100),IFERROR(MATCH($A20,Vr!$F$48:$AQ$48,0),100),IFERROR(MATCH($A20,Vr!$F$49:$AQ$49,0),100),IFERROR(MATCH($A20,Vr!$F$50:$AQ$50,0),100),IFERROR(MATCH($A20,Vr!$F$51:$AQ$51,0),100),IFERROR(MATCH($A20,Vr!$F$52:$AQ$52,0),100),IFERROR(MATCH($A20,Vr!$F$53:$AQ$53,0),100),IFERROR(MATCH($A20,Vr!$F$54:$AQ$54,0),100),IFERROR(MATCH($A20,Vr!$F$55:$AQ$55,0),100),IFERROR(MATCH($A20,Vr!$F$56:$AQ$56,0),100),IFERROR(MATCH($A20,Vr!$F$57:$AQ$57,0),100),IFERROR(MATCH($A20,Vr!$F$58:$AQ$58,0),100),IFERROR(MATCH($A20,Vr!$F$59:$AQ$59,0),100),IFERROR(MATCH($A20,Vr!$F$60:$AQ$60,0),100),IFERROR(MATCH($A20,Vr!$F$61:$AQ$61,0),100),IFERROR(MATCH($A20,Vr!$F$62:$AQ$62,0),100),IFERROR(MATCH($A20,Vr!$F$63:$AQ$63,0),100),39)</f>
        <v/>
      </c>
      <c r="L20" s="66">
        <f>IFERROR(IF(VLOOKUP(INDEX(Vr!$B$12:$B$63,MATCH($A20,OFFSET( Vr!$F$12:$F$63,0,(K20*48)-(IF(K20=7/24,9,IF(K20=12.5/24,9,IF(K20=14/24,9,IF(K20=15.5/24,9,10)))))),0),0),Vr!$B$13:$C$63,2,FALSE)="TL","",INDEX(Vr!$B$12:$B$63,MATCH($A20,OFFSET( Vr!$F$12:$F$63,0,(K20*48)-(IF(K20=7/24,9,IF(K20=12.5/24,9,IF(K20=14/24,9,IF(K20=15.5/24,9,10)))))),0),0)),"")</f>
        <v/>
      </c>
      <c r="M20" s="857">
        <f>9/48+(1/48)*MIN(IFERROR(MATCH($A20,Za!$F$13:$AQ$13,0),100),IFERROR(MATCH($A20,Za!$F$14:$AQ$14,0),100),IFERROR(MATCH($A20,Za!$F$15:$AQ$15,0),100),IFERROR(MATCH($A20,Za!$F$16:$AQ$16,0),100),IFERROR(MATCH($A20,Za!$F$17:$AQ$17,0),100),IFERROR(MATCH($A20,Za!$F$18:$AQ$18,0),100),IFERROR(MATCH($A20,Za!$F$19:$AQ$19,0),100),IFERROR(MATCH($A20,Za!$F$20:$AQ$20,0),100),IFERROR(MATCH($A20,Za!$F$21:$AQ$21,0),100),IFERROR(MATCH($A20,Za!$F$22:$AQ$22,0),100),IFERROR(MATCH($A20,Za!$F$23:$AQ$23,0),100),IFERROR(MATCH($A20,Za!$F$24:$AQ$24,0),100),IFERROR(MATCH($A20,Za!$F$25:$AQ$25,0),100),IFERROR(MATCH($A20,Za!$F$26:$AQ$26,0),100),IFERROR(MATCH($A20,Za!$F$27:$AQ$27,0),100),IFERROR(MATCH($A20,Za!$F$28:$AQ$28,0),100),IFERROR(MATCH($A20,Za!$F$29:$AQ$29,0),100),IFERROR(MATCH($A20,Za!$F$30:$AQ$30,0),100),IFERROR(MATCH($A20,Za!$F$31:$AQ$31,0),100),IFERROR(MATCH($A20,Za!$F$32:$AQ$32,0),100),IFERROR(MATCH($A20,Za!$F$33:$AQ$33,0),100),IFERROR(MATCH($A20,Za!$F$34:$AQ$34,0),100),IFERROR(MATCH($A20,Za!$F$35:$AQ$35,0),100),IFERROR(MATCH($A20,Za!$F$36:$AQ$36,0),100),IFERROR(MATCH($A20,Za!$F$37:$AQ$37,0),100),IFERROR(MATCH($A20,Za!$F$38:$AQ$38,0),100),IFERROR(MATCH($A20,Za!$F$39:$AQ$39,0),100),IFERROR(MATCH($A20,Za!$F$40:$AQ$40,0),100),IFERROR(MATCH($A20,Za!$F$41:$AQ$41,0),100),IFERROR(MATCH($A20,Za!$F$42:$AQ$42,0),100),IFERROR(MATCH($A20,Za!$F$43:$AQ$43,0),100),IFERROR(MATCH($A20,Za!$F$44:$AQ$44,0),100),IFERROR(MATCH($A20,Za!$F$45:$AQ$45,0),100),IFERROR(MATCH($A20,Za!$F$46:$AQ$46,0),100),IFERROR(MATCH($A20,Za!$F$47:$AQ$47,0),100),IFERROR(MATCH($A20,Za!$F$48:$AQ$48,0),100),IFERROR(MATCH($A20,Za!$F$49:$AQ$49,0),100),IFERROR(MATCH($A20,Za!$F$50:$AQ$50,0),100),IFERROR(MATCH($A20,Za!$F$51:$AQ$51,0),100),IFERROR(MATCH($A20,Za!$F$52:$AQ$52,0),100),IFERROR(MATCH($A20,Za!$F$53:$AQ$53,0),100),IFERROR(MATCH($A20,Za!$F$54:$AQ$54,0),100),IFERROR(MATCH($A20,Za!$F$55:$AQ$55,0),100),IFERROR(MATCH($A20,Za!$F$56:$AQ$56,0),100),IFERROR(MATCH($A20,Za!$F$57:$AQ$57,0),100),IFERROR(MATCH($A20,Za!$F$58:$AQ$58,0),100),IFERROR(MATCH($A20,Za!$F$59:$AQ$59,0),100),IFERROR(MATCH($A20,Za!$F$60:$AQ$60,0),100),IFERROR(MATCH($A20,Za!$F$61:$AQ$61,0),100),IFERROR(MATCH($A20,Za!$F$62:$AQ$62,0),100),IFERROR(MATCH($A20,Za!$F$63:$AQ$63,0),100),39)</f>
        <v/>
      </c>
      <c r="N20" s="66">
        <f>IFERROR(IF(VLOOKUP(INDEX(Za!$B$12:$B$63,MATCH($A20,OFFSET( Za!$F$12:$F$63,0,(M20*48)-(IF(M20=7/24,9,IF(M20=12.5/24,9,IF(M20=14/24,9,IF(M20=15.5/24,9,10)))))),0),0),Za!$B$13:$C$63,2,FALSE)="TL","",INDEX(Za!$B$12:$B$63,MATCH($A20,OFFSET( Za!$F$12:$F$63,0,(M20*48)-(IF(M20=7/24,9,IF(M20=12.5/24,9,IF(M20=14/24,9,IF(M20=15.5/24,9,10)))))),0),0)),"")</f>
        <v/>
      </c>
      <c r="O20" s="857">
        <f>9/48+(1/48)*MIN(IFERROR(MATCH($A20,Zo!$F$13:$AQ$13,0),100),IFERROR(MATCH($A20,Zo!$F$14:$AQ$14,0),100),IFERROR(MATCH($A20,Zo!$F$15:$AQ$15,0),100),IFERROR(MATCH($A20,Zo!$F$16:$AQ$16,0),100),IFERROR(MATCH($A20,Zo!$F$17:$AQ$17,0),100),IFERROR(MATCH($A20,Zo!$F$18:$AQ$18,0),100),IFERROR(MATCH($A20,Zo!$F$19:$AQ$19,0),100),IFERROR(MATCH($A20,Zo!$F$20:$AQ$20,0),100),IFERROR(MATCH($A20,Zo!$F$21:$AQ$21,0),100),IFERROR(MATCH($A20,Zo!$F$22:$AQ$22,0),100),IFERROR(MATCH($A20,Zo!$F$23:$AQ$23,0),100),IFERROR(MATCH($A20,Zo!$F$24:$AQ$24,0),100),IFERROR(MATCH($A20,Zo!$F$25:$AQ$25,0),100),IFERROR(MATCH($A20,Zo!$F$26:$AQ$26,0),100),IFERROR(MATCH($A20,Zo!$F$27:$AQ$27,0),100),IFERROR(MATCH($A20,Zo!$F$28:$AQ$28,0),100),IFERROR(MATCH($A20,Zo!$F$29:$AQ$29,0),100),IFERROR(MATCH($A20,Zo!$F$30:$AQ$30,0),100),IFERROR(MATCH($A20,Zo!$F$31:$AQ$31,0),100),IFERROR(MATCH($A20,Zo!$F$32:$AQ$32,0),100),IFERROR(MATCH($A20,Zo!$F$33:$AQ$33,0),100),IFERROR(MATCH($A20,Zo!$F$34:$AQ$34,0),100),IFERROR(MATCH($A20,Zo!$F$35:$AQ$35,0),100),IFERROR(MATCH($A20,Zo!$F$36:$AQ$36,0),100),IFERROR(MATCH($A20,Zo!$F$37:$AQ$37,0),100),IFERROR(MATCH($A20,Zo!$F$38:$AQ$38,0),100),IFERROR(MATCH($A20,Zo!$F$39:$AQ$39,0),100),IFERROR(MATCH($A20,Zo!$F$40:$AQ$40,0),100),IFERROR(MATCH($A20,Zo!$F$41:$AQ$41,0),100),IFERROR(MATCH($A20,Zo!$F$42:$AQ$42,0),100),IFERROR(MATCH($A20,Zo!$F$43:$AQ$43,0),100),IFERROR(MATCH($A20,Zo!$F$44:$AQ$44,0),100),IFERROR(MATCH($A20,Zo!$F$45:$AQ$45,0),100),IFERROR(MATCH($A20,Zo!$F$46:$AQ$46,0),100),IFERROR(MATCH($A20,Zo!$F$47:$AQ$47,0),100),IFERROR(MATCH($A20,Zo!$F$48:$AQ$48,0),100),IFERROR(MATCH($A20,Zo!$F$49:$AQ$49,0),100),IFERROR(MATCH($A20,Zo!$F$50:$AQ$50,0),100),IFERROR(MATCH($A20,Zo!$F$51:$AQ$51,0),100),IFERROR(MATCH($A20,Zo!$F$52:$AQ$52,0),100),IFERROR(MATCH($A20,Zo!$F$53:$AQ$53,0),100),IFERROR(MATCH($A20,Zo!$F$54:$AQ$54,0),100),IFERROR(MATCH($A20,Zo!$F$55:$AQ$55,0),100),IFERROR(MATCH($A20,Zo!$F$56:$AQ$56,0),100),IFERROR(MATCH($A20,Zo!$F$57:$AQ$57,0),100),IFERROR(MATCH($A20,Zo!$F$58:$AQ$58,0),100),IFERROR(MATCH($A20,Zo!$F$59:$AQ$59,0),100),IFERROR(MATCH($A20,Zo!$F$60:$AQ$60,0),100),IFERROR(MATCH($A20,Zo!$F$61:$AQ$61,0),100),IFERROR(MATCH($A20,Zo!$F$62:$AQ$62,0),100),IFERROR(MATCH($A20,Zo!$F$63:$AQ$63,0),100),39)</f>
        <v/>
      </c>
      <c r="P20" s="66">
        <f>IFERROR(IF(VLOOKUP(INDEX(Zo!$B$12:$B$63,MATCH($A20,OFFSET( Zo!$F$12:$F$63,0,(O20*48)-(IF(O20=7/24,9,IF(O20=12.5/24,9,IF(O20=14/24,9,IF(O20=15.5/24,9,10)))))),0),0),Zo!$B$13:$C$63,2,FALSE)="TL","",INDEX(Zo!$B$12:$B$63,MATCH($A20,OFFSET( Zo!$F$12:$F$63,0,(O20*48)-(IF(O20=7/24,9,IF(O20=12.5/24,9,IF(O20=14/24,9,IF(O20=15.5/24,9,10)))))),0),0)),"")</f>
        <v/>
      </c>
    </row>
    <row r="21" ht="15" customHeight="1">
      <c r="A21" s="66" t="inlineStr">
        <is>
          <t>afp</t>
        </is>
      </c>
      <c r="B21" s="67">
        <f>A21</f>
        <v/>
      </c>
      <c r="C21" s="857">
        <f>9/48+(1/48)*MIN(IFERROR(MATCH($A21,Ma!$F$13:$AQ$13,0),100),IFERROR(MATCH($A21,Ma!$F$14:$AQ$14,0),100),IFERROR(MATCH($A21,Ma!$F$15:$AQ$15,0),100),IFERROR(MATCH($A21,Ma!$F$16:$AQ$16,0),100),IFERROR(MATCH($A21,Ma!$F$17:$AQ$17,0),100),IFERROR(MATCH($A21,Ma!$F$18:$AQ$18,0),100),IFERROR(MATCH($A21,Ma!$F$19:$AQ$19,0),100),IFERROR(MATCH($A21,Ma!$F$20:$AQ$20,0),100),IFERROR(MATCH($A21,Ma!$F$21:$AQ$21,0),100),IFERROR(MATCH($A21,Ma!$F$22:$AQ$22,0),100),IFERROR(MATCH($A21,Ma!$F$23:$AQ$23,0),100),IFERROR(MATCH($A21,Ma!$F$24:$AQ$24,0),100),IFERROR(MATCH($A21,Ma!$F$25:$AQ$25,0),100),IFERROR(MATCH($A21,Ma!$F$26:$AQ$26,0),100),IFERROR(MATCH($A21,Ma!$F$27:$AQ$27,0),100),IFERROR(MATCH($A21,Ma!$F$28:$AQ$28,0),100),IFERROR(MATCH($A21,Ma!$F$29:$AQ$29,0),100),IFERROR(MATCH($A21,Ma!$F$30:$AQ$30,0),100),IFERROR(MATCH($A21,Ma!$F$31:$AQ$31,0),100),IFERROR(MATCH($A21,Ma!$F$32:$AQ$32,0),100),IFERROR(MATCH($A21,Ma!$F$33:$AQ$33,0),100),IFERROR(MATCH($A21,Ma!$F$34:$AQ$34,0),100),IFERROR(MATCH($A21,Ma!$F$35:$AQ$35,0),100),IFERROR(MATCH($A21,Ma!$F$36:$AQ$36,0),100),IFERROR(MATCH($A21,Ma!$F$37:$AQ$37,0),100),IFERROR(MATCH($A21,Ma!$F$38:$AQ$38,0),100),IFERROR(MATCH($A21,Ma!$F$39:$AQ$39,0),100),IFERROR(MATCH($A21,Ma!$F$40:$AQ$40,0),100),IFERROR(MATCH($A21,Ma!$F$41:$AQ$41,0),100),IFERROR(MATCH($A21,Ma!$F$42:$AQ$42,0),100),IFERROR(MATCH($A21,Ma!$F$43:$AQ$43,0),100),IFERROR(MATCH($A21,Ma!$F$44:$AQ$44,0),100),IFERROR(MATCH($A21,Ma!$F$45:$AQ$45,0),100),IFERROR(MATCH($A21,Ma!$F$46:$AQ$46,0),100),IFERROR(MATCH($A21,Ma!$F$47:$AQ$47,0),100),IFERROR(MATCH($A21,Ma!$F$48:$AQ$48,0),100),IFERROR(MATCH($A21,Ma!$F$49:$AQ$49,0),100),IFERROR(MATCH($A21,Ma!$F$50:$AQ$50,0),100),IFERROR(MATCH($A21,Ma!$F$51:$AQ$51,0),100),IFERROR(MATCH($A21,Ma!$F$52:$AQ$52,0),100),IFERROR(MATCH($A21,Ma!$F$53:$AQ$53,0),100),IFERROR(MATCH($A21,Ma!$F$54:$AQ$54,0),100),IFERROR(MATCH($A21,Ma!$F$55:$AQ$55,0),100),IFERROR(MATCH($A21,Ma!$F$56:$AQ$56,0),100),IFERROR(MATCH($A21,Ma!$F$57:$AQ$57,0),100),IFERROR(MATCH($A21,Ma!$F$58:$AQ$58,0),100),IFERROR(MATCH($A21,Ma!$F$59:$AQ$59,0),100),IFERROR(MATCH($A21,Ma!$F$60:$AQ$60,0),100),IFERROR(MATCH($A21,Ma!$F$61:$AQ$61,0),100),IFERROR(MATCH($A21,Ma!$F$62:$AQ$62,0),100),IFERROR(MATCH($A21,Ma!$F$63:$AQ$63,0),100),39)</f>
        <v/>
      </c>
      <c r="D21" s="66">
        <f>IFERROR(IF(VLOOKUP(INDEX(Ma!$B$12:$B$63,MATCH($A21,OFFSET( Ma!$F$12:$F$63,0,(C21*48)-(IF(C21=7/24,9,IF(C21=12.5/24,9,IF(C21=14/24,9,IF(C21=15.5/24,9,10)))))),0),0),Ma!$B$13:$C$63,2,FALSE)="TL","",INDEX(Ma!$B$12:$B$63,MATCH($A21,OFFSET( Ma!$F$12:$F$63,0,(C21*48)-(IF(C21=7/24,9,IF(C21=12.5/24,9,IF(C21=14/24,9,IF(C21=15.5/24,9,10)))))),0),0)),"")</f>
        <v/>
      </c>
      <c r="E21" s="857">
        <f>9/48+(1/48)*MIN(IFERROR(MATCH($A21,Di!$F$13:$AQ$13,0),100),IFERROR(MATCH($A21,Di!$F$14:$AQ$14,0),100),IFERROR(MATCH($A21,Di!$F$15:$AQ$15,0),100),IFERROR(MATCH($A21,Di!$F$16:$AQ$16,0),100),IFERROR(MATCH($A21,Di!$F$17:$AQ$17,0),100),IFERROR(MATCH($A21,Di!$F$18:$AQ$18,0),100),IFERROR(MATCH($A21,Di!$F$19:$AQ$19,0),100),IFERROR(MATCH($A21,Di!$F$20:$AQ$20,0),100),IFERROR(MATCH($A21,Di!$F$21:$AQ$21,0),100),IFERROR(MATCH($A21,Di!$F$22:$AQ$22,0),100),IFERROR(MATCH($A21,Di!$F$23:$AQ$23,0),100),IFERROR(MATCH($A21,Di!$F$24:$AQ$24,0),100),IFERROR(MATCH($A21,Di!$F$25:$AQ$25,0),100),IFERROR(MATCH($A21,Di!$F$26:$AQ$26,0),100),IFERROR(MATCH($A21,Di!$F$27:$AQ$27,0),100),IFERROR(MATCH($A21,Di!$F$28:$AQ$28,0),100),IFERROR(MATCH($A21,Di!$F$29:$AQ$29,0),100),IFERROR(MATCH($A21,Di!$F$30:$AQ$30,0),100),IFERROR(MATCH($A21,Di!$F$31:$AQ$31,0),100),IFERROR(MATCH($A21,Di!$F$32:$AQ$32,0),100),IFERROR(MATCH($A21,Di!$F$33:$AQ$33,0),100),IFERROR(MATCH($A21,Di!$F$34:$AQ$34,0),100),IFERROR(MATCH($A21,Di!$F$35:$AQ$35,0),100),IFERROR(MATCH($A21,Di!$F$36:$AQ$36,0),100),IFERROR(MATCH($A21,Di!$F$37:$AQ$37,0),100),IFERROR(MATCH($A21,Di!$F$38:$AQ$38,0),100),IFERROR(MATCH($A21,Di!$F$39:$AQ$39,0),100),IFERROR(MATCH($A21,Di!$F$40:$AQ$40,0),100),IFERROR(MATCH($A21,Di!$F$41:$AQ$41,0),100),IFERROR(MATCH($A21,Di!$F$42:$AQ$42,0),100),IFERROR(MATCH($A21,Di!$F$43:$AQ$43,0),100),IFERROR(MATCH($A21,Di!$F$44:$AQ$44,0),100),IFERROR(MATCH($A21,Di!$F$45:$AQ$45,0),100),IFERROR(MATCH($A21,Di!$F$46:$AQ$46,0),100),IFERROR(MATCH($A21,Di!$F$47:$AQ$47,0),100),IFERROR(MATCH($A21,Di!$F$48:$AQ$48,0),100),IFERROR(MATCH($A21,Di!$F$49:$AQ$49,0),100),IFERROR(MATCH($A21,Di!$F$50:$AQ$50,0),100),IFERROR(MATCH($A21,Di!$F$51:$AQ$51,0),100),IFERROR(MATCH($A21,Di!$F$52:$AQ$52,0),100),IFERROR(MATCH($A21,Di!$F$53:$AQ$53,0),100),IFERROR(MATCH($A21,Di!$F$54:$AQ$54,0),100),IFERROR(MATCH($A21,Di!$F$55:$AQ$55,0),100),IFERROR(MATCH($A21,Di!$F$56:$AQ$56,0),100),IFERROR(MATCH($A21,Di!$F$57:$AQ$57,0),100),IFERROR(MATCH($A21,Di!$F$58:$AQ$58,0),100),IFERROR(MATCH($A21,Di!$F$59:$AQ$59,0),100),IFERROR(MATCH($A21,Di!$F$60:$AQ$60,0),100),IFERROR(MATCH($A21,Di!$F$61:$AQ$61,0),100),IFERROR(MATCH($A21,Di!$F$62:$AQ$62,0),100),IFERROR(MATCH($A21,Di!$F$63:$AQ$63,0),100),39)</f>
        <v/>
      </c>
      <c r="F21" s="66">
        <f>IFERROR(IF(VLOOKUP(INDEX(Di!$B$12:$B$63,MATCH($A21,OFFSET( Di!$F$12:$F$63,0,(E21*48)-(IF(E21=7/24,9,IF(E21=12.5/24,9,IF(E21=14/24,9,IF(E21=15.5/24,9,10)))))),0),0),Di!$B$13:$C$63,2,FALSE)="TL","",INDEX(Di!$B$12:$B$63,MATCH($A21,OFFSET( Di!$F$12:$F$63,0,(E21*48)-(IF(E21=7/24,9,IF(E21=12.5/24,9,IF(E21=14/24,9,IF(E21=15.5/24,9,10)))))),0),0)),"")</f>
        <v/>
      </c>
      <c r="G21" s="857">
        <f>9/48+(1/48)*MIN(IFERROR(MATCH($A21,Wo!$F$13:$AQ$13,0),100),IFERROR(MATCH($A21,Wo!$F$14:$AQ$14,0),100),IFERROR(MATCH($A21,Wo!$F$15:$AQ$15,0),100),IFERROR(MATCH($A21,Wo!$F$16:$AQ$16,0),100),IFERROR(MATCH($A21,Wo!$F$17:$AQ$17,0),100),IFERROR(MATCH($A21,Wo!$F$18:$AQ$18,0),100),IFERROR(MATCH($A21,Wo!$F$19:$AQ$19,0),100),IFERROR(MATCH($A21,Wo!$F$20:$AQ$20,0),100),IFERROR(MATCH($A21,Wo!$F$21:$AQ$21,0),100),IFERROR(MATCH($A21,Wo!$F$22:$AQ$22,0),100),IFERROR(MATCH($A21,Wo!$F$23:$AQ$23,0),100),IFERROR(MATCH($A21,Wo!$F$24:$AQ$24,0),100),IFERROR(MATCH($A21,Wo!$F$25:$AQ$25,0),100),IFERROR(MATCH($A21,Wo!$F$26:$AQ$26,0),100),IFERROR(MATCH($A21,Wo!$F$27:$AQ$27,0),100),IFERROR(MATCH($A21,Wo!$F$28:$AQ$28,0),100),IFERROR(MATCH($A21,Wo!$F$29:$AQ$29,0),100),IFERROR(MATCH($A21,Wo!$F$30:$AQ$30,0),100),IFERROR(MATCH($A21,Wo!$F$31:$AQ$31,0),100),IFERROR(MATCH($A21,Wo!$F$32:$AQ$32,0),100),IFERROR(MATCH($A21,Wo!$F$33:$AQ$33,0),100),IFERROR(MATCH($A21,Wo!$F$34:$AQ$34,0),100),IFERROR(MATCH($A21,Wo!$F$35:$AQ$35,0),100),IFERROR(MATCH($A21,Wo!$F$36:$AQ$36,0),100),IFERROR(MATCH($A21,Wo!$F$37:$AQ$37,0),100),IFERROR(MATCH($A21,Wo!$F$38:$AQ$38,0),100),IFERROR(MATCH($A21,Wo!$F$39:$AQ$39,0),100),IFERROR(MATCH($A21,Wo!$F$40:$AQ$40,0),100),IFERROR(MATCH($A21,Wo!$F$41:$AQ$41,0),100),IFERROR(MATCH($A21,Wo!$F$42:$AQ$42,0),100),IFERROR(MATCH($A21,Wo!$F$43:$AQ$43,0),100),IFERROR(MATCH($A21,Wo!$F$44:$AQ$44,0),100),IFERROR(MATCH($A21,Wo!$F$45:$AQ$45,0),100),IFERROR(MATCH($A21,Wo!$F$46:$AQ$46,0),100),IFERROR(MATCH($A21,Wo!$F$47:$AQ$47,0),100),IFERROR(MATCH($A21,Wo!$F$48:$AQ$48,0),100),IFERROR(MATCH($A21,Wo!$F$49:$AQ$49,0),100),IFERROR(MATCH($A21,Wo!$F$50:$AQ$50,0),100),IFERROR(MATCH($A21,Wo!$F$51:$AQ$51,0),100),IFERROR(MATCH($A21,Wo!$F$52:$AQ$52,0),100),IFERROR(MATCH($A21,Wo!$F$53:$AQ$53,0),100),IFERROR(MATCH($A21,Wo!$F$54:$AQ$54,0),100),IFERROR(MATCH($A21,Wo!$F$55:$AQ$55,0),100),IFERROR(MATCH($A21,Wo!$F$56:$AQ$56,0),100),IFERROR(MATCH($A21,Wo!$F$57:$AQ$57,0),100),IFERROR(MATCH($A21,Wo!$F$58:$AQ$58,0),100),IFERROR(MATCH($A21,Wo!$F$59:$AQ$59,0),100),IFERROR(MATCH($A21,Wo!$F$60:$AQ$60,0),100),IFERROR(MATCH($A21,Wo!$F$61:$AQ$61,0),100),IFERROR(MATCH($A21,Wo!$F$62:$AQ$62,0),100),IFERROR(MATCH($A21,Wo!$F$63:$AQ$63,0),100),39)</f>
        <v/>
      </c>
      <c r="H21" s="66">
        <f>IFERROR(IF(VLOOKUP(INDEX(Wo!$B$12:$B$63,MATCH($A21,OFFSET( Wo!$F$12:$F$63,0,(G21*48)-(IF(G21=7/24,9,IF(G21=12.5/24,9,IF(G21=14/24,9,IF(G21=15.5/24,9,10)))))),0),0),Wo!$B$13:$C$63,2,FALSE)="TL","",INDEX(Wo!$B$12:$B$63,MATCH($A21,OFFSET( Wo!$F$12:$F$63,0,(G21*48)-(IF(G21=7/24,9,IF(G21=12.5/24,9,IF(G21=14/24,9,IF(G21=15.5/24,9,10)))))),0),0)),"")</f>
        <v/>
      </c>
      <c r="I21" s="857">
        <f>9/48+(1/48)*MIN(IFERROR(MATCH($A21,Do!$F$13:$AQ$13,0),100),IFERROR(MATCH($A21,Do!$F$14:$AQ$14,0),100),IFERROR(MATCH($A21,Do!$F$15:$AQ$15,0),100),IFERROR(MATCH($A21,Do!$F$16:$AQ$16,0),100),IFERROR(MATCH($A21,Do!$F$17:$AQ$17,0),100),IFERROR(MATCH($A21,Do!$F$18:$AQ$18,0),100),IFERROR(MATCH($A21,Do!$F$19:$AQ$19,0),100),IFERROR(MATCH($A21,Do!$F$20:$AQ$20,0),100),IFERROR(MATCH($A21,Do!$F$21:$AQ$21,0),100),IFERROR(MATCH($A21,Do!$F$22:$AQ$22,0),100),IFERROR(MATCH($A21,Do!$F$23:$AQ$23,0),100),IFERROR(MATCH($A21,Do!$F$24:$AQ$24,0),100),IFERROR(MATCH($A21,Do!$F$25:$AQ$25,0),100),IFERROR(MATCH($A21,Do!$F$26:$AQ$26,0),100),IFERROR(MATCH($A21,Do!$F$27:$AQ$27,0),100),IFERROR(MATCH($A21,Do!$F$28:$AQ$28,0),100),IFERROR(MATCH($A21,Do!$F$29:$AQ$29,0),100),IFERROR(MATCH($A21,Do!$F$30:$AQ$30,0),100),IFERROR(MATCH($A21,Do!$F$31:$AQ$31,0),100),IFERROR(MATCH($A21,Do!$F$32:$AQ$32,0),100),IFERROR(MATCH($A21,Do!$F$33:$AQ$33,0),100),IFERROR(MATCH($A21,Do!$F$34:$AQ$34,0),100),IFERROR(MATCH($A21,Do!$F$35:$AQ$35,0),100),IFERROR(MATCH($A21,Do!$F$36:$AQ$36,0),100),IFERROR(MATCH($A21,Do!$F$37:$AQ$37,0),100),IFERROR(MATCH($A21,Do!$F$38:$AQ$38,0),100),IFERROR(MATCH($A21,Do!$F$39:$AQ$39,0),100),IFERROR(MATCH($A21,Do!$F$40:$AQ$40,0),100),IFERROR(MATCH($A21,Do!$F$41:$AQ$41,0),100),IFERROR(MATCH($A21,Do!$F$42:$AQ$42,0),100),IFERROR(MATCH($A21,Do!$F$43:$AQ$43,0),100),IFERROR(MATCH($A21,Do!$F$44:$AQ$44,0),100),IFERROR(MATCH($A21,Do!$F$45:$AQ$45,0),100),IFERROR(MATCH($A21,Do!$F$46:$AQ$46,0),100),IFERROR(MATCH($A21,Do!$F$47:$AQ$47,0),100),IFERROR(MATCH($A21,Do!$F$48:$AQ$48,0),100),IFERROR(MATCH($A21,Do!$F$49:$AQ$49,0),100),IFERROR(MATCH($A21,Do!$F$50:$AQ$50,0),100),IFERROR(MATCH($A21,Do!$F$51:$AQ$51,0),100),IFERROR(MATCH($A21,Do!$F$52:$AQ$52,0),100),IFERROR(MATCH($A21,Do!$F$53:$AQ$53,0),100),IFERROR(MATCH($A21,Do!$F$54:$AQ$54,0),100),IFERROR(MATCH($A21,Do!$F$55:$AQ$55,0),100),IFERROR(MATCH($A21,Do!$F$56:$AQ$56,0),100),IFERROR(MATCH($A21,Do!$F$57:$AQ$57,0),100),IFERROR(MATCH($A21,Do!$F$58:$AQ$58,0),100),IFERROR(MATCH($A21,Do!$F$59:$AQ$59,0),100),IFERROR(MATCH($A21,Do!$F$60:$AQ$60,0),100),IFERROR(MATCH($A21,Do!$F$61:$AQ$61,0),100),IFERROR(MATCH($A21,Do!$F$62:$AQ$62,0),100),IFERROR(MATCH($A21,Do!$F$63:$AQ$63,0),100),39)</f>
        <v/>
      </c>
      <c r="J21" s="66">
        <f>IFERROR(IF(VLOOKUP(INDEX(Do!$B$12:$B$63,MATCH($A21,OFFSET( Do!$F$12:$F$63,0,(I21*48)-(IF(I21=7/24,9,IF(I21=12.5/24,9,IF(I21=14/24,9,IF(I21=15.5/24,9,10)))))),0),0),Do!$B$13:$C$63,2,FALSE)="TL","",INDEX(Do!$B$12:$B$63,MATCH($A21,OFFSET( Do!$F$12:$F$63,0,(I21*48)-(IF(I21=7/24,9,IF(I21=12.5/24,9,IF(I21=14/24,9,IF(I21=15.5/24,9,10)))))),0),0)),"")</f>
        <v/>
      </c>
      <c r="K21" s="857">
        <f>9/48+(1/48)*MIN(IFERROR(MATCH($A21,Vr!$F$13:$AQ$13,0),100),IFERROR(MATCH($A21,Vr!$F$14:$AQ$14,0),100),IFERROR(MATCH($A21,Vr!$F$15:$AQ$15,0),100),IFERROR(MATCH($A21,Vr!$F$16:$AQ$16,0),100),IFERROR(MATCH($A21,Vr!$F$17:$AQ$17,0),100),IFERROR(MATCH($A21,Vr!$F$18:$AQ$18,0),100),IFERROR(MATCH($A21,Vr!$F$19:$AQ$19,0),100),IFERROR(MATCH($A21,Vr!$F$20:$AQ$20,0),100),IFERROR(MATCH($A21,Vr!$F$21:$AQ$21,0),100),IFERROR(MATCH($A21,Vr!$F$22:$AQ$22,0),100),IFERROR(MATCH($A21,Vr!$F$23:$AQ$23,0),100),IFERROR(MATCH($A21,Vr!$F$24:$AQ$24,0),100),IFERROR(MATCH($A21,Vr!$F$25:$AQ$25,0),100),IFERROR(MATCH($A21,Vr!$F$26:$AQ$26,0),100),IFERROR(MATCH($A21,Vr!$F$27:$AQ$27,0),100),IFERROR(MATCH($A21,Vr!$F$28:$AQ$28,0),100),IFERROR(MATCH($A21,Vr!$F$29:$AQ$29,0),100),IFERROR(MATCH($A21,Vr!$F$30:$AQ$30,0),100),IFERROR(MATCH($A21,Vr!$F$31:$AQ$31,0),100),IFERROR(MATCH($A21,Vr!$F$32:$AQ$32,0),100),IFERROR(MATCH($A21,Vr!$F$33:$AQ$33,0),100),IFERROR(MATCH($A21,Vr!$F$34:$AQ$34,0),100),IFERROR(MATCH($A21,Vr!$F$35:$AQ$35,0),100),IFERROR(MATCH($A21,Vr!$F$36:$AQ$36,0),100),IFERROR(MATCH($A21,Vr!$F$37:$AQ$37,0),100),IFERROR(MATCH($A21,Vr!$F$38:$AQ$38,0),100),IFERROR(MATCH($A21,Vr!$F$39:$AQ$39,0),100),IFERROR(MATCH($A21,Vr!$F$40:$AQ$40,0),100),IFERROR(MATCH($A21,Vr!$F$41:$AQ$41,0),100),IFERROR(MATCH($A21,Vr!$F$42:$AQ$42,0),100),IFERROR(MATCH($A21,Vr!$F$43:$AQ$43,0),100),IFERROR(MATCH($A21,Vr!$F$44:$AQ$44,0),100),IFERROR(MATCH($A21,Vr!$F$45:$AQ$45,0),100),IFERROR(MATCH($A21,Vr!$F$46:$AQ$46,0),100),IFERROR(MATCH($A21,Vr!$F$47:$AQ$47,0),100),IFERROR(MATCH($A21,Vr!$F$48:$AQ$48,0),100),IFERROR(MATCH($A21,Vr!$F$49:$AQ$49,0),100),IFERROR(MATCH($A21,Vr!$F$50:$AQ$50,0),100),IFERROR(MATCH($A21,Vr!$F$51:$AQ$51,0),100),IFERROR(MATCH($A21,Vr!$F$52:$AQ$52,0),100),IFERROR(MATCH($A21,Vr!$F$53:$AQ$53,0),100),IFERROR(MATCH($A21,Vr!$F$54:$AQ$54,0),100),IFERROR(MATCH($A21,Vr!$F$55:$AQ$55,0),100),IFERROR(MATCH($A21,Vr!$F$56:$AQ$56,0),100),IFERROR(MATCH($A21,Vr!$F$57:$AQ$57,0),100),IFERROR(MATCH($A21,Vr!$F$58:$AQ$58,0),100),IFERROR(MATCH($A21,Vr!$F$59:$AQ$59,0),100),IFERROR(MATCH($A21,Vr!$F$60:$AQ$60,0),100),IFERROR(MATCH($A21,Vr!$F$61:$AQ$61,0),100),IFERROR(MATCH($A21,Vr!$F$62:$AQ$62,0),100),IFERROR(MATCH($A21,Vr!$F$63:$AQ$63,0),100),39)</f>
        <v/>
      </c>
      <c r="L21" s="66">
        <f>IFERROR(IF(VLOOKUP(INDEX(Vr!$B$12:$B$63,MATCH($A21,OFFSET( Vr!$F$12:$F$63,0,(K21*48)-(IF(K21=7/24,9,IF(K21=12.5/24,9,IF(K21=14/24,9,IF(K21=15.5/24,9,10)))))),0),0),Vr!$B$13:$C$63,2,FALSE)="TL","",INDEX(Vr!$B$12:$B$63,MATCH($A21,OFFSET( Vr!$F$12:$F$63,0,(K21*48)-(IF(K21=7/24,9,IF(K21=12.5/24,9,IF(K21=14/24,9,IF(K21=15.5/24,9,10)))))),0),0)),"")</f>
        <v/>
      </c>
      <c r="M21" s="857">
        <f>9/48+(1/48)*MIN(IFERROR(MATCH($A21,Za!$F$13:$AQ$13,0),100),IFERROR(MATCH($A21,Za!$F$14:$AQ$14,0),100),IFERROR(MATCH($A21,Za!$F$15:$AQ$15,0),100),IFERROR(MATCH($A21,Za!$F$16:$AQ$16,0),100),IFERROR(MATCH($A21,Za!$F$17:$AQ$17,0),100),IFERROR(MATCH($A21,Za!$F$18:$AQ$18,0),100),IFERROR(MATCH($A21,Za!$F$19:$AQ$19,0),100),IFERROR(MATCH($A21,Za!$F$20:$AQ$20,0),100),IFERROR(MATCH($A21,Za!$F$21:$AQ$21,0),100),IFERROR(MATCH($A21,Za!$F$22:$AQ$22,0),100),IFERROR(MATCH($A21,Za!$F$23:$AQ$23,0),100),IFERROR(MATCH($A21,Za!$F$24:$AQ$24,0),100),IFERROR(MATCH($A21,Za!$F$25:$AQ$25,0),100),IFERROR(MATCH($A21,Za!$F$26:$AQ$26,0),100),IFERROR(MATCH($A21,Za!$F$27:$AQ$27,0),100),IFERROR(MATCH($A21,Za!$F$28:$AQ$28,0),100),IFERROR(MATCH($A21,Za!$F$29:$AQ$29,0),100),IFERROR(MATCH($A21,Za!$F$30:$AQ$30,0),100),IFERROR(MATCH($A21,Za!$F$31:$AQ$31,0),100),IFERROR(MATCH($A21,Za!$F$32:$AQ$32,0),100),IFERROR(MATCH($A21,Za!$F$33:$AQ$33,0),100),IFERROR(MATCH($A21,Za!$F$34:$AQ$34,0),100),IFERROR(MATCH($A21,Za!$F$35:$AQ$35,0),100),IFERROR(MATCH($A21,Za!$F$36:$AQ$36,0),100),IFERROR(MATCH($A21,Za!$F$37:$AQ$37,0),100),IFERROR(MATCH($A21,Za!$F$38:$AQ$38,0),100),IFERROR(MATCH($A21,Za!$F$39:$AQ$39,0),100),IFERROR(MATCH($A21,Za!$F$40:$AQ$40,0),100),IFERROR(MATCH($A21,Za!$F$41:$AQ$41,0),100),IFERROR(MATCH($A21,Za!$F$42:$AQ$42,0),100),IFERROR(MATCH($A21,Za!$F$43:$AQ$43,0),100),IFERROR(MATCH($A21,Za!$F$44:$AQ$44,0),100),IFERROR(MATCH($A21,Za!$F$45:$AQ$45,0),100),IFERROR(MATCH($A21,Za!$F$46:$AQ$46,0),100),IFERROR(MATCH($A21,Za!$F$47:$AQ$47,0),100),IFERROR(MATCH($A21,Za!$F$48:$AQ$48,0),100),IFERROR(MATCH($A21,Za!$F$49:$AQ$49,0),100),IFERROR(MATCH($A21,Za!$F$50:$AQ$50,0),100),IFERROR(MATCH($A21,Za!$F$51:$AQ$51,0),100),IFERROR(MATCH($A21,Za!$F$52:$AQ$52,0),100),IFERROR(MATCH($A21,Za!$F$53:$AQ$53,0),100),IFERROR(MATCH($A21,Za!$F$54:$AQ$54,0),100),IFERROR(MATCH($A21,Za!$F$55:$AQ$55,0),100),IFERROR(MATCH($A21,Za!$F$56:$AQ$56,0),100),IFERROR(MATCH($A21,Za!$F$57:$AQ$57,0),100),IFERROR(MATCH($A21,Za!$F$58:$AQ$58,0),100),IFERROR(MATCH($A21,Za!$F$59:$AQ$59,0),100),IFERROR(MATCH($A21,Za!$F$60:$AQ$60,0),100),IFERROR(MATCH($A21,Za!$F$61:$AQ$61,0),100),IFERROR(MATCH($A21,Za!$F$62:$AQ$62,0),100),IFERROR(MATCH($A21,Za!$F$63:$AQ$63,0),100),39)</f>
        <v/>
      </c>
      <c r="N21" s="66">
        <f>IFERROR(IF(VLOOKUP(INDEX(Za!$B$12:$B$63,MATCH($A21,OFFSET( Za!$F$12:$F$63,0,(M21*48)-(IF(M21=7/24,9,IF(M21=12.5/24,9,IF(M21=14/24,9,IF(M21=15.5/24,9,10)))))),0),0),Za!$B$13:$C$63,2,FALSE)="TL","",INDEX(Za!$B$12:$B$63,MATCH($A21,OFFSET( Za!$F$12:$F$63,0,(M21*48)-(IF(M21=7/24,9,IF(M21=12.5/24,9,IF(M21=14/24,9,IF(M21=15.5/24,9,10)))))),0),0)),"")</f>
        <v/>
      </c>
      <c r="O21" s="857">
        <f>9/48+(1/48)*MIN(IFERROR(MATCH($A21,Zo!$F$13:$AQ$13,0),100),IFERROR(MATCH($A21,Zo!$F$14:$AQ$14,0),100),IFERROR(MATCH($A21,Zo!$F$15:$AQ$15,0),100),IFERROR(MATCH($A21,Zo!$F$16:$AQ$16,0),100),IFERROR(MATCH($A21,Zo!$F$17:$AQ$17,0),100),IFERROR(MATCH($A21,Zo!$F$18:$AQ$18,0),100),IFERROR(MATCH($A21,Zo!$F$19:$AQ$19,0),100),IFERROR(MATCH($A21,Zo!$F$20:$AQ$20,0),100),IFERROR(MATCH($A21,Zo!$F$21:$AQ$21,0),100),IFERROR(MATCH($A21,Zo!$F$22:$AQ$22,0),100),IFERROR(MATCH($A21,Zo!$F$23:$AQ$23,0),100),IFERROR(MATCH($A21,Zo!$F$24:$AQ$24,0),100),IFERROR(MATCH($A21,Zo!$F$25:$AQ$25,0),100),IFERROR(MATCH($A21,Zo!$F$26:$AQ$26,0),100),IFERROR(MATCH($A21,Zo!$F$27:$AQ$27,0),100),IFERROR(MATCH($A21,Zo!$F$28:$AQ$28,0),100),IFERROR(MATCH($A21,Zo!$F$29:$AQ$29,0),100),IFERROR(MATCH($A21,Zo!$F$30:$AQ$30,0),100),IFERROR(MATCH($A21,Zo!$F$31:$AQ$31,0),100),IFERROR(MATCH($A21,Zo!$F$32:$AQ$32,0),100),IFERROR(MATCH($A21,Zo!$F$33:$AQ$33,0),100),IFERROR(MATCH($A21,Zo!$F$34:$AQ$34,0),100),IFERROR(MATCH($A21,Zo!$F$35:$AQ$35,0),100),IFERROR(MATCH($A21,Zo!$F$36:$AQ$36,0),100),IFERROR(MATCH($A21,Zo!$F$37:$AQ$37,0),100),IFERROR(MATCH($A21,Zo!$F$38:$AQ$38,0),100),IFERROR(MATCH($A21,Zo!$F$39:$AQ$39,0),100),IFERROR(MATCH($A21,Zo!$F$40:$AQ$40,0),100),IFERROR(MATCH($A21,Zo!$F$41:$AQ$41,0),100),IFERROR(MATCH($A21,Zo!$F$42:$AQ$42,0),100),IFERROR(MATCH($A21,Zo!$F$43:$AQ$43,0),100),IFERROR(MATCH($A21,Zo!$F$44:$AQ$44,0),100),IFERROR(MATCH($A21,Zo!$F$45:$AQ$45,0),100),IFERROR(MATCH($A21,Zo!$F$46:$AQ$46,0),100),IFERROR(MATCH($A21,Zo!$F$47:$AQ$47,0),100),IFERROR(MATCH($A21,Zo!$F$48:$AQ$48,0),100),IFERROR(MATCH($A21,Zo!$F$49:$AQ$49,0),100),IFERROR(MATCH($A21,Zo!$F$50:$AQ$50,0),100),IFERROR(MATCH($A21,Zo!$F$51:$AQ$51,0),100),IFERROR(MATCH($A21,Zo!$F$52:$AQ$52,0),100),IFERROR(MATCH($A21,Zo!$F$53:$AQ$53,0),100),IFERROR(MATCH($A21,Zo!$F$54:$AQ$54,0),100),IFERROR(MATCH($A21,Zo!$F$55:$AQ$55,0),100),IFERROR(MATCH($A21,Zo!$F$56:$AQ$56,0),100),IFERROR(MATCH($A21,Zo!$F$57:$AQ$57,0),100),IFERROR(MATCH($A21,Zo!$F$58:$AQ$58,0),100),IFERROR(MATCH($A21,Zo!$F$59:$AQ$59,0),100),IFERROR(MATCH($A21,Zo!$F$60:$AQ$60,0),100),IFERROR(MATCH($A21,Zo!$F$61:$AQ$61,0),100),IFERROR(MATCH($A21,Zo!$F$62:$AQ$62,0),100),IFERROR(MATCH($A21,Zo!$F$63:$AQ$63,0),100),39)</f>
        <v/>
      </c>
      <c r="P21" s="66">
        <f>IFERROR(IF(VLOOKUP(INDEX(Zo!$B$12:$B$63,MATCH($A21,OFFSET( Zo!$F$12:$F$63,0,(O21*48)-(IF(O21=7/24,9,IF(O21=12.5/24,9,IF(O21=14/24,9,IF(O21=15.5/24,9,10)))))),0),0),Zo!$B$13:$C$63,2,FALSE)="TL","",INDEX(Zo!$B$12:$B$63,MATCH($A21,OFFSET( Zo!$F$12:$F$63,0,(O21*48)-(IF(O21=7/24,9,IF(O21=12.5/24,9,IF(O21=14/24,9,IF(O21=15.5/24,9,10)))))),0),0)),"")</f>
        <v/>
      </c>
    </row>
    <row r="22" ht="15" customHeight="1">
      <c r="A22" s="66" t="inlineStr">
        <is>
          <t>cb</t>
        </is>
      </c>
      <c r="B22" s="67">
        <f>A22</f>
        <v/>
      </c>
      <c r="C22" s="857">
        <f>9/48+(1/48)*MIN(IFERROR(MATCH($A22,Ma!$F$13:$AQ$13,0),100),IFERROR(MATCH($A22,Ma!$F$14:$AQ$14,0),100),IFERROR(MATCH($A22,Ma!$F$15:$AQ$15,0),100),IFERROR(MATCH($A22,Ma!$F$16:$AQ$16,0),100),IFERROR(MATCH($A22,Ma!$F$17:$AQ$17,0),100),IFERROR(MATCH($A22,Ma!$F$18:$AQ$18,0),100),IFERROR(MATCH($A22,Ma!$F$19:$AQ$19,0),100),IFERROR(MATCH($A22,Ma!$F$20:$AQ$20,0),100),IFERROR(MATCH($A22,Ma!$F$21:$AQ$21,0),100),IFERROR(MATCH($A22,Ma!$F$22:$AQ$22,0),100),IFERROR(MATCH($A22,Ma!$F$23:$AQ$23,0),100),IFERROR(MATCH($A22,Ma!$F$24:$AQ$24,0),100),IFERROR(MATCH($A22,Ma!$F$25:$AQ$25,0),100),IFERROR(MATCH($A22,Ma!$F$26:$AQ$26,0),100),IFERROR(MATCH($A22,Ma!$F$27:$AQ$27,0),100),IFERROR(MATCH($A22,Ma!$F$28:$AQ$28,0),100),IFERROR(MATCH($A22,Ma!$F$29:$AQ$29,0),100),IFERROR(MATCH($A22,Ma!$F$30:$AQ$30,0),100),IFERROR(MATCH($A22,Ma!$F$31:$AQ$31,0),100),IFERROR(MATCH($A22,Ma!$F$32:$AQ$32,0),100),IFERROR(MATCH($A22,Ma!$F$33:$AQ$33,0),100),IFERROR(MATCH($A22,Ma!$F$34:$AQ$34,0),100),IFERROR(MATCH($A22,Ma!$F$35:$AQ$35,0),100),IFERROR(MATCH($A22,Ma!$F$36:$AQ$36,0),100),IFERROR(MATCH($A22,Ma!$F$37:$AQ$37,0),100),IFERROR(MATCH($A22,Ma!$F$38:$AQ$38,0),100),IFERROR(MATCH($A22,Ma!$F$39:$AQ$39,0),100),IFERROR(MATCH($A22,Ma!$F$40:$AQ$40,0),100),IFERROR(MATCH($A22,Ma!$F$41:$AQ$41,0),100),IFERROR(MATCH($A22,Ma!$F$42:$AQ$42,0),100),IFERROR(MATCH($A22,Ma!$F$43:$AQ$43,0),100),IFERROR(MATCH($A22,Ma!$F$44:$AQ$44,0),100),IFERROR(MATCH($A22,Ma!$F$45:$AQ$45,0),100),IFERROR(MATCH($A22,Ma!$F$46:$AQ$46,0),100),IFERROR(MATCH($A22,Ma!$F$47:$AQ$47,0),100),IFERROR(MATCH($A22,Ma!$F$48:$AQ$48,0),100),IFERROR(MATCH($A22,Ma!$F$49:$AQ$49,0),100),IFERROR(MATCH($A22,Ma!$F$50:$AQ$50,0),100),IFERROR(MATCH($A22,Ma!$F$51:$AQ$51,0),100),IFERROR(MATCH($A22,Ma!$F$52:$AQ$52,0),100),IFERROR(MATCH($A22,Ma!$F$53:$AQ$53,0),100),IFERROR(MATCH($A22,Ma!$F$54:$AQ$54,0),100),IFERROR(MATCH($A22,Ma!$F$55:$AQ$55,0),100),IFERROR(MATCH($A22,Ma!$F$56:$AQ$56,0),100),IFERROR(MATCH($A22,Ma!$F$57:$AQ$57,0),100),IFERROR(MATCH($A22,Ma!$F$58:$AQ$58,0),100),IFERROR(MATCH($A22,Ma!$F$59:$AQ$59,0),100),IFERROR(MATCH($A22,Ma!$F$60:$AQ$60,0),100),IFERROR(MATCH($A22,Ma!$F$61:$AQ$61,0),100),IFERROR(MATCH($A22,Ma!$F$62:$AQ$62,0),100),IFERROR(MATCH($A22,Ma!$F$63:$AQ$63,0),100),39)</f>
        <v/>
      </c>
      <c r="D22" s="66">
        <f>IFERROR(IF(VLOOKUP(INDEX(Ma!$B$12:$B$63,MATCH($A22,OFFSET( Ma!$F$12:$F$63,0,(C22*48)-(IF(C22=7/24,9,IF(C22=12.5/24,9,IF(C22=14/24,9,IF(C22=15.5/24,9,10)))))),0),0),Ma!$B$13:$C$63,2,FALSE)="TL","",INDEX(Ma!$B$12:$B$63,MATCH($A22,OFFSET( Ma!$F$12:$F$63,0,(C22*48)-(IF(C22=7/24,9,IF(C22=12.5/24,9,IF(C22=14/24,9,IF(C22=15.5/24,9,10)))))),0),0)),"")</f>
        <v/>
      </c>
      <c r="E22" s="857">
        <f>9/48+(1/48)*MIN(IFERROR(MATCH($A22,Di!$F$13:$AQ$13,0),100),IFERROR(MATCH($A22,Di!$F$14:$AQ$14,0),100),IFERROR(MATCH($A22,Di!$F$15:$AQ$15,0),100),IFERROR(MATCH($A22,Di!$F$16:$AQ$16,0),100),IFERROR(MATCH($A22,Di!$F$17:$AQ$17,0),100),IFERROR(MATCH($A22,Di!$F$18:$AQ$18,0),100),IFERROR(MATCH($A22,Di!$F$19:$AQ$19,0),100),IFERROR(MATCH($A22,Di!$F$20:$AQ$20,0),100),IFERROR(MATCH($A22,Di!$F$21:$AQ$21,0),100),IFERROR(MATCH($A22,Di!$F$22:$AQ$22,0),100),IFERROR(MATCH($A22,Di!$F$23:$AQ$23,0),100),IFERROR(MATCH($A22,Di!$F$24:$AQ$24,0),100),IFERROR(MATCH($A22,Di!$F$25:$AQ$25,0),100),IFERROR(MATCH($A22,Di!$F$26:$AQ$26,0),100),IFERROR(MATCH($A22,Di!$F$27:$AQ$27,0),100),IFERROR(MATCH($A22,Di!$F$28:$AQ$28,0),100),IFERROR(MATCH($A22,Di!$F$29:$AQ$29,0),100),IFERROR(MATCH($A22,Di!$F$30:$AQ$30,0),100),IFERROR(MATCH($A22,Di!$F$31:$AQ$31,0),100),IFERROR(MATCH($A22,Di!$F$32:$AQ$32,0),100),IFERROR(MATCH($A22,Di!$F$33:$AQ$33,0),100),IFERROR(MATCH($A22,Di!$F$34:$AQ$34,0),100),IFERROR(MATCH($A22,Di!$F$35:$AQ$35,0),100),IFERROR(MATCH($A22,Di!$F$36:$AQ$36,0),100),IFERROR(MATCH($A22,Di!$F$37:$AQ$37,0),100),IFERROR(MATCH($A22,Di!$F$38:$AQ$38,0),100),IFERROR(MATCH($A22,Di!$F$39:$AQ$39,0),100),IFERROR(MATCH($A22,Di!$F$40:$AQ$40,0),100),IFERROR(MATCH($A22,Di!$F$41:$AQ$41,0),100),IFERROR(MATCH($A22,Di!$F$42:$AQ$42,0),100),IFERROR(MATCH($A22,Di!$F$43:$AQ$43,0),100),IFERROR(MATCH($A22,Di!$F$44:$AQ$44,0),100),IFERROR(MATCH($A22,Di!$F$45:$AQ$45,0),100),IFERROR(MATCH($A22,Di!$F$46:$AQ$46,0),100),IFERROR(MATCH($A22,Di!$F$47:$AQ$47,0),100),IFERROR(MATCH($A22,Di!$F$48:$AQ$48,0),100),IFERROR(MATCH($A22,Di!$F$49:$AQ$49,0),100),IFERROR(MATCH($A22,Di!$F$50:$AQ$50,0),100),IFERROR(MATCH($A22,Di!$F$51:$AQ$51,0),100),IFERROR(MATCH($A22,Di!$F$52:$AQ$52,0),100),IFERROR(MATCH($A22,Di!$F$53:$AQ$53,0),100),IFERROR(MATCH($A22,Di!$F$54:$AQ$54,0),100),IFERROR(MATCH($A22,Di!$F$55:$AQ$55,0),100),IFERROR(MATCH($A22,Di!$F$56:$AQ$56,0),100),IFERROR(MATCH($A22,Di!$F$57:$AQ$57,0),100),IFERROR(MATCH($A22,Di!$F$58:$AQ$58,0),100),IFERROR(MATCH($A22,Di!$F$59:$AQ$59,0),100),IFERROR(MATCH($A22,Di!$F$60:$AQ$60,0),100),IFERROR(MATCH($A22,Di!$F$61:$AQ$61,0),100),IFERROR(MATCH($A22,Di!$F$62:$AQ$62,0),100),IFERROR(MATCH($A22,Di!$F$63:$AQ$63,0),100),39)</f>
        <v/>
      </c>
      <c r="F22" s="66">
        <f>IFERROR(IF(VLOOKUP(INDEX(Di!$B$12:$B$63,MATCH($A22,OFFSET( Di!$F$12:$F$63,0,(E22*48)-(IF(E22=7/24,9,IF(E22=12.5/24,9,IF(E22=14/24,9,IF(E22=15.5/24,9,10)))))),0),0),Di!$B$13:$C$63,2,FALSE)="TL","",INDEX(Di!$B$12:$B$63,MATCH($A22,OFFSET( Di!$F$12:$F$63,0,(E22*48)-(IF(E22=7/24,9,IF(E22=12.5/24,9,IF(E22=14/24,9,IF(E22=15.5/24,9,10)))))),0),0)),"")</f>
        <v/>
      </c>
      <c r="G22" s="857">
        <f>9/48+(1/48)*MIN(IFERROR(MATCH($A22,Wo!$F$13:$AQ$13,0),100),IFERROR(MATCH($A22,Wo!$F$14:$AQ$14,0),100),IFERROR(MATCH($A22,Wo!$F$15:$AQ$15,0),100),IFERROR(MATCH($A22,Wo!$F$16:$AQ$16,0),100),IFERROR(MATCH($A22,Wo!$F$17:$AQ$17,0),100),IFERROR(MATCH($A22,Wo!$F$18:$AQ$18,0),100),IFERROR(MATCH($A22,Wo!$F$19:$AQ$19,0),100),IFERROR(MATCH($A22,Wo!$F$20:$AQ$20,0),100),IFERROR(MATCH($A22,Wo!$F$21:$AQ$21,0),100),IFERROR(MATCH($A22,Wo!$F$22:$AQ$22,0),100),IFERROR(MATCH($A22,Wo!$F$23:$AQ$23,0),100),IFERROR(MATCH($A22,Wo!$F$24:$AQ$24,0),100),IFERROR(MATCH($A22,Wo!$F$25:$AQ$25,0),100),IFERROR(MATCH($A22,Wo!$F$26:$AQ$26,0),100),IFERROR(MATCH($A22,Wo!$F$27:$AQ$27,0),100),IFERROR(MATCH($A22,Wo!$F$28:$AQ$28,0),100),IFERROR(MATCH($A22,Wo!$F$29:$AQ$29,0),100),IFERROR(MATCH($A22,Wo!$F$30:$AQ$30,0),100),IFERROR(MATCH($A22,Wo!$F$31:$AQ$31,0),100),IFERROR(MATCH($A22,Wo!$F$32:$AQ$32,0),100),IFERROR(MATCH($A22,Wo!$F$33:$AQ$33,0),100),IFERROR(MATCH($A22,Wo!$F$34:$AQ$34,0),100),IFERROR(MATCH($A22,Wo!$F$35:$AQ$35,0),100),IFERROR(MATCH($A22,Wo!$F$36:$AQ$36,0),100),IFERROR(MATCH($A22,Wo!$F$37:$AQ$37,0),100),IFERROR(MATCH($A22,Wo!$F$38:$AQ$38,0),100),IFERROR(MATCH($A22,Wo!$F$39:$AQ$39,0),100),IFERROR(MATCH($A22,Wo!$F$40:$AQ$40,0),100),IFERROR(MATCH($A22,Wo!$F$41:$AQ$41,0),100),IFERROR(MATCH($A22,Wo!$F$42:$AQ$42,0),100),IFERROR(MATCH($A22,Wo!$F$43:$AQ$43,0),100),IFERROR(MATCH($A22,Wo!$F$44:$AQ$44,0),100),IFERROR(MATCH($A22,Wo!$F$45:$AQ$45,0),100),IFERROR(MATCH($A22,Wo!$F$46:$AQ$46,0),100),IFERROR(MATCH($A22,Wo!$F$47:$AQ$47,0),100),IFERROR(MATCH($A22,Wo!$F$48:$AQ$48,0),100),IFERROR(MATCH($A22,Wo!$F$49:$AQ$49,0),100),IFERROR(MATCH($A22,Wo!$F$50:$AQ$50,0),100),IFERROR(MATCH($A22,Wo!$F$51:$AQ$51,0),100),IFERROR(MATCH($A22,Wo!$F$52:$AQ$52,0),100),IFERROR(MATCH($A22,Wo!$F$53:$AQ$53,0),100),IFERROR(MATCH($A22,Wo!$F$54:$AQ$54,0),100),IFERROR(MATCH($A22,Wo!$F$55:$AQ$55,0),100),IFERROR(MATCH($A22,Wo!$F$56:$AQ$56,0),100),IFERROR(MATCH($A22,Wo!$F$57:$AQ$57,0),100),IFERROR(MATCH($A22,Wo!$F$58:$AQ$58,0),100),IFERROR(MATCH($A22,Wo!$F$59:$AQ$59,0),100),IFERROR(MATCH($A22,Wo!$F$60:$AQ$60,0),100),IFERROR(MATCH($A22,Wo!$F$61:$AQ$61,0),100),IFERROR(MATCH($A22,Wo!$F$62:$AQ$62,0),100),IFERROR(MATCH($A22,Wo!$F$63:$AQ$63,0),100),39)</f>
        <v/>
      </c>
      <c r="H22" s="66">
        <f>IFERROR(IF(VLOOKUP(INDEX(Wo!$B$12:$B$63,MATCH($A22,OFFSET( Wo!$F$12:$F$63,0,(G22*48)-(IF(G22=7/24,9,IF(G22=12.5/24,9,IF(G22=14/24,9,IF(G22=15.5/24,9,10)))))),0),0),Wo!$B$13:$C$63,2,FALSE)="TL","",INDEX(Wo!$B$12:$B$63,MATCH($A22,OFFSET( Wo!$F$12:$F$63,0,(G22*48)-(IF(G22=7/24,9,IF(G22=12.5/24,9,IF(G22=14/24,9,IF(G22=15.5/24,9,10)))))),0),0)),"")</f>
        <v/>
      </c>
      <c r="I22" s="857">
        <f>9/48+(1/48)*MIN(IFERROR(MATCH($A22,Do!$F$13:$AQ$13,0),100),IFERROR(MATCH($A22,Do!$F$14:$AQ$14,0),100),IFERROR(MATCH($A22,Do!$F$15:$AQ$15,0),100),IFERROR(MATCH($A22,Do!$F$16:$AQ$16,0),100),IFERROR(MATCH($A22,Do!$F$17:$AQ$17,0),100),IFERROR(MATCH($A22,Do!$F$18:$AQ$18,0),100),IFERROR(MATCH($A22,Do!$F$19:$AQ$19,0),100),IFERROR(MATCH($A22,Do!$F$20:$AQ$20,0),100),IFERROR(MATCH($A22,Do!$F$21:$AQ$21,0),100),IFERROR(MATCH($A22,Do!$F$22:$AQ$22,0),100),IFERROR(MATCH($A22,Do!$F$23:$AQ$23,0),100),IFERROR(MATCH($A22,Do!$F$24:$AQ$24,0),100),IFERROR(MATCH($A22,Do!$F$25:$AQ$25,0),100),IFERROR(MATCH($A22,Do!$F$26:$AQ$26,0),100),IFERROR(MATCH($A22,Do!$F$27:$AQ$27,0),100),IFERROR(MATCH($A22,Do!$F$28:$AQ$28,0),100),IFERROR(MATCH($A22,Do!$F$29:$AQ$29,0),100),IFERROR(MATCH($A22,Do!$F$30:$AQ$30,0),100),IFERROR(MATCH($A22,Do!$F$31:$AQ$31,0),100),IFERROR(MATCH($A22,Do!$F$32:$AQ$32,0),100),IFERROR(MATCH($A22,Do!$F$33:$AQ$33,0),100),IFERROR(MATCH($A22,Do!$F$34:$AQ$34,0),100),IFERROR(MATCH($A22,Do!$F$35:$AQ$35,0),100),IFERROR(MATCH($A22,Do!$F$36:$AQ$36,0),100),IFERROR(MATCH($A22,Do!$F$37:$AQ$37,0),100),IFERROR(MATCH($A22,Do!$F$38:$AQ$38,0),100),IFERROR(MATCH($A22,Do!$F$39:$AQ$39,0),100),IFERROR(MATCH($A22,Do!$F$40:$AQ$40,0),100),IFERROR(MATCH($A22,Do!$F$41:$AQ$41,0),100),IFERROR(MATCH($A22,Do!$F$42:$AQ$42,0),100),IFERROR(MATCH($A22,Do!$F$43:$AQ$43,0),100),IFERROR(MATCH($A22,Do!$F$44:$AQ$44,0),100),IFERROR(MATCH($A22,Do!$F$45:$AQ$45,0),100),IFERROR(MATCH($A22,Do!$F$46:$AQ$46,0),100),IFERROR(MATCH($A22,Do!$F$47:$AQ$47,0),100),IFERROR(MATCH($A22,Do!$F$48:$AQ$48,0),100),IFERROR(MATCH($A22,Do!$F$49:$AQ$49,0),100),IFERROR(MATCH($A22,Do!$F$50:$AQ$50,0),100),IFERROR(MATCH($A22,Do!$F$51:$AQ$51,0),100),IFERROR(MATCH($A22,Do!$F$52:$AQ$52,0),100),IFERROR(MATCH($A22,Do!$F$53:$AQ$53,0),100),IFERROR(MATCH($A22,Do!$F$54:$AQ$54,0),100),IFERROR(MATCH($A22,Do!$F$55:$AQ$55,0),100),IFERROR(MATCH($A22,Do!$F$56:$AQ$56,0),100),IFERROR(MATCH($A22,Do!$F$57:$AQ$57,0),100),IFERROR(MATCH($A22,Do!$F$58:$AQ$58,0),100),IFERROR(MATCH($A22,Do!$F$59:$AQ$59,0),100),IFERROR(MATCH($A22,Do!$F$60:$AQ$60,0),100),IFERROR(MATCH($A22,Do!$F$61:$AQ$61,0),100),IFERROR(MATCH($A22,Do!$F$62:$AQ$62,0),100),IFERROR(MATCH($A22,Do!$F$63:$AQ$63,0),100),39)</f>
        <v/>
      </c>
      <c r="J22" s="66">
        <f>IFERROR(IF(VLOOKUP(INDEX(Do!$B$12:$B$63,MATCH($A22,OFFSET( Do!$F$12:$F$63,0,(I22*48)-(IF(I22=7/24,9,IF(I22=12.5/24,9,IF(I22=14/24,9,IF(I22=15.5/24,9,10)))))),0),0),Do!$B$13:$C$63,2,FALSE)="TL","",INDEX(Do!$B$12:$B$63,MATCH($A22,OFFSET( Do!$F$12:$F$63,0,(I22*48)-(IF(I22=7/24,9,IF(I22=12.5/24,9,IF(I22=14/24,9,IF(I22=15.5/24,9,10)))))),0),0)),"")</f>
        <v/>
      </c>
      <c r="K22" s="857">
        <f>9/48+(1/48)*MIN(IFERROR(MATCH($A22,Vr!$F$13:$AQ$13,0),100),IFERROR(MATCH($A22,Vr!$F$14:$AQ$14,0),100),IFERROR(MATCH($A22,Vr!$F$15:$AQ$15,0),100),IFERROR(MATCH($A22,Vr!$F$16:$AQ$16,0),100),IFERROR(MATCH($A22,Vr!$F$17:$AQ$17,0),100),IFERROR(MATCH($A22,Vr!$F$18:$AQ$18,0),100),IFERROR(MATCH($A22,Vr!$F$19:$AQ$19,0),100),IFERROR(MATCH($A22,Vr!$F$20:$AQ$20,0),100),IFERROR(MATCH($A22,Vr!$F$21:$AQ$21,0),100),IFERROR(MATCH($A22,Vr!$F$22:$AQ$22,0),100),IFERROR(MATCH($A22,Vr!$F$23:$AQ$23,0),100),IFERROR(MATCH($A22,Vr!$F$24:$AQ$24,0),100),IFERROR(MATCH($A22,Vr!$F$25:$AQ$25,0),100),IFERROR(MATCH($A22,Vr!$F$26:$AQ$26,0),100),IFERROR(MATCH($A22,Vr!$F$27:$AQ$27,0),100),IFERROR(MATCH($A22,Vr!$F$28:$AQ$28,0),100),IFERROR(MATCH($A22,Vr!$F$29:$AQ$29,0),100),IFERROR(MATCH($A22,Vr!$F$30:$AQ$30,0),100),IFERROR(MATCH($A22,Vr!$F$31:$AQ$31,0),100),IFERROR(MATCH($A22,Vr!$F$32:$AQ$32,0),100),IFERROR(MATCH($A22,Vr!$F$33:$AQ$33,0),100),IFERROR(MATCH($A22,Vr!$F$34:$AQ$34,0),100),IFERROR(MATCH($A22,Vr!$F$35:$AQ$35,0),100),IFERROR(MATCH($A22,Vr!$F$36:$AQ$36,0),100),IFERROR(MATCH($A22,Vr!$F$37:$AQ$37,0),100),IFERROR(MATCH($A22,Vr!$F$38:$AQ$38,0),100),IFERROR(MATCH($A22,Vr!$F$39:$AQ$39,0),100),IFERROR(MATCH($A22,Vr!$F$40:$AQ$40,0),100),IFERROR(MATCH($A22,Vr!$F$41:$AQ$41,0),100),IFERROR(MATCH($A22,Vr!$F$42:$AQ$42,0),100),IFERROR(MATCH($A22,Vr!$F$43:$AQ$43,0),100),IFERROR(MATCH($A22,Vr!$F$44:$AQ$44,0),100),IFERROR(MATCH($A22,Vr!$F$45:$AQ$45,0),100),IFERROR(MATCH($A22,Vr!$F$46:$AQ$46,0),100),IFERROR(MATCH($A22,Vr!$F$47:$AQ$47,0),100),IFERROR(MATCH($A22,Vr!$F$48:$AQ$48,0),100),IFERROR(MATCH($A22,Vr!$F$49:$AQ$49,0),100),IFERROR(MATCH($A22,Vr!$F$50:$AQ$50,0),100),IFERROR(MATCH($A22,Vr!$F$51:$AQ$51,0),100),IFERROR(MATCH($A22,Vr!$F$52:$AQ$52,0),100),IFERROR(MATCH($A22,Vr!$F$53:$AQ$53,0),100),IFERROR(MATCH($A22,Vr!$F$54:$AQ$54,0),100),IFERROR(MATCH($A22,Vr!$F$55:$AQ$55,0),100),IFERROR(MATCH($A22,Vr!$F$56:$AQ$56,0),100),IFERROR(MATCH($A22,Vr!$F$57:$AQ$57,0),100),IFERROR(MATCH($A22,Vr!$F$58:$AQ$58,0),100),IFERROR(MATCH($A22,Vr!$F$59:$AQ$59,0),100),IFERROR(MATCH($A22,Vr!$F$60:$AQ$60,0),100),IFERROR(MATCH($A22,Vr!$F$61:$AQ$61,0),100),IFERROR(MATCH($A22,Vr!$F$62:$AQ$62,0),100),IFERROR(MATCH($A22,Vr!$F$63:$AQ$63,0),100),39)</f>
        <v/>
      </c>
      <c r="L22" s="66">
        <f>IFERROR(IF(VLOOKUP(INDEX(Vr!$B$12:$B$63,MATCH($A22,OFFSET( Vr!$F$12:$F$63,0,(K22*48)-(IF(K22=7/24,9,IF(K22=12.5/24,9,IF(K22=14/24,9,IF(K22=15.5/24,9,10)))))),0),0),Vr!$B$13:$C$63,2,FALSE)="TL","",INDEX(Vr!$B$12:$B$63,MATCH($A22,OFFSET( Vr!$F$12:$F$63,0,(K22*48)-(IF(K22=7/24,9,IF(K22=12.5/24,9,IF(K22=14/24,9,IF(K22=15.5/24,9,10)))))),0),0)),"")</f>
        <v/>
      </c>
      <c r="M22" s="857">
        <f>9/48+(1/48)*MIN(IFERROR(MATCH($A22,Za!$F$13:$AQ$13,0),100),IFERROR(MATCH($A22,Za!$F$14:$AQ$14,0),100),IFERROR(MATCH($A22,Za!$F$15:$AQ$15,0),100),IFERROR(MATCH($A22,Za!$F$16:$AQ$16,0),100),IFERROR(MATCH($A22,Za!$F$17:$AQ$17,0),100),IFERROR(MATCH($A22,Za!$F$18:$AQ$18,0),100),IFERROR(MATCH($A22,Za!$F$19:$AQ$19,0),100),IFERROR(MATCH($A22,Za!$F$20:$AQ$20,0),100),IFERROR(MATCH($A22,Za!$F$21:$AQ$21,0),100),IFERROR(MATCH($A22,Za!$F$22:$AQ$22,0),100),IFERROR(MATCH($A22,Za!$F$23:$AQ$23,0),100),IFERROR(MATCH($A22,Za!$F$24:$AQ$24,0),100),IFERROR(MATCH($A22,Za!$F$25:$AQ$25,0),100),IFERROR(MATCH($A22,Za!$F$26:$AQ$26,0),100),IFERROR(MATCH($A22,Za!$F$27:$AQ$27,0),100),IFERROR(MATCH($A22,Za!$F$28:$AQ$28,0),100),IFERROR(MATCH($A22,Za!$F$29:$AQ$29,0),100),IFERROR(MATCH($A22,Za!$F$30:$AQ$30,0),100),IFERROR(MATCH($A22,Za!$F$31:$AQ$31,0),100),IFERROR(MATCH($A22,Za!$F$32:$AQ$32,0),100),IFERROR(MATCH($A22,Za!$F$33:$AQ$33,0),100),IFERROR(MATCH($A22,Za!$F$34:$AQ$34,0),100),IFERROR(MATCH($A22,Za!$F$35:$AQ$35,0),100),IFERROR(MATCH($A22,Za!$F$36:$AQ$36,0),100),IFERROR(MATCH($A22,Za!$F$37:$AQ$37,0),100),IFERROR(MATCH($A22,Za!$F$38:$AQ$38,0),100),IFERROR(MATCH($A22,Za!$F$39:$AQ$39,0),100),IFERROR(MATCH($A22,Za!$F$40:$AQ$40,0),100),IFERROR(MATCH($A22,Za!$F$41:$AQ$41,0),100),IFERROR(MATCH($A22,Za!$F$42:$AQ$42,0),100),IFERROR(MATCH($A22,Za!$F$43:$AQ$43,0),100),IFERROR(MATCH($A22,Za!$F$44:$AQ$44,0),100),IFERROR(MATCH($A22,Za!$F$45:$AQ$45,0),100),IFERROR(MATCH($A22,Za!$F$46:$AQ$46,0),100),IFERROR(MATCH($A22,Za!$F$47:$AQ$47,0),100),IFERROR(MATCH($A22,Za!$F$48:$AQ$48,0),100),IFERROR(MATCH($A22,Za!$F$49:$AQ$49,0),100),IFERROR(MATCH($A22,Za!$F$50:$AQ$50,0),100),IFERROR(MATCH($A22,Za!$F$51:$AQ$51,0),100),IFERROR(MATCH($A22,Za!$F$52:$AQ$52,0),100),IFERROR(MATCH($A22,Za!$F$53:$AQ$53,0),100),IFERROR(MATCH($A22,Za!$F$54:$AQ$54,0),100),IFERROR(MATCH($A22,Za!$F$55:$AQ$55,0),100),IFERROR(MATCH($A22,Za!$F$56:$AQ$56,0),100),IFERROR(MATCH($A22,Za!$F$57:$AQ$57,0),100),IFERROR(MATCH($A22,Za!$F$58:$AQ$58,0),100),IFERROR(MATCH($A22,Za!$F$59:$AQ$59,0),100),IFERROR(MATCH($A22,Za!$F$60:$AQ$60,0),100),IFERROR(MATCH($A22,Za!$F$61:$AQ$61,0),100),IFERROR(MATCH($A22,Za!$F$62:$AQ$62,0),100),IFERROR(MATCH($A22,Za!$F$63:$AQ$63,0),100),39)</f>
        <v/>
      </c>
      <c r="N22" s="66">
        <f>IFERROR(IF(VLOOKUP(INDEX(Za!$B$12:$B$63,MATCH($A22,OFFSET( Za!$F$12:$F$63,0,(M22*48)-(IF(M22=7/24,9,IF(M22=12.5/24,9,IF(M22=14/24,9,IF(M22=15.5/24,9,10)))))),0),0),Za!$B$13:$C$63,2,FALSE)="TL","",INDEX(Za!$B$12:$B$63,MATCH($A22,OFFSET( Za!$F$12:$F$63,0,(M22*48)-(IF(M22=7/24,9,IF(M22=12.5/24,9,IF(M22=14/24,9,IF(M22=15.5/24,9,10)))))),0),0)),"")</f>
        <v/>
      </c>
      <c r="O22" s="857">
        <f>9/48+(1/48)*MIN(IFERROR(MATCH($A22,Zo!$F$13:$AQ$13,0),100),IFERROR(MATCH($A22,Zo!$F$14:$AQ$14,0),100),IFERROR(MATCH($A22,Zo!$F$15:$AQ$15,0),100),IFERROR(MATCH($A22,Zo!$F$16:$AQ$16,0),100),IFERROR(MATCH($A22,Zo!$F$17:$AQ$17,0),100),IFERROR(MATCH($A22,Zo!$F$18:$AQ$18,0),100),IFERROR(MATCH($A22,Zo!$F$19:$AQ$19,0),100),IFERROR(MATCH($A22,Zo!$F$20:$AQ$20,0),100),IFERROR(MATCH($A22,Zo!$F$21:$AQ$21,0),100),IFERROR(MATCH($A22,Zo!$F$22:$AQ$22,0),100),IFERROR(MATCH($A22,Zo!$F$23:$AQ$23,0),100),IFERROR(MATCH($A22,Zo!$F$24:$AQ$24,0),100),IFERROR(MATCH($A22,Zo!$F$25:$AQ$25,0),100),IFERROR(MATCH($A22,Zo!$F$26:$AQ$26,0),100),IFERROR(MATCH($A22,Zo!$F$27:$AQ$27,0),100),IFERROR(MATCH($A22,Zo!$F$28:$AQ$28,0),100),IFERROR(MATCH($A22,Zo!$F$29:$AQ$29,0),100),IFERROR(MATCH($A22,Zo!$F$30:$AQ$30,0),100),IFERROR(MATCH($A22,Zo!$F$31:$AQ$31,0),100),IFERROR(MATCH($A22,Zo!$F$32:$AQ$32,0),100),IFERROR(MATCH($A22,Zo!$F$33:$AQ$33,0),100),IFERROR(MATCH($A22,Zo!$F$34:$AQ$34,0),100),IFERROR(MATCH($A22,Zo!$F$35:$AQ$35,0),100),IFERROR(MATCH($A22,Zo!$F$36:$AQ$36,0),100),IFERROR(MATCH($A22,Zo!$F$37:$AQ$37,0),100),IFERROR(MATCH($A22,Zo!$F$38:$AQ$38,0),100),IFERROR(MATCH($A22,Zo!$F$39:$AQ$39,0),100),IFERROR(MATCH($A22,Zo!$F$40:$AQ$40,0),100),IFERROR(MATCH($A22,Zo!$F$41:$AQ$41,0),100),IFERROR(MATCH($A22,Zo!$F$42:$AQ$42,0),100),IFERROR(MATCH($A22,Zo!$F$43:$AQ$43,0),100),IFERROR(MATCH($A22,Zo!$F$44:$AQ$44,0),100),IFERROR(MATCH($A22,Zo!$F$45:$AQ$45,0),100),IFERROR(MATCH($A22,Zo!$F$46:$AQ$46,0),100),IFERROR(MATCH($A22,Zo!$F$47:$AQ$47,0),100),IFERROR(MATCH($A22,Zo!$F$48:$AQ$48,0),100),IFERROR(MATCH($A22,Zo!$F$49:$AQ$49,0),100),IFERROR(MATCH($A22,Zo!$F$50:$AQ$50,0),100),IFERROR(MATCH($A22,Zo!$F$51:$AQ$51,0),100),IFERROR(MATCH($A22,Zo!$F$52:$AQ$52,0),100),IFERROR(MATCH($A22,Zo!$F$53:$AQ$53,0),100),IFERROR(MATCH($A22,Zo!$F$54:$AQ$54,0),100),IFERROR(MATCH($A22,Zo!$F$55:$AQ$55,0),100),IFERROR(MATCH($A22,Zo!$F$56:$AQ$56,0),100),IFERROR(MATCH($A22,Zo!$F$57:$AQ$57,0),100),IFERROR(MATCH($A22,Zo!$F$58:$AQ$58,0),100),IFERROR(MATCH($A22,Zo!$F$59:$AQ$59,0),100),IFERROR(MATCH($A22,Zo!$F$60:$AQ$60,0),100),IFERROR(MATCH($A22,Zo!$F$61:$AQ$61,0),100),IFERROR(MATCH($A22,Zo!$F$62:$AQ$62,0),100),IFERROR(MATCH($A22,Zo!$F$63:$AQ$63,0),100),39)</f>
        <v/>
      </c>
      <c r="P22" s="66">
        <f>IFERROR(IF(VLOOKUP(INDEX(Zo!$B$12:$B$63,MATCH($A22,OFFSET( Zo!$F$12:$F$63,0,(O22*48)-(IF(O22=7/24,9,IF(O22=12.5/24,9,IF(O22=14/24,9,IF(O22=15.5/24,9,10)))))),0),0),Zo!$B$13:$C$63,2,FALSE)="TL","",INDEX(Zo!$B$12:$B$63,MATCH($A22,OFFSET( Zo!$F$12:$F$63,0,(O22*48)-(IF(O22=7/24,9,IF(O22=12.5/24,9,IF(O22=14/24,9,IF(O22=15.5/24,9,10)))))),0),0)),"")</f>
        <v/>
      </c>
    </row>
    <row r="23" ht="15" customHeight="1">
      <c r="A23" s="66" t="inlineStr">
        <is>
          <t>nr</t>
        </is>
      </c>
      <c r="B23" s="67">
        <f>A23</f>
        <v/>
      </c>
      <c r="C23" s="857">
        <f>9/48+(1/48)*MIN(IFERROR(MATCH($A23,Ma!$F$13:$AQ$13,0),100),IFERROR(MATCH($A23,Ma!$F$14:$AQ$14,0),100),IFERROR(MATCH($A23,Ma!$F$15:$AQ$15,0),100),IFERROR(MATCH($A23,Ma!$F$16:$AQ$16,0),100),IFERROR(MATCH($A23,Ma!$F$17:$AQ$17,0),100),IFERROR(MATCH($A23,Ma!$F$18:$AQ$18,0),100),IFERROR(MATCH($A23,Ma!$F$19:$AQ$19,0),100),IFERROR(MATCH($A23,Ma!$F$20:$AQ$20,0),100),IFERROR(MATCH($A23,Ma!$F$21:$AQ$21,0),100),IFERROR(MATCH($A23,Ma!$F$22:$AQ$22,0),100),IFERROR(MATCH($A23,Ma!$F$23:$AQ$23,0),100),IFERROR(MATCH($A23,Ma!$F$24:$AQ$24,0),100),IFERROR(MATCH($A23,Ma!$F$25:$AQ$25,0),100),IFERROR(MATCH($A23,Ma!$F$26:$AQ$26,0),100),IFERROR(MATCH($A23,Ma!$F$27:$AQ$27,0),100),IFERROR(MATCH($A23,Ma!$F$28:$AQ$28,0),100),IFERROR(MATCH($A23,Ma!$F$29:$AQ$29,0),100),IFERROR(MATCH($A23,Ma!$F$30:$AQ$30,0),100),IFERROR(MATCH($A23,Ma!$F$31:$AQ$31,0),100),IFERROR(MATCH($A23,Ma!$F$32:$AQ$32,0),100),IFERROR(MATCH($A23,Ma!$F$33:$AQ$33,0),100),IFERROR(MATCH($A23,Ma!$F$34:$AQ$34,0),100),IFERROR(MATCH($A23,Ma!$F$35:$AQ$35,0),100),IFERROR(MATCH($A23,Ma!$F$36:$AQ$36,0),100),IFERROR(MATCH($A23,Ma!$F$37:$AQ$37,0),100),IFERROR(MATCH($A23,Ma!$F$38:$AQ$38,0),100),IFERROR(MATCH($A23,Ma!$F$39:$AQ$39,0),100),IFERROR(MATCH($A23,Ma!$F$40:$AQ$40,0),100),IFERROR(MATCH($A23,Ma!$F$41:$AQ$41,0),100),IFERROR(MATCH($A23,Ma!$F$42:$AQ$42,0),100),IFERROR(MATCH($A23,Ma!$F$43:$AQ$43,0),100),IFERROR(MATCH($A23,Ma!$F$44:$AQ$44,0),100),IFERROR(MATCH($A23,Ma!$F$45:$AQ$45,0),100),IFERROR(MATCH($A23,Ma!$F$46:$AQ$46,0),100),IFERROR(MATCH($A23,Ma!$F$47:$AQ$47,0),100),IFERROR(MATCH($A23,Ma!$F$48:$AQ$48,0),100),IFERROR(MATCH($A23,Ma!$F$49:$AQ$49,0),100),IFERROR(MATCH($A23,Ma!$F$50:$AQ$50,0),100),IFERROR(MATCH($A23,Ma!$F$51:$AQ$51,0),100),IFERROR(MATCH($A23,Ma!$F$52:$AQ$52,0),100),IFERROR(MATCH($A23,Ma!$F$53:$AQ$53,0),100),IFERROR(MATCH($A23,Ma!$F$54:$AQ$54,0),100),IFERROR(MATCH($A23,Ma!$F$55:$AQ$55,0),100),IFERROR(MATCH($A23,Ma!$F$56:$AQ$56,0),100),IFERROR(MATCH($A23,Ma!$F$57:$AQ$57,0),100),IFERROR(MATCH($A23,Ma!$F$58:$AQ$58,0),100),IFERROR(MATCH($A23,Ma!$F$59:$AQ$59,0),100),IFERROR(MATCH($A23,Ma!$F$60:$AQ$60,0),100),IFERROR(MATCH($A23,Ma!$F$61:$AQ$61,0),100),IFERROR(MATCH($A23,Ma!$F$62:$AQ$62,0),100),IFERROR(MATCH($A23,Ma!$F$63:$AQ$63,0),100),39)</f>
        <v/>
      </c>
      <c r="D23" s="66">
        <f>IFERROR(IF(VLOOKUP(INDEX(Ma!$B$12:$B$63,MATCH($A23,OFFSET( Ma!$F$12:$F$63,0,(C23*48)-(IF(C23=7/24,9,IF(C23=12.5/24,9,IF(C23=14/24,9,IF(C23=15.5/24,9,10)))))),0),0),Ma!$B$13:$C$63,2,FALSE)="TL","",INDEX(Ma!$B$12:$B$63,MATCH($A23,OFFSET( Ma!$F$12:$F$63,0,(C23*48)-(IF(C23=7/24,9,IF(C23=12.5/24,9,IF(C23=14/24,9,IF(C23=15.5/24,9,10)))))),0),0)),"")</f>
        <v/>
      </c>
      <c r="E23" s="857">
        <f>9/48+(1/48)*MIN(IFERROR(MATCH($A23,Di!$F$13:$AQ$13,0),100),IFERROR(MATCH($A23,Di!$F$14:$AQ$14,0),100),IFERROR(MATCH($A23,Di!$F$15:$AQ$15,0),100),IFERROR(MATCH($A23,Di!$F$16:$AQ$16,0),100),IFERROR(MATCH($A23,Di!$F$17:$AQ$17,0),100),IFERROR(MATCH($A23,Di!$F$18:$AQ$18,0),100),IFERROR(MATCH($A23,Di!$F$19:$AQ$19,0),100),IFERROR(MATCH($A23,Di!$F$20:$AQ$20,0),100),IFERROR(MATCH($A23,Di!$F$21:$AQ$21,0),100),IFERROR(MATCH($A23,Di!$F$22:$AQ$22,0),100),IFERROR(MATCH($A23,Di!$F$23:$AQ$23,0),100),IFERROR(MATCH($A23,Di!$F$24:$AQ$24,0),100),IFERROR(MATCH($A23,Di!$F$25:$AQ$25,0),100),IFERROR(MATCH($A23,Di!$F$26:$AQ$26,0),100),IFERROR(MATCH($A23,Di!$F$27:$AQ$27,0),100),IFERROR(MATCH($A23,Di!$F$28:$AQ$28,0),100),IFERROR(MATCH($A23,Di!$F$29:$AQ$29,0),100),IFERROR(MATCH($A23,Di!$F$30:$AQ$30,0),100),IFERROR(MATCH($A23,Di!$F$31:$AQ$31,0),100),IFERROR(MATCH($A23,Di!$F$32:$AQ$32,0),100),IFERROR(MATCH($A23,Di!$F$33:$AQ$33,0),100),IFERROR(MATCH($A23,Di!$F$34:$AQ$34,0),100),IFERROR(MATCH($A23,Di!$F$35:$AQ$35,0),100),IFERROR(MATCH($A23,Di!$F$36:$AQ$36,0),100),IFERROR(MATCH($A23,Di!$F$37:$AQ$37,0),100),IFERROR(MATCH($A23,Di!$F$38:$AQ$38,0),100),IFERROR(MATCH($A23,Di!$F$39:$AQ$39,0),100),IFERROR(MATCH($A23,Di!$F$40:$AQ$40,0),100),IFERROR(MATCH($A23,Di!$F$41:$AQ$41,0),100),IFERROR(MATCH($A23,Di!$F$42:$AQ$42,0),100),IFERROR(MATCH($A23,Di!$F$43:$AQ$43,0),100),IFERROR(MATCH($A23,Di!$F$44:$AQ$44,0),100),IFERROR(MATCH($A23,Di!$F$45:$AQ$45,0),100),IFERROR(MATCH($A23,Di!$F$46:$AQ$46,0),100),IFERROR(MATCH($A23,Di!$F$47:$AQ$47,0),100),IFERROR(MATCH($A23,Di!$F$48:$AQ$48,0),100),IFERROR(MATCH($A23,Di!$F$49:$AQ$49,0),100),IFERROR(MATCH($A23,Di!$F$50:$AQ$50,0),100),IFERROR(MATCH($A23,Di!$F$51:$AQ$51,0),100),IFERROR(MATCH($A23,Di!$F$52:$AQ$52,0),100),IFERROR(MATCH($A23,Di!$F$53:$AQ$53,0),100),IFERROR(MATCH($A23,Di!$F$54:$AQ$54,0),100),IFERROR(MATCH($A23,Di!$F$55:$AQ$55,0),100),IFERROR(MATCH($A23,Di!$F$56:$AQ$56,0),100),IFERROR(MATCH($A23,Di!$F$57:$AQ$57,0),100),IFERROR(MATCH($A23,Di!$F$58:$AQ$58,0),100),IFERROR(MATCH($A23,Di!$F$59:$AQ$59,0),100),IFERROR(MATCH($A23,Di!$F$60:$AQ$60,0),100),IFERROR(MATCH($A23,Di!$F$61:$AQ$61,0),100),IFERROR(MATCH($A23,Di!$F$62:$AQ$62,0),100),IFERROR(MATCH($A23,Di!$F$63:$AQ$63,0),100),39)</f>
        <v/>
      </c>
      <c r="F23" s="66">
        <f>IFERROR(IF(VLOOKUP(INDEX(Di!$B$12:$B$63,MATCH($A23,OFFSET( Di!$F$12:$F$63,0,(E23*48)-(IF(E23=7/24,9,IF(E23=12.5/24,9,IF(E23=14/24,9,IF(E23=15.5/24,9,10)))))),0),0),Di!$B$13:$C$63,2,FALSE)="TL","",INDEX(Di!$B$12:$B$63,MATCH($A23,OFFSET( Di!$F$12:$F$63,0,(E23*48)-(IF(E23=7/24,9,IF(E23=12.5/24,9,IF(E23=14/24,9,IF(E23=15.5/24,9,10)))))),0),0)),"")</f>
        <v/>
      </c>
      <c r="G23" s="857">
        <f>9/48+(1/48)*MIN(IFERROR(MATCH($A23,Wo!$F$13:$AQ$13,0),100),IFERROR(MATCH($A23,Wo!$F$14:$AQ$14,0),100),IFERROR(MATCH($A23,Wo!$F$15:$AQ$15,0),100),IFERROR(MATCH($A23,Wo!$F$16:$AQ$16,0),100),IFERROR(MATCH($A23,Wo!$F$17:$AQ$17,0),100),IFERROR(MATCH($A23,Wo!$F$18:$AQ$18,0),100),IFERROR(MATCH($A23,Wo!$F$19:$AQ$19,0),100),IFERROR(MATCH($A23,Wo!$F$20:$AQ$20,0),100),IFERROR(MATCH($A23,Wo!$F$21:$AQ$21,0),100),IFERROR(MATCH($A23,Wo!$F$22:$AQ$22,0),100),IFERROR(MATCH($A23,Wo!$F$23:$AQ$23,0),100),IFERROR(MATCH($A23,Wo!$F$24:$AQ$24,0),100),IFERROR(MATCH($A23,Wo!$F$25:$AQ$25,0),100),IFERROR(MATCH($A23,Wo!$F$26:$AQ$26,0),100),IFERROR(MATCH($A23,Wo!$F$27:$AQ$27,0),100),IFERROR(MATCH($A23,Wo!$F$28:$AQ$28,0),100),IFERROR(MATCH($A23,Wo!$F$29:$AQ$29,0),100),IFERROR(MATCH($A23,Wo!$F$30:$AQ$30,0),100),IFERROR(MATCH($A23,Wo!$F$31:$AQ$31,0),100),IFERROR(MATCH($A23,Wo!$F$32:$AQ$32,0),100),IFERROR(MATCH($A23,Wo!$F$33:$AQ$33,0),100),IFERROR(MATCH($A23,Wo!$F$34:$AQ$34,0),100),IFERROR(MATCH($A23,Wo!$F$35:$AQ$35,0),100),IFERROR(MATCH($A23,Wo!$F$36:$AQ$36,0),100),IFERROR(MATCH($A23,Wo!$F$37:$AQ$37,0),100),IFERROR(MATCH($A23,Wo!$F$38:$AQ$38,0),100),IFERROR(MATCH($A23,Wo!$F$39:$AQ$39,0),100),IFERROR(MATCH($A23,Wo!$F$40:$AQ$40,0),100),IFERROR(MATCH($A23,Wo!$F$41:$AQ$41,0),100),IFERROR(MATCH($A23,Wo!$F$42:$AQ$42,0),100),IFERROR(MATCH($A23,Wo!$F$43:$AQ$43,0),100),IFERROR(MATCH($A23,Wo!$F$44:$AQ$44,0),100),IFERROR(MATCH($A23,Wo!$F$45:$AQ$45,0),100),IFERROR(MATCH($A23,Wo!$F$46:$AQ$46,0),100),IFERROR(MATCH($A23,Wo!$F$47:$AQ$47,0),100),IFERROR(MATCH($A23,Wo!$F$48:$AQ$48,0),100),IFERROR(MATCH($A23,Wo!$F$49:$AQ$49,0),100),IFERROR(MATCH($A23,Wo!$F$50:$AQ$50,0),100),IFERROR(MATCH($A23,Wo!$F$51:$AQ$51,0),100),IFERROR(MATCH($A23,Wo!$F$52:$AQ$52,0),100),IFERROR(MATCH($A23,Wo!$F$53:$AQ$53,0),100),IFERROR(MATCH($A23,Wo!$F$54:$AQ$54,0),100),IFERROR(MATCH($A23,Wo!$F$55:$AQ$55,0),100),IFERROR(MATCH($A23,Wo!$F$56:$AQ$56,0),100),IFERROR(MATCH($A23,Wo!$F$57:$AQ$57,0),100),IFERROR(MATCH($A23,Wo!$F$58:$AQ$58,0),100),IFERROR(MATCH($A23,Wo!$F$59:$AQ$59,0),100),IFERROR(MATCH($A23,Wo!$F$60:$AQ$60,0),100),IFERROR(MATCH($A23,Wo!$F$61:$AQ$61,0),100),IFERROR(MATCH($A23,Wo!$F$62:$AQ$62,0),100),IFERROR(MATCH($A23,Wo!$F$63:$AQ$63,0),100),39)</f>
        <v/>
      </c>
      <c r="H23" s="66">
        <f>IFERROR(IF(VLOOKUP(INDEX(Wo!$B$12:$B$63,MATCH($A23,OFFSET( Wo!$F$12:$F$63,0,(G23*48)-(IF(G23=7/24,9,IF(G23=12.5/24,9,IF(G23=14/24,9,IF(G23=15.5/24,9,10)))))),0),0),Wo!$B$13:$C$63,2,FALSE)="TL","",INDEX(Wo!$B$12:$B$63,MATCH($A23,OFFSET( Wo!$F$12:$F$63,0,(G23*48)-(IF(G23=7/24,9,IF(G23=12.5/24,9,IF(G23=14/24,9,IF(G23=15.5/24,9,10)))))),0),0)),"")</f>
        <v/>
      </c>
      <c r="I23" s="857">
        <f>9/48+(1/48)*MIN(IFERROR(MATCH($A23,Do!$F$13:$AQ$13,0),100),IFERROR(MATCH($A23,Do!$F$14:$AQ$14,0),100),IFERROR(MATCH($A23,Do!$F$15:$AQ$15,0),100),IFERROR(MATCH($A23,Do!$F$16:$AQ$16,0),100),IFERROR(MATCH($A23,Do!$F$17:$AQ$17,0),100),IFERROR(MATCH($A23,Do!$F$18:$AQ$18,0),100),IFERROR(MATCH($A23,Do!$F$19:$AQ$19,0),100),IFERROR(MATCH($A23,Do!$F$20:$AQ$20,0),100),IFERROR(MATCH($A23,Do!$F$21:$AQ$21,0),100),IFERROR(MATCH($A23,Do!$F$22:$AQ$22,0),100),IFERROR(MATCH($A23,Do!$F$23:$AQ$23,0),100),IFERROR(MATCH($A23,Do!$F$24:$AQ$24,0),100),IFERROR(MATCH($A23,Do!$F$25:$AQ$25,0),100),IFERROR(MATCH($A23,Do!$F$26:$AQ$26,0),100),IFERROR(MATCH($A23,Do!$F$27:$AQ$27,0),100),IFERROR(MATCH($A23,Do!$F$28:$AQ$28,0),100),IFERROR(MATCH($A23,Do!$F$29:$AQ$29,0),100),IFERROR(MATCH($A23,Do!$F$30:$AQ$30,0),100),IFERROR(MATCH($A23,Do!$F$31:$AQ$31,0),100),IFERROR(MATCH($A23,Do!$F$32:$AQ$32,0),100),IFERROR(MATCH($A23,Do!$F$33:$AQ$33,0),100),IFERROR(MATCH($A23,Do!$F$34:$AQ$34,0),100),IFERROR(MATCH($A23,Do!$F$35:$AQ$35,0),100),IFERROR(MATCH($A23,Do!$F$36:$AQ$36,0),100),IFERROR(MATCH($A23,Do!$F$37:$AQ$37,0),100),IFERROR(MATCH($A23,Do!$F$38:$AQ$38,0),100),IFERROR(MATCH($A23,Do!$F$39:$AQ$39,0),100),IFERROR(MATCH($A23,Do!$F$40:$AQ$40,0),100),IFERROR(MATCH($A23,Do!$F$41:$AQ$41,0),100),IFERROR(MATCH($A23,Do!$F$42:$AQ$42,0),100),IFERROR(MATCH($A23,Do!$F$43:$AQ$43,0),100),IFERROR(MATCH($A23,Do!$F$44:$AQ$44,0),100),IFERROR(MATCH($A23,Do!$F$45:$AQ$45,0),100),IFERROR(MATCH($A23,Do!$F$46:$AQ$46,0),100),IFERROR(MATCH($A23,Do!$F$47:$AQ$47,0),100),IFERROR(MATCH($A23,Do!$F$48:$AQ$48,0),100),IFERROR(MATCH($A23,Do!$F$49:$AQ$49,0),100),IFERROR(MATCH($A23,Do!$F$50:$AQ$50,0),100),IFERROR(MATCH($A23,Do!$F$51:$AQ$51,0),100),IFERROR(MATCH($A23,Do!$F$52:$AQ$52,0),100),IFERROR(MATCH($A23,Do!$F$53:$AQ$53,0),100),IFERROR(MATCH($A23,Do!$F$54:$AQ$54,0),100),IFERROR(MATCH($A23,Do!$F$55:$AQ$55,0),100),IFERROR(MATCH($A23,Do!$F$56:$AQ$56,0),100),IFERROR(MATCH($A23,Do!$F$57:$AQ$57,0),100),IFERROR(MATCH($A23,Do!$F$58:$AQ$58,0),100),IFERROR(MATCH($A23,Do!$F$59:$AQ$59,0),100),IFERROR(MATCH($A23,Do!$F$60:$AQ$60,0),100),IFERROR(MATCH($A23,Do!$F$61:$AQ$61,0),100),IFERROR(MATCH($A23,Do!$F$62:$AQ$62,0),100),IFERROR(MATCH($A23,Do!$F$63:$AQ$63,0),100),39)</f>
        <v/>
      </c>
      <c r="J23" s="66">
        <f>IFERROR(IF(VLOOKUP(INDEX(Do!$B$12:$B$63,MATCH($A23,OFFSET( Do!$F$12:$F$63,0,(I23*48)-(IF(I23=7/24,9,IF(I23=12.5/24,9,IF(I23=14/24,9,IF(I23=15.5/24,9,10)))))),0),0),Do!$B$13:$C$63,2,FALSE)="TL","",INDEX(Do!$B$12:$B$63,MATCH($A23,OFFSET( Do!$F$12:$F$63,0,(I23*48)-(IF(I23=7/24,9,IF(I23=12.5/24,9,IF(I23=14/24,9,IF(I23=15.5/24,9,10)))))),0),0)),"")</f>
        <v/>
      </c>
      <c r="K23" s="857">
        <f>9/48+(1/48)*MIN(IFERROR(MATCH($A23,Vr!$F$13:$AQ$13,0),100),IFERROR(MATCH($A23,Vr!$F$14:$AQ$14,0),100),IFERROR(MATCH($A23,Vr!$F$15:$AQ$15,0),100),IFERROR(MATCH($A23,Vr!$F$16:$AQ$16,0),100),IFERROR(MATCH($A23,Vr!$F$17:$AQ$17,0),100),IFERROR(MATCH($A23,Vr!$F$18:$AQ$18,0),100),IFERROR(MATCH($A23,Vr!$F$19:$AQ$19,0),100),IFERROR(MATCH($A23,Vr!$F$20:$AQ$20,0),100),IFERROR(MATCH($A23,Vr!$F$21:$AQ$21,0),100),IFERROR(MATCH($A23,Vr!$F$22:$AQ$22,0),100),IFERROR(MATCH($A23,Vr!$F$23:$AQ$23,0),100),IFERROR(MATCH($A23,Vr!$F$24:$AQ$24,0),100),IFERROR(MATCH($A23,Vr!$F$25:$AQ$25,0),100),IFERROR(MATCH($A23,Vr!$F$26:$AQ$26,0),100),IFERROR(MATCH($A23,Vr!$F$27:$AQ$27,0),100),IFERROR(MATCH($A23,Vr!$F$28:$AQ$28,0),100),IFERROR(MATCH($A23,Vr!$F$29:$AQ$29,0),100),IFERROR(MATCH($A23,Vr!$F$30:$AQ$30,0),100),IFERROR(MATCH($A23,Vr!$F$31:$AQ$31,0),100),IFERROR(MATCH($A23,Vr!$F$32:$AQ$32,0),100),IFERROR(MATCH($A23,Vr!$F$33:$AQ$33,0),100),IFERROR(MATCH($A23,Vr!$F$34:$AQ$34,0),100),IFERROR(MATCH($A23,Vr!$F$35:$AQ$35,0),100),IFERROR(MATCH($A23,Vr!$F$36:$AQ$36,0),100),IFERROR(MATCH($A23,Vr!$F$37:$AQ$37,0),100),IFERROR(MATCH($A23,Vr!$F$38:$AQ$38,0),100),IFERROR(MATCH($A23,Vr!$F$39:$AQ$39,0),100),IFERROR(MATCH($A23,Vr!$F$40:$AQ$40,0),100),IFERROR(MATCH($A23,Vr!$F$41:$AQ$41,0),100),IFERROR(MATCH($A23,Vr!$F$42:$AQ$42,0),100),IFERROR(MATCH($A23,Vr!$F$43:$AQ$43,0),100),IFERROR(MATCH($A23,Vr!$F$44:$AQ$44,0),100),IFERROR(MATCH($A23,Vr!$F$45:$AQ$45,0),100),IFERROR(MATCH($A23,Vr!$F$46:$AQ$46,0),100),IFERROR(MATCH($A23,Vr!$F$47:$AQ$47,0),100),IFERROR(MATCH($A23,Vr!$F$48:$AQ$48,0),100),IFERROR(MATCH($A23,Vr!$F$49:$AQ$49,0),100),IFERROR(MATCH($A23,Vr!$F$50:$AQ$50,0),100),IFERROR(MATCH($A23,Vr!$F$51:$AQ$51,0),100),IFERROR(MATCH($A23,Vr!$F$52:$AQ$52,0),100),IFERROR(MATCH($A23,Vr!$F$53:$AQ$53,0),100),IFERROR(MATCH($A23,Vr!$F$54:$AQ$54,0),100),IFERROR(MATCH($A23,Vr!$F$55:$AQ$55,0),100),IFERROR(MATCH($A23,Vr!$F$56:$AQ$56,0),100),IFERROR(MATCH($A23,Vr!$F$57:$AQ$57,0),100),IFERROR(MATCH($A23,Vr!$F$58:$AQ$58,0),100),IFERROR(MATCH($A23,Vr!$F$59:$AQ$59,0),100),IFERROR(MATCH($A23,Vr!$F$60:$AQ$60,0),100),IFERROR(MATCH($A23,Vr!$F$61:$AQ$61,0),100),IFERROR(MATCH($A23,Vr!$F$62:$AQ$62,0),100),IFERROR(MATCH($A23,Vr!$F$63:$AQ$63,0),100),39)</f>
        <v/>
      </c>
      <c r="L23" s="66">
        <f>IFERROR(IF(VLOOKUP(INDEX(Vr!$B$12:$B$63,MATCH($A23,OFFSET( Vr!$F$12:$F$63,0,(K23*48)-(IF(K23=7/24,9,IF(K23=12.5/24,9,IF(K23=14/24,9,IF(K23=15.5/24,9,10)))))),0),0),Vr!$B$13:$C$63,2,FALSE)="TL","",INDEX(Vr!$B$12:$B$63,MATCH($A23,OFFSET( Vr!$F$12:$F$63,0,(K23*48)-(IF(K23=7/24,9,IF(K23=12.5/24,9,IF(K23=14/24,9,IF(K23=15.5/24,9,10)))))),0),0)),"")</f>
        <v/>
      </c>
      <c r="M23" s="857">
        <f>9/48+(1/48)*MIN(IFERROR(MATCH($A23,Za!$F$13:$AQ$13,0),100),IFERROR(MATCH($A23,Za!$F$14:$AQ$14,0),100),IFERROR(MATCH($A23,Za!$F$15:$AQ$15,0),100),IFERROR(MATCH($A23,Za!$F$16:$AQ$16,0),100),IFERROR(MATCH($A23,Za!$F$17:$AQ$17,0),100),IFERROR(MATCH($A23,Za!$F$18:$AQ$18,0),100),IFERROR(MATCH($A23,Za!$F$19:$AQ$19,0),100),IFERROR(MATCH($A23,Za!$F$20:$AQ$20,0),100),IFERROR(MATCH($A23,Za!$F$21:$AQ$21,0),100),IFERROR(MATCH($A23,Za!$F$22:$AQ$22,0),100),IFERROR(MATCH($A23,Za!$F$23:$AQ$23,0),100),IFERROR(MATCH($A23,Za!$F$24:$AQ$24,0),100),IFERROR(MATCH($A23,Za!$F$25:$AQ$25,0),100),IFERROR(MATCH($A23,Za!$F$26:$AQ$26,0),100),IFERROR(MATCH($A23,Za!$F$27:$AQ$27,0),100),IFERROR(MATCH($A23,Za!$F$28:$AQ$28,0),100),IFERROR(MATCH($A23,Za!$F$29:$AQ$29,0),100),IFERROR(MATCH($A23,Za!$F$30:$AQ$30,0),100),IFERROR(MATCH($A23,Za!$F$31:$AQ$31,0),100),IFERROR(MATCH($A23,Za!$F$32:$AQ$32,0),100),IFERROR(MATCH($A23,Za!$F$33:$AQ$33,0),100),IFERROR(MATCH($A23,Za!$F$34:$AQ$34,0),100),IFERROR(MATCH($A23,Za!$F$35:$AQ$35,0),100),IFERROR(MATCH($A23,Za!$F$36:$AQ$36,0),100),IFERROR(MATCH($A23,Za!$F$37:$AQ$37,0),100),IFERROR(MATCH($A23,Za!$F$38:$AQ$38,0),100),IFERROR(MATCH($A23,Za!$F$39:$AQ$39,0),100),IFERROR(MATCH($A23,Za!$F$40:$AQ$40,0),100),IFERROR(MATCH($A23,Za!$F$41:$AQ$41,0),100),IFERROR(MATCH($A23,Za!$F$42:$AQ$42,0),100),IFERROR(MATCH($A23,Za!$F$43:$AQ$43,0),100),IFERROR(MATCH($A23,Za!$F$44:$AQ$44,0),100),IFERROR(MATCH($A23,Za!$F$45:$AQ$45,0),100),IFERROR(MATCH($A23,Za!$F$46:$AQ$46,0),100),IFERROR(MATCH($A23,Za!$F$47:$AQ$47,0),100),IFERROR(MATCH($A23,Za!$F$48:$AQ$48,0),100),IFERROR(MATCH($A23,Za!$F$49:$AQ$49,0),100),IFERROR(MATCH($A23,Za!$F$50:$AQ$50,0),100),IFERROR(MATCH($A23,Za!$F$51:$AQ$51,0),100),IFERROR(MATCH($A23,Za!$F$52:$AQ$52,0),100),IFERROR(MATCH($A23,Za!$F$53:$AQ$53,0),100),IFERROR(MATCH($A23,Za!$F$54:$AQ$54,0),100),IFERROR(MATCH($A23,Za!$F$55:$AQ$55,0),100),IFERROR(MATCH($A23,Za!$F$56:$AQ$56,0),100),IFERROR(MATCH($A23,Za!$F$57:$AQ$57,0),100),IFERROR(MATCH($A23,Za!$F$58:$AQ$58,0),100),IFERROR(MATCH($A23,Za!$F$59:$AQ$59,0),100),IFERROR(MATCH($A23,Za!$F$60:$AQ$60,0),100),IFERROR(MATCH($A23,Za!$F$61:$AQ$61,0),100),IFERROR(MATCH($A23,Za!$F$62:$AQ$62,0),100),IFERROR(MATCH($A23,Za!$F$63:$AQ$63,0),100),39)</f>
        <v/>
      </c>
      <c r="N23" s="66">
        <f>IFERROR(IF(VLOOKUP(INDEX(Za!$B$12:$B$63,MATCH($A23,OFFSET( Za!$F$12:$F$63,0,(M23*48)-(IF(M23=7/24,9,IF(M23=12.5/24,9,IF(M23=14/24,9,IF(M23=15.5/24,9,10)))))),0),0),Za!$B$13:$C$63,2,FALSE)="TL","",INDEX(Za!$B$12:$B$63,MATCH($A23,OFFSET( Za!$F$12:$F$63,0,(M23*48)-(IF(M23=7/24,9,IF(M23=12.5/24,9,IF(M23=14/24,9,IF(M23=15.5/24,9,10)))))),0),0)),"")</f>
        <v/>
      </c>
      <c r="O23" s="857">
        <f>9/48+(1/48)*MIN(IFERROR(MATCH($A23,Zo!$F$13:$AQ$13,0),100),IFERROR(MATCH($A23,Zo!$F$14:$AQ$14,0),100),IFERROR(MATCH($A23,Zo!$F$15:$AQ$15,0),100),IFERROR(MATCH($A23,Zo!$F$16:$AQ$16,0),100),IFERROR(MATCH($A23,Zo!$F$17:$AQ$17,0),100),IFERROR(MATCH($A23,Zo!$F$18:$AQ$18,0),100),IFERROR(MATCH($A23,Zo!$F$19:$AQ$19,0),100),IFERROR(MATCH($A23,Zo!$F$20:$AQ$20,0),100),IFERROR(MATCH($A23,Zo!$F$21:$AQ$21,0),100),IFERROR(MATCH($A23,Zo!$F$22:$AQ$22,0),100),IFERROR(MATCH($A23,Zo!$F$23:$AQ$23,0),100),IFERROR(MATCH($A23,Zo!$F$24:$AQ$24,0),100),IFERROR(MATCH($A23,Zo!$F$25:$AQ$25,0),100),IFERROR(MATCH($A23,Zo!$F$26:$AQ$26,0),100),IFERROR(MATCH($A23,Zo!$F$27:$AQ$27,0),100),IFERROR(MATCH($A23,Zo!$F$28:$AQ$28,0),100),IFERROR(MATCH($A23,Zo!$F$29:$AQ$29,0),100),IFERROR(MATCH($A23,Zo!$F$30:$AQ$30,0),100),IFERROR(MATCH($A23,Zo!$F$31:$AQ$31,0),100),IFERROR(MATCH($A23,Zo!$F$32:$AQ$32,0),100),IFERROR(MATCH($A23,Zo!$F$33:$AQ$33,0),100),IFERROR(MATCH($A23,Zo!$F$34:$AQ$34,0),100),IFERROR(MATCH($A23,Zo!$F$35:$AQ$35,0),100),IFERROR(MATCH($A23,Zo!$F$36:$AQ$36,0),100),IFERROR(MATCH($A23,Zo!$F$37:$AQ$37,0),100),IFERROR(MATCH($A23,Zo!$F$38:$AQ$38,0),100),IFERROR(MATCH($A23,Zo!$F$39:$AQ$39,0),100),IFERROR(MATCH($A23,Zo!$F$40:$AQ$40,0),100),IFERROR(MATCH($A23,Zo!$F$41:$AQ$41,0),100),IFERROR(MATCH($A23,Zo!$F$42:$AQ$42,0),100),IFERROR(MATCH($A23,Zo!$F$43:$AQ$43,0),100),IFERROR(MATCH($A23,Zo!$F$44:$AQ$44,0),100),IFERROR(MATCH($A23,Zo!$F$45:$AQ$45,0),100),IFERROR(MATCH($A23,Zo!$F$46:$AQ$46,0),100),IFERROR(MATCH($A23,Zo!$F$47:$AQ$47,0),100),IFERROR(MATCH($A23,Zo!$F$48:$AQ$48,0),100),IFERROR(MATCH($A23,Zo!$F$49:$AQ$49,0),100),IFERROR(MATCH($A23,Zo!$F$50:$AQ$50,0),100),IFERROR(MATCH($A23,Zo!$F$51:$AQ$51,0),100),IFERROR(MATCH($A23,Zo!$F$52:$AQ$52,0),100),IFERROR(MATCH($A23,Zo!$F$53:$AQ$53,0),100),IFERROR(MATCH($A23,Zo!$F$54:$AQ$54,0),100),IFERROR(MATCH($A23,Zo!$F$55:$AQ$55,0),100),IFERROR(MATCH($A23,Zo!$F$56:$AQ$56,0),100),IFERROR(MATCH($A23,Zo!$F$57:$AQ$57,0),100),IFERROR(MATCH($A23,Zo!$F$58:$AQ$58,0),100),IFERROR(MATCH($A23,Zo!$F$59:$AQ$59,0),100),IFERROR(MATCH($A23,Zo!$F$60:$AQ$60,0),100),IFERROR(MATCH($A23,Zo!$F$61:$AQ$61,0),100),IFERROR(MATCH($A23,Zo!$F$62:$AQ$62,0),100),IFERROR(MATCH($A23,Zo!$F$63:$AQ$63,0),100),39)</f>
        <v/>
      </c>
      <c r="P23" s="66">
        <f>IFERROR(IF(VLOOKUP(INDEX(Zo!$B$12:$B$63,MATCH($A23,OFFSET( Zo!$F$12:$F$63,0,(O23*48)-(IF(O23=7/24,9,IF(O23=12.5/24,9,IF(O23=14/24,9,IF(O23=15.5/24,9,10)))))),0),0),Zo!$B$13:$C$63,2,FALSE)="TL","",INDEX(Zo!$B$12:$B$63,MATCH($A23,OFFSET( Zo!$F$12:$F$63,0,(O23*48)-(IF(O23=7/24,9,IF(O23=12.5/24,9,IF(O23=14/24,9,IF(O23=15.5/24,9,10)))))),0),0)),"")</f>
        <v/>
      </c>
    </row>
    <row r="24" ht="15" customHeight="1">
      <c r="A24" s="66" t="inlineStr">
        <is>
          <t>us</t>
        </is>
      </c>
      <c r="B24" s="67">
        <f>A24</f>
        <v/>
      </c>
      <c r="C24" s="857">
        <f>9/48+(1/48)*MIN(IFERROR(MATCH($A24,Ma!$F$13:$AQ$13,0),100),IFERROR(MATCH($A24,Ma!$F$14:$AQ$14,0),100),IFERROR(MATCH($A24,Ma!$F$15:$AQ$15,0),100),IFERROR(MATCH($A24,Ma!$F$16:$AQ$16,0),100),IFERROR(MATCH($A24,Ma!$F$17:$AQ$17,0),100),IFERROR(MATCH($A24,Ma!$F$18:$AQ$18,0),100),IFERROR(MATCH($A24,Ma!$F$19:$AQ$19,0),100),IFERROR(MATCH($A24,Ma!$F$20:$AQ$20,0),100),IFERROR(MATCH($A24,Ma!$F$21:$AQ$21,0),100),IFERROR(MATCH($A24,Ma!$F$22:$AQ$22,0),100),IFERROR(MATCH($A24,Ma!$F$23:$AQ$23,0),100),IFERROR(MATCH($A24,Ma!$F$24:$AQ$24,0),100),IFERROR(MATCH($A24,Ma!$F$25:$AQ$25,0),100),IFERROR(MATCH($A24,Ma!$F$26:$AQ$26,0),100),IFERROR(MATCH($A24,Ma!$F$27:$AQ$27,0),100),IFERROR(MATCH($A24,Ma!$F$28:$AQ$28,0),100),IFERROR(MATCH($A24,Ma!$F$29:$AQ$29,0),100),IFERROR(MATCH($A24,Ma!$F$30:$AQ$30,0),100),IFERROR(MATCH($A24,Ma!$F$31:$AQ$31,0),100),IFERROR(MATCH($A24,Ma!$F$32:$AQ$32,0),100),IFERROR(MATCH($A24,Ma!$F$33:$AQ$33,0),100),IFERROR(MATCH($A24,Ma!$F$34:$AQ$34,0),100),IFERROR(MATCH($A24,Ma!$F$35:$AQ$35,0),100),IFERROR(MATCH($A24,Ma!$F$36:$AQ$36,0),100),IFERROR(MATCH($A24,Ma!$F$37:$AQ$37,0),100),IFERROR(MATCH($A24,Ma!$F$38:$AQ$38,0),100),IFERROR(MATCH($A24,Ma!$F$39:$AQ$39,0),100),IFERROR(MATCH($A24,Ma!$F$40:$AQ$40,0),100),IFERROR(MATCH($A24,Ma!$F$41:$AQ$41,0),100),IFERROR(MATCH($A24,Ma!$F$42:$AQ$42,0),100),IFERROR(MATCH($A24,Ma!$F$43:$AQ$43,0),100),IFERROR(MATCH($A24,Ma!$F$44:$AQ$44,0),100),IFERROR(MATCH($A24,Ma!$F$45:$AQ$45,0),100),IFERROR(MATCH($A24,Ma!$F$46:$AQ$46,0),100),IFERROR(MATCH($A24,Ma!$F$47:$AQ$47,0),100),IFERROR(MATCH($A24,Ma!$F$48:$AQ$48,0),100),IFERROR(MATCH($A24,Ma!$F$49:$AQ$49,0),100),IFERROR(MATCH($A24,Ma!$F$50:$AQ$50,0),100),IFERROR(MATCH($A24,Ma!$F$51:$AQ$51,0),100),IFERROR(MATCH($A24,Ma!$F$52:$AQ$52,0),100),IFERROR(MATCH($A24,Ma!$F$53:$AQ$53,0),100),IFERROR(MATCH($A24,Ma!$F$54:$AQ$54,0),100),IFERROR(MATCH($A24,Ma!$F$55:$AQ$55,0),100),IFERROR(MATCH($A24,Ma!$F$56:$AQ$56,0),100),IFERROR(MATCH($A24,Ma!$F$57:$AQ$57,0),100),IFERROR(MATCH($A24,Ma!$F$58:$AQ$58,0),100),IFERROR(MATCH($A24,Ma!$F$59:$AQ$59,0),100),IFERROR(MATCH($A24,Ma!$F$60:$AQ$60,0),100),IFERROR(MATCH($A24,Ma!$F$61:$AQ$61,0),100),IFERROR(MATCH($A24,Ma!$F$62:$AQ$62,0),100),IFERROR(MATCH($A24,Ma!$F$63:$AQ$63,0),100),39)</f>
        <v/>
      </c>
      <c r="D24" s="66">
        <f>IFERROR(IF(VLOOKUP(INDEX(Ma!$B$12:$B$63,MATCH($A24,OFFSET( Ma!$F$12:$F$63,0,(C24*48)-(IF(C24=7/24,9,IF(C24=12.5/24,9,IF(C24=14/24,9,IF(C24=15.5/24,9,10)))))),0),0),Ma!$B$13:$C$63,2,FALSE)="TL","",INDEX(Ma!$B$12:$B$63,MATCH($A24,OFFSET( Ma!$F$12:$F$63,0,(C24*48)-(IF(C24=7/24,9,IF(C24=12.5/24,9,IF(C24=14/24,9,IF(C24=15.5/24,9,10)))))),0),0)),"")</f>
        <v/>
      </c>
      <c r="E24" s="857">
        <f>9/48+(1/48)*MIN(IFERROR(MATCH($A24,Di!$F$13:$AQ$13,0),100),IFERROR(MATCH($A24,Di!$F$14:$AQ$14,0),100),IFERROR(MATCH($A24,Di!$F$15:$AQ$15,0),100),IFERROR(MATCH($A24,Di!$F$16:$AQ$16,0),100),IFERROR(MATCH($A24,Di!$F$17:$AQ$17,0),100),IFERROR(MATCH($A24,Di!$F$18:$AQ$18,0),100),IFERROR(MATCH($A24,Di!$F$19:$AQ$19,0),100),IFERROR(MATCH($A24,Di!$F$20:$AQ$20,0),100),IFERROR(MATCH($A24,Di!$F$21:$AQ$21,0),100),IFERROR(MATCH($A24,Di!$F$22:$AQ$22,0),100),IFERROR(MATCH($A24,Di!$F$23:$AQ$23,0),100),IFERROR(MATCH($A24,Di!$F$24:$AQ$24,0),100),IFERROR(MATCH($A24,Di!$F$25:$AQ$25,0),100),IFERROR(MATCH($A24,Di!$F$26:$AQ$26,0),100),IFERROR(MATCH($A24,Di!$F$27:$AQ$27,0),100),IFERROR(MATCH($A24,Di!$F$28:$AQ$28,0),100),IFERROR(MATCH($A24,Di!$F$29:$AQ$29,0),100),IFERROR(MATCH($A24,Di!$F$30:$AQ$30,0),100),IFERROR(MATCH($A24,Di!$F$31:$AQ$31,0),100),IFERROR(MATCH($A24,Di!$F$32:$AQ$32,0),100),IFERROR(MATCH($A24,Di!$F$33:$AQ$33,0),100),IFERROR(MATCH($A24,Di!$F$34:$AQ$34,0),100),IFERROR(MATCH($A24,Di!$F$35:$AQ$35,0),100),IFERROR(MATCH($A24,Di!$F$36:$AQ$36,0),100),IFERROR(MATCH($A24,Di!$F$37:$AQ$37,0),100),IFERROR(MATCH($A24,Di!$F$38:$AQ$38,0),100),IFERROR(MATCH($A24,Di!$F$39:$AQ$39,0),100),IFERROR(MATCH($A24,Di!$F$40:$AQ$40,0),100),IFERROR(MATCH($A24,Di!$F$41:$AQ$41,0),100),IFERROR(MATCH($A24,Di!$F$42:$AQ$42,0),100),IFERROR(MATCH($A24,Di!$F$43:$AQ$43,0),100),IFERROR(MATCH($A24,Di!$F$44:$AQ$44,0),100),IFERROR(MATCH($A24,Di!$F$45:$AQ$45,0),100),IFERROR(MATCH($A24,Di!$F$46:$AQ$46,0),100),IFERROR(MATCH($A24,Di!$F$47:$AQ$47,0),100),IFERROR(MATCH($A24,Di!$F$48:$AQ$48,0),100),IFERROR(MATCH($A24,Di!$F$49:$AQ$49,0),100),IFERROR(MATCH($A24,Di!$F$50:$AQ$50,0),100),IFERROR(MATCH($A24,Di!$F$51:$AQ$51,0),100),IFERROR(MATCH($A24,Di!$F$52:$AQ$52,0),100),IFERROR(MATCH($A24,Di!$F$53:$AQ$53,0),100),IFERROR(MATCH($A24,Di!$F$54:$AQ$54,0),100),IFERROR(MATCH($A24,Di!$F$55:$AQ$55,0),100),IFERROR(MATCH($A24,Di!$F$56:$AQ$56,0),100),IFERROR(MATCH($A24,Di!$F$57:$AQ$57,0),100),IFERROR(MATCH($A24,Di!$F$58:$AQ$58,0),100),IFERROR(MATCH($A24,Di!$F$59:$AQ$59,0),100),IFERROR(MATCH($A24,Di!$F$60:$AQ$60,0),100),IFERROR(MATCH($A24,Di!$F$61:$AQ$61,0),100),IFERROR(MATCH($A24,Di!$F$62:$AQ$62,0),100),IFERROR(MATCH($A24,Di!$F$63:$AQ$63,0),100),39)</f>
        <v/>
      </c>
      <c r="F24" s="66">
        <f>IFERROR(IF(VLOOKUP(INDEX(Di!$B$12:$B$63,MATCH($A24,OFFSET( Di!$F$12:$F$63,0,(E24*48)-(IF(E24=7/24,9,IF(E24=12.5/24,9,IF(E24=14/24,9,IF(E24=15.5/24,9,10)))))),0),0),Di!$B$13:$C$63,2,FALSE)="TL","",INDEX(Di!$B$12:$B$63,MATCH($A24,OFFSET( Di!$F$12:$F$63,0,(E24*48)-(IF(E24=7/24,9,IF(E24=12.5/24,9,IF(E24=14/24,9,IF(E24=15.5/24,9,10)))))),0),0)),"")</f>
        <v/>
      </c>
      <c r="G24" s="857">
        <f>9/48+(1/48)*MIN(IFERROR(MATCH($A24,Wo!$F$13:$AQ$13,0),100),IFERROR(MATCH($A24,Wo!$F$14:$AQ$14,0),100),IFERROR(MATCH($A24,Wo!$F$15:$AQ$15,0),100),IFERROR(MATCH($A24,Wo!$F$16:$AQ$16,0),100),IFERROR(MATCH($A24,Wo!$F$17:$AQ$17,0),100),IFERROR(MATCH($A24,Wo!$F$18:$AQ$18,0),100),IFERROR(MATCH($A24,Wo!$F$19:$AQ$19,0),100),IFERROR(MATCH($A24,Wo!$F$20:$AQ$20,0),100),IFERROR(MATCH($A24,Wo!$F$21:$AQ$21,0),100),IFERROR(MATCH($A24,Wo!$F$22:$AQ$22,0),100),IFERROR(MATCH($A24,Wo!$F$23:$AQ$23,0),100),IFERROR(MATCH($A24,Wo!$F$24:$AQ$24,0),100),IFERROR(MATCH($A24,Wo!$F$25:$AQ$25,0),100),IFERROR(MATCH($A24,Wo!$F$26:$AQ$26,0),100),IFERROR(MATCH($A24,Wo!$F$27:$AQ$27,0),100),IFERROR(MATCH($A24,Wo!$F$28:$AQ$28,0),100),IFERROR(MATCH($A24,Wo!$F$29:$AQ$29,0),100),IFERROR(MATCH($A24,Wo!$F$30:$AQ$30,0),100),IFERROR(MATCH($A24,Wo!$F$31:$AQ$31,0),100),IFERROR(MATCH($A24,Wo!$F$32:$AQ$32,0),100),IFERROR(MATCH($A24,Wo!$F$33:$AQ$33,0),100),IFERROR(MATCH($A24,Wo!$F$34:$AQ$34,0),100),IFERROR(MATCH($A24,Wo!$F$35:$AQ$35,0),100),IFERROR(MATCH($A24,Wo!$F$36:$AQ$36,0),100),IFERROR(MATCH($A24,Wo!$F$37:$AQ$37,0),100),IFERROR(MATCH($A24,Wo!$F$38:$AQ$38,0),100),IFERROR(MATCH($A24,Wo!$F$39:$AQ$39,0),100),IFERROR(MATCH($A24,Wo!$F$40:$AQ$40,0),100),IFERROR(MATCH($A24,Wo!$F$41:$AQ$41,0),100),IFERROR(MATCH($A24,Wo!$F$42:$AQ$42,0),100),IFERROR(MATCH($A24,Wo!$F$43:$AQ$43,0),100),IFERROR(MATCH($A24,Wo!$F$44:$AQ$44,0),100),IFERROR(MATCH($A24,Wo!$F$45:$AQ$45,0),100),IFERROR(MATCH($A24,Wo!$F$46:$AQ$46,0),100),IFERROR(MATCH($A24,Wo!$F$47:$AQ$47,0),100),IFERROR(MATCH($A24,Wo!$F$48:$AQ$48,0),100),IFERROR(MATCH($A24,Wo!$F$49:$AQ$49,0),100),IFERROR(MATCH($A24,Wo!$F$50:$AQ$50,0),100),IFERROR(MATCH($A24,Wo!$F$51:$AQ$51,0),100),IFERROR(MATCH($A24,Wo!$F$52:$AQ$52,0),100),IFERROR(MATCH($A24,Wo!$F$53:$AQ$53,0),100),IFERROR(MATCH($A24,Wo!$F$54:$AQ$54,0),100),IFERROR(MATCH($A24,Wo!$F$55:$AQ$55,0),100),IFERROR(MATCH($A24,Wo!$F$56:$AQ$56,0),100),IFERROR(MATCH($A24,Wo!$F$57:$AQ$57,0),100),IFERROR(MATCH($A24,Wo!$F$58:$AQ$58,0),100),IFERROR(MATCH($A24,Wo!$F$59:$AQ$59,0),100),IFERROR(MATCH($A24,Wo!$F$60:$AQ$60,0),100),IFERROR(MATCH($A24,Wo!$F$61:$AQ$61,0),100),IFERROR(MATCH($A24,Wo!$F$62:$AQ$62,0),100),IFERROR(MATCH($A24,Wo!$F$63:$AQ$63,0),100),39)</f>
        <v/>
      </c>
      <c r="H24" s="66">
        <f>IFERROR(IF(VLOOKUP(INDEX(Wo!$B$12:$B$63,MATCH($A24,OFFSET( Wo!$F$12:$F$63,0,(G24*48)-(IF(G24=7/24,9,IF(G24=12.5/24,9,IF(G24=14/24,9,IF(G24=15.5/24,9,10)))))),0),0),Wo!$B$13:$C$63,2,FALSE)="TL","",INDEX(Wo!$B$12:$B$63,MATCH($A24,OFFSET( Wo!$F$12:$F$63,0,(G24*48)-(IF(G24=7/24,9,IF(G24=12.5/24,9,IF(G24=14/24,9,IF(G24=15.5/24,9,10)))))),0),0)),"")</f>
        <v/>
      </c>
      <c r="I24" s="857">
        <f>9/48+(1/48)*MIN(IFERROR(MATCH($A24,Do!$F$13:$AQ$13,0),100),IFERROR(MATCH($A24,Do!$F$14:$AQ$14,0),100),IFERROR(MATCH($A24,Do!$F$15:$AQ$15,0),100),IFERROR(MATCH($A24,Do!$F$16:$AQ$16,0),100),IFERROR(MATCH($A24,Do!$F$17:$AQ$17,0),100),IFERROR(MATCH($A24,Do!$F$18:$AQ$18,0),100),IFERROR(MATCH($A24,Do!$F$19:$AQ$19,0),100),IFERROR(MATCH($A24,Do!$F$20:$AQ$20,0),100),IFERROR(MATCH($A24,Do!$F$21:$AQ$21,0),100),IFERROR(MATCH($A24,Do!$F$22:$AQ$22,0),100),IFERROR(MATCH($A24,Do!$F$23:$AQ$23,0),100),IFERROR(MATCH($A24,Do!$F$24:$AQ$24,0),100),IFERROR(MATCH($A24,Do!$F$25:$AQ$25,0),100),IFERROR(MATCH($A24,Do!$F$26:$AQ$26,0),100),IFERROR(MATCH($A24,Do!$F$27:$AQ$27,0),100),IFERROR(MATCH($A24,Do!$F$28:$AQ$28,0),100),IFERROR(MATCH($A24,Do!$F$29:$AQ$29,0),100),IFERROR(MATCH($A24,Do!$F$30:$AQ$30,0),100),IFERROR(MATCH($A24,Do!$F$31:$AQ$31,0),100),IFERROR(MATCH($A24,Do!$F$32:$AQ$32,0),100),IFERROR(MATCH($A24,Do!$F$33:$AQ$33,0),100),IFERROR(MATCH($A24,Do!$F$34:$AQ$34,0),100),IFERROR(MATCH($A24,Do!$F$35:$AQ$35,0),100),IFERROR(MATCH($A24,Do!$F$36:$AQ$36,0),100),IFERROR(MATCH($A24,Do!$F$37:$AQ$37,0),100),IFERROR(MATCH($A24,Do!$F$38:$AQ$38,0),100),IFERROR(MATCH($A24,Do!$F$39:$AQ$39,0),100),IFERROR(MATCH($A24,Do!$F$40:$AQ$40,0),100),IFERROR(MATCH($A24,Do!$F$41:$AQ$41,0),100),IFERROR(MATCH($A24,Do!$F$42:$AQ$42,0),100),IFERROR(MATCH($A24,Do!$F$43:$AQ$43,0),100),IFERROR(MATCH($A24,Do!$F$44:$AQ$44,0),100),IFERROR(MATCH($A24,Do!$F$45:$AQ$45,0),100),IFERROR(MATCH($A24,Do!$F$46:$AQ$46,0),100),IFERROR(MATCH($A24,Do!$F$47:$AQ$47,0),100),IFERROR(MATCH($A24,Do!$F$48:$AQ$48,0),100),IFERROR(MATCH($A24,Do!$F$49:$AQ$49,0),100),IFERROR(MATCH($A24,Do!$F$50:$AQ$50,0),100),IFERROR(MATCH($A24,Do!$F$51:$AQ$51,0),100),IFERROR(MATCH($A24,Do!$F$52:$AQ$52,0),100),IFERROR(MATCH($A24,Do!$F$53:$AQ$53,0),100),IFERROR(MATCH($A24,Do!$F$54:$AQ$54,0),100),IFERROR(MATCH($A24,Do!$F$55:$AQ$55,0),100),IFERROR(MATCH($A24,Do!$F$56:$AQ$56,0),100),IFERROR(MATCH($A24,Do!$F$57:$AQ$57,0),100),IFERROR(MATCH($A24,Do!$F$58:$AQ$58,0),100),IFERROR(MATCH($A24,Do!$F$59:$AQ$59,0),100),IFERROR(MATCH($A24,Do!$F$60:$AQ$60,0),100),IFERROR(MATCH($A24,Do!$F$61:$AQ$61,0),100),IFERROR(MATCH($A24,Do!$F$62:$AQ$62,0),100),IFERROR(MATCH($A24,Do!$F$63:$AQ$63,0),100),39)</f>
        <v/>
      </c>
      <c r="J24" s="66">
        <f>IFERROR(IF(VLOOKUP(INDEX(Do!$B$12:$B$63,MATCH($A24,OFFSET( Do!$F$12:$F$63,0,(I24*48)-(IF(I24=7/24,9,IF(I24=12.5/24,9,IF(I24=14/24,9,IF(I24=15.5/24,9,10)))))),0),0),Do!$B$13:$C$63,2,FALSE)="TL","",INDEX(Do!$B$12:$B$63,MATCH($A24,OFFSET( Do!$F$12:$F$63,0,(I24*48)-(IF(I24=7/24,9,IF(I24=12.5/24,9,IF(I24=14/24,9,IF(I24=15.5/24,9,10)))))),0),0)),"")</f>
        <v/>
      </c>
      <c r="K24" s="857">
        <f>9/48+(1/48)*MIN(IFERROR(MATCH($A24,Vr!$F$13:$AQ$13,0),100),IFERROR(MATCH($A24,Vr!$F$14:$AQ$14,0),100),IFERROR(MATCH($A24,Vr!$F$15:$AQ$15,0),100),IFERROR(MATCH($A24,Vr!$F$16:$AQ$16,0),100),IFERROR(MATCH($A24,Vr!$F$17:$AQ$17,0),100),IFERROR(MATCH($A24,Vr!$F$18:$AQ$18,0),100),IFERROR(MATCH($A24,Vr!$F$19:$AQ$19,0),100),IFERROR(MATCH($A24,Vr!$F$20:$AQ$20,0),100),IFERROR(MATCH($A24,Vr!$F$21:$AQ$21,0),100),IFERROR(MATCH($A24,Vr!$F$22:$AQ$22,0),100),IFERROR(MATCH($A24,Vr!$F$23:$AQ$23,0),100),IFERROR(MATCH($A24,Vr!$F$24:$AQ$24,0),100),IFERROR(MATCH($A24,Vr!$F$25:$AQ$25,0),100),IFERROR(MATCH($A24,Vr!$F$26:$AQ$26,0),100),IFERROR(MATCH($A24,Vr!$F$27:$AQ$27,0),100),IFERROR(MATCH($A24,Vr!$F$28:$AQ$28,0),100),IFERROR(MATCH($A24,Vr!$F$29:$AQ$29,0),100),IFERROR(MATCH($A24,Vr!$F$30:$AQ$30,0),100),IFERROR(MATCH($A24,Vr!$F$31:$AQ$31,0),100),IFERROR(MATCH($A24,Vr!$F$32:$AQ$32,0),100),IFERROR(MATCH($A24,Vr!$F$33:$AQ$33,0),100),IFERROR(MATCH($A24,Vr!$F$34:$AQ$34,0),100),IFERROR(MATCH($A24,Vr!$F$35:$AQ$35,0),100),IFERROR(MATCH($A24,Vr!$F$36:$AQ$36,0),100),IFERROR(MATCH($A24,Vr!$F$37:$AQ$37,0),100),IFERROR(MATCH($A24,Vr!$F$38:$AQ$38,0),100),IFERROR(MATCH($A24,Vr!$F$39:$AQ$39,0),100),IFERROR(MATCH($A24,Vr!$F$40:$AQ$40,0),100),IFERROR(MATCH($A24,Vr!$F$41:$AQ$41,0),100),IFERROR(MATCH($A24,Vr!$F$42:$AQ$42,0),100),IFERROR(MATCH($A24,Vr!$F$43:$AQ$43,0),100),IFERROR(MATCH($A24,Vr!$F$44:$AQ$44,0),100),IFERROR(MATCH($A24,Vr!$F$45:$AQ$45,0),100),IFERROR(MATCH($A24,Vr!$F$46:$AQ$46,0),100),IFERROR(MATCH($A24,Vr!$F$47:$AQ$47,0),100),IFERROR(MATCH($A24,Vr!$F$48:$AQ$48,0),100),IFERROR(MATCH($A24,Vr!$F$49:$AQ$49,0),100),IFERROR(MATCH($A24,Vr!$F$50:$AQ$50,0),100),IFERROR(MATCH($A24,Vr!$F$51:$AQ$51,0),100),IFERROR(MATCH($A24,Vr!$F$52:$AQ$52,0),100),IFERROR(MATCH($A24,Vr!$F$53:$AQ$53,0),100),IFERROR(MATCH($A24,Vr!$F$54:$AQ$54,0),100),IFERROR(MATCH($A24,Vr!$F$55:$AQ$55,0),100),IFERROR(MATCH($A24,Vr!$F$56:$AQ$56,0),100),IFERROR(MATCH($A24,Vr!$F$57:$AQ$57,0),100),IFERROR(MATCH($A24,Vr!$F$58:$AQ$58,0),100),IFERROR(MATCH($A24,Vr!$F$59:$AQ$59,0),100),IFERROR(MATCH($A24,Vr!$F$60:$AQ$60,0),100),IFERROR(MATCH($A24,Vr!$F$61:$AQ$61,0),100),IFERROR(MATCH($A24,Vr!$F$62:$AQ$62,0),100),IFERROR(MATCH($A24,Vr!$F$63:$AQ$63,0),100),39)</f>
        <v/>
      </c>
      <c r="L24" s="66">
        <f>IFERROR(IF(VLOOKUP(INDEX(Vr!$B$12:$B$63,MATCH($A24,OFFSET( Vr!$F$12:$F$63,0,(K24*48)-(IF(K24=7/24,9,IF(K24=12.5/24,9,IF(K24=14/24,9,IF(K24=15.5/24,9,10)))))),0),0),Vr!$B$13:$C$63,2,FALSE)="TL","",INDEX(Vr!$B$12:$B$63,MATCH($A24,OFFSET( Vr!$F$12:$F$63,0,(K24*48)-(IF(K24=7/24,9,IF(K24=12.5/24,9,IF(K24=14/24,9,IF(K24=15.5/24,9,10)))))),0),0)),"")</f>
        <v/>
      </c>
      <c r="M24" s="857">
        <f>9/48+(1/48)*MIN(IFERROR(MATCH($A24,Za!$F$13:$AQ$13,0),100),IFERROR(MATCH($A24,Za!$F$14:$AQ$14,0),100),IFERROR(MATCH($A24,Za!$F$15:$AQ$15,0),100),IFERROR(MATCH($A24,Za!$F$16:$AQ$16,0),100),IFERROR(MATCH($A24,Za!$F$17:$AQ$17,0),100),IFERROR(MATCH($A24,Za!$F$18:$AQ$18,0),100),IFERROR(MATCH($A24,Za!$F$19:$AQ$19,0),100),IFERROR(MATCH($A24,Za!$F$20:$AQ$20,0),100),IFERROR(MATCH($A24,Za!$F$21:$AQ$21,0),100),IFERROR(MATCH($A24,Za!$F$22:$AQ$22,0),100),IFERROR(MATCH($A24,Za!$F$23:$AQ$23,0),100),IFERROR(MATCH($A24,Za!$F$24:$AQ$24,0),100),IFERROR(MATCH($A24,Za!$F$25:$AQ$25,0),100),IFERROR(MATCH($A24,Za!$F$26:$AQ$26,0),100),IFERROR(MATCH($A24,Za!$F$27:$AQ$27,0),100),IFERROR(MATCH($A24,Za!$F$28:$AQ$28,0),100),IFERROR(MATCH($A24,Za!$F$29:$AQ$29,0),100),IFERROR(MATCH($A24,Za!$F$30:$AQ$30,0),100),IFERROR(MATCH($A24,Za!$F$31:$AQ$31,0),100),IFERROR(MATCH($A24,Za!$F$32:$AQ$32,0),100),IFERROR(MATCH($A24,Za!$F$33:$AQ$33,0),100),IFERROR(MATCH($A24,Za!$F$34:$AQ$34,0),100),IFERROR(MATCH($A24,Za!$F$35:$AQ$35,0),100),IFERROR(MATCH($A24,Za!$F$36:$AQ$36,0),100),IFERROR(MATCH($A24,Za!$F$37:$AQ$37,0),100),IFERROR(MATCH($A24,Za!$F$38:$AQ$38,0),100),IFERROR(MATCH($A24,Za!$F$39:$AQ$39,0),100),IFERROR(MATCH($A24,Za!$F$40:$AQ$40,0),100),IFERROR(MATCH($A24,Za!$F$41:$AQ$41,0),100),IFERROR(MATCH($A24,Za!$F$42:$AQ$42,0),100),IFERROR(MATCH($A24,Za!$F$43:$AQ$43,0),100),IFERROR(MATCH($A24,Za!$F$44:$AQ$44,0),100),IFERROR(MATCH($A24,Za!$F$45:$AQ$45,0),100),IFERROR(MATCH($A24,Za!$F$46:$AQ$46,0),100),IFERROR(MATCH($A24,Za!$F$47:$AQ$47,0),100),IFERROR(MATCH($A24,Za!$F$48:$AQ$48,0),100),IFERROR(MATCH($A24,Za!$F$49:$AQ$49,0),100),IFERROR(MATCH($A24,Za!$F$50:$AQ$50,0),100),IFERROR(MATCH($A24,Za!$F$51:$AQ$51,0),100),IFERROR(MATCH($A24,Za!$F$52:$AQ$52,0),100),IFERROR(MATCH($A24,Za!$F$53:$AQ$53,0),100),IFERROR(MATCH($A24,Za!$F$54:$AQ$54,0),100),IFERROR(MATCH($A24,Za!$F$55:$AQ$55,0),100),IFERROR(MATCH($A24,Za!$F$56:$AQ$56,0),100),IFERROR(MATCH($A24,Za!$F$57:$AQ$57,0),100),IFERROR(MATCH($A24,Za!$F$58:$AQ$58,0),100),IFERROR(MATCH($A24,Za!$F$59:$AQ$59,0),100),IFERROR(MATCH($A24,Za!$F$60:$AQ$60,0),100),IFERROR(MATCH($A24,Za!$F$61:$AQ$61,0),100),IFERROR(MATCH($A24,Za!$F$62:$AQ$62,0),100),IFERROR(MATCH($A24,Za!$F$63:$AQ$63,0),100),39)</f>
        <v/>
      </c>
      <c r="N24" s="66">
        <f>IFERROR(IF(VLOOKUP(INDEX(Za!$B$12:$B$63,MATCH($A24,OFFSET( Za!$F$12:$F$63,0,(M24*48)-(IF(M24=7/24,9,IF(M24=12.5/24,9,IF(M24=14/24,9,IF(M24=15.5/24,9,10)))))),0),0),Za!$B$13:$C$63,2,FALSE)="TL","",INDEX(Za!$B$12:$B$63,MATCH($A24,OFFSET( Za!$F$12:$F$63,0,(M24*48)-(IF(M24=7/24,9,IF(M24=12.5/24,9,IF(M24=14/24,9,IF(M24=15.5/24,9,10)))))),0),0)),"")</f>
        <v/>
      </c>
      <c r="O24" s="857">
        <f>9/48+(1/48)*MIN(IFERROR(MATCH($A24,Zo!$F$13:$AQ$13,0),100),IFERROR(MATCH($A24,Zo!$F$14:$AQ$14,0),100),IFERROR(MATCH($A24,Zo!$F$15:$AQ$15,0),100),IFERROR(MATCH($A24,Zo!$F$16:$AQ$16,0),100),IFERROR(MATCH($A24,Zo!$F$17:$AQ$17,0),100),IFERROR(MATCH($A24,Zo!$F$18:$AQ$18,0),100),IFERROR(MATCH($A24,Zo!$F$19:$AQ$19,0),100),IFERROR(MATCH($A24,Zo!$F$20:$AQ$20,0),100),IFERROR(MATCH($A24,Zo!$F$21:$AQ$21,0),100),IFERROR(MATCH($A24,Zo!$F$22:$AQ$22,0),100),IFERROR(MATCH($A24,Zo!$F$23:$AQ$23,0),100),IFERROR(MATCH($A24,Zo!$F$24:$AQ$24,0),100),IFERROR(MATCH($A24,Zo!$F$25:$AQ$25,0),100),IFERROR(MATCH($A24,Zo!$F$26:$AQ$26,0),100),IFERROR(MATCH($A24,Zo!$F$27:$AQ$27,0),100),IFERROR(MATCH($A24,Zo!$F$28:$AQ$28,0),100),IFERROR(MATCH($A24,Zo!$F$29:$AQ$29,0),100),IFERROR(MATCH($A24,Zo!$F$30:$AQ$30,0),100),IFERROR(MATCH($A24,Zo!$F$31:$AQ$31,0),100),IFERROR(MATCH($A24,Zo!$F$32:$AQ$32,0),100),IFERROR(MATCH($A24,Zo!$F$33:$AQ$33,0),100),IFERROR(MATCH($A24,Zo!$F$34:$AQ$34,0),100),IFERROR(MATCH($A24,Zo!$F$35:$AQ$35,0),100),IFERROR(MATCH($A24,Zo!$F$36:$AQ$36,0),100),IFERROR(MATCH($A24,Zo!$F$37:$AQ$37,0),100),IFERROR(MATCH($A24,Zo!$F$38:$AQ$38,0),100),IFERROR(MATCH($A24,Zo!$F$39:$AQ$39,0),100),IFERROR(MATCH($A24,Zo!$F$40:$AQ$40,0),100),IFERROR(MATCH($A24,Zo!$F$41:$AQ$41,0),100),IFERROR(MATCH($A24,Zo!$F$42:$AQ$42,0),100),IFERROR(MATCH($A24,Zo!$F$43:$AQ$43,0),100),IFERROR(MATCH($A24,Zo!$F$44:$AQ$44,0),100),IFERROR(MATCH($A24,Zo!$F$45:$AQ$45,0),100),IFERROR(MATCH($A24,Zo!$F$46:$AQ$46,0),100),IFERROR(MATCH($A24,Zo!$F$47:$AQ$47,0),100),IFERROR(MATCH($A24,Zo!$F$48:$AQ$48,0),100),IFERROR(MATCH($A24,Zo!$F$49:$AQ$49,0),100),IFERROR(MATCH($A24,Zo!$F$50:$AQ$50,0),100),IFERROR(MATCH($A24,Zo!$F$51:$AQ$51,0),100),IFERROR(MATCH($A24,Zo!$F$52:$AQ$52,0),100),IFERROR(MATCH($A24,Zo!$F$53:$AQ$53,0),100),IFERROR(MATCH($A24,Zo!$F$54:$AQ$54,0),100),IFERROR(MATCH($A24,Zo!$F$55:$AQ$55,0),100),IFERROR(MATCH($A24,Zo!$F$56:$AQ$56,0),100),IFERROR(MATCH($A24,Zo!$F$57:$AQ$57,0),100),IFERROR(MATCH($A24,Zo!$F$58:$AQ$58,0),100),IFERROR(MATCH($A24,Zo!$F$59:$AQ$59,0),100),IFERROR(MATCH($A24,Zo!$F$60:$AQ$60,0),100),IFERROR(MATCH($A24,Zo!$F$61:$AQ$61,0),100),IFERROR(MATCH($A24,Zo!$F$62:$AQ$62,0),100),IFERROR(MATCH($A24,Zo!$F$63:$AQ$63,0),100),39)</f>
        <v/>
      </c>
      <c r="P24" s="66">
        <f>IFERROR(IF(VLOOKUP(INDEX(Zo!$B$12:$B$63,MATCH($A24,OFFSET( Zo!$F$12:$F$63,0,(O24*48)-(IF(O24=7/24,9,IF(O24=12.5/24,9,IF(O24=14/24,9,IF(O24=15.5/24,9,10)))))),0),0),Zo!$B$13:$C$63,2,FALSE)="TL","",INDEX(Zo!$B$12:$B$63,MATCH($A24,OFFSET( Zo!$F$12:$F$63,0,(O24*48)-(IF(O24=7/24,9,IF(O24=12.5/24,9,IF(O24=14/24,9,IF(O24=15.5/24,9,10)))))),0),0)),"")</f>
        <v/>
      </c>
    </row>
    <row r="25" ht="15" customHeight="1">
      <c r="A25" s="66" t="inlineStr">
        <is>
          <t>ver</t>
        </is>
      </c>
      <c r="B25" s="67">
        <f>A25</f>
        <v/>
      </c>
      <c r="C25" s="857">
        <f>9/48+(1/48)*MIN(IFERROR(MATCH($A25,Ma!$F$13:$AQ$13,0),100),IFERROR(MATCH($A25,Ma!$F$14:$AQ$14,0),100),IFERROR(MATCH($A25,Ma!$F$15:$AQ$15,0),100),IFERROR(MATCH($A25,Ma!$F$16:$AQ$16,0),100),IFERROR(MATCH($A25,Ma!$F$17:$AQ$17,0),100),IFERROR(MATCH($A25,Ma!$F$18:$AQ$18,0),100),IFERROR(MATCH($A25,Ma!$F$19:$AQ$19,0),100),IFERROR(MATCH($A25,Ma!$F$20:$AQ$20,0),100),IFERROR(MATCH($A25,Ma!$F$21:$AQ$21,0),100),IFERROR(MATCH($A25,Ma!$F$22:$AQ$22,0),100),IFERROR(MATCH($A25,Ma!$F$23:$AQ$23,0),100),IFERROR(MATCH($A25,Ma!$F$24:$AQ$24,0),100),IFERROR(MATCH($A25,Ma!$F$25:$AQ$25,0),100),IFERROR(MATCH($A25,Ma!$F$26:$AQ$26,0),100),IFERROR(MATCH($A25,Ma!$F$27:$AQ$27,0),100),IFERROR(MATCH($A25,Ma!$F$28:$AQ$28,0),100),IFERROR(MATCH($A25,Ma!$F$29:$AQ$29,0),100),IFERROR(MATCH($A25,Ma!$F$30:$AQ$30,0),100),IFERROR(MATCH($A25,Ma!$F$31:$AQ$31,0),100),IFERROR(MATCH($A25,Ma!$F$32:$AQ$32,0),100),IFERROR(MATCH($A25,Ma!$F$33:$AQ$33,0),100),IFERROR(MATCH($A25,Ma!$F$34:$AQ$34,0),100),IFERROR(MATCH($A25,Ma!$F$35:$AQ$35,0),100),IFERROR(MATCH($A25,Ma!$F$36:$AQ$36,0),100),IFERROR(MATCH($A25,Ma!$F$37:$AQ$37,0),100),IFERROR(MATCH($A25,Ma!$F$38:$AQ$38,0),100),IFERROR(MATCH($A25,Ma!$F$39:$AQ$39,0),100),IFERROR(MATCH($A25,Ma!$F$40:$AQ$40,0),100),IFERROR(MATCH($A25,Ma!$F$41:$AQ$41,0),100),IFERROR(MATCH($A25,Ma!$F$42:$AQ$42,0),100),IFERROR(MATCH($A25,Ma!$F$43:$AQ$43,0),100),IFERROR(MATCH($A25,Ma!$F$44:$AQ$44,0),100),IFERROR(MATCH($A25,Ma!$F$45:$AQ$45,0),100),IFERROR(MATCH($A25,Ma!$F$46:$AQ$46,0),100),IFERROR(MATCH($A25,Ma!$F$47:$AQ$47,0),100),IFERROR(MATCH($A25,Ma!$F$48:$AQ$48,0),100),IFERROR(MATCH($A25,Ma!$F$49:$AQ$49,0),100),IFERROR(MATCH($A25,Ma!$F$50:$AQ$50,0),100),IFERROR(MATCH($A25,Ma!$F$51:$AQ$51,0),100),IFERROR(MATCH($A25,Ma!$F$52:$AQ$52,0),100),IFERROR(MATCH($A25,Ma!$F$53:$AQ$53,0),100),IFERROR(MATCH($A25,Ma!$F$54:$AQ$54,0),100),IFERROR(MATCH($A25,Ma!$F$55:$AQ$55,0),100),IFERROR(MATCH($A25,Ma!$F$56:$AQ$56,0),100),IFERROR(MATCH($A25,Ma!$F$57:$AQ$57,0),100),IFERROR(MATCH($A25,Ma!$F$58:$AQ$58,0),100),IFERROR(MATCH($A25,Ma!$F$59:$AQ$59,0),100),IFERROR(MATCH($A25,Ma!$F$60:$AQ$60,0),100),IFERROR(MATCH($A25,Ma!$F$61:$AQ$61,0),100),IFERROR(MATCH($A25,Ma!$F$62:$AQ$62,0),100),IFERROR(MATCH($A25,Ma!$F$63:$AQ$63,0),100),39)</f>
        <v/>
      </c>
      <c r="D25" s="66">
        <f>IFERROR(IF(VLOOKUP(INDEX(Ma!$B$12:$B$63,MATCH($A25,OFFSET( Ma!$F$12:$F$63,0,(C25*48)-(IF(C25=7/24,9,IF(C25=12.5/24,9,IF(C25=14/24,9,IF(C25=15.5/24,9,10)))))),0),0),Ma!$B$13:$C$63,2,FALSE)="TL","",INDEX(Ma!$B$12:$B$63,MATCH($A25,OFFSET( Ma!$F$12:$F$63,0,(C25*48)-(IF(C25=7/24,9,IF(C25=12.5/24,9,IF(C25=14/24,9,IF(C25=15.5/24,9,10)))))),0),0)),"")</f>
        <v/>
      </c>
      <c r="E25" s="857">
        <f>9/48+(1/48)*MIN(IFERROR(MATCH($A25,Di!$F$13:$AQ$13,0),100),IFERROR(MATCH($A25,Di!$F$14:$AQ$14,0),100),IFERROR(MATCH($A25,Di!$F$15:$AQ$15,0),100),IFERROR(MATCH($A25,Di!$F$16:$AQ$16,0),100),IFERROR(MATCH($A25,Di!$F$17:$AQ$17,0),100),IFERROR(MATCH($A25,Di!$F$18:$AQ$18,0),100),IFERROR(MATCH($A25,Di!$F$19:$AQ$19,0),100),IFERROR(MATCH($A25,Di!$F$20:$AQ$20,0),100),IFERROR(MATCH($A25,Di!$F$21:$AQ$21,0),100),IFERROR(MATCH($A25,Di!$F$22:$AQ$22,0),100),IFERROR(MATCH($A25,Di!$F$23:$AQ$23,0),100),IFERROR(MATCH($A25,Di!$F$24:$AQ$24,0),100),IFERROR(MATCH($A25,Di!$F$25:$AQ$25,0),100),IFERROR(MATCH($A25,Di!$F$26:$AQ$26,0),100),IFERROR(MATCH($A25,Di!$F$27:$AQ$27,0),100),IFERROR(MATCH($A25,Di!$F$28:$AQ$28,0),100),IFERROR(MATCH($A25,Di!$F$29:$AQ$29,0),100),IFERROR(MATCH($A25,Di!$F$30:$AQ$30,0),100),IFERROR(MATCH($A25,Di!$F$31:$AQ$31,0),100),IFERROR(MATCH($A25,Di!$F$32:$AQ$32,0),100),IFERROR(MATCH($A25,Di!$F$33:$AQ$33,0),100),IFERROR(MATCH($A25,Di!$F$34:$AQ$34,0),100),IFERROR(MATCH($A25,Di!$F$35:$AQ$35,0),100),IFERROR(MATCH($A25,Di!$F$36:$AQ$36,0),100),IFERROR(MATCH($A25,Di!$F$37:$AQ$37,0),100),IFERROR(MATCH($A25,Di!$F$38:$AQ$38,0),100),IFERROR(MATCH($A25,Di!$F$39:$AQ$39,0),100),IFERROR(MATCH($A25,Di!$F$40:$AQ$40,0),100),IFERROR(MATCH($A25,Di!$F$41:$AQ$41,0),100),IFERROR(MATCH($A25,Di!$F$42:$AQ$42,0),100),IFERROR(MATCH($A25,Di!$F$43:$AQ$43,0),100),IFERROR(MATCH($A25,Di!$F$44:$AQ$44,0),100),IFERROR(MATCH($A25,Di!$F$45:$AQ$45,0),100),IFERROR(MATCH($A25,Di!$F$46:$AQ$46,0),100),IFERROR(MATCH($A25,Di!$F$47:$AQ$47,0),100),IFERROR(MATCH($A25,Di!$F$48:$AQ$48,0),100),IFERROR(MATCH($A25,Di!$F$49:$AQ$49,0),100),IFERROR(MATCH($A25,Di!$F$50:$AQ$50,0),100),IFERROR(MATCH($A25,Di!$F$51:$AQ$51,0),100),IFERROR(MATCH($A25,Di!$F$52:$AQ$52,0),100),IFERROR(MATCH($A25,Di!$F$53:$AQ$53,0),100),IFERROR(MATCH($A25,Di!$F$54:$AQ$54,0),100),IFERROR(MATCH($A25,Di!$F$55:$AQ$55,0),100),IFERROR(MATCH($A25,Di!$F$56:$AQ$56,0),100),IFERROR(MATCH($A25,Di!$F$57:$AQ$57,0),100),IFERROR(MATCH($A25,Di!$F$58:$AQ$58,0),100),IFERROR(MATCH($A25,Di!$F$59:$AQ$59,0),100),IFERROR(MATCH($A25,Di!$F$60:$AQ$60,0),100),IFERROR(MATCH($A25,Di!$F$61:$AQ$61,0),100),IFERROR(MATCH($A25,Di!$F$62:$AQ$62,0),100),IFERROR(MATCH($A25,Di!$F$63:$AQ$63,0),100),39)</f>
        <v/>
      </c>
      <c r="F25" s="66">
        <f>IFERROR(IF(VLOOKUP(INDEX(Di!$B$12:$B$63,MATCH($A25,OFFSET( Di!$F$12:$F$63,0,(E25*48)-(IF(E25=7/24,9,IF(E25=12.5/24,9,IF(E25=14/24,9,IF(E25=15.5/24,9,10)))))),0),0),Di!$B$13:$C$63,2,FALSE)="TL","",INDEX(Di!$B$12:$B$63,MATCH($A25,OFFSET( Di!$F$12:$F$63,0,(E25*48)-(IF(E25=7/24,9,IF(E25=12.5/24,9,IF(E25=14/24,9,IF(E25=15.5/24,9,10)))))),0),0)),"")</f>
        <v/>
      </c>
      <c r="G25" s="857">
        <f>9/48+(1/48)*MIN(IFERROR(MATCH($A25,Wo!$F$13:$AQ$13,0),100),IFERROR(MATCH($A25,Wo!$F$14:$AQ$14,0),100),IFERROR(MATCH($A25,Wo!$F$15:$AQ$15,0),100),IFERROR(MATCH($A25,Wo!$F$16:$AQ$16,0),100),IFERROR(MATCH($A25,Wo!$F$17:$AQ$17,0),100),IFERROR(MATCH($A25,Wo!$F$18:$AQ$18,0),100),IFERROR(MATCH($A25,Wo!$F$19:$AQ$19,0),100),IFERROR(MATCH($A25,Wo!$F$20:$AQ$20,0),100),IFERROR(MATCH($A25,Wo!$F$21:$AQ$21,0),100),IFERROR(MATCH($A25,Wo!$F$22:$AQ$22,0),100),IFERROR(MATCH($A25,Wo!$F$23:$AQ$23,0),100),IFERROR(MATCH($A25,Wo!$F$24:$AQ$24,0),100),IFERROR(MATCH($A25,Wo!$F$25:$AQ$25,0),100),IFERROR(MATCH($A25,Wo!$F$26:$AQ$26,0),100),IFERROR(MATCH($A25,Wo!$F$27:$AQ$27,0),100),IFERROR(MATCH($A25,Wo!$F$28:$AQ$28,0),100),IFERROR(MATCH($A25,Wo!$F$29:$AQ$29,0),100),IFERROR(MATCH($A25,Wo!$F$30:$AQ$30,0),100),IFERROR(MATCH($A25,Wo!$F$31:$AQ$31,0),100),IFERROR(MATCH($A25,Wo!$F$32:$AQ$32,0),100),IFERROR(MATCH($A25,Wo!$F$33:$AQ$33,0),100),IFERROR(MATCH($A25,Wo!$F$34:$AQ$34,0),100),IFERROR(MATCH($A25,Wo!$F$35:$AQ$35,0),100),IFERROR(MATCH($A25,Wo!$F$36:$AQ$36,0),100),IFERROR(MATCH($A25,Wo!$F$37:$AQ$37,0),100),IFERROR(MATCH($A25,Wo!$F$38:$AQ$38,0),100),IFERROR(MATCH($A25,Wo!$F$39:$AQ$39,0),100),IFERROR(MATCH($A25,Wo!$F$40:$AQ$40,0),100),IFERROR(MATCH($A25,Wo!$F$41:$AQ$41,0),100),IFERROR(MATCH($A25,Wo!$F$42:$AQ$42,0),100),IFERROR(MATCH($A25,Wo!$F$43:$AQ$43,0),100),IFERROR(MATCH($A25,Wo!$F$44:$AQ$44,0),100),IFERROR(MATCH($A25,Wo!$F$45:$AQ$45,0),100),IFERROR(MATCH($A25,Wo!$F$46:$AQ$46,0),100),IFERROR(MATCH($A25,Wo!$F$47:$AQ$47,0),100),IFERROR(MATCH($A25,Wo!$F$48:$AQ$48,0),100),IFERROR(MATCH($A25,Wo!$F$49:$AQ$49,0),100),IFERROR(MATCH($A25,Wo!$F$50:$AQ$50,0),100),IFERROR(MATCH($A25,Wo!$F$51:$AQ$51,0),100),IFERROR(MATCH($A25,Wo!$F$52:$AQ$52,0),100),IFERROR(MATCH($A25,Wo!$F$53:$AQ$53,0),100),IFERROR(MATCH($A25,Wo!$F$54:$AQ$54,0),100),IFERROR(MATCH($A25,Wo!$F$55:$AQ$55,0),100),IFERROR(MATCH($A25,Wo!$F$56:$AQ$56,0),100),IFERROR(MATCH($A25,Wo!$F$57:$AQ$57,0),100),IFERROR(MATCH($A25,Wo!$F$58:$AQ$58,0),100),IFERROR(MATCH($A25,Wo!$F$59:$AQ$59,0),100),IFERROR(MATCH($A25,Wo!$F$60:$AQ$60,0),100),IFERROR(MATCH($A25,Wo!$F$61:$AQ$61,0),100),IFERROR(MATCH($A25,Wo!$F$62:$AQ$62,0),100),IFERROR(MATCH($A25,Wo!$F$63:$AQ$63,0),100),39)</f>
        <v/>
      </c>
      <c r="H25" s="66">
        <f>IFERROR(IF(VLOOKUP(INDEX(Wo!$B$12:$B$63,MATCH($A25,OFFSET( Wo!$F$12:$F$63,0,(G25*48)-(IF(G25=7/24,9,IF(G25=12.5/24,9,IF(G25=14/24,9,IF(G25=15.5/24,9,10)))))),0),0),Wo!$B$13:$C$63,2,FALSE)="TL","",INDEX(Wo!$B$12:$B$63,MATCH($A25,OFFSET( Wo!$F$12:$F$63,0,(G25*48)-(IF(G25=7/24,9,IF(G25=12.5/24,9,IF(G25=14/24,9,IF(G25=15.5/24,9,10)))))),0),0)),"")</f>
        <v/>
      </c>
      <c r="I25" s="857">
        <f>9/48+(1/48)*MIN(IFERROR(MATCH($A25,Do!$F$13:$AQ$13,0),100),IFERROR(MATCH($A25,Do!$F$14:$AQ$14,0),100),IFERROR(MATCH($A25,Do!$F$15:$AQ$15,0),100),IFERROR(MATCH($A25,Do!$F$16:$AQ$16,0),100),IFERROR(MATCH($A25,Do!$F$17:$AQ$17,0),100),IFERROR(MATCH($A25,Do!$F$18:$AQ$18,0),100),IFERROR(MATCH($A25,Do!$F$19:$AQ$19,0),100),IFERROR(MATCH($A25,Do!$F$20:$AQ$20,0),100),IFERROR(MATCH($A25,Do!$F$21:$AQ$21,0),100),IFERROR(MATCH($A25,Do!$F$22:$AQ$22,0),100),IFERROR(MATCH($A25,Do!$F$23:$AQ$23,0),100),IFERROR(MATCH($A25,Do!$F$24:$AQ$24,0),100),IFERROR(MATCH($A25,Do!$F$25:$AQ$25,0),100),IFERROR(MATCH($A25,Do!$F$26:$AQ$26,0),100),IFERROR(MATCH($A25,Do!$F$27:$AQ$27,0),100),IFERROR(MATCH($A25,Do!$F$28:$AQ$28,0),100),IFERROR(MATCH($A25,Do!$F$29:$AQ$29,0),100),IFERROR(MATCH($A25,Do!$F$30:$AQ$30,0),100),IFERROR(MATCH($A25,Do!$F$31:$AQ$31,0),100),IFERROR(MATCH($A25,Do!$F$32:$AQ$32,0),100),IFERROR(MATCH($A25,Do!$F$33:$AQ$33,0),100),IFERROR(MATCH($A25,Do!$F$34:$AQ$34,0),100),IFERROR(MATCH($A25,Do!$F$35:$AQ$35,0),100),IFERROR(MATCH($A25,Do!$F$36:$AQ$36,0),100),IFERROR(MATCH($A25,Do!$F$37:$AQ$37,0),100),IFERROR(MATCH($A25,Do!$F$38:$AQ$38,0),100),IFERROR(MATCH($A25,Do!$F$39:$AQ$39,0),100),IFERROR(MATCH($A25,Do!$F$40:$AQ$40,0),100),IFERROR(MATCH($A25,Do!$F$41:$AQ$41,0),100),IFERROR(MATCH($A25,Do!$F$42:$AQ$42,0),100),IFERROR(MATCH($A25,Do!$F$43:$AQ$43,0),100),IFERROR(MATCH($A25,Do!$F$44:$AQ$44,0),100),IFERROR(MATCH($A25,Do!$F$45:$AQ$45,0),100),IFERROR(MATCH($A25,Do!$F$46:$AQ$46,0),100),IFERROR(MATCH($A25,Do!$F$47:$AQ$47,0),100),IFERROR(MATCH($A25,Do!$F$48:$AQ$48,0),100),IFERROR(MATCH($A25,Do!$F$49:$AQ$49,0),100),IFERROR(MATCH($A25,Do!$F$50:$AQ$50,0),100),IFERROR(MATCH($A25,Do!$F$51:$AQ$51,0),100),IFERROR(MATCH($A25,Do!$F$52:$AQ$52,0),100),IFERROR(MATCH($A25,Do!$F$53:$AQ$53,0),100),IFERROR(MATCH($A25,Do!$F$54:$AQ$54,0),100),IFERROR(MATCH($A25,Do!$F$55:$AQ$55,0),100),IFERROR(MATCH($A25,Do!$F$56:$AQ$56,0),100),IFERROR(MATCH($A25,Do!$F$57:$AQ$57,0),100),IFERROR(MATCH($A25,Do!$F$58:$AQ$58,0),100),IFERROR(MATCH($A25,Do!$F$59:$AQ$59,0),100),IFERROR(MATCH($A25,Do!$F$60:$AQ$60,0),100),IFERROR(MATCH($A25,Do!$F$61:$AQ$61,0),100),IFERROR(MATCH($A25,Do!$F$62:$AQ$62,0),100),IFERROR(MATCH($A25,Do!$F$63:$AQ$63,0),100),39)</f>
        <v/>
      </c>
      <c r="J25" s="66">
        <f>IFERROR(IF(VLOOKUP(INDEX(Do!$B$12:$B$63,MATCH($A25,OFFSET( Do!$F$12:$F$63,0,(I25*48)-(IF(I25=7/24,9,IF(I25=12.5/24,9,IF(I25=14/24,9,IF(I25=15.5/24,9,10)))))),0),0),Do!$B$13:$C$63,2,FALSE)="TL","",INDEX(Do!$B$12:$B$63,MATCH($A25,OFFSET( Do!$F$12:$F$63,0,(I25*48)-(IF(I25=7/24,9,IF(I25=12.5/24,9,IF(I25=14/24,9,IF(I25=15.5/24,9,10)))))),0),0)),"")</f>
        <v/>
      </c>
      <c r="K25" s="857">
        <f>9/48+(1/48)*MIN(IFERROR(MATCH($A25,Vr!$F$13:$AQ$13,0),100),IFERROR(MATCH($A25,Vr!$F$14:$AQ$14,0),100),IFERROR(MATCH($A25,Vr!$F$15:$AQ$15,0),100),IFERROR(MATCH($A25,Vr!$F$16:$AQ$16,0),100),IFERROR(MATCH($A25,Vr!$F$17:$AQ$17,0),100),IFERROR(MATCH($A25,Vr!$F$18:$AQ$18,0),100),IFERROR(MATCH($A25,Vr!$F$19:$AQ$19,0),100),IFERROR(MATCH($A25,Vr!$F$20:$AQ$20,0),100),IFERROR(MATCH($A25,Vr!$F$21:$AQ$21,0),100),IFERROR(MATCH($A25,Vr!$F$22:$AQ$22,0),100),IFERROR(MATCH($A25,Vr!$F$23:$AQ$23,0),100),IFERROR(MATCH($A25,Vr!$F$24:$AQ$24,0),100),IFERROR(MATCH($A25,Vr!$F$25:$AQ$25,0),100),IFERROR(MATCH($A25,Vr!$F$26:$AQ$26,0),100),IFERROR(MATCH($A25,Vr!$F$27:$AQ$27,0),100),IFERROR(MATCH($A25,Vr!$F$28:$AQ$28,0),100),IFERROR(MATCH($A25,Vr!$F$29:$AQ$29,0),100),IFERROR(MATCH($A25,Vr!$F$30:$AQ$30,0),100),IFERROR(MATCH($A25,Vr!$F$31:$AQ$31,0),100),IFERROR(MATCH($A25,Vr!$F$32:$AQ$32,0),100),IFERROR(MATCH($A25,Vr!$F$33:$AQ$33,0),100),IFERROR(MATCH($A25,Vr!$F$34:$AQ$34,0),100),IFERROR(MATCH($A25,Vr!$F$35:$AQ$35,0),100),IFERROR(MATCH($A25,Vr!$F$36:$AQ$36,0),100),IFERROR(MATCH($A25,Vr!$F$37:$AQ$37,0),100),IFERROR(MATCH($A25,Vr!$F$38:$AQ$38,0),100),IFERROR(MATCH($A25,Vr!$F$39:$AQ$39,0),100),IFERROR(MATCH($A25,Vr!$F$40:$AQ$40,0),100),IFERROR(MATCH($A25,Vr!$F$41:$AQ$41,0),100),IFERROR(MATCH($A25,Vr!$F$42:$AQ$42,0),100),IFERROR(MATCH($A25,Vr!$F$43:$AQ$43,0),100),IFERROR(MATCH($A25,Vr!$F$44:$AQ$44,0),100),IFERROR(MATCH($A25,Vr!$F$45:$AQ$45,0),100),IFERROR(MATCH($A25,Vr!$F$46:$AQ$46,0),100),IFERROR(MATCH($A25,Vr!$F$47:$AQ$47,0),100),IFERROR(MATCH($A25,Vr!$F$48:$AQ$48,0),100),IFERROR(MATCH($A25,Vr!$F$49:$AQ$49,0),100),IFERROR(MATCH($A25,Vr!$F$50:$AQ$50,0),100),IFERROR(MATCH($A25,Vr!$F$51:$AQ$51,0),100),IFERROR(MATCH($A25,Vr!$F$52:$AQ$52,0),100),IFERROR(MATCH($A25,Vr!$F$53:$AQ$53,0),100),IFERROR(MATCH($A25,Vr!$F$54:$AQ$54,0),100),IFERROR(MATCH($A25,Vr!$F$55:$AQ$55,0),100),IFERROR(MATCH($A25,Vr!$F$56:$AQ$56,0),100),IFERROR(MATCH($A25,Vr!$F$57:$AQ$57,0),100),IFERROR(MATCH($A25,Vr!$F$58:$AQ$58,0),100),IFERROR(MATCH($A25,Vr!$F$59:$AQ$59,0),100),IFERROR(MATCH($A25,Vr!$F$60:$AQ$60,0),100),IFERROR(MATCH($A25,Vr!$F$61:$AQ$61,0),100),IFERROR(MATCH($A25,Vr!$F$62:$AQ$62,0),100),IFERROR(MATCH($A25,Vr!$F$63:$AQ$63,0),100),39)</f>
        <v/>
      </c>
      <c r="L25" s="66">
        <f>IFERROR(IF(VLOOKUP(INDEX(Vr!$B$12:$B$63,MATCH($A25,OFFSET( Vr!$F$12:$F$63,0,(K25*48)-(IF(K25=7/24,9,IF(K25=12.5/24,9,IF(K25=14/24,9,IF(K25=15.5/24,9,10)))))),0),0),Vr!$B$13:$C$63,2,FALSE)="TL","",INDEX(Vr!$B$12:$B$63,MATCH($A25,OFFSET( Vr!$F$12:$F$63,0,(K25*48)-(IF(K25=7/24,9,IF(K25=12.5/24,9,IF(K25=14/24,9,IF(K25=15.5/24,9,10)))))),0),0)),"")</f>
        <v/>
      </c>
      <c r="M25" s="857">
        <f>9/48+(1/48)*MIN(IFERROR(MATCH($A25,Za!$F$13:$AQ$13,0),100),IFERROR(MATCH($A25,Za!$F$14:$AQ$14,0),100),IFERROR(MATCH($A25,Za!$F$15:$AQ$15,0),100),IFERROR(MATCH($A25,Za!$F$16:$AQ$16,0),100),IFERROR(MATCH($A25,Za!$F$17:$AQ$17,0),100),IFERROR(MATCH($A25,Za!$F$18:$AQ$18,0),100),IFERROR(MATCH($A25,Za!$F$19:$AQ$19,0),100),IFERROR(MATCH($A25,Za!$F$20:$AQ$20,0),100),IFERROR(MATCH($A25,Za!$F$21:$AQ$21,0),100),IFERROR(MATCH($A25,Za!$F$22:$AQ$22,0),100),IFERROR(MATCH($A25,Za!$F$23:$AQ$23,0),100),IFERROR(MATCH($A25,Za!$F$24:$AQ$24,0),100),IFERROR(MATCH($A25,Za!$F$25:$AQ$25,0),100),IFERROR(MATCH($A25,Za!$F$26:$AQ$26,0),100),IFERROR(MATCH($A25,Za!$F$27:$AQ$27,0),100),IFERROR(MATCH($A25,Za!$F$28:$AQ$28,0),100),IFERROR(MATCH($A25,Za!$F$29:$AQ$29,0),100),IFERROR(MATCH($A25,Za!$F$30:$AQ$30,0),100),IFERROR(MATCH($A25,Za!$F$31:$AQ$31,0),100),IFERROR(MATCH($A25,Za!$F$32:$AQ$32,0),100),IFERROR(MATCH($A25,Za!$F$33:$AQ$33,0),100),IFERROR(MATCH($A25,Za!$F$34:$AQ$34,0),100),IFERROR(MATCH($A25,Za!$F$35:$AQ$35,0),100),IFERROR(MATCH($A25,Za!$F$36:$AQ$36,0),100),IFERROR(MATCH($A25,Za!$F$37:$AQ$37,0),100),IFERROR(MATCH($A25,Za!$F$38:$AQ$38,0),100),IFERROR(MATCH($A25,Za!$F$39:$AQ$39,0),100),IFERROR(MATCH($A25,Za!$F$40:$AQ$40,0),100),IFERROR(MATCH($A25,Za!$F$41:$AQ$41,0),100),IFERROR(MATCH($A25,Za!$F$42:$AQ$42,0),100),IFERROR(MATCH($A25,Za!$F$43:$AQ$43,0),100),IFERROR(MATCH($A25,Za!$F$44:$AQ$44,0),100),IFERROR(MATCH($A25,Za!$F$45:$AQ$45,0),100),IFERROR(MATCH($A25,Za!$F$46:$AQ$46,0),100),IFERROR(MATCH($A25,Za!$F$47:$AQ$47,0),100),IFERROR(MATCH($A25,Za!$F$48:$AQ$48,0),100),IFERROR(MATCH($A25,Za!$F$49:$AQ$49,0),100),IFERROR(MATCH($A25,Za!$F$50:$AQ$50,0),100),IFERROR(MATCH($A25,Za!$F$51:$AQ$51,0),100),IFERROR(MATCH($A25,Za!$F$52:$AQ$52,0),100),IFERROR(MATCH($A25,Za!$F$53:$AQ$53,0),100),IFERROR(MATCH($A25,Za!$F$54:$AQ$54,0),100),IFERROR(MATCH($A25,Za!$F$55:$AQ$55,0),100),IFERROR(MATCH($A25,Za!$F$56:$AQ$56,0),100),IFERROR(MATCH($A25,Za!$F$57:$AQ$57,0),100),IFERROR(MATCH($A25,Za!$F$58:$AQ$58,0),100),IFERROR(MATCH($A25,Za!$F$59:$AQ$59,0),100),IFERROR(MATCH($A25,Za!$F$60:$AQ$60,0),100),IFERROR(MATCH($A25,Za!$F$61:$AQ$61,0),100),IFERROR(MATCH($A25,Za!$F$62:$AQ$62,0),100),IFERROR(MATCH($A25,Za!$F$63:$AQ$63,0),100),39)</f>
        <v/>
      </c>
      <c r="N25" s="66">
        <f>IFERROR(IF(VLOOKUP(INDEX(Za!$B$12:$B$63,MATCH($A25,OFFSET( Za!$F$12:$F$63,0,(M25*48)-(IF(M25=7/24,9,IF(M25=12.5/24,9,IF(M25=14/24,9,IF(M25=15.5/24,9,10)))))),0),0),Za!$B$13:$C$63,2,FALSE)="TL","",INDEX(Za!$B$12:$B$63,MATCH($A25,OFFSET( Za!$F$12:$F$63,0,(M25*48)-(IF(M25=7/24,9,IF(M25=12.5/24,9,IF(M25=14/24,9,IF(M25=15.5/24,9,10)))))),0),0)),"")</f>
        <v/>
      </c>
      <c r="O25" s="857">
        <f>9/48+(1/48)*MIN(IFERROR(MATCH($A25,Zo!$F$13:$AQ$13,0),100),IFERROR(MATCH($A25,Zo!$F$14:$AQ$14,0),100),IFERROR(MATCH($A25,Zo!$F$15:$AQ$15,0),100),IFERROR(MATCH($A25,Zo!$F$16:$AQ$16,0),100),IFERROR(MATCH($A25,Zo!$F$17:$AQ$17,0),100),IFERROR(MATCH($A25,Zo!$F$18:$AQ$18,0),100),IFERROR(MATCH($A25,Zo!$F$19:$AQ$19,0),100),IFERROR(MATCH($A25,Zo!$F$20:$AQ$20,0),100),IFERROR(MATCH($A25,Zo!$F$21:$AQ$21,0),100),IFERROR(MATCH($A25,Zo!$F$22:$AQ$22,0),100),IFERROR(MATCH($A25,Zo!$F$23:$AQ$23,0),100),IFERROR(MATCH($A25,Zo!$F$24:$AQ$24,0),100),IFERROR(MATCH($A25,Zo!$F$25:$AQ$25,0),100),IFERROR(MATCH($A25,Zo!$F$26:$AQ$26,0),100),IFERROR(MATCH($A25,Zo!$F$27:$AQ$27,0),100),IFERROR(MATCH($A25,Zo!$F$28:$AQ$28,0),100),IFERROR(MATCH($A25,Zo!$F$29:$AQ$29,0),100),IFERROR(MATCH($A25,Zo!$F$30:$AQ$30,0),100),IFERROR(MATCH($A25,Zo!$F$31:$AQ$31,0),100),IFERROR(MATCH($A25,Zo!$F$32:$AQ$32,0),100),IFERROR(MATCH($A25,Zo!$F$33:$AQ$33,0),100),IFERROR(MATCH($A25,Zo!$F$34:$AQ$34,0),100),IFERROR(MATCH($A25,Zo!$F$35:$AQ$35,0),100),IFERROR(MATCH($A25,Zo!$F$36:$AQ$36,0),100),IFERROR(MATCH($A25,Zo!$F$37:$AQ$37,0),100),IFERROR(MATCH($A25,Zo!$F$38:$AQ$38,0),100),IFERROR(MATCH($A25,Zo!$F$39:$AQ$39,0),100),IFERROR(MATCH($A25,Zo!$F$40:$AQ$40,0),100),IFERROR(MATCH($A25,Zo!$F$41:$AQ$41,0),100),IFERROR(MATCH($A25,Zo!$F$42:$AQ$42,0),100),IFERROR(MATCH($A25,Zo!$F$43:$AQ$43,0),100),IFERROR(MATCH($A25,Zo!$F$44:$AQ$44,0),100),IFERROR(MATCH($A25,Zo!$F$45:$AQ$45,0),100),IFERROR(MATCH($A25,Zo!$F$46:$AQ$46,0),100),IFERROR(MATCH($A25,Zo!$F$47:$AQ$47,0),100),IFERROR(MATCH($A25,Zo!$F$48:$AQ$48,0),100),IFERROR(MATCH($A25,Zo!$F$49:$AQ$49,0),100),IFERROR(MATCH($A25,Zo!$F$50:$AQ$50,0),100),IFERROR(MATCH($A25,Zo!$F$51:$AQ$51,0),100),IFERROR(MATCH($A25,Zo!$F$52:$AQ$52,0),100),IFERROR(MATCH($A25,Zo!$F$53:$AQ$53,0),100),IFERROR(MATCH($A25,Zo!$F$54:$AQ$54,0),100),IFERROR(MATCH($A25,Zo!$F$55:$AQ$55,0),100),IFERROR(MATCH($A25,Zo!$F$56:$AQ$56,0),100),IFERROR(MATCH($A25,Zo!$F$57:$AQ$57,0),100),IFERROR(MATCH($A25,Zo!$F$58:$AQ$58,0),100),IFERROR(MATCH($A25,Zo!$F$59:$AQ$59,0),100),IFERROR(MATCH($A25,Zo!$F$60:$AQ$60,0),100),IFERROR(MATCH($A25,Zo!$F$61:$AQ$61,0),100),IFERROR(MATCH($A25,Zo!$F$62:$AQ$62,0),100),IFERROR(MATCH($A25,Zo!$F$63:$AQ$63,0),100),39)</f>
        <v/>
      </c>
      <c r="P25" s="66">
        <f>IFERROR(IF(VLOOKUP(INDEX(Zo!$B$12:$B$63,MATCH($A25,OFFSET( Zo!$F$12:$F$63,0,(O25*48)-(IF(O25=7/24,9,IF(O25=12.5/24,9,IF(O25=14/24,9,IF(O25=15.5/24,9,10)))))),0),0),Zo!$B$13:$C$63,2,FALSE)="TL","",INDEX(Zo!$B$12:$B$63,MATCH($A25,OFFSET( Zo!$F$12:$F$63,0,(O25*48)-(IF(O25=7/24,9,IF(O25=12.5/24,9,IF(O25=14/24,9,IF(O25=15.5/24,9,10)))))),0),0)),"")</f>
        <v/>
      </c>
    </row>
    <row r="26" ht="15" customHeight="1">
      <c r="A26" s="66" t="inlineStr">
        <is>
          <t>act</t>
        </is>
      </c>
      <c r="B26" s="67">
        <f>A26</f>
        <v/>
      </c>
      <c r="C26" s="857">
        <f>9/48+(1/48)*MIN(IFERROR(MATCH($A26,Ma!$F$13:$AQ$13,0),100),IFERROR(MATCH($A26,Ma!$F$14:$AQ$14,0),100),IFERROR(MATCH($A26,Ma!$F$15:$AQ$15,0),100),IFERROR(MATCH($A26,Ma!$F$16:$AQ$16,0),100),IFERROR(MATCH($A26,Ma!$F$17:$AQ$17,0),100),IFERROR(MATCH($A26,Ma!$F$18:$AQ$18,0),100),IFERROR(MATCH($A26,Ma!$F$19:$AQ$19,0),100),IFERROR(MATCH($A26,Ma!$F$20:$AQ$20,0),100),IFERROR(MATCH($A26,Ma!$F$21:$AQ$21,0),100),IFERROR(MATCH($A26,Ma!$F$22:$AQ$22,0),100),IFERROR(MATCH($A26,Ma!$F$23:$AQ$23,0),100),IFERROR(MATCH($A26,Ma!$F$24:$AQ$24,0),100),IFERROR(MATCH($A26,Ma!$F$25:$AQ$25,0),100),IFERROR(MATCH($A26,Ma!$F$26:$AQ$26,0),100),IFERROR(MATCH($A26,Ma!$F$27:$AQ$27,0),100),IFERROR(MATCH($A26,Ma!$F$28:$AQ$28,0),100),IFERROR(MATCH($A26,Ma!$F$29:$AQ$29,0),100),IFERROR(MATCH($A26,Ma!$F$30:$AQ$30,0),100),IFERROR(MATCH($A26,Ma!$F$31:$AQ$31,0),100),IFERROR(MATCH($A26,Ma!$F$32:$AQ$32,0),100),IFERROR(MATCH($A26,Ma!$F$33:$AQ$33,0),100),IFERROR(MATCH($A26,Ma!$F$34:$AQ$34,0),100),IFERROR(MATCH($A26,Ma!$F$35:$AQ$35,0),100),IFERROR(MATCH($A26,Ma!$F$36:$AQ$36,0),100),IFERROR(MATCH($A26,Ma!$F$37:$AQ$37,0),100),IFERROR(MATCH($A26,Ma!$F$38:$AQ$38,0),100),IFERROR(MATCH($A26,Ma!$F$39:$AQ$39,0),100),IFERROR(MATCH($A26,Ma!$F$40:$AQ$40,0),100),IFERROR(MATCH($A26,Ma!$F$41:$AQ$41,0),100),IFERROR(MATCH($A26,Ma!$F$42:$AQ$42,0),100),IFERROR(MATCH($A26,Ma!$F$43:$AQ$43,0),100),IFERROR(MATCH($A26,Ma!$F$44:$AQ$44,0),100),IFERROR(MATCH($A26,Ma!$F$45:$AQ$45,0),100),IFERROR(MATCH($A26,Ma!$F$46:$AQ$46,0),100),IFERROR(MATCH($A26,Ma!$F$47:$AQ$47,0),100),IFERROR(MATCH($A26,Ma!$F$48:$AQ$48,0),100),IFERROR(MATCH($A26,Ma!$F$49:$AQ$49,0),100),IFERROR(MATCH($A26,Ma!$F$50:$AQ$50,0),100),IFERROR(MATCH($A26,Ma!$F$51:$AQ$51,0),100),IFERROR(MATCH($A26,Ma!$F$52:$AQ$52,0),100),IFERROR(MATCH($A26,Ma!$F$53:$AQ$53,0),100),IFERROR(MATCH($A26,Ma!$F$54:$AQ$54,0),100),IFERROR(MATCH($A26,Ma!$F$55:$AQ$55,0),100),IFERROR(MATCH($A26,Ma!$F$56:$AQ$56,0),100),IFERROR(MATCH($A26,Ma!$F$57:$AQ$57,0),100),IFERROR(MATCH($A26,Ma!$F$58:$AQ$58,0),100),IFERROR(MATCH($A26,Ma!$F$59:$AQ$59,0),100),IFERROR(MATCH($A26,Ma!$F$60:$AQ$60,0),100),IFERROR(MATCH($A26,Ma!$F$61:$AQ$61,0),100),IFERROR(MATCH($A26,Ma!$F$62:$AQ$62,0),100),IFERROR(MATCH($A26,Ma!$F$63:$AQ$63,0),100),39)</f>
        <v/>
      </c>
      <c r="D26" s="66">
        <f>IFERROR(IF(VLOOKUP(INDEX(Ma!$B$12:$B$63,MATCH($A26,OFFSET( Ma!$F$12:$F$63,0,(C26*48)-(IF(C26=7/24,9,IF(C26=12.5/24,9,IF(C26=14/24,9,IF(C26=15.5/24,9,10)))))),0),0),Ma!$B$13:$C$63,2,FALSE)="TL","",INDEX(Ma!$B$12:$B$63,MATCH($A26,OFFSET( Ma!$F$12:$F$63,0,(C26*48)-(IF(C26=7/24,9,IF(C26=12.5/24,9,IF(C26=14/24,9,IF(C26=15.5/24,9,10)))))),0),0)),"")</f>
        <v/>
      </c>
      <c r="E26" s="857">
        <f>9/48+(1/48)*MIN(IFERROR(MATCH($A26,Di!$F$13:$AQ$13,0),100),IFERROR(MATCH($A26,Di!$F$14:$AQ$14,0),100),IFERROR(MATCH($A26,Di!$F$15:$AQ$15,0),100),IFERROR(MATCH($A26,Di!$F$16:$AQ$16,0),100),IFERROR(MATCH($A26,Di!$F$17:$AQ$17,0),100),IFERROR(MATCH($A26,Di!$F$18:$AQ$18,0),100),IFERROR(MATCH($A26,Di!$F$19:$AQ$19,0),100),IFERROR(MATCH($A26,Di!$F$20:$AQ$20,0),100),IFERROR(MATCH($A26,Di!$F$21:$AQ$21,0),100),IFERROR(MATCH($A26,Di!$F$22:$AQ$22,0),100),IFERROR(MATCH($A26,Di!$F$23:$AQ$23,0),100),IFERROR(MATCH($A26,Di!$F$24:$AQ$24,0),100),IFERROR(MATCH($A26,Di!$F$25:$AQ$25,0),100),IFERROR(MATCH($A26,Di!$F$26:$AQ$26,0),100),IFERROR(MATCH($A26,Di!$F$27:$AQ$27,0),100),IFERROR(MATCH($A26,Di!$F$28:$AQ$28,0),100),IFERROR(MATCH($A26,Di!$F$29:$AQ$29,0),100),IFERROR(MATCH($A26,Di!$F$30:$AQ$30,0),100),IFERROR(MATCH($A26,Di!$F$31:$AQ$31,0),100),IFERROR(MATCH($A26,Di!$F$32:$AQ$32,0),100),IFERROR(MATCH($A26,Di!$F$33:$AQ$33,0),100),IFERROR(MATCH($A26,Di!$F$34:$AQ$34,0),100),IFERROR(MATCH($A26,Di!$F$35:$AQ$35,0),100),IFERROR(MATCH($A26,Di!$F$36:$AQ$36,0),100),IFERROR(MATCH($A26,Di!$F$37:$AQ$37,0),100),IFERROR(MATCH($A26,Di!$F$38:$AQ$38,0),100),IFERROR(MATCH($A26,Di!$F$39:$AQ$39,0),100),IFERROR(MATCH($A26,Di!$F$40:$AQ$40,0),100),IFERROR(MATCH($A26,Di!$F$41:$AQ$41,0),100),IFERROR(MATCH($A26,Di!$F$42:$AQ$42,0),100),IFERROR(MATCH($A26,Di!$F$43:$AQ$43,0),100),IFERROR(MATCH($A26,Di!$F$44:$AQ$44,0),100),IFERROR(MATCH($A26,Di!$F$45:$AQ$45,0),100),IFERROR(MATCH($A26,Di!$F$46:$AQ$46,0),100),IFERROR(MATCH($A26,Di!$F$47:$AQ$47,0),100),IFERROR(MATCH($A26,Di!$F$48:$AQ$48,0),100),IFERROR(MATCH($A26,Di!$F$49:$AQ$49,0),100),IFERROR(MATCH($A26,Di!$F$50:$AQ$50,0),100),IFERROR(MATCH($A26,Di!$F$51:$AQ$51,0),100),IFERROR(MATCH($A26,Di!$F$52:$AQ$52,0),100),IFERROR(MATCH($A26,Di!$F$53:$AQ$53,0),100),IFERROR(MATCH($A26,Di!$F$54:$AQ$54,0),100),IFERROR(MATCH($A26,Di!$F$55:$AQ$55,0),100),IFERROR(MATCH($A26,Di!$F$56:$AQ$56,0),100),IFERROR(MATCH($A26,Di!$F$57:$AQ$57,0),100),IFERROR(MATCH($A26,Di!$F$58:$AQ$58,0),100),IFERROR(MATCH($A26,Di!$F$59:$AQ$59,0),100),IFERROR(MATCH($A26,Di!$F$60:$AQ$60,0),100),IFERROR(MATCH($A26,Di!$F$61:$AQ$61,0),100),IFERROR(MATCH($A26,Di!$F$62:$AQ$62,0),100),IFERROR(MATCH($A26,Di!$F$63:$AQ$63,0),100),39)</f>
        <v/>
      </c>
      <c r="F26" s="66">
        <f>IFERROR(IF(VLOOKUP(INDEX(Di!$B$12:$B$63,MATCH($A26,OFFSET( Di!$F$12:$F$63,0,(E26*48)-(IF(E26=7/24,9,IF(E26=12.5/24,9,IF(E26=14/24,9,IF(E26=15.5/24,9,10)))))),0),0),Di!$B$13:$C$63,2,FALSE)="TL","",INDEX(Di!$B$12:$B$63,MATCH($A26,OFFSET( Di!$F$12:$F$63,0,(E26*48)-(IF(E26=7/24,9,IF(E26=12.5/24,9,IF(E26=14/24,9,IF(E26=15.5/24,9,10)))))),0),0)),"")</f>
        <v/>
      </c>
      <c r="G26" s="857">
        <f>9/48+(1/48)*MIN(IFERROR(MATCH($A26,Wo!$F$13:$AQ$13,0),100),IFERROR(MATCH($A26,Wo!$F$14:$AQ$14,0),100),IFERROR(MATCH($A26,Wo!$F$15:$AQ$15,0),100),IFERROR(MATCH($A26,Wo!$F$16:$AQ$16,0),100),IFERROR(MATCH($A26,Wo!$F$17:$AQ$17,0),100),IFERROR(MATCH($A26,Wo!$F$18:$AQ$18,0),100),IFERROR(MATCH($A26,Wo!$F$19:$AQ$19,0),100),IFERROR(MATCH($A26,Wo!$F$20:$AQ$20,0),100),IFERROR(MATCH($A26,Wo!$F$21:$AQ$21,0),100),IFERROR(MATCH($A26,Wo!$F$22:$AQ$22,0),100),IFERROR(MATCH($A26,Wo!$F$23:$AQ$23,0),100),IFERROR(MATCH($A26,Wo!$F$24:$AQ$24,0),100),IFERROR(MATCH($A26,Wo!$F$25:$AQ$25,0),100),IFERROR(MATCH($A26,Wo!$F$26:$AQ$26,0),100),IFERROR(MATCH($A26,Wo!$F$27:$AQ$27,0),100),IFERROR(MATCH($A26,Wo!$F$28:$AQ$28,0),100),IFERROR(MATCH($A26,Wo!$F$29:$AQ$29,0),100),IFERROR(MATCH($A26,Wo!$F$30:$AQ$30,0),100),IFERROR(MATCH($A26,Wo!$F$31:$AQ$31,0),100),IFERROR(MATCH($A26,Wo!$F$32:$AQ$32,0),100),IFERROR(MATCH($A26,Wo!$F$33:$AQ$33,0),100),IFERROR(MATCH($A26,Wo!$F$34:$AQ$34,0),100),IFERROR(MATCH($A26,Wo!$F$35:$AQ$35,0),100),IFERROR(MATCH($A26,Wo!$F$36:$AQ$36,0),100),IFERROR(MATCH($A26,Wo!$F$37:$AQ$37,0),100),IFERROR(MATCH($A26,Wo!$F$38:$AQ$38,0),100),IFERROR(MATCH($A26,Wo!$F$39:$AQ$39,0),100),IFERROR(MATCH($A26,Wo!$F$40:$AQ$40,0),100),IFERROR(MATCH($A26,Wo!$F$41:$AQ$41,0),100),IFERROR(MATCH($A26,Wo!$F$42:$AQ$42,0),100),IFERROR(MATCH($A26,Wo!$F$43:$AQ$43,0),100),IFERROR(MATCH($A26,Wo!$F$44:$AQ$44,0),100),IFERROR(MATCH($A26,Wo!$F$45:$AQ$45,0),100),IFERROR(MATCH($A26,Wo!$F$46:$AQ$46,0),100),IFERROR(MATCH($A26,Wo!$F$47:$AQ$47,0),100),IFERROR(MATCH($A26,Wo!$F$48:$AQ$48,0),100),IFERROR(MATCH($A26,Wo!$F$49:$AQ$49,0),100),IFERROR(MATCH($A26,Wo!$F$50:$AQ$50,0),100),IFERROR(MATCH($A26,Wo!$F$51:$AQ$51,0),100),IFERROR(MATCH($A26,Wo!$F$52:$AQ$52,0),100),IFERROR(MATCH($A26,Wo!$F$53:$AQ$53,0),100),IFERROR(MATCH($A26,Wo!$F$54:$AQ$54,0),100),IFERROR(MATCH($A26,Wo!$F$55:$AQ$55,0),100),IFERROR(MATCH($A26,Wo!$F$56:$AQ$56,0),100),IFERROR(MATCH($A26,Wo!$F$57:$AQ$57,0),100),IFERROR(MATCH($A26,Wo!$F$58:$AQ$58,0),100),IFERROR(MATCH($A26,Wo!$F$59:$AQ$59,0),100),IFERROR(MATCH($A26,Wo!$F$60:$AQ$60,0),100),IFERROR(MATCH($A26,Wo!$F$61:$AQ$61,0),100),IFERROR(MATCH($A26,Wo!$F$62:$AQ$62,0),100),IFERROR(MATCH($A26,Wo!$F$63:$AQ$63,0),100),39)</f>
        <v/>
      </c>
      <c r="H26" s="66">
        <f>IFERROR(IF(VLOOKUP(INDEX(Wo!$B$12:$B$63,MATCH($A26,OFFSET( Wo!$F$12:$F$63,0,(G26*48)-(IF(G26=7/24,9,IF(G26=12.5/24,9,IF(G26=14/24,9,IF(G26=15.5/24,9,10)))))),0),0),Wo!$B$13:$C$63,2,FALSE)="TL","",INDEX(Wo!$B$12:$B$63,MATCH($A26,OFFSET( Wo!$F$12:$F$63,0,(G26*48)-(IF(G26=7/24,9,IF(G26=12.5/24,9,IF(G26=14/24,9,IF(G26=15.5/24,9,10)))))),0),0)),"")</f>
        <v/>
      </c>
      <c r="I26" s="857">
        <f>9/48+(1/48)*MIN(IFERROR(MATCH($A26,Do!$F$13:$AQ$13,0),100),IFERROR(MATCH($A26,Do!$F$14:$AQ$14,0),100),IFERROR(MATCH($A26,Do!$F$15:$AQ$15,0),100),IFERROR(MATCH($A26,Do!$F$16:$AQ$16,0),100),IFERROR(MATCH($A26,Do!$F$17:$AQ$17,0),100),IFERROR(MATCH($A26,Do!$F$18:$AQ$18,0),100),IFERROR(MATCH($A26,Do!$F$19:$AQ$19,0),100),IFERROR(MATCH($A26,Do!$F$20:$AQ$20,0),100),IFERROR(MATCH($A26,Do!$F$21:$AQ$21,0),100),IFERROR(MATCH($A26,Do!$F$22:$AQ$22,0),100),IFERROR(MATCH($A26,Do!$F$23:$AQ$23,0),100),IFERROR(MATCH($A26,Do!$F$24:$AQ$24,0),100),IFERROR(MATCH($A26,Do!$F$25:$AQ$25,0),100),IFERROR(MATCH($A26,Do!$F$26:$AQ$26,0),100),IFERROR(MATCH($A26,Do!$F$27:$AQ$27,0),100),IFERROR(MATCH($A26,Do!$F$28:$AQ$28,0),100),IFERROR(MATCH($A26,Do!$F$29:$AQ$29,0),100),IFERROR(MATCH($A26,Do!$F$30:$AQ$30,0),100),IFERROR(MATCH($A26,Do!$F$31:$AQ$31,0),100),IFERROR(MATCH($A26,Do!$F$32:$AQ$32,0),100),IFERROR(MATCH($A26,Do!$F$33:$AQ$33,0),100),IFERROR(MATCH($A26,Do!$F$34:$AQ$34,0),100),IFERROR(MATCH($A26,Do!$F$35:$AQ$35,0),100),IFERROR(MATCH($A26,Do!$F$36:$AQ$36,0),100),IFERROR(MATCH($A26,Do!$F$37:$AQ$37,0),100),IFERROR(MATCH($A26,Do!$F$38:$AQ$38,0),100),IFERROR(MATCH($A26,Do!$F$39:$AQ$39,0),100),IFERROR(MATCH($A26,Do!$F$40:$AQ$40,0),100),IFERROR(MATCH($A26,Do!$F$41:$AQ$41,0),100),IFERROR(MATCH($A26,Do!$F$42:$AQ$42,0),100),IFERROR(MATCH($A26,Do!$F$43:$AQ$43,0),100),IFERROR(MATCH($A26,Do!$F$44:$AQ$44,0),100),IFERROR(MATCH($A26,Do!$F$45:$AQ$45,0),100),IFERROR(MATCH($A26,Do!$F$46:$AQ$46,0),100),IFERROR(MATCH($A26,Do!$F$47:$AQ$47,0),100),IFERROR(MATCH($A26,Do!$F$48:$AQ$48,0),100),IFERROR(MATCH($A26,Do!$F$49:$AQ$49,0),100),IFERROR(MATCH($A26,Do!$F$50:$AQ$50,0),100),IFERROR(MATCH($A26,Do!$F$51:$AQ$51,0),100),IFERROR(MATCH($A26,Do!$F$52:$AQ$52,0),100),IFERROR(MATCH($A26,Do!$F$53:$AQ$53,0),100),IFERROR(MATCH($A26,Do!$F$54:$AQ$54,0),100),IFERROR(MATCH($A26,Do!$F$55:$AQ$55,0),100),IFERROR(MATCH($A26,Do!$F$56:$AQ$56,0),100),IFERROR(MATCH($A26,Do!$F$57:$AQ$57,0),100),IFERROR(MATCH($A26,Do!$F$58:$AQ$58,0),100),IFERROR(MATCH($A26,Do!$F$59:$AQ$59,0),100),IFERROR(MATCH($A26,Do!$F$60:$AQ$60,0),100),IFERROR(MATCH($A26,Do!$F$61:$AQ$61,0),100),IFERROR(MATCH($A26,Do!$F$62:$AQ$62,0),100),IFERROR(MATCH($A26,Do!$F$63:$AQ$63,0),100),39)</f>
        <v/>
      </c>
      <c r="J26" s="66">
        <f>IFERROR(IF(VLOOKUP(INDEX(Do!$B$12:$B$63,MATCH($A26,OFFSET( Do!$F$12:$F$63,0,(I26*48)-(IF(I26=7/24,9,IF(I26=12.5/24,9,IF(I26=14/24,9,IF(I26=15.5/24,9,10)))))),0),0),Do!$B$13:$C$63,2,FALSE)="TL","",INDEX(Do!$B$12:$B$63,MATCH($A26,OFFSET( Do!$F$12:$F$63,0,(I26*48)-(IF(I26=7/24,9,IF(I26=12.5/24,9,IF(I26=14/24,9,IF(I26=15.5/24,9,10)))))),0),0)),"")</f>
        <v/>
      </c>
      <c r="K26" s="857">
        <f>9/48+(1/48)*MIN(IFERROR(MATCH($A26,Vr!$F$13:$AQ$13,0),100),IFERROR(MATCH($A26,Vr!$F$14:$AQ$14,0),100),IFERROR(MATCH($A26,Vr!$F$15:$AQ$15,0),100),IFERROR(MATCH($A26,Vr!$F$16:$AQ$16,0),100),IFERROR(MATCH($A26,Vr!$F$17:$AQ$17,0),100),IFERROR(MATCH($A26,Vr!$F$18:$AQ$18,0),100),IFERROR(MATCH($A26,Vr!$F$19:$AQ$19,0),100),IFERROR(MATCH($A26,Vr!$F$20:$AQ$20,0),100),IFERROR(MATCH($A26,Vr!$F$21:$AQ$21,0),100),IFERROR(MATCH($A26,Vr!$F$22:$AQ$22,0),100),IFERROR(MATCH($A26,Vr!$F$23:$AQ$23,0),100),IFERROR(MATCH($A26,Vr!$F$24:$AQ$24,0),100),IFERROR(MATCH($A26,Vr!$F$25:$AQ$25,0),100),IFERROR(MATCH($A26,Vr!$F$26:$AQ$26,0),100),IFERROR(MATCH($A26,Vr!$F$27:$AQ$27,0),100),IFERROR(MATCH($A26,Vr!$F$28:$AQ$28,0),100),IFERROR(MATCH($A26,Vr!$F$29:$AQ$29,0),100),IFERROR(MATCH($A26,Vr!$F$30:$AQ$30,0),100),IFERROR(MATCH($A26,Vr!$F$31:$AQ$31,0),100),IFERROR(MATCH($A26,Vr!$F$32:$AQ$32,0),100),IFERROR(MATCH($A26,Vr!$F$33:$AQ$33,0),100),IFERROR(MATCH($A26,Vr!$F$34:$AQ$34,0),100),IFERROR(MATCH($A26,Vr!$F$35:$AQ$35,0),100),IFERROR(MATCH($A26,Vr!$F$36:$AQ$36,0),100),IFERROR(MATCH($A26,Vr!$F$37:$AQ$37,0),100),IFERROR(MATCH($A26,Vr!$F$38:$AQ$38,0),100),IFERROR(MATCH($A26,Vr!$F$39:$AQ$39,0),100),IFERROR(MATCH($A26,Vr!$F$40:$AQ$40,0),100),IFERROR(MATCH($A26,Vr!$F$41:$AQ$41,0),100),IFERROR(MATCH($A26,Vr!$F$42:$AQ$42,0),100),IFERROR(MATCH($A26,Vr!$F$43:$AQ$43,0),100),IFERROR(MATCH($A26,Vr!$F$44:$AQ$44,0),100),IFERROR(MATCH($A26,Vr!$F$45:$AQ$45,0),100),IFERROR(MATCH($A26,Vr!$F$46:$AQ$46,0),100),IFERROR(MATCH($A26,Vr!$F$47:$AQ$47,0),100),IFERROR(MATCH($A26,Vr!$F$48:$AQ$48,0),100),IFERROR(MATCH($A26,Vr!$F$49:$AQ$49,0),100),IFERROR(MATCH($A26,Vr!$F$50:$AQ$50,0),100),IFERROR(MATCH($A26,Vr!$F$51:$AQ$51,0),100),IFERROR(MATCH($A26,Vr!$F$52:$AQ$52,0),100),IFERROR(MATCH($A26,Vr!$F$53:$AQ$53,0),100),IFERROR(MATCH($A26,Vr!$F$54:$AQ$54,0),100),IFERROR(MATCH($A26,Vr!$F$55:$AQ$55,0),100),IFERROR(MATCH($A26,Vr!$F$56:$AQ$56,0),100),IFERROR(MATCH($A26,Vr!$F$57:$AQ$57,0),100),IFERROR(MATCH($A26,Vr!$F$58:$AQ$58,0),100),IFERROR(MATCH($A26,Vr!$F$59:$AQ$59,0),100),IFERROR(MATCH($A26,Vr!$F$60:$AQ$60,0),100),IFERROR(MATCH($A26,Vr!$F$61:$AQ$61,0),100),IFERROR(MATCH($A26,Vr!$F$62:$AQ$62,0),100),IFERROR(MATCH($A26,Vr!$F$63:$AQ$63,0),100),39)</f>
        <v/>
      </c>
      <c r="L26" s="66">
        <f>IFERROR(IF(VLOOKUP(INDEX(Vr!$B$12:$B$63,MATCH($A26,OFFSET( Vr!$F$12:$F$63,0,(K26*48)-(IF(K26=7/24,9,IF(K26=12.5/24,9,IF(K26=14/24,9,IF(K26=15.5/24,9,10)))))),0),0),Vr!$B$13:$C$63,2,FALSE)="TL","",INDEX(Vr!$B$12:$B$63,MATCH($A26,OFFSET( Vr!$F$12:$F$63,0,(K26*48)-(IF(K26=7/24,9,IF(K26=12.5/24,9,IF(K26=14/24,9,IF(K26=15.5/24,9,10)))))),0),0)),"")</f>
        <v/>
      </c>
      <c r="M26" s="857">
        <f>9/48+(1/48)*MIN(IFERROR(MATCH($A26,Za!$F$13:$AQ$13,0),100),IFERROR(MATCH($A26,Za!$F$14:$AQ$14,0),100),IFERROR(MATCH($A26,Za!$F$15:$AQ$15,0),100),IFERROR(MATCH($A26,Za!$F$16:$AQ$16,0),100),IFERROR(MATCH($A26,Za!$F$17:$AQ$17,0),100),IFERROR(MATCH($A26,Za!$F$18:$AQ$18,0),100),IFERROR(MATCH($A26,Za!$F$19:$AQ$19,0),100),IFERROR(MATCH($A26,Za!$F$20:$AQ$20,0),100),IFERROR(MATCH($A26,Za!$F$21:$AQ$21,0),100),IFERROR(MATCH($A26,Za!$F$22:$AQ$22,0),100),IFERROR(MATCH($A26,Za!$F$23:$AQ$23,0),100),IFERROR(MATCH($A26,Za!$F$24:$AQ$24,0),100),IFERROR(MATCH($A26,Za!$F$25:$AQ$25,0),100),IFERROR(MATCH($A26,Za!$F$26:$AQ$26,0),100),IFERROR(MATCH($A26,Za!$F$27:$AQ$27,0),100),IFERROR(MATCH($A26,Za!$F$28:$AQ$28,0),100),IFERROR(MATCH($A26,Za!$F$29:$AQ$29,0),100),IFERROR(MATCH($A26,Za!$F$30:$AQ$30,0),100),IFERROR(MATCH($A26,Za!$F$31:$AQ$31,0),100),IFERROR(MATCH($A26,Za!$F$32:$AQ$32,0),100),IFERROR(MATCH($A26,Za!$F$33:$AQ$33,0),100),IFERROR(MATCH($A26,Za!$F$34:$AQ$34,0),100),IFERROR(MATCH($A26,Za!$F$35:$AQ$35,0),100),IFERROR(MATCH($A26,Za!$F$36:$AQ$36,0),100),IFERROR(MATCH($A26,Za!$F$37:$AQ$37,0),100),IFERROR(MATCH($A26,Za!$F$38:$AQ$38,0),100),IFERROR(MATCH($A26,Za!$F$39:$AQ$39,0),100),IFERROR(MATCH($A26,Za!$F$40:$AQ$40,0),100),IFERROR(MATCH($A26,Za!$F$41:$AQ$41,0),100),IFERROR(MATCH($A26,Za!$F$42:$AQ$42,0),100),IFERROR(MATCH($A26,Za!$F$43:$AQ$43,0),100),IFERROR(MATCH($A26,Za!$F$44:$AQ$44,0),100),IFERROR(MATCH($A26,Za!$F$45:$AQ$45,0),100),IFERROR(MATCH($A26,Za!$F$46:$AQ$46,0),100),IFERROR(MATCH($A26,Za!$F$47:$AQ$47,0),100),IFERROR(MATCH($A26,Za!$F$48:$AQ$48,0),100),IFERROR(MATCH($A26,Za!$F$49:$AQ$49,0),100),IFERROR(MATCH($A26,Za!$F$50:$AQ$50,0),100),IFERROR(MATCH($A26,Za!$F$51:$AQ$51,0),100),IFERROR(MATCH($A26,Za!$F$52:$AQ$52,0),100),IFERROR(MATCH($A26,Za!$F$53:$AQ$53,0),100),IFERROR(MATCH($A26,Za!$F$54:$AQ$54,0),100),IFERROR(MATCH($A26,Za!$F$55:$AQ$55,0),100),IFERROR(MATCH($A26,Za!$F$56:$AQ$56,0),100),IFERROR(MATCH($A26,Za!$F$57:$AQ$57,0),100),IFERROR(MATCH($A26,Za!$F$58:$AQ$58,0),100),IFERROR(MATCH($A26,Za!$F$59:$AQ$59,0),100),IFERROR(MATCH($A26,Za!$F$60:$AQ$60,0),100),IFERROR(MATCH($A26,Za!$F$61:$AQ$61,0),100),IFERROR(MATCH($A26,Za!$F$62:$AQ$62,0),100),IFERROR(MATCH($A26,Za!$F$63:$AQ$63,0),100),39)</f>
        <v/>
      </c>
      <c r="N26" s="66">
        <f>IFERROR(IF(VLOOKUP(INDEX(Za!$B$12:$B$63,MATCH($A26,OFFSET( Za!$F$12:$F$63,0,(M26*48)-(IF(M26=7/24,9,IF(M26=12.5/24,9,IF(M26=14/24,9,IF(M26=15.5/24,9,10)))))),0),0),Za!$B$13:$C$63,2,FALSE)="TL","",INDEX(Za!$B$12:$B$63,MATCH($A26,OFFSET( Za!$F$12:$F$63,0,(M26*48)-(IF(M26=7/24,9,IF(M26=12.5/24,9,IF(M26=14/24,9,IF(M26=15.5/24,9,10)))))),0),0)),"")</f>
        <v/>
      </c>
      <c r="O26" s="857">
        <f>9/48+(1/48)*MIN(IFERROR(MATCH($A26,Zo!$F$13:$AQ$13,0),100),IFERROR(MATCH($A26,Zo!$F$14:$AQ$14,0),100),IFERROR(MATCH($A26,Zo!$F$15:$AQ$15,0),100),IFERROR(MATCH($A26,Zo!$F$16:$AQ$16,0),100),IFERROR(MATCH($A26,Zo!$F$17:$AQ$17,0),100),IFERROR(MATCH($A26,Zo!$F$18:$AQ$18,0),100),IFERROR(MATCH($A26,Zo!$F$19:$AQ$19,0),100),IFERROR(MATCH($A26,Zo!$F$20:$AQ$20,0),100),IFERROR(MATCH($A26,Zo!$F$21:$AQ$21,0),100),IFERROR(MATCH($A26,Zo!$F$22:$AQ$22,0),100),IFERROR(MATCH($A26,Zo!$F$23:$AQ$23,0),100),IFERROR(MATCH($A26,Zo!$F$24:$AQ$24,0),100),IFERROR(MATCH($A26,Zo!$F$25:$AQ$25,0),100),IFERROR(MATCH($A26,Zo!$F$26:$AQ$26,0),100),IFERROR(MATCH($A26,Zo!$F$27:$AQ$27,0),100),IFERROR(MATCH($A26,Zo!$F$28:$AQ$28,0),100),IFERROR(MATCH($A26,Zo!$F$29:$AQ$29,0),100),IFERROR(MATCH($A26,Zo!$F$30:$AQ$30,0),100),IFERROR(MATCH($A26,Zo!$F$31:$AQ$31,0),100),IFERROR(MATCH($A26,Zo!$F$32:$AQ$32,0),100),IFERROR(MATCH($A26,Zo!$F$33:$AQ$33,0),100),IFERROR(MATCH($A26,Zo!$F$34:$AQ$34,0),100),IFERROR(MATCH($A26,Zo!$F$35:$AQ$35,0),100),IFERROR(MATCH($A26,Zo!$F$36:$AQ$36,0),100),IFERROR(MATCH($A26,Zo!$F$37:$AQ$37,0),100),IFERROR(MATCH($A26,Zo!$F$38:$AQ$38,0),100),IFERROR(MATCH($A26,Zo!$F$39:$AQ$39,0),100),IFERROR(MATCH($A26,Zo!$F$40:$AQ$40,0),100),IFERROR(MATCH($A26,Zo!$F$41:$AQ$41,0),100),IFERROR(MATCH($A26,Zo!$F$42:$AQ$42,0),100),IFERROR(MATCH($A26,Zo!$F$43:$AQ$43,0),100),IFERROR(MATCH($A26,Zo!$F$44:$AQ$44,0),100),IFERROR(MATCH($A26,Zo!$F$45:$AQ$45,0),100),IFERROR(MATCH($A26,Zo!$F$46:$AQ$46,0),100),IFERROR(MATCH($A26,Zo!$F$47:$AQ$47,0),100),IFERROR(MATCH($A26,Zo!$F$48:$AQ$48,0),100),IFERROR(MATCH($A26,Zo!$F$49:$AQ$49,0),100),IFERROR(MATCH($A26,Zo!$F$50:$AQ$50,0),100),IFERROR(MATCH($A26,Zo!$F$51:$AQ$51,0),100),IFERROR(MATCH($A26,Zo!$F$52:$AQ$52,0),100),IFERROR(MATCH($A26,Zo!$F$53:$AQ$53,0),100),IFERROR(MATCH($A26,Zo!$F$54:$AQ$54,0),100),IFERROR(MATCH($A26,Zo!$F$55:$AQ$55,0),100),IFERROR(MATCH($A26,Zo!$F$56:$AQ$56,0),100),IFERROR(MATCH($A26,Zo!$F$57:$AQ$57,0),100),IFERROR(MATCH($A26,Zo!$F$58:$AQ$58,0),100),IFERROR(MATCH($A26,Zo!$F$59:$AQ$59,0),100),IFERROR(MATCH($A26,Zo!$F$60:$AQ$60,0),100),IFERROR(MATCH($A26,Zo!$F$61:$AQ$61,0),100),IFERROR(MATCH($A26,Zo!$F$62:$AQ$62,0),100),IFERROR(MATCH($A26,Zo!$F$63:$AQ$63,0),100),39)</f>
        <v/>
      </c>
      <c r="P26" s="66">
        <f>IFERROR(IF(VLOOKUP(INDEX(Zo!$B$12:$B$63,MATCH($A26,OFFSET( Zo!$F$12:$F$63,0,(O26*48)-(IF(O26=7/24,9,IF(O26=12.5/24,9,IF(O26=14/24,9,IF(O26=15.5/24,9,10)))))),0),0),Zo!$B$13:$C$63,2,FALSE)="TL","",INDEX(Zo!$B$12:$B$63,MATCH($A26,OFFSET( Zo!$F$12:$F$63,0,(O26*48)-(IF(O26=7/24,9,IF(O26=12.5/24,9,IF(O26=14/24,9,IF(O26=15.5/24,9,10)))))),0),0)),"")</f>
        <v/>
      </c>
    </row>
    <row r="27" ht="15" customHeight="1">
      <c r="A27" s="66" t="inlineStr">
        <is>
          <t>com</t>
        </is>
      </c>
      <c r="B27" s="67">
        <f>A27</f>
        <v/>
      </c>
      <c r="C27" s="857">
        <f>9/48+(1/48)*MIN(IFERROR(MATCH($A27,Ma!$F$13:$AQ$13,0),100),IFERROR(MATCH($A27,Ma!$F$14:$AQ$14,0),100),IFERROR(MATCH($A27,Ma!$F$15:$AQ$15,0),100),IFERROR(MATCH($A27,Ma!$F$16:$AQ$16,0),100),IFERROR(MATCH($A27,Ma!$F$17:$AQ$17,0),100),IFERROR(MATCH($A27,Ma!$F$18:$AQ$18,0),100),IFERROR(MATCH($A27,Ma!$F$19:$AQ$19,0),100),IFERROR(MATCH($A27,Ma!$F$20:$AQ$20,0),100),IFERROR(MATCH($A27,Ma!$F$21:$AQ$21,0),100),IFERROR(MATCH($A27,Ma!$F$22:$AQ$22,0),100),IFERROR(MATCH($A27,Ma!$F$23:$AQ$23,0),100),IFERROR(MATCH($A27,Ma!$F$24:$AQ$24,0),100),IFERROR(MATCH($A27,Ma!$F$25:$AQ$25,0),100),IFERROR(MATCH($A27,Ma!$F$26:$AQ$26,0),100),IFERROR(MATCH($A27,Ma!$F$27:$AQ$27,0),100),IFERROR(MATCH($A27,Ma!$F$28:$AQ$28,0),100),IFERROR(MATCH($A27,Ma!$F$29:$AQ$29,0),100),IFERROR(MATCH($A27,Ma!$F$30:$AQ$30,0),100),IFERROR(MATCH($A27,Ma!$F$31:$AQ$31,0),100),IFERROR(MATCH($A27,Ma!$F$32:$AQ$32,0),100),IFERROR(MATCH($A27,Ma!$F$33:$AQ$33,0),100),IFERROR(MATCH($A27,Ma!$F$34:$AQ$34,0),100),IFERROR(MATCH($A27,Ma!$F$35:$AQ$35,0),100),IFERROR(MATCH($A27,Ma!$F$36:$AQ$36,0),100),IFERROR(MATCH($A27,Ma!$F$37:$AQ$37,0),100),IFERROR(MATCH($A27,Ma!$F$38:$AQ$38,0),100),IFERROR(MATCH($A27,Ma!$F$39:$AQ$39,0),100),IFERROR(MATCH($A27,Ma!$F$40:$AQ$40,0),100),IFERROR(MATCH($A27,Ma!$F$41:$AQ$41,0),100),IFERROR(MATCH($A27,Ma!$F$42:$AQ$42,0),100),IFERROR(MATCH($A27,Ma!$F$43:$AQ$43,0),100),IFERROR(MATCH($A27,Ma!$F$44:$AQ$44,0),100),IFERROR(MATCH($A27,Ma!$F$45:$AQ$45,0),100),IFERROR(MATCH($A27,Ma!$F$46:$AQ$46,0),100),IFERROR(MATCH($A27,Ma!$F$47:$AQ$47,0),100),IFERROR(MATCH($A27,Ma!$F$48:$AQ$48,0),100),IFERROR(MATCH($A27,Ma!$F$49:$AQ$49,0),100),IFERROR(MATCH($A27,Ma!$F$50:$AQ$50,0),100),IFERROR(MATCH($A27,Ma!$F$51:$AQ$51,0),100),IFERROR(MATCH($A27,Ma!$F$52:$AQ$52,0),100),IFERROR(MATCH($A27,Ma!$F$53:$AQ$53,0),100),IFERROR(MATCH($A27,Ma!$F$54:$AQ$54,0),100),IFERROR(MATCH($A27,Ma!$F$55:$AQ$55,0),100),IFERROR(MATCH($A27,Ma!$F$56:$AQ$56,0),100),IFERROR(MATCH($A27,Ma!$F$57:$AQ$57,0),100),IFERROR(MATCH($A27,Ma!$F$58:$AQ$58,0),100),IFERROR(MATCH($A27,Ma!$F$59:$AQ$59,0),100),IFERROR(MATCH($A27,Ma!$F$60:$AQ$60,0),100),IFERROR(MATCH($A27,Ma!$F$61:$AQ$61,0),100),IFERROR(MATCH($A27,Ma!$F$62:$AQ$62,0),100),IFERROR(MATCH($A27,Ma!$F$63:$AQ$63,0),100),39)</f>
        <v/>
      </c>
      <c r="D27" s="66">
        <f>IFERROR(IF(VLOOKUP(INDEX(Ma!$B$12:$B$63,MATCH($A27,OFFSET( Ma!$F$12:$F$63,0,(C27*48)-(IF(C27=7/24,9,IF(C27=12.5/24,9,IF(C27=14/24,9,IF(C27=15.5/24,9,10)))))),0),0),Ma!$B$13:$C$63,2,FALSE)="TL","",INDEX(Ma!$B$12:$B$63,MATCH($A27,OFFSET( Ma!$F$12:$F$63,0,(C27*48)-(IF(C27=7/24,9,IF(C27=12.5/24,9,IF(C27=14/24,9,IF(C27=15.5/24,9,10)))))),0),0)),"")</f>
        <v/>
      </c>
      <c r="E27" s="857">
        <f>9/48+(1/48)*MIN(IFERROR(MATCH($A27,Di!$F$13:$AQ$13,0),100),IFERROR(MATCH($A27,Di!$F$14:$AQ$14,0),100),IFERROR(MATCH($A27,Di!$F$15:$AQ$15,0),100),IFERROR(MATCH($A27,Di!$F$16:$AQ$16,0),100),IFERROR(MATCH($A27,Di!$F$17:$AQ$17,0),100),IFERROR(MATCH($A27,Di!$F$18:$AQ$18,0),100),IFERROR(MATCH($A27,Di!$F$19:$AQ$19,0),100),IFERROR(MATCH($A27,Di!$F$20:$AQ$20,0),100),IFERROR(MATCH($A27,Di!$F$21:$AQ$21,0),100),IFERROR(MATCH($A27,Di!$F$22:$AQ$22,0),100),IFERROR(MATCH($A27,Di!$F$23:$AQ$23,0),100),IFERROR(MATCH($A27,Di!$F$24:$AQ$24,0),100),IFERROR(MATCH($A27,Di!$F$25:$AQ$25,0),100),IFERROR(MATCH($A27,Di!$F$26:$AQ$26,0),100),IFERROR(MATCH($A27,Di!$F$27:$AQ$27,0),100),IFERROR(MATCH($A27,Di!$F$28:$AQ$28,0),100),IFERROR(MATCH($A27,Di!$F$29:$AQ$29,0),100),IFERROR(MATCH($A27,Di!$F$30:$AQ$30,0),100),IFERROR(MATCH($A27,Di!$F$31:$AQ$31,0),100),IFERROR(MATCH($A27,Di!$F$32:$AQ$32,0),100),IFERROR(MATCH($A27,Di!$F$33:$AQ$33,0),100),IFERROR(MATCH($A27,Di!$F$34:$AQ$34,0),100),IFERROR(MATCH($A27,Di!$F$35:$AQ$35,0),100),IFERROR(MATCH($A27,Di!$F$36:$AQ$36,0),100),IFERROR(MATCH($A27,Di!$F$37:$AQ$37,0),100),IFERROR(MATCH($A27,Di!$F$38:$AQ$38,0),100),IFERROR(MATCH($A27,Di!$F$39:$AQ$39,0),100),IFERROR(MATCH($A27,Di!$F$40:$AQ$40,0),100),IFERROR(MATCH($A27,Di!$F$41:$AQ$41,0),100),IFERROR(MATCH($A27,Di!$F$42:$AQ$42,0),100),IFERROR(MATCH($A27,Di!$F$43:$AQ$43,0),100),IFERROR(MATCH($A27,Di!$F$44:$AQ$44,0),100),IFERROR(MATCH($A27,Di!$F$45:$AQ$45,0),100),IFERROR(MATCH($A27,Di!$F$46:$AQ$46,0),100),IFERROR(MATCH($A27,Di!$F$47:$AQ$47,0),100),IFERROR(MATCH($A27,Di!$F$48:$AQ$48,0),100),IFERROR(MATCH($A27,Di!$F$49:$AQ$49,0),100),IFERROR(MATCH($A27,Di!$F$50:$AQ$50,0),100),IFERROR(MATCH($A27,Di!$F$51:$AQ$51,0),100),IFERROR(MATCH($A27,Di!$F$52:$AQ$52,0),100),IFERROR(MATCH($A27,Di!$F$53:$AQ$53,0),100),IFERROR(MATCH($A27,Di!$F$54:$AQ$54,0),100),IFERROR(MATCH($A27,Di!$F$55:$AQ$55,0),100),IFERROR(MATCH($A27,Di!$F$56:$AQ$56,0),100),IFERROR(MATCH($A27,Di!$F$57:$AQ$57,0),100),IFERROR(MATCH($A27,Di!$F$58:$AQ$58,0),100),IFERROR(MATCH($A27,Di!$F$59:$AQ$59,0),100),IFERROR(MATCH($A27,Di!$F$60:$AQ$60,0),100),IFERROR(MATCH($A27,Di!$F$61:$AQ$61,0),100),IFERROR(MATCH($A27,Di!$F$62:$AQ$62,0),100),IFERROR(MATCH($A27,Di!$F$63:$AQ$63,0),100),39)</f>
        <v/>
      </c>
      <c r="F27" s="66">
        <f>IFERROR(IF(VLOOKUP(INDEX(Di!$B$12:$B$63,MATCH($A27,OFFSET( Di!$F$12:$F$63,0,(E27*48)-(IF(E27=7/24,9,IF(E27=12.5/24,9,IF(E27=14/24,9,IF(E27=15.5/24,9,10)))))),0),0),Di!$B$13:$C$63,2,FALSE)="TL","",INDEX(Di!$B$12:$B$63,MATCH($A27,OFFSET( Di!$F$12:$F$63,0,(E27*48)-(IF(E27=7/24,9,IF(E27=12.5/24,9,IF(E27=14/24,9,IF(E27=15.5/24,9,10)))))),0),0)),"")</f>
        <v/>
      </c>
      <c r="G27" s="857">
        <f>9/48+(1/48)*MIN(IFERROR(MATCH($A27,Wo!$F$13:$AQ$13,0),100),IFERROR(MATCH($A27,Wo!$F$14:$AQ$14,0),100),IFERROR(MATCH($A27,Wo!$F$15:$AQ$15,0),100),IFERROR(MATCH($A27,Wo!$F$16:$AQ$16,0),100),IFERROR(MATCH($A27,Wo!$F$17:$AQ$17,0),100),IFERROR(MATCH($A27,Wo!$F$18:$AQ$18,0),100),IFERROR(MATCH($A27,Wo!$F$19:$AQ$19,0),100),IFERROR(MATCH($A27,Wo!$F$20:$AQ$20,0),100),IFERROR(MATCH($A27,Wo!$F$21:$AQ$21,0),100),IFERROR(MATCH($A27,Wo!$F$22:$AQ$22,0),100),IFERROR(MATCH($A27,Wo!$F$23:$AQ$23,0),100),IFERROR(MATCH($A27,Wo!$F$24:$AQ$24,0),100),IFERROR(MATCH($A27,Wo!$F$25:$AQ$25,0),100),IFERROR(MATCH($A27,Wo!$F$26:$AQ$26,0),100),IFERROR(MATCH($A27,Wo!$F$27:$AQ$27,0),100),IFERROR(MATCH($A27,Wo!$F$28:$AQ$28,0),100),IFERROR(MATCH($A27,Wo!$F$29:$AQ$29,0),100),IFERROR(MATCH($A27,Wo!$F$30:$AQ$30,0),100),IFERROR(MATCH($A27,Wo!$F$31:$AQ$31,0),100),IFERROR(MATCH($A27,Wo!$F$32:$AQ$32,0),100),IFERROR(MATCH($A27,Wo!$F$33:$AQ$33,0),100),IFERROR(MATCH($A27,Wo!$F$34:$AQ$34,0),100),IFERROR(MATCH($A27,Wo!$F$35:$AQ$35,0),100),IFERROR(MATCH($A27,Wo!$F$36:$AQ$36,0),100),IFERROR(MATCH($A27,Wo!$F$37:$AQ$37,0),100),IFERROR(MATCH($A27,Wo!$F$38:$AQ$38,0),100),IFERROR(MATCH($A27,Wo!$F$39:$AQ$39,0),100),IFERROR(MATCH($A27,Wo!$F$40:$AQ$40,0),100),IFERROR(MATCH($A27,Wo!$F$41:$AQ$41,0),100),IFERROR(MATCH($A27,Wo!$F$42:$AQ$42,0),100),IFERROR(MATCH($A27,Wo!$F$43:$AQ$43,0),100),IFERROR(MATCH($A27,Wo!$F$44:$AQ$44,0),100),IFERROR(MATCH($A27,Wo!$F$45:$AQ$45,0),100),IFERROR(MATCH($A27,Wo!$F$46:$AQ$46,0),100),IFERROR(MATCH($A27,Wo!$F$47:$AQ$47,0),100),IFERROR(MATCH($A27,Wo!$F$48:$AQ$48,0),100),IFERROR(MATCH($A27,Wo!$F$49:$AQ$49,0),100),IFERROR(MATCH($A27,Wo!$F$50:$AQ$50,0),100),IFERROR(MATCH($A27,Wo!$F$51:$AQ$51,0),100),IFERROR(MATCH($A27,Wo!$F$52:$AQ$52,0),100),IFERROR(MATCH($A27,Wo!$F$53:$AQ$53,0),100),IFERROR(MATCH($A27,Wo!$F$54:$AQ$54,0),100),IFERROR(MATCH($A27,Wo!$F$55:$AQ$55,0),100),IFERROR(MATCH($A27,Wo!$F$56:$AQ$56,0),100),IFERROR(MATCH($A27,Wo!$F$57:$AQ$57,0),100),IFERROR(MATCH($A27,Wo!$F$58:$AQ$58,0),100),IFERROR(MATCH($A27,Wo!$F$59:$AQ$59,0),100),IFERROR(MATCH($A27,Wo!$F$60:$AQ$60,0),100),IFERROR(MATCH($A27,Wo!$F$61:$AQ$61,0),100),IFERROR(MATCH($A27,Wo!$F$62:$AQ$62,0),100),IFERROR(MATCH($A27,Wo!$F$63:$AQ$63,0),100),39)</f>
        <v/>
      </c>
      <c r="H27" s="66">
        <f>IFERROR(IF(VLOOKUP(INDEX(Wo!$B$12:$B$63,MATCH($A27,OFFSET( Wo!$F$12:$F$63,0,(G27*48)-(IF(G27=7/24,9,IF(G27=12.5/24,9,IF(G27=14/24,9,IF(G27=15.5/24,9,10)))))),0),0),Wo!$B$13:$C$63,2,FALSE)="TL","",INDEX(Wo!$B$12:$B$63,MATCH($A27,OFFSET( Wo!$F$12:$F$63,0,(G27*48)-(IF(G27=7/24,9,IF(G27=12.5/24,9,IF(G27=14/24,9,IF(G27=15.5/24,9,10)))))),0),0)),"")</f>
        <v/>
      </c>
      <c r="I27" s="857">
        <f>9/48+(1/48)*MIN(IFERROR(MATCH($A27,Do!$F$13:$AQ$13,0),100),IFERROR(MATCH($A27,Do!$F$14:$AQ$14,0),100),IFERROR(MATCH($A27,Do!$F$15:$AQ$15,0),100),IFERROR(MATCH($A27,Do!$F$16:$AQ$16,0),100),IFERROR(MATCH($A27,Do!$F$17:$AQ$17,0),100),IFERROR(MATCH($A27,Do!$F$18:$AQ$18,0),100),IFERROR(MATCH($A27,Do!$F$19:$AQ$19,0),100),IFERROR(MATCH($A27,Do!$F$20:$AQ$20,0),100),IFERROR(MATCH($A27,Do!$F$21:$AQ$21,0),100),IFERROR(MATCH($A27,Do!$F$22:$AQ$22,0),100),IFERROR(MATCH($A27,Do!$F$23:$AQ$23,0),100),IFERROR(MATCH($A27,Do!$F$24:$AQ$24,0),100),IFERROR(MATCH($A27,Do!$F$25:$AQ$25,0),100),IFERROR(MATCH($A27,Do!$F$26:$AQ$26,0),100),IFERROR(MATCH($A27,Do!$F$27:$AQ$27,0),100),IFERROR(MATCH($A27,Do!$F$28:$AQ$28,0),100),IFERROR(MATCH($A27,Do!$F$29:$AQ$29,0),100),IFERROR(MATCH($A27,Do!$F$30:$AQ$30,0),100),IFERROR(MATCH($A27,Do!$F$31:$AQ$31,0),100),IFERROR(MATCH($A27,Do!$F$32:$AQ$32,0),100),IFERROR(MATCH($A27,Do!$F$33:$AQ$33,0),100),IFERROR(MATCH($A27,Do!$F$34:$AQ$34,0),100),IFERROR(MATCH($A27,Do!$F$35:$AQ$35,0),100),IFERROR(MATCH($A27,Do!$F$36:$AQ$36,0),100),IFERROR(MATCH($A27,Do!$F$37:$AQ$37,0),100),IFERROR(MATCH($A27,Do!$F$38:$AQ$38,0),100),IFERROR(MATCH($A27,Do!$F$39:$AQ$39,0),100),IFERROR(MATCH($A27,Do!$F$40:$AQ$40,0),100),IFERROR(MATCH($A27,Do!$F$41:$AQ$41,0),100),IFERROR(MATCH($A27,Do!$F$42:$AQ$42,0),100),IFERROR(MATCH($A27,Do!$F$43:$AQ$43,0),100),IFERROR(MATCH($A27,Do!$F$44:$AQ$44,0),100),IFERROR(MATCH($A27,Do!$F$45:$AQ$45,0),100),IFERROR(MATCH($A27,Do!$F$46:$AQ$46,0),100),IFERROR(MATCH($A27,Do!$F$47:$AQ$47,0),100),IFERROR(MATCH($A27,Do!$F$48:$AQ$48,0),100),IFERROR(MATCH($A27,Do!$F$49:$AQ$49,0),100),IFERROR(MATCH($A27,Do!$F$50:$AQ$50,0),100),IFERROR(MATCH($A27,Do!$F$51:$AQ$51,0),100),IFERROR(MATCH($A27,Do!$F$52:$AQ$52,0),100),IFERROR(MATCH($A27,Do!$F$53:$AQ$53,0),100),IFERROR(MATCH($A27,Do!$F$54:$AQ$54,0),100),IFERROR(MATCH($A27,Do!$F$55:$AQ$55,0),100),IFERROR(MATCH($A27,Do!$F$56:$AQ$56,0),100),IFERROR(MATCH($A27,Do!$F$57:$AQ$57,0),100),IFERROR(MATCH($A27,Do!$F$58:$AQ$58,0),100),IFERROR(MATCH($A27,Do!$F$59:$AQ$59,0),100),IFERROR(MATCH($A27,Do!$F$60:$AQ$60,0),100),IFERROR(MATCH($A27,Do!$F$61:$AQ$61,0),100),IFERROR(MATCH($A27,Do!$F$62:$AQ$62,0),100),IFERROR(MATCH($A27,Do!$F$63:$AQ$63,0),100),39)</f>
        <v/>
      </c>
      <c r="J27" s="66">
        <f>IFERROR(IF(VLOOKUP(INDEX(Do!$B$12:$B$63,MATCH($A27,OFFSET( Do!$F$12:$F$63,0,(I27*48)-(IF(I27=7/24,9,IF(I27=12.5/24,9,IF(I27=14/24,9,IF(I27=15.5/24,9,10)))))),0),0),Do!$B$13:$C$63,2,FALSE)="TL","",INDEX(Do!$B$12:$B$63,MATCH($A27,OFFSET( Do!$F$12:$F$63,0,(I27*48)-(IF(I27=7/24,9,IF(I27=12.5/24,9,IF(I27=14/24,9,IF(I27=15.5/24,9,10)))))),0),0)),"")</f>
        <v/>
      </c>
      <c r="K27" s="857">
        <f>9/48+(1/48)*MIN(IFERROR(MATCH($A27,Vr!$F$13:$AQ$13,0),100),IFERROR(MATCH($A27,Vr!$F$14:$AQ$14,0),100),IFERROR(MATCH($A27,Vr!$F$15:$AQ$15,0),100),IFERROR(MATCH($A27,Vr!$F$16:$AQ$16,0),100),IFERROR(MATCH($A27,Vr!$F$17:$AQ$17,0),100),IFERROR(MATCH($A27,Vr!$F$18:$AQ$18,0),100),IFERROR(MATCH($A27,Vr!$F$19:$AQ$19,0),100),IFERROR(MATCH($A27,Vr!$F$20:$AQ$20,0),100),IFERROR(MATCH($A27,Vr!$F$21:$AQ$21,0),100),IFERROR(MATCH($A27,Vr!$F$22:$AQ$22,0),100),IFERROR(MATCH($A27,Vr!$F$23:$AQ$23,0),100),IFERROR(MATCH($A27,Vr!$F$24:$AQ$24,0),100),IFERROR(MATCH($A27,Vr!$F$25:$AQ$25,0),100),IFERROR(MATCH($A27,Vr!$F$26:$AQ$26,0),100),IFERROR(MATCH($A27,Vr!$F$27:$AQ$27,0),100),IFERROR(MATCH($A27,Vr!$F$28:$AQ$28,0),100),IFERROR(MATCH($A27,Vr!$F$29:$AQ$29,0),100),IFERROR(MATCH($A27,Vr!$F$30:$AQ$30,0),100),IFERROR(MATCH($A27,Vr!$F$31:$AQ$31,0),100),IFERROR(MATCH($A27,Vr!$F$32:$AQ$32,0),100),IFERROR(MATCH($A27,Vr!$F$33:$AQ$33,0),100),IFERROR(MATCH($A27,Vr!$F$34:$AQ$34,0),100),IFERROR(MATCH($A27,Vr!$F$35:$AQ$35,0),100),IFERROR(MATCH($A27,Vr!$F$36:$AQ$36,0),100),IFERROR(MATCH($A27,Vr!$F$37:$AQ$37,0),100),IFERROR(MATCH($A27,Vr!$F$38:$AQ$38,0),100),IFERROR(MATCH($A27,Vr!$F$39:$AQ$39,0),100),IFERROR(MATCH($A27,Vr!$F$40:$AQ$40,0),100),IFERROR(MATCH($A27,Vr!$F$41:$AQ$41,0),100),IFERROR(MATCH($A27,Vr!$F$42:$AQ$42,0),100),IFERROR(MATCH($A27,Vr!$F$43:$AQ$43,0),100),IFERROR(MATCH($A27,Vr!$F$44:$AQ$44,0),100),IFERROR(MATCH($A27,Vr!$F$45:$AQ$45,0),100),IFERROR(MATCH($A27,Vr!$F$46:$AQ$46,0),100),IFERROR(MATCH($A27,Vr!$F$47:$AQ$47,0),100),IFERROR(MATCH($A27,Vr!$F$48:$AQ$48,0),100),IFERROR(MATCH($A27,Vr!$F$49:$AQ$49,0),100),IFERROR(MATCH($A27,Vr!$F$50:$AQ$50,0),100),IFERROR(MATCH($A27,Vr!$F$51:$AQ$51,0),100),IFERROR(MATCH($A27,Vr!$F$52:$AQ$52,0),100),IFERROR(MATCH($A27,Vr!$F$53:$AQ$53,0),100),IFERROR(MATCH($A27,Vr!$F$54:$AQ$54,0),100),IFERROR(MATCH($A27,Vr!$F$55:$AQ$55,0),100),IFERROR(MATCH($A27,Vr!$F$56:$AQ$56,0),100),IFERROR(MATCH($A27,Vr!$F$57:$AQ$57,0),100),IFERROR(MATCH($A27,Vr!$F$58:$AQ$58,0),100),IFERROR(MATCH($A27,Vr!$F$59:$AQ$59,0),100),IFERROR(MATCH($A27,Vr!$F$60:$AQ$60,0),100),IFERROR(MATCH($A27,Vr!$F$61:$AQ$61,0),100),IFERROR(MATCH($A27,Vr!$F$62:$AQ$62,0),100),IFERROR(MATCH($A27,Vr!$F$63:$AQ$63,0),100),39)</f>
        <v/>
      </c>
      <c r="L27" s="66">
        <f>IFERROR(IF(VLOOKUP(INDEX(Vr!$B$12:$B$63,MATCH($A27,OFFSET( Vr!$F$12:$F$63,0,(K27*48)-(IF(K27=7/24,9,IF(K27=12.5/24,9,IF(K27=14/24,9,IF(K27=15.5/24,9,10)))))),0),0),Vr!$B$13:$C$63,2,FALSE)="TL","",INDEX(Vr!$B$12:$B$63,MATCH($A27,OFFSET( Vr!$F$12:$F$63,0,(K27*48)-(IF(K27=7/24,9,IF(K27=12.5/24,9,IF(K27=14/24,9,IF(K27=15.5/24,9,10)))))),0),0)),"")</f>
        <v/>
      </c>
      <c r="M27" s="857">
        <f>9/48+(1/48)*MIN(IFERROR(MATCH($A27,Za!$F$13:$AQ$13,0),100),IFERROR(MATCH($A27,Za!$F$14:$AQ$14,0),100),IFERROR(MATCH($A27,Za!$F$15:$AQ$15,0),100),IFERROR(MATCH($A27,Za!$F$16:$AQ$16,0),100),IFERROR(MATCH($A27,Za!$F$17:$AQ$17,0),100),IFERROR(MATCH($A27,Za!$F$18:$AQ$18,0),100),IFERROR(MATCH($A27,Za!$F$19:$AQ$19,0),100),IFERROR(MATCH($A27,Za!$F$20:$AQ$20,0),100),IFERROR(MATCH($A27,Za!$F$21:$AQ$21,0),100),IFERROR(MATCH($A27,Za!$F$22:$AQ$22,0),100),IFERROR(MATCH($A27,Za!$F$23:$AQ$23,0),100),IFERROR(MATCH($A27,Za!$F$24:$AQ$24,0),100),IFERROR(MATCH($A27,Za!$F$25:$AQ$25,0),100),IFERROR(MATCH($A27,Za!$F$26:$AQ$26,0),100),IFERROR(MATCH($A27,Za!$F$27:$AQ$27,0),100),IFERROR(MATCH($A27,Za!$F$28:$AQ$28,0),100),IFERROR(MATCH($A27,Za!$F$29:$AQ$29,0),100),IFERROR(MATCH($A27,Za!$F$30:$AQ$30,0),100),IFERROR(MATCH($A27,Za!$F$31:$AQ$31,0),100),IFERROR(MATCH($A27,Za!$F$32:$AQ$32,0),100),IFERROR(MATCH($A27,Za!$F$33:$AQ$33,0),100),IFERROR(MATCH($A27,Za!$F$34:$AQ$34,0),100),IFERROR(MATCH($A27,Za!$F$35:$AQ$35,0),100),IFERROR(MATCH($A27,Za!$F$36:$AQ$36,0),100),IFERROR(MATCH($A27,Za!$F$37:$AQ$37,0),100),IFERROR(MATCH($A27,Za!$F$38:$AQ$38,0),100),IFERROR(MATCH($A27,Za!$F$39:$AQ$39,0),100),IFERROR(MATCH($A27,Za!$F$40:$AQ$40,0),100),IFERROR(MATCH($A27,Za!$F$41:$AQ$41,0),100),IFERROR(MATCH($A27,Za!$F$42:$AQ$42,0),100),IFERROR(MATCH($A27,Za!$F$43:$AQ$43,0),100),IFERROR(MATCH($A27,Za!$F$44:$AQ$44,0),100),IFERROR(MATCH($A27,Za!$F$45:$AQ$45,0),100),IFERROR(MATCH($A27,Za!$F$46:$AQ$46,0),100),IFERROR(MATCH($A27,Za!$F$47:$AQ$47,0),100),IFERROR(MATCH($A27,Za!$F$48:$AQ$48,0),100),IFERROR(MATCH($A27,Za!$F$49:$AQ$49,0),100),IFERROR(MATCH($A27,Za!$F$50:$AQ$50,0),100),IFERROR(MATCH($A27,Za!$F$51:$AQ$51,0),100),IFERROR(MATCH($A27,Za!$F$52:$AQ$52,0),100),IFERROR(MATCH($A27,Za!$F$53:$AQ$53,0),100),IFERROR(MATCH($A27,Za!$F$54:$AQ$54,0),100),IFERROR(MATCH($A27,Za!$F$55:$AQ$55,0),100),IFERROR(MATCH($A27,Za!$F$56:$AQ$56,0),100),IFERROR(MATCH($A27,Za!$F$57:$AQ$57,0),100),IFERROR(MATCH($A27,Za!$F$58:$AQ$58,0),100),IFERROR(MATCH($A27,Za!$F$59:$AQ$59,0),100),IFERROR(MATCH($A27,Za!$F$60:$AQ$60,0),100),IFERROR(MATCH($A27,Za!$F$61:$AQ$61,0),100),IFERROR(MATCH($A27,Za!$F$62:$AQ$62,0),100),IFERROR(MATCH($A27,Za!$F$63:$AQ$63,0),100),39)</f>
        <v/>
      </c>
      <c r="N27" s="66">
        <f>IFERROR(IF(VLOOKUP(INDEX(Za!$B$12:$B$63,MATCH($A27,OFFSET( Za!$F$12:$F$63,0,(M27*48)-(IF(M27=7/24,9,IF(M27=12.5/24,9,IF(M27=14/24,9,IF(M27=15.5/24,9,10)))))),0),0),Za!$B$13:$C$63,2,FALSE)="TL","",INDEX(Za!$B$12:$B$63,MATCH($A27,OFFSET( Za!$F$12:$F$63,0,(M27*48)-(IF(M27=7/24,9,IF(M27=12.5/24,9,IF(M27=14/24,9,IF(M27=15.5/24,9,10)))))),0),0)),"")</f>
        <v/>
      </c>
      <c r="O27" s="857">
        <f>9/48+(1/48)*MIN(IFERROR(MATCH($A27,Zo!$F$13:$AQ$13,0),100),IFERROR(MATCH($A27,Zo!$F$14:$AQ$14,0),100),IFERROR(MATCH($A27,Zo!$F$15:$AQ$15,0),100),IFERROR(MATCH($A27,Zo!$F$16:$AQ$16,0),100),IFERROR(MATCH($A27,Zo!$F$17:$AQ$17,0),100),IFERROR(MATCH($A27,Zo!$F$18:$AQ$18,0),100),IFERROR(MATCH($A27,Zo!$F$19:$AQ$19,0),100),IFERROR(MATCH($A27,Zo!$F$20:$AQ$20,0),100),IFERROR(MATCH($A27,Zo!$F$21:$AQ$21,0),100),IFERROR(MATCH($A27,Zo!$F$22:$AQ$22,0),100),IFERROR(MATCH($A27,Zo!$F$23:$AQ$23,0),100),IFERROR(MATCH($A27,Zo!$F$24:$AQ$24,0),100),IFERROR(MATCH($A27,Zo!$F$25:$AQ$25,0),100),IFERROR(MATCH($A27,Zo!$F$26:$AQ$26,0),100),IFERROR(MATCH($A27,Zo!$F$27:$AQ$27,0),100),IFERROR(MATCH($A27,Zo!$F$28:$AQ$28,0),100),IFERROR(MATCH($A27,Zo!$F$29:$AQ$29,0),100),IFERROR(MATCH($A27,Zo!$F$30:$AQ$30,0),100),IFERROR(MATCH($A27,Zo!$F$31:$AQ$31,0),100),IFERROR(MATCH($A27,Zo!$F$32:$AQ$32,0),100),IFERROR(MATCH($A27,Zo!$F$33:$AQ$33,0),100),IFERROR(MATCH($A27,Zo!$F$34:$AQ$34,0),100),IFERROR(MATCH($A27,Zo!$F$35:$AQ$35,0),100),IFERROR(MATCH($A27,Zo!$F$36:$AQ$36,0),100),IFERROR(MATCH($A27,Zo!$F$37:$AQ$37,0),100),IFERROR(MATCH($A27,Zo!$F$38:$AQ$38,0),100),IFERROR(MATCH($A27,Zo!$F$39:$AQ$39,0),100),IFERROR(MATCH($A27,Zo!$F$40:$AQ$40,0),100),IFERROR(MATCH($A27,Zo!$F$41:$AQ$41,0),100),IFERROR(MATCH($A27,Zo!$F$42:$AQ$42,0),100),IFERROR(MATCH($A27,Zo!$F$43:$AQ$43,0),100),IFERROR(MATCH($A27,Zo!$F$44:$AQ$44,0),100),IFERROR(MATCH($A27,Zo!$F$45:$AQ$45,0),100),IFERROR(MATCH($A27,Zo!$F$46:$AQ$46,0),100),IFERROR(MATCH($A27,Zo!$F$47:$AQ$47,0),100),IFERROR(MATCH($A27,Zo!$F$48:$AQ$48,0),100),IFERROR(MATCH($A27,Zo!$F$49:$AQ$49,0),100),IFERROR(MATCH($A27,Zo!$F$50:$AQ$50,0),100),IFERROR(MATCH($A27,Zo!$F$51:$AQ$51,0),100),IFERROR(MATCH($A27,Zo!$F$52:$AQ$52,0),100),IFERROR(MATCH($A27,Zo!$F$53:$AQ$53,0),100),IFERROR(MATCH($A27,Zo!$F$54:$AQ$54,0),100),IFERROR(MATCH($A27,Zo!$F$55:$AQ$55,0),100),IFERROR(MATCH($A27,Zo!$F$56:$AQ$56,0),100),IFERROR(MATCH($A27,Zo!$F$57:$AQ$57,0),100),IFERROR(MATCH($A27,Zo!$F$58:$AQ$58,0),100),IFERROR(MATCH($A27,Zo!$F$59:$AQ$59,0),100),IFERROR(MATCH($A27,Zo!$F$60:$AQ$60,0),100),IFERROR(MATCH($A27,Zo!$F$61:$AQ$61,0),100),IFERROR(MATCH($A27,Zo!$F$62:$AQ$62,0),100),IFERROR(MATCH($A27,Zo!$F$63:$AQ$63,0),100),39)</f>
        <v/>
      </c>
      <c r="P27" s="66">
        <f>IFERROR(IF(VLOOKUP(INDEX(Zo!$B$12:$B$63,MATCH($A27,OFFSET( Zo!$F$12:$F$63,0,(O27*48)-(IF(O27=7/24,9,IF(O27=12.5/24,9,IF(O27=14/24,9,IF(O27=15.5/24,9,10)))))),0),0),Zo!$B$13:$C$63,2,FALSE)="TL","",INDEX(Zo!$B$12:$B$63,MATCH($A27,OFFSET( Zo!$F$12:$F$63,0,(O27*48)-(IF(O27=7/24,9,IF(O27=12.5/24,9,IF(O27=14/24,9,IF(O27=15.5/24,9,10)))))),0),0)),"")</f>
        <v/>
      </c>
    </row>
    <row r="28" ht="15" customHeight="1">
      <c r="A28" s="66" t="inlineStr">
        <is>
          <t>pro</t>
        </is>
      </c>
      <c r="B28" s="67">
        <f>A28</f>
        <v/>
      </c>
      <c r="C28" s="857">
        <f>9/48+(1/48)*MIN(IFERROR(MATCH($A28,Ma!$F$13:$AQ$13,0),100),IFERROR(MATCH($A28,Ma!$F$14:$AQ$14,0),100),IFERROR(MATCH($A28,Ma!$F$15:$AQ$15,0),100),IFERROR(MATCH($A28,Ma!$F$16:$AQ$16,0),100),IFERROR(MATCH($A28,Ma!$F$17:$AQ$17,0),100),IFERROR(MATCH($A28,Ma!$F$18:$AQ$18,0),100),IFERROR(MATCH($A28,Ma!$F$19:$AQ$19,0),100),IFERROR(MATCH($A28,Ma!$F$20:$AQ$20,0),100),IFERROR(MATCH($A28,Ma!$F$21:$AQ$21,0),100),IFERROR(MATCH($A28,Ma!$F$22:$AQ$22,0),100),IFERROR(MATCH($A28,Ma!$F$23:$AQ$23,0),100),IFERROR(MATCH($A28,Ma!$F$24:$AQ$24,0),100),IFERROR(MATCH($A28,Ma!$F$25:$AQ$25,0),100),IFERROR(MATCH($A28,Ma!$F$26:$AQ$26,0),100),IFERROR(MATCH($A28,Ma!$F$27:$AQ$27,0),100),IFERROR(MATCH($A28,Ma!$F$28:$AQ$28,0),100),IFERROR(MATCH($A28,Ma!$F$29:$AQ$29,0),100),IFERROR(MATCH($A28,Ma!$F$30:$AQ$30,0),100),IFERROR(MATCH($A28,Ma!$F$31:$AQ$31,0),100),IFERROR(MATCH($A28,Ma!$F$32:$AQ$32,0),100),IFERROR(MATCH($A28,Ma!$F$33:$AQ$33,0),100),IFERROR(MATCH($A28,Ma!$F$34:$AQ$34,0),100),IFERROR(MATCH($A28,Ma!$F$35:$AQ$35,0),100),IFERROR(MATCH($A28,Ma!$F$36:$AQ$36,0),100),IFERROR(MATCH($A28,Ma!$F$37:$AQ$37,0),100),IFERROR(MATCH($A28,Ma!$F$38:$AQ$38,0),100),IFERROR(MATCH($A28,Ma!$F$39:$AQ$39,0),100),IFERROR(MATCH($A28,Ma!$F$40:$AQ$40,0),100),IFERROR(MATCH($A28,Ma!$F$41:$AQ$41,0),100),IFERROR(MATCH($A28,Ma!$F$42:$AQ$42,0),100),IFERROR(MATCH($A28,Ma!$F$43:$AQ$43,0),100),IFERROR(MATCH($A28,Ma!$F$44:$AQ$44,0),100),IFERROR(MATCH($A28,Ma!$F$45:$AQ$45,0),100),IFERROR(MATCH($A28,Ma!$F$46:$AQ$46,0),100),IFERROR(MATCH($A28,Ma!$F$47:$AQ$47,0),100),IFERROR(MATCH($A28,Ma!$F$48:$AQ$48,0),100),IFERROR(MATCH($A28,Ma!$F$49:$AQ$49,0),100),IFERROR(MATCH($A28,Ma!$F$50:$AQ$50,0),100),IFERROR(MATCH($A28,Ma!$F$51:$AQ$51,0),100),IFERROR(MATCH($A28,Ma!$F$52:$AQ$52,0),100),IFERROR(MATCH($A28,Ma!$F$53:$AQ$53,0),100),IFERROR(MATCH($A28,Ma!$F$54:$AQ$54,0),100),IFERROR(MATCH($A28,Ma!$F$55:$AQ$55,0),100),IFERROR(MATCH($A28,Ma!$F$56:$AQ$56,0),100),IFERROR(MATCH($A28,Ma!$F$57:$AQ$57,0),100),IFERROR(MATCH($A28,Ma!$F$58:$AQ$58,0),100),IFERROR(MATCH($A28,Ma!$F$59:$AQ$59,0),100),IFERROR(MATCH($A28,Ma!$F$60:$AQ$60,0),100),IFERROR(MATCH($A28,Ma!$F$61:$AQ$61,0),100),IFERROR(MATCH($A28,Ma!$F$62:$AQ$62,0),100),IFERROR(MATCH($A28,Ma!$F$63:$AQ$63,0),100),39)</f>
        <v/>
      </c>
      <c r="D28" s="66">
        <f>IFERROR(IF(VLOOKUP(INDEX(Ma!$B$12:$B$63,MATCH($A28,OFFSET( Ma!$F$12:$F$63,0,(C28*48)-(IF(C28=7/24,9,IF(C28=12.5/24,9,IF(C28=14/24,9,IF(C28=15.5/24,9,10)))))),0),0),Ma!$B$13:$C$63,2,FALSE)="TL","",INDEX(Ma!$B$12:$B$63,MATCH($A28,OFFSET( Ma!$F$12:$F$63,0,(C28*48)-(IF(C28=7/24,9,IF(C28=12.5/24,9,IF(C28=14/24,9,IF(C28=15.5/24,9,10)))))),0),0)),"")</f>
        <v/>
      </c>
      <c r="E28" s="857">
        <f>9/48+(1/48)*MIN(IFERROR(MATCH($A28,Di!$F$13:$AQ$13,0),100),IFERROR(MATCH($A28,Di!$F$14:$AQ$14,0),100),IFERROR(MATCH($A28,Di!$F$15:$AQ$15,0),100),IFERROR(MATCH($A28,Di!$F$16:$AQ$16,0),100),IFERROR(MATCH($A28,Di!$F$17:$AQ$17,0),100),IFERROR(MATCH($A28,Di!$F$18:$AQ$18,0),100),IFERROR(MATCH($A28,Di!$F$19:$AQ$19,0),100),IFERROR(MATCH($A28,Di!$F$20:$AQ$20,0),100),IFERROR(MATCH($A28,Di!$F$21:$AQ$21,0),100),IFERROR(MATCH($A28,Di!$F$22:$AQ$22,0),100),IFERROR(MATCH($A28,Di!$F$23:$AQ$23,0),100),IFERROR(MATCH($A28,Di!$F$24:$AQ$24,0),100),IFERROR(MATCH($A28,Di!$F$25:$AQ$25,0),100),IFERROR(MATCH($A28,Di!$F$26:$AQ$26,0),100),IFERROR(MATCH($A28,Di!$F$27:$AQ$27,0),100),IFERROR(MATCH($A28,Di!$F$28:$AQ$28,0),100),IFERROR(MATCH($A28,Di!$F$29:$AQ$29,0),100),IFERROR(MATCH($A28,Di!$F$30:$AQ$30,0),100),IFERROR(MATCH($A28,Di!$F$31:$AQ$31,0),100),IFERROR(MATCH($A28,Di!$F$32:$AQ$32,0),100),IFERROR(MATCH($A28,Di!$F$33:$AQ$33,0),100),IFERROR(MATCH($A28,Di!$F$34:$AQ$34,0),100),IFERROR(MATCH($A28,Di!$F$35:$AQ$35,0),100),IFERROR(MATCH($A28,Di!$F$36:$AQ$36,0),100),IFERROR(MATCH($A28,Di!$F$37:$AQ$37,0),100),IFERROR(MATCH($A28,Di!$F$38:$AQ$38,0),100),IFERROR(MATCH($A28,Di!$F$39:$AQ$39,0),100),IFERROR(MATCH($A28,Di!$F$40:$AQ$40,0),100),IFERROR(MATCH($A28,Di!$F$41:$AQ$41,0),100),IFERROR(MATCH($A28,Di!$F$42:$AQ$42,0),100),IFERROR(MATCH($A28,Di!$F$43:$AQ$43,0),100),IFERROR(MATCH($A28,Di!$F$44:$AQ$44,0),100),IFERROR(MATCH($A28,Di!$F$45:$AQ$45,0),100),IFERROR(MATCH($A28,Di!$F$46:$AQ$46,0),100),IFERROR(MATCH($A28,Di!$F$47:$AQ$47,0),100),IFERROR(MATCH($A28,Di!$F$48:$AQ$48,0),100),IFERROR(MATCH($A28,Di!$F$49:$AQ$49,0),100),IFERROR(MATCH($A28,Di!$F$50:$AQ$50,0),100),IFERROR(MATCH($A28,Di!$F$51:$AQ$51,0),100),IFERROR(MATCH($A28,Di!$F$52:$AQ$52,0),100),IFERROR(MATCH($A28,Di!$F$53:$AQ$53,0),100),IFERROR(MATCH($A28,Di!$F$54:$AQ$54,0),100),IFERROR(MATCH($A28,Di!$F$55:$AQ$55,0),100),IFERROR(MATCH($A28,Di!$F$56:$AQ$56,0),100),IFERROR(MATCH($A28,Di!$F$57:$AQ$57,0),100),IFERROR(MATCH($A28,Di!$F$58:$AQ$58,0),100),IFERROR(MATCH($A28,Di!$F$59:$AQ$59,0),100),IFERROR(MATCH($A28,Di!$F$60:$AQ$60,0),100),IFERROR(MATCH($A28,Di!$F$61:$AQ$61,0),100),IFERROR(MATCH($A28,Di!$F$62:$AQ$62,0),100),IFERROR(MATCH($A28,Di!$F$63:$AQ$63,0),100),39)</f>
        <v/>
      </c>
      <c r="F28" s="66">
        <f>IFERROR(IF(VLOOKUP(INDEX(Di!$B$12:$B$63,MATCH($A28,OFFSET( Di!$F$12:$F$63,0,(E28*48)-(IF(E28=7/24,9,IF(E28=12.5/24,9,IF(E28=14/24,9,IF(E28=15.5/24,9,10)))))),0),0),Di!$B$13:$C$63,2,FALSE)="TL","",INDEX(Di!$B$12:$B$63,MATCH($A28,OFFSET( Di!$F$12:$F$63,0,(E28*48)-(IF(E28=7/24,9,IF(E28=12.5/24,9,IF(E28=14/24,9,IF(E28=15.5/24,9,10)))))),0),0)),"")</f>
        <v/>
      </c>
      <c r="G28" s="857">
        <f>9/48+(1/48)*MIN(IFERROR(MATCH($A28,Wo!$F$13:$AQ$13,0),100),IFERROR(MATCH($A28,Wo!$F$14:$AQ$14,0),100),IFERROR(MATCH($A28,Wo!$F$15:$AQ$15,0),100),IFERROR(MATCH($A28,Wo!$F$16:$AQ$16,0),100),IFERROR(MATCH($A28,Wo!$F$17:$AQ$17,0),100),IFERROR(MATCH($A28,Wo!$F$18:$AQ$18,0),100),IFERROR(MATCH($A28,Wo!$F$19:$AQ$19,0),100),IFERROR(MATCH($A28,Wo!$F$20:$AQ$20,0),100),IFERROR(MATCH($A28,Wo!$F$21:$AQ$21,0),100),IFERROR(MATCH($A28,Wo!$F$22:$AQ$22,0),100),IFERROR(MATCH($A28,Wo!$F$23:$AQ$23,0),100),IFERROR(MATCH($A28,Wo!$F$24:$AQ$24,0),100),IFERROR(MATCH($A28,Wo!$F$25:$AQ$25,0),100),IFERROR(MATCH($A28,Wo!$F$26:$AQ$26,0),100),IFERROR(MATCH($A28,Wo!$F$27:$AQ$27,0),100),IFERROR(MATCH($A28,Wo!$F$28:$AQ$28,0),100),IFERROR(MATCH($A28,Wo!$F$29:$AQ$29,0),100),IFERROR(MATCH($A28,Wo!$F$30:$AQ$30,0),100),IFERROR(MATCH($A28,Wo!$F$31:$AQ$31,0),100),IFERROR(MATCH($A28,Wo!$F$32:$AQ$32,0),100),IFERROR(MATCH($A28,Wo!$F$33:$AQ$33,0),100),IFERROR(MATCH($A28,Wo!$F$34:$AQ$34,0),100),IFERROR(MATCH($A28,Wo!$F$35:$AQ$35,0),100),IFERROR(MATCH($A28,Wo!$F$36:$AQ$36,0),100),IFERROR(MATCH($A28,Wo!$F$37:$AQ$37,0),100),IFERROR(MATCH($A28,Wo!$F$38:$AQ$38,0),100),IFERROR(MATCH($A28,Wo!$F$39:$AQ$39,0),100),IFERROR(MATCH($A28,Wo!$F$40:$AQ$40,0),100),IFERROR(MATCH($A28,Wo!$F$41:$AQ$41,0),100),IFERROR(MATCH($A28,Wo!$F$42:$AQ$42,0),100),IFERROR(MATCH($A28,Wo!$F$43:$AQ$43,0),100),IFERROR(MATCH($A28,Wo!$F$44:$AQ$44,0),100),IFERROR(MATCH($A28,Wo!$F$45:$AQ$45,0),100),IFERROR(MATCH($A28,Wo!$F$46:$AQ$46,0),100),IFERROR(MATCH($A28,Wo!$F$47:$AQ$47,0),100),IFERROR(MATCH($A28,Wo!$F$48:$AQ$48,0),100),IFERROR(MATCH($A28,Wo!$F$49:$AQ$49,0),100),IFERROR(MATCH($A28,Wo!$F$50:$AQ$50,0),100),IFERROR(MATCH($A28,Wo!$F$51:$AQ$51,0),100),IFERROR(MATCH($A28,Wo!$F$52:$AQ$52,0),100),IFERROR(MATCH($A28,Wo!$F$53:$AQ$53,0),100),IFERROR(MATCH($A28,Wo!$F$54:$AQ$54,0),100),IFERROR(MATCH($A28,Wo!$F$55:$AQ$55,0),100),IFERROR(MATCH($A28,Wo!$F$56:$AQ$56,0),100),IFERROR(MATCH($A28,Wo!$F$57:$AQ$57,0),100),IFERROR(MATCH($A28,Wo!$F$58:$AQ$58,0),100),IFERROR(MATCH($A28,Wo!$F$59:$AQ$59,0),100),IFERROR(MATCH($A28,Wo!$F$60:$AQ$60,0),100),IFERROR(MATCH($A28,Wo!$F$61:$AQ$61,0),100),IFERROR(MATCH($A28,Wo!$F$62:$AQ$62,0),100),IFERROR(MATCH($A28,Wo!$F$63:$AQ$63,0),100),39)</f>
        <v/>
      </c>
      <c r="H28" s="66">
        <f>IFERROR(IF(VLOOKUP(INDEX(Wo!$B$12:$B$63,MATCH($A28,OFFSET( Wo!$F$12:$F$63,0,(G28*48)-(IF(G28=7/24,9,IF(G28=12.5/24,9,IF(G28=14/24,9,IF(G28=15.5/24,9,10)))))),0),0),Wo!$B$13:$C$63,2,FALSE)="TL","",INDEX(Wo!$B$12:$B$63,MATCH($A28,OFFSET( Wo!$F$12:$F$63,0,(G28*48)-(IF(G28=7/24,9,IF(G28=12.5/24,9,IF(G28=14/24,9,IF(G28=15.5/24,9,10)))))),0),0)),"")</f>
        <v/>
      </c>
      <c r="I28" s="857">
        <f>9/48+(1/48)*MIN(IFERROR(MATCH($A28,Do!$F$13:$AQ$13,0),100),IFERROR(MATCH($A28,Do!$F$14:$AQ$14,0),100),IFERROR(MATCH($A28,Do!$F$15:$AQ$15,0),100),IFERROR(MATCH($A28,Do!$F$16:$AQ$16,0),100),IFERROR(MATCH($A28,Do!$F$17:$AQ$17,0),100),IFERROR(MATCH($A28,Do!$F$18:$AQ$18,0),100),IFERROR(MATCH($A28,Do!$F$19:$AQ$19,0),100),IFERROR(MATCH($A28,Do!$F$20:$AQ$20,0),100),IFERROR(MATCH($A28,Do!$F$21:$AQ$21,0),100),IFERROR(MATCH($A28,Do!$F$22:$AQ$22,0),100),IFERROR(MATCH($A28,Do!$F$23:$AQ$23,0),100),IFERROR(MATCH($A28,Do!$F$24:$AQ$24,0),100),IFERROR(MATCH($A28,Do!$F$25:$AQ$25,0),100),IFERROR(MATCH($A28,Do!$F$26:$AQ$26,0),100),IFERROR(MATCH($A28,Do!$F$27:$AQ$27,0),100),IFERROR(MATCH($A28,Do!$F$28:$AQ$28,0),100),IFERROR(MATCH($A28,Do!$F$29:$AQ$29,0),100),IFERROR(MATCH($A28,Do!$F$30:$AQ$30,0),100),IFERROR(MATCH($A28,Do!$F$31:$AQ$31,0),100),IFERROR(MATCH($A28,Do!$F$32:$AQ$32,0),100),IFERROR(MATCH($A28,Do!$F$33:$AQ$33,0),100),IFERROR(MATCH($A28,Do!$F$34:$AQ$34,0),100),IFERROR(MATCH($A28,Do!$F$35:$AQ$35,0),100),IFERROR(MATCH($A28,Do!$F$36:$AQ$36,0),100),IFERROR(MATCH($A28,Do!$F$37:$AQ$37,0),100),IFERROR(MATCH($A28,Do!$F$38:$AQ$38,0),100),IFERROR(MATCH($A28,Do!$F$39:$AQ$39,0),100),IFERROR(MATCH($A28,Do!$F$40:$AQ$40,0),100),IFERROR(MATCH($A28,Do!$F$41:$AQ$41,0),100),IFERROR(MATCH($A28,Do!$F$42:$AQ$42,0),100),IFERROR(MATCH($A28,Do!$F$43:$AQ$43,0),100),IFERROR(MATCH($A28,Do!$F$44:$AQ$44,0),100),IFERROR(MATCH($A28,Do!$F$45:$AQ$45,0),100),IFERROR(MATCH($A28,Do!$F$46:$AQ$46,0),100),IFERROR(MATCH($A28,Do!$F$47:$AQ$47,0),100),IFERROR(MATCH($A28,Do!$F$48:$AQ$48,0),100),IFERROR(MATCH($A28,Do!$F$49:$AQ$49,0),100),IFERROR(MATCH($A28,Do!$F$50:$AQ$50,0),100),IFERROR(MATCH($A28,Do!$F$51:$AQ$51,0),100),IFERROR(MATCH($A28,Do!$F$52:$AQ$52,0),100),IFERROR(MATCH($A28,Do!$F$53:$AQ$53,0),100),IFERROR(MATCH($A28,Do!$F$54:$AQ$54,0),100),IFERROR(MATCH($A28,Do!$F$55:$AQ$55,0),100),IFERROR(MATCH($A28,Do!$F$56:$AQ$56,0),100),IFERROR(MATCH($A28,Do!$F$57:$AQ$57,0),100),IFERROR(MATCH($A28,Do!$F$58:$AQ$58,0),100),IFERROR(MATCH($A28,Do!$F$59:$AQ$59,0),100),IFERROR(MATCH($A28,Do!$F$60:$AQ$60,0),100),IFERROR(MATCH($A28,Do!$F$61:$AQ$61,0),100),IFERROR(MATCH($A28,Do!$F$62:$AQ$62,0),100),IFERROR(MATCH($A28,Do!$F$63:$AQ$63,0),100),39)</f>
        <v/>
      </c>
      <c r="J28" s="66">
        <f>IFERROR(IF(VLOOKUP(INDEX(Do!$B$12:$B$63,MATCH($A28,OFFSET( Do!$F$12:$F$63,0,(I28*48)-(IF(I28=7/24,9,IF(I28=12.5/24,9,IF(I28=14/24,9,IF(I28=15.5/24,9,10)))))),0),0),Do!$B$13:$C$63,2,FALSE)="TL","",INDEX(Do!$B$12:$B$63,MATCH($A28,OFFSET( Do!$F$12:$F$63,0,(I28*48)-(IF(I28=7/24,9,IF(I28=12.5/24,9,IF(I28=14/24,9,IF(I28=15.5/24,9,10)))))),0),0)),"")</f>
        <v/>
      </c>
      <c r="K28" s="857">
        <f>9/48+(1/48)*MIN(IFERROR(MATCH($A28,Vr!$F$13:$AQ$13,0),100),IFERROR(MATCH($A28,Vr!$F$14:$AQ$14,0),100),IFERROR(MATCH($A28,Vr!$F$15:$AQ$15,0),100),IFERROR(MATCH($A28,Vr!$F$16:$AQ$16,0),100),IFERROR(MATCH($A28,Vr!$F$17:$AQ$17,0),100),IFERROR(MATCH($A28,Vr!$F$18:$AQ$18,0),100),IFERROR(MATCH($A28,Vr!$F$19:$AQ$19,0),100),IFERROR(MATCH($A28,Vr!$F$20:$AQ$20,0),100),IFERROR(MATCH($A28,Vr!$F$21:$AQ$21,0),100),IFERROR(MATCH($A28,Vr!$F$22:$AQ$22,0),100),IFERROR(MATCH($A28,Vr!$F$23:$AQ$23,0),100),IFERROR(MATCH($A28,Vr!$F$24:$AQ$24,0),100),IFERROR(MATCH($A28,Vr!$F$25:$AQ$25,0),100),IFERROR(MATCH($A28,Vr!$F$26:$AQ$26,0),100),IFERROR(MATCH($A28,Vr!$F$27:$AQ$27,0),100),IFERROR(MATCH($A28,Vr!$F$28:$AQ$28,0),100),IFERROR(MATCH($A28,Vr!$F$29:$AQ$29,0),100),IFERROR(MATCH($A28,Vr!$F$30:$AQ$30,0),100),IFERROR(MATCH($A28,Vr!$F$31:$AQ$31,0),100),IFERROR(MATCH($A28,Vr!$F$32:$AQ$32,0),100),IFERROR(MATCH($A28,Vr!$F$33:$AQ$33,0),100),IFERROR(MATCH($A28,Vr!$F$34:$AQ$34,0),100),IFERROR(MATCH($A28,Vr!$F$35:$AQ$35,0),100),IFERROR(MATCH($A28,Vr!$F$36:$AQ$36,0),100),IFERROR(MATCH($A28,Vr!$F$37:$AQ$37,0),100),IFERROR(MATCH($A28,Vr!$F$38:$AQ$38,0),100),IFERROR(MATCH($A28,Vr!$F$39:$AQ$39,0),100),IFERROR(MATCH($A28,Vr!$F$40:$AQ$40,0),100),IFERROR(MATCH($A28,Vr!$F$41:$AQ$41,0),100),IFERROR(MATCH($A28,Vr!$F$42:$AQ$42,0),100),IFERROR(MATCH($A28,Vr!$F$43:$AQ$43,0),100),IFERROR(MATCH($A28,Vr!$F$44:$AQ$44,0),100),IFERROR(MATCH($A28,Vr!$F$45:$AQ$45,0),100),IFERROR(MATCH($A28,Vr!$F$46:$AQ$46,0),100),IFERROR(MATCH($A28,Vr!$F$47:$AQ$47,0),100),IFERROR(MATCH($A28,Vr!$F$48:$AQ$48,0),100),IFERROR(MATCH($A28,Vr!$F$49:$AQ$49,0),100),IFERROR(MATCH($A28,Vr!$F$50:$AQ$50,0),100),IFERROR(MATCH($A28,Vr!$F$51:$AQ$51,0),100),IFERROR(MATCH($A28,Vr!$F$52:$AQ$52,0),100),IFERROR(MATCH($A28,Vr!$F$53:$AQ$53,0),100),IFERROR(MATCH($A28,Vr!$F$54:$AQ$54,0),100),IFERROR(MATCH($A28,Vr!$F$55:$AQ$55,0),100),IFERROR(MATCH($A28,Vr!$F$56:$AQ$56,0),100),IFERROR(MATCH($A28,Vr!$F$57:$AQ$57,0),100),IFERROR(MATCH($A28,Vr!$F$58:$AQ$58,0),100),IFERROR(MATCH($A28,Vr!$F$59:$AQ$59,0),100),IFERROR(MATCH($A28,Vr!$F$60:$AQ$60,0),100),IFERROR(MATCH($A28,Vr!$F$61:$AQ$61,0),100),IFERROR(MATCH($A28,Vr!$F$62:$AQ$62,0),100),IFERROR(MATCH($A28,Vr!$F$63:$AQ$63,0),100),39)</f>
        <v/>
      </c>
      <c r="L28" s="66">
        <f>IFERROR(IF(VLOOKUP(INDEX(Vr!$B$12:$B$63,MATCH($A28,OFFSET( Vr!$F$12:$F$63,0,(K28*48)-(IF(K28=7/24,9,IF(K28=12.5/24,9,IF(K28=14/24,9,IF(K28=15.5/24,9,10)))))),0),0),Vr!$B$13:$C$63,2,FALSE)="TL","",INDEX(Vr!$B$12:$B$63,MATCH($A28,OFFSET( Vr!$F$12:$F$63,0,(K28*48)-(IF(K28=7/24,9,IF(K28=12.5/24,9,IF(K28=14/24,9,IF(K28=15.5/24,9,10)))))),0),0)),"")</f>
        <v/>
      </c>
      <c r="M28" s="857">
        <f>9/48+(1/48)*MIN(IFERROR(MATCH($A28,Za!$F$13:$AQ$13,0),100),IFERROR(MATCH($A28,Za!$F$14:$AQ$14,0),100),IFERROR(MATCH($A28,Za!$F$15:$AQ$15,0),100),IFERROR(MATCH($A28,Za!$F$16:$AQ$16,0),100),IFERROR(MATCH($A28,Za!$F$17:$AQ$17,0),100),IFERROR(MATCH($A28,Za!$F$18:$AQ$18,0),100),IFERROR(MATCH($A28,Za!$F$19:$AQ$19,0),100),IFERROR(MATCH($A28,Za!$F$20:$AQ$20,0),100),IFERROR(MATCH($A28,Za!$F$21:$AQ$21,0),100),IFERROR(MATCH($A28,Za!$F$22:$AQ$22,0),100),IFERROR(MATCH($A28,Za!$F$23:$AQ$23,0),100),IFERROR(MATCH($A28,Za!$F$24:$AQ$24,0),100),IFERROR(MATCH($A28,Za!$F$25:$AQ$25,0),100),IFERROR(MATCH($A28,Za!$F$26:$AQ$26,0),100),IFERROR(MATCH($A28,Za!$F$27:$AQ$27,0),100),IFERROR(MATCH($A28,Za!$F$28:$AQ$28,0),100),IFERROR(MATCH($A28,Za!$F$29:$AQ$29,0),100),IFERROR(MATCH($A28,Za!$F$30:$AQ$30,0),100),IFERROR(MATCH($A28,Za!$F$31:$AQ$31,0),100),IFERROR(MATCH($A28,Za!$F$32:$AQ$32,0),100),IFERROR(MATCH($A28,Za!$F$33:$AQ$33,0),100),IFERROR(MATCH($A28,Za!$F$34:$AQ$34,0),100),IFERROR(MATCH($A28,Za!$F$35:$AQ$35,0),100),IFERROR(MATCH($A28,Za!$F$36:$AQ$36,0),100),IFERROR(MATCH($A28,Za!$F$37:$AQ$37,0),100),IFERROR(MATCH($A28,Za!$F$38:$AQ$38,0),100),IFERROR(MATCH($A28,Za!$F$39:$AQ$39,0),100),IFERROR(MATCH($A28,Za!$F$40:$AQ$40,0),100),IFERROR(MATCH($A28,Za!$F$41:$AQ$41,0),100),IFERROR(MATCH($A28,Za!$F$42:$AQ$42,0),100),IFERROR(MATCH($A28,Za!$F$43:$AQ$43,0),100),IFERROR(MATCH($A28,Za!$F$44:$AQ$44,0),100),IFERROR(MATCH($A28,Za!$F$45:$AQ$45,0),100),IFERROR(MATCH($A28,Za!$F$46:$AQ$46,0),100),IFERROR(MATCH($A28,Za!$F$47:$AQ$47,0),100),IFERROR(MATCH($A28,Za!$F$48:$AQ$48,0),100),IFERROR(MATCH($A28,Za!$F$49:$AQ$49,0),100),IFERROR(MATCH($A28,Za!$F$50:$AQ$50,0),100),IFERROR(MATCH($A28,Za!$F$51:$AQ$51,0),100),IFERROR(MATCH($A28,Za!$F$52:$AQ$52,0),100),IFERROR(MATCH($A28,Za!$F$53:$AQ$53,0),100),IFERROR(MATCH($A28,Za!$F$54:$AQ$54,0),100),IFERROR(MATCH($A28,Za!$F$55:$AQ$55,0),100),IFERROR(MATCH($A28,Za!$F$56:$AQ$56,0),100),IFERROR(MATCH($A28,Za!$F$57:$AQ$57,0),100),IFERROR(MATCH($A28,Za!$F$58:$AQ$58,0),100),IFERROR(MATCH($A28,Za!$F$59:$AQ$59,0),100),IFERROR(MATCH($A28,Za!$F$60:$AQ$60,0),100),IFERROR(MATCH($A28,Za!$F$61:$AQ$61,0),100),IFERROR(MATCH($A28,Za!$F$62:$AQ$62,0),100),IFERROR(MATCH($A28,Za!$F$63:$AQ$63,0),100),39)</f>
        <v/>
      </c>
      <c r="N28" s="66">
        <f>IFERROR(IF(VLOOKUP(INDEX(Za!$B$12:$B$63,MATCH($A28,OFFSET( Za!$F$12:$F$63,0,(M28*48)-(IF(M28=7/24,9,IF(M28=12.5/24,9,IF(M28=14/24,9,IF(M28=15.5/24,9,10)))))),0),0),Za!$B$13:$C$63,2,FALSE)="TL","",INDEX(Za!$B$12:$B$63,MATCH($A28,OFFSET( Za!$F$12:$F$63,0,(M28*48)-(IF(M28=7/24,9,IF(M28=12.5/24,9,IF(M28=14/24,9,IF(M28=15.5/24,9,10)))))),0),0)),"")</f>
        <v/>
      </c>
      <c r="O28" s="857">
        <f>9/48+(1/48)*MIN(IFERROR(MATCH($A28,Zo!$F$13:$AQ$13,0),100),IFERROR(MATCH($A28,Zo!$F$14:$AQ$14,0),100),IFERROR(MATCH($A28,Zo!$F$15:$AQ$15,0),100),IFERROR(MATCH($A28,Zo!$F$16:$AQ$16,0),100),IFERROR(MATCH($A28,Zo!$F$17:$AQ$17,0),100),IFERROR(MATCH($A28,Zo!$F$18:$AQ$18,0),100),IFERROR(MATCH($A28,Zo!$F$19:$AQ$19,0),100),IFERROR(MATCH($A28,Zo!$F$20:$AQ$20,0),100),IFERROR(MATCH($A28,Zo!$F$21:$AQ$21,0),100),IFERROR(MATCH($A28,Zo!$F$22:$AQ$22,0),100),IFERROR(MATCH($A28,Zo!$F$23:$AQ$23,0),100),IFERROR(MATCH($A28,Zo!$F$24:$AQ$24,0),100),IFERROR(MATCH($A28,Zo!$F$25:$AQ$25,0),100),IFERROR(MATCH($A28,Zo!$F$26:$AQ$26,0),100),IFERROR(MATCH($A28,Zo!$F$27:$AQ$27,0),100),IFERROR(MATCH($A28,Zo!$F$28:$AQ$28,0),100),IFERROR(MATCH($A28,Zo!$F$29:$AQ$29,0),100),IFERROR(MATCH($A28,Zo!$F$30:$AQ$30,0),100),IFERROR(MATCH($A28,Zo!$F$31:$AQ$31,0),100),IFERROR(MATCH($A28,Zo!$F$32:$AQ$32,0),100),IFERROR(MATCH($A28,Zo!$F$33:$AQ$33,0),100),IFERROR(MATCH($A28,Zo!$F$34:$AQ$34,0),100),IFERROR(MATCH($A28,Zo!$F$35:$AQ$35,0),100),IFERROR(MATCH($A28,Zo!$F$36:$AQ$36,0),100),IFERROR(MATCH($A28,Zo!$F$37:$AQ$37,0),100),IFERROR(MATCH($A28,Zo!$F$38:$AQ$38,0),100),IFERROR(MATCH($A28,Zo!$F$39:$AQ$39,0),100),IFERROR(MATCH($A28,Zo!$F$40:$AQ$40,0),100),IFERROR(MATCH($A28,Zo!$F$41:$AQ$41,0),100),IFERROR(MATCH($A28,Zo!$F$42:$AQ$42,0),100),IFERROR(MATCH($A28,Zo!$F$43:$AQ$43,0),100),IFERROR(MATCH($A28,Zo!$F$44:$AQ$44,0),100),IFERROR(MATCH($A28,Zo!$F$45:$AQ$45,0),100),IFERROR(MATCH($A28,Zo!$F$46:$AQ$46,0),100),IFERROR(MATCH($A28,Zo!$F$47:$AQ$47,0),100),IFERROR(MATCH($A28,Zo!$F$48:$AQ$48,0),100),IFERROR(MATCH($A28,Zo!$F$49:$AQ$49,0),100),IFERROR(MATCH($A28,Zo!$F$50:$AQ$50,0),100),IFERROR(MATCH($A28,Zo!$F$51:$AQ$51,0),100),IFERROR(MATCH($A28,Zo!$F$52:$AQ$52,0),100),IFERROR(MATCH($A28,Zo!$F$53:$AQ$53,0),100),IFERROR(MATCH($A28,Zo!$F$54:$AQ$54,0),100),IFERROR(MATCH($A28,Zo!$F$55:$AQ$55,0),100),IFERROR(MATCH($A28,Zo!$F$56:$AQ$56,0),100),IFERROR(MATCH($A28,Zo!$F$57:$AQ$57,0),100),IFERROR(MATCH($A28,Zo!$F$58:$AQ$58,0),100),IFERROR(MATCH($A28,Zo!$F$59:$AQ$59,0),100),IFERROR(MATCH($A28,Zo!$F$60:$AQ$60,0),100),IFERROR(MATCH($A28,Zo!$F$61:$AQ$61,0),100),IFERROR(MATCH($A28,Zo!$F$62:$AQ$62,0),100),IFERROR(MATCH($A28,Zo!$F$63:$AQ$63,0),100),39)</f>
        <v/>
      </c>
      <c r="P28" s="66">
        <f>IFERROR(IF(VLOOKUP(INDEX(Zo!$B$12:$B$63,MATCH($A28,OFFSET( Zo!$F$12:$F$63,0,(O28*48)-(IF(O28=7/24,9,IF(O28=12.5/24,9,IF(O28=14/24,9,IF(O28=15.5/24,9,10)))))),0),0),Zo!$B$13:$C$63,2,FALSE)="TL","",INDEX(Zo!$B$12:$B$63,MATCH($A28,OFFSET( Zo!$F$12:$F$63,0,(O28*48)-(IF(O28=7/24,9,IF(O28=12.5/24,9,IF(O28=14/24,9,IF(O28=15.5/24,9,10)))))),0),0)),"")</f>
        <v/>
      </c>
    </row>
    <row r="29" ht="15" customHeight="1">
      <c r="A29" s="66" t="inlineStr">
        <is>
          <t>pw</t>
        </is>
      </c>
      <c r="B29" s="67">
        <f>A29</f>
        <v/>
      </c>
      <c r="C29" s="857">
        <f>9/48+(1/48)*MIN(IFERROR(MATCH($A29,Ma!$F$13:$AQ$13,0),100),IFERROR(MATCH($A29,Ma!$F$14:$AQ$14,0),100),IFERROR(MATCH($A29,Ma!$F$15:$AQ$15,0),100),IFERROR(MATCH($A29,Ma!$F$16:$AQ$16,0),100),IFERROR(MATCH($A29,Ma!$F$17:$AQ$17,0),100),IFERROR(MATCH($A29,Ma!$F$18:$AQ$18,0),100),IFERROR(MATCH($A29,Ma!$F$19:$AQ$19,0),100),IFERROR(MATCH($A29,Ma!$F$20:$AQ$20,0),100),IFERROR(MATCH($A29,Ma!$F$21:$AQ$21,0),100),IFERROR(MATCH($A29,Ma!$F$22:$AQ$22,0),100),IFERROR(MATCH($A29,Ma!$F$23:$AQ$23,0),100),IFERROR(MATCH($A29,Ma!$F$24:$AQ$24,0),100),IFERROR(MATCH($A29,Ma!$F$25:$AQ$25,0),100),IFERROR(MATCH($A29,Ma!$F$26:$AQ$26,0),100),IFERROR(MATCH($A29,Ma!$F$27:$AQ$27,0),100),IFERROR(MATCH($A29,Ma!$F$28:$AQ$28,0),100),IFERROR(MATCH($A29,Ma!$F$29:$AQ$29,0),100),IFERROR(MATCH($A29,Ma!$F$30:$AQ$30,0),100),IFERROR(MATCH($A29,Ma!$F$31:$AQ$31,0),100),IFERROR(MATCH($A29,Ma!$F$32:$AQ$32,0),100),IFERROR(MATCH($A29,Ma!$F$33:$AQ$33,0),100),IFERROR(MATCH($A29,Ma!$F$34:$AQ$34,0),100),IFERROR(MATCH($A29,Ma!$F$35:$AQ$35,0),100),IFERROR(MATCH($A29,Ma!$F$36:$AQ$36,0),100),IFERROR(MATCH($A29,Ma!$F$37:$AQ$37,0),100),IFERROR(MATCH($A29,Ma!$F$38:$AQ$38,0),100),IFERROR(MATCH($A29,Ma!$F$39:$AQ$39,0),100),IFERROR(MATCH($A29,Ma!$F$40:$AQ$40,0),100),IFERROR(MATCH($A29,Ma!$F$41:$AQ$41,0),100),IFERROR(MATCH($A29,Ma!$F$42:$AQ$42,0),100),IFERROR(MATCH($A29,Ma!$F$43:$AQ$43,0),100),IFERROR(MATCH($A29,Ma!$F$44:$AQ$44,0),100),IFERROR(MATCH($A29,Ma!$F$45:$AQ$45,0),100),IFERROR(MATCH($A29,Ma!$F$46:$AQ$46,0),100),IFERROR(MATCH($A29,Ma!$F$47:$AQ$47,0),100),IFERROR(MATCH($A29,Ma!$F$48:$AQ$48,0),100),IFERROR(MATCH($A29,Ma!$F$49:$AQ$49,0),100),IFERROR(MATCH($A29,Ma!$F$50:$AQ$50,0),100),IFERROR(MATCH($A29,Ma!$F$51:$AQ$51,0),100),IFERROR(MATCH($A29,Ma!$F$52:$AQ$52,0),100),IFERROR(MATCH($A29,Ma!$F$53:$AQ$53,0),100),IFERROR(MATCH($A29,Ma!$F$54:$AQ$54,0),100),IFERROR(MATCH($A29,Ma!$F$55:$AQ$55,0),100),IFERROR(MATCH($A29,Ma!$F$56:$AQ$56,0),100),IFERROR(MATCH($A29,Ma!$F$57:$AQ$57,0),100),IFERROR(MATCH($A29,Ma!$F$58:$AQ$58,0),100),IFERROR(MATCH($A29,Ma!$F$59:$AQ$59,0),100),IFERROR(MATCH($A29,Ma!$F$60:$AQ$60,0),100),IFERROR(MATCH($A29,Ma!$F$61:$AQ$61,0),100),IFERROR(MATCH($A29,Ma!$F$62:$AQ$62,0),100),IFERROR(MATCH($A29,Ma!$F$63:$AQ$63,0),100),39)</f>
        <v/>
      </c>
      <c r="D29" s="66">
        <f>IFERROR(IF(VLOOKUP(INDEX(Ma!$B$12:$B$63,MATCH($A29,OFFSET( Ma!$F$12:$F$63,0,(C29*48)-(IF(C29=7/24,9,IF(C29=12.5/24,9,IF(C29=14/24,9,IF(C29=15.5/24,9,10)))))),0),0),Ma!$B$13:$C$63,2,FALSE)="TL","",INDEX(Ma!$B$12:$B$63,MATCH($A29,OFFSET( Ma!$F$12:$F$63,0,(C29*48)-(IF(C29=7/24,9,IF(C29=12.5/24,9,IF(C29=14/24,9,IF(C29=15.5/24,9,10)))))),0),0)),"")</f>
        <v/>
      </c>
      <c r="E29" s="857">
        <f>9/48+(1/48)*MIN(IFERROR(MATCH($A29,Di!$F$13:$AQ$13,0),100),IFERROR(MATCH($A29,Di!$F$14:$AQ$14,0),100),IFERROR(MATCH($A29,Di!$F$15:$AQ$15,0),100),IFERROR(MATCH($A29,Di!$F$16:$AQ$16,0),100),IFERROR(MATCH($A29,Di!$F$17:$AQ$17,0),100),IFERROR(MATCH($A29,Di!$F$18:$AQ$18,0),100),IFERROR(MATCH($A29,Di!$F$19:$AQ$19,0),100),IFERROR(MATCH($A29,Di!$F$20:$AQ$20,0),100),IFERROR(MATCH($A29,Di!$F$21:$AQ$21,0),100),IFERROR(MATCH($A29,Di!$F$22:$AQ$22,0),100),IFERROR(MATCH($A29,Di!$F$23:$AQ$23,0),100),IFERROR(MATCH($A29,Di!$F$24:$AQ$24,0),100),IFERROR(MATCH($A29,Di!$F$25:$AQ$25,0),100),IFERROR(MATCH($A29,Di!$F$26:$AQ$26,0),100),IFERROR(MATCH($A29,Di!$F$27:$AQ$27,0),100),IFERROR(MATCH($A29,Di!$F$28:$AQ$28,0),100),IFERROR(MATCH($A29,Di!$F$29:$AQ$29,0),100),IFERROR(MATCH($A29,Di!$F$30:$AQ$30,0),100),IFERROR(MATCH($A29,Di!$F$31:$AQ$31,0),100),IFERROR(MATCH($A29,Di!$F$32:$AQ$32,0),100),IFERROR(MATCH($A29,Di!$F$33:$AQ$33,0),100),IFERROR(MATCH($A29,Di!$F$34:$AQ$34,0),100),IFERROR(MATCH($A29,Di!$F$35:$AQ$35,0),100),IFERROR(MATCH($A29,Di!$F$36:$AQ$36,0),100),IFERROR(MATCH($A29,Di!$F$37:$AQ$37,0),100),IFERROR(MATCH($A29,Di!$F$38:$AQ$38,0),100),IFERROR(MATCH($A29,Di!$F$39:$AQ$39,0),100),IFERROR(MATCH($A29,Di!$F$40:$AQ$40,0),100),IFERROR(MATCH($A29,Di!$F$41:$AQ$41,0),100),IFERROR(MATCH($A29,Di!$F$42:$AQ$42,0),100),IFERROR(MATCH($A29,Di!$F$43:$AQ$43,0),100),IFERROR(MATCH($A29,Di!$F$44:$AQ$44,0),100),IFERROR(MATCH($A29,Di!$F$45:$AQ$45,0),100),IFERROR(MATCH($A29,Di!$F$46:$AQ$46,0),100),IFERROR(MATCH($A29,Di!$F$47:$AQ$47,0),100),IFERROR(MATCH($A29,Di!$F$48:$AQ$48,0),100),IFERROR(MATCH($A29,Di!$F$49:$AQ$49,0),100),IFERROR(MATCH($A29,Di!$F$50:$AQ$50,0),100),IFERROR(MATCH($A29,Di!$F$51:$AQ$51,0),100),IFERROR(MATCH($A29,Di!$F$52:$AQ$52,0),100),IFERROR(MATCH($A29,Di!$F$53:$AQ$53,0),100),IFERROR(MATCH($A29,Di!$F$54:$AQ$54,0),100),IFERROR(MATCH($A29,Di!$F$55:$AQ$55,0),100),IFERROR(MATCH($A29,Di!$F$56:$AQ$56,0),100),IFERROR(MATCH($A29,Di!$F$57:$AQ$57,0),100),IFERROR(MATCH($A29,Di!$F$58:$AQ$58,0),100),IFERROR(MATCH($A29,Di!$F$59:$AQ$59,0),100),IFERROR(MATCH($A29,Di!$F$60:$AQ$60,0),100),IFERROR(MATCH($A29,Di!$F$61:$AQ$61,0),100),IFERROR(MATCH($A29,Di!$F$62:$AQ$62,0),100),IFERROR(MATCH($A29,Di!$F$63:$AQ$63,0),100),39)</f>
        <v/>
      </c>
      <c r="F29" s="66">
        <f>IFERROR(IF(VLOOKUP(INDEX(Di!$B$12:$B$63,MATCH($A29,OFFSET( Di!$F$12:$F$63,0,(E29*48)-(IF(E29=7/24,9,IF(E29=12.5/24,9,IF(E29=14/24,9,IF(E29=15.5/24,9,10)))))),0),0),Di!$B$13:$C$63,2,FALSE)="TL","",INDEX(Di!$B$12:$B$63,MATCH($A29,OFFSET( Di!$F$12:$F$63,0,(E29*48)-(IF(E29=7/24,9,IF(E29=12.5/24,9,IF(E29=14/24,9,IF(E29=15.5/24,9,10)))))),0),0)),"")</f>
        <v/>
      </c>
      <c r="G29" s="857">
        <f>9/48+(1/48)*MIN(IFERROR(MATCH($A29,Wo!$F$13:$AQ$13,0),100),IFERROR(MATCH($A29,Wo!$F$14:$AQ$14,0),100),IFERROR(MATCH($A29,Wo!$F$15:$AQ$15,0),100),IFERROR(MATCH($A29,Wo!$F$16:$AQ$16,0),100),IFERROR(MATCH($A29,Wo!$F$17:$AQ$17,0),100),IFERROR(MATCH($A29,Wo!$F$18:$AQ$18,0),100),IFERROR(MATCH($A29,Wo!$F$19:$AQ$19,0),100),IFERROR(MATCH($A29,Wo!$F$20:$AQ$20,0),100),IFERROR(MATCH($A29,Wo!$F$21:$AQ$21,0),100),IFERROR(MATCH($A29,Wo!$F$22:$AQ$22,0),100),IFERROR(MATCH($A29,Wo!$F$23:$AQ$23,0),100),IFERROR(MATCH($A29,Wo!$F$24:$AQ$24,0),100),IFERROR(MATCH($A29,Wo!$F$25:$AQ$25,0),100),IFERROR(MATCH($A29,Wo!$F$26:$AQ$26,0),100),IFERROR(MATCH($A29,Wo!$F$27:$AQ$27,0),100),IFERROR(MATCH($A29,Wo!$F$28:$AQ$28,0),100),IFERROR(MATCH($A29,Wo!$F$29:$AQ$29,0),100),IFERROR(MATCH($A29,Wo!$F$30:$AQ$30,0),100),IFERROR(MATCH($A29,Wo!$F$31:$AQ$31,0),100),IFERROR(MATCH($A29,Wo!$F$32:$AQ$32,0),100),IFERROR(MATCH($A29,Wo!$F$33:$AQ$33,0),100),IFERROR(MATCH($A29,Wo!$F$34:$AQ$34,0),100),IFERROR(MATCH($A29,Wo!$F$35:$AQ$35,0),100),IFERROR(MATCH($A29,Wo!$F$36:$AQ$36,0),100),IFERROR(MATCH($A29,Wo!$F$37:$AQ$37,0),100),IFERROR(MATCH($A29,Wo!$F$38:$AQ$38,0),100),IFERROR(MATCH($A29,Wo!$F$39:$AQ$39,0),100),IFERROR(MATCH($A29,Wo!$F$40:$AQ$40,0),100),IFERROR(MATCH($A29,Wo!$F$41:$AQ$41,0),100),IFERROR(MATCH($A29,Wo!$F$42:$AQ$42,0),100),IFERROR(MATCH($A29,Wo!$F$43:$AQ$43,0),100),IFERROR(MATCH($A29,Wo!$F$44:$AQ$44,0),100),IFERROR(MATCH($A29,Wo!$F$45:$AQ$45,0),100),IFERROR(MATCH($A29,Wo!$F$46:$AQ$46,0),100),IFERROR(MATCH($A29,Wo!$F$47:$AQ$47,0),100),IFERROR(MATCH($A29,Wo!$F$48:$AQ$48,0),100),IFERROR(MATCH($A29,Wo!$F$49:$AQ$49,0),100),IFERROR(MATCH($A29,Wo!$F$50:$AQ$50,0),100),IFERROR(MATCH($A29,Wo!$F$51:$AQ$51,0),100),IFERROR(MATCH($A29,Wo!$F$52:$AQ$52,0),100),IFERROR(MATCH($A29,Wo!$F$53:$AQ$53,0),100),IFERROR(MATCH($A29,Wo!$F$54:$AQ$54,0),100),IFERROR(MATCH($A29,Wo!$F$55:$AQ$55,0),100),IFERROR(MATCH($A29,Wo!$F$56:$AQ$56,0),100),IFERROR(MATCH($A29,Wo!$F$57:$AQ$57,0),100),IFERROR(MATCH($A29,Wo!$F$58:$AQ$58,0),100),IFERROR(MATCH($A29,Wo!$F$59:$AQ$59,0),100),IFERROR(MATCH($A29,Wo!$F$60:$AQ$60,0),100),IFERROR(MATCH($A29,Wo!$F$61:$AQ$61,0),100),IFERROR(MATCH($A29,Wo!$F$62:$AQ$62,0),100),IFERROR(MATCH($A29,Wo!$F$63:$AQ$63,0),100),39)</f>
        <v/>
      </c>
      <c r="H29" s="66">
        <f>IFERROR(IF(VLOOKUP(INDEX(Wo!$B$12:$B$63,MATCH($A29,OFFSET( Wo!$F$12:$F$63,0,(G29*48)-(IF(G29=7/24,9,IF(G29=12.5/24,9,IF(G29=14/24,9,IF(G29=15.5/24,9,10)))))),0),0),Wo!$B$13:$C$63,2,FALSE)="TL","",INDEX(Wo!$B$12:$B$63,MATCH($A29,OFFSET( Wo!$F$12:$F$63,0,(G29*48)-(IF(G29=7/24,9,IF(G29=12.5/24,9,IF(G29=14/24,9,IF(G29=15.5/24,9,10)))))),0),0)),"")</f>
        <v/>
      </c>
      <c r="I29" s="857">
        <f>9/48+(1/48)*MIN(IFERROR(MATCH($A29,Do!$F$13:$AQ$13,0),100),IFERROR(MATCH($A29,Do!$F$14:$AQ$14,0),100),IFERROR(MATCH($A29,Do!$F$15:$AQ$15,0),100),IFERROR(MATCH($A29,Do!$F$16:$AQ$16,0),100),IFERROR(MATCH($A29,Do!$F$17:$AQ$17,0),100),IFERROR(MATCH($A29,Do!$F$18:$AQ$18,0),100),IFERROR(MATCH($A29,Do!$F$19:$AQ$19,0),100),IFERROR(MATCH($A29,Do!$F$20:$AQ$20,0),100),IFERROR(MATCH($A29,Do!$F$21:$AQ$21,0),100),IFERROR(MATCH($A29,Do!$F$22:$AQ$22,0),100),IFERROR(MATCH($A29,Do!$F$23:$AQ$23,0),100),IFERROR(MATCH($A29,Do!$F$24:$AQ$24,0),100),IFERROR(MATCH($A29,Do!$F$25:$AQ$25,0),100),IFERROR(MATCH($A29,Do!$F$26:$AQ$26,0),100),IFERROR(MATCH($A29,Do!$F$27:$AQ$27,0),100),IFERROR(MATCH($A29,Do!$F$28:$AQ$28,0),100),IFERROR(MATCH($A29,Do!$F$29:$AQ$29,0),100),IFERROR(MATCH($A29,Do!$F$30:$AQ$30,0),100),IFERROR(MATCH($A29,Do!$F$31:$AQ$31,0),100),IFERROR(MATCH($A29,Do!$F$32:$AQ$32,0),100),IFERROR(MATCH($A29,Do!$F$33:$AQ$33,0),100),IFERROR(MATCH($A29,Do!$F$34:$AQ$34,0),100),IFERROR(MATCH($A29,Do!$F$35:$AQ$35,0),100),IFERROR(MATCH($A29,Do!$F$36:$AQ$36,0),100),IFERROR(MATCH($A29,Do!$F$37:$AQ$37,0),100),IFERROR(MATCH($A29,Do!$F$38:$AQ$38,0),100),IFERROR(MATCH($A29,Do!$F$39:$AQ$39,0),100),IFERROR(MATCH($A29,Do!$F$40:$AQ$40,0),100),IFERROR(MATCH($A29,Do!$F$41:$AQ$41,0),100),IFERROR(MATCH($A29,Do!$F$42:$AQ$42,0),100),IFERROR(MATCH($A29,Do!$F$43:$AQ$43,0),100),IFERROR(MATCH($A29,Do!$F$44:$AQ$44,0),100),IFERROR(MATCH($A29,Do!$F$45:$AQ$45,0),100),IFERROR(MATCH($A29,Do!$F$46:$AQ$46,0),100),IFERROR(MATCH($A29,Do!$F$47:$AQ$47,0),100),IFERROR(MATCH($A29,Do!$F$48:$AQ$48,0),100),IFERROR(MATCH($A29,Do!$F$49:$AQ$49,0),100),IFERROR(MATCH($A29,Do!$F$50:$AQ$50,0),100),IFERROR(MATCH($A29,Do!$F$51:$AQ$51,0),100),IFERROR(MATCH($A29,Do!$F$52:$AQ$52,0),100),IFERROR(MATCH($A29,Do!$F$53:$AQ$53,0),100),IFERROR(MATCH($A29,Do!$F$54:$AQ$54,0),100),IFERROR(MATCH($A29,Do!$F$55:$AQ$55,0),100),IFERROR(MATCH($A29,Do!$F$56:$AQ$56,0),100),IFERROR(MATCH($A29,Do!$F$57:$AQ$57,0),100),IFERROR(MATCH($A29,Do!$F$58:$AQ$58,0),100),IFERROR(MATCH($A29,Do!$F$59:$AQ$59,0),100),IFERROR(MATCH($A29,Do!$F$60:$AQ$60,0),100),IFERROR(MATCH($A29,Do!$F$61:$AQ$61,0),100),IFERROR(MATCH($A29,Do!$F$62:$AQ$62,0),100),IFERROR(MATCH($A29,Do!$F$63:$AQ$63,0),100),39)</f>
        <v/>
      </c>
      <c r="J29" s="66">
        <f>IFERROR(IF(VLOOKUP(INDEX(Do!$B$12:$B$63,MATCH($A29,OFFSET( Do!$F$12:$F$63,0,(I29*48)-(IF(I29=7/24,9,IF(I29=12.5/24,9,IF(I29=14/24,9,IF(I29=15.5/24,9,10)))))),0),0),Do!$B$13:$C$63,2,FALSE)="TL","",INDEX(Do!$B$12:$B$63,MATCH($A29,OFFSET( Do!$F$12:$F$63,0,(I29*48)-(IF(I29=7/24,9,IF(I29=12.5/24,9,IF(I29=14/24,9,IF(I29=15.5/24,9,10)))))),0),0)),"")</f>
        <v/>
      </c>
      <c r="K29" s="857">
        <f>9/48+(1/48)*MIN(IFERROR(MATCH($A29,Vr!$F$13:$AQ$13,0),100),IFERROR(MATCH($A29,Vr!$F$14:$AQ$14,0),100),IFERROR(MATCH($A29,Vr!$F$15:$AQ$15,0),100),IFERROR(MATCH($A29,Vr!$F$16:$AQ$16,0),100),IFERROR(MATCH($A29,Vr!$F$17:$AQ$17,0),100),IFERROR(MATCH($A29,Vr!$F$18:$AQ$18,0),100),IFERROR(MATCH($A29,Vr!$F$19:$AQ$19,0),100),IFERROR(MATCH($A29,Vr!$F$20:$AQ$20,0),100),IFERROR(MATCH($A29,Vr!$F$21:$AQ$21,0),100),IFERROR(MATCH($A29,Vr!$F$22:$AQ$22,0),100),IFERROR(MATCH($A29,Vr!$F$23:$AQ$23,0),100),IFERROR(MATCH($A29,Vr!$F$24:$AQ$24,0),100),IFERROR(MATCH($A29,Vr!$F$25:$AQ$25,0),100),IFERROR(MATCH($A29,Vr!$F$26:$AQ$26,0),100),IFERROR(MATCH($A29,Vr!$F$27:$AQ$27,0),100),IFERROR(MATCH($A29,Vr!$F$28:$AQ$28,0),100),IFERROR(MATCH($A29,Vr!$F$29:$AQ$29,0),100),IFERROR(MATCH($A29,Vr!$F$30:$AQ$30,0),100),IFERROR(MATCH($A29,Vr!$F$31:$AQ$31,0),100),IFERROR(MATCH($A29,Vr!$F$32:$AQ$32,0),100),IFERROR(MATCH($A29,Vr!$F$33:$AQ$33,0),100),IFERROR(MATCH($A29,Vr!$F$34:$AQ$34,0),100),IFERROR(MATCH($A29,Vr!$F$35:$AQ$35,0),100),IFERROR(MATCH($A29,Vr!$F$36:$AQ$36,0),100),IFERROR(MATCH($A29,Vr!$F$37:$AQ$37,0),100),IFERROR(MATCH($A29,Vr!$F$38:$AQ$38,0),100),IFERROR(MATCH($A29,Vr!$F$39:$AQ$39,0),100),IFERROR(MATCH($A29,Vr!$F$40:$AQ$40,0),100),IFERROR(MATCH($A29,Vr!$F$41:$AQ$41,0),100),IFERROR(MATCH($A29,Vr!$F$42:$AQ$42,0),100),IFERROR(MATCH($A29,Vr!$F$43:$AQ$43,0),100),IFERROR(MATCH($A29,Vr!$F$44:$AQ$44,0),100),IFERROR(MATCH($A29,Vr!$F$45:$AQ$45,0),100),IFERROR(MATCH($A29,Vr!$F$46:$AQ$46,0),100),IFERROR(MATCH($A29,Vr!$F$47:$AQ$47,0),100),IFERROR(MATCH($A29,Vr!$F$48:$AQ$48,0),100),IFERROR(MATCH($A29,Vr!$F$49:$AQ$49,0),100),IFERROR(MATCH($A29,Vr!$F$50:$AQ$50,0),100),IFERROR(MATCH($A29,Vr!$F$51:$AQ$51,0),100),IFERROR(MATCH($A29,Vr!$F$52:$AQ$52,0),100),IFERROR(MATCH($A29,Vr!$F$53:$AQ$53,0),100),IFERROR(MATCH($A29,Vr!$F$54:$AQ$54,0),100),IFERROR(MATCH($A29,Vr!$F$55:$AQ$55,0),100),IFERROR(MATCH($A29,Vr!$F$56:$AQ$56,0),100),IFERROR(MATCH($A29,Vr!$F$57:$AQ$57,0),100),IFERROR(MATCH($A29,Vr!$F$58:$AQ$58,0),100),IFERROR(MATCH($A29,Vr!$F$59:$AQ$59,0),100),IFERROR(MATCH($A29,Vr!$F$60:$AQ$60,0),100),IFERROR(MATCH($A29,Vr!$F$61:$AQ$61,0),100),IFERROR(MATCH($A29,Vr!$F$62:$AQ$62,0),100),IFERROR(MATCH($A29,Vr!$F$63:$AQ$63,0),100),39)</f>
        <v/>
      </c>
      <c r="L29" s="66">
        <f>IFERROR(IF(VLOOKUP(INDEX(Vr!$B$12:$B$63,MATCH($A29,OFFSET( Vr!$F$12:$F$63,0,(K29*48)-(IF(K29=7/24,9,IF(K29=12.5/24,9,IF(K29=14/24,9,IF(K29=15.5/24,9,10)))))),0),0),Vr!$B$13:$C$63,2,FALSE)="TL","",INDEX(Vr!$B$12:$B$63,MATCH($A29,OFFSET( Vr!$F$12:$F$63,0,(K29*48)-(IF(K29=7/24,9,IF(K29=12.5/24,9,IF(K29=14/24,9,IF(K29=15.5/24,9,10)))))),0),0)),"")</f>
        <v/>
      </c>
      <c r="M29" s="857">
        <f>9/48+(1/48)*MIN(IFERROR(MATCH($A29,Za!$F$13:$AQ$13,0),100),IFERROR(MATCH($A29,Za!$F$14:$AQ$14,0),100),IFERROR(MATCH($A29,Za!$F$15:$AQ$15,0),100),IFERROR(MATCH($A29,Za!$F$16:$AQ$16,0),100),IFERROR(MATCH($A29,Za!$F$17:$AQ$17,0),100),IFERROR(MATCH($A29,Za!$F$18:$AQ$18,0),100),IFERROR(MATCH($A29,Za!$F$19:$AQ$19,0),100),IFERROR(MATCH($A29,Za!$F$20:$AQ$20,0),100),IFERROR(MATCH($A29,Za!$F$21:$AQ$21,0),100),IFERROR(MATCH($A29,Za!$F$22:$AQ$22,0),100),IFERROR(MATCH($A29,Za!$F$23:$AQ$23,0),100),IFERROR(MATCH($A29,Za!$F$24:$AQ$24,0),100),IFERROR(MATCH($A29,Za!$F$25:$AQ$25,0),100),IFERROR(MATCH($A29,Za!$F$26:$AQ$26,0),100),IFERROR(MATCH($A29,Za!$F$27:$AQ$27,0),100),IFERROR(MATCH($A29,Za!$F$28:$AQ$28,0),100),IFERROR(MATCH($A29,Za!$F$29:$AQ$29,0),100),IFERROR(MATCH($A29,Za!$F$30:$AQ$30,0),100),IFERROR(MATCH($A29,Za!$F$31:$AQ$31,0),100),IFERROR(MATCH($A29,Za!$F$32:$AQ$32,0),100),IFERROR(MATCH($A29,Za!$F$33:$AQ$33,0),100),IFERROR(MATCH($A29,Za!$F$34:$AQ$34,0),100),IFERROR(MATCH($A29,Za!$F$35:$AQ$35,0),100),IFERROR(MATCH($A29,Za!$F$36:$AQ$36,0),100),IFERROR(MATCH($A29,Za!$F$37:$AQ$37,0),100),IFERROR(MATCH($A29,Za!$F$38:$AQ$38,0),100),IFERROR(MATCH($A29,Za!$F$39:$AQ$39,0),100),IFERROR(MATCH($A29,Za!$F$40:$AQ$40,0),100),IFERROR(MATCH($A29,Za!$F$41:$AQ$41,0),100),IFERROR(MATCH($A29,Za!$F$42:$AQ$42,0),100),IFERROR(MATCH($A29,Za!$F$43:$AQ$43,0),100),IFERROR(MATCH($A29,Za!$F$44:$AQ$44,0),100),IFERROR(MATCH($A29,Za!$F$45:$AQ$45,0),100),IFERROR(MATCH($A29,Za!$F$46:$AQ$46,0),100),IFERROR(MATCH($A29,Za!$F$47:$AQ$47,0),100),IFERROR(MATCH($A29,Za!$F$48:$AQ$48,0),100),IFERROR(MATCH($A29,Za!$F$49:$AQ$49,0),100),IFERROR(MATCH($A29,Za!$F$50:$AQ$50,0),100),IFERROR(MATCH($A29,Za!$F$51:$AQ$51,0),100),IFERROR(MATCH($A29,Za!$F$52:$AQ$52,0),100),IFERROR(MATCH($A29,Za!$F$53:$AQ$53,0),100),IFERROR(MATCH($A29,Za!$F$54:$AQ$54,0),100),IFERROR(MATCH($A29,Za!$F$55:$AQ$55,0),100),IFERROR(MATCH($A29,Za!$F$56:$AQ$56,0),100),IFERROR(MATCH($A29,Za!$F$57:$AQ$57,0),100),IFERROR(MATCH($A29,Za!$F$58:$AQ$58,0),100),IFERROR(MATCH($A29,Za!$F$59:$AQ$59,0),100),IFERROR(MATCH($A29,Za!$F$60:$AQ$60,0),100),IFERROR(MATCH($A29,Za!$F$61:$AQ$61,0),100),IFERROR(MATCH($A29,Za!$F$62:$AQ$62,0),100),IFERROR(MATCH($A29,Za!$F$63:$AQ$63,0),100),39)</f>
        <v/>
      </c>
      <c r="N29" s="66">
        <f>IFERROR(IF(VLOOKUP(INDEX(Za!$B$12:$B$63,MATCH($A29,OFFSET( Za!$F$12:$F$63,0,(M29*48)-(IF(M29=7/24,9,IF(M29=12.5/24,9,IF(M29=14/24,9,IF(M29=15.5/24,9,10)))))),0),0),Za!$B$13:$C$63,2,FALSE)="TL","",INDEX(Za!$B$12:$B$63,MATCH($A29,OFFSET( Za!$F$12:$F$63,0,(M29*48)-(IF(M29=7/24,9,IF(M29=12.5/24,9,IF(M29=14/24,9,IF(M29=15.5/24,9,10)))))),0),0)),"")</f>
        <v/>
      </c>
      <c r="O29" s="857">
        <f>9/48+(1/48)*MIN(IFERROR(MATCH($A29,Zo!$F$13:$AQ$13,0),100),IFERROR(MATCH($A29,Zo!$F$14:$AQ$14,0),100),IFERROR(MATCH($A29,Zo!$F$15:$AQ$15,0),100),IFERROR(MATCH($A29,Zo!$F$16:$AQ$16,0),100),IFERROR(MATCH($A29,Zo!$F$17:$AQ$17,0),100),IFERROR(MATCH($A29,Zo!$F$18:$AQ$18,0),100),IFERROR(MATCH($A29,Zo!$F$19:$AQ$19,0),100),IFERROR(MATCH($A29,Zo!$F$20:$AQ$20,0),100),IFERROR(MATCH($A29,Zo!$F$21:$AQ$21,0),100),IFERROR(MATCH($A29,Zo!$F$22:$AQ$22,0),100),IFERROR(MATCH($A29,Zo!$F$23:$AQ$23,0),100),IFERROR(MATCH($A29,Zo!$F$24:$AQ$24,0),100),IFERROR(MATCH($A29,Zo!$F$25:$AQ$25,0),100),IFERROR(MATCH($A29,Zo!$F$26:$AQ$26,0),100),IFERROR(MATCH($A29,Zo!$F$27:$AQ$27,0),100),IFERROR(MATCH($A29,Zo!$F$28:$AQ$28,0),100),IFERROR(MATCH($A29,Zo!$F$29:$AQ$29,0),100),IFERROR(MATCH($A29,Zo!$F$30:$AQ$30,0),100),IFERROR(MATCH($A29,Zo!$F$31:$AQ$31,0),100),IFERROR(MATCH($A29,Zo!$F$32:$AQ$32,0),100),IFERROR(MATCH($A29,Zo!$F$33:$AQ$33,0),100),IFERROR(MATCH($A29,Zo!$F$34:$AQ$34,0),100),IFERROR(MATCH($A29,Zo!$F$35:$AQ$35,0),100),IFERROR(MATCH($A29,Zo!$F$36:$AQ$36,0),100),IFERROR(MATCH($A29,Zo!$F$37:$AQ$37,0),100),IFERROR(MATCH($A29,Zo!$F$38:$AQ$38,0),100),IFERROR(MATCH($A29,Zo!$F$39:$AQ$39,0),100),IFERROR(MATCH($A29,Zo!$F$40:$AQ$40,0),100),IFERROR(MATCH($A29,Zo!$F$41:$AQ$41,0),100),IFERROR(MATCH($A29,Zo!$F$42:$AQ$42,0),100),IFERROR(MATCH($A29,Zo!$F$43:$AQ$43,0),100),IFERROR(MATCH($A29,Zo!$F$44:$AQ$44,0),100),IFERROR(MATCH($A29,Zo!$F$45:$AQ$45,0),100),IFERROR(MATCH($A29,Zo!$F$46:$AQ$46,0),100),IFERROR(MATCH($A29,Zo!$F$47:$AQ$47,0),100),IFERROR(MATCH($A29,Zo!$F$48:$AQ$48,0),100),IFERROR(MATCH($A29,Zo!$F$49:$AQ$49,0),100),IFERROR(MATCH($A29,Zo!$F$50:$AQ$50,0),100),IFERROR(MATCH($A29,Zo!$F$51:$AQ$51,0),100),IFERROR(MATCH($A29,Zo!$F$52:$AQ$52,0),100),IFERROR(MATCH($A29,Zo!$F$53:$AQ$53,0),100),IFERROR(MATCH($A29,Zo!$F$54:$AQ$54,0),100),IFERROR(MATCH($A29,Zo!$F$55:$AQ$55,0),100),IFERROR(MATCH($A29,Zo!$F$56:$AQ$56,0),100),IFERROR(MATCH($A29,Zo!$F$57:$AQ$57,0),100),IFERROR(MATCH($A29,Zo!$F$58:$AQ$58,0),100),IFERROR(MATCH($A29,Zo!$F$59:$AQ$59,0),100),IFERROR(MATCH($A29,Zo!$F$60:$AQ$60,0),100),IFERROR(MATCH($A29,Zo!$F$61:$AQ$61,0),100),IFERROR(MATCH($A29,Zo!$F$62:$AQ$62,0),100),IFERROR(MATCH($A29,Zo!$F$63:$AQ$63,0),100),39)</f>
        <v/>
      </c>
      <c r="P29" s="66">
        <f>IFERROR(IF(VLOOKUP(INDEX(Zo!$B$12:$B$63,MATCH($A29,OFFSET( Zo!$F$12:$F$63,0,(O29*48)-(IF(O29=7/24,9,IF(O29=12.5/24,9,IF(O29=14/24,9,IF(O29=15.5/24,9,10)))))),0),0),Zo!$B$13:$C$63,2,FALSE)="TL","",INDEX(Zo!$B$12:$B$63,MATCH($A29,OFFSET( Zo!$F$12:$F$63,0,(O29*48)-(IF(O29=7/24,9,IF(O29=12.5/24,9,IF(O29=14/24,9,IF(O29=15.5/24,9,10)))))),0),0)),"")</f>
        <v/>
      </c>
    </row>
    <row r="30" ht="15" customHeight="1">
      <c r="A30" s="66" t="inlineStr">
        <is>
          <t>wap</t>
        </is>
      </c>
      <c r="B30" s="67">
        <f>A30</f>
        <v/>
      </c>
      <c r="C30" s="857">
        <f>9/48+(1/48)*MIN(IFERROR(MATCH($A30,Ma!$F$13:$AQ$13,0),100),IFERROR(MATCH($A30,Ma!$F$14:$AQ$14,0),100),IFERROR(MATCH($A30,Ma!$F$15:$AQ$15,0),100),IFERROR(MATCH($A30,Ma!$F$16:$AQ$16,0),100),IFERROR(MATCH($A30,Ma!$F$17:$AQ$17,0),100),IFERROR(MATCH($A30,Ma!$F$18:$AQ$18,0),100),IFERROR(MATCH($A30,Ma!$F$19:$AQ$19,0),100),IFERROR(MATCH($A30,Ma!$F$20:$AQ$20,0),100),IFERROR(MATCH($A30,Ma!$F$21:$AQ$21,0),100),IFERROR(MATCH($A30,Ma!$F$22:$AQ$22,0),100),IFERROR(MATCH($A30,Ma!$F$23:$AQ$23,0),100),IFERROR(MATCH($A30,Ma!$F$24:$AQ$24,0),100),IFERROR(MATCH($A30,Ma!$F$25:$AQ$25,0),100),IFERROR(MATCH($A30,Ma!$F$26:$AQ$26,0),100),IFERROR(MATCH($A30,Ma!$F$27:$AQ$27,0),100),IFERROR(MATCH($A30,Ma!$F$28:$AQ$28,0),100),IFERROR(MATCH($A30,Ma!$F$29:$AQ$29,0),100),IFERROR(MATCH($A30,Ma!$F$30:$AQ$30,0),100),IFERROR(MATCH($A30,Ma!$F$31:$AQ$31,0),100),IFERROR(MATCH($A30,Ma!$F$32:$AQ$32,0),100),IFERROR(MATCH($A30,Ma!$F$33:$AQ$33,0),100),IFERROR(MATCH($A30,Ma!$F$34:$AQ$34,0),100),IFERROR(MATCH($A30,Ma!$F$35:$AQ$35,0),100),IFERROR(MATCH($A30,Ma!$F$36:$AQ$36,0),100),IFERROR(MATCH($A30,Ma!$F$37:$AQ$37,0),100),IFERROR(MATCH($A30,Ma!$F$38:$AQ$38,0),100),IFERROR(MATCH($A30,Ma!$F$39:$AQ$39,0),100),IFERROR(MATCH($A30,Ma!$F$40:$AQ$40,0),100),IFERROR(MATCH($A30,Ma!$F$41:$AQ$41,0),100),IFERROR(MATCH($A30,Ma!$F$42:$AQ$42,0),100),IFERROR(MATCH($A30,Ma!$F$43:$AQ$43,0),100),IFERROR(MATCH($A30,Ma!$F$44:$AQ$44,0),100),IFERROR(MATCH($A30,Ma!$F$45:$AQ$45,0),100),IFERROR(MATCH($A30,Ma!$F$46:$AQ$46,0),100),IFERROR(MATCH($A30,Ma!$F$47:$AQ$47,0),100),IFERROR(MATCH($A30,Ma!$F$48:$AQ$48,0),100),IFERROR(MATCH($A30,Ma!$F$49:$AQ$49,0),100),IFERROR(MATCH($A30,Ma!$F$50:$AQ$50,0),100),IFERROR(MATCH($A30,Ma!$F$51:$AQ$51,0),100),IFERROR(MATCH($A30,Ma!$F$52:$AQ$52,0),100),IFERROR(MATCH($A30,Ma!$F$53:$AQ$53,0),100),IFERROR(MATCH($A30,Ma!$F$54:$AQ$54,0),100),IFERROR(MATCH($A30,Ma!$F$55:$AQ$55,0),100),IFERROR(MATCH($A30,Ma!$F$56:$AQ$56,0),100),IFERROR(MATCH($A30,Ma!$F$57:$AQ$57,0),100),IFERROR(MATCH($A30,Ma!$F$58:$AQ$58,0),100),IFERROR(MATCH($A30,Ma!$F$59:$AQ$59,0),100),IFERROR(MATCH($A30,Ma!$F$60:$AQ$60,0),100),IFERROR(MATCH($A30,Ma!$F$61:$AQ$61,0),100),IFERROR(MATCH($A30,Ma!$F$62:$AQ$62,0),100),IFERROR(MATCH($A30,Ma!$F$63:$AQ$63,0),100),39)</f>
        <v/>
      </c>
      <c r="D30" s="66">
        <f>IFERROR(IF(VLOOKUP(INDEX(Ma!$B$12:$B$63,MATCH($A30,OFFSET( Ma!$F$12:$F$63,0,(C30*48)-(IF(C30=7/24,9,IF(C30=12.5/24,9,IF(C30=14/24,9,IF(C30=15.5/24,9,10)))))),0),0),Ma!$B$13:$C$63,2,FALSE)="TL","",INDEX(Ma!$B$12:$B$63,MATCH($A30,OFFSET( Ma!$F$12:$F$63,0,(C30*48)-(IF(C30=7/24,9,IF(C30=12.5/24,9,IF(C30=14/24,9,IF(C30=15.5/24,9,10)))))),0),0)),"")</f>
        <v/>
      </c>
      <c r="E30" s="857">
        <f>9/48+(1/48)*MIN(IFERROR(MATCH($A30,Di!$F$13:$AQ$13,0),100),IFERROR(MATCH($A30,Di!$F$14:$AQ$14,0),100),IFERROR(MATCH($A30,Di!$F$15:$AQ$15,0),100),IFERROR(MATCH($A30,Di!$F$16:$AQ$16,0),100),IFERROR(MATCH($A30,Di!$F$17:$AQ$17,0),100),IFERROR(MATCH($A30,Di!$F$18:$AQ$18,0),100),IFERROR(MATCH($A30,Di!$F$19:$AQ$19,0),100),IFERROR(MATCH($A30,Di!$F$20:$AQ$20,0),100),IFERROR(MATCH($A30,Di!$F$21:$AQ$21,0),100),IFERROR(MATCH($A30,Di!$F$22:$AQ$22,0),100),IFERROR(MATCH($A30,Di!$F$23:$AQ$23,0),100),IFERROR(MATCH($A30,Di!$F$24:$AQ$24,0),100),IFERROR(MATCH($A30,Di!$F$25:$AQ$25,0),100),IFERROR(MATCH($A30,Di!$F$26:$AQ$26,0),100),IFERROR(MATCH($A30,Di!$F$27:$AQ$27,0),100),IFERROR(MATCH($A30,Di!$F$28:$AQ$28,0),100),IFERROR(MATCH($A30,Di!$F$29:$AQ$29,0),100),IFERROR(MATCH($A30,Di!$F$30:$AQ$30,0),100),IFERROR(MATCH($A30,Di!$F$31:$AQ$31,0),100),IFERROR(MATCH($A30,Di!$F$32:$AQ$32,0),100),IFERROR(MATCH($A30,Di!$F$33:$AQ$33,0),100),IFERROR(MATCH($A30,Di!$F$34:$AQ$34,0),100),IFERROR(MATCH($A30,Di!$F$35:$AQ$35,0),100),IFERROR(MATCH($A30,Di!$F$36:$AQ$36,0),100),IFERROR(MATCH($A30,Di!$F$37:$AQ$37,0),100),IFERROR(MATCH($A30,Di!$F$38:$AQ$38,0),100),IFERROR(MATCH($A30,Di!$F$39:$AQ$39,0),100),IFERROR(MATCH($A30,Di!$F$40:$AQ$40,0),100),IFERROR(MATCH($A30,Di!$F$41:$AQ$41,0),100),IFERROR(MATCH($A30,Di!$F$42:$AQ$42,0),100),IFERROR(MATCH($A30,Di!$F$43:$AQ$43,0),100),IFERROR(MATCH($A30,Di!$F$44:$AQ$44,0),100),IFERROR(MATCH($A30,Di!$F$45:$AQ$45,0),100),IFERROR(MATCH($A30,Di!$F$46:$AQ$46,0),100),IFERROR(MATCH($A30,Di!$F$47:$AQ$47,0),100),IFERROR(MATCH($A30,Di!$F$48:$AQ$48,0),100),IFERROR(MATCH($A30,Di!$F$49:$AQ$49,0),100),IFERROR(MATCH($A30,Di!$F$50:$AQ$50,0),100),IFERROR(MATCH($A30,Di!$F$51:$AQ$51,0),100),IFERROR(MATCH($A30,Di!$F$52:$AQ$52,0),100),IFERROR(MATCH($A30,Di!$F$53:$AQ$53,0),100),IFERROR(MATCH($A30,Di!$F$54:$AQ$54,0),100),IFERROR(MATCH($A30,Di!$F$55:$AQ$55,0),100),IFERROR(MATCH($A30,Di!$F$56:$AQ$56,0),100),IFERROR(MATCH($A30,Di!$F$57:$AQ$57,0),100),IFERROR(MATCH($A30,Di!$F$58:$AQ$58,0),100),IFERROR(MATCH($A30,Di!$F$59:$AQ$59,0),100),IFERROR(MATCH($A30,Di!$F$60:$AQ$60,0),100),IFERROR(MATCH($A30,Di!$F$61:$AQ$61,0),100),IFERROR(MATCH($A30,Di!$F$62:$AQ$62,0),100),IFERROR(MATCH($A30,Di!$F$63:$AQ$63,0),100),39)</f>
        <v/>
      </c>
      <c r="F30" s="66">
        <f>IFERROR(IF(VLOOKUP(INDEX(Di!$B$12:$B$63,MATCH($A30,OFFSET( Di!$F$12:$F$63,0,(E30*48)-(IF(E30=7/24,9,IF(E30=12.5/24,9,IF(E30=14/24,9,IF(E30=15.5/24,9,10)))))),0),0),Di!$B$13:$C$63,2,FALSE)="TL","",INDEX(Di!$B$12:$B$63,MATCH($A30,OFFSET( Di!$F$12:$F$63,0,(E30*48)-(IF(E30=7/24,9,IF(E30=12.5/24,9,IF(E30=14/24,9,IF(E30=15.5/24,9,10)))))),0),0)),"")</f>
        <v/>
      </c>
      <c r="G30" s="857">
        <f>9/48+(1/48)*MIN(IFERROR(MATCH($A30,Wo!$F$13:$AQ$13,0),100),IFERROR(MATCH($A30,Wo!$F$14:$AQ$14,0),100),IFERROR(MATCH($A30,Wo!$F$15:$AQ$15,0),100),IFERROR(MATCH($A30,Wo!$F$16:$AQ$16,0),100),IFERROR(MATCH($A30,Wo!$F$17:$AQ$17,0),100),IFERROR(MATCH($A30,Wo!$F$18:$AQ$18,0),100),IFERROR(MATCH($A30,Wo!$F$19:$AQ$19,0),100),IFERROR(MATCH($A30,Wo!$F$20:$AQ$20,0),100),IFERROR(MATCH($A30,Wo!$F$21:$AQ$21,0),100),IFERROR(MATCH($A30,Wo!$F$22:$AQ$22,0),100),IFERROR(MATCH($A30,Wo!$F$23:$AQ$23,0),100),IFERROR(MATCH($A30,Wo!$F$24:$AQ$24,0),100),IFERROR(MATCH($A30,Wo!$F$25:$AQ$25,0),100),IFERROR(MATCH($A30,Wo!$F$26:$AQ$26,0),100),IFERROR(MATCH($A30,Wo!$F$27:$AQ$27,0),100),IFERROR(MATCH($A30,Wo!$F$28:$AQ$28,0),100),IFERROR(MATCH($A30,Wo!$F$29:$AQ$29,0),100),IFERROR(MATCH($A30,Wo!$F$30:$AQ$30,0),100),IFERROR(MATCH($A30,Wo!$F$31:$AQ$31,0),100),IFERROR(MATCH($A30,Wo!$F$32:$AQ$32,0),100),IFERROR(MATCH($A30,Wo!$F$33:$AQ$33,0),100),IFERROR(MATCH($A30,Wo!$F$34:$AQ$34,0),100),IFERROR(MATCH($A30,Wo!$F$35:$AQ$35,0),100),IFERROR(MATCH($A30,Wo!$F$36:$AQ$36,0),100),IFERROR(MATCH($A30,Wo!$F$37:$AQ$37,0),100),IFERROR(MATCH($A30,Wo!$F$38:$AQ$38,0),100),IFERROR(MATCH($A30,Wo!$F$39:$AQ$39,0),100),IFERROR(MATCH($A30,Wo!$F$40:$AQ$40,0),100),IFERROR(MATCH($A30,Wo!$F$41:$AQ$41,0),100),IFERROR(MATCH($A30,Wo!$F$42:$AQ$42,0),100),IFERROR(MATCH($A30,Wo!$F$43:$AQ$43,0),100),IFERROR(MATCH($A30,Wo!$F$44:$AQ$44,0),100),IFERROR(MATCH($A30,Wo!$F$45:$AQ$45,0),100),IFERROR(MATCH($A30,Wo!$F$46:$AQ$46,0),100),IFERROR(MATCH($A30,Wo!$F$47:$AQ$47,0),100),IFERROR(MATCH($A30,Wo!$F$48:$AQ$48,0),100),IFERROR(MATCH($A30,Wo!$F$49:$AQ$49,0),100),IFERROR(MATCH($A30,Wo!$F$50:$AQ$50,0),100),IFERROR(MATCH($A30,Wo!$F$51:$AQ$51,0),100),IFERROR(MATCH($A30,Wo!$F$52:$AQ$52,0),100),IFERROR(MATCH($A30,Wo!$F$53:$AQ$53,0),100),IFERROR(MATCH($A30,Wo!$F$54:$AQ$54,0),100),IFERROR(MATCH($A30,Wo!$F$55:$AQ$55,0),100),IFERROR(MATCH($A30,Wo!$F$56:$AQ$56,0),100),IFERROR(MATCH($A30,Wo!$F$57:$AQ$57,0),100),IFERROR(MATCH($A30,Wo!$F$58:$AQ$58,0),100),IFERROR(MATCH($A30,Wo!$F$59:$AQ$59,0),100),IFERROR(MATCH($A30,Wo!$F$60:$AQ$60,0),100),IFERROR(MATCH($A30,Wo!$F$61:$AQ$61,0),100),IFERROR(MATCH($A30,Wo!$F$62:$AQ$62,0),100),IFERROR(MATCH($A30,Wo!$F$63:$AQ$63,0),100),39)</f>
        <v/>
      </c>
      <c r="H30" s="66">
        <f>IFERROR(IF(VLOOKUP(INDEX(Wo!$B$12:$B$63,MATCH($A30,OFFSET( Wo!$F$12:$F$63,0,(G30*48)-(IF(G30=7/24,9,IF(G30=12.5/24,9,IF(G30=14/24,9,IF(G30=15.5/24,9,10)))))),0),0),Wo!$B$13:$C$63,2,FALSE)="TL","",INDEX(Wo!$B$12:$B$63,MATCH($A30,OFFSET( Wo!$F$12:$F$63,0,(G30*48)-(IF(G30=7/24,9,IF(G30=12.5/24,9,IF(G30=14/24,9,IF(G30=15.5/24,9,10)))))),0),0)),"")</f>
        <v/>
      </c>
      <c r="I30" s="857">
        <f>9/48+(1/48)*MIN(IFERROR(MATCH($A30,Do!$F$13:$AQ$13,0),100),IFERROR(MATCH($A30,Do!$F$14:$AQ$14,0),100),IFERROR(MATCH($A30,Do!$F$15:$AQ$15,0),100),IFERROR(MATCH($A30,Do!$F$16:$AQ$16,0),100),IFERROR(MATCH($A30,Do!$F$17:$AQ$17,0),100),IFERROR(MATCH($A30,Do!$F$18:$AQ$18,0),100),IFERROR(MATCH($A30,Do!$F$19:$AQ$19,0),100),IFERROR(MATCH($A30,Do!$F$20:$AQ$20,0),100),IFERROR(MATCH($A30,Do!$F$21:$AQ$21,0),100),IFERROR(MATCH($A30,Do!$F$22:$AQ$22,0),100),IFERROR(MATCH($A30,Do!$F$23:$AQ$23,0),100),IFERROR(MATCH($A30,Do!$F$24:$AQ$24,0),100),IFERROR(MATCH($A30,Do!$F$25:$AQ$25,0),100),IFERROR(MATCH($A30,Do!$F$26:$AQ$26,0),100),IFERROR(MATCH($A30,Do!$F$27:$AQ$27,0),100),IFERROR(MATCH($A30,Do!$F$28:$AQ$28,0),100),IFERROR(MATCH($A30,Do!$F$29:$AQ$29,0),100),IFERROR(MATCH($A30,Do!$F$30:$AQ$30,0),100),IFERROR(MATCH($A30,Do!$F$31:$AQ$31,0),100),IFERROR(MATCH($A30,Do!$F$32:$AQ$32,0),100),IFERROR(MATCH($A30,Do!$F$33:$AQ$33,0),100),IFERROR(MATCH($A30,Do!$F$34:$AQ$34,0),100),IFERROR(MATCH($A30,Do!$F$35:$AQ$35,0),100),IFERROR(MATCH($A30,Do!$F$36:$AQ$36,0),100),IFERROR(MATCH($A30,Do!$F$37:$AQ$37,0),100),IFERROR(MATCH($A30,Do!$F$38:$AQ$38,0),100),IFERROR(MATCH($A30,Do!$F$39:$AQ$39,0),100),IFERROR(MATCH($A30,Do!$F$40:$AQ$40,0),100),IFERROR(MATCH($A30,Do!$F$41:$AQ$41,0),100),IFERROR(MATCH($A30,Do!$F$42:$AQ$42,0),100),IFERROR(MATCH($A30,Do!$F$43:$AQ$43,0),100),IFERROR(MATCH($A30,Do!$F$44:$AQ$44,0),100),IFERROR(MATCH($A30,Do!$F$45:$AQ$45,0),100),IFERROR(MATCH($A30,Do!$F$46:$AQ$46,0),100),IFERROR(MATCH($A30,Do!$F$47:$AQ$47,0),100),IFERROR(MATCH($A30,Do!$F$48:$AQ$48,0),100),IFERROR(MATCH($A30,Do!$F$49:$AQ$49,0),100),IFERROR(MATCH($A30,Do!$F$50:$AQ$50,0),100),IFERROR(MATCH($A30,Do!$F$51:$AQ$51,0),100),IFERROR(MATCH($A30,Do!$F$52:$AQ$52,0),100),IFERROR(MATCH($A30,Do!$F$53:$AQ$53,0),100),IFERROR(MATCH($A30,Do!$F$54:$AQ$54,0),100),IFERROR(MATCH($A30,Do!$F$55:$AQ$55,0),100),IFERROR(MATCH($A30,Do!$F$56:$AQ$56,0),100),IFERROR(MATCH($A30,Do!$F$57:$AQ$57,0),100),IFERROR(MATCH($A30,Do!$F$58:$AQ$58,0),100),IFERROR(MATCH($A30,Do!$F$59:$AQ$59,0),100),IFERROR(MATCH($A30,Do!$F$60:$AQ$60,0),100),IFERROR(MATCH($A30,Do!$F$61:$AQ$61,0),100),IFERROR(MATCH($A30,Do!$F$62:$AQ$62,0),100),IFERROR(MATCH($A30,Do!$F$63:$AQ$63,0),100),39)</f>
        <v/>
      </c>
      <c r="J30" s="66">
        <f>IFERROR(IF(VLOOKUP(INDEX(Do!$B$12:$B$63,MATCH($A30,OFFSET( Do!$F$12:$F$63,0,(I30*48)-(IF(I30=7/24,9,IF(I30=12.5/24,9,IF(I30=14/24,9,IF(I30=15.5/24,9,10)))))),0),0),Do!$B$13:$C$63,2,FALSE)="TL","",INDEX(Do!$B$12:$B$63,MATCH($A30,OFFSET( Do!$F$12:$F$63,0,(I30*48)-(IF(I30=7/24,9,IF(I30=12.5/24,9,IF(I30=14/24,9,IF(I30=15.5/24,9,10)))))),0),0)),"")</f>
        <v/>
      </c>
      <c r="K30" s="857">
        <f>9/48+(1/48)*MIN(IFERROR(MATCH($A30,Vr!$F$13:$AQ$13,0),100),IFERROR(MATCH($A30,Vr!$F$14:$AQ$14,0),100),IFERROR(MATCH($A30,Vr!$F$15:$AQ$15,0),100),IFERROR(MATCH($A30,Vr!$F$16:$AQ$16,0),100),IFERROR(MATCH($A30,Vr!$F$17:$AQ$17,0),100),IFERROR(MATCH($A30,Vr!$F$18:$AQ$18,0),100),IFERROR(MATCH($A30,Vr!$F$19:$AQ$19,0),100),IFERROR(MATCH($A30,Vr!$F$20:$AQ$20,0),100),IFERROR(MATCH($A30,Vr!$F$21:$AQ$21,0),100),IFERROR(MATCH($A30,Vr!$F$22:$AQ$22,0),100),IFERROR(MATCH($A30,Vr!$F$23:$AQ$23,0),100),IFERROR(MATCH($A30,Vr!$F$24:$AQ$24,0),100),IFERROR(MATCH($A30,Vr!$F$25:$AQ$25,0),100),IFERROR(MATCH($A30,Vr!$F$26:$AQ$26,0),100),IFERROR(MATCH($A30,Vr!$F$27:$AQ$27,0),100),IFERROR(MATCH($A30,Vr!$F$28:$AQ$28,0),100),IFERROR(MATCH($A30,Vr!$F$29:$AQ$29,0),100),IFERROR(MATCH($A30,Vr!$F$30:$AQ$30,0),100),IFERROR(MATCH($A30,Vr!$F$31:$AQ$31,0),100),IFERROR(MATCH($A30,Vr!$F$32:$AQ$32,0),100),IFERROR(MATCH($A30,Vr!$F$33:$AQ$33,0),100),IFERROR(MATCH($A30,Vr!$F$34:$AQ$34,0),100),IFERROR(MATCH($A30,Vr!$F$35:$AQ$35,0),100),IFERROR(MATCH($A30,Vr!$F$36:$AQ$36,0),100),IFERROR(MATCH($A30,Vr!$F$37:$AQ$37,0),100),IFERROR(MATCH($A30,Vr!$F$38:$AQ$38,0),100),IFERROR(MATCH($A30,Vr!$F$39:$AQ$39,0),100),IFERROR(MATCH($A30,Vr!$F$40:$AQ$40,0),100),IFERROR(MATCH($A30,Vr!$F$41:$AQ$41,0),100),IFERROR(MATCH($A30,Vr!$F$42:$AQ$42,0),100),IFERROR(MATCH($A30,Vr!$F$43:$AQ$43,0),100),IFERROR(MATCH($A30,Vr!$F$44:$AQ$44,0),100),IFERROR(MATCH($A30,Vr!$F$45:$AQ$45,0),100),IFERROR(MATCH($A30,Vr!$F$46:$AQ$46,0),100),IFERROR(MATCH($A30,Vr!$F$47:$AQ$47,0),100),IFERROR(MATCH($A30,Vr!$F$48:$AQ$48,0),100),IFERROR(MATCH($A30,Vr!$F$49:$AQ$49,0),100),IFERROR(MATCH($A30,Vr!$F$50:$AQ$50,0),100),IFERROR(MATCH($A30,Vr!$F$51:$AQ$51,0),100),IFERROR(MATCH($A30,Vr!$F$52:$AQ$52,0),100),IFERROR(MATCH($A30,Vr!$F$53:$AQ$53,0),100),IFERROR(MATCH($A30,Vr!$F$54:$AQ$54,0),100),IFERROR(MATCH($A30,Vr!$F$55:$AQ$55,0),100),IFERROR(MATCH($A30,Vr!$F$56:$AQ$56,0),100),IFERROR(MATCH($A30,Vr!$F$57:$AQ$57,0),100),IFERROR(MATCH($A30,Vr!$F$58:$AQ$58,0),100),IFERROR(MATCH($A30,Vr!$F$59:$AQ$59,0),100),IFERROR(MATCH($A30,Vr!$F$60:$AQ$60,0),100),IFERROR(MATCH($A30,Vr!$F$61:$AQ$61,0),100),IFERROR(MATCH($A30,Vr!$F$62:$AQ$62,0),100),IFERROR(MATCH($A30,Vr!$F$63:$AQ$63,0),100),39)</f>
        <v/>
      </c>
      <c r="L30" s="66">
        <f>IFERROR(IF(VLOOKUP(INDEX(Vr!$B$12:$B$63,MATCH($A30,OFFSET( Vr!$F$12:$F$63,0,(K30*48)-(IF(K30=7/24,9,IF(K30=12.5/24,9,IF(K30=14/24,9,IF(K30=15.5/24,9,10)))))),0),0),Vr!$B$13:$C$63,2,FALSE)="TL","",INDEX(Vr!$B$12:$B$63,MATCH($A30,OFFSET( Vr!$F$12:$F$63,0,(K30*48)-(IF(K30=7/24,9,IF(K30=12.5/24,9,IF(K30=14/24,9,IF(K30=15.5/24,9,10)))))),0),0)),"")</f>
        <v/>
      </c>
      <c r="M30" s="857">
        <f>9/48+(1/48)*MIN(IFERROR(MATCH($A30,Za!$F$13:$AQ$13,0),100),IFERROR(MATCH($A30,Za!$F$14:$AQ$14,0),100),IFERROR(MATCH($A30,Za!$F$15:$AQ$15,0),100),IFERROR(MATCH($A30,Za!$F$16:$AQ$16,0),100),IFERROR(MATCH($A30,Za!$F$17:$AQ$17,0),100),IFERROR(MATCH($A30,Za!$F$18:$AQ$18,0),100),IFERROR(MATCH($A30,Za!$F$19:$AQ$19,0),100),IFERROR(MATCH($A30,Za!$F$20:$AQ$20,0),100),IFERROR(MATCH($A30,Za!$F$21:$AQ$21,0),100),IFERROR(MATCH($A30,Za!$F$22:$AQ$22,0),100),IFERROR(MATCH($A30,Za!$F$23:$AQ$23,0),100),IFERROR(MATCH($A30,Za!$F$24:$AQ$24,0),100),IFERROR(MATCH($A30,Za!$F$25:$AQ$25,0),100),IFERROR(MATCH($A30,Za!$F$26:$AQ$26,0),100),IFERROR(MATCH($A30,Za!$F$27:$AQ$27,0),100),IFERROR(MATCH($A30,Za!$F$28:$AQ$28,0),100),IFERROR(MATCH($A30,Za!$F$29:$AQ$29,0),100),IFERROR(MATCH($A30,Za!$F$30:$AQ$30,0),100),IFERROR(MATCH($A30,Za!$F$31:$AQ$31,0),100),IFERROR(MATCH($A30,Za!$F$32:$AQ$32,0),100),IFERROR(MATCH($A30,Za!$F$33:$AQ$33,0),100),IFERROR(MATCH($A30,Za!$F$34:$AQ$34,0),100),IFERROR(MATCH($A30,Za!$F$35:$AQ$35,0),100),IFERROR(MATCH($A30,Za!$F$36:$AQ$36,0),100),IFERROR(MATCH($A30,Za!$F$37:$AQ$37,0),100),IFERROR(MATCH($A30,Za!$F$38:$AQ$38,0),100),IFERROR(MATCH($A30,Za!$F$39:$AQ$39,0),100),IFERROR(MATCH($A30,Za!$F$40:$AQ$40,0),100),IFERROR(MATCH($A30,Za!$F$41:$AQ$41,0),100),IFERROR(MATCH($A30,Za!$F$42:$AQ$42,0),100),IFERROR(MATCH($A30,Za!$F$43:$AQ$43,0),100),IFERROR(MATCH($A30,Za!$F$44:$AQ$44,0),100),IFERROR(MATCH($A30,Za!$F$45:$AQ$45,0),100),IFERROR(MATCH($A30,Za!$F$46:$AQ$46,0),100),IFERROR(MATCH($A30,Za!$F$47:$AQ$47,0),100),IFERROR(MATCH($A30,Za!$F$48:$AQ$48,0),100),IFERROR(MATCH($A30,Za!$F$49:$AQ$49,0),100),IFERROR(MATCH($A30,Za!$F$50:$AQ$50,0),100),IFERROR(MATCH($A30,Za!$F$51:$AQ$51,0),100),IFERROR(MATCH($A30,Za!$F$52:$AQ$52,0),100),IFERROR(MATCH($A30,Za!$F$53:$AQ$53,0),100),IFERROR(MATCH($A30,Za!$F$54:$AQ$54,0),100),IFERROR(MATCH($A30,Za!$F$55:$AQ$55,0),100),IFERROR(MATCH($A30,Za!$F$56:$AQ$56,0),100),IFERROR(MATCH($A30,Za!$F$57:$AQ$57,0),100),IFERROR(MATCH($A30,Za!$F$58:$AQ$58,0),100),IFERROR(MATCH($A30,Za!$F$59:$AQ$59,0),100),IFERROR(MATCH($A30,Za!$F$60:$AQ$60,0),100),IFERROR(MATCH($A30,Za!$F$61:$AQ$61,0),100),IFERROR(MATCH($A30,Za!$F$62:$AQ$62,0),100),IFERROR(MATCH($A30,Za!$F$63:$AQ$63,0),100),39)</f>
        <v/>
      </c>
      <c r="N30" s="66">
        <f>IFERROR(IF(VLOOKUP(INDEX(Za!$B$12:$B$63,MATCH($A30,OFFSET( Za!$F$12:$F$63,0,(M30*48)-(IF(M30=7/24,9,IF(M30=12.5/24,9,IF(M30=14/24,9,IF(M30=15.5/24,9,10)))))),0),0),Za!$B$13:$C$63,2,FALSE)="TL","",INDEX(Za!$B$12:$B$63,MATCH($A30,OFFSET( Za!$F$12:$F$63,0,(M30*48)-(IF(M30=7/24,9,IF(M30=12.5/24,9,IF(M30=14/24,9,IF(M30=15.5/24,9,10)))))),0),0)),"")</f>
        <v/>
      </c>
      <c r="O30" s="857">
        <f>9/48+(1/48)*MIN(IFERROR(MATCH($A30,Zo!$F$13:$AQ$13,0),100),IFERROR(MATCH($A30,Zo!$F$14:$AQ$14,0),100),IFERROR(MATCH($A30,Zo!$F$15:$AQ$15,0),100),IFERROR(MATCH($A30,Zo!$F$16:$AQ$16,0),100),IFERROR(MATCH($A30,Zo!$F$17:$AQ$17,0),100),IFERROR(MATCH($A30,Zo!$F$18:$AQ$18,0),100),IFERROR(MATCH($A30,Zo!$F$19:$AQ$19,0),100),IFERROR(MATCH($A30,Zo!$F$20:$AQ$20,0),100),IFERROR(MATCH($A30,Zo!$F$21:$AQ$21,0),100),IFERROR(MATCH($A30,Zo!$F$22:$AQ$22,0),100),IFERROR(MATCH($A30,Zo!$F$23:$AQ$23,0),100),IFERROR(MATCH($A30,Zo!$F$24:$AQ$24,0),100),IFERROR(MATCH($A30,Zo!$F$25:$AQ$25,0),100),IFERROR(MATCH($A30,Zo!$F$26:$AQ$26,0),100),IFERROR(MATCH($A30,Zo!$F$27:$AQ$27,0),100),IFERROR(MATCH($A30,Zo!$F$28:$AQ$28,0),100),IFERROR(MATCH($A30,Zo!$F$29:$AQ$29,0),100),IFERROR(MATCH($A30,Zo!$F$30:$AQ$30,0),100),IFERROR(MATCH($A30,Zo!$F$31:$AQ$31,0),100),IFERROR(MATCH($A30,Zo!$F$32:$AQ$32,0),100),IFERROR(MATCH($A30,Zo!$F$33:$AQ$33,0),100),IFERROR(MATCH($A30,Zo!$F$34:$AQ$34,0),100),IFERROR(MATCH($A30,Zo!$F$35:$AQ$35,0),100),IFERROR(MATCH($A30,Zo!$F$36:$AQ$36,0),100),IFERROR(MATCH($A30,Zo!$F$37:$AQ$37,0),100),IFERROR(MATCH($A30,Zo!$F$38:$AQ$38,0),100),IFERROR(MATCH($A30,Zo!$F$39:$AQ$39,0),100),IFERROR(MATCH($A30,Zo!$F$40:$AQ$40,0),100),IFERROR(MATCH($A30,Zo!$F$41:$AQ$41,0),100),IFERROR(MATCH($A30,Zo!$F$42:$AQ$42,0),100),IFERROR(MATCH($A30,Zo!$F$43:$AQ$43,0),100),IFERROR(MATCH($A30,Zo!$F$44:$AQ$44,0),100),IFERROR(MATCH($A30,Zo!$F$45:$AQ$45,0),100),IFERROR(MATCH($A30,Zo!$F$46:$AQ$46,0),100),IFERROR(MATCH($A30,Zo!$F$47:$AQ$47,0),100),IFERROR(MATCH($A30,Zo!$F$48:$AQ$48,0),100),IFERROR(MATCH($A30,Zo!$F$49:$AQ$49,0),100),IFERROR(MATCH($A30,Zo!$F$50:$AQ$50,0),100),IFERROR(MATCH($A30,Zo!$F$51:$AQ$51,0),100),IFERROR(MATCH($A30,Zo!$F$52:$AQ$52,0),100),IFERROR(MATCH($A30,Zo!$F$53:$AQ$53,0),100),IFERROR(MATCH($A30,Zo!$F$54:$AQ$54,0),100),IFERROR(MATCH($A30,Zo!$F$55:$AQ$55,0),100),IFERROR(MATCH($A30,Zo!$F$56:$AQ$56,0),100),IFERROR(MATCH($A30,Zo!$F$57:$AQ$57,0),100),IFERROR(MATCH($A30,Zo!$F$58:$AQ$58,0),100),IFERROR(MATCH($A30,Zo!$F$59:$AQ$59,0),100),IFERROR(MATCH($A30,Zo!$F$60:$AQ$60,0),100),IFERROR(MATCH($A30,Zo!$F$61:$AQ$61,0),100),IFERROR(MATCH($A30,Zo!$F$62:$AQ$62,0),100),IFERROR(MATCH($A30,Zo!$F$63:$AQ$63,0),100),39)</f>
        <v/>
      </c>
      <c r="P30" s="66">
        <f>IFERROR(IF(VLOOKUP(INDEX(Zo!$B$12:$B$63,MATCH($A30,OFFSET( Zo!$F$12:$F$63,0,(O30*48)-(IF(O30=7/24,9,IF(O30=12.5/24,9,IF(O30=14/24,9,IF(O30=15.5/24,9,10)))))),0),0),Zo!$B$13:$C$63,2,FALSE)="TL","",INDEX(Zo!$B$12:$B$63,MATCH($A30,OFFSET( Zo!$F$12:$F$63,0,(O30*48)-(IF(O30=7/24,9,IF(O30=12.5/24,9,IF(O30=14/24,9,IF(O30=15.5/24,9,10)))))),0),0)),"")</f>
        <v/>
      </c>
    </row>
    <row r="31" ht="15" customHeight="1">
      <c r="A31" s="66" t="inlineStr">
        <is>
          <t>km</t>
        </is>
      </c>
      <c r="B31" s="67">
        <f>A31</f>
        <v/>
      </c>
      <c r="C31" s="857">
        <f>9/48+(1/48)*MIN(IFERROR(MATCH($A31,Ma!$F$13:$AQ$13,0),100),IFERROR(MATCH($A31,Ma!$F$14:$AQ$14,0),100),IFERROR(MATCH($A31,Ma!$F$15:$AQ$15,0),100),IFERROR(MATCH($A31,Ma!$F$16:$AQ$16,0),100),IFERROR(MATCH($A31,Ma!$F$17:$AQ$17,0),100),IFERROR(MATCH($A31,Ma!$F$18:$AQ$18,0),100),IFERROR(MATCH($A31,Ma!$F$19:$AQ$19,0),100),IFERROR(MATCH($A31,Ma!$F$20:$AQ$20,0),100),IFERROR(MATCH($A31,Ma!$F$21:$AQ$21,0),100),IFERROR(MATCH($A31,Ma!$F$22:$AQ$22,0),100),IFERROR(MATCH($A31,Ma!$F$23:$AQ$23,0),100),IFERROR(MATCH($A31,Ma!$F$24:$AQ$24,0),100),IFERROR(MATCH($A31,Ma!$F$25:$AQ$25,0),100),IFERROR(MATCH($A31,Ma!$F$26:$AQ$26,0),100),IFERROR(MATCH($A31,Ma!$F$27:$AQ$27,0),100),IFERROR(MATCH($A31,Ma!$F$28:$AQ$28,0),100),IFERROR(MATCH($A31,Ma!$F$29:$AQ$29,0),100),IFERROR(MATCH($A31,Ma!$F$30:$AQ$30,0),100),IFERROR(MATCH($A31,Ma!$F$31:$AQ$31,0),100),IFERROR(MATCH($A31,Ma!$F$32:$AQ$32,0),100),IFERROR(MATCH($A31,Ma!$F$33:$AQ$33,0),100),IFERROR(MATCH($A31,Ma!$F$34:$AQ$34,0),100),IFERROR(MATCH($A31,Ma!$F$35:$AQ$35,0),100),IFERROR(MATCH($A31,Ma!$F$36:$AQ$36,0),100),IFERROR(MATCH($A31,Ma!$F$37:$AQ$37,0),100),IFERROR(MATCH($A31,Ma!$F$38:$AQ$38,0),100),IFERROR(MATCH($A31,Ma!$F$39:$AQ$39,0),100),IFERROR(MATCH($A31,Ma!$F$40:$AQ$40,0),100),IFERROR(MATCH($A31,Ma!$F$41:$AQ$41,0),100),IFERROR(MATCH($A31,Ma!$F$42:$AQ$42,0),100),IFERROR(MATCH($A31,Ma!$F$43:$AQ$43,0),100),IFERROR(MATCH($A31,Ma!$F$44:$AQ$44,0),100),IFERROR(MATCH($A31,Ma!$F$45:$AQ$45,0),100),IFERROR(MATCH($A31,Ma!$F$46:$AQ$46,0),100),IFERROR(MATCH($A31,Ma!$F$47:$AQ$47,0),100),IFERROR(MATCH($A31,Ma!$F$48:$AQ$48,0),100),IFERROR(MATCH($A31,Ma!$F$49:$AQ$49,0),100),IFERROR(MATCH($A31,Ma!$F$50:$AQ$50,0),100),IFERROR(MATCH($A31,Ma!$F$51:$AQ$51,0),100),IFERROR(MATCH($A31,Ma!$F$52:$AQ$52,0),100),IFERROR(MATCH($A31,Ma!$F$53:$AQ$53,0),100),IFERROR(MATCH($A31,Ma!$F$54:$AQ$54,0),100),IFERROR(MATCH($A31,Ma!$F$55:$AQ$55,0),100),IFERROR(MATCH($A31,Ma!$F$56:$AQ$56,0),100),IFERROR(MATCH($A31,Ma!$F$57:$AQ$57,0),100),IFERROR(MATCH($A31,Ma!$F$58:$AQ$58,0),100),IFERROR(MATCH($A31,Ma!$F$59:$AQ$59,0),100),IFERROR(MATCH($A31,Ma!$F$60:$AQ$60,0),100),IFERROR(MATCH($A31,Ma!$F$61:$AQ$61,0),100),IFERROR(MATCH($A31,Ma!$F$62:$AQ$62,0),100),IFERROR(MATCH($A31,Ma!$F$63:$AQ$63,0),100),39)</f>
        <v/>
      </c>
      <c r="D31" s="66">
        <f>IFERROR(IF(VLOOKUP(INDEX(Ma!$B$12:$B$63,MATCH($A31,OFFSET( Ma!$F$12:$F$63,0,(C31*48)-(IF(C31=7/24,9,IF(C31=12.5/24,9,IF(C31=14/24,9,IF(C31=15.5/24,9,10)))))),0),0),Ma!$B$13:$C$63,2,FALSE)="TL","",INDEX(Ma!$B$12:$B$63,MATCH($A31,OFFSET( Ma!$F$12:$F$63,0,(C31*48)-(IF(C31=7/24,9,IF(C31=12.5/24,9,IF(C31=14/24,9,IF(C31=15.5/24,9,10)))))),0),0)),"")</f>
        <v/>
      </c>
      <c r="E31" s="857">
        <f>9/48+(1/48)*MIN(IFERROR(MATCH($A31,Di!$F$13:$AQ$13,0),100),IFERROR(MATCH($A31,Di!$F$14:$AQ$14,0),100),IFERROR(MATCH($A31,Di!$F$15:$AQ$15,0),100),IFERROR(MATCH($A31,Di!$F$16:$AQ$16,0),100),IFERROR(MATCH($A31,Di!$F$17:$AQ$17,0),100),IFERROR(MATCH($A31,Di!$F$18:$AQ$18,0),100),IFERROR(MATCH($A31,Di!$F$19:$AQ$19,0),100),IFERROR(MATCH($A31,Di!$F$20:$AQ$20,0),100),IFERROR(MATCH($A31,Di!$F$21:$AQ$21,0),100),IFERROR(MATCH($A31,Di!$F$22:$AQ$22,0),100),IFERROR(MATCH($A31,Di!$F$23:$AQ$23,0),100),IFERROR(MATCH($A31,Di!$F$24:$AQ$24,0),100),IFERROR(MATCH($A31,Di!$F$25:$AQ$25,0),100),IFERROR(MATCH($A31,Di!$F$26:$AQ$26,0),100),IFERROR(MATCH($A31,Di!$F$27:$AQ$27,0),100),IFERROR(MATCH($A31,Di!$F$28:$AQ$28,0),100),IFERROR(MATCH($A31,Di!$F$29:$AQ$29,0),100),IFERROR(MATCH($A31,Di!$F$30:$AQ$30,0),100),IFERROR(MATCH($A31,Di!$F$31:$AQ$31,0),100),IFERROR(MATCH($A31,Di!$F$32:$AQ$32,0),100),IFERROR(MATCH($A31,Di!$F$33:$AQ$33,0),100),IFERROR(MATCH($A31,Di!$F$34:$AQ$34,0),100),IFERROR(MATCH($A31,Di!$F$35:$AQ$35,0),100),IFERROR(MATCH($A31,Di!$F$36:$AQ$36,0),100),IFERROR(MATCH($A31,Di!$F$37:$AQ$37,0),100),IFERROR(MATCH($A31,Di!$F$38:$AQ$38,0),100),IFERROR(MATCH($A31,Di!$F$39:$AQ$39,0),100),IFERROR(MATCH($A31,Di!$F$40:$AQ$40,0),100),IFERROR(MATCH($A31,Di!$F$41:$AQ$41,0),100),IFERROR(MATCH($A31,Di!$F$42:$AQ$42,0),100),IFERROR(MATCH($A31,Di!$F$43:$AQ$43,0),100),IFERROR(MATCH($A31,Di!$F$44:$AQ$44,0),100),IFERROR(MATCH($A31,Di!$F$45:$AQ$45,0),100),IFERROR(MATCH($A31,Di!$F$46:$AQ$46,0),100),IFERROR(MATCH($A31,Di!$F$47:$AQ$47,0),100),IFERROR(MATCH($A31,Di!$F$48:$AQ$48,0),100),IFERROR(MATCH($A31,Di!$F$49:$AQ$49,0),100),IFERROR(MATCH($A31,Di!$F$50:$AQ$50,0),100),IFERROR(MATCH($A31,Di!$F$51:$AQ$51,0),100),IFERROR(MATCH($A31,Di!$F$52:$AQ$52,0),100),IFERROR(MATCH($A31,Di!$F$53:$AQ$53,0),100),IFERROR(MATCH($A31,Di!$F$54:$AQ$54,0),100),IFERROR(MATCH($A31,Di!$F$55:$AQ$55,0),100),IFERROR(MATCH($A31,Di!$F$56:$AQ$56,0),100),IFERROR(MATCH($A31,Di!$F$57:$AQ$57,0),100),IFERROR(MATCH($A31,Di!$F$58:$AQ$58,0),100),IFERROR(MATCH($A31,Di!$F$59:$AQ$59,0),100),IFERROR(MATCH($A31,Di!$F$60:$AQ$60,0),100),IFERROR(MATCH($A31,Di!$F$61:$AQ$61,0),100),IFERROR(MATCH($A31,Di!$F$62:$AQ$62,0),100),IFERROR(MATCH($A31,Di!$F$63:$AQ$63,0),100),39)</f>
        <v/>
      </c>
      <c r="F31" s="66">
        <f>IFERROR(IF(VLOOKUP(INDEX(Di!$B$12:$B$63,MATCH($A31,OFFSET( Di!$F$12:$F$63,0,(E31*48)-(IF(E31=7/24,9,IF(E31=12.5/24,9,IF(E31=14/24,9,IF(E31=15.5/24,9,10)))))),0),0),Di!$B$13:$C$63,2,FALSE)="TL","",INDEX(Di!$B$12:$B$63,MATCH($A31,OFFSET( Di!$F$12:$F$63,0,(E31*48)-(IF(E31=7/24,9,IF(E31=12.5/24,9,IF(E31=14/24,9,IF(E31=15.5/24,9,10)))))),0),0)),"")</f>
        <v/>
      </c>
      <c r="G31" s="857">
        <f>9/48+(1/48)*MIN(IFERROR(MATCH($A31,Wo!$F$13:$AQ$13,0),100),IFERROR(MATCH($A31,Wo!$F$14:$AQ$14,0),100),IFERROR(MATCH($A31,Wo!$F$15:$AQ$15,0),100),IFERROR(MATCH($A31,Wo!$F$16:$AQ$16,0),100),IFERROR(MATCH($A31,Wo!$F$17:$AQ$17,0),100),IFERROR(MATCH($A31,Wo!$F$18:$AQ$18,0),100),IFERROR(MATCH($A31,Wo!$F$19:$AQ$19,0),100),IFERROR(MATCH($A31,Wo!$F$20:$AQ$20,0),100),IFERROR(MATCH($A31,Wo!$F$21:$AQ$21,0),100),IFERROR(MATCH($A31,Wo!$F$22:$AQ$22,0),100),IFERROR(MATCH($A31,Wo!$F$23:$AQ$23,0),100),IFERROR(MATCH($A31,Wo!$F$24:$AQ$24,0),100),IFERROR(MATCH($A31,Wo!$F$25:$AQ$25,0),100),IFERROR(MATCH($A31,Wo!$F$26:$AQ$26,0),100),IFERROR(MATCH($A31,Wo!$F$27:$AQ$27,0),100),IFERROR(MATCH($A31,Wo!$F$28:$AQ$28,0),100),IFERROR(MATCH($A31,Wo!$F$29:$AQ$29,0),100),IFERROR(MATCH($A31,Wo!$F$30:$AQ$30,0),100),IFERROR(MATCH($A31,Wo!$F$31:$AQ$31,0),100),IFERROR(MATCH($A31,Wo!$F$32:$AQ$32,0),100),IFERROR(MATCH($A31,Wo!$F$33:$AQ$33,0),100),IFERROR(MATCH($A31,Wo!$F$34:$AQ$34,0),100),IFERROR(MATCH($A31,Wo!$F$35:$AQ$35,0),100),IFERROR(MATCH($A31,Wo!$F$36:$AQ$36,0),100),IFERROR(MATCH($A31,Wo!$F$37:$AQ$37,0),100),IFERROR(MATCH($A31,Wo!$F$38:$AQ$38,0),100),IFERROR(MATCH($A31,Wo!$F$39:$AQ$39,0),100),IFERROR(MATCH($A31,Wo!$F$40:$AQ$40,0),100),IFERROR(MATCH($A31,Wo!$F$41:$AQ$41,0),100),IFERROR(MATCH($A31,Wo!$F$42:$AQ$42,0),100),IFERROR(MATCH($A31,Wo!$F$43:$AQ$43,0),100),IFERROR(MATCH($A31,Wo!$F$44:$AQ$44,0),100),IFERROR(MATCH($A31,Wo!$F$45:$AQ$45,0),100),IFERROR(MATCH($A31,Wo!$F$46:$AQ$46,0),100),IFERROR(MATCH($A31,Wo!$F$47:$AQ$47,0),100),IFERROR(MATCH($A31,Wo!$F$48:$AQ$48,0),100),IFERROR(MATCH($A31,Wo!$F$49:$AQ$49,0),100),IFERROR(MATCH($A31,Wo!$F$50:$AQ$50,0),100),IFERROR(MATCH($A31,Wo!$F$51:$AQ$51,0),100),IFERROR(MATCH($A31,Wo!$F$52:$AQ$52,0),100),IFERROR(MATCH($A31,Wo!$F$53:$AQ$53,0),100),IFERROR(MATCH($A31,Wo!$F$54:$AQ$54,0),100),IFERROR(MATCH($A31,Wo!$F$55:$AQ$55,0),100),IFERROR(MATCH($A31,Wo!$F$56:$AQ$56,0),100),IFERROR(MATCH($A31,Wo!$F$57:$AQ$57,0),100),IFERROR(MATCH($A31,Wo!$F$58:$AQ$58,0),100),IFERROR(MATCH($A31,Wo!$F$59:$AQ$59,0),100),IFERROR(MATCH($A31,Wo!$F$60:$AQ$60,0),100),IFERROR(MATCH($A31,Wo!$F$61:$AQ$61,0),100),IFERROR(MATCH($A31,Wo!$F$62:$AQ$62,0),100),IFERROR(MATCH($A31,Wo!$F$63:$AQ$63,0),100),39)</f>
        <v/>
      </c>
      <c r="H31" s="66">
        <f>IFERROR(IF(VLOOKUP(INDEX(Wo!$B$12:$B$63,MATCH($A31,OFFSET( Wo!$F$12:$F$63,0,(G31*48)-(IF(G31=7/24,9,IF(G31=12.5/24,9,IF(G31=14/24,9,IF(G31=15.5/24,9,10)))))),0),0),Wo!$B$13:$C$63,2,FALSE)="TL","",INDEX(Wo!$B$12:$B$63,MATCH($A31,OFFSET( Wo!$F$12:$F$63,0,(G31*48)-(IF(G31=7/24,9,IF(G31=12.5/24,9,IF(G31=14/24,9,IF(G31=15.5/24,9,10)))))),0),0)),"")</f>
        <v/>
      </c>
      <c r="I31" s="857">
        <f>9/48+(1/48)*MIN(IFERROR(MATCH($A31,Do!$F$13:$AQ$13,0),100),IFERROR(MATCH($A31,Do!$F$14:$AQ$14,0),100),IFERROR(MATCH($A31,Do!$F$15:$AQ$15,0),100),IFERROR(MATCH($A31,Do!$F$16:$AQ$16,0),100),IFERROR(MATCH($A31,Do!$F$17:$AQ$17,0),100),IFERROR(MATCH($A31,Do!$F$18:$AQ$18,0),100),IFERROR(MATCH($A31,Do!$F$19:$AQ$19,0),100),IFERROR(MATCH($A31,Do!$F$20:$AQ$20,0),100),IFERROR(MATCH($A31,Do!$F$21:$AQ$21,0),100),IFERROR(MATCH($A31,Do!$F$22:$AQ$22,0),100),IFERROR(MATCH($A31,Do!$F$23:$AQ$23,0),100),IFERROR(MATCH($A31,Do!$F$24:$AQ$24,0),100),IFERROR(MATCH($A31,Do!$F$25:$AQ$25,0),100),IFERROR(MATCH($A31,Do!$F$26:$AQ$26,0),100),IFERROR(MATCH($A31,Do!$F$27:$AQ$27,0),100),IFERROR(MATCH($A31,Do!$F$28:$AQ$28,0),100),IFERROR(MATCH($A31,Do!$F$29:$AQ$29,0),100),IFERROR(MATCH($A31,Do!$F$30:$AQ$30,0),100),IFERROR(MATCH($A31,Do!$F$31:$AQ$31,0),100),IFERROR(MATCH($A31,Do!$F$32:$AQ$32,0),100),IFERROR(MATCH($A31,Do!$F$33:$AQ$33,0),100),IFERROR(MATCH($A31,Do!$F$34:$AQ$34,0),100),IFERROR(MATCH($A31,Do!$F$35:$AQ$35,0),100),IFERROR(MATCH($A31,Do!$F$36:$AQ$36,0),100),IFERROR(MATCH($A31,Do!$F$37:$AQ$37,0),100),IFERROR(MATCH($A31,Do!$F$38:$AQ$38,0),100),IFERROR(MATCH($A31,Do!$F$39:$AQ$39,0),100),IFERROR(MATCH($A31,Do!$F$40:$AQ$40,0),100),IFERROR(MATCH($A31,Do!$F$41:$AQ$41,0),100),IFERROR(MATCH($A31,Do!$F$42:$AQ$42,0),100),IFERROR(MATCH($A31,Do!$F$43:$AQ$43,0),100),IFERROR(MATCH($A31,Do!$F$44:$AQ$44,0),100),IFERROR(MATCH($A31,Do!$F$45:$AQ$45,0),100),IFERROR(MATCH($A31,Do!$F$46:$AQ$46,0),100),IFERROR(MATCH($A31,Do!$F$47:$AQ$47,0),100),IFERROR(MATCH($A31,Do!$F$48:$AQ$48,0),100),IFERROR(MATCH($A31,Do!$F$49:$AQ$49,0),100),IFERROR(MATCH($A31,Do!$F$50:$AQ$50,0),100),IFERROR(MATCH($A31,Do!$F$51:$AQ$51,0),100),IFERROR(MATCH($A31,Do!$F$52:$AQ$52,0),100),IFERROR(MATCH($A31,Do!$F$53:$AQ$53,0),100),IFERROR(MATCH($A31,Do!$F$54:$AQ$54,0),100),IFERROR(MATCH($A31,Do!$F$55:$AQ$55,0),100),IFERROR(MATCH($A31,Do!$F$56:$AQ$56,0),100),IFERROR(MATCH($A31,Do!$F$57:$AQ$57,0),100),IFERROR(MATCH($A31,Do!$F$58:$AQ$58,0),100),IFERROR(MATCH($A31,Do!$F$59:$AQ$59,0),100),IFERROR(MATCH($A31,Do!$F$60:$AQ$60,0),100),IFERROR(MATCH($A31,Do!$F$61:$AQ$61,0),100),IFERROR(MATCH($A31,Do!$F$62:$AQ$62,0),100),IFERROR(MATCH($A31,Do!$F$63:$AQ$63,0),100),39)</f>
        <v/>
      </c>
      <c r="J31" s="66">
        <f>IFERROR(IF(VLOOKUP(INDEX(Do!$B$12:$B$63,MATCH($A31,OFFSET( Do!$F$12:$F$63,0,(I31*48)-(IF(I31=7/24,9,IF(I31=12.5/24,9,IF(I31=14/24,9,IF(I31=15.5/24,9,10)))))),0),0),Do!$B$13:$C$63,2,FALSE)="TL","",INDEX(Do!$B$12:$B$63,MATCH($A31,OFFSET( Do!$F$12:$F$63,0,(I31*48)-(IF(I31=7/24,9,IF(I31=12.5/24,9,IF(I31=14/24,9,IF(I31=15.5/24,9,10)))))),0),0)),"")</f>
        <v/>
      </c>
      <c r="K31" s="857">
        <f>9/48+(1/48)*MIN(IFERROR(MATCH($A31,Vr!$F$13:$AQ$13,0),100),IFERROR(MATCH($A31,Vr!$F$14:$AQ$14,0),100),IFERROR(MATCH($A31,Vr!$F$15:$AQ$15,0),100),IFERROR(MATCH($A31,Vr!$F$16:$AQ$16,0),100),IFERROR(MATCH($A31,Vr!$F$17:$AQ$17,0),100),IFERROR(MATCH($A31,Vr!$F$18:$AQ$18,0),100),IFERROR(MATCH($A31,Vr!$F$19:$AQ$19,0),100),IFERROR(MATCH($A31,Vr!$F$20:$AQ$20,0),100),IFERROR(MATCH($A31,Vr!$F$21:$AQ$21,0),100),IFERROR(MATCH($A31,Vr!$F$22:$AQ$22,0),100),IFERROR(MATCH($A31,Vr!$F$23:$AQ$23,0),100),IFERROR(MATCH($A31,Vr!$F$24:$AQ$24,0),100),IFERROR(MATCH($A31,Vr!$F$25:$AQ$25,0),100),IFERROR(MATCH($A31,Vr!$F$26:$AQ$26,0),100),IFERROR(MATCH($A31,Vr!$F$27:$AQ$27,0),100),IFERROR(MATCH($A31,Vr!$F$28:$AQ$28,0),100),IFERROR(MATCH($A31,Vr!$F$29:$AQ$29,0),100),IFERROR(MATCH($A31,Vr!$F$30:$AQ$30,0),100),IFERROR(MATCH($A31,Vr!$F$31:$AQ$31,0),100),IFERROR(MATCH($A31,Vr!$F$32:$AQ$32,0),100),IFERROR(MATCH($A31,Vr!$F$33:$AQ$33,0),100),IFERROR(MATCH($A31,Vr!$F$34:$AQ$34,0),100),IFERROR(MATCH($A31,Vr!$F$35:$AQ$35,0),100),IFERROR(MATCH($A31,Vr!$F$36:$AQ$36,0),100),IFERROR(MATCH($A31,Vr!$F$37:$AQ$37,0),100),IFERROR(MATCH($A31,Vr!$F$38:$AQ$38,0),100),IFERROR(MATCH($A31,Vr!$F$39:$AQ$39,0),100),IFERROR(MATCH($A31,Vr!$F$40:$AQ$40,0),100),IFERROR(MATCH($A31,Vr!$F$41:$AQ$41,0),100),IFERROR(MATCH($A31,Vr!$F$42:$AQ$42,0),100),IFERROR(MATCH($A31,Vr!$F$43:$AQ$43,0),100),IFERROR(MATCH($A31,Vr!$F$44:$AQ$44,0),100),IFERROR(MATCH($A31,Vr!$F$45:$AQ$45,0),100),IFERROR(MATCH($A31,Vr!$F$46:$AQ$46,0),100),IFERROR(MATCH($A31,Vr!$F$47:$AQ$47,0),100),IFERROR(MATCH($A31,Vr!$F$48:$AQ$48,0),100),IFERROR(MATCH($A31,Vr!$F$49:$AQ$49,0),100),IFERROR(MATCH($A31,Vr!$F$50:$AQ$50,0),100),IFERROR(MATCH($A31,Vr!$F$51:$AQ$51,0),100),IFERROR(MATCH($A31,Vr!$F$52:$AQ$52,0),100),IFERROR(MATCH($A31,Vr!$F$53:$AQ$53,0),100),IFERROR(MATCH($A31,Vr!$F$54:$AQ$54,0),100),IFERROR(MATCH($A31,Vr!$F$55:$AQ$55,0),100),IFERROR(MATCH($A31,Vr!$F$56:$AQ$56,0),100),IFERROR(MATCH($A31,Vr!$F$57:$AQ$57,0),100),IFERROR(MATCH($A31,Vr!$F$58:$AQ$58,0),100),IFERROR(MATCH($A31,Vr!$F$59:$AQ$59,0),100),IFERROR(MATCH($A31,Vr!$F$60:$AQ$60,0),100),IFERROR(MATCH($A31,Vr!$F$61:$AQ$61,0),100),IFERROR(MATCH($A31,Vr!$F$62:$AQ$62,0),100),IFERROR(MATCH($A31,Vr!$F$63:$AQ$63,0),100),39)</f>
        <v/>
      </c>
      <c r="L31" s="66">
        <f>IFERROR(IF(VLOOKUP(INDEX(Vr!$B$12:$B$63,MATCH($A31,OFFSET( Vr!$F$12:$F$63,0,(K31*48)-(IF(K31=7/24,9,IF(K31=12.5/24,9,IF(K31=14/24,9,IF(K31=15.5/24,9,10)))))),0),0),Vr!$B$13:$C$63,2,FALSE)="TL","",INDEX(Vr!$B$12:$B$63,MATCH($A31,OFFSET( Vr!$F$12:$F$63,0,(K31*48)-(IF(K31=7/24,9,IF(K31=12.5/24,9,IF(K31=14/24,9,IF(K31=15.5/24,9,10)))))),0),0)),"")</f>
        <v/>
      </c>
      <c r="M31" s="857">
        <f>9/48+(1/48)*MIN(IFERROR(MATCH($A31,Za!$F$13:$AQ$13,0),100),IFERROR(MATCH($A31,Za!$F$14:$AQ$14,0),100),IFERROR(MATCH($A31,Za!$F$15:$AQ$15,0),100),IFERROR(MATCH($A31,Za!$F$16:$AQ$16,0),100),IFERROR(MATCH($A31,Za!$F$17:$AQ$17,0),100),IFERROR(MATCH($A31,Za!$F$18:$AQ$18,0),100),IFERROR(MATCH($A31,Za!$F$19:$AQ$19,0),100),IFERROR(MATCH($A31,Za!$F$20:$AQ$20,0),100),IFERROR(MATCH($A31,Za!$F$21:$AQ$21,0),100),IFERROR(MATCH($A31,Za!$F$22:$AQ$22,0),100),IFERROR(MATCH($A31,Za!$F$23:$AQ$23,0),100),IFERROR(MATCH($A31,Za!$F$24:$AQ$24,0),100),IFERROR(MATCH($A31,Za!$F$25:$AQ$25,0),100),IFERROR(MATCH($A31,Za!$F$26:$AQ$26,0),100),IFERROR(MATCH($A31,Za!$F$27:$AQ$27,0),100),IFERROR(MATCH($A31,Za!$F$28:$AQ$28,0),100),IFERROR(MATCH($A31,Za!$F$29:$AQ$29,0),100),IFERROR(MATCH($A31,Za!$F$30:$AQ$30,0),100),IFERROR(MATCH($A31,Za!$F$31:$AQ$31,0),100),IFERROR(MATCH($A31,Za!$F$32:$AQ$32,0),100),IFERROR(MATCH($A31,Za!$F$33:$AQ$33,0),100),IFERROR(MATCH($A31,Za!$F$34:$AQ$34,0),100),IFERROR(MATCH($A31,Za!$F$35:$AQ$35,0),100),IFERROR(MATCH($A31,Za!$F$36:$AQ$36,0),100),IFERROR(MATCH($A31,Za!$F$37:$AQ$37,0),100),IFERROR(MATCH($A31,Za!$F$38:$AQ$38,0),100),IFERROR(MATCH($A31,Za!$F$39:$AQ$39,0),100),IFERROR(MATCH($A31,Za!$F$40:$AQ$40,0),100),IFERROR(MATCH($A31,Za!$F$41:$AQ$41,0),100),IFERROR(MATCH($A31,Za!$F$42:$AQ$42,0),100),IFERROR(MATCH($A31,Za!$F$43:$AQ$43,0),100),IFERROR(MATCH($A31,Za!$F$44:$AQ$44,0),100),IFERROR(MATCH($A31,Za!$F$45:$AQ$45,0),100),IFERROR(MATCH($A31,Za!$F$46:$AQ$46,0),100),IFERROR(MATCH($A31,Za!$F$47:$AQ$47,0),100),IFERROR(MATCH($A31,Za!$F$48:$AQ$48,0),100),IFERROR(MATCH($A31,Za!$F$49:$AQ$49,0),100),IFERROR(MATCH($A31,Za!$F$50:$AQ$50,0),100),IFERROR(MATCH($A31,Za!$F$51:$AQ$51,0),100),IFERROR(MATCH($A31,Za!$F$52:$AQ$52,0),100),IFERROR(MATCH($A31,Za!$F$53:$AQ$53,0),100),IFERROR(MATCH($A31,Za!$F$54:$AQ$54,0),100),IFERROR(MATCH($A31,Za!$F$55:$AQ$55,0),100),IFERROR(MATCH($A31,Za!$F$56:$AQ$56,0),100),IFERROR(MATCH($A31,Za!$F$57:$AQ$57,0),100),IFERROR(MATCH($A31,Za!$F$58:$AQ$58,0),100),IFERROR(MATCH($A31,Za!$F$59:$AQ$59,0),100),IFERROR(MATCH($A31,Za!$F$60:$AQ$60,0),100),IFERROR(MATCH($A31,Za!$F$61:$AQ$61,0),100),IFERROR(MATCH($A31,Za!$F$62:$AQ$62,0),100),IFERROR(MATCH($A31,Za!$F$63:$AQ$63,0),100),39)</f>
        <v/>
      </c>
      <c r="N31" s="66">
        <f>IFERROR(IF(VLOOKUP(INDEX(Za!$B$12:$B$63,MATCH($A31,OFFSET( Za!$F$12:$F$63,0,(M31*48)-(IF(M31=7/24,9,IF(M31=12.5/24,9,IF(M31=14/24,9,IF(M31=15.5/24,9,10)))))),0),0),Za!$B$13:$C$63,2,FALSE)="TL","",INDEX(Za!$B$12:$B$63,MATCH($A31,OFFSET( Za!$F$12:$F$63,0,(M31*48)-(IF(M31=7/24,9,IF(M31=12.5/24,9,IF(M31=14/24,9,IF(M31=15.5/24,9,10)))))),0),0)),"")</f>
        <v/>
      </c>
      <c r="O31" s="857">
        <f>9/48+(1/48)*MIN(IFERROR(MATCH($A31,Zo!$F$13:$AQ$13,0),100),IFERROR(MATCH($A31,Zo!$F$14:$AQ$14,0),100),IFERROR(MATCH($A31,Zo!$F$15:$AQ$15,0),100),IFERROR(MATCH($A31,Zo!$F$16:$AQ$16,0),100),IFERROR(MATCH($A31,Zo!$F$17:$AQ$17,0),100),IFERROR(MATCH($A31,Zo!$F$18:$AQ$18,0),100),IFERROR(MATCH($A31,Zo!$F$19:$AQ$19,0),100),IFERROR(MATCH($A31,Zo!$F$20:$AQ$20,0),100),IFERROR(MATCH($A31,Zo!$F$21:$AQ$21,0),100),IFERROR(MATCH($A31,Zo!$F$22:$AQ$22,0),100),IFERROR(MATCH($A31,Zo!$F$23:$AQ$23,0),100),IFERROR(MATCH($A31,Zo!$F$24:$AQ$24,0),100),IFERROR(MATCH($A31,Zo!$F$25:$AQ$25,0),100),IFERROR(MATCH($A31,Zo!$F$26:$AQ$26,0),100),IFERROR(MATCH($A31,Zo!$F$27:$AQ$27,0),100),IFERROR(MATCH($A31,Zo!$F$28:$AQ$28,0),100),IFERROR(MATCH($A31,Zo!$F$29:$AQ$29,0),100),IFERROR(MATCH($A31,Zo!$F$30:$AQ$30,0),100),IFERROR(MATCH($A31,Zo!$F$31:$AQ$31,0),100),IFERROR(MATCH($A31,Zo!$F$32:$AQ$32,0),100),IFERROR(MATCH($A31,Zo!$F$33:$AQ$33,0),100),IFERROR(MATCH($A31,Zo!$F$34:$AQ$34,0),100),IFERROR(MATCH($A31,Zo!$F$35:$AQ$35,0),100),IFERROR(MATCH($A31,Zo!$F$36:$AQ$36,0),100),IFERROR(MATCH($A31,Zo!$F$37:$AQ$37,0),100),IFERROR(MATCH($A31,Zo!$F$38:$AQ$38,0),100),IFERROR(MATCH($A31,Zo!$F$39:$AQ$39,0),100),IFERROR(MATCH($A31,Zo!$F$40:$AQ$40,0),100),IFERROR(MATCH($A31,Zo!$F$41:$AQ$41,0),100),IFERROR(MATCH($A31,Zo!$F$42:$AQ$42,0),100),IFERROR(MATCH($A31,Zo!$F$43:$AQ$43,0),100),IFERROR(MATCH($A31,Zo!$F$44:$AQ$44,0),100),IFERROR(MATCH($A31,Zo!$F$45:$AQ$45,0),100),IFERROR(MATCH($A31,Zo!$F$46:$AQ$46,0),100),IFERROR(MATCH($A31,Zo!$F$47:$AQ$47,0),100),IFERROR(MATCH($A31,Zo!$F$48:$AQ$48,0),100),IFERROR(MATCH($A31,Zo!$F$49:$AQ$49,0),100),IFERROR(MATCH($A31,Zo!$F$50:$AQ$50,0),100),IFERROR(MATCH($A31,Zo!$F$51:$AQ$51,0),100),IFERROR(MATCH($A31,Zo!$F$52:$AQ$52,0),100),IFERROR(MATCH($A31,Zo!$F$53:$AQ$53,0),100),IFERROR(MATCH($A31,Zo!$F$54:$AQ$54,0),100),IFERROR(MATCH($A31,Zo!$F$55:$AQ$55,0),100),IFERROR(MATCH($A31,Zo!$F$56:$AQ$56,0),100),IFERROR(MATCH($A31,Zo!$F$57:$AQ$57,0),100),IFERROR(MATCH($A31,Zo!$F$58:$AQ$58,0),100),IFERROR(MATCH($A31,Zo!$F$59:$AQ$59,0),100),IFERROR(MATCH($A31,Zo!$F$60:$AQ$60,0),100),IFERROR(MATCH($A31,Zo!$F$61:$AQ$61,0),100),IFERROR(MATCH($A31,Zo!$F$62:$AQ$62,0),100),IFERROR(MATCH($A31,Zo!$F$63:$AQ$63,0),100),39)</f>
        <v/>
      </c>
      <c r="P31" s="66">
        <f>IFERROR(IF(VLOOKUP(INDEX(Zo!$B$12:$B$63,MATCH($A31,OFFSET( Zo!$F$12:$F$63,0,(O31*48)-(IF(O31=7/24,9,IF(O31=12.5/24,9,IF(O31=14/24,9,IF(O31=15.5/24,9,10)))))),0),0),Zo!$B$13:$C$63,2,FALSE)="TL","",INDEX(Zo!$B$12:$B$63,MATCH($A31,OFFSET( Zo!$F$12:$F$63,0,(O31*48)-(IF(O31=7/24,9,IF(O31=12.5/24,9,IF(O31=14/24,9,IF(O31=15.5/24,9,10)))))),0),0)),"")</f>
        <v/>
      </c>
    </row>
    <row r="32" ht="15" customHeight="1">
      <c r="A32" s="66" t="inlineStr">
        <is>
          <t>mt</t>
        </is>
      </c>
      <c r="B32" s="67">
        <f>A32</f>
        <v/>
      </c>
      <c r="C32" s="857">
        <f>9/48+(1/48)*MIN(IFERROR(MATCH($A32,Ma!$F$13:$AQ$13,0),100),IFERROR(MATCH($A32,Ma!$F$14:$AQ$14,0),100),IFERROR(MATCH($A32,Ma!$F$15:$AQ$15,0),100),IFERROR(MATCH($A32,Ma!$F$16:$AQ$16,0),100),IFERROR(MATCH($A32,Ma!$F$17:$AQ$17,0),100),IFERROR(MATCH($A32,Ma!$F$18:$AQ$18,0),100),IFERROR(MATCH($A32,Ma!$F$19:$AQ$19,0),100),IFERROR(MATCH($A32,Ma!$F$20:$AQ$20,0),100),IFERROR(MATCH($A32,Ma!$F$21:$AQ$21,0),100),IFERROR(MATCH($A32,Ma!$F$22:$AQ$22,0),100),IFERROR(MATCH($A32,Ma!$F$23:$AQ$23,0),100),IFERROR(MATCH($A32,Ma!$F$24:$AQ$24,0),100),IFERROR(MATCH($A32,Ma!$F$25:$AQ$25,0),100),IFERROR(MATCH($A32,Ma!$F$26:$AQ$26,0),100),IFERROR(MATCH($A32,Ma!$F$27:$AQ$27,0),100),IFERROR(MATCH($A32,Ma!$F$28:$AQ$28,0),100),IFERROR(MATCH($A32,Ma!$F$29:$AQ$29,0),100),IFERROR(MATCH($A32,Ma!$F$30:$AQ$30,0),100),IFERROR(MATCH($A32,Ma!$F$31:$AQ$31,0),100),IFERROR(MATCH($A32,Ma!$F$32:$AQ$32,0),100),IFERROR(MATCH($A32,Ma!$F$33:$AQ$33,0),100),IFERROR(MATCH($A32,Ma!$F$34:$AQ$34,0),100),IFERROR(MATCH($A32,Ma!$F$35:$AQ$35,0),100),IFERROR(MATCH($A32,Ma!$F$36:$AQ$36,0),100),IFERROR(MATCH($A32,Ma!$F$37:$AQ$37,0),100),IFERROR(MATCH($A32,Ma!$F$38:$AQ$38,0),100),IFERROR(MATCH($A32,Ma!$F$39:$AQ$39,0),100),IFERROR(MATCH($A32,Ma!$F$40:$AQ$40,0),100),IFERROR(MATCH($A32,Ma!$F$41:$AQ$41,0),100),IFERROR(MATCH($A32,Ma!$F$42:$AQ$42,0),100),IFERROR(MATCH($A32,Ma!$F$43:$AQ$43,0),100),IFERROR(MATCH($A32,Ma!$F$44:$AQ$44,0),100),IFERROR(MATCH($A32,Ma!$F$45:$AQ$45,0),100),IFERROR(MATCH($A32,Ma!$F$46:$AQ$46,0),100),IFERROR(MATCH($A32,Ma!$F$47:$AQ$47,0),100),IFERROR(MATCH($A32,Ma!$F$48:$AQ$48,0),100),IFERROR(MATCH($A32,Ma!$F$49:$AQ$49,0),100),IFERROR(MATCH($A32,Ma!$F$50:$AQ$50,0),100),IFERROR(MATCH($A32,Ma!$F$51:$AQ$51,0),100),IFERROR(MATCH($A32,Ma!$F$52:$AQ$52,0),100),IFERROR(MATCH($A32,Ma!$F$53:$AQ$53,0),100),IFERROR(MATCH($A32,Ma!$F$54:$AQ$54,0),100),IFERROR(MATCH($A32,Ma!$F$55:$AQ$55,0),100),IFERROR(MATCH($A32,Ma!$F$56:$AQ$56,0),100),IFERROR(MATCH($A32,Ma!$F$57:$AQ$57,0),100),IFERROR(MATCH($A32,Ma!$F$58:$AQ$58,0),100),IFERROR(MATCH($A32,Ma!$F$59:$AQ$59,0),100),IFERROR(MATCH($A32,Ma!$F$60:$AQ$60,0),100),IFERROR(MATCH($A32,Ma!$F$61:$AQ$61,0),100),IFERROR(MATCH($A32,Ma!$F$62:$AQ$62,0),100),IFERROR(MATCH($A32,Ma!$F$63:$AQ$63,0),100),39)</f>
        <v/>
      </c>
      <c r="D32" s="66">
        <f>IFERROR(IF(VLOOKUP(INDEX(Ma!$B$12:$B$63,MATCH($A32,OFFSET( Ma!$F$12:$F$63,0,(C32*48)-(IF(C32=7/24,9,IF(C32=12.5/24,9,IF(C32=14/24,9,IF(C32=15.5/24,9,10)))))),0),0),Ma!$B$13:$C$63,2,FALSE)="TL","",INDEX(Ma!$B$12:$B$63,MATCH($A32,OFFSET( Ma!$F$12:$F$63,0,(C32*48)-(IF(C32=7/24,9,IF(C32=12.5/24,9,IF(C32=14/24,9,IF(C32=15.5/24,9,10)))))),0),0)),"")</f>
        <v/>
      </c>
      <c r="E32" s="857">
        <f>9/48+(1/48)*MIN(IFERROR(MATCH($A32,Di!$F$13:$AQ$13,0),100),IFERROR(MATCH($A32,Di!$F$14:$AQ$14,0),100),IFERROR(MATCH($A32,Di!$F$15:$AQ$15,0),100),IFERROR(MATCH($A32,Di!$F$16:$AQ$16,0),100),IFERROR(MATCH($A32,Di!$F$17:$AQ$17,0),100),IFERROR(MATCH($A32,Di!$F$18:$AQ$18,0),100),IFERROR(MATCH($A32,Di!$F$19:$AQ$19,0),100),IFERROR(MATCH($A32,Di!$F$20:$AQ$20,0),100),IFERROR(MATCH($A32,Di!$F$21:$AQ$21,0),100),IFERROR(MATCH($A32,Di!$F$22:$AQ$22,0),100),IFERROR(MATCH($A32,Di!$F$23:$AQ$23,0),100),IFERROR(MATCH($A32,Di!$F$24:$AQ$24,0),100),IFERROR(MATCH($A32,Di!$F$25:$AQ$25,0),100),IFERROR(MATCH($A32,Di!$F$26:$AQ$26,0),100),IFERROR(MATCH($A32,Di!$F$27:$AQ$27,0),100),IFERROR(MATCH($A32,Di!$F$28:$AQ$28,0),100),IFERROR(MATCH($A32,Di!$F$29:$AQ$29,0),100),IFERROR(MATCH($A32,Di!$F$30:$AQ$30,0),100),IFERROR(MATCH($A32,Di!$F$31:$AQ$31,0),100),IFERROR(MATCH($A32,Di!$F$32:$AQ$32,0),100),IFERROR(MATCH($A32,Di!$F$33:$AQ$33,0),100),IFERROR(MATCH($A32,Di!$F$34:$AQ$34,0),100),IFERROR(MATCH($A32,Di!$F$35:$AQ$35,0),100),IFERROR(MATCH($A32,Di!$F$36:$AQ$36,0),100),IFERROR(MATCH($A32,Di!$F$37:$AQ$37,0),100),IFERROR(MATCH($A32,Di!$F$38:$AQ$38,0),100),IFERROR(MATCH($A32,Di!$F$39:$AQ$39,0),100),IFERROR(MATCH($A32,Di!$F$40:$AQ$40,0),100),IFERROR(MATCH($A32,Di!$F$41:$AQ$41,0),100),IFERROR(MATCH($A32,Di!$F$42:$AQ$42,0),100),IFERROR(MATCH($A32,Di!$F$43:$AQ$43,0),100),IFERROR(MATCH($A32,Di!$F$44:$AQ$44,0),100),IFERROR(MATCH($A32,Di!$F$45:$AQ$45,0),100),IFERROR(MATCH($A32,Di!$F$46:$AQ$46,0),100),IFERROR(MATCH($A32,Di!$F$47:$AQ$47,0),100),IFERROR(MATCH($A32,Di!$F$48:$AQ$48,0),100),IFERROR(MATCH($A32,Di!$F$49:$AQ$49,0),100),IFERROR(MATCH($A32,Di!$F$50:$AQ$50,0),100),IFERROR(MATCH($A32,Di!$F$51:$AQ$51,0),100),IFERROR(MATCH($A32,Di!$F$52:$AQ$52,0),100),IFERROR(MATCH($A32,Di!$F$53:$AQ$53,0),100),IFERROR(MATCH($A32,Di!$F$54:$AQ$54,0),100),IFERROR(MATCH($A32,Di!$F$55:$AQ$55,0),100),IFERROR(MATCH($A32,Di!$F$56:$AQ$56,0),100),IFERROR(MATCH($A32,Di!$F$57:$AQ$57,0),100),IFERROR(MATCH($A32,Di!$F$58:$AQ$58,0),100),IFERROR(MATCH($A32,Di!$F$59:$AQ$59,0),100),IFERROR(MATCH($A32,Di!$F$60:$AQ$60,0),100),IFERROR(MATCH($A32,Di!$F$61:$AQ$61,0),100),IFERROR(MATCH($A32,Di!$F$62:$AQ$62,0),100),IFERROR(MATCH($A32,Di!$F$63:$AQ$63,0),100),39)</f>
        <v/>
      </c>
      <c r="F32" s="66">
        <f>IFERROR(IF(VLOOKUP(INDEX(Di!$B$12:$B$63,MATCH($A32,OFFSET( Di!$F$12:$F$63,0,(E32*48)-(IF(E32=7/24,9,IF(E32=12.5/24,9,IF(E32=14/24,9,IF(E32=15.5/24,9,10)))))),0),0),Di!$B$13:$C$63,2,FALSE)="TL","",INDEX(Di!$B$12:$B$63,MATCH($A32,OFFSET( Di!$F$12:$F$63,0,(E32*48)-(IF(E32=7/24,9,IF(E32=12.5/24,9,IF(E32=14/24,9,IF(E32=15.5/24,9,10)))))),0),0)),"")</f>
        <v/>
      </c>
      <c r="G32" s="857">
        <f>9/48+(1/48)*MIN(IFERROR(MATCH($A32,Wo!$F$13:$AQ$13,0),100),IFERROR(MATCH($A32,Wo!$F$14:$AQ$14,0),100),IFERROR(MATCH($A32,Wo!$F$15:$AQ$15,0),100),IFERROR(MATCH($A32,Wo!$F$16:$AQ$16,0),100),IFERROR(MATCH($A32,Wo!$F$17:$AQ$17,0),100),IFERROR(MATCH($A32,Wo!$F$18:$AQ$18,0),100),IFERROR(MATCH($A32,Wo!$F$19:$AQ$19,0),100),IFERROR(MATCH($A32,Wo!$F$20:$AQ$20,0),100),IFERROR(MATCH($A32,Wo!$F$21:$AQ$21,0),100),IFERROR(MATCH($A32,Wo!$F$22:$AQ$22,0),100),IFERROR(MATCH($A32,Wo!$F$23:$AQ$23,0),100),IFERROR(MATCH($A32,Wo!$F$24:$AQ$24,0),100),IFERROR(MATCH($A32,Wo!$F$25:$AQ$25,0),100),IFERROR(MATCH($A32,Wo!$F$26:$AQ$26,0),100),IFERROR(MATCH($A32,Wo!$F$27:$AQ$27,0),100),IFERROR(MATCH($A32,Wo!$F$28:$AQ$28,0),100),IFERROR(MATCH($A32,Wo!$F$29:$AQ$29,0),100),IFERROR(MATCH($A32,Wo!$F$30:$AQ$30,0),100),IFERROR(MATCH($A32,Wo!$F$31:$AQ$31,0),100),IFERROR(MATCH($A32,Wo!$F$32:$AQ$32,0),100),IFERROR(MATCH($A32,Wo!$F$33:$AQ$33,0),100),IFERROR(MATCH($A32,Wo!$F$34:$AQ$34,0),100),IFERROR(MATCH($A32,Wo!$F$35:$AQ$35,0),100),IFERROR(MATCH($A32,Wo!$F$36:$AQ$36,0),100),IFERROR(MATCH($A32,Wo!$F$37:$AQ$37,0),100),IFERROR(MATCH($A32,Wo!$F$38:$AQ$38,0),100),IFERROR(MATCH($A32,Wo!$F$39:$AQ$39,0),100),IFERROR(MATCH($A32,Wo!$F$40:$AQ$40,0),100),IFERROR(MATCH($A32,Wo!$F$41:$AQ$41,0),100),IFERROR(MATCH($A32,Wo!$F$42:$AQ$42,0),100),IFERROR(MATCH($A32,Wo!$F$43:$AQ$43,0),100),IFERROR(MATCH($A32,Wo!$F$44:$AQ$44,0),100),IFERROR(MATCH($A32,Wo!$F$45:$AQ$45,0),100),IFERROR(MATCH($A32,Wo!$F$46:$AQ$46,0),100),IFERROR(MATCH($A32,Wo!$F$47:$AQ$47,0),100),IFERROR(MATCH($A32,Wo!$F$48:$AQ$48,0),100),IFERROR(MATCH($A32,Wo!$F$49:$AQ$49,0),100),IFERROR(MATCH($A32,Wo!$F$50:$AQ$50,0),100),IFERROR(MATCH($A32,Wo!$F$51:$AQ$51,0),100),IFERROR(MATCH($A32,Wo!$F$52:$AQ$52,0),100),IFERROR(MATCH($A32,Wo!$F$53:$AQ$53,0),100),IFERROR(MATCH($A32,Wo!$F$54:$AQ$54,0),100),IFERROR(MATCH($A32,Wo!$F$55:$AQ$55,0),100),IFERROR(MATCH($A32,Wo!$F$56:$AQ$56,0),100),IFERROR(MATCH($A32,Wo!$F$57:$AQ$57,0),100),IFERROR(MATCH($A32,Wo!$F$58:$AQ$58,0),100),IFERROR(MATCH($A32,Wo!$F$59:$AQ$59,0),100),IFERROR(MATCH($A32,Wo!$F$60:$AQ$60,0),100),IFERROR(MATCH($A32,Wo!$F$61:$AQ$61,0),100),IFERROR(MATCH($A32,Wo!$F$62:$AQ$62,0),100),IFERROR(MATCH($A32,Wo!$F$63:$AQ$63,0),100),39)</f>
        <v/>
      </c>
      <c r="H32" s="66">
        <f>IFERROR(IF(VLOOKUP(INDEX(Wo!$B$12:$B$63,MATCH($A32,OFFSET( Wo!$F$12:$F$63,0,(G32*48)-(IF(G32=7/24,9,IF(G32=12.5/24,9,IF(G32=14/24,9,IF(G32=15.5/24,9,10)))))),0),0),Wo!$B$13:$C$63,2,FALSE)="TL","",INDEX(Wo!$B$12:$B$63,MATCH($A32,OFFSET( Wo!$F$12:$F$63,0,(G32*48)-(IF(G32=7/24,9,IF(G32=12.5/24,9,IF(G32=14/24,9,IF(G32=15.5/24,9,10)))))),0),0)),"")</f>
        <v/>
      </c>
      <c r="I32" s="857">
        <f>9/48+(1/48)*MIN(IFERROR(MATCH($A32,Do!$F$13:$AQ$13,0),100),IFERROR(MATCH($A32,Do!$F$14:$AQ$14,0),100),IFERROR(MATCH($A32,Do!$F$15:$AQ$15,0),100),IFERROR(MATCH($A32,Do!$F$16:$AQ$16,0),100),IFERROR(MATCH($A32,Do!$F$17:$AQ$17,0),100),IFERROR(MATCH($A32,Do!$F$18:$AQ$18,0),100),IFERROR(MATCH($A32,Do!$F$19:$AQ$19,0),100),IFERROR(MATCH($A32,Do!$F$20:$AQ$20,0),100),IFERROR(MATCH($A32,Do!$F$21:$AQ$21,0),100),IFERROR(MATCH($A32,Do!$F$22:$AQ$22,0),100),IFERROR(MATCH($A32,Do!$F$23:$AQ$23,0),100),IFERROR(MATCH($A32,Do!$F$24:$AQ$24,0),100),IFERROR(MATCH($A32,Do!$F$25:$AQ$25,0),100),IFERROR(MATCH($A32,Do!$F$26:$AQ$26,0),100),IFERROR(MATCH($A32,Do!$F$27:$AQ$27,0),100),IFERROR(MATCH($A32,Do!$F$28:$AQ$28,0),100),IFERROR(MATCH($A32,Do!$F$29:$AQ$29,0),100),IFERROR(MATCH($A32,Do!$F$30:$AQ$30,0),100),IFERROR(MATCH($A32,Do!$F$31:$AQ$31,0),100),IFERROR(MATCH($A32,Do!$F$32:$AQ$32,0),100),IFERROR(MATCH($A32,Do!$F$33:$AQ$33,0),100),IFERROR(MATCH($A32,Do!$F$34:$AQ$34,0),100),IFERROR(MATCH($A32,Do!$F$35:$AQ$35,0),100),IFERROR(MATCH($A32,Do!$F$36:$AQ$36,0),100),IFERROR(MATCH($A32,Do!$F$37:$AQ$37,0),100),IFERROR(MATCH($A32,Do!$F$38:$AQ$38,0),100),IFERROR(MATCH($A32,Do!$F$39:$AQ$39,0),100),IFERROR(MATCH($A32,Do!$F$40:$AQ$40,0),100),IFERROR(MATCH($A32,Do!$F$41:$AQ$41,0),100),IFERROR(MATCH($A32,Do!$F$42:$AQ$42,0),100),IFERROR(MATCH($A32,Do!$F$43:$AQ$43,0),100),IFERROR(MATCH($A32,Do!$F$44:$AQ$44,0),100),IFERROR(MATCH($A32,Do!$F$45:$AQ$45,0),100),IFERROR(MATCH($A32,Do!$F$46:$AQ$46,0),100),IFERROR(MATCH($A32,Do!$F$47:$AQ$47,0),100),IFERROR(MATCH($A32,Do!$F$48:$AQ$48,0),100),IFERROR(MATCH($A32,Do!$F$49:$AQ$49,0),100),IFERROR(MATCH($A32,Do!$F$50:$AQ$50,0),100),IFERROR(MATCH($A32,Do!$F$51:$AQ$51,0),100),IFERROR(MATCH($A32,Do!$F$52:$AQ$52,0),100),IFERROR(MATCH($A32,Do!$F$53:$AQ$53,0),100),IFERROR(MATCH($A32,Do!$F$54:$AQ$54,0),100),IFERROR(MATCH($A32,Do!$F$55:$AQ$55,0),100),IFERROR(MATCH($A32,Do!$F$56:$AQ$56,0),100),IFERROR(MATCH($A32,Do!$F$57:$AQ$57,0),100),IFERROR(MATCH($A32,Do!$F$58:$AQ$58,0),100),IFERROR(MATCH($A32,Do!$F$59:$AQ$59,0),100),IFERROR(MATCH($A32,Do!$F$60:$AQ$60,0),100),IFERROR(MATCH($A32,Do!$F$61:$AQ$61,0),100),IFERROR(MATCH($A32,Do!$F$62:$AQ$62,0),100),IFERROR(MATCH($A32,Do!$F$63:$AQ$63,0),100),39)</f>
        <v/>
      </c>
      <c r="J32" s="66">
        <f>IFERROR(IF(VLOOKUP(INDEX(Do!$B$12:$B$63,MATCH($A32,OFFSET( Do!$F$12:$F$63,0,(I32*48)-(IF(I32=7/24,9,IF(I32=12.5/24,9,IF(I32=14/24,9,IF(I32=15.5/24,9,10)))))),0),0),Do!$B$13:$C$63,2,FALSE)="TL","",INDEX(Do!$B$12:$B$63,MATCH($A32,OFFSET( Do!$F$12:$F$63,0,(I32*48)-(IF(I32=7/24,9,IF(I32=12.5/24,9,IF(I32=14/24,9,IF(I32=15.5/24,9,10)))))),0),0)),"")</f>
        <v/>
      </c>
      <c r="K32" s="857">
        <f>9/48+(1/48)*MIN(IFERROR(MATCH($A32,Vr!$F$13:$AQ$13,0),100),IFERROR(MATCH($A32,Vr!$F$14:$AQ$14,0),100),IFERROR(MATCH($A32,Vr!$F$15:$AQ$15,0),100),IFERROR(MATCH($A32,Vr!$F$16:$AQ$16,0),100),IFERROR(MATCH($A32,Vr!$F$17:$AQ$17,0),100),IFERROR(MATCH($A32,Vr!$F$18:$AQ$18,0),100),IFERROR(MATCH($A32,Vr!$F$19:$AQ$19,0),100),IFERROR(MATCH($A32,Vr!$F$20:$AQ$20,0),100),IFERROR(MATCH($A32,Vr!$F$21:$AQ$21,0),100),IFERROR(MATCH($A32,Vr!$F$22:$AQ$22,0),100),IFERROR(MATCH($A32,Vr!$F$23:$AQ$23,0),100),IFERROR(MATCH($A32,Vr!$F$24:$AQ$24,0),100),IFERROR(MATCH($A32,Vr!$F$25:$AQ$25,0),100),IFERROR(MATCH($A32,Vr!$F$26:$AQ$26,0),100),IFERROR(MATCH($A32,Vr!$F$27:$AQ$27,0),100),IFERROR(MATCH($A32,Vr!$F$28:$AQ$28,0),100),IFERROR(MATCH($A32,Vr!$F$29:$AQ$29,0),100),IFERROR(MATCH($A32,Vr!$F$30:$AQ$30,0),100),IFERROR(MATCH($A32,Vr!$F$31:$AQ$31,0),100),IFERROR(MATCH($A32,Vr!$F$32:$AQ$32,0),100),IFERROR(MATCH($A32,Vr!$F$33:$AQ$33,0),100),IFERROR(MATCH($A32,Vr!$F$34:$AQ$34,0),100),IFERROR(MATCH($A32,Vr!$F$35:$AQ$35,0),100),IFERROR(MATCH($A32,Vr!$F$36:$AQ$36,0),100),IFERROR(MATCH($A32,Vr!$F$37:$AQ$37,0),100),IFERROR(MATCH($A32,Vr!$F$38:$AQ$38,0),100),IFERROR(MATCH($A32,Vr!$F$39:$AQ$39,0),100),IFERROR(MATCH($A32,Vr!$F$40:$AQ$40,0),100),IFERROR(MATCH($A32,Vr!$F$41:$AQ$41,0),100),IFERROR(MATCH($A32,Vr!$F$42:$AQ$42,0),100),IFERROR(MATCH($A32,Vr!$F$43:$AQ$43,0),100),IFERROR(MATCH($A32,Vr!$F$44:$AQ$44,0),100),IFERROR(MATCH($A32,Vr!$F$45:$AQ$45,0),100),IFERROR(MATCH($A32,Vr!$F$46:$AQ$46,0),100),IFERROR(MATCH($A32,Vr!$F$47:$AQ$47,0),100),IFERROR(MATCH($A32,Vr!$F$48:$AQ$48,0),100),IFERROR(MATCH($A32,Vr!$F$49:$AQ$49,0),100),IFERROR(MATCH($A32,Vr!$F$50:$AQ$50,0),100),IFERROR(MATCH($A32,Vr!$F$51:$AQ$51,0),100),IFERROR(MATCH($A32,Vr!$F$52:$AQ$52,0),100),IFERROR(MATCH($A32,Vr!$F$53:$AQ$53,0),100),IFERROR(MATCH($A32,Vr!$F$54:$AQ$54,0),100),IFERROR(MATCH($A32,Vr!$F$55:$AQ$55,0),100),IFERROR(MATCH($A32,Vr!$F$56:$AQ$56,0),100),IFERROR(MATCH($A32,Vr!$F$57:$AQ$57,0),100),IFERROR(MATCH($A32,Vr!$F$58:$AQ$58,0),100),IFERROR(MATCH($A32,Vr!$F$59:$AQ$59,0),100),IFERROR(MATCH($A32,Vr!$F$60:$AQ$60,0),100),IFERROR(MATCH($A32,Vr!$F$61:$AQ$61,0),100),IFERROR(MATCH($A32,Vr!$F$62:$AQ$62,0),100),IFERROR(MATCH($A32,Vr!$F$63:$AQ$63,0),100),39)</f>
        <v/>
      </c>
      <c r="L32" s="66">
        <f>IFERROR(IF(VLOOKUP(INDEX(Vr!$B$12:$B$63,MATCH($A32,OFFSET( Vr!$F$12:$F$63,0,(K32*48)-(IF(K32=7/24,9,IF(K32=12.5/24,9,IF(K32=14/24,9,IF(K32=15.5/24,9,10)))))),0),0),Vr!$B$13:$C$63,2,FALSE)="TL","",INDEX(Vr!$B$12:$B$63,MATCH($A32,OFFSET( Vr!$F$12:$F$63,0,(K32*48)-(IF(K32=7/24,9,IF(K32=12.5/24,9,IF(K32=14/24,9,IF(K32=15.5/24,9,10)))))),0),0)),"")</f>
        <v/>
      </c>
      <c r="M32" s="857">
        <f>9/48+(1/48)*MIN(IFERROR(MATCH($A32,Za!$F$13:$AQ$13,0),100),IFERROR(MATCH($A32,Za!$F$14:$AQ$14,0),100),IFERROR(MATCH($A32,Za!$F$15:$AQ$15,0),100),IFERROR(MATCH($A32,Za!$F$16:$AQ$16,0),100),IFERROR(MATCH($A32,Za!$F$17:$AQ$17,0),100),IFERROR(MATCH($A32,Za!$F$18:$AQ$18,0),100),IFERROR(MATCH($A32,Za!$F$19:$AQ$19,0),100),IFERROR(MATCH($A32,Za!$F$20:$AQ$20,0),100),IFERROR(MATCH($A32,Za!$F$21:$AQ$21,0),100),IFERROR(MATCH($A32,Za!$F$22:$AQ$22,0),100),IFERROR(MATCH($A32,Za!$F$23:$AQ$23,0),100),IFERROR(MATCH($A32,Za!$F$24:$AQ$24,0),100),IFERROR(MATCH($A32,Za!$F$25:$AQ$25,0),100),IFERROR(MATCH($A32,Za!$F$26:$AQ$26,0),100),IFERROR(MATCH($A32,Za!$F$27:$AQ$27,0),100),IFERROR(MATCH($A32,Za!$F$28:$AQ$28,0),100),IFERROR(MATCH($A32,Za!$F$29:$AQ$29,0),100),IFERROR(MATCH($A32,Za!$F$30:$AQ$30,0),100),IFERROR(MATCH($A32,Za!$F$31:$AQ$31,0),100),IFERROR(MATCH($A32,Za!$F$32:$AQ$32,0),100),IFERROR(MATCH($A32,Za!$F$33:$AQ$33,0),100),IFERROR(MATCH($A32,Za!$F$34:$AQ$34,0),100),IFERROR(MATCH($A32,Za!$F$35:$AQ$35,0),100),IFERROR(MATCH($A32,Za!$F$36:$AQ$36,0),100),IFERROR(MATCH($A32,Za!$F$37:$AQ$37,0),100),IFERROR(MATCH($A32,Za!$F$38:$AQ$38,0),100),IFERROR(MATCH($A32,Za!$F$39:$AQ$39,0),100),IFERROR(MATCH($A32,Za!$F$40:$AQ$40,0),100),IFERROR(MATCH($A32,Za!$F$41:$AQ$41,0),100),IFERROR(MATCH($A32,Za!$F$42:$AQ$42,0),100),IFERROR(MATCH($A32,Za!$F$43:$AQ$43,0),100),IFERROR(MATCH($A32,Za!$F$44:$AQ$44,0),100),IFERROR(MATCH($A32,Za!$F$45:$AQ$45,0),100),IFERROR(MATCH($A32,Za!$F$46:$AQ$46,0),100),IFERROR(MATCH($A32,Za!$F$47:$AQ$47,0),100),IFERROR(MATCH($A32,Za!$F$48:$AQ$48,0),100),IFERROR(MATCH($A32,Za!$F$49:$AQ$49,0),100),IFERROR(MATCH($A32,Za!$F$50:$AQ$50,0),100),IFERROR(MATCH($A32,Za!$F$51:$AQ$51,0),100),IFERROR(MATCH($A32,Za!$F$52:$AQ$52,0),100),IFERROR(MATCH($A32,Za!$F$53:$AQ$53,0),100),IFERROR(MATCH($A32,Za!$F$54:$AQ$54,0),100),IFERROR(MATCH($A32,Za!$F$55:$AQ$55,0),100),IFERROR(MATCH($A32,Za!$F$56:$AQ$56,0),100),IFERROR(MATCH($A32,Za!$F$57:$AQ$57,0),100),IFERROR(MATCH($A32,Za!$F$58:$AQ$58,0),100),IFERROR(MATCH($A32,Za!$F$59:$AQ$59,0),100),IFERROR(MATCH($A32,Za!$F$60:$AQ$60,0),100),IFERROR(MATCH($A32,Za!$F$61:$AQ$61,0),100),IFERROR(MATCH($A32,Za!$F$62:$AQ$62,0),100),IFERROR(MATCH($A32,Za!$F$63:$AQ$63,0),100),39)</f>
        <v/>
      </c>
      <c r="N32" s="66">
        <f>IFERROR(IF(VLOOKUP(INDEX(Za!$B$12:$B$63,MATCH($A32,OFFSET( Za!$F$12:$F$63,0,(M32*48)-(IF(M32=7/24,9,IF(M32=12.5/24,9,IF(M32=14/24,9,IF(M32=15.5/24,9,10)))))),0),0),Za!$B$13:$C$63,2,FALSE)="TL","",INDEX(Za!$B$12:$B$63,MATCH($A32,OFFSET( Za!$F$12:$F$63,0,(M32*48)-(IF(M32=7/24,9,IF(M32=12.5/24,9,IF(M32=14/24,9,IF(M32=15.5/24,9,10)))))),0),0)),"")</f>
        <v/>
      </c>
      <c r="O32" s="857">
        <f>9/48+(1/48)*MIN(IFERROR(MATCH($A32,Zo!$F$13:$AQ$13,0),100),IFERROR(MATCH($A32,Zo!$F$14:$AQ$14,0),100),IFERROR(MATCH($A32,Zo!$F$15:$AQ$15,0),100),IFERROR(MATCH($A32,Zo!$F$16:$AQ$16,0),100),IFERROR(MATCH($A32,Zo!$F$17:$AQ$17,0),100),IFERROR(MATCH($A32,Zo!$F$18:$AQ$18,0),100),IFERROR(MATCH($A32,Zo!$F$19:$AQ$19,0),100),IFERROR(MATCH($A32,Zo!$F$20:$AQ$20,0),100),IFERROR(MATCH($A32,Zo!$F$21:$AQ$21,0),100),IFERROR(MATCH($A32,Zo!$F$22:$AQ$22,0),100),IFERROR(MATCH($A32,Zo!$F$23:$AQ$23,0),100),IFERROR(MATCH($A32,Zo!$F$24:$AQ$24,0),100),IFERROR(MATCH($A32,Zo!$F$25:$AQ$25,0),100),IFERROR(MATCH($A32,Zo!$F$26:$AQ$26,0),100),IFERROR(MATCH($A32,Zo!$F$27:$AQ$27,0),100),IFERROR(MATCH($A32,Zo!$F$28:$AQ$28,0),100),IFERROR(MATCH($A32,Zo!$F$29:$AQ$29,0),100),IFERROR(MATCH($A32,Zo!$F$30:$AQ$30,0),100),IFERROR(MATCH($A32,Zo!$F$31:$AQ$31,0),100),IFERROR(MATCH($A32,Zo!$F$32:$AQ$32,0),100),IFERROR(MATCH($A32,Zo!$F$33:$AQ$33,0),100),IFERROR(MATCH($A32,Zo!$F$34:$AQ$34,0),100),IFERROR(MATCH($A32,Zo!$F$35:$AQ$35,0),100),IFERROR(MATCH($A32,Zo!$F$36:$AQ$36,0),100),IFERROR(MATCH($A32,Zo!$F$37:$AQ$37,0),100),IFERROR(MATCH($A32,Zo!$F$38:$AQ$38,0),100),IFERROR(MATCH($A32,Zo!$F$39:$AQ$39,0),100),IFERROR(MATCH($A32,Zo!$F$40:$AQ$40,0),100),IFERROR(MATCH($A32,Zo!$F$41:$AQ$41,0),100),IFERROR(MATCH($A32,Zo!$F$42:$AQ$42,0),100),IFERROR(MATCH($A32,Zo!$F$43:$AQ$43,0),100),IFERROR(MATCH($A32,Zo!$F$44:$AQ$44,0),100),IFERROR(MATCH($A32,Zo!$F$45:$AQ$45,0),100),IFERROR(MATCH($A32,Zo!$F$46:$AQ$46,0),100),IFERROR(MATCH($A32,Zo!$F$47:$AQ$47,0),100),IFERROR(MATCH($A32,Zo!$F$48:$AQ$48,0),100),IFERROR(MATCH($A32,Zo!$F$49:$AQ$49,0),100),IFERROR(MATCH($A32,Zo!$F$50:$AQ$50,0),100),IFERROR(MATCH($A32,Zo!$F$51:$AQ$51,0),100),IFERROR(MATCH($A32,Zo!$F$52:$AQ$52,0),100),IFERROR(MATCH($A32,Zo!$F$53:$AQ$53,0),100),IFERROR(MATCH($A32,Zo!$F$54:$AQ$54,0),100),IFERROR(MATCH($A32,Zo!$F$55:$AQ$55,0),100),IFERROR(MATCH($A32,Zo!$F$56:$AQ$56,0),100),IFERROR(MATCH($A32,Zo!$F$57:$AQ$57,0),100),IFERROR(MATCH($A32,Zo!$F$58:$AQ$58,0),100),IFERROR(MATCH($A32,Zo!$F$59:$AQ$59,0),100),IFERROR(MATCH($A32,Zo!$F$60:$AQ$60,0),100),IFERROR(MATCH($A32,Zo!$F$61:$AQ$61,0),100),IFERROR(MATCH($A32,Zo!$F$62:$AQ$62,0),100),IFERROR(MATCH($A32,Zo!$F$63:$AQ$63,0),100),39)</f>
        <v/>
      </c>
      <c r="P32" s="66">
        <f>IFERROR(IF(VLOOKUP(INDEX(Zo!$B$12:$B$63,MATCH($A32,OFFSET( Zo!$F$12:$F$63,0,(O32*48)-(IF(O32=7/24,9,IF(O32=12.5/24,9,IF(O32=14/24,9,IF(O32=15.5/24,9,10)))))),0),0),Zo!$B$13:$C$63,2,FALSE)="TL","",INDEX(Zo!$B$12:$B$63,MATCH($A32,OFFSET( Zo!$F$12:$F$63,0,(O32*48)-(IF(O32=7/24,9,IF(O32=12.5/24,9,IF(O32=14/24,9,IF(O32=15.5/24,9,10)))))),0),0)),"")</f>
        <v/>
      </c>
    </row>
    <row r="33" ht="15" customHeight="1">
      <c r="A33" s="66" t="inlineStr">
        <is>
          <t>ov</t>
        </is>
      </c>
      <c r="B33" s="67">
        <f>A33</f>
        <v/>
      </c>
      <c r="C33" s="857">
        <f>9/48+(1/48)*MIN(IFERROR(MATCH($A33,Ma!$F$13:$AQ$13,0),100),IFERROR(MATCH($A33,Ma!$F$14:$AQ$14,0),100),IFERROR(MATCH($A33,Ma!$F$15:$AQ$15,0),100),IFERROR(MATCH($A33,Ma!$F$16:$AQ$16,0),100),IFERROR(MATCH($A33,Ma!$F$17:$AQ$17,0),100),IFERROR(MATCH($A33,Ma!$F$18:$AQ$18,0),100),IFERROR(MATCH($A33,Ma!$F$19:$AQ$19,0),100),IFERROR(MATCH($A33,Ma!$F$20:$AQ$20,0),100),IFERROR(MATCH($A33,Ma!$F$21:$AQ$21,0),100),IFERROR(MATCH($A33,Ma!$F$22:$AQ$22,0),100),IFERROR(MATCH($A33,Ma!$F$23:$AQ$23,0),100),IFERROR(MATCH($A33,Ma!$F$24:$AQ$24,0),100),IFERROR(MATCH($A33,Ma!$F$25:$AQ$25,0),100),IFERROR(MATCH($A33,Ma!$F$26:$AQ$26,0),100),IFERROR(MATCH($A33,Ma!$F$27:$AQ$27,0),100),IFERROR(MATCH($A33,Ma!$F$28:$AQ$28,0),100),IFERROR(MATCH($A33,Ma!$F$29:$AQ$29,0),100),IFERROR(MATCH($A33,Ma!$F$30:$AQ$30,0),100),IFERROR(MATCH($A33,Ma!$F$31:$AQ$31,0),100),IFERROR(MATCH($A33,Ma!$F$32:$AQ$32,0),100),IFERROR(MATCH($A33,Ma!$F$33:$AQ$33,0),100),IFERROR(MATCH($A33,Ma!$F$34:$AQ$34,0),100),IFERROR(MATCH($A33,Ma!$F$35:$AQ$35,0),100),IFERROR(MATCH($A33,Ma!$F$36:$AQ$36,0),100),IFERROR(MATCH($A33,Ma!$F$37:$AQ$37,0),100),IFERROR(MATCH($A33,Ma!$F$38:$AQ$38,0),100),IFERROR(MATCH($A33,Ma!$F$39:$AQ$39,0),100),IFERROR(MATCH($A33,Ma!$F$40:$AQ$40,0),100),IFERROR(MATCH($A33,Ma!$F$41:$AQ$41,0),100),IFERROR(MATCH($A33,Ma!$F$42:$AQ$42,0),100),IFERROR(MATCH($A33,Ma!$F$43:$AQ$43,0),100),IFERROR(MATCH($A33,Ma!$F$44:$AQ$44,0),100),IFERROR(MATCH($A33,Ma!$F$45:$AQ$45,0),100),IFERROR(MATCH($A33,Ma!$F$46:$AQ$46,0),100),IFERROR(MATCH($A33,Ma!$F$47:$AQ$47,0),100),IFERROR(MATCH($A33,Ma!$F$48:$AQ$48,0),100),IFERROR(MATCH($A33,Ma!$F$49:$AQ$49,0),100),IFERROR(MATCH($A33,Ma!$F$50:$AQ$50,0),100),IFERROR(MATCH($A33,Ma!$F$51:$AQ$51,0),100),IFERROR(MATCH($A33,Ma!$F$52:$AQ$52,0),100),IFERROR(MATCH($A33,Ma!$F$53:$AQ$53,0),100),IFERROR(MATCH($A33,Ma!$F$54:$AQ$54,0),100),IFERROR(MATCH($A33,Ma!$F$55:$AQ$55,0),100),IFERROR(MATCH($A33,Ma!$F$56:$AQ$56,0),100),IFERROR(MATCH($A33,Ma!$F$57:$AQ$57,0),100),IFERROR(MATCH($A33,Ma!$F$58:$AQ$58,0),100),IFERROR(MATCH($A33,Ma!$F$59:$AQ$59,0),100),IFERROR(MATCH($A33,Ma!$F$60:$AQ$60,0),100),IFERROR(MATCH($A33,Ma!$F$61:$AQ$61,0),100),IFERROR(MATCH($A33,Ma!$F$62:$AQ$62,0),100),IFERROR(MATCH($A33,Ma!$F$63:$AQ$63,0),100),39)</f>
        <v/>
      </c>
      <c r="D33" s="66">
        <f>IFERROR(IF(VLOOKUP(INDEX(Ma!$B$12:$B$63,MATCH($A33,OFFSET( Ma!$F$12:$F$63,0,(C33*48)-(IF(C33=7/24,9,IF(C33=12.5/24,9,IF(C33=14/24,9,IF(C33=15.5/24,9,10)))))),0),0),Ma!$B$13:$C$63,2,FALSE)="TL","",INDEX(Ma!$B$12:$B$63,MATCH($A33,OFFSET( Ma!$F$12:$F$63,0,(C33*48)-(IF(C33=7/24,9,IF(C33=12.5/24,9,IF(C33=14/24,9,IF(C33=15.5/24,9,10)))))),0),0)),"")</f>
        <v/>
      </c>
      <c r="E33" s="857">
        <f>9/48+(1/48)*MIN(IFERROR(MATCH($A33,Di!$F$13:$AQ$13,0),100),IFERROR(MATCH($A33,Di!$F$14:$AQ$14,0),100),IFERROR(MATCH($A33,Di!$F$15:$AQ$15,0),100),IFERROR(MATCH($A33,Di!$F$16:$AQ$16,0),100),IFERROR(MATCH($A33,Di!$F$17:$AQ$17,0),100),IFERROR(MATCH($A33,Di!$F$18:$AQ$18,0),100),IFERROR(MATCH($A33,Di!$F$19:$AQ$19,0),100),IFERROR(MATCH($A33,Di!$F$20:$AQ$20,0),100),IFERROR(MATCH($A33,Di!$F$21:$AQ$21,0),100),IFERROR(MATCH($A33,Di!$F$22:$AQ$22,0),100),IFERROR(MATCH($A33,Di!$F$23:$AQ$23,0),100),IFERROR(MATCH($A33,Di!$F$24:$AQ$24,0),100),IFERROR(MATCH($A33,Di!$F$25:$AQ$25,0),100),IFERROR(MATCH($A33,Di!$F$26:$AQ$26,0),100),IFERROR(MATCH($A33,Di!$F$27:$AQ$27,0),100),IFERROR(MATCH($A33,Di!$F$28:$AQ$28,0),100),IFERROR(MATCH($A33,Di!$F$29:$AQ$29,0),100),IFERROR(MATCH($A33,Di!$F$30:$AQ$30,0),100),IFERROR(MATCH($A33,Di!$F$31:$AQ$31,0),100),IFERROR(MATCH($A33,Di!$F$32:$AQ$32,0),100),IFERROR(MATCH($A33,Di!$F$33:$AQ$33,0),100),IFERROR(MATCH($A33,Di!$F$34:$AQ$34,0),100),IFERROR(MATCH($A33,Di!$F$35:$AQ$35,0),100),IFERROR(MATCH($A33,Di!$F$36:$AQ$36,0),100),IFERROR(MATCH($A33,Di!$F$37:$AQ$37,0),100),IFERROR(MATCH($A33,Di!$F$38:$AQ$38,0),100),IFERROR(MATCH($A33,Di!$F$39:$AQ$39,0),100),IFERROR(MATCH($A33,Di!$F$40:$AQ$40,0),100),IFERROR(MATCH($A33,Di!$F$41:$AQ$41,0),100),IFERROR(MATCH($A33,Di!$F$42:$AQ$42,0),100),IFERROR(MATCH($A33,Di!$F$43:$AQ$43,0),100),IFERROR(MATCH($A33,Di!$F$44:$AQ$44,0),100),IFERROR(MATCH($A33,Di!$F$45:$AQ$45,0),100),IFERROR(MATCH($A33,Di!$F$46:$AQ$46,0),100),IFERROR(MATCH($A33,Di!$F$47:$AQ$47,0),100),IFERROR(MATCH($A33,Di!$F$48:$AQ$48,0),100),IFERROR(MATCH($A33,Di!$F$49:$AQ$49,0),100),IFERROR(MATCH($A33,Di!$F$50:$AQ$50,0),100),IFERROR(MATCH($A33,Di!$F$51:$AQ$51,0),100),IFERROR(MATCH($A33,Di!$F$52:$AQ$52,0),100),IFERROR(MATCH($A33,Di!$F$53:$AQ$53,0),100),IFERROR(MATCH($A33,Di!$F$54:$AQ$54,0),100),IFERROR(MATCH($A33,Di!$F$55:$AQ$55,0),100),IFERROR(MATCH($A33,Di!$F$56:$AQ$56,0),100),IFERROR(MATCH($A33,Di!$F$57:$AQ$57,0),100),IFERROR(MATCH($A33,Di!$F$58:$AQ$58,0),100),IFERROR(MATCH($A33,Di!$F$59:$AQ$59,0),100),IFERROR(MATCH($A33,Di!$F$60:$AQ$60,0),100),IFERROR(MATCH($A33,Di!$F$61:$AQ$61,0),100),IFERROR(MATCH($A33,Di!$F$62:$AQ$62,0),100),IFERROR(MATCH($A33,Di!$F$63:$AQ$63,0),100),39)</f>
        <v/>
      </c>
      <c r="F33" s="66">
        <f>IFERROR(IF(VLOOKUP(INDEX(Di!$B$12:$B$63,MATCH($A33,OFFSET( Di!$F$12:$F$63,0,(E33*48)-(IF(E33=7/24,9,IF(E33=12.5/24,9,IF(E33=14/24,9,IF(E33=15.5/24,9,10)))))),0),0),Di!$B$13:$C$63,2,FALSE)="TL","",INDEX(Di!$B$12:$B$63,MATCH($A33,OFFSET( Di!$F$12:$F$63,0,(E33*48)-(IF(E33=7/24,9,IF(E33=12.5/24,9,IF(E33=14/24,9,IF(E33=15.5/24,9,10)))))),0),0)),"")</f>
        <v/>
      </c>
      <c r="G33" s="857">
        <f>9/48+(1/48)*MIN(IFERROR(MATCH($A33,Wo!$F$13:$AQ$13,0),100),IFERROR(MATCH($A33,Wo!$F$14:$AQ$14,0),100),IFERROR(MATCH($A33,Wo!$F$15:$AQ$15,0),100),IFERROR(MATCH($A33,Wo!$F$16:$AQ$16,0),100),IFERROR(MATCH($A33,Wo!$F$17:$AQ$17,0),100),IFERROR(MATCH($A33,Wo!$F$18:$AQ$18,0),100),IFERROR(MATCH($A33,Wo!$F$19:$AQ$19,0),100),IFERROR(MATCH($A33,Wo!$F$20:$AQ$20,0),100),IFERROR(MATCH($A33,Wo!$F$21:$AQ$21,0),100),IFERROR(MATCH($A33,Wo!$F$22:$AQ$22,0),100),IFERROR(MATCH($A33,Wo!$F$23:$AQ$23,0),100),IFERROR(MATCH($A33,Wo!$F$24:$AQ$24,0),100),IFERROR(MATCH($A33,Wo!$F$25:$AQ$25,0),100),IFERROR(MATCH($A33,Wo!$F$26:$AQ$26,0),100),IFERROR(MATCH($A33,Wo!$F$27:$AQ$27,0),100),IFERROR(MATCH($A33,Wo!$F$28:$AQ$28,0),100),IFERROR(MATCH($A33,Wo!$F$29:$AQ$29,0),100),IFERROR(MATCH($A33,Wo!$F$30:$AQ$30,0),100),IFERROR(MATCH($A33,Wo!$F$31:$AQ$31,0),100),IFERROR(MATCH($A33,Wo!$F$32:$AQ$32,0),100),IFERROR(MATCH($A33,Wo!$F$33:$AQ$33,0),100),IFERROR(MATCH($A33,Wo!$F$34:$AQ$34,0),100),IFERROR(MATCH($A33,Wo!$F$35:$AQ$35,0),100),IFERROR(MATCH($A33,Wo!$F$36:$AQ$36,0),100),IFERROR(MATCH($A33,Wo!$F$37:$AQ$37,0),100),IFERROR(MATCH($A33,Wo!$F$38:$AQ$38,0),100),IFERROR(MATCH($A33,Wo!$F$39:$AQ$39,0),100),IFERROR(MATCH($A33,Wo!$F$40:$AQ$40,0),100),IFERROR(MATCH($A33,Wo!$F$41:$AQ$41,0),100),IFERROR(MATCH($A33,Wo!$F$42:$AQ$42,0),100),IFERROR(MATCH($A33,Wo!$F$43:$AQ$43,0),100),IFERROR(MATCH($A33,Wo!$F$44:$AQ$44,0),100),IFERROR(MATCH($A33,Wo!$F$45:$AQ$45,0),100),IFERROR(MATCH($A33,Wo!$F$46:$AQ$46,0),100),IFERROR(MATCH($A33,Wo!$F$47:$AQ$47,0),100),IFERROR(MATCH($A33,Wo!$F$48:$AQ$48,0),100),IFERROR(MATCH($A33,Wo!$F$49:$AQ$49,0),100),IFERROR(MATCH($A33,Wo!$F$50:$AQ$50,0),100),IFERROR(MATCH($A33,Wo!$F$51:$AQ$51,0),100),IFERROR(MATCH($A33,Wo!$F$52:$AQ$52,0),100),IFERROR(MATCH($A33,Wo!$F$53:$AQ$53,0),100),IFERROR(MATCH($A33,Wo!$F$54:$AQ$54,0),100),IFERROR(MATCH($A33,Wo!$F$55:$AQ$55,0),100),IFERROR(MATCH($A33,Wo!$F$56:$AQ$56,0),100),IFERROR(MATCH($A33,Wo!$F$57:$AQ$57,0),100),IFERROR(MATCH($A33,Wo!$F$58:$AQ$58,0),100),IFERROR(MATCH($A33,Wo!$F$59:$AQ$59,0),100),IFERROR(MATCH($A33,Wo!$F$60:$AQ$60,0),100),IFERROR(MATCH($A33,Wo!$F$61:$AQ$61,0),100),IFERROR(MATCH($A33,Wo!$F$62:$AQ$62,0),100),IFERROR(MATCH($A33,Wo!$F$63:$AQ$63,0),100),39)</f>
        <v/>
      </c>
      <c r="H33" s="66">
        <f>IFERROR(IF(VLOOKUP(INDEX(Wo!$B$12:$B$63,MATCH($A33,OFFSET( Wo!$F$12:$F$63,0,(G33*48)-(IF(G33=7/24,9,IF(G33=12.5/24,9,IF(G33=14/24,9,IF(G33=15.5/24,9,10)))))),0),0),Wo!$B$13:$C$63,2,FALSE)="TL","",INDEX(Wo!$B$12:$B$63,MATCH($A33,OFFSET( Wo!$F$12:$F$63,0,(G33*48)-(IF(G33=7/24,9,IF(G33=12.5/24,9,IF(G33=14/24,9,IF(G33=15.5/24,9,10)))))),0),0)),"")</f>
        <v/>
      </c>
      <c r="I33" s="857">
        <f>9/48+(1/48)*MIN(IFERROR(MATCH($A33,Do!$F$13:$AQ$13,0),100),IFERROR(MATCH($A33,Do!$F$14:$AQ$14,0),100),IFERROR(MATCH($A33,Do!$F$15:$AQ$15,0),100),IFERROR(MATCH($A33,Do!$F$16:$AQ$16,0),100),IFERROR(MATCH($A33,Do!$F$17:$AQ$17,0),100),IFERROR(MATCH($A33,Do!$F$18:$AQ$18,0),100),IFERROR(MATCH($A33,Do!$F$19:$AQ$19,0),100),IFERROR(MATCH($A33,Do!$F$20:$AQ$20,0),100),IFERROR(MATCH($A33,Do!$F$21:$AQ$21,0),100),IFERROR(MATCH($A33,Do!$F$22:$AQ$22,0),100),IFERROR(MATCH($A33,Do!$F$23:$AQ$23,0),100),IFERROR(MATCH($A33,Do!$F$24:$AQ$24,0),100),IFERROR(MATCH($A33,Do!$F$25:$AQ$25,0),100),IFERROR(MATCH($A33,Do!$F$26:$AQ$26,0),100),IFERROR(MATCH($A33,Do!$F$27:$AQ$27,0),100),IFERROR(MATCH($A33,Do!$F$28:$AQ$28,0),100),IFERROR(MATCH($A33,Do!$F$29:$AQ$29,0),100),IFERROR(MATCH($A33,Do!$F$30:$AQ$30,0),100),IFERROR(MATCH($A33,Do!$F$31:$AQ$31,0),100),IFERROR(MATCH($A33,Do!$F$32:$AQ$32,0),100),IFERROR(MATCH($A33,Do!$F$33:$AQ$33,0),100),IFERROR(MATCH($A33,Do!$F$34:$AQ$34,0),100),IFERROR(MATCH($A33,Do!$F$35:$AQ$35,0),100),IFERROR(MATCH($A33,Do!$F$36:$AQ$36,0),100),IFERROR(MATCH($A33,Do!$F$37:$AQ$37,0),100),IFERROR(MATCH($A33,Do!$F$38:$AQ$38,0),100),IFERROR(MATCH($A33,Do!$F$39:$AQ$39,0),100),IFERROR(MATCH($A33,Do!$F$40:$AQ$40,0),100),IFERROR(MATCH($A33,Do!$F$41:$AQ$41,0),100),IFERROR(MATCH($A33,Do!$F$42:$AQ$42,0),100),IFERROR(MATCH($A33,Do!$F$43:$AQ$43,0),100),IFERROR(MATCH($A33,Do!$F$44:$AQ$44,0),100),IFERROR(MATCH($A33,Do!$F$45:$AQ$45,0),100),IFERROR(MATCH($A33,Do!$F$46:$AQ$46,0),100),IFERROR(MATCH($A33,Do!$F$47:$AQ$47,0),100),IFERROR(MATCH($A33,Do!$F$48:$AQ$48,0),100),IFERROR(MATCH($A33,Do!$F$49:$AQ$49,0),100),IFERROR(MATCH($A33,Do!$F$50:$AQ$50,0),100),IFERROR(MATCH($A33,Do!$F$51:$AQ$51,0),100),IFERROR(MATCH($A33,Do!$F$52:$AQ$52,0),100),IFERROR(MATCH($A33,Do!$F$53:$AQ$53,0),100),IFERROR(MATCH($A33,Do!$F$54:$AQ$54,0),100),IFERROR(MATCH($A33,Do!$F$55:$AQ$55,0),100),IFERROR(MATCH($A33,Do!$F$56:$AQ$56,0),100),IFERROR(MATCH($A33,Do!$F$57:$AQ$57,0),100),IFERROR(MATCH($A33,Do!$F$58:$AQ$58,0),100),IFERROR(MATCH($A33,Do!$F$59:$AQ$59,0),100),IFERROR(MATCH($A33,Do!$F$60:$AQ$60,0),100),IFERROR(MATCH($A33,Do!$F$61:$AQ$61,0),100),IFERROR(MATCH($A33,Do!$F$62:$AQ$62,0),100),IFERROR(MATCH($A33,Do!$F$63:$AQ$63,0),100),39)</f>
        <v/>
      </c>
      <c r="J33" s="66">
        <f>IFERROR(IF(VLOOKUP(INDEX(Do!$B$12:$B$63,MATCH($A33,OFFSET( Do!$F$12:$F$63,0,(I33*48)-(IF(I33=7/24,9,IF(I33=12.5/24,9,IF(I33=14/24,9,IF(I33=15.5/24,9,10)))))),0),0),Do!$B$13:$C$63,2,FALSE)="TL","",INDEX(Do!$B$12:$B$63,MATCH($A33,OFFSET( Do!$F$12:$F$63,0,(I33*48)-(IF(I33=7/24,9,IF(I33=12.5/24,9,IF(I33=14/24,9,IF(I33=15.5/24,9,10)))))),0),0)),"")</f>
        <v/>
      </c>
      <c r="K33" s="857">
        <f>9/48+(1/48)*MIN(IFERROR(MATCH($A33,Vr!$F$13:$AQ$13,0),100),IFERROR(MATCH($A33,Vr!$F$14:$AQ$14,0),100),IFERROR(MATCH($A33,Vr!$F$15:$AQ$15,0),100),IFERROR(MATCH($A33,Vr!$F$16:$AQ$16,0),100),IFERROR(MATCH($A33,Vr!$F$17:$AQ$17,0),100),IFERROR(MATCH($A33,Vr!$F$18:$AQ$18,0),100),IFERROR(MATCH($A33,Vr!$F$19:$AQ$19,0),100),IFERROR(MATCH($A33,Vr!$F$20:$AQ$20,0),100),IFERROR(MATCH($A33,Vr!$F$21:$AQ$21,0),100),IFERROR(MATCH($A33,Vr!$F$22:$AQ$22,0),100),IFERROR(MATCH($A33,Vr!$F$23:$AQ$23,0),100),IFERROR(MATCH($A33,Vr!$F$24:$AQ$24,0),100),IFERROR(MATCH($A33,Vr!$F$25:$AQ$25,0),100),IFERROR(MATCH($A33,Vr!$F$26:$AQ$26,0),100),IFERROR(MATCH($A33,Vr!$F$27:$AQ$27,0),100),IFERROR(MATCH($A33,Vr!$F$28:$AQ$28,0),100),IFERROR(MATCH($A33,Vr!$F$29:$AQ$29,0),100),IFERROR(MATCH($A33,Vr!$F$30:$AQ$30,0),100),IFERROR(MATCH($A33,Vr!$F$31:$AQ$31,0),100),IFERROR(MATCH($A33,Vr!$F$32:$AQ$32,0),100),IFERROR(MATCH($A33,Vr!$F$33:$AQ$33,0),100),IFERROR(MATCH($A33,Vr!$F$34:$AQ$34,0),100),IFERROR(MATCH($A33,Vr!$F$35:$AQ$35,0),100),IFERROR(MATCH($A33,Vr!$F$36:$AQ$36,0),100),IFERROR(MATCH($A33,Vr!$F$37:$AQ$37,0),100),IFERROR(MATCH($A33,Vr!$F$38:$AQ$38,0),100),IFERROR(MATCH($A33,Vr!$F$39:$AQ$39,0),100),IFERROR(MATCH($A33,Vr!$F$40:$AQ$40,0),100),IFERROR(MATCH($A33,Vr!$F$41:$AQ$41,0),100),IFERROR(MATCH($A33,Vr!$F$42:$AQ$42,0),100),IFERROR(MATCH($A33,Vr!$F$43:$AQ$43,0),100),IFERROR(MATCH($A33,Vr!$F$44:$AQ$44,0),100),IFERROR(MATCH($A33,Vr!$F$45:$AQ$45,0),100),IFERROR(MATCH($A33,Vr!$F$46:$AQ$46,0),100),IFERROR(MATCH($A33,Vr!$F$47:$AQ$47,0),100),IFERROR(MATCH($A33,Vr!$F$48:$AQ$48,0),100),IFERROR(MATCH($A33,Vr!$F$49:$AQ$49,0),100),IFERROR(MATCH($A33,Vr!$F$50:$AQ$50,0),100),IFERROR(MATCH($A33,Vr!$F$51:$AQ$51,0),100),IFERROR(MATCH($A33,Vr!$F$52:$AQ$52,0),100),IFERROR(MATCH($A33,Vr!$F$53:$AQ$53,0),100),IFERROR(MATCH($A33,Vr!$F$54:$AQ$54,0),100),IFERROR(MATCH($A33,Vr!$F$55:$AQ$55,0),100),IFERROR(MATCH($A33,Vr!$F$56:$AQ$56,0),100),IFERROR(MATCH($A33,Vr!$F$57:$AQ$57,0),100),IFERROR(MATCH($A33,Vr!$F$58:$AQ$58,0),100),IFERROR(MATCH($A33,Vr!$F$59:$AQ$59,0),100),IFERROR(MATCH($A33,Vr!$F$60:$AQ$60,0),100),IFERROR(MATCH($A33,Vr!$F$61:$AQ$61,0),100),IFERROR(MATCH($A33,Vr!$F$62:$AQ$62,0),100),IFERROR(MATCH($A33,Vr!$F$63:$AQ$63,0),100),39)</f>
        <v/>
      </c>
      <c r="L33" s="66">
        <f>IFERROR(IF(VLOOKUP(INDEX(Vr!$B$12:$B$63,MATCH($A33,OFFSET( Vr!$F$12:$F$63,0,(K33*48)-(IF(K33=7/24,9,IF(K33=12.5/24,9,IF(K33=14/24,9,IF(K33=15.5/24,9,10)))))),0),0),Vr!$B$13:$C$63,2,FALSE)="TL","",INDEX(Vr!$B$12:$B$63,MATCH($A33,OFFSET( Vr!$F$12:$F$63,0,(K33*48)-(IF(K33=7/24,9,IF(K33=12.5/24,9,IF(K33=14/24,9,IF(K33=15.5/24,9,10)))))),0),0)),"")</f>
        <v/>
      </c>
      <c r="M33" s="857">
        <f>9/48+(1/48)*MIN(IFERROR(MATCH($A33,Za!$F$13:$AQ$13,0),100),IFERROR(MATCH($A33,Za!$F$14:$AQ$14,0),100),IFERROR(MATCH($A33,Za!$F$15:$AQ$15,0),100),IFERROR(MATCH($A33,Za!$F$16:$AQ$16,0),100),IFERROR(MATCH($A33,Za!$F$17:$AQ$17,0),100),IFERROR(MATCH($A33,Za!$F$18:$AQ$18,0),100),IFERROR(MATCH($A33,Za!$F$19:$AQ$19,0),100),IFERROR(MATCH($A33,Za!$F$20:$AQ$20,0),100),IFERROR(MATCH($A33,Za!$F$21:$AQ$21,0),100),IFERROR(MATCH($A33,Za!$F$22:$AQ$22,0),100),IFERROR(MATCH($A33,Za!$F$23:$AQ$23,0),100),IFERROR(MATCH($A33,Za!$F$24:$AQ$24,0),100),IFERROR(MATCH($A33,Za!$F$25:$AQ$25,0),100),IFERROR(MATCH($A33,Za!$F$26:$AQ$26,0),100),IFERROR(MATCH($A33,Za!$F$27:$AQ$27,0),100),IFERROR(MATCH($A33,Za!$F$28:$AQ$28,0),100),IFERROR(MATCH($A33,Za!$F$29:$AQ$29,0),100),IFERROR(MATCH($A33,Za!$F$30:$AQ$30,0),100),IFERROR(MATCH($A33,Za!$F$31:$AQ$31,0),100),IFERROR(MATCH($A33,Za!$F$32:$AQ$32,0),100),IFERROR(MATCH($A33,Za!$F$33:$AQ$33,0),100),IFERROR(MATCH($A33,Za!$F$34:$AQ$34,0),100),IFERROR(MATCH($A33,Za!$F$35:$AQ$35,0),100),IFERROR(MATCH($A33,Za!$F$36:$AQ$36,0),100),IFERROR(MATCH($A33,Za!$F$37:$AQ$37,0),100),IFERROR(MATCH($A33,Za!$F$38:$AQ$38,0),100),IFERROR(MATCH($A33,Za!$F$39:$AQ$39,0),100),IFERROR(MATCH($A33,Za!$F$40:$AQ$40,0),100),IFERROR(MATCH($A33,Za!$F$41:$AQ$41,0),100),IFERROR(MATCH($A33,Za!$F$42:$AQ$42,0),100),IFERROR(MATCH($A33,Za!$F$43:$AQ$43,0),100),IFERROR(MATCH($A33,Za!$F$44:$AQ$44,0),100),IFERROR(MATCH($A33,Za!$F$45:$AQ$45,0),100),IFERROR(MATCH($A33,Za!$F$46:$AQ$46,0),100),IFERROR(MATCH($A33,Za!$F$47:$AQ$47,0),100),IFERROR(MATCH($A33,Za!$F$48:$AQ$48,0),100),IFERROR(MATCH($A33,Za!$F$49:$AQ$49,0),100),IFERROR(MATCH($A33,Za!$F$50:$AQ$50,0),100),IFERROR(MATCH($A33,Za!$F$51:$AQ$51,0),100),IFERROR(MATCH($A33,Za!$F$52:$AQ$52,0),100),IFERROR(MATCH($A33,Za!$F$53:$AQ$53,0),100),IFERROR(MATCH($A33,Za!$F$54:$AQ$54,0),100),IFERROR(MATCH($A33,Za!$F$55:$AQ$55,0),100),IFERROR(MATCH($A33,Za!$F$56:$AQ$56,0),100),IFERROR(MATCH($A33,Za!$F$57:$AQ$57,0),100),IFERROR(MATCH($A33,Za!$F$58:$AQ$58,0),100),IFERROR(MATCH($A33,Za!$F$59:$AQ$59,0),100),IFERROR(MATCH($A33,Za!$F$60:$AQ$60,0),100),IFERROR(MATCH($A33,Za!$F$61:$AQ$61,0),100),IFERROR(MATCH($A33,Za!$F$62:$AQ$62,0),100),IFERROR(MATCH($A33,Za!$F$63:$AQ$63,0),100),39)</f>
        <v/>
      </c>
      <c r="N33" s="66">
        <f>IFERROR(IF(VLOOKUP(INDEX(Za!$B$12:$B$63,MATCH($A33,OFFSET( Za!$F$12:$F$63,0,(M33*48)-(IF(M33=7/24,9,IF(M33=12.5/24,9,IF(M33=14/24,9,IF(M33=15.5/24,9,10)))))),0),0),Za!$B$13:$C$63,2,FALSE)="TL","",INDEX(Za!$B$12:$B$63,MATCH($A33,OFFSET( Za!$F$12:$F$63,0,(M33*48)-(IF(M33=7/24,9,IF(M33=12.5/24,9,IF(M33=14/24,9,IF(M33=15.5/24,9,10)))))),0),0)),"")</f>
        <v/>
      </c>
      <c r="O33" s="857">
        <f>9/48+(1/48)*MIN(IFERROR(MATCH($A33,Zo!$F$13:$AQ$13,0),100),IFERROR(MATCH($A33,Zo!$F$14:$AQ$14,0),100),IFERROR(MATCH($A33,Zo!$F$15:$AQ$15,0),100),IFERROR(MATCH($A33,Zo!$F$16:$AQ$16,0),100),IFERROR(MATCH($A33,Zo!$F$17:$AQ$17,0),100),IFERROR(MATCH($A33,Zo!$F$18:$AQ$18,0),100),IFERROR(MATCH($A33,Zo!$F$19:$AQ$19,0),100),IFERROR(MATCH($A33,Zo!$F$20:$AQ$20,0),100),IFERROR(MATCH($A33,Zo!$F$21:$AQ$21,0),100),IFERROR(MATCH($A33,Zo!$F$22:$AQ$22,0),100),IFERROR(MATCH($A33,Zo!$F$23:$AQ$23,0),100),IFERROR(MATCH($A33,Zo!$F$24:$AQ$24,0),100),IFERROR(MATCH($A33,Zo!$F$25:$AQ$25,0),100),IFERROR(MATCH($A33,Zo!$F$26:$AQ$26,0),100),IFERROR(MATCH($A33,Zo!$F$27:$AQ$27,0),100),IFERROR(MATCH($A33,Zo!$F$28:$AQ$28,0),100),IFERROR(MATCH($A33,Zo!$F$29:$AQ$29,0),100),IFERROR(MATCH($A33,Zo!$F$30:$AQ$30,0),100),IFERROR(MATCH($A33,Zo!$F$31:$AQ$31,0),100),IFERROR(MATCH($A33,Zo!$F$32:$AQ$32,0),100),IFERROR(MATCH($A33,Zo!$F$33:$AQ$33,0),100),IFERROR(MATCH($A33,Zo!$F$34:$AQ$34,0),100),IFERROR(MATCH($A33,Zo!$F$35:$AQ$35,0),100),IFERROR(MATCH($A33,Zo!$F$36:$AQ$36,0),100),IFERROR(MATCH($A33,Zo!$F$37:$AQ$37,0),100),IFERROR(MATCH($A33,Zo!$F$38:$AQ$38,0),100),IFERROR(MATCH($A33,Zo!$F$39:$AQ$39,0),100),IFERROR(MATCH($A33,Zo!$F$40:$AQ$40,0),100),IFERROR(MATCH($A33,Zo!$F$41:$AQ$41,0),100),IFERROR(MATCH($A33,Zo!$F$42:$AQ$42,0),100),IFERROR(MATCH($A33,Zo!$F$43:$AQ$43,0),100),IFERROR(MATCH($A33,Zo!$F$44:$AQ$44,0),100),IFERROR(MATCH($A33,Zo!$F$45:$AQ$45,0),100),IFERROR(MATCH($A33,Zo!$F$46:$AQ$46,0),100),IFERROR(MATCH($A33,Zo!$F$47:$AQ$47,0),100),IFERROR(MATCH($A33,Zo!$F$48:$AQ$48,0),100),IFERROR(MATCH($A33,Zo!$F$49:$AQ$49,0),100),IFERROR(MATCH($A33,Zo!$F$50:$AQ$50,0),100),IFERROR(MATCH($A33,Zo!$F$51:$AQ$51,0),100),IFERROR(MATCH($A33,Zo!$F$52:$AQ$52,0),100),IFERROR(MATCH($A33,Zo!$F$53:$AQ$53,0),100),IFERROR(MATCH($A33,Zo!$F$54:$AQ$54,0),100),IFERROR(MATCH($A33,Zo!$F$55:$AQ$55,0),100),IFERROR(MATCH($A33,Zo!$F$56:$AQ$56,0),100),IFERROR(MATCH($A33,Zo!$F$57:$AQ$57,0),100),IFERROR(MATCH($A33,Zo!$F$58:$AQ$58,0),100),IFERROR(MATCH($A33,Zo!$F$59:$AQ$59,0),100),IFERROR(MATCH($A33,Zo!$F$60:$AQ$60,0),100),IFERROR(MATCH($A33,Zo!$F$61:$AQ$61,0),100),IFERROR(MATCH($A33,Zo!$F$62:$AQ$62,0),100),IFERROR(MATCH($A33,Zo!$F$63:$AQ$63,0),100),39)</f>
        <v/>
      </c>
      <c r="P33" s="66">
        <f>IFERROR(IF(VLOOKUP(INDEX(Zo!$B$12:$B$63,MATCH($A33,OFFSET( Zo!$F$12:$F$63,0,(O33*48)-(IF(O33=7/24,9,IF(O33=12.5/24,9,IF(O33=14/24,9,IF(O33=15.5/24,9,10)))))),0),0),Zo!$B$13:$C$63,2,FALSE)="TL","",INDEX(Zo!$B$12:$B$63,MATCH($A33,OFFSET( Zo!$F$12:$F$63,0,(O33*48)-(IF(O33=7/24,9,IF(O33=12.5/24,9,IF(O33=14/24,9,IF(O33=15.5/24,9,10)))))),0),0)),"")</f>
        <v/>
      </c>
    </row>
    <row r="34" ht="15" customHeight="1">
      <c r="A34" s="66" t="inlineStr">
        <is>
          <t>prt</t>
        </is>
      </c>
      <c r="B34" s="67">
        <f>A34</f>
        <v/>
      </c>
      <c r="C34" s="857">
        <f>9/48+(1/48)*MIN(IFERROR(MATCH($A34,Ma!$F$13:$AQ$13,0),100),IFERROR(MATCH($A34,Ma!$F$14:$AQ$14,0),100),IFERROR(MATCH($A34,Ma!$F$15:$AQ$15,0),100),IFERROR(MATCH($A34,Ma!$F$16:$AQ$16,0),100),IFERROR(MATCH($A34,Ma!$F$17:$AQ$17,0),100),IFERROR(MATCH($A34,Ma!$F$18:$AQ$18,0),100),IFERROR(MATCH($A34,Ma!$F$19:$AQ$19,0),100),IFERROR(MATCH($A34,Ma!$F$20:$AQ$20,0),100),IFERROR(MATCH($A34,Ma!$F$21:$AQ$21,0),100),IFERROR(MATCH($A34,Ma!$F$22:$AQ$22,0),100),IFERROR(MATCH($A34,Ma!$F$23:$AQ$23,0),100),IFERROR(MATCH($A34,Ma!$F$24:$AQ$24,0),100),IFERROR(MATCH($A34,Ma!$F$25:$AQ$25,0),100),IFERROR(MATCH($A34,Ma!$F$26:$AQ$26,0),100),IFERROR(MATCH($A34,Ma!$F$27:$AQ$27,0),100),IFERROR(MATCH($A34,Ma!$F$28:$AQ$28,0),100),IFERROR(MATCH($A34,Ma!$F$29:$AQ$29,0),100),IFERROR(MATCH($A34,Ma!$F$30:$AQ$30,0),100),IFERROR(MATCH($A34,Ma!$F$31:$AQ$31,0),100),IFERROR(MATCH($A34,Ma!$F$32:$AQ$32,0),100),IFERROR(MATCH($A34,Ma!$F$33:$AQ$33,0),100),IFERROR(MATCH($A34,Ma!$F$34:$AQ$34,0),100),IFERROR(MATCH($A34,Ma!$F$35:$AQ$35,0),100),IFERROR(MATCH($A34,Ma!$F$36:$AQ$36,0),100),IFERROR(MATCH($A34,Ma!$F$37:$AQ$37,0),100),IFERROR(MATCH($A34,Ma!$F$38:$AQ$38,0),100),IFERROR(MATCH($A34,Ma!$F$39:$AQ$39,0),100),IFERROR(MATCH($A34,Ma!$F$40:$AQ$40,0),100),IFERROR(MATCH($A34,Ma!$F$41:$AQ$41,0),100),IFERROR(MATCH($A34,Ma!$F$42:$AQ$42,0),100),IFERROR(MATCH($A34,Ma!$F$43:$AQ$43,0),100),IFERROR(MATCH($A34,Ma!$F$44:$AQ$44,0),100),IFERROR(MATCH($A34,Ma!$F$45:$AQ$45,0),100),IFERROR(MATCH($A34,Ma!$F$46:$AQ$46,0),100),IFERROR(MATCH($A34,Ma!$F$47:$AQ$47,0),100),IFERROR(MATCH($A34,Ma!$F$48:$AQ$48,0),100),IFERROR(MATCH($A34,Ma!$F$49:$AQ$49,0),100),IFERROR(MATCH($A34,Ma!$F$50:$AQ$50,0),100),IFERROR(MATCH($A34,Ma!$F$51:$AQ$51,0),100),IFERROR(MATCH($A34,Ma!$F$52:$AQ$52,0),100),IFERROR(MATCH($A34,Ma!$F$53:$AQ$53,0),100),IFERROR(MATCH($A34,Ma!$F$54:$AQ$54,0),100),IFERROR(MATCH($A34,Ma!$F$55:$AQ$55,0),100),IFERROR(MATCH($A34,Ma!$F$56:$AQ$56,0),100),IFERROR(MATCH($A34,Ma!$F$57:$AQ$57,0),100),IFERROR(MATCH($A34,Ma!$F$58:$AQ$58,0),100),IFERROR(MATCH($A34,Ma!$F$59:$AQ$59,0),100),IFERROR(MATCH($A34,Ma!$F$60:$AQ$60,0),100),IFERROR(MATCH($A34,Ma!$F$61:$AQ$61,0),100),IFERROR(MATCH($A34,Ma!$F$62:$AQ$62,0),100),IFERROR(MATCH($A34,Ma!$F$63:$AQ$63,0),100),39)</f>
        <v/>
      </c>
      <c r="D34" s="66">
        <f>IFERROR(IF(VLOOKUP(INDEX(Ma!$B$12:$B$63,MATCH($A34,OFFSET( Ma!$F$12:$F$63,0,(C34*48)-(IF(C34=7/24,9,IF(C34=12.5/24,9,IF(C34=14/24,9,IF(C34=15.5/24,9,10)))))),0),0),Ma!$B$13:$C$63,2,FALSE)="TL","",INDEX(Ma!$B$12:$B$63,MATCH($A34,OFFSET( Ma!$F$12:$F$63,0,(C34*48)-(IF(C34=7/24,9,IF(C34=12.5/24,9,IF(C34=14/24,9,IF(C34=15.5/24,9,10)))))),0),0)),"")</f>
        <v/>
      </c>
      <c r="E34" s="857">
        <f>9/48+(1/48)*MIN(IFERROR(MATCH($A34,Di!$F$13:$AQ$13,0),100),IFERROR(MATCH($A34,Di!$F$14:$AQ$14,0),100),IFERROR(MATCH($A34,Di!$F$15:$AQ$15,0),100),IFERROR(MATCH($A34,Di!$F$16:$AQ$16,0),100),IFERROR(MATCH($A34,Di!$F$17:$AQ$17,0),100),IFERROR(MATCH($A34,Di!$F$18:$AQ$18,0),100),IFERROR(MATCH($A34,Di!$F$19:$AQ$19,0),100),IFERROR(MATCH($A34,Di!$F$20:$AQ$20,0),100),IFERROR(MATCH($A34,Di!$F$21:$AQ$21,0),100),IFERROR(MATCH($A34,Di!$F$22:$AQ$22,0),100),IFERROR(MATCH($A34,Di!$F$23:$AQ$23,0),100),IFERROR(MATCH($A34,Di!$F$24:$AQ$24,0),100),IFERROR(MATCH($A34,Di!$F$25:$AQ$25,0),100),IFERROR(MATCH($A34,Di!$F$26:$AQ$26,0),100),IFERROR(MATCH($A34,Di!$F$27:$AQ$27,0),100),IFERROR(MATCH($A34,Di!$F$28:$AQ$28,0),100),IFERROR(MATCH($A34,Di!$F$29:$AQ$29,0),100),IFERROR(MATCH($A34,Di!$F$30:$AQ$30,0),100),IFERROR(MATCH($A34,Di!$F$31:$AQ$31,0),100),IFERROR(MATCH($A34,Di!$F$32:$AQ$32,0),100),IFERROR(MATCH($A34,Di!$F$33:$AQ$33,0),100),IFERROR(MATCH($A34,Di!$F$34:$AQ$34,0),100),IFERROR(MATCH($A34,Di!$F$35:$AQ$35,0),100),IFERROR(MATCH($A34,Di!$F$36:$AQ$36,0),100),IFERROR(MATCH($A34,Di!$F$37:$AQ$37,0),100),IFERROR(MATCH($A34,Di!$F$38:$AQ$38,0),100),IFERROR(MATCH($A34,Di!$F$39:$AQ$39,0),100),IFERROR(MATCH($A34,Di!$F$40:$AQ$40,0),100),IFERROR(MATCH($A34,Di!$F$41:$AQ$41,0),100),IFERROR(MATCH($A34,Di!$F$42:$AQ$42,0),100),IFERROR(MATCH($A34,Di!$F$43:$AQ$43,0),100),IFERROR(MATCH($A34,Di!$F$44:$AQ$44,0),100),IFERROR(MATCH($A34,Di!$F$45:$AQ$45,0),100),IFERROR(MATCH($A34,Di!$F$46:$AQ$46,0),100),IFERROR(MATCH($A34,Di!$F$47:$AQ$47,0),100),IFERROR(MATCH($A34,Di!$F$48:$AQ$48,0),100),IFERROR(MATCH($A34,Di!$F$49:$AQ$49,0),100),IFERROR(MATCH($A34,Di!$F$50:$AQ$50,0),100),IFERROR(MATCH($A34,Di!$F$51:$AQ$51,0),100),IFERROR(MATCH($A34,Di!$F$52:$AQ$52,0),100),IFERROR(MATCH($A34,Di!$F$53:$AQ$53,0),100),IFERROR(MATCH($A34,Di!$F$54:$AQ$54,0),100),IFERROR(MATCH($A34,Di!$F$55:$AQ$55,0),100),IFERROR(MATCH($A34,Di!$F$56:$AQ$56,0),100),IFERROR(MATCH($A34,Di!$F$57:$AQ$57,0),100),IFERROR(MATCH($A34,Di!$F$58:$AQ$58,0),100),IFERROR(MATCH($A34,Di!$F$59:$AQ$59,0),100),IFERROR(MATCH($A34,Di!$F$60:$AQ$60,0),100),IFERROR(MATCH($A34,Di!$F$61:$AQ$61,0),100),IFERROR(MATCH($A34,Di!$F$62:$AQ$62,0),100),IFERROR(MATCH($A34,Di!$F$63:$AQ$63,0),100),39)</f>
        <v/>
      </c>
      <c r="F34" s="66">
        <f>IFERROR(IF(VLOOKUP(INDEX(Di!$B$12:$B$63,MATCH($A34,OFFSET( Di!$F$12:$F$63,0,(E34*48)-(IF(E34=7/24,9,IF(E34=12.5/24,9,IF(E34=14/24,9,IF(E34=15.5/24,9,10)))))),0),0),Di!$B$13:$C$63,2,FALSE)="TL","",INDEX(Di!$B$12:$B$63,MATCH($A34,OFFSET( Di!$F$12:$F$63,0,(E34*48)-(IF(E34=7/24,9,IF(E34=12.5/24,9,IF(E34=14/24,9,IF(E34=15.5/24,9,10)))))),0),0)),"")</f>
        <v/>
      </c>
      <c r="G34" s="857">
        <f>9/48+(1/48)*MIN(IFERROR(MATCH($A34,Wo!$F$13:$AQ$13,0),100),IFERROR(MATCH($A34,Wo!$F$14:$AQ$14,0),100),IFERROR(MATCH($A34,Wo!$F$15:$AQ$15,0),100),IFERROR(MATCH($A34,Wo!$F$16:$AQ$16,0),100),IFERROR(MATCH($A34,Wo!$F$17:$AQ$17,0),100),IFERROR(MATCH($A34,Wo!$F$18:$AQ$18,0),100),IFERROR(MATCH($A34,Wo!$F$19:$AQ$19,0),100),IFERROR(MATCH($A34,Wo!$F$20:$AQ$20,0),100),IFERROR(MATCH($A34,Wo!$F$21:$AQ$21,0),100),IFERROR(MATCH($A34,Wo!$F$22:$AQ$22,0),100),IFERROR(MATCH($A34,Wo!$F$23:$AQ$23,0),100),IFERROR(MATCH($A34,Wo!$F$24:$AQ$24,0),100),IFERROR(MATCH($A34,Wo!$F$25:$AQ$25,0),100),IFERROR(MATCH($A34,Wo!$F$26:$AQ$26,0),100),IFERROR(MATCH($A34,Wo!$F$27:$AQ$27,0),100),IFERROR(MATCH($A34,Wo!$F$28:$AQ$28,0),100),IFERROR(MATCH($A34,Wo!$F$29:$AQ$29,0),100),IFERROR(MATCH($A34,Wo!$F$30:$AQ$30,0),100),IFERROR(MATCH($A34,Wo!$F$31:$AQ$31,0),100),IFERROR(MATCH($A34,Wo!$F$32:$AQ$32,0),100),IFERROR(MATCH($A34,Wo!$F$33:$AQ$33,0),100),IFERROR(MATCH($A34,Wo!$F$34:$AQ$34,0),100),IFERROR(MATCH($A34,Wo!$F$35:$AQ$35,0),100),IFERROR(MATCH($A34,Wo!$F$36:$AQ$36,0),100),IFERROR(MATCH($A34,Wo!$F$37:$AQ$37,0),100),IFERROR(MATCH($A34,Wo!$F$38:$AQ$38,0),100),IFERROR(MATCH($A34,Wo!$F$39:$AQ$39,0),100),IFERROR(MATCH($A34,Wo!$F$40:$AQ$40,0),100),IFERROR(MATCH($A34,Wo!$F$41:$AQ$41,0),100),IFERROR(MATCH($A34,Wo!$F$42:$AQ$42,0),100),IFERROR(MATCH($A34,Wo!$F$43:$AQ$43,0),100),IFERROR(MATCH($A34,Wo!$F$44:$AQ$44,0),100),IFERROR(MATCH($A34,Wo!$F$45:$AQ$45,0),100),IFERROR(MATCH($A34,Wo!$F$46:$AQ$46,0),100),IFERROR(MATCH($A34,Wo!$F$47:$AQ$47,0),100),IFERROR(MATCH($A34,Wo!$F$48:$AQ$48,0),100),IFERROR(MATCH($A34,Wo!$F$49:$AQ$49,0),100),IFERROR(MATCH($A34,Wo!$F$50:$AQ$50,0),100),IFERROR(MATCH($A34,Wo!$F$51:$AQ$51,0),100),IFERROR(MATCH($A34,Wo!$F$52:$AQ$52,0),100),IFERROR(MATCH($A34,Wo!$F$53:$AQ$53,0),100),IFERROR(MATCH($A34,Wo!$F$54:$AQ$54,0),100),IFERROR(MATCH($A34,Wo!$F$55:$AQ$55,0),100),IFERROR(MATCH($A34,Wo!$F$56:$AQ$56,0),100),IFERROR(MATCH($A34,Wo!$F$57:$AQ$57,0),100),IFERROR(MATCH($A34,Wo!$F$58:$AQ$58,0),100),IFERROR(MATCH($A34,Wo!$F$59:$AQ$59,0),100),IFERROR(MATCH($A34,Wo!$F$60:$AQ$60,0),100),IFERROR(MATCH($A34,Wo!$F$61:$AQ$61,0),100),IFERROR(MATCH($A34,Wo!$F$62:$AQ$62,0),100),IFERROR(MATCH($A34,Wo!$F$63:$AQ$63,0),100),39)</f>
        <v/>
      </c>
      <c r="H34" s="66">
        <f>IFERROR(IF(VLOOKUP(INDEX(Wo!$B$12:$B$63,MATCH($A34,OFFSET( Wo!$F$12:$F$63,0,(G34*48)-(IF(G34=7/24,9,IF(G34=12.5/24,9,IF(G34=14/24,9,IF(G34=15.5/24,9,10)))))),0),0),Wo!$B$13:$C$63,2,FALSE)="TL","",INDEX(Wo!$B$12:$B$63,MATCH($A34,OFFSET( Wo!$F$12:$F$63,0,(G34*48)-(IF(G34=7/24,9,IF(G34=12.5/24,9,IF(G34=14/24,9,IF(G34=15.5/24,9,10)))))),0),0)),"")</f>
        <v/>
      </c>
      <c r="I34" s="857">
        <f>9/48+(1/48)*MIN(IFERROR(MATCH($A34,Do!$F$13:$AQ$13,0),100),IFERROR(MATCH($A34,Do!$F$14:$AQ$14,0),100),IFERROR(MATCH($A34,Do!$F$15:$AQ$15,0),100),IFERROR(MATCH($A34,Do!$F$16:$AQ$16,0),100),IFERROR(MATCH($A34,Do!$F$17:$AQ$17,0),100),IFERROR(MATCH($A34,Do!$F$18:$AQ$18,0),100),IFERROR(MATCH($A34,Do!$F$19:$AQ$19,0),100),IFERROR(MATCH($A34,Do!$F$20:$AQ$20,0),100),IFERROR(MATCH($A34,Do!$F$21:$AQ$21,0),100),IFERROR(MATCH($A34,Do!$F$22:$AQ$22,0),100),IFERROR(MATCH($A34,Do!$F$23:$AQ$23,0),100),IFERROR(MATCH($A34,Do!$F$24:$AQ$24,0),100),IFERROR(MATCH($A34,Do!$F$25:$AQ$25,0),100),IFERROR(MATCH($A34,Do!$F$26:$AQ$26,0),100),IFERROR(MATCH($A34,Do!$F$27:$AQ$27,0),100),IFERROR(MATCH($A34,Do!$F$28:$AQ$28,0),100),IFERROR(MATCH($A34,Do!$F$29:$AQ$29,0),100),IFERROR(MATCH($A34,Do!$F$30:$AQ$30,0),100),IFERROR(MATCH($A34,Do!$F$31:$AQ$31,0),100),IFERROR(MATCH($A34,Do!$F$32:$AQ$32,0),100),IFERROR(MATCH($A34,Do!$F$33:$AQ$33,0),100),IFERROR(MATCH($A34,Do!$F$34:$AQ$34,0),100),IFERROR(MATCH($A34,Do!$F$35:$AQ$35,0),100),IFERROR(MATCH($A34,Do!$F$36:$AQ$36,0),100),IFERROR(MATCH($A34,Do!$F$37:$AQ$37,0),100),IFERROR(MATCH($A34,Do!$F$38:$AQ$38,0),100),IFERROR(MATCH($A34,Do!$F$39:$AQ$39,0),100),IFERROR(MATCH($A34,Do!$F$40:$AQ$40,0),100),IFERROR(MATCH($A34,Do!$F$41:$AQ$41,0),100),IFERROR(MATCH($A34,Do!$F$42:$AQ$42,0),100),IFERROR(MATCH($A34,Do!$F$43:$AQ$43,0),100),IFERROR(MATCH($A34,Do!$F$44:$AQ$44,0),100),IFERROR(MATCH($A34,Do!$F$45:$AQ$45,0),100),IFERROR(MATCH($A34,Do!$F$46:$AQ$46,0),100),IFERROR(MATCH($A34,Do!$F$47:$AQ$47,0),100),IFERROR(MATCH($A34,Do!$F$48:$AQ$48,0),100),IFERROR(MATCH($A34,Do!$F$49:$AQ$49,0),100),IFERROR(MATCH($A34,Do!$F$50:$AQ$50,0),100),IFERROR(MATCH($A34,Do!$F$51:$AQ$51,0),100),IFERROR(MATCH($A34,Do!$F$52:$AQ$52,0),100),IFERROR(MATCH($A34,Do!$F$53:$AQ$53,0),100),IFERROR(MATCH($A34,Do!$F$54:$AQ$54,0),100),IFERROR(MATCH($A34,Do!$F$55:$AQ$55,0),100),IFERROR(MATCH($A34,Do!$F$56:$AQ$56,0),100),IFERROR(MATCH($A34,Do!$F$57:$AQ$57,0),100),IFERROR(MATCH($A34,Do!$F$58:$AQ$58,0),100),IFERROR(MATCH($A34,Do!$F$59:$AQ$59,0),100),IFERROR(MATCH($A34,Do!$F$60:$AQ$60,0),100),IFERROR(MATCH($A34,Do!$F$61:$AQ$61,0),100),IFERROR(MATCH($A34,Do!$F$62:$AQ$62,0),100),IFERROR(MATCH($A34,Do!$F$63:$AQ$63,0),100),39)</f>
        <v/>
      </c>
      <c r="J34" s="66">
        <f>IFERROR(IF(VLOOKUP(INDEX(Do!$B$12:$B$63,MATCH($A34,OFFSET( Do!$F$12:$F$63,0,(I34*48)-(IF(I34=7/24,9,IF(I34=12.5/24,9,IF(I34=14/24,9,IF(I34=15.5/24,9,10)))))),0),0),Do!$B$13:$C$63,2,FALSE)="TL","",INDEX(Do!$B$12:$B$63,MATCH($A34,OFFSET( Do!$F$12:$F$63,0,(I34*48)-(IF(I34=7/24,9,IF(I34=12.5/24,9,IF(I34=14/24,9,IF(I34=15.5/24,9,10)))))),0),0)),"")</f>
        <v/>
      </c>
      <c r="K34" s="857">
        <f>9/48+(1/48)*MIN(IFERROR(MATCH($A34,Vr!$F$13:$AQ$13,0),100),IFERROR(MATCH($A34,Vr!$F$14:$AQ$14,0),100),IFERROR(MATCH($A34,Vr!$F$15:$AQ$15,0),100),IFERROR(MATCH($A34,Vr!$F$16:$AQ$16,0),100),IFERROR(MATCH($A34,Vr!$F$17:$AQ$17,0),100),IFERROR(MATCH($A34,Vr!$F$18:$AQ$18,0),100),IFERROR(MATCH($A34,Vr!$F$19:$AQ$19,0),100),IFERROR(MATCH($A34,Vr!$F$20:$AQ$20,0),100),IFERROR(MATCH($A34,Vr!$F$21:$AQ$21,0),100),IFERROR(MATCH($A34,Vr!$F$22:$AQ$22,0),100),IFERROR(MATCH($A34,Vr!$F$23:$AQ$23,0),100),IFERROR(MATCH($A34,Vr!$F$24:$AQ$24,0),100),IFERROR(MATCH($A34,Vr!$F$25:$AQ$25,0),100),IFERROR(MATCH($A34,Vr!$F$26:$AQ$26,0),100),IFERROR(MATCH($A34,Vr!$F$27:$AQ$27,0),100),IFERROR(MATCH($A34,Vr!$F$28:$AQ$28,0),100),IFERROR(MATCH($A34,Vr!$F$29:$AQ$29,0),100),IFERROR(MATCH($A34,Vr!$F$30:$AQ$30,0),100),IFERROR(MATCH($A34,Vr!$F$31:$AQ$31,0),100),IFERROR(MATCH($A34,Vr!$F$32:$AQ$32,0),100),IFERROR(MATCH($A34,Vr!$F$33:$AQ$33,0),100),IFERROR(MATCH($A34,Vr!$F$34:$AQ$34,0),100),IFERROR(MATCH($A34,Vr!$F$35:$AQ$35,0),100),IFERROR(MATCH($A34,Vr!$F$36:$AQ$36,0),100),IFERROR(MATCH($A34,Vr!$F$37:$AQ$37,0),100),IFERROR(MATCH($A34,Vr!$F$38:$AQ$38,0),100),IFERROR(MATCH($A34,Vr!$F$39:$AQ$39,0),100),IFERROR(MATCH($A34,Vr!$F$40:$AQ$40,0),100),IFERROR(MATCH($A34,Vr!$F$41:$AQ$41,0),100),IFERROR(MATCH($A34,Vr!$F$42:$AQ$42,0),100),IFERROR(MATCH($A34,Vr!$F$43:$AQ$43,0),100),IFERROR(MATCH($A34,Vr!$F$44:$AQ$44,0),100),IFERROR(MATCH($A34,Vr!$F$45:$AQ$45,0),100),IFERROR(MATCH($A34,Vr!$F$46:$AQ$46,0),100),IFERROR(MATCH($A34,Vr!$F$47:$AQ$47,0),100),IFERROR(MATCH($A34,Vr!$F$48:$AQ$48,0),100),IFERROR(MATCH($A34,Vr!$F$49:$AQ$49,0),100),IFERROR(MATCH($A34,Vr!$F$50:$AQ$50,0),100),IFERROR(MATCH($A34,Vr!$F$51:$AQ$51,0),100),IFERROR(MATCH($A34,Vr!$F$52:$AQ$52,0),100),IFERROR(MATCH($A34,Vr!$F$53:$AQ$53,0),100),IFERROR(MATCH($A34,Vr!$F$54:$AQ$54,0),100),IFERROR(MATCH($A34,Vr!$F$55:$AQ$55,0),100),IFERROR(MATCH($A34,Vr!$F$56:$AQ$56,0),100),IFERROR(MATCH($A34,Vr!$F$57:$AQ$57,0),100),IFERROR(MATCH($A34,Vr!$F$58:$AQ$58,0),100),IFERROR(MATCH($A34,Vr!$F$59:$AQ$59,0),100),IFERROR(MATCH($A34,Vr!$F$60:$AQ$60,0),100),IFERROR(MATCH($A34,Vr!$F$61:$AQ$61,0),100),IFERROR(MATCH($A34,Vr!$F$62:$AQ$62,0),100),IFERROR(MATCH($A34,Vr!$F$63:$AQ$63,0),100),39)</f>
        <v/>
      </c>
      <c r="L34" s="66">
        <f>IFERROR(IF(VLOOKUP(INDEX(Vr!$B$12:$B$63,MATCH($A34,OFFSET( Vr!$F$12:$F$63,0,(K34*48)-(IF(K34=7/24,9,IF(K34=12.5/24,9,IF(K34=14/24,9,IF(K34=15.5/24,9,10)))))),0),0),Vr!$B$13:$C$63,2,FALSE)="TL","",INDEX(Vr!$B$12:$B$63,MATCH($A34,OFFSET( Vr!$F$12:$F$63,0,(K34*48)-(IF(K34=7/24,9,IF(K34=12.5/24,9,IF(K34=14/24,9,IF(K34=15.5/24,9,10)))))),0),0)),"")</f>
        <v/>
      </c>
      <c r="M34" s="857">
        <f>9/48+(1/48)*MIN(IFERROR(MATCH($A34,Za!$F$13:$AQ$13,0),100),IFERROR(MATCH($A34,Za!$F$14:$AQ$14,0),100),IFERROR(MATCH($A34,Za!$F$15:$AQ$15,0),100),IFERROR(MATCH($A34,Za!$F$16:$AQ$16,0),100),IFERROR(MATCH($A34,Za!$F$17:$AQ$17,0),100),IFERROR(MATCH($A34,Za!$F$18:$AQ$18,0),100),IFERROR(MATCH($A34,Za!$F$19:$AQ$19,0),100),IFERROR(MATCH($A34,Za!$F$20:$AQ$20,0),100),IFERROR(MATCH($A34,Za!$F$21:$AQ$21,0),100),IFERROR(MATCH($A34,Za!$F$22:$AQ$22,0),100),IFERROR(MATCH($A34,Za!$F$23:$AQ$23,0),100),IFERROR(MATCH($A34,Za!$F$24:$AQ$24,0),100),IFERROR(MATCH($A34,Za!$F$25:$AQ$25,0),100),IFERROR(MATCH($A34,Za!$F$26:$AQ$26,0),100),IFERROR(MATCH($A34,Za!$F$27:$AQ$27,0),100),IFERROR(MATCH($A34,Za!$F$28:$AQ$28,0),100),IFERROR(MATCH($A34,Za!$F$29:$AQ$29,0),100),IFERROR(MATCH($A34,Za!$F$30:$AQ$30,0),100),IFERROR(MATCH($A34,Za!$F$31:$AQ$31,0),100),IFERROR(MATCH($A34,Za!$F$32:$AQ$32,0),100),IFERROR(MATCH($A34,Za!$F$33:$AQ$33,0),100),IFERROR(MATCH($A34,Za!$F$34:$AQ$34,0),100),IFERROR(MATCH($A34,Za!$F$35:$AQ$35,0),100),IFERROR(MATCH($A34,Za!$F$36:$AQ$36,0),100),IFERROR(MATCH($A34,Za!$F$37:$AQ$37,0),100),IFERROR(MATCH($A34,Za!$F$38:$AQ$38,0),100),IFERROR(MATCH($A34,Za!$F$39:$AQ$39,0),100),IFERROR(MATCH($A34,Za!$F$40:$AQ$40,0),100),IFERROR(MATCH($A34,Za!$F$41:$AQ$41,0),100),IFERROR(MATCH($A34,Za!$F$42:$AQ$42,0),100),IFERROR(MATCH($A34,Za!$F$43:$AQ$43,0),100),IFERROR(MATCH($A34,Za!$F$44:$AQ$44,0),100),IFERROR(MATCH($A34,Za!$F$45:$AQ$45,0),100),IFERROR(MATCH($A34,Za!$F$46:$AQ$46,0),100),IFERROR(MATCH($A34,Za!$F$47:$AQ$47,0),100),IFERROR(MATCH($A34,Za!$F$48:$AQ$48,0),100),IFERROR(MATCH($A34,Za!$F$49:$AQ$49,0),100),IFERROR(MATCH($A34,Za!$F$50:$AQ$50,0),100),IFERROR(MATCH($A34,Za!$F$51:$AQ$51,0),100),IFERROR(MATCH($A34,Za!$F$52:$AQ$52,0),100),IFERROR(MATCH($A34,Za!$F$53:$AQ$53,0),100),IFERROR(MATCH($A34,Za!$F$54:$AQ$54,0),100),IFERROR(MATCH($A34,Za!$F$55:$AQ$55,0),100),IFERROR(MATCH($A34,Za!$F$56:$AQ$56,0),100),IFERROR(MATCH($A34,Za!$F$57:$AQ$57,0),100),IFERROR(MATCH($A34,Za!$F$58:$AQ$58,0),100),IFERROR(MATCH($A34,Za!$F$59:$AQ$59,0),100),IFERROR(MATCH($A34,Za!$F$60:$AQ$60,0),100),IFERROR(MATCH($A34,Za!$F$61:$AQ$61,0),100),IFERROR(MATCH($A34,Za!$F$62:$AQ$62,0),100),IFERROR(MATCH($A34,Za!$F$63:$AQ$63,0),100),39)</f>
        <v/>
      </c>
      <c r="N34" s="66">
        <f>IFERROR(IF(VLOOKUP(INDEX(Za!$B$12:$B$63,MATCH($A34,OFFSET( Za!$F$12:$F$63,0,(M34*48)-(IF(M34=7/24,9,IF(M34=12.5/24,9,IF(M34=14/24,9,IF(M34=15.5/24,9,10)))))),0),0),Za!$B$13:$C$63,2,FALSE)="TL","",INDEX(Za!$B$12:$B$63,MATCH($A34,OFFSET( Za!$F$12:$F$63,0,(M34*48)-(IF(M34=7/24,9,IF(M34=12.5/24,9,IF(M34=14/24,9,IF(M34=15.5/24,9,10)))))),0),0)),"")</f>
        <v/>
      </c>
      <c r="O34" s="857">
        <f>9/48+(1/48)*MIN(IFERROR(MATCH($A34,Zo!$F$13:$AQ$13,0),100),IFERROR(MATCH($A34,Zo!$F$14:$AQ$14,0),100),IFERROR(MATCH($A34,Zo!$F$15:$AQ$15,0),100),IFERROR(MATCH($A34,Zo!$F$16:$AQ$16,0),100),IFERROR(MATCH($A34,Zo!$F$17:$AQ$17,0),100),IFERROR(MATCH($A34,Zo!$F$18:$AQ$18,0),100),IFERROR(MATCH($A34,Zo!$F$19:$AQ$19,0),100),IFERROR(MATCH($A34,Zo!$F$20:$AQ$20,0),100),IFERROR(MATCH($A34,Zo!$F$21:$AQ$21,0),100),IFERROR(MATCH($A34,Zo!$F$22:$AQ$22,0),100),IFERROR(MATCH($A34,Zo!$F$23:$AQ$23,0),100),IFERROR(MATCH($A34,Zo!$F$24:$AQ$24,0),100),IFERROR(MATCH($A34,Zo!$F$25:$AQ$25,0),100),IFERROR(MATCH($A34,Zo!$F$26:$AQ$26,0),100),IFERROR(MATCH($A34,Zo!$F$27:$AQ$27,0),100),IFERROR(MATCH($A34,Zo!$F$28:$AQ$28,0),100),IFERROR(MATCH($A34,Zo!$F$29:$AQ$29,0),100),IFERROR(MATCH($A34,Zo!$F$30:$AQ$30,0),100),IFERROR(MATCH($A34,Zo!$F$31:$AQ$31,0),100),IFERROR(MATCH($A34,Zo!$F$32:$AQ$32,0),100),IFERROR(MATCH($A34,Zo!$F$33:$AQ$33,0),100),IFERROR(MATCH($A34,Zo!$F$34:$AQ$34,0),100),IFERROR(MATCH($A34,Zo!$F$35:$AQ$35,0),100),IFERROR(MATCH($A34,Zo!$F$36:$AQ$36,0),100),IFERROR(MATCH($A34,Zo!$F$37:$AQ$37,0),100),IFERROR(MATCH($A34,Zo!$F$38:$AQ$38,0),100),IFERROR(MATCH($A34,Zo!$F$39:$AQ$39,0),100),IFERROR(MATCH($A34,Zo!$F$40:$AQ$40,0),100),IFERROR(MATCH($A34,Zo!$F$41:$AQ$41,0),100),IFERROR(MATCH($A34,Zo!$F$42:$AQ$42,0),100),IFERROR(MATCH($A34,Zo!$F$43:$AQ$43,0),100),IFERROR(MATCH($A34,Zo!$F$44:$AQ$44,0),100),IFERROR(MATCH($A34,Zo!$F$45:$AQ$45,0),100),IFERROR(MATCH($A34,Zo!$F$46:$AQ$46,0),100),IFERROR(MATCH($A34,Zo!$F$47:$AQ$47,0),100),IFERROR(MATCH($A34,Zo!$F$48:$AQ$48,0),100),IFERROR(MATCH($A34,Zo!$F$49:$AQ$49,0),100),IFERROR(MATCH($A34,Zo!$F$50:$AQ$50,0),100),IFERROR(MATCH($A34,Zo!$F$51:$AQ$51,0),100),IFERROR(MATCH($A34,Zo!$F$52:$AQ$52,0),100),IFERROR(MATCH($A34,Zo!$F$53:$AQ$53,0),100),IFERROR(MATCH($A34,Zo!$F$54:$AQ$54,0),100),IFERROR(MATCH($A34,Zo!$F$55:$AQ$55,0),100),IFERROR(MATCH($A34,Zo!$F$56:$AQ$56,0),100),IFERROR(MATCH($A34,Zo!$F$57:$AQ$57,0),100),IFERROR(MATCH($A34,Zo!$F$58:$AQ$58,0),100),IFERROR(MATCH($A34,Zo!$F$59:$AQ$59,0),100),IFERROR(MATCH($A34,Zo!$F$60:$AQ$60,0),100),IFERROR(MATCH($A34,Zo!$F$61:$AQ$61,0),100),IFERROR(MATCH($A34,Zo!$F$62:$AQ$62,0),100),IFERROR(MATCH($A34,Zo!$F$63:$AQ$63,0),100),39)</f>
        <v/>
      </c>
      <c r="P34" s="66">
        <f>IFERROR(IF(VLOOKUP(INDEX(Zo!$B$12:$B$63,MATCH($A34,OFFSET( Zo!$F$12:$F$63,0,(O34*48)-(IF(O34=7/24,9,IF(O34=12.5/24,9,IF(O34=14/24,9,IF(O34=15.5/24,9,10)))))),0),0),Zo!$B$13:$C$63,2,FALSE)="TL","",INDEX(Zo!$B$12:$B$63,MATCH($A34,OFFSET( Zo!$F$12:$F$63,0,(O34*48)-(IF(O34=7/24,9,IF(O34=12.5/24,9,IF(O34=14/24,9,IF(O34=15.5/24,9,10)))))),0),0)),"")</f>
        <v/>
      </c>
    </row>
    <row r="35" ht="15" customHeight="1">
      <c r="A35" s="66" t="inlineStr">
        <is>
          <t>tl</t>
        </is>
      </c>
      <c r="B35" s="67">
        <f>A35</f>
        <v/>
      </c>
      <c r="C35" s="857">
        <f>9/48+(1/48)*MIN(IFERROR(MATCH($A35,Ma!$F$13:$AQ$13,0),100),IFERROR(MATCH($A35,Ma!$F$14:$AQ$14,0),100),IFERROR(MATCH($A35,Ma!$F$15:$AQ$15,0),100),IFERROR(MATCH($A35,Ma!$F$16:$AQ$16,0),100),IFERROR(MATCH($A35,Ma!$F$17:$AQ$17,0),100),IFERROR(MATCH($A35,Ma!$F$18:$AQ$18,0),100),IFERROR(MATCH($A35,Ma!$F$19:$AQ$19,0),100),IFERROR(MATCH($A35,Ma!$F$20:$AQ$20,0),100),IFERROR(MATCH($A35,Ma!$F$21:$AQ$21,0),100),IFERROR(MATCH($A35,Ma!$F$22:$AQ$22,0),100),IFERROR(MATCH($A35,Ma!$F$23:$AQ$23,0),100),IFERROR(MATCH($A35,Ma!$F$24:$AQ$24,0),100),IFERROR(MATCH($A35,Ma!$F$25:$AQ$25,0),100),IFERROR(MATCH($A35,Ma!$F$26:$AQ$26,0),100),IFERROR(MATCH($A35,Ma!$F$27:$AQ$27,0),100),IFERROR(MATCH($A35,Ma!$F$28:$AQ$28,0),100),IFERROR(MATCH($A35,Ma!$F$29:$AQ$29,0),100),IFERROR(MATCH($A35,Ma!$F$30:$AQ$30,0),100),IFERROR(MATCH($A35,Ma!$F$31:$AQ$31,0),100),IFERROR(MATCH($A35,Ma!$F$32:$AQ$32,0),100),IFERROR(MATCH($A35,Ma!$F$33:$AQ$33,0),100),IFERROR(MATCH($A35,Ma!$F$34:$AQ$34,0),100),IFERROR(MATCH($A35,Ma!$F$35:$AQ$35,0),100),IFERROR(MATCH($A35,Ma!$F$36:$AQ$36,0),100),IFERROR(MATCH($A35,Ma!$F$37:$AQ$37,0),100),IFERROR(MATCH($A35,Ma!$F$38:$AQ$38,0),100),IFERROR(MATCH($A35,Ma!$F$39:$AQ$39,0),100),IFERROR(MATCH($A35,Ma!$F$40:$AQ$40,0),100),IFERROR(MATCH($A35,Ma!$F$41:$AQ$41,0),100),IFERROR(MATCH($A35,Ma!$F$42:$AQ$42,0),100),IFERROR(MATCH($A35,Ma!$F$43:$AQ$43,0),100),IFERROR(MATCH($A35,Ma!$F$44:$AQ$44,0),100),IFERROR(MATCH($A35,Ma!$F$45:$AQ$45,0),100),IFERROR(MATCH($A35,Ma!$F$46:$AQ$46,0),100),IFERROR(MATCH($A35,Ma!$F$47:$AQ$47,0),100),IFERROR(MATCH($A35,Ma!$F$48:$AQ$48,0),100),IFERROR(MATCH($A35,Ma!$F$49:$AQ$49,0),100),IFERROR(MATCH($A35,Ma!$F$50:$AQ$50,0),100),IFERROR(MATCH($A35,Ma!$F$51:$AQ$51,0),100),IFERROR(MATCH($A35,Ma!$F$52:$AQ$52,0),100),IFERROR(MATCH($A35,Ma!$F$53:$AQ$53,0),100),IFERROR(MATCH($A35,Ma!$F$54:$AQ$54,0),100),IFERROR(MATCH($A35,Ma!$F$55:$AQ$55,0),100),IFERROR(MATCH($A35,Ma!$F$56:$AQ$56,0),100),IFERROR(MATCH($A35,Ma!$F$57:$AQ$57,0),100),IFERROR(MATCH($A35,Ma!$F$58:$AQ$58,0),100),IFERROR(MATCH($A35,Ma!$F$59:$AQ$59,0),100),IFERROR(MATCH($A35,Ma!$F$60:$AQ$60,0),100),IFERROR(MATCH($A35,Ma!$F$61:$AQ$61,0),100),IFERROR(MATCH($A35,Ma!$F$62:$AQ$62,0),100),IFERROR(MATCH($A35,Ma!$F$63:$AQ$63,0),100),39)</f>
        <v/>
      </c>
      <c r="D35" s="66">
        <f>IFERROR(IF(VLOOKUP(INDEX(Ma!$B$12:$B$63,MATCH($A35,OFFSET( Ma!$F$12:$F$63,0,(C35*48)-(IF(C35=7/24,9,IF(C35=12.5/24,9,IF(C35=14/24,9,IF(C35=15.5/24,9,10)))))),0),0),Ma!$B$13:$C$63,2,FALSE)="TL","",INDEX(Ma!$B$12:$B$63,MATCH($A35,OFFSET( Ma!$F$12:$F$63,0,(C35*48)-(IF(C35=7/24,9,IF(C35=12.5/24,9,IF(C35=14/24,9,IF(C35=15.5/24,9,10)))))),0),0)),"")</f>
        <v/>
      </c>
      <c r="E35" s="857">
        <f>9/48+(1/48)*MIN(IFERROR(MATCH($A35,Di!$F$13:$AQ$13,0),100),IFERROR(MATCH($A35,Di!$F$14:$AQ$14,0),100),IFERROR(MATCH($A35,Di!$F$15:$AQ$15,0),100),IFERROR(MATCH($A35,Di!$F$16:$AQ$16,0),100),IFERROR(MATCH($A35,Di!$F$17:$AQ$17,0),100),IFERROR(MATCH($A35,Di!$F$18:$AQ$18,0),100),IFERROR(MATCH($A35,Di!$F$19:$AQ$19,0),100),IFERROR(MATCH($A35,Di!$F$20:$AQ$20,0),100),IFERROR(MATCH($A35,Di!$F$21:$AQ$21,0),100),IFERROR(MATCH($A35,Di!$F$22:$AQ$22,0),100),IFERROR(MATCH($A35,Di!$F$23:$AQ$23,0),100),IFERROR(MATCH($A35,Di!$F$24:$AQ$24,0),100),IFERROR(MATCH($A35,Di!$F$25:$AQ$25,0),100),IFERROR(MATCH($A35,Di!$F$26:$AQ$26,0),100),IFERROR(MATCH($A35,Di!$F$27:$AQ$27,0),100),IFERROR(MATCH($A35,Di!$F$28:$AQ$28,0),100),IFERROR(MATCH($A35,Di!$F$29:$AQ$29,0),100),IFERROR(MATCH($A35,Di!$F$30:$AQ$30,0),100),IFERROR(MATCH($A35,Di!$F$31:$AQ$31,0),100),IFERROR(MATCH($A35,Di!$F$32:$AQ$32,0),100),IFERROR(MATCH($A35,Di!$F$33:$AQ$33,0),100),IFERROR(MATCH($A35,Di!$F$34:$AQ$34,0),100),IFERROR(MATCH($A35,Di!$F$35:$AQ$35,0),100),IFERROR(MATCH($A35,Di!$F$36:$AQ$36,0),100),IFERROR(MATCH($A35,Di!$F$37:$AQ$37,0),100),IFERROR(MATCH($A35,Di!$F$38:$AQ$38,0),100),IFERROR(MATCH($A35,Di!$F$39:$AQ$39,0),100),IFERROR(MATCH($A35,Di!$F$40:$AQ$40,0),100),IFERROR(MATCH($A35,Di!$F$41:$AQ$41,0),100),IFERROR(MATCH($A35,Di!$F$42:$AQ$42,0),100),IFERROR(MATCH($A35,Di!$F$43:$AQ$43,0),100),IFERROR(MATCH($A35,Di!$F$44:$AQ$44,0),100),IFERROR(MATCH($A35,Di!$F$45:$AQ$45,0),100),IFERROR(MATCH($A35,Di!$F$46:$AQ$46,0),100),IFERROR(MATCH($A35,Di!$F$47:$AQ$47,0),100),IFERROR(MATCH($A35,Di!$F$48:$AQ$48,0),100),IFERROR(MATCH($A35,Di!$F$49:$AQ$49,0),100),IFERROR(MATCH($A35,Di!$F$50:$AQ$50,0),100),IFERROR(MATCH($A35,Di!$F$51:$AQ$51,0),100),IFERROR(MATCH($A35,Di!$F$52:$AQ$52,0),100),IFERROR(MATCH($A35,Di!$F$53:$AQ$53,0),100),IFERROR(MATCH($A35,Di!$F$54:$AQ$54,0),100),IFERROR(MATCH($A35,Di!$F$55:$AQ$55,0),100),IFERROR(MATCH($A35,Di!$F$56:$AQ$56,0),100),IFERROR(MATCH($A35,Di!$F$57:$AQ$57,0),100),IFERROR(MATCH($A35,Di!$F$58:$AQ$58,0),100),IFERROR(MATCH($A35,Di!$F$59:$AQ$59,0),100),IFERROR(MATCH($A35,Di!$F$60:$AQ$60,0),100),IFERROR(MATCH($A35,Di!$F$61:$AQ$61,0),100),IFERROR(MATCH($A35,Di!$F$62:$AQ$62,0),100),IFERROR(MATCH($A35,Di!$F$63:$AQ$63,0),100),39)</f>
        <v/>
      </c>
      <c r="F35" s="66">
        <f>IFERROR(IF(VLOOKUP(INDEX(Di!$B$12:$B$63,MATCH($A35,OFFSET( Di!$F$12:$F$63,0,(E35*48)-(IF(E35=7/24,9,IF(E35=12.5/24,9,IF(E35=14/24,9,IF(E35=15.5/24,9,10)))))),0),0),Di!$B$13:$C$63,2,FALSE)="TL","",INDEX(Di!$B$12:$B$63,MATCH($A35,OFFSET( Di!$F$12:$F$63,0,(E35*48)-(IF(E35=7/24,9,IF(E35=12.5/24,9,IF(E35=14/24,9,IF(E35=15.5/24,9,10)))))),0),0)),"")</f>
        <v/>
      </c>
      <c r="G35" s="857">
        <f>9/48+(1/48)*MIN(IFERROR(MATCH($A35,Wo!$F$13:$AQ$13,0),100),IFERROR(MATCH($A35,Wo!$F$14:$AQ$14,0),100),IFERROR(MATCH($A35,Wo!$F$15:$AQ$15,0),100),IFERROR(MATCH($A35,Wo!$F$16:$AQ$16,0),100),IFERROR(MATCH($A35,Wo!$F$17:$AQ$17,0),100),IFERROR(MATCH($A35,Wo!$F$18:$AQ$18,0),100),IFERROR(MATCH($A35,Wo!$F$19:$AQ$19,0),100),IFERROR(MATCH($A35,Wo!$F$20:$AQ$20,0),100),IFERROR(MATCH($A35,Wo!$F$21:$AQ$21,0),100),IFERROR(MATCH($A35,Wo!$F$22:$AQ$22,0),100),IFERROR(MATCH($A35,Wo!$F$23:$AQ$23,0),100),IFERROR(MATCH($A35,Wo!$F$24:$AQ$24,0),100),IFERROR(MATCH($A35,Wo!$F$25:$AQ$25,0),100),IFERROR(MATCH($A35,Wo!$F$26:$AQ$26,0),100),IFERROR(MATCH($A35,Wo!$F$27:$AQ$27,0),100),IFERROR(MATCH($A35,Wo!$F$28:$AQ$28,0),100),IFERROR(MATCH($A35,Wo!$F$29:$AQ$29,0),100),IFERROR(MATCH($A35,Wo!$F$30:$AQ$30,0),100),IFERROR(MATCH($A35,Wo!$F$31:$AQ$31,0),100),IFERROR(MATCH($A35,Wo!$F$32:$AQ$32,0),100),IFERROR(MATCH($A35,Wo!$F$33:$AQ$33,0),100),IFERROR(MATCH($A35,Wo!$F$34:$AQ$34,0),100),IFERROR(MATCH($A35,Wo!$F$35:$AQ$35,0),100),IFERROR(MATCH($A35,Wo!$F$36:$AQ$36,0),100),IFERROR(MATCH($A35,Wo!$F$37:$AQ$37,0),100),IFERROR(MATCH($A35,Wo!$F$38:$AQ$38,0),100),IFERROR(MATCH($A35,Wo!$F$39:$AQ$39,0),100),IFERROR(MATCH($A35,Wo!$F$40:$AQ$40,0),100),IFERROR(MATCH($A35,Wo!$F$41:$AQ$41,0),100),IFERROR(MATCH($A35,Wo!$F$42:$AQ$42,0),100),IFERROR(MATCH($A35,Wo!$F$43:$AQ$43,0),100),IFERROR(MATCH($A35,Wo!$F$44:$AQ$44,0),100),IFERROR(MATCH($A35,Wo!$F$45:$AQ$45,0),100),IFERROR(MATCH($A35,Wo!$F$46:$AQ$46,0),100),IFERROR(MATCH($A35,Wo!$F$47:$AQ$47,0),100),IFERROR(MATCH($A35,Wo!$F$48:$AQ$48,0),100),IFERROR(MATCH($A35,Wo!$F$49:$AQ$49,0),100),IFERROR(MATCH($A35,Wo!$F$50:$AQ$50,0),100),IFERROR(MATCH($A35,Wo!$F$51:$AQ$51,0),100),IFERROR(MATCH($A35,Wo!$F$52:$AQ$52,0),100),IFERROR(MATCH($A35,Wo!$F$53:$AQ$53,0),100),IFERROR(MATCH($A35,Wo!$F$54:$AQ$54,0),100),IFERROR(MATCH($A35,Wo!$F$55:$AQ$55,0),100),IFERROR(MATCH($A35,Wo!$F$56:$AQ$56,0),100),IFERROR(MATCH($A35,Wo!$F$57:$AQ$57,0),100),IFERROR(MATCH($A35,Wo!$F$58:$AQ$58,0),100),IFERROR(MATCH($A35,Wo!$F$59:$AQ$59,0),100),IFERROR(MATCH($A35,Wo!$F$60:$AQ$60,0),100),IFERROR(MATCH($A35,Wo!$F$61:$AQ$61,0),100),IFERROR(MATCH($A35,Wo!$F$62:$AQ$62,0),100),IFERROR(MATCH($A35,Wo!$F$63:$AQ$63,0),100),39)</f>
        <v/>
      </c>
      <c r="H35" s="66">
        <f>IFERROR(IF(VLOOKUP(INDEX(Wo!$B$12:$B$63,MATCH($A35,OFFSET( Wo!$F$12:$F$63,0,(G35*48)-(IF(G35=7/24,9,IF(G35=12.5/24,9,IF(G35=14/24,9,IF(G35=15.5/24,9,10)))))),0),0),Wo!$B$13:$C$63,2,FALSE)="TL","",INDEX(Wo!$B$12:$B$63,MATCH($A35,OFFSET( Wo!$F$12:$F$63,0,(G35*48)-(IF(G35=7/24,9,IF(G35=12.5/24,9,IF(G35=14/24,9,IF(G35=15.5/24,9,10)))))),0),0)),"")</f>
        <v/>
      </c>
      <c r="I35" s="857">
        <f>9/48+(1/48)*MIN(IFERROR(MATCH($A35,Do!$F$13:$AQ$13,0),100),IFERROR(MATCH($A35,Do!$F$14:$AQ$14,0),100),IFERROR(MATCH($A35,Do!$F$15:$AQ$15,0),100),IFERROR(MATCH($A35,Do!$F$16:$AQ$16,0),100),IFERROR(MATCH($A35,Do!$F$17:$AQ$17,0),100),IFERROR(MATCH($A35,Do!$F$18:$AQ$18,0),100),IFERROR(MATCH($A35,Do!$F$19:$AQ$19,0),100),IFERROR(MATCH($A35,Do!$F$20:$AQ$20,0),100),IFERROR(MATCH($A35,Do!$F$21:$AQ$21,0),100),IFERROR(MATCH($A35,Do!$F$22:$AQ$22,0),100),IFERROR(MATCH($A35,Do!$F$23:$AQ$23,0),100),IFERROR(MATCH($A35,Do!$F$24:$AQ$24,0),100),IFERROR(MATCH($A35,Do!$F$25:$AQ$25,0),100),IFERROR(MATCH($A35,Do!$F$26:$AQ$26,0),100),IFERROR(MATCH($A35,Do!$F$27:$AQ$27,0),100),IFERROR(MATCH($A35,Do!$F$28:$AQ$28,0),100),IFERROR(MATCH($A35,Do!$F$29:$AQ$29,0),100),IFERROR(MATCH($A35,Do!$F$30:$AQ$30,0),100),IFERROR(MATCH($A35,Do!$F$31:$AQ$31,0),100),IFERROR(MATCH($A35,Do!$F$32:$AQ$32,0),100),IFERROR(MATCH($A35,Do!$F$33:$AQ$33,0),100),IFERROR(MATCH($A35,Do!$F$34:$AQ$34,0),100),IFERROR(MATCH($A35,Do!$F$35:$AQ$35,0),100),IFERROR(MATCH($A35,Do!$F$36:$AQ$36,0),100),IFERROR(MATCH($A35,Do!$F$37:$AQ$37,0),100),IFERROR(MATCH($A35,Do!$F$38:$AQ$38,0),100),IFERROR(MATCH($A35,Do!$F$39:$AQ$39,0),100),IFERROR(MATCH($A35,Do!$F$40:$AQ$40,0),100),IFERROR(MATCH($A35,Do!$F$41:$AQ$41,0),100),IFERROR(MATCH($A35,Do!$F$42:$AQ$42,0),100),IFERROR(MATCH($A35,Do!$F$43:$AQ$43,0),100),IFERROR(MATCH($A35,Do!$F$44:$AQ$44,0),100),IFERROR(MATCH($A35,Do!$F$45:$AQ$45,0),100),IFERROR(MATCH($A35,Do!$F$46:$AQ$46,0),100),IFERROR(MATCH($A35,Do!$F$47:$AQ$47,0),100),IFERROR(MATCH($A35,Do!$F$48:$AQ$48,0),100),IFERROR(MATCH($A35,Do!$F$49:$AQ$49,0),100),IFERROR(MATCH($A35,Do!$F$50:$AQ$50,0),100),IFERROR(MATCH($A35,Do!$F$51:$AQ$51,0),100),IFERROR(MATCH($A35,Do!$F$52:$AQ$52,0),100),IFERROR(MATCH($A35,Do!$F$53:$AQ$53,0),100),IFERROR(MATCH($A35,Do!$F$54:$AQ$54,0),100),IFERROR(MATCH($A35,Do!$F$55:$AQ$55,0),100),IFERROR(MATCH($A35,Do!$F$56:$AQ$56,0),100),IFERROR(MATCH($A35,Do!$F$57:$AQ$57,0),100),IFERROR(MATCH($A35,Do!$F$58:$AQ$58,0),100),IFERROR(MATCH($A35,Do!$F$59:$AQ$59,0),100),IFERROR(MATCH($A35,Do!$F$60:$AQ$60,0),100),IFERROR(MATCH($A35,Do!$F$61:$AQ$61,0),100),IFERROR(MATCH($A35,Do!$F$62:$AQ$62,0),100),IFERROR(MATCH($A35,Do!$F$63:$AQ$63,0),100),39)</f>
        <v/>
      </c>
      <c r="J35" s="66">
        <f>IFERROR(IF(VLOOKUP(INDEX(Do!$B$12:$B$63,MATCH($A35,OFFSET( Do!$F$12:$F$63,0,(I35*48)-(IF(I35=7/24,9,IF(I35=12.5/24,9,IF(I35=14/24,9,IF(I35=15.5/24,9,10)))))),0),0),Do!$B$13:$C$63,2,FALSE)="TL","",INDEX(Do!$B$12:$B$63,MATCH($A35,OFFSET( Do!$F$12:$F$63,0,(I35*48)-(IF(I35=7/24,9,IF(I35=12.5/24,9,IF(I35=14/24,9,IF(I35=15.5/24,9,10)))))),0),0)),"")</f>
        <v/>
      </c>
      <c r="K35" s="857">
        <f>9/48+(1/48)*MIN(IFERROR(MATCH($A35,Vr!$F$13:$AQ$13,0),100),IFERROR(MATCH($A35,Vr!$F$14:$AQ$14,0),100),IFERROR(MATCH($A35,Vr!$F$15:$AQ$15,0),100),IFERROR(MATCH($A35,Vr!$F$16:$AQ$16,0),100),IFERROR(MATCH($A35,Vr!$F$17:$AQ$17,0),100),IFERROR(MATCH($A35,Vr!$F$18:$AQ$18,0),100),IFERROR(MATCH($A35,Vr!$F$19:$AQ$19,0),100),IFERROR(MATCH($A35,Vr!$F$20:$AQ$20,0),100),IFERROR(MATCH($A35,Vr!$F$21:$AQ$21,0),100),IFERROR(MATCH($A35,Vr!$F$22:$AQ$22,0),100),IFERROR(MATCH($A35,Vr!$F$23:$AQ$23,0),100),IFERROR(MATCH($A35,Vr!$F$24:$AQ$24,0),100),IFERROR(MATCH($A35,Vr!$F$25:$AQ$25,0),100),IFERROR(MATCH($A35,Vr!$F$26:$AQ$26,0),100),IFERROR(MATCH($A35,Vr!$F$27:$AQ$27,0),100),IFERROR(MATCH($A35,Vr!$F$28:$AQ$28,0),100),IFERROR(MATCH($A35,Vr!$F$29:$AQ$29,0),100),IFERROR(MATCH($A35,Vr!$F$30:$AQ$30,0),100),IFERROR(MATCH($A35,Vr!$F$31:$AQ$31,0),100),IFERROR(MATCH($A35,Vr!$F$32:$AQ$32,0),100),IFERROR(MATCH($A35,Vr!$F$33:$AQ$33,0),100),IFERROR(MATCH($A35,Vr!$F$34:$AQ$34,0),100),IFERROR(MATCH($A35,Vr!$F$35:$AQ$35,0),100),IFERROR(MATCH($A35,Vr!$F$36:$AQ$36,0),100),IFERROR(MATCH($A35,Vr!$F$37:$AQ$37,0),100),IFERROR(MATCH($A35,Vr!$F$38:$AQ$38,0),100),IFERROR(MATCH($A35,Vr!$F$39:$AQ$39,0),100),IFERROR(MATCH($A35,Vr!$F$40:$AQ$40,0),100),IFERROR(MATCH($A35,Vr!$F$41:$AQ$41,0),100),IFERROR(MATCH($A35,Vr!$F$42:$AQ$42,0),100),IFERROR(MATCH($A35,Vr!$F$43:$AQ$43,0),100),IFERROR(MATCH($A35,Vr!$F$44:$AQ$44,0),100),IFERROR(MATCH($A35,Vr!$F$45:$AQ$45,0),100),IFERROR(MATCH($A35,Vr!$F$46:$AQ$46,0),100),IFERROR(MATCH($A35,Vr!$F$47:$AQ$47,0),100),IFERROR(MATCH($A35,Vr!$F$48:$AQ$48,0),100),IFERROR(MATCH($A35,Vr!$F$49:$AQ$49,0),100),IFERROR(MATCH($A35,Vr!$F$50:$AQ$50,0),100),IFERROR(MATCH($A35,Vr!$F$51:$AQ$51,0),100),IFERROR(MATCH($A35,Vr!$F$52:$AQ$52,0),100),IFERROR(MATCH($A35,Vr!$F$53:$AQ$53,0),100),IFERROR(MATCH($A35,Vr!$F$54:$AQ$54,0),100),IFERROR(MATCH($A35,Vr!$F$55:$AQ$55,0),100),IFERROR(MATCH($A35,Vr!$F$56:$AQ$56,0),100),IFERROR(MATCH($A35,Vr!$F$57:$AQ$57,0),100),IFERROR(MATCH($A35,Vr!$F$58:$AQ$58,0),100),IFERROR(MATCH($A35,Vr!$F$59:$AQ$59,0),100),IFERROR(MATCH($A35,Vr!$F$60:$AQ$60,0),100),IFERROR(MATCH($A35,Vr!$F$61:$AQ$61,0),100),IFERROR(MATCH($A35,Vr!$F$62:$AQ$62,0),100),IFERROR(MATCH($A35,Vr!$F$63:$AQ$63,0),100),39)</f>
        <v/>
      </c>
      <c r="L35" s="66">
        <f>IFERROR(IF(VLOOKUP(INDEX(Vr!$B$12:$B$63,MATCH($A35,OFFSET( Vr!$F$12:$F$63,0,(K35*48)-(IF(K35=7/24,9,IF(K35=12.5/24,9,IF(K35=14/24,9,IF(K35=15.5/24,9,10)))))),0),0),Vr!$B$13:$C$63,2,FALSE)="TL","",INDEX(Vr!$B$12:$B$63,MATCH($A35,OFFSET( Vr!$F$12:$F$63,0,(K35*48)-(IF(K35=7/24,9,IF(K35=12.5/24,9,IF(K35=14/24,9,IF(K35=15.5/24,9,10)))))),0),0)),"")</f>
        <v/>
      </c>
      <c r="M35" s="857">
        <f>9/48+(1/48)*MIN(IFERROR(MATCH($A35,Za!$F$13:$AQ$13,0),100),IFERROR(MATCH($A35,Za!$F$14:$AQ$14,0),100),IFERROR(MATCH($A35,Za!$F$15:$AQ$15,0),100),IFERROR(MATCH($A35,Za!$F$16:$AQ$16,0),100),IFERROR(MATCH($A35,Za!$F$17:$AQ$17,0),100),IFERROR(MATCH($A35,Za!$F$18:$AQ$18,0),100),IFERROR(MATCH($A35,Za!$F$19:$AQ$19,0),100),IFERROR(MATCH($A35,Za!$F$20:$AQ$20,0),100),IFERROR(MATCH($A35,Za!$F$21:$AQ$21,0),100),IFERROR(MATCH($A35,Za!$F$22:$AQ$22,0),100),IFERROR(MATCH($A35,Za!$F$23:$AQ$23,0),100),IFERROR(MATCH($A35,Za!$F$24:$AQ$24,0),100),IFERROR(MATCH($A35,Za!$F$25:$AQ$25,0),100),IFERROR(MATCH($A35,Za!$F$26:$AQ$26,0),100),IFERROR(MATCH($A35,Za!$F$27:$AQ$27,0),100),IFERROR(MATCH($A35,Za!$F$28:$AQ$28,0),100),IFERROR(MATCH($A35,Za!$F$29:$AQ$29,0),100),IFERROR(MATCH($A35,Za!$F$30:$AQ$30,0),100),IFERROR(MATCH($A35,Za!$F$31:$AQ$31,0),100),IFERROR(MATCH($A35,Za!$F$32:$AQ$32,0),100),IFERROR(MATCH($A35,Za!$F$33:$AQ$33,0),100),IFERROR(MATCH($A35,Za!$F$34:$AQ$34,0),100),IFERROR(MATCH($A35,Za!$F$35:$AQ$35,0),100),IFERROR(MATCH($A35,Za!$F$36:$AQ$36,0),100),IFERROR(MATCH($A35,Za!$F$37:$AQ$37,0),100),IFERROR(MATCH($A35,Za!$F$38:$AQ$38,0),100),IFERROR(MATCH($A35,Za!$F$39:$AQ$39,0),100),IFERROR(MATCH($A35,Za!$F$40:$AQ$40,0),100),IFERROR(MATCH($A35,Za!$F$41:$AQ$41,0),100),IFERROR(MATCH($A35,Za!$F$42:$AQ$42,0),100),IFERROR(MATCH($A35,Za!$F$43:$AQ$43,0),100),IFERROR(MATCH($A35,Za!$F$44:$AQ$44,0),100),IFERROR(MATCH($A35,Za!$F$45:$AQ$45,0),100),IFERROR(MATCH($A35,Za!$F$46:$AQ$46,0),100),IFERROR(MATCH($A35,Za!$F$47:$AQ$47,0),100),IFERROR(MATCH($A35,Za!$F$48:$AQ$48,0),100),IFERROR(MATCH($A35,Za!$F$49:$AQ$49,0),100),IFERROR(MATCH($A35,Za!$F$50:$AQ$50,0),100),IFERROR(MATCH($A35,Za!$F$51:$AQ$51,0),100),IFERROR(MATCH($A35,Za!$F$52:$AQ$52,0),100),IFERROR(MATCH($A35,Za!$F$53:$AQ$53,0),100),IFERROR(MATCH($A35,Za!$F$54:$AQ$54,0),100),IFERROR(MATCH($A35,Za!$F$55:$AQ$55,0),100),IFERROR(MATCH($A35,Za!$F$56:$AQ$56,0),100),IFERROR(MATCH($A35,Za!$F$57:$AQ$57,0),100),IFERROR(MATCH($A35,Za!$F$58:$AQ$58,0),100),IFERROR(MATCH($A35,Za!$F$59:$AQ$59,0),100),IFERROR(MATCH($A35,Za!$F$60:$AQ$60,0),100),IFERROR(MATCH($A35,Za!$F$61:$AQ$61,0),100),IFERROR(MATCH($A35,Za!$F$62:$AQ$62,0),100),IFERROR(MATCH($A35,Za!$F$63:$AQ$63,0),100),39)</f>
        <v/>
      </c>
      <c r="N35" s="66">
        <f>IFERROR(IF(VLOOKUP(INDEX(Za!$B$12:$B$63,MATCH($A35,OFFSET( Za!$F$12:$F$63,0,(M35*48)-(IF(M35=7/24,9,IF(M35=12.5/24,9,IF(M35=14/24,9,IF(M35=15.5/24,9,10)))))),0),0),Za!$B$13:$C$63,2,FALSE)="TL","",INDEX(Za!$B$12:$B$63,MATCH($A35,OFFSET( Za!$F$12:$F$63,0,(M35*48)-(IF(M35=7/24,9,IF(M35=12.5/24,9,IF(M35=14/24,9,IF(M35=15.5/24,9,10)))))),0),0)),"")</f>
        <v/>
      </c>
      <c r="O35" s="857">
        <f>9/48+(1/48)*MIN(IFERROR(MATCH($A35,Zo!$F$13:$AQ$13,0),100),IFERROR(MATCH($A35,Zo!$F$14:$AQ$14,0),100),IFERROR(MATCH($A35,Zo!$F$15:$AQ$15,0),100),IFERROR(MATCH($A35,Zo!$F$16:$AQ$16,0),100),IFERROR(MATCH($A35,Zo!$F$17:$AQ$17,0),100),IFERROR(MATCH($A35,Zo!$F$18:$AQ$18,0),100),IFERROR(MATCH($A35,Zo!$F$19:$AQ$19,0),100),IFERROR(MATCH($A35,Zo!$F$20:$AQ$20,0),100),IFERROR(MATCH($A35,Zo!$F$21:$AQ$21,0),100),IFERROR(MATCH($A35,Zo!$F$22:$AQ$22,0),100),IFERROR(MATCH($A35,Zo!$F$23:$AQ$23,0),100),IFERROR(MATCH($A35,Zo!$F$24:$AQ$24,0),100),IFERROR(MATCH($A35,Zo!$F$25:$AQ$25,0),100),IFERROR(MATCH($A35,Zo!$F$26:$AQ$26,0),100),IFERROR(MATCH($A35,Zo!$F$27:$AQ$27,0),100),IFERROR(MATCH($A35,Zo!$F$28:$AQ$28,0),100),IFERROR(MATCH($A35,Zo!$F$29:$AQ$29,0),100),IFERROR(MATCH($A35,Zo!$F$30:$AQ$30,0),100),IFERROR(MATCH($A35,Zo!$F$31:$AQ$31,0),100),IFERROR(MATCH($A35,Zo!$F$32:$AQ$32,0),100),IFERROR(MATCH($A35,Zo!$F$33:$AQ$33,0),100),IFERROR(MATCH($A35,Zo!$F$34:$AQ$34,0),100),IFERROR(MATCH($A35,Zo!$F$35:$AQ$35,0),100),IFERROR(MATCH($A35,Zo!$F$36:$AQ$36,0),100),IFERROR(MATCH($A35,Zo!$F$37:$AQ$37,0),100),IFERROR(MATCH($A35,Zo!$F$38:$AQ$38,0),100),IFERROR(MATCH($A35,Zo!$F$39:$AQ$39,0),100),IFERROR(MATCH($A35,Zo!$F$40:$AQ$40,0),100),IFERROR(MATCH($A35,Zo!$F$41:$AQ$41,0),100),IFERROR(MATCH($A35,Zo!$F$42:$AQ$42,0),100),IFERROR(MATCH($A35,Zo!$F$43:$AQ$43,0),100),IFERROR(MATCH($A35,Zo!$F$44:$AQ$44,0),100),IFERROR(MATCH($A35,Zo!$F$45:$AQ$45,0),100),IFERROR(MATCH($A35,Zo!$F$46:$AQ$46,0),100),IFERROR(MATCH($A35,Zo!$F$47:$AQ$47,0),100),IFERROR(MATCH($A35,Zo!$F$48:$AQ$48,0),100),IFERROR(MATCH($A35,Zo!$F$49:$AQ$49,0),100),IFERROR(MATCH($A35,Zo!$F$50:$AQ$50,0),100),IFERROR(MATCH($A35,Zo!$F$51:$AQ$51,0),100),IFERROR(MATCH($A35,Zo!$F$52:$AQ$52,0),100),IFERROR(MATCH($A35,Zo!$F$53:$AQ$53,0),100),IFERROR(MATCH($A35,Zo!$F$54:$AQ$54,0),100),IFERROR(MATCH($A35,Zo!$F$55:$AQ$55,0),100),IFERROR(MATCH($A35,Zo!$F$56:$AQ$56,0),100),IFERROR(MATCH($A35,Zo!$F$57:$AQ$57,0),100),IFERROR(MATCH($A35,Zo!$F$58:$AQ$58,0),100),IFERROR(MATCH($A35,Zo!$F$59:$AQ$59,0),100),IFERROR(MATCH($A35,Zo!$F$60:$AQ$60,0),100),IFERROR(MATCH($A35,Zo!$F$61:$AQ$61,0),100),IFERROR(MATCH($A35,Zo!$F$62:$AQ$62,0),100),IFERROR(MATCH($A35,Zo!$F$63:$AQ$63,0),100),39)</f>
        <v/>
      </c>
      <c r="P35" s="66">
        <f>IFERROR(IF(VLOOKUP(INDEX(Zo!$B$12:$B$63,MATCH($A35,OFFSET( Zo!$F$12:$F$63,0,(O35*48)-(IF(O35=7/24,9,IF(O35=12.5/24,9,IF(O35=14/24,9,IF(O35=15.5/24,9,10)))))),0),0),Zo!$B$13:$C$63,2,FALSE)="TL","",INDEX(Zo!$B$12:$B$63,MATCH($A35,OFFSET( Zo!$F$12:$F$63,0,(O35*48)-(IF(O35=7/24,9,IF(O35=12.5/24,9,IF(O35=14/24,9,IF(O35=15.5/24,9,10)))))),0),0)),"")</f>
        <v/>
      </c>
    </row>
    <row r="36" ht="15" customHeight="1">
      <c r="A36" s="66" t="inlineStr">
        <is>
          <t>vp</t>
        </is>
      </c>
      <c r="B36" s="67">
        <f>A36</f>
        <v/>
      </c>
      <c r="C36" s="857">
        <f>9/48+(1/48)*MIN(IFERROR(MATCH($A36,Ma!$F$13:$AQ$13,0),100),IFERROR(MATCH($A36,Ma!$F$14:$AQ$14,0),100),IFERROR(MATCH($A36,Ma!$F$15:$AQ$15,0),100),IFERROR(MATCH($A36,Ma!$F$16:$AQ$16,0),100),IFERROR(MATCH($A36,Ma!$F$17:$AQ$17,0),100),IFERROR(MATCH($A36,Ma!$F$18:$AQ$18,0),100),IFERROR(MATCH($A36,Ma!$F$19:$AQ$19,0),100),IFERROR(MATCH($A36,Ma!$F$20:$AQ$20,0),100),IFERROR(MATCH($A36,Ma!$F$21:$AQ$21,0),100),IFERROR(MATCH($A36,Ma!$F$22:$AQ$22,0),100),IFERROR(MATCH($A36,Ma!$F$23:$AQ$23,0),100),IFERROR(MATCH($A36,Ma!$F$24:$AQ$24,0),100),IFERROR(MATCH($A36,Ma!$F$25:$AQ$25,0),100),IFERROR(MATCH($A36,Ma!$F$26:$AQ$26,0),100),IFERROR(MATCH($A36,Ma!$F$27:$AQ$27,0),100),IFERROR(MATCH($A36,Ma!$F$28:$AQ$28,0),100),IFERROR(MATCH($A36,Ma!$F$29:$AQ$29,0),100),IFERROR(MATCH($A36,Ma!$F$30:$AQ$30,0),100),IFERROR(MATCH($A36,Ma!$F$31:$AQ$31,0),100),IFERROR(MATCH($A36,Ma!$F$32:$AQ$32,0),100),IFERROR(MATCH($A36,Ma!$F$33:$AQ$33,0),100),IFERROR(MATCH($A36,Ma!$F$34:$AQ$34,0),100),IFERROR(MATCH($A36,Ma!$F$35:$AQ$35,0),100),IFERROR(MATCH($A36,Ma!$F$36:$AQ$36,0),100),IFERROR(MATCH($A36,Ma!$F$37:$AQ$37,0),100),IFERROR(MATCH($A36,Ma!$F$38:$AQ$38,0),100),IFERROR(MATCH($A36,Ma!$F$39:$AQ$39,0),100),IFERROR(MATCH($A36,Ma!$F$40:$AQ$40,0),100),IFERROR(MATCH($A36,Ma!$F$41:$AQ$41,0),100),IFERROR(MATCH($A36,Ma!$F$42:$AQ$42,0),100),IFERROR(MATCH($A36,Ma!$F$43:$AQ$43,0),100),IFERROR(MATCH($A36,Ma!$F$44:$AQ$44,0),100),IFERROR(MATCH($A36,Ma!$F$45:$AQ$45,0),100),IFERROR(MATCH($A36,Ma!$F$46:$AQ$46,0),100),IFERROR(MATCH($A36,Ma!$F$47:$AQ$47,0),100),IFERROR(MATCH($A36,Ma!$F$48:$AQ$48,0),100),IFERROR(MATCH($A36,Ma!$F$49:$AQ$49,0),100),IFERROR(MATCH($A36,Ma!$F$50:$AQ$50,0),100),IFERROR(MATCH($A36,Ma!$F$51:$AQ$51,0),100),IFERROR(MATCH($A36,Ma!$F$52:$AQ$52,0),100),IFERROR(MATCH($A36,Ma!$F$53:$AQ$53,0),100),IFERROR(MATCH($A36,Ma!$F$54:$AQ$54,0),100),IFERROR(MATCH($A36,Ma!$F$55:$AQ$55,0),100),IFERROR(MATCH($A36,Ma!$F$56:$AQ$56,0),100),IFERROR(MATCH($A36,Ma!$F$57:$AQ$57,0),100),IFERROR(MATCH($A36,Ma!$F$58:$AQ$58,0),100),IFERROR(MATCH($A36,Ma!$F$59:$AQ$59,0),100),IFERROR(MATCH($A36,Ma!$F$60:$AQ$60,0),100),IFERROR(MATCH($A36,Ma!$F$61:$AQ$61,0),100),IFERROR(MATCH($A36,Ma!$F$62:$AQ$62,0),100),IFERROR(MATCH($A36,Ma!$F$63:$AQ$63,0),100),39)</f>
        <v/>
      </c>
      <c r="D36" s="66">
        <f>IFERROR(IF(VLOOKUP(INDEX(Ma!$B$12:$B$63,MATCH($A36,OFFSET( Ma!$F$12:$F$63,0,(C36*48)-(IF(C36=7/24,9,IF(C36=12.5/24,9,IF(C36=14/24,9,IF(C36=15.5/24,9,10)))))),0),0),Ma!$B$13:$C$63,2,FALSE)="TL","",INDEX(Ma!$B$12:$B$63,MATCH($A36,OFFSET( Ma!$F$12:$F$63,0,(C36*48)-(IF(C36=7/24,9,IF(C36=12.5/24,9,IF(C36=14/24,9,IF(C36=15.5/24,9,10)))))),0),0)),"")</f>
        <v/>
      </c>
      <c r="E36" s="857">
        <f>9/48+(1/48)*MIN(IFERROR(MATCH($A36,Di!$F$13:$AQ$13,0),100),IFERROR(MATCH($A36,Di!$F$14:$AQ$14,0),100),IFERROR(MATCH($A36,Di!$F$15:$AQ$15,0),100),IFERROR(MATCH($A36,Di!$F$16:$AQ$16,0),100),IFERROR(MATCH($A36,Di!$F$17:$AQ$17,0),100),IFERROR(MATCH($A36,Di!$F$18:$AQ$18,0),100),IFERROR(MATCH($A36,Di!$F$19:$AQ$19,0),100),IFERROR(MATCH($A36,Di!$F$20:$AQ$20,0),100),IFERROR(MATCH($A36,Di!$F$21:$AQ$21,0),100),IFERROR(MATCH($A36,Di!$F$22:$AQ$22,0),100),IFERROR(MATCH($A36,Di!$F$23:$AQ$23,0),100),IFERROR(MATCH($A36,Di!$F$24:$AQ$24,0),100),IFERROR(MATCH($A36,Di!$F$25:$AQ$25,0),100),IFERROR(MATCH($A36,Di!$F$26:$AQ$26,0),100),IFERROR(MATCH($A36,Di!$F$27:$AQ$27,0),100),IFERROR(MATCH($A36,Di!$F$28:$AQ$28,0),100),IFERROR(MATCH($A36,Di!$F$29:$AQ$29,0),100),IFERROR(MATCH($A36,Di!$F$30:$AQ$30,0),100),IFERROR(MATCH($A36,Di!$F$31:$AQ$31,0),100),IFERROR(MATCH($A36,Di!$F$32:$AQ$32,0),100),IFERROR(MATCH($A36,Di!$F$33:$AQ$33,0),100),IFERROR(MATCH($A36,Di!$F$34:$AQ$34,0),100),IFERROR(MATCH($A36,Di!$F$35:$AQ$35,0),100),IFERROR(MATCH($A36,Di!$F$36:$AQ$36,0),100),IFERROR(MATCH($A36,Di!$F$37:$AQ$37,0),100),IFERROR(MATCH($A36,Di!$F$38:$AQ$38,0),100),IFERROR(MATCH($A36,Di!$F$39:$AQ$39,0),100),IFERROR(MATCH($A36,Di!$F$40:$AQ$40,0),100),IFERROR(MATCH($A36,Di!$F$41:$AQ$41,0),100),IFERROR(MATCH($A36,Di!$F$42:$AQ$42,0),100),IFERROR(MATCH($A36,Di!$F$43:$AQ$43,0),100),IFERROR(MATCH($A36,Di!$F$44:$AQ$44,0),100),IFERROR(MATCH($A36,Di!$F$45:$AQ$45,0),100),IFERROR(MATCH($A36,Di!$F$46:$AQ$46,0),100),IFERROR(MATCH($A36,Di!$F$47:$AQ$47,0),100),IFERROR(MATCH($A36,Di!$F$48:$AQ$48,0),100),IFERROR(MATCH($A36,Di!$F$49:$AQ$49,0),100),IFERROR(MATCH($A36,Di!$F$50:$AQ$50,0),100),IFERROR(MATCH($A36,Di!$F$51:$AQ$51,0),100),IFERROR(MATCH($A36,Di!$F$52:$AQ$52,0),100),IFERROR(MATCH($A36,Di!$F$53:$AQ$53,0),100),IFERROR(MATCH($A36,Di!$F$54:$AQ$54,0),100),IFERROR(MATCH($A36,Di!$F$55:$AQ$55,0),100),IFERROR(MATCH($A36,Di!$F$56:$AQ$56,0),100),IFERROR(MATCH($A36,Di!$F$57:$AQ$57,0),100),IFERROR(MATCH($A36,Di!$F$58:$AQ$58,0),100),IFERROR(MATCH($A36,Di!$F$59:$AQ$59,0),100),IFERROR(MATCH($A36,Di!$F$60:$AQ$60,0),100),IFERROR(MATCH($A36,Di!$F$61:$AQ$61,0),100),IFERROR(MATCH($A36,Di!$F$62:$AQ$62,0),100),IFERROR(MATCH($A36,Di!$F$63:$AQ$63,0),100),39)</f>
        <v/>
      </c>
      <c r="F36" s="66">
        <f>IFERROR(IF(VLOOKUP(INDEX(Di!$B$12:$B$63,MATCH($A36,OFFSET( Di!$F$12:$F$63,0,(E36*48)-(IF(E36=7/24,9,IF(E36=12.5/24,9,IF(E36=14/24,9,IF(E36=15.5/24,9,10)))))),0),0),Di!$B$13:$C$63,2,FALSE)="TL","",INDEX(Di!$B$12:$B$63,MATCH($A36,OFFSET( Di!$F$12:$F$63,0,(E36*48)-(IF(E36=7/24,9,IF(E36=12.5/24,9,IF(E36=14/24,9,IF(E36=15.5/24,9,10)))))),0),0)),"")</f>
        <v/>
      </c>
      <c r="G36" s="857">
        <f>9/48+(1/48)*MIN(IFERROR(MATCH($A36,Wo!$F$13:$AQ$13,0),100),IFERROR(MATCH($A36,Wo!$F$14:$AQ$14,0),100),IFERROR(MATCH($A36,Wo!$F$15:$AQ$15,0),100),IFERROR(MATCH($A36,Wo!$F$16:$AQ$16,0),100),IFERROR(MATCH($A36,Wo!$F$17:$AQ$17,0),100),IFERROR(MATCH($A36,Wo!$F$18:$AQ$18,0),100),IFERROR(MATCH($A36,Wo!$F$19:$AQ$19,0),100),IFERROR(MATCH($A36,Wo!$F$20:$AQ$20,0),100),IFERROR(MATCH($A36,Wo!$F$21:$AQ$21,0),100),IFERROR(MATCH($A36,Wo!$F$22:$AQ$22,0),100),IFERROR(MATCH($A36,Wo!$F$23:$AQ$23,0),100),IFERROR(MATCH($A36,Wo!$F$24:$AQ$24,0),100),IFERROR(MATCH($A36,Wo!$F$25:$AQ$25,0),100),IFERROR(MATCH($A36,Wo!$F$26:$AQ$26,0),100),IFERROR(MATCH($A36,Wo!$F$27:$AQ$27,0),100),IFERROR(MATCH($A36,Wo!$F$28:$AQ$28,0),100),IFERROR(MATCH($A36,Wo!$F$29:$AQ$29,0),100),IFERROR(MATCH($A36,Wo!$F$30:$AQ$30,0),100),IFERROR(MATCH($A36,Wo!$F$31:$AQ$31,0),100),IFERROR(MATCH($A36,Wo!$F$32:$AQ$32,0),100),IFERROR(MATCH($A36,Wo!$F$33:$AQ$33,0),100),IFERROR(MATCH($A36,Wo!$F$34:$AQ$34,0),100),IFERROR(MATCH($A36,Wo!$F$35:$AQ$35,0),100),IFERROR(MATCH($A36,Wo!$F$36:$AQ$36,0),100),IFERROR(MATCH($A36,Wo!$F$37:$AQ$37,0),100),IFERROR(MATCH($A36,Wo!$F$38:$AQ$38,0),100),IFERROR(MATCH($A36,Wo!$F$39:$AQ$39,0),100),IFERROR(MATCH($A36,Wo!$F$40:$AQ$40,0),100),IFERROR(MATCH($A36,Wo!$F$41:$AQ$41,0),100),IFERROR(MATCH($A36,Wo!$F$42:$AQ$42,0),100),IFERROR(MATCH($A36,Wo!$F$43:$AQ$43,0),100),IFERROR(MATCH($A36,Wo!$F$44:$AQ$44,0),100),IFERROR(MATCH($A36,Wo!$F$45:$AQ$45,0),100),IFERROR(MATCH($A36,Wo!$F$46:$AQ$46,0),100),IFERROR(MATCH($A36,Wo!$F$47:$AQ$47,0),100),IFERROR(MATCH($A36,Wo!$F$48:$AQ$48,0),100),IFERROR(MATCH($A36,Wo!$F$49:$AQ$49,0),100),IFERROR(MATCH($A36,Wo!$F$50:$AQ$50,0),100),IFERROR(MATCH($A36,Wo!$F$51:$AQ$51,0),100),IFERROR(MATCH($A36,Wo!$F$52:$AQ$52,0),100),IFERROR(MATCH($A36,Wo!$F$53:$AQ$53,0),100),IFERROR(MATCH($A36,Wo!$F$54:$AQ$54,0),100),IFERROR(MATCH($A36,Wo!$F$55:$AQ$55,0),100),IFERROR(MATCH($A36,Wo!$F$56:$AQ$56,0),100),IFERROR(MATCH($A36,Wo!$F$57:$AQ$57,0),100),IFERROR(MATCH($A36,Wo!$F$58:$AQ$58,0),100),IFERROR(MATCH($A36,Wo!$F$59:$AQ$59,0),100),IFERROR(MATCH($A36,Wo!$F$60:$AQ$60,0),100),IFERROR(MATCH($A36,Wo!$F$61:$AQ$61,0),100),IFERROR(MATCH($A36,Wo!$F$62:$AQ$62,0),100),IFERROR(MATCH($A36,Wo!$F$63:$AQ$63,0),100),39)</f>
        <v/>
      </c>
      <c r="H36" s="66">
        <f>IFERROR(IF(VLOOKUP(INDEX(Wo!$B$12:$B$63,MATCH($A36,OFFSET( Wo!$F$12:$F$63,0,(G36*48)-(IF(G36=7/24,9,IF(G36=12.5/24,9,IF(G36=14/24,9,IF(G36=15.5/24,9,10)))))),0),0),Wo!$B$13:$C$63,2,FALSE)="TL","",INDEX(Wo!$B$12:$B$63,MATCH($A36,OFFSET( Wo!$F$12:$F$63,0,(G36*48)-(IF(G36=7/24,9,IF(G36=12.5/24,9,IF(G36=14/24,9,IF(G36=15.5/24,9,10)))))),0),0)),"")</f>
        <v/>
      </c>
      <c r="I36" s="857">
        <f>9/48+(1/48)*MIN(IFERROR(MATCH($A36,Do!$F$13:$AQ$13,0),100),IFERROR(MATCH($A36,Do!$F$14:$AQ$14,0),100),IFERROR(MATCH($A36,Do!$F$15:$AQ$15,0),100),IFERROR(MATCH($A36,Do!$F$16:$AQ$16,0),100),IFERROR(MATCH($A36,Do!$F$17:$AQ$17,0),100),IFERROR(MATCH($A36,Do!$F$18:$AQ$18,0),100),IFERROR(MATCH($A36,Do!$F$19:$AQ$19,0),100),IFERROR(MATCH($A36,Do!$F$20:$AQ$20,0),100),IFERROR(MATCH($A36,Do!$F$21:$AQ$21,0),100),IFERROR(MATCH($A36,Do!$F$22:$AQ$22,0),100),IFERROR(MATCH($A36,Do!$F$23:$AQ$23,0),100),IFERROR(MATCH($A36,Do!$F$24:$AQ$24,0),100),IFERROR(MATCH($A36,Do!$F$25:$AQ$25,0),100),IFERROR(MATCH($A36,Do!$F$26:$AQ$26,0),100),IFERROR(MATCH($A36,Do!$F$27:$AQ$27,0),100),IFERROR(MATCH($A36,Do!$F$28:$AQ$28,0),100),IFERROR(MATCH($A36,Do!$F$29:$AQ$29,0),100),IFERROR(MATCH($A36,Do!$F$30:$AQ$30,0),100),IFERROR(MATCH($A36,Do!$F$31:$AQ$31,0),100),IFERROR(MATCH($A36,Do!$F$32:$AQ$32,0),100),IFERROR(MATCH($A36,Do!$F$33:$AQ$33,0),100),IFERROR(MATCH($A36,Do!$F$34:$AQ$34,0),100),IFERROR(MATCH($A36,Do!$F$35:$AQ$35,0),100),IFERROR(MATCH($A36,Do!$F$36:$AQ$36,0),100),IFERROR(MATCH($A36,Do!$F$37:$AQ$37,0),100),IFERROR(MATCH($A36,Do!$F$38:$AQ$38,0),100),IFERROR(MATCH($A36,Do!$F$39:$AQ$39,0),100),IFERROR(MATCH($A36,Do!$F$40:$AQ$40,0),100),IFERROR(MATCH($A36,Do!$F$41:$AQ$41,0),100),IFERROR(MATCH($A36,Do!$F$42:$AQ$42,0),100),IFERROR(MATCH($A36,Do!$F$43:$AQ$43,0),100),IFERROR(MATCH($A36,Do!$F$44:$AQ$44,0),100),IFERROR(MATCH($A36,Do!$F$45:$AQ$45,0),100),IFERROR(MATCH($A36,Do!$F$46:$AQ$46,0),100),IFERROR(MATCH($A36,Do!$F$47:$AQ$47,0),100),IFERROR(MATCH($A36,Do!$F$48:$AQ$48,0),100),IFERROR(MATCH($A36,Do!$F$49:$AQ$49,0),100),IFERROR(MATCH($A36,Do!$F$50:$AQ$50,0),100),IFERROR(MATCH($A36,Do!$F$51:$AQ$51,0),100),IFERROR(MATCH($A36,Do!$F$52:$AQ$52,0),100),IFERROR(MATCH($A36,Do!$F$53:$AQ$53,0),100),IFERROR(MATCH($A36,Do!$F$54:$AQ$54,0),100),IFERROR(MATCH($A36,Do!$F$55:$AQ$55,0),100),IFERROR(MATCH($A36,Do!$F$56:$AQ$56,0),100),IFERROR(MATCH($A36,Do!$F$57:$AQ$57,0),100),IFERROR(MATCH($A36,Do!$F$58:$AQ$58,0),100),IFERROR(MATCH($A36,Do!$F$59:$AQ$59,0),100),IFERROR(MATCH($A36,Do!$F$60:$AQ$60,0),100),IFERROR(MATCH($A36,Do!$F$61:$AQ$61,0),100),IFERROR(MATCH($A36,Do!$F$62:$AQ$62,0),100),IFERROR(MATCH($A36,Do!$F$63:$AQ$63,0),100),39)</f>
        <v/>
      </c>
      <c r="J36" s="66">
        <f>IFERROR(IF(VLOOKUP(INDEX(Do!$B$12:$B$63,MATCH($A36,OFFSET( Do!$F$12:$F$63,0,(I36*48)-(IF(I36=7/24,9,IF(I36=12.5/24,9,IF(I36=14/24,9,IF(I36=15.5/24,9,10)))))),0),0),Do!$B$13:$C$63,2,FALSE)="TL","",INDEX(Do!$B$12:$B$63,MATCH($A36,OFFSET( Do!$F$12:$F$63,0,(I36*48)-(IF(I36=7/24,9,IF(I36=12.5/24,9,IF(I36=14/24,9,IF(I36=15.5/24,9,10)))))),0),0)),"")</f>
        <v/>
      </c>
      <c r="K36" s="857">
        <f>9/48+(1/48)*MIN(IFERROR(MATCH($A36,Vr!$F$13:$AQ$13,0),100),IFERROR(MATCH($A36,Vr!$F$14:$AQ$14,0),100),IFERROR(MATCH($A36,Vr!$F$15:$AQ$15,0),100),IFERROR(MATCH($A36,Vr!$F$16:$AQ$16,0),100),IFERROR(MATCH($A36,Vr!$F$17:$AQ$17,0),100),IFERROR(MATCH($A36,Vr!$F$18:$AQ$18,0),100),IFERROR(MATCH($A36,Vr!$F$19:$AQ$19,0),100),IFERROR(MATCH($A36,Vr!$F$20:$AQ$20,0),100),IFERROR(MATCH($A36,Vr!$F$21:$AQ$21,0),100),IFERROR(MATCH($A36,Vr!$F$22:$AQ$22,0),100),IFERROR(MATCH($A36,Vr!$F$23:$AQ$23,0),100),IFERROR(MATCH($A36,Vr!$F$24:$AQ$24,0),100),IFERROR(MATCH($A36,Vr!$F$25:$AQ$25,0),100),IFERROR(MATCH($A36,Vr!$F$26:$AQ$26,0),100),IFERROR(MATCH($A36,Vr!$F$27:$AQ$27,0),100),IFERROR(MATCH($A36,Vr!$F$28:$AQ$28,0),100),IFERROR(MATCH($A36,Vr!$F$29:$AQ$29,0),100),IFERROR(MATCH($A36,Vr!$F$30:$AQ$30,0),100),IFERROR(MATCH($A36,Vr!$F$31:$AQ$31,0),100),IFERROR(MATCH($A36,Vr!$F$32:$AQ$32,0),100),IFERROR(MATCH($A36,Vr!$F$33:$AQ$33,0),100),IFERROR(MATCH($A36,Vr!$F$34:$AQ$34,0),100),IFERROR(MATCH($A36,Vr!$F$35:$AQ$35,0),100),IFERROR(MATCH($A36,Vr!$F$36:$AQ$36,0),100),IFERROR(MATCH($A36,Vr!$F$37:$AQ$37,0),100),IFERROR(MATCH($A36,Vr!$F$38:$AQ$38,0),100),IFERROR(MATCH($A36,Vr!$F$39:$AQ$39,0),100),IFERROR(MATCH($A36,Vr!$F$40:$AQ$40,0),100),IFERROR(MATCH($A36,Vr!$F$41:$AQ$41,0),100),IFERROR(MATCH($A36,Vr!$F$42:$AQ$42,0),100),IFERROR(MATCH($A36,Vr!$F$43:$AQ$43,0),100),IFERROR(MATCH($A36,Vr!$F$44:$AQ$44,0),100),IFERROR(MATCH($A36,Vr!$F$45:$AQ$45,0),100),IFERROR(MATCH($A36,Vr!$F$46:$AQ$46,0),100),IFERROR(MATCH($A36,Vr!$F$47:$AQ$47,0),100),IFERROR(MATCH($A36,Vr!$F$48:$AQ$48,0),100),IFERROR(MATCH($A36,Vr!$F$49:$AQ$49,0),100),IFERROR(MATCH($A36,Vr!$F$50:$AQ$50,0),100),IFERROR(MATCH($A36,Vr!$F$51:$AQ$51,0),100),IFERROR(MATCH($A36,Vr!$F$52:$AQ$52,0),100),IFERROR(MATCH($A36,Vr!$F$53:$AQ$53,0),100),IFERROR(MATCH($A36,Vr!$F$54:$AQ$54,0),100),IFERROR(MATCH($A36,Vr!$F$55:$AQ$55,0),100),IFERROR(MATCH($A36,Vr!$F$56:$AQ$56,0),100),IFERROR(MATCH($A36,Vr!$F$57:$AQ$57,0),100),IFERROR(MATCH($A36,Vr!$F$58:$AQ$58,0),100),IFERROR(MATCH($A36,Vr!$F$59:$AQ$59,0),100),IFERROR(MATCH($A36,Vr!$F$60:$AQ$60,0),100),IFERROR(MATCH($A36,Vr!$F$61:$AQ$61,0),100),IFERROR(MATCH($A36,Vr!$F$62:$AQ$62,0),100),IFERROR(MATCH($A36,Vr!$F$63:$AQ$63,0),100),39)</f>
        <v/>
      </c>
      <c r="L36" s="66">
        <f>IFERROR(IF(VLOOKUP(INDEX(Vr!$B$12:$B$63,MATCH($A36,OFFSET( Vr!$F$12:$F$63,0,(K36*48)-(IF(K36=7/24,9,IF(K36=12.5/24,9,IF(K36=14/24,9,IF(K36=15.5/24,9,10)))))),0),0),Vr!$B$13:$C$63,2,FALSE)="TL","",INDEX(Vr!$B$12:$B$63,MATCH($A36,OFFSET( Vr!$F$12:$F$63,0,(K36*48)-(IF(K36=7/24,9,IF(K36=12.5/24,9,IF(K36=14/24,9,IF(K36=15.5/24,9,10)))))),0),0)),"")</f>
        <v/>
      </c>
      <c r="M36" s="857">
        <f>9/48+(1/48)*MIN(IFERROR(MATCH($A36,Za!$F$13:$AQ$13,0),100),IFERROR(MATCH($A36,Za!$F$14:$AQ$14,0),100),IFERROR(MATCH($A36,Za!$F$15:$AQ$15,0),100),IFERROR(MATCH($A36,Za!$F$16:$AQ$16,0),100),IFERROR(MATCH($A36,Za!$F$17:$AQ$17,0),100),IFERROR(MATCH($A36,Za!$F$18:$AQ$18,0),100),IFERROR(MATCH($A36,Za!$F$19:$AQ$19,0),100),IFERROR(MATCH($A36,Za!$F$20:$AQ$20,0),100),IFERROR(MATCH($A36,Za!$F$21:$AQ$21,0),100),IFERROR(MATCH($A36,Za!$F$22:$AQ$22,0),100),IFERROR(MATCH($A36,Za!$F$23:$AQ$23,0),100),IFERROR(MATCH($A36,Za!$F$24:$AQ$24,0),100),IFERROR(MATCH($A36,Za!$F$25:$AQ$25,0),100),IFERROR(MATCH($A36,Za!$F$26:$AQ$26,0),100),IFERROR(MATCH($A36,Za!$F$27:$AQ$27,0),100),IFERROR(MATCH($A36,Za!$F$28:$AQ$28,0),100),IFERROR(MATCH($A36,Za!$F$29:$AQ$29,0),100),IFERROR(MATCH($A36,Za!$F$30:$AQ$30,0),100),IFERROR(MATCH($A36,Za!$F$31:$AQ$31,0),100),IFERROR(MATCH($A36,Za!$F$32:$AQ$32,0),100),IFERROR(MATCH($A36,Za!$F$33:$AQ$33,0),100),IFERROR(MATCH($A36,Za!$F$34:$AQ$34,0),100),IFERROR(MATCH($A36,Za!$F$35:$AQ$35,0),100),IFERROR(MATCH($A36,Za!$F$36:$AQ$36,0),100),IFERROR(MATCH($A36,Za!$F$37:$AQ$37,0),100),IFERROR(MATCH($A36,Za!$F$38:$AQ$38,0),100),IFERROR(MATCH($A36,Za!$F$39:$AQ$39,0),100),IFERROR(MATCH($A36,Za!$F$40:$AQ$40,0),100),IFERROR(MATCH($A36,Za!$F$41:$AQ$41,0),100),IFERROR(MATCH($A36,Za!$F$42:$AQ$42,0),100),IFERROR(MATCH($A36,Za!$F$43:$AQ$43,0),100),IFERROR(MATCH($A36,Za!$F$44:$AQ$44,0),100),IFERROR(MATCH($A36,Za!$F$45:$AQ$45,0),100),IFERROR(MATCH($A36,Za!$F$46:$AQ$46,0),100),IFERROR(MATCH($A36,Za!$F$47:$AQ$47,0),100),IFERROR(MATCH($A36,Za!$F$48:$AQ$48,0),100),IFERROR(MATCH($A36,Za!$F$49:$AQ$49,0),100),IFERROR(MATCH($A36,Za!$F$50:$AQ$50,0),100),IFERROR(MATCH($A36,Za!$F$51:$AQ$51,0),100),IFERROR(MATCH($A36,Za!$F$52:$AQ$52,0),100),IFERROR(MATCH($A36,Za!$F$53:$AQ$53,0),100),IFERROR(MATCH($A36,Za!$F$54:$AQ$54,0),100),IFERROR(MATCH($A36,Za!$F$55:$AQ$55,0),100),IFERROR(MATCH($A36,Za!$F$56:$AQ$56,0),100),IFERROR(MATCH($A36,Za!$F$57:$AQ$57,0),100),IFERROR(MATCH($A36,Za!$F$58:$AQ$58,0),100),IFERROR(MATCH($A36,Za!$F$59:$AQ$59,0),100),IFERROR(MATCH($A36,Za!$F$60:$AQ$60,0),100),IFERROR(MATCH($A36,Za!$F$61:$AQ$61,0),100),IFERROR(MATCH($A36,Za!$F$62:$AQ$62,0),100),IFERROR(MATCH($A36,Za!$F$63:$AQ$63,0),100),39)</f>
        <v/>
      </c>
      <c r="N36" s="66">
        <f>IFERROR(IF(VLOOKUP(INDEX(Za!$B$12:$B$63,MATCH($A36,OFFSET( Za!$F$12:$F$63,0,(M36*48)-(IF(M36=7/24,9,IF(M36=12.5/24,9,IF(M36=14/24,9,IF(M36=15.5/24,9,10)))))),0),0),Za!$B$13:$C$63,2,FALSE)="TL","",INDEX(Za!$B$12:$B$63,MATCH($A36,OFFSET( Za!$F$12:$F$63,0,(M36*48)-(IF(M36=7/24,9,IF(M36=12.5/24,9,IF(M36=14/24,9,IF(M36=15.5/24,9,10)))))),0),0)),"")</f>
        <v/>
      </c>
      <c r="O36" s="857">
        <f>9/48+(1/48)*MIN(IFERROR(MATCH($A36,Zo!$F$13:$AQ$13,0),100),IFERROR(MATCH($A36,Zo!$F$14:$AQ$14,0),100),IFERROR(MATCH($A36,Zo!$F$15:$AQ$15,0),100),IFERROR(MATCH($A36,Zo!$F$16:$AQ$16,0),100),IFERROR(MATCH($A36,Zo!$F$17:$AQ$17,0),100),IFERROR(MATCH($A36,Zo!$F$18:$AQ$18,0),100),IFERROR(MATCH($A36,Zo!$F$19:$AQ$19,0),100),IFERROR(MATCH($A36,Zo!$F$20:$AQ$20,0),100),IFERROR(MATCH($A36,Zo!$F$21:$AQ$21,0),100),IFERROR(MATCH($A36,Zo!$F$22:$AQ$22,0),100),IFERROR(MATCH($A36,Zo!$F$23:$AQ$23,0),100),IFERROR(MATCH($A36,Zo!$F$24:$AQ$24,0),100),IFERROR(MATCH($A36,Zo!$F$25:$AQ$25,0),100),IFERROR(MATCH($A36,Zo!$F$26:$AQ$26,0),100),IFERROR(MATCH($A36,Zo!$F$27:$AQ$27,0),100),IFERROR(MATCH($A36,Zo!$F$28:$AQ$28,0),100),IFERROR(MATCH($A36,Zo!$F$29:$AQ$29,0),100),IFERROR(MATCH($A36,Zo!$F$30:$AQ$30,0),100),IFERROR(MATCH($A36,Zo!$F$31:$AQ$31,0),100),IFERROR(MATCH($A36,Zo!$F$32:$AQ$32,0),100),IFERROR(MATCH($A36,Zo!$F$33:$AQ$33,0),100),IFERROR(MATCH($A36,Zo!$F$34:$AQ$34,0),100),IFERROR(MATCH($A36,Zo!$F$35:$AQ$35,0),100),IFERROR(MATCH($A36,Zo!$F$36:$AQ$36,0),100),IFERROR(MATCH($A36,Zo!$F$37:$AQ$37,0),100),IFERROR(MATCH($A36,Zo!$F$38:$AQ$38,0),100),IFERROR(MATCH($A36,Zo!$F$39:$AQ$39,0),100),IFERROR(MATCH($A36,Zo!$F$40:$AQ$40,0),100),IFERROR(MATCH($A36,Zo!$F$41:$AQ$41,0),100),IFERROR(MATCH($A36,Zo!$F$42:$AQ$42,0),100),IFERROR(MATCH($A36,Zo!$F$43:$AQ$43,0),100),IFERROR(MATCH($A36,Zo!$F$44:$AQ$44,0),100),IFERROR(MATCH($A36,Zo!$F$45:$AQ$45,0),100),IFERROR(MATCH($A36,Zo!$F$46:$AQ$46,0),100),IFERROR(MATCH($A36,Zo!$F$47:$AQ$47,0),100),IFERROR(MATCH($A36,Zo!$F$48:$AQ$48,0),100),IFERROR(MATCH($A36,Zo!$F$49:$AQ$49,0),100),IFERROR(MATCH($A36,Zo!$F$50:$AQ$50,0),100),IFERROR(MATCH($A36,Zo!$F$51:$AQ$51,0),100),IFERROR(MATCH($A36,Zo!$F$52:$AQ$52,0),100),IFERROR(MATCH($A36,Zo!$F$53:$AQ$53,0),100),IFERROR(MATCH($A36,Zo!$F$54:$AQ$54,0),100),IFERROR(MATCH($A36,Zo!$F$55:$AQ$55,0),100),IFERROR(MATCH($A36,Zo!$F$56:$AQ$56,0),100),IFERROR(MATCH($A36,Zo!$F$57:$AQ$57,0),100),IFERROR(MATCH($A36,Zo!$F$58:$AQ$58,0),100),IFERROR(MATCH($A36,Zo!$F$59:$AQ$59,0),100),IFERROR(MATCH($A36,Zo!$F$60:$AQ$60,0),100),IFERROR(MATCH($A36,Zo!$F$61:$AQ$61,0),100),IFERROR(MATCH($A36,Zo!$F$62:$AQ$62,0),100),IFERROR(MATCH($A36,Zo!$F$63:$AQ$63,0),100),39)</f>
        <v/>
      </c>
      <c r="P36" s="66">
        <f>IFERROR(IF(VLOOKUP(INDEX(Zo!$B$12:$B$63,MATCH($A36,OFFSET( Zo!$F$12:$F$63,0,(O36*48)-(IF(O36=7/24,9,IF(O36=12.5/24,9,IF(O36=14/24,9,IF(O36=15.5/24,9,10)))))),0),0),Zo!$B$13:$C$63,2,FALSE)="TL","",INDEX(Zo!$B$12:$B$63,MATCH($A36,OFFSET( Zo!$F$12:$F$63,0,(O36*48)-(IF(O36=7/24,9,IF(O36=12.5/24,9,IF(O36=14/24,9,IF(O36=15.5/24,9,10)))))),0),0)),"")</f>
        <v/>
      </c>
    </row>
    <row r="37" ht="15" customHeight="1">
      <c r="A37" s="66" t="inlineStr">
        <is>
          <t>wh</t>
        </is>
      </c>
      <c r="B37" s="67">
        <f>A37</f>
        <v/>
      </c>
      <c r="C37" s="857">
        <f>9/48+(1/48)*MIN(IFERROR(MATCH($A37,Ma!$F$13:$AQ$13,0),100),IFERROR(MATCH($A37,Ma!$F$14:$AQ$14,0),100),IFERROR(MATCH($A37,Ma!$F$15:$AQ$15,0),100),IFERROR(MATCH($A37,Ma!$F$16:$AQ$16,0),100),IFERROR(MATCH($A37,Ma!$F$17:$AQ$17,0),100),IFERROR(MATCH($A37,Ma!$F$18:$AQ$18,0),100),IFERROR(MATCH($A37,Ma!$F$19:$AQ$19,0),100),IFERROR(MATCH($A37,Ma!$F$20:$AQ$20,0),100),IFERROR(MATCH($A37,Ma!$F$21:$AQ$21,0),100),IFERROR(MATCH($A37,Ma!$F$22:$AQ$22,0),100),IFERROR(MATCH($A37,Ma!$F$23:$AQ$23,0),100),IFERROR(MATCH($A37,Ma!$F$24:$AQ$24,0),100),IFERROR(MATCH($A37,Ma!$F$25:$AQ$25,0),100),IFERROR(MATCH($A37,Ma!$F$26:$AQ$26,0),100),IFERROR(MATCH($A37,Ma!$F$27:$AQ$27,0),100),IFERROR(MATCH($A37,Ma!$F$28:$AQ$28,0),100),IFERROR(MATCH($A37,Ma!$F$29:$AQ$29,0),100),IFERROR(MATCH($A37,Ma!$F$30:$AQ$30,0),100),IFERROR(MATCH($A37,Ma!$F$31:$AQ$31,0),100),IFERROR(MATCH($A37,Ma!$F$32:$AQ$32,0),100),IFERROR(MATCH($A37,Ma!$F$33:$AQ$33,0),100),IFERROR(MATCH($A37,Ma!$F$34:$AQ$34,0),100),IFERROR(MATCH($A37,Ma!$F$35:$AQ$35,0),100),IFERROR(MATCH($A37,Ma!$F$36:$AQ$36,0),100),IFERROR(MATCH($A37,Ma!$F$37:$AQ$37,0),100),IFERROR(MATCH($A37,Ma!$F$38:$AQ$38,0),100),IFERROR(MATCH($A37,Ma!$F$39:$AQ$39,0),100),IFERROR(MATCH($A37,Ma!$F$40:$AQ$40,0),100),IFERROR(MATCH($A37,Ma!$F$41:$AQ$41,0),100),IFERROR(MATCH($A37,Ma!$F$42:$AQ$42,0),100),IFERROR(MATCH($A37,Ma!$F$43:$AQ$43,0),100),IFERROR(MATCH($A37,Ma!$F$44:$AQ$44,0),100),IFERROR(MATCH($A37,Ma!$F$45:$AQ$45,0),100),IFERROR(MATCH($A37,Ma!$F$46:$AQ$46,0),100),IFERROR(MATCH($A37,Ma!$F$47:$AQ$47,0),100),IFERROR(MATCH($A37,Ma!$F$48:$AQ$48,0),100),IFERROR(MATCH($A37,Ma!$F$49:$AQ$49,0),100),IFERROR(MATCH($A37,Ma!$F$50:$AQ$50,0),100),IFERROR(MATCH($A37,Ma!$F$51:$AQ$51,0),100),IFERROR(MATCH($A37,Ma!$F$52:$AQ$52,0),100),IFERROR(MATCH($A37,Ma!$F$53:$AQ$53,0),100),IFERROR(MATCH($A37,Ma!$F$54:$AQ$54,0),100),IFERROR(MATCH($A37,Ma!$F$55:$AQ$55,0),100),IFERROR(MATCH($A37,Ma!$F$56:$AQ$56,0),100),IFERROR(MATCH($A37,Ma!$F$57:$AQ$57,0),100),IFERROR(MATCH($A37,Ma!$F$58:$AQ$58,0),100),IFERROR(MATCH($A37,Ma!$F$59:$AQ$59,0),100),IFERROR(MATCH($A37,Ma!$F$60:$AQ$60,0),100),IFERROR(MATCH($A37,Ma!$F$61:$AQ$61,0),100),IFERROR(MATCH($A37,Ma!$F$62:$AQ$62,0),100),IFERROR(MATCH($A37,Ma!$F$63:$AQ$63,0),100),39)</f>
        <v/>
      </c>
      <c r="D37" s="66">
        <f>IFERROR(IF(VLOOKUP(INDEX(Ma!$B$12:$B$63,MATCH($A37,OFFSET( Ma!$F$12:$F$63,0,(C37*48)-(IF(C37=7/24,9,IF(C37=12.5/24,9,IF(C37=14/24,9,IF(C37=15.5/24,9,10)))))),0),0),Ma!$B$13:$C$63,2,FALSE)="TL","",INDEX(Ma!$B$12:$B$63,MATCH($A37,OFFSET( Ma!$F$12:$F$63,0,(C37*48)-(IF(C37=7/24,9,IF(C37=12.5/24,9,IF(C37=14/24,9,IF(C37=15.5/24,9,10)))))),0),0)),"")</f>
        <v/>
      </c>
      <c r="E37" s="857">
        <f>9/48+(1/48)*MIN(IFERROR(MATCH($A37,Di!$F$13:$AQ$13,0),100),IFERROR(MATCH($A37,Di!$F$14:$AQ$14,0),100),IFERROR(MATCH($A37,Di!$F$15:$AQ$15,0),100),IFERROR(MATCH($A37,Di!$F$16:$AQ$16,0),100),IFERROR(MATCH($A37,Di!$F$17:$AQ$17,0),100),IFERROR(MATCH($A37,Di!$F$18:$AQ$18,0),100),IFERROR(MATCH($A37,Di!$F$19:$AQ$19,0),100),IFERROR(MATCH($A37,Di!$F$20:$AQ$20,0),100),IFERROR(MATCH($A37,Di!$F$21:$AQ$21,0),100),IFERROR(MATCH($A37,Di!$F$22:$AQ$22,0),100),IFERROR(MATCH($A37,Di!$F$23:$AQ$23,0),100),IFERROR(MATCH($A37,Di!$F$24:$AQ$24,0),100),IFERROR(MATCH($A37,Di!$F$25:$AQ$25,0),100),IFERROR(MATCH($A37,Di!$F$26:$AQ$26,0),100),IFERROR(MATCH($A37,Di!$F$27:$AQ$27,0),100),IFERROR(MATCH($A37,Di!$F$28:$AQ$28,0),100),IFERROR(MATCH($A37,Di!$F$29:$AQ$29,0),100),IFERROR(MATCH($A37,Di!$F$30:$AQ$30,0),100),IFERROR(MATCH($A37,Di!$F$31:$AQ$31,0),100),IFERROR(MATCH($A37,Di!$F$32:$AQ$32,0),100),IFERROR(MATCH($A37,Di!$F$33:$AQ$33,0),100),IFERROR(MATCH($A37,Di!$F$34:$AQ$34,0),100),IFERROR(MATCH($A37,Di!$F$35:$AQ$35,0),100),IFERROR(MATCH($A37,Di!$F$36:$AQ$36,0),100),IFERROR(MATCH($A37,Di!$F$37:$AQ$37,0),100),IFERROR(MATCH($A37,Di!$F$38:$AQ$38,0),100),IFERROR(MATCH($A37,Di!$F$39:$AQ$39,0),100),IFERROR(MATCH($A37,Di!$F$40:$AQ$40,0),100),IFERROR(MATCH($A37,Di!$F$41:$AQ$41,0),100),IFERROR(MATCH($A37,Di!$F$42:$AQ$42,0),100),IFERROR(MATCH($A37,Di!$F$43:$AQ$43,0),100),IFERROR(MATCH($A37,Di!$F$44:$AQ$44,0),100),IFERROR(MATCH($A37,Di!$F$45:$AQ$45,0),100),IFERROR(MATCH($A37,Di!$F$46:$AQ$46,0),100),IFERROR(MATCH($A37,Di!$F$47:$AQ$47,0),100),IFERROR(MATCH($A37,Di!$F$48:$AQ$48,0),100),IFERROR(MATCH($A37,Di!$F$49:$AQ$49,0),100),IFERROR(MATCH($A37,Di!$F$50:$AQ$50,0),100),IFERROR(MATCH($A37,Di!$F$51:$AQ$51,0),100),IFERROR(MATCH($A37,Di!$F$52:$AQ$52,0),100),IFERROR(MATCH($A37,Di!$F$53:$AQ$53,0),100),IFERROR(MATCH($A37,Di!$F$54:$AQ$54,0),100),IFERROR(MATCH($A37,Di!$F$55:$AQ$55,0),100),IFERROR(MATCH($A37,Di!$F$56:$AQ$56,0),100),IFERROR(MATCH($A37,Di!$F$57:$AQ$57,0),100),IFERROR(MATCH($A37,Di!$F$58:$AQ$58,0),100),IFERROR(MATCH($A37,Di!$F$59:$AQ$59,0),100),IFERROR(MATCH($A37,Di!$F$60:$AQ$60,0),100),IFERROR(MATCH($A37,Di!$F$61:$AQ$61,0),100),IFERROR(MATCH($A37,Di!$F$62:$AQ$62,0),100),IFERROR(MATCH($A37,Di!$F$63:$AQ$63,0),100),39)</f>
        <v/>
      </c>
      <c r="F37" s="66">
        <f>IFERROR(IF(VLOOKUP(INDEX(Di!$B$12:$B$63,MATCH($A37,OFFSET( Di!$F$12:$F$63,0,(E37*48)-(IF(E37=7/24,9,IF(E37=12.5/24,9,IF(E37=14/24,9,IF(E37=15.5/24,9,10)))))),0),0),Di!$B$13:$C$63,2,FALSE)="TL","",INDEX(Di!$B$12:$B$63,MATCH($A37,OFFSET( Di!$F$12:$F$63,0,(E37*48)-(IF(E37=7/24,9,IF(E37=12.5/24,9,IF(E37=14/24,9,IF(E37=15.5/24,9,10)))))),0),0)),"")</f>
        <v/>
      </c>
      <c r="G37" s="857">
        <f>9/48+(1/48)*MIN(IFERROR(MATCH($A37,Wo!$F$13:$AQ$13,0),100),IFERROR(MATCH($A37,Wo!$F$14:$AQ$14,0),100),IFERROR(MATCH($A37,Wo!$F$15:$AQ$15,0),100),IFERROR(MATCH($A37,Wo!$F$16:$AQ$16,0),100),IFERROR(MATCH($A37,Wo!$F$17:$AQ$17,0),100),IFERROR(MATCH($A37,Wo!$F$18:$AQ$18,0),100),IFERROR(MATCH($A37,Wo!$F$19:$AQ$19,0),100),IFERROR(MATCH($A37,Wo!$F$20:$AQ$20,0),100),IFERROR(MATCH($A37,Wo!$F$21:$AQ$21,0),100),IFERROR(MATCH($A37,Wo!$F$22:$AQ$22,0),100),IFERROR(MATCH($A37,Wo!$F$23:$AQ$23,0),100),IFERROR(MATCH($A37,Wo!$F$24:$AQ$24,0),100),IFERROR(MATCH($A37,Wo!$F$25:$AQ$25,0),100),IFERROR(MATCH($A37,Wo!$F$26:$AQ$26,0),100),IFERROR(MATCH($A37,Wo!$F$27:$AQ$27,0),100),IFERROR(MATCH($A37,Wo!$F$28:$AQ$28,0),100),IFERROR(MATCH($A37,Wo!$F$29:$AQ$29,0),100),IFERROR(MATCH($A37,Wo!$F$30:$AQ$30,0),100),IFERROR(MATCH($A37,Wo!$F$31:$AQ$31,0),100),IFERROR(MATCH($A37,Wo!$F$32:$AQ$32,0),100),IFERROR(MATCH($A37,Wo!$F$33:$AQ$33,0),100),IFERROR(MATCH($A37,Wo!$F$34:$AQ$34,0),100),IFERROR(MATCH($A37,Wo!$F$35:$AQ$35,0),100),IFERROR(MATCH($A37,Wo!$F$36:$AQ$36,0),100),IFERROR(MATCH($A37,Wo!$F$37:$AQ$37,0),100),IFERROR(MATCH($A37,Wo!$F$38:$AQ$38,0),100),IFERROR(MATCH($A37,Wo!$F$39:$AQ$39,0),100),IFERROR(MATCH($A37,Wo!$F$40:$AQ$40,0),100),IFERROR(MATCH($A37,Wo!$F$41:$AQ$41,0),100),IFERROR(MATCH($A37,Wo!$F$42:$AQ$42,0),100),IFERROR(MATCH($A37,Wo!$F$43:$AQ$43,0),100),IFERROR(MATCH($A37,Wo!$F$44:$AQ$44,0),100),IFERROR(MATCH($A37,Wo!$F$45:$AQ$45,0),100),IFERROR(MATCH($A37,Wo!$F$46:$AQ$46,0),100),IFERROR(MATCH($A37,Wo!$F$47:$AQ$47,0),100),IFERROR(MATCH($A37,Wo!$F$48:$AQ$48,0),100),IFERROR(MATCH($A37,Wo!$F$49:$AQ$49,0),100),IFERROR(MATCH($A37,Wo!$F$50:$AQ$50,0),100),IFERROR(MATCH($A37,Wo!$F$51:$AQ$51,0),100),IFERROR(MATCH($A37,Wo!$F$52:$AQ$52,0),100),IFERROR(MATCH($A37,Wo!$F$53:$AQ$53,0),100),IFERROR(MATCH($A37,Wo!$F$54:$AQ$54,0),100),IFERROR(MATCH($A37,Wo!$F$55:$AQ$55,0),100),IFERROR(MATCH($A37,Wo!$F$56:$AQ$56,0),100),IFERROR(MATCH($A37,Wo!$F$57:$AQ$57,0),100),IFERROR(MATCH($A37,Wo!$F$58:$AQ$58,0),100),IFERROR(MATCH($A37,Wo!$F$59:$AQ$59,0),100),IFERROR(MATCH($A37,Wo!$F$60:$AQ$60,0),100),IFERROR(MATCH($A37,Wo!$F$61:$AQ$61,0),100),IFERROR(MATCH($A37,Wo!$F$62:$AQ$62,0),100),IFERROR(MATCH($A37,Wo!$F$63:$AQ$63,0),100),39)</f>
        <v/>
      </c>
      <c r="H37" s="66">
        <f>IFERROR(IF(VLOOKUP(INDEX(Wo!$B$12:$B$63,MATCH($A37,OFFSET( Wo!$F$12:$F$63,0,(G37*48)-(IF(G37=7/24,9,IF(G37=12.5/24,9,IF(G37=14/24,9,IF(G37=15.5/24,9,10)))))),0),0),Wo!$B$13:$C$63,2,FALSE)="TL","",INDEX(Wo!$B$12:$B$63,MATCH($A37,OFFSET( Wo!$F$12:$F$63,0,(G37*48)-(IF(G37=7/24,9,IF(G37=12.5/24,9,IF(G37=14/24,9,IF(G37=15.5/24,9,10)))))),0),0)),"")</f>
        <v/>
      </c>
      <c r="I37" s="857">
        <f>9/48+(1/48)*MIN(IFERROR(MATCH($A37,Do!$F$13:$AQ$13,0),100),IFERROR(MATCH($A37,Do!$F$14:$AQ$14,0),100),IFERROR(MATCH($A37,Do!$F$15:$AQ$15,0),100),IFERROR(MATCH($A37,Do!$F$16:$AQ$16,0),100),IFERROR(MATCH($A37,Do!$F$17:$AQ$17,0),100),IFERROR(MATCH($A37,Do!$F$18:$AQ$18,0),100),IFERROR(MATCH($A37,Do!$F$19:$AQ$19,0),100),IFERROR(MATCH($A37,Do!$F$20:$AQ$20,0),100),IFERROR(MATCH($A37,Do!$F$21:$AQ$21,0),100),IFERROR(MATCH($A37,Do!$F$22:$AQ$22,0),100),IFERROR(MATCH($A37,Do!$F$23:$AQ$23,0),100),IFERROR(MATCH($A37,Do!$F$24:$AQ$24,0),100),IFERROR(MATCH($A37,Do!$F$25:$AQ$25,0),100),IFERROR(MATCH($A37,Do!$F$26:$AQ$26,0),100),IFERROR(MATCH($A37,Do!$F$27:$AQ$27,0),100),IFERROR(MATCH($A37,Do!$F$28:$AQ$28,0),100),IFERROR(MATCH($A37,Do!$F$29:$AQ$29,0),100),IFERROR(MATCH($A37,Do!$F$30:$AQ$30,0),100),IFERROR(MATCH($A37,Do!$F$31:$AQ$31,0),100),IFERROR(MATCH($A37,Do!$F$32:$AQ$32,0),100),IFERROR(MATCH($A37,Do!$F$33:$AQ$33,0),100),IFERROR(MATCH($A37,Do!$F$34:$AQ$34,0),100),IFERROR(MATCH($A37,Do!$F$35:$AQ$35,0),100),IFERROR(MATCH($A37,Do!$F$36:$AQ$36,0),100),IFERROR(MATCH($A37,Do!$F$37:$AQ$37,0),100),IFERROR(MATCH($A37,Do!$F$38:$AQ$38,0),100),IFERROR(MATCH($A37,Do!$F$39:$AQ$39,0),100),IFERROR(MATCH($A37,Do!$F$40:$AQ$40,0),100),IFERROR(MATCH($A37,Do!$F$41:$AQ$41,0),100),IFERROR(MATCH($A37,Do!$F$42:$AQ$42,0),100),IFERROR(MATCH($A37,Do!$F$43:$AQ$43,0),100),IFERROR(MATCH($A37,Do!$F$44:$AQ$44,0),100),IFERROR(MATCH($A37,Do!$F$45:$AQ$45,0),100),IFERROR(MATCH($A37,Do!$F$46:$AQ$46,0),100),IFERROR(MATCH($A37,Do!$F$47:$AQ$47,0),100),IFERROR(MATCH($A37,Do!$F$48:$AQ$48,0),100),IFERROR(MATCH($A37,Do!$F$49:$AQ$49,0),100),IFERROR(MATCH($A37,Do!$F$50:$AQ$50,0),100),IFERROR(MATCH($A37,Do!$F$51:$AQ$51,0),100),IFERROR(MATCH($A37,Do!$F$52:$AQ$52,0),100),IFERROR(MATCH($A37,Do!$F$53:$AQ$53,0),100),IFERROR(MATCH($A37,Do!$F$54:$AQ$54,0),100),IFERROR(MATCH($A37,Do!$F$55:$AQ$55,0),100),IFERROR(MATCH($A37,Do!$F$56:$AQ$56,0),100),IFERROR(MATCH($A37,Do!$F$57:$AQ$57,0),100),IFERROR(MATCH($A37,Do!$F$58:$AQ$58,0),100),IFERROR(MATCH($A37,Do!$F$59:$AQ$59,0),100),IFERROR(MATCH($A37,Do!$F$60:$AQ$60,0),100),IFERROR(MATCH($A37,Do!$F$61:$AQ$61,0),100),IFERROR(MATCH($A37,Do!$F$62:$AQ$62,0),100),IFERROR(MATCH($A37,Do!$F$63:$AQ$63,0),100),39)</f>
        <v/>
      </c>
      <c r="J37" s="66">
        <f>IFERROR(IF(VLOOKUP(INDEX(Do!$B$12:$B$63,MATCH($A37,OFFSET( Do!$F$12:$F$63,0,(I37*48)-(IF(I37=7/24,9,IF(I37=12.5/24,9,IF(I37=14/24,9,IF(I37=15.5/24,9,10)))))),0),0),Do!$B$13:$C$63,2,FALSE)="TL","",INDEX(Do!$B$12:$B$63,MATCH($A37,OFFSET( Do!$F$12:$F$63,0,(I37*48)-(IF(I37=7/24,9,IF(I37=12.5/24,9,IF(I37=14/24,9,IF(I37=15.5/24,9,10)))))),0),0)),"")</f>
        <v/>
      </c>
      <c r="K37" s="857">
        <f>9/48+(1/48)*MIN(IFERROR(MATCH($A37,Vr!$F$13:$AQ$13,0),100),IFERROR(MATCH($A37,Vr!$F$14:$AQ$14,0),100),IFERROR(MATCH($A37,Vr!$F$15:$AQ$15,0),100),IFERROR(MATCH($A37,Vr!$F$16:$AQ$16,0),100),IFERROR(MATCH($A37,Vr!$F$17:$AQ$17,0),100),IFERROR(MATCH($A37,Vr!$F$18:$AQ$18,0),100),IFERROR(MATCH($A37,Vr!$F$19:$AQ$19,0),100),IFERROR(MATCH($A37,Vr!$F$20:$AQ$20,0),100),IFERROR(MATCH($A37,Vr!$F$21:$AQ$21,0),100),IFERROR(MATCH($A37,Vr!$F$22:$AQ$22,0),100),IFERROR(MATCH($A37,Vr!$F$23:$AQ$23,0),100),IFERROR(MATCH($A37,Vr!$F$24:$AQ$24,0),100),IFERROR(MATCH($A37,Vr!$F$25:$AQ$25,0),100),IFERROR(MATCH($A37,Vr!$F$26:$AQ$26,0),100),IFERROR(MATCH($A37,Vr!$F$27:$AQ$27,0),100),IFERROR(MATCH($A37,Vr!$F$28:$AQ$28,0),100),IFERROR(MATCH($A37,Vr!$F$29:$AQ$29,0),100),IFERROR(MATCH($A37,Vr!$F$30:$AQ$30,0),100),IFERROR(MATCH($A37,Vr!$F$31:$AQ$31,0),100),IFERROR(MATCH($A37,Vr!$F$32:$AQ$32,0),100),IFERROR(MATCH($A37,Vr!$F$33:$AQ$33,0),100),IFERROR(MATCH($A37,Vr!$F$34:$AQ$34,0),100),IFERROR(MATCH($A37,Vr!$F$35:$AQ$35,0),100),IFERROR(MATCH($A37,Vr!$F$36:$AQ$36,0),100),IFERROR(MATCH($A37,Vr!$F$37:$AQ$37,0),100),IFERROR(MATCH($A37,Vr!$F$38:$AQ$38,0),100),IFERROR(MATCH($A37,Vr!$F$39:$AQ$39,0),100),IFERROR(MATCH($A37,Vr!$F$40:$AQ$40,0),100),IFERROR(MATCH($A37,Vr!$F$41:$AQ$41,0),100),IFERROR(MATCH($A37,Vr!$F$42:$AQ$42,0),100),IFERROR(MATCH($A37,Vr!$F$43:$AQ$43,0),100),IFERROR(MATCH($A37,Vr!$F$44:$AQ$44,0),100),IFERROR(MATCH($A37,Vr!$F$45:$AQ$45,0),100),IFERROR(MATCH($A37,Vr!$F$46:$AQ$46,0),100),IFERROR(MATCH($A37,Vr!$F$47:$AQ$47,0),100),IFERROR(MATCH($A37,Vr!$F$48:$AQ$48,0),100),IFERROR(MATCH($A37,Vr!$F$49:$AQ$49,0),100),IFERROR(MATCH($A37,Vr!$F$50:$AQ$50,0),100),IFERROR(MATCH($A37,Vr!$F$51:$AQ$51,0),100),IFERROR(MATCH($A37,Vr!$F$52:$AQ$52,0),100),IFERROR(MATCH($A37,Vr!$F$53:$AQ$53,0),100),IFERROR(MATCH($A37,Vr!$F$54:$AQ$54,0),100),IFERROR(MATCH($A37,Vr!$F$55:$AQ$55,0),100),IFERROR(MATCH($A37,Vr!$F$56:$AQ$56,0),100),IFERROR(MATCH($A37,Vr!$F$57:$AQ$57,0),100),IFERROR(MATCH($A37,Vr!$F$58:$AQ$58,0),100),IFERROR(MATCH($A37,Vr!$F$59:$AQ$59,0),100),IFERROR(MATCH($A37,Vr!$F$60:$AQ$60,0),100),IFERROR(MATCH($A37,Vr!$F$61:$AQ$61,0),100),IFERROR(MATCH($A37,Vr!$F$62:$AQ$62,0),100),IFERROR(MATCH($A37,Vr!$F$63:$AQ$63,0),100),39)</f>
        <v/>
      </c>
      <c r="L37" s="66">
        <f>IFERROR(IF(VLOOKUP(INDEX(Vr!$B$12:$B$63,MATCH($A37,OFFSET( Vr!$F$12:$F$63,0,(K37*48)-(IF(K37=7/24,9,IF(K37=12.5/24,9,IF(K37=14/24,9,IF(K37=15.5/24,9,10)))))),0),0),Vr!$B$13:$C$63,2,FALSE)="TL","",INDEX(Vr!$B$12:$B$63,MATCH($A37,OFFSET( Vr!$F$12:$F$63,0,(K37*48)-(IF(K37=7/24,9,IF(K37=12.5/24,9,IF(K37=14/24,9,IF(K37=15.5/24,9,10)))))),0),0)),"")</f>
        <v/>
      </c>
      <c r="M37" s="857">
        <f>9/48+(1/48)*MIN(IFERROR(MATCH($A37,Za!$F$13:$AQ$13,0),100),IFERROR(MATCH($A37,Za!$F$14:$AQ$14,0),100),IFERROR(MATCH($A37,Za!$F$15:$AQ$15,0),100),IFERROR(MATCH($A37,Za!$F$16:$AQ$16,0),100),IFERROR(MATCH($A37,Za!$F$17:$AQ$17,0),100),IFERROR(MATCH($A37,Za!$F$18:$AQ$18,0),100),IFERROR(MATCH($A37,Za!$F$19:$AQ$19,0),100),IFERROR(MATCH($A37,Za!$F$20:$AQ$20,0),100),IFERROR(MATCH($A37,Za!$F$21:$AQ$21,0),100),IFERROR(MATCH($A37,Za!$F$22:$AQ$22,0),100),IFERROR(MATCH($A37,Za!$F$23:$AQ$23,0),100),IFERROR(MATCH($A37,Za!$F$24:$AQ$24,0),100),IFERROR(MATCH($A37,Za!$F$25:$AQ$25,0),100),IFERROR(MATCH($A37,Za!$F$26:$AQ$26,0),100),IFERROR(MATCH($A37,Za!$F$27:$AQ$27,0),100),IFERROR(MATCH($A37,Za!$F$28:$AQ$28,0),100),IFERROR(MATCH($A37,Za!$F$29:$AQ$29,0),100),IFERROR(MATCH($A37,Za!$F$30:$AQ$30,0),100),IFERROR(MATCH($A37,Za!$F$31:$AQ$31,0),100),IFERROR(MATCH($A37,Za!$F$32:$AQ$32,0),100),IFERROR(MATCH($A37,Za!$F$33:$AQ$33,0),100),IFERROR(MATCH($A37,Za!$F$34:$AQ$34,0),100),IFERROR(MATCH($A37,Za!$F$35:$AQ$35,0),100),IFERROR(MATCH($A37,Za!$F$36:$AQ$36,0),100),IFERROR(MATCH($A37,Za!$F$37:$AQ$37,0),100),IFERROR(MATCH($A37,Za!$F$38:$AQ$38,0),100),IFERROR(MATCH($A37,Za!$F$39:$AQ$39,0),100),IFERROR(MATCH($A37,Za!$F$40:$AQ$40,0),100),IFERROR(MATCH($A37,Za!$F$41:$AQ$41,0),100),IFERROR(MATCH($A37,Za!$F$42:$AQ$42,0),100),IFERROR(MATCH($A37,Za!$F$43:$AQ$43,0),100),IFERROR(MATCH($A37,Za!$F$44:$AQ$44,0),100),IFERROR(MATCH($A37,Za!$F$45:$AQ$45,0),100),IFERROR(MATCH($A37,Za!$F$46:$AQ$46,0),100),IFERROR(MATCH($A37,Za!$F$47:$AQ$47,0),100),IFERROR(MATCH($A37,Za!$F$48:$AQ$48,0),100),IFERROR(MATCH($A37,Za!$F$49:$AQ$49,0),100),IFERROR(MATCH($A37,Za!$F$50:$AQ$50,0),100),IFERROR(MATCH($A37,Za!$F$51:$AQ$51,0),100),IFERROR(MATCH($A37,Za!$F$52:$AQ$52,0),100),IFERROR(MATCH($A37,Za!$F$53:$AQ$53,0),100),IFERROR(MATCH($A37,Za!$F$54:$AQ$54,0),100),IFERROR(MATCH($A37,Za!$F$55:$AQ$55,0),100),IFERROR(MATCH($A37,Za!$F$56:$AQ$56,0),100),IFERROR(MATCH($A37,Za!$F$57:$AQ$57,0),100),IFERROR(MATCH($A37,Za!$F$58:$AQ$58,0),100),IFERROR(MATCH($A37,Za!$F$59:$AQ$59,0),100),IFERROR(MATCH($A37,Za!$F$60:$AQ$60,0),100),IFERROR(MATCH($A37,Za!$F$61:$AQ$61,0),100),IFERROR(MATCH($A37,Za!$F$62:$AQ$62,0),100),IFERROR(MATCH($A37,Za!$F$63:$AQ$63,0),100),39)</f>
        <v/>
      </c>
      <c r="N37" s="66">
        <f>IFERROR(IF(VLOOKUP(INDEX(Za!$B$12:$B$63,MATCH($A37,OFFSET( Za!$F$12:$F$63,0,(M37*48)-(IF(M37=7/24,9,IF(M37=12.5/24,9,IF(M37=14/24,9,IF(M37=15.5/24,9,10)))))),0),0),Za!$B$13:$C$63,2,FALSE)="TL","",INDEX(Za!$B$12:$B$63,MATCH($A37,OFFSET( Za!$F$12:$F$63,0,(M37*48)-(IF(M37=7/24,9,IF(M37=12.5/24,9,IF(M37=14/24,9,IF(M37=15.5/24,9,10)))))),0),0)),"")</f>
        <v/>
      </c>
      <c r="O37" s="857">
        <f>9/48+(1/48)*MIN(IFERROR(MATCH($A37,Zo!$F$13:$AQ$13,0),100),IFERROR(MATCH($A37,Zo!$F$14:$AQ$14,0),100),IFERROR(MATCH($A37,Zo!$F$15:$AQ$15,0),100),IFERROR(MATCH($A37,Zo!$F$16:$AQ$16,0),100),IFERROR(MATCH($A37,Zo!$F$17:$AQ$17,0),100),IFERROR(MATCH($A37,Zo!$F$18:$AQ$18,0),100),IFERROR(MATCH($A37,Zo!$F$19:$AQ$19,0),100),IFERROR(MATCH($A37,Zo!$F$20:$AQ$20,0),100),IFERROR(MATCH($A37,Zo!$F$21:$AQ$21,0),100),IFERROR(MATCH($A37,Zo!$F$22:$AQ$22,0),100),IFERROR(MATCH($A37,Zo!$F$23:$AQ$23,0),100),IFERROR(MATCH($A37,Zo!$F$24:$AQ$24,0),100),IFERROR(MATCH($A37,Zo!$F$25:$AQ$25,0),100),IFERROR(MATCH($A37,Zo!$F$26:$AQ$26,0),100),IFERROR(MATCH($A37,Zo!$F$27:$AQ$27,0),100),IFERROR(MATCH($A37,Zo!$F$28:$AQ$28,0),100),IFERROR(MATCH($A37,Zo!$F$29:$AQ$29,0),100),IFERROR(MATCH($A37,Zo!$F$30:$AQ$30,0),100),IFERROR(MATCH($A37,Zo!$F$31:$AQ$31,0),100),IFERROR(MATCH($A37,Zo!$F$32:$AQ$32,0),100),IFERROR(MATCH($A37,Zo!$F$33:$AQ$33,0),100),IFERROR(MATCH($A37,Zo!$F$34:$AQ$34,0),100),IFERROR(MATCH($A37,Zo!$F$35:$AQ$35,0),100),IFERROR(MATCH($A37,Zo!$F$36:$AQ$36,0),100),IFERROR(MATCH($A37,Zo!$F$37:$AQ$37,0),100),IFERROR(MATCH($A37,Zo!$F$38:$AQ$38,0),100),IFERROR(MATCH($A37,Zo!$F$39:$AQ$39,0),100),IFERROR(MATCH($A37,Zo!$F$40:$AQ$40,0),100),IFERROR(MATCH($A37,Zo!$F$41:$AQ$41,0),100),IFERROR(MATCH($A37,Zo!$F$42:$AQ$42,0),100),IFERROR(MATCH($A37,Zo!$F$43:$AQ$43,0),100),IFERROR(MATCH($A37,Zo!$F$44:$AQ$44,0),100),IFERROR(MATCH($A37,Zo!$F$45:$AQ$45,0),100),IFERROR(MATCH($A37,Zo!$F$46:$AQ$46,0),100),IFERROR(MATCH($A37,Zo!$F$47:$AQ$47,0),100),IFERROR(MATCH($A37,Zo!$F$48:$AQ$48,0),100),IFERROR(MATCH($A37,Zo!$F$49:$AQ$49,0),100),IFERROR(MATCH($A37,Zo!$F$50:$AQ$50,0),100),IFERROR(MATCH($A37,Zo!$F$51:$AQ$51,0),100),IFERROR(MATCH($A37,Zo!$F$52:$AQ$52,0),100),IFERROR(MATCH($A37,Zo!$F$53:$AQ$53,0),100),IFERROR(MATCH($A37,Zo!$F$54:$AQ$54,0),100),IFERROR(MATCH($A37,Zo!$F$55:$AQ$55,0),100),IFERROR(MATCH($A37,Zo!$F$56:$AQ$56,0),100),IFERROR(MATCH($A37,Zo!$F$57:$AQ$57,0),100),IFERROR(MATCH($A37,Zo!$F$58:$AQ$58,0),100),IFERROR(MATCH($A37,Zo!$F$59:$AQ$59,0),100),IFERROR(MATCH($A37,Zo!$F$60:$AQ$60,0),100),IFERROR(MATCH($A37,Zo!$F$61:$AQ$61,0),100),IFERROR(MATCH($A37,Zo!$F$62:$AQ$62,0),100),IFERROR(MATCH($A37,Zo!$F$63:$AQ$63,0),100),39)</f>
        <v/>
      </c>
      <c r="P37" s="66">
        <f>IFERROR(IF(VLOOKUP(INDEX(Zo!$B$12:$B$63,MATCH($A37,OFFSET( Zo!$F$12:$F$63,0,(O37*48)-(IF(O37=7/24,9,IF(O37=12.5/24,9,IF(O37=14/24,9,IF(O37=15.5/24,9,10)))))),0),0),Zo!$B$13:$C$63,2,FALSE)="TL","",INDEX(Zo!$B$12:$B$63,MATCH($A37,OFFSET( Zo!$F$12:$F$63,0,(O37*48)-(IF(O37=7/24,9,IF(O37=12.5/24,9,IF(O37=14/24,9,IF(O37=15.5/24,9,10)))))),0),0)),"")</f>
        <v/>
      </c>
    </row>
    <row r="38" ht="15" customHeight="1">
      <c r="A38" s="66" t="inlineStr">
        <is>
          <t>wp</t>
        </is>
      </c>
      <c r="B38" s="67">
        <f>A38</f>
        <v/>
      </c>
      <c r="C38" s="857">
        <f>9/48+(1/48)*MIN(IFERROR(MATCH($A38,Ma!$F$13:$AQ$13,0),100),IFERROR(MATCH($A38,Ma!$F$14:$AQ$14,0),100),IFERROR(MATCH($A38,Ma!$F$15:$AQ$15,0),100),IFERROR(MATCH($A38,Ma!$F$16:$AQ$16,0),100),IFERROR(MATCH($A38,Ma!$F$17:$AQ$17,0),100),IFERROR(MATCH($A38,Ma!$F$18:$AQ$18,0),100),IFERROR(MATCH($A38,Ma!$F$19:$AQ$19,0),100),IFERROR(MATCH($A38,Ma!$F$20:$AQ$20,0),100),IFERROR(MATCH($A38,Ma!$F$21:$AQ$21,0),100),IFERROR(MATCH($A38,Ma!$F$22:$AQ$22,0),100),IFERROR(MATCH($A38,Ma!$F$23:$AQ$23,0),100),IFERROR(MATCH($A38,Ma!$F$24:$AQ$24,0),100),IFERROR(MATCH($A38,Ma!$F$25:$AQ$25,0),100),IFERROR(MATCH($A38,Ma!$F$26:$AQ$26,0),100),IFERROR(MATCH($A38,Ma!$F$27:$AQ$27,0),100),IFERROR(MATCH($A38,Ma!$F$28:$AQ$28,0),100),IFERROR(MATCH($A38,Ma!$F$29:$AQ$29,0),100),IFERROR(MATCH($A38,Ma!$F$30:$AQ$30,0),100),IFERROR(MATCH($A38,Ma!$F$31:$AQ$31,0),100),IFERROR(MATCH($A38,Ma!$F$32:$AQ$32,0),100),IFERROR(MATCH($A38,Ma!$F$33:$AQ$33,0),100),IFERROR(MATCH($A38,Ma!$F$34:$AQ$34,0),100),IFERROR(MATCH($A38,Ma!$F$35:$AQ$35,0),100),IFERROR(MATCH($A38,Ma!$F$36:$AQ$36,0),100),IFERROR(MATCH($A38,Ma!$F$37:$AQ$37,0),100),IFERROR(MATCH($A38,Ma!$F$38:$AQ$38,0),100),IFERROR(MATCH($A38,Ma!$F$39:$AQ$39,0),100),IFERROR(MATCH($A38,Ma!$F$40:$AQ$40,0),100),IFERROR(MATCH($A38,Ma!$F$41:$AQ$41,0),100),IFERROR(MATCH($A38,Ma!$F$42:$AQ$42,0),100),IFERROR(MATCH($A38,Ma!$F$43:$AQ$43,0),100),IFERROR(MATCH($A38,Ma!$F$44:$AQ$44,0),100),IFERROR(MATCH($A38,Ma!$F$45:$AQ$45,0),100),IFERROR(MATCH($A38,Ma!$F$46:$AQ$46,0),100),IFERROR(MATCH($A38,Ma!$F$47:$AQ$47,0),100),IFERROR(MATCH($A38,Ma!$F$48:$AQ$48,0),100),IFERROR(MATCH($A38,Ma!$F$49:$AQ$49,0),100),IFERROR(MATCH($A38,Ma!$F$50:$AQ$50,0),100),IFERROR(MATCH($A38,Ma!$F$51:$AQ$51,0),100),IFERROR(MATCH($A38,Ma!$F$52:$AQ$52,0),100),IFERROR(MATCH($A38,Ma!$F$53:$AQ$53,0),100),IFERROR(MATCH($A38,Ma!$F$54:$AQ$54,0),100),IFERROR(MATCH($A38,Ma!$F$55:$AQ$55,0),100),IFERROR(MATCH($A38,Ma!$F$56:$AQ$56,0),100),IFERROR(MATCH($A38,Ma!$F$57:$AQ$57,0),100),IFERROR(MATCH($A38,Ma!$F$58:$AQ$58,0),100),IFERROR(MATCH($A38,Ma!$F$59:$AQ$59,0),100),IFERROR(MATCH($A38,Ma!$F$60:$AQ$60,0),100),IFERROR(MATCH($A38,Ma!$F$61:$AQ$61,0),100),IFERROR(MATCH($A38,Ma!$F$62:$AQ$62,0),100),IFERROR(MATCH($A38,Ma!$F$63:$AQ$63,0),100),39)</f>
        <v/>
      </c>
      <c r="D38" s="66">
        <f>IFERROR(IF(VLOOKUP(INDEX(Ma!$B$12:$B$63,MATCH($A38,OFFSET( Ma!$F$12:$F$63,0,(C38*48)-(IF(C38=7/24,9,IF(C38=12.5/24,9,IF(C38=14/24,9,IF(C38=15.5/24,9,10)))))),0),0),Ma!$B$13:$C$63,2,FALSE)="TL","",INDEX(Ma!$B$12:$B$63,MATCH($A38,OFFSET( Ma!$F$12:$F$63,0,(C38*48)-(IF(C38=7/24,9,IF(C38=12.5/24,9,IF(C38=14/24,9,IF(C38=15.5/24,9,10)))))),0),0)),"")</f>
        <v/>
      </c>
      <c r="E38" s="857">
        <f>9/48+(1/48)*MIN(IFERROR(MATCH($A38,Di!$F$13:$AQ$13,0),100),IFERROR(MATCH($A38,Di!$F$14:$AQ$14,0),100),IFERROR(MATCH($A38,Di!$F$15:$AQ$15,0),100),IFERROR(MATCH($A38,Di!$F$16:$AQ$16,0),100),IFERROR(MATCH($A38,Di!$F$17:$AQ$17,0),100),IFERROR(MATCH($A38,Di!$F$18:$AQ$18,0),100),IFERROR(MATCH($A38,Di!$F$19:$AQ$19,0),100),IFERROR(MATCH($A38,Di!$F$20:$AQ$20,0),100),IFERROR(MATCH($A38,Di!$F$21:$AQ$21,0),100),IFERROR(MATCH($A38,Di!$F$22:$AQ$22,0),100),IFERROR(MATCH($A38,Di!$F$23:$AQ$23,0),100),IFERROR(MATCH($A38,Di!$F$24:$AQ$24,0),100),IFERROR(MATCH($A38,Di!$F$25:$AQ$25,0),100),IFERROR(MATCH($A38,Di!$F$26:$AQ$26,0),100),IFERROR(MATCH($A38,Di!$F$27:$AQ$27,0),100),IFERROR(MATCH($A38,Di!$F$28:$AQ$28,0),100),IFERROR(MATCH($A38,Di!$F$29:$AQ$29,0),100),IFERROR(MATCH($A38,Di!$F$30:$AQ$30,0),100),IFERROR(MATCH($A38,Di!$F$31:$AQ$31,0),100),IFERROR(MATCH($A38,Di!$F$32:$AQ$32,0),100),IFERROR(MATCH($A38,Di!$F$33:$AQ$33,0),100),IFERROR(MATCH($A38,Di!$F$34:$AQ$34,0),100),IFERROR(MATCH($A38,Di!$F$35:$AQ$35,0),100),IFERROR(MATCH($A38,Di!$F$36:$AQ$36,0),100),IFERROR(MATCH($A38,Di!$F$37:$AQ$37,0),100),IFERROR(MATCH($A38,Di!$F$38:$AQ$38,0),100),IFERROR(MATCH($A38,Di!$F$39:$AQ$39,0),100),IFERROR(MATCH($A38,Di!$F$40:$AQ$40,0),100),IFERROR(MATCH($A38,Di!$F$41:$AQ$41,0),100),IFERROR(MATCH($A38,Di!$F$42:$AQ$42,0),100),IFERROR(MATCH($A38,Di!$F$43:$AQ$43,0),100),IFERROR(MATCH($A38,Di!$F$44:$AQ$44,0),100),IFERROR(MATCH($A38,Di!$F$45:$AQ$45,0),100),IFERROR(MATCH($A38,Di!$F$46:$AQ$46,0),100),IFERROR(MATCH($A38,Di!$F$47:$AQ$47,0),100),IFERROR(MATCH($A38,Di!$F$48:$AQ$48,0),100),IFERROR(MATCH($A38,Di!$F$49:$AQ$49,0),100),IFERROR(MATCH($A38,Di!$F$50:$AQ$50,0),100),IFERROR(MATCH($A38,Di!$F$51:$AQ$51,0),100),IFERROR(MATCH($A38,Di!$F$52:$AQ$52,0),100),IFERROR(MATCH($A38,Di!$F$53:$AQ$53,0),100),IFERROR(MATCH($A38,Di!$F$54:$AQ$54,0),100),IFERROR(MATCH($A38,Di!$F$55:$AQ$55,0),100),IFERROR(MATCH($A38,Di!$F$56:$AQ$56,0),100),IFERROR(MATCH($A38,Di!$F$57:$AQ$57,0),100),IFERROR(MATCH($A38,Di!$F$58:$AQ$58,0),100),IFERROR(MATCH($A38,Di!$F$59:$AQ$59,0),100),IFERROR(MATCH($A38,Di!$F$60:$AQ$60,0),100),IFERROR(MATCH($A38,Di!$F$61:$AQ$61,0),100),IFERROR(MATCH($A38,Di!$F$62:$AQ$62,0),100),IFERROR(MATCH($A38,Di!$F$63:$AQ$63,0),100),39)</f>
        <v/>
      </c>
      <c r="F38" s="66">
        <f>IFERROR(IF(VLOOKUP(INDEX(Di!$B$12:$B$63,MATCH($A38,OFFSET( Di!$F$12:$F$63,0,(E38*48)-(IF(E38=7/24,9,IF(E38=12.5/24,9,IF(E38=14/24,9,IF(E38=15.5/24,9,10)))))),0),0),Di!$B$13:$C$63,2,FALSE)="TL","",INDEX(Di!$B$12:$B$63,MATCH($A38,OFFSET( Di!$F$12:$F$63,0,(E38*48)-(IF(E38=7/24,9,IF(E38=12.5/24,9,IF(E38=14/24,9,IF(E38=15.5/24,9,10)))))),0),0)),"")</f>
        <v/>
      </c>
      <c r="G38" s="857">
        <f>9/48+(1/48)*MIN(IFERROR(MATCH($A38,Wo!$F$13:$AQ$13,0),100),IFERROR(MATCH($A38,Wo!$F$14:$AQ$14,0),100),IFERROR(MATCH($A38,Wo!$F$15:$AQ$15,0),100),IFERROR(MATCH($A38,Wo!$F$16:$AQ$16,0),100),IFERROR(MATCH($A38,Wo!$F$17:$AQ$17,0),100),IFERROR(MATCH($A38,Wo!$F$18:$AQ$18,0),100),IFERROR(MATCH($A38,Wo!$F$19:$AQ$19,0),100),IFERROR(MATCH($A38,Wo!$F$20:$AQ$20,0),100),IFERROR(MATCH($A38,Wo!$F$21:$AQ$21,0),100),IFERROR(MATCH($A38,Wo!$F$22:$AQ$22,0),100),IFERROR(MATCH($A38,Wo!$F$23:$AQ$23,0),100),IFERROR(MATCH($A38,Wo!$F$24:$AQ$24,0),100),IFERROR(MATCH($A38,Wo!$F$25:$AQ$25,0),100),IFERROR(MATCH($A38,Wo!$F$26:$AQ$26,0),100),IFERROR(MATCH($A38,Wo!$F$27:$AQ$27,0),100),IFERROR(MATCH($A38,Wo!$F$28:$AQ$28,0),100),IFERROR(MATCH($A38,Wo!$F$29:$AQ$29,0),100),IFERROR(MATCH($A38,Wo!$F$30:$AQ$30,0),100),IFERROR(MATCH($A38,Wo!$F$31:$AQ$31,0),100),IFERROR(MATCH($A38,Wo!$F$32:$AQ$32,0),100),IFERROR(MATCH($A38,Wo!$F$33:$AQ$33,0),100),IFERROR(MATCH($A38,Wo!$F$34:$AQ$34,0),100),IFERROR(MATCH($A38,Wo!$F$35:$AQ$35,0),100),IFERROR(MATCH($A38,Wo!$F$36:$AQ$36,0),100),IFERROR(MATCH($A38,Wo!$F$37:$AQ$37,0),100),IFERROR(MATCH($A38,Wo!$F$38:$AQ$38,0),100),IFERROR(MATCH($A38,Wo!$F$39:$AQ$39,0),100),IFERROR(MATCH($A38,Wo!$F$40:$AQ$40,0),100),IFERROR(MATCH($A38,Wo!$F$41:$AQ$41,0),100),IFERROR(MATCH($A38,Wo!$F$42:$AQ$42,0),100),IFERROR(MATCH($A38,Wo!$F$43:$AQ$43,0),100),IFERROR(MATCH($A38,Wo!$F$44:$AQ$44,0),100),IFERROR(MATCH($A38,Wo!$F$45:$AQ$45,0),100),IFERROR(MATCH($A38,Wo!$F$46:$AQ$46,0),100),IFERROR(MATCH($A38,Wo!$F$47:$AQ$47,0),100),IFERROR(MATCH($A38,Wo!$F$48:$AQ$48,0),100),IFERROR(MATCH($A38,Wo!$F$49:$AQ$49,0),100),IFERROR(MATCH($A38,Wo!$F$50:$AQ$50,0),100),IFERROR(MATCH($A38,Wo!$F$51:$AQ$51,0),100),IFERROR(MATCH($A38,Wo!$F$52:$AQ$52,0),100),IFERROR(MATCH($A38,Wo!$F$53:$AQ$53,0),100),IFERROR(MATCH($A38,Wo!$F$54:$AQ$54,0),100),IFERROR(MATCH($A38,Wo!$F$55:$AQ$55,0),100),IFERROR(MATCH($A38,Wo!$F$56:$AQ$56,0),100),IFERROR(MATCH($A38,Wo!$F$57:$AQ$57,0),100),IFERROR(MATCH($A38,Wo!$F$58:$AQ$58,0),100),IFERROR(MATCH($A38,Wo!$F$59:$AQ$59,0),100),IFERROR(MATCH($A38,Wo!$F$60:$AQ$60,0),100),IFERROR(MATCH($A38,Wo!$F$61:$AQ$61,0),100),IFERROR(MATCH($A38,Wo!$F$62:$AQ$62,0),100),IFERROR(MATCH($A38,Wo!$F$63:$AQ$63,0),100),39)</f>
        <v/>
      </c>
      <c r="H38" s="66">
        <f>IFERROR(IF(VLOOKUP(INDEX(Wo!$B$12:$B$63,MATCH($A38,OFFSET( Wo!$F$12:$F$63,0,(G38*48)-(IF(G38=7/24,9,IF(G38=12.5/24,9,IF(G38=14/24,9,IF(G38=15.5/24,9,10)))))),0),0),Wo!$B$13:$C$63,2,FALSE)="TL","",INDEX(Wo!$B$12:$B$63,MATCH($A38,OFFSET( Wo!$F$12:$F$63,0,(G38*48)-(IF(G38=7/24,9,IF(G38=12.5/24,9,IF(G38=14/24,9,IF(G38=15.5/24,9,10)))))),0),0)),"")</f>
        <v/>
      </c>
      <c r="I38" s="857">
        <f>9/48+(1/48)*MIN(IFERROR(MATCH($A38,Do!$F$13:$AQ$13,0),100),IFERROR(MATCH($A38,Do!$F$14:$AQ$14,0),100),IFERROR(MATCH($A38,Do!$F$15:$AQ$15,0),100),IFERROR(MATCH($A38,Do!$F$16:$AQ$16,0),100),IFERROR(MATCH($A38,Do!$F$17:$AQ$17,0),100),IFERROR(MATCH($A38,Do!$F$18:$AQ$18,0),100),IFERROR(MATCH($A38,Do!$F$19:$AQ$19,0),100),IFERROR(MATCH($A38,Do!$F$20:$AQ$20,0),100),IFERROR(MATCH($A38,Do!$F$21:$AQ$21,0),100),IFERROR(MATCH($A38,Do!$F$22:$AQ$22,0),100),IFERROR(MATCH($A38,Do!$F$23:$AQ$23,0),100),IFERROR(MATCH($A38,Do!$F$24:$AQ$24,0),100),IFERROR(MATCH($A38,Do!$F$25:$AQ$25,0),100),IFERROR(MATCH($A38,Do!$F$26:$AQ$26,0),100),IFERROR(MATCH($A38,Do!$F$27:$AQ$27,0),100),IFERROR(MATCH($A38,Do!$F$28:$AQ$28,0),100),IFERROR(MATCH($A38,Do!$F$29:$AQ$29,0),100),IFERROR(MATCH($A38,Do!$F$30:$AQ$30,0),100),IFERROR(MATCH($A38,Do!$F$31:$AQ$31,0),100),IFERROR(MATCH($A38,Do!$F$32:$AQ$32,0),100),IFERROR(MATCH($A38,Do!$F$33:$AQ$33,0),100),IFERROR(MATCH($A38,Do!$F$34:$AQ$34,0),100),IFERROR(MATCH($A38,Do!$F$35:$AQ$35,0),100),IFERROR(MATCH($A38,Do!$F$36:$AQ$36,0),100),IFERROR(MATCH($A38,Do!$F$37:$AQ$37,0),100),IFERROR(MATCH($A38,Do!$F$38:$AQ$38,0),100),IFERROR(MATCH($A38,Do!$F$39:$AQ$39,0),100),IFERROR(MATCH($A38,Do!$F$40:$AQ$40,0),100),IFERROR(MATCH($A38,Do!$F$41:$AQ$41,0),100),IFERROR(MATCH($A38,Do!$F$42:$AQ$42,0),100),IFERROR(MATCH($A38,Do!$F$43:$AQ$43,0),100),IFERROR(MATCH($A38,Do!$F$44:$AQ$44,0),100),IFERROR(MATCH($A38,Do!$F$45:$AQ$45,0),100),IFERROR(MATCH($A38,Do!$F$46:$AQ$46,0),100),IFERROR(MATCH($A38,Do!$F$47:$AQ$47,0),100),IFERROR(MATCH($A38,Do!$F$48:$AQ$48,0),100),IFERROR(MATCH($A38,Do!$F$49:$AQ$49,0),100),IFERROR(MATCH($A38,Do!$F$50:$AQ$50,0),100),IFERROR(MATCH($A38,Do!$F$51:$AQ$51,0),100),IFERROR(MATCH($A38,Do!$F$52:$AQ$52,0),100),IFERROR(MATCH($A38,Do!$F$53:$AQ$53,0),100),IFERROR(MATCH($A38,Do!$F$54:$AQ$54,0),100),IFERROR(MATCH($A38,Do!$F$55:$AQ$55,0),100),IFERROR(MATCH($A38,Do!$F$56:$AQ$56,0),100),IFERROR(MATCH($A38,Do!$F$57:$AQ$57,0),100),IFERROR(MATCH($A38,Do!$F$58:$AQ$58,0),100),IFERROR(MATCH($A38,Do!$F$59:$AQ$59,0),100),IFERROR(MATCH($A38,Do!$F$60:$AQ$60,0),100),IFERROR(MATCH($A38,Do!$F$61:$AQ$61,0),100),IFERROR(MATCH($A38,Do!$F$62:$AQ$62,0),100),IFERROR(MATCH($A38,Do!$F$63:$AQ$63,0),100),39)</f>
        <v/>
      </c>
      <c r="J38" s="66">
        <f>IFERROR(IF(VLOOKUP(INDEX(Do!$B$12:$B$63,MATCH($A38,OFFSET( Do!$F$12:$F$63,0,(I38*48)-(IF(I38=7/24,9,IF(I38=12.5/24,9,IF(I38=14/24,9,IF(I38=15.5/24,9,10)))))),0),0),Do!$B$13:$C$63,2,FALSE)="TL","",INDEX(Do!$B$12:$B$63,MATCH($A38,OFFSET( Do!$F$12:$F$63,0,(I38*48)-(IF(I38=7/24,9,IF(I38=12.5/24,9,IF(I38=14/24,9,IF(I38=15.5/24,9,10)))))),0),0)),"")</f>
        <v/>
      </c>
      <c r="K38" s="857">
        <f>9/48+(1/48)*MIN(IFERROR(MATCH($A38,Vr!$F$13:$AQ$13,0),100),IFERROR(MATCH($A38,Vr!$F$14:$AQ$14,0),100),IFERROR(MATCH($A38,Vr!$F$15:$AQ$15,0),100),IFERROR(MATCH($A38,Vr!$F$16:$AQ$16,0),100),IFERROR(MATCH($A38,Vr!$F$17:$AQ$17,0),100),IFERROR(MATCH($A38,Vr!$F$18:$AQ$18,0),100),IFERROR(MATCH($A38,Vr!$F$19:$AQ$19,0),100),IFERROR(MATCH($A38,Vr!$F$20:$AQ$20,0),100),IFERROR(MATCH($A38,Vr!$F$21:$AQ$21,0),100),IFERROR(MATCH($A38,Vr!$F$22:$AQ$22,0),100),IFERROR(MATCH($A38,Vr!$F$23:$AQ$23,0),100),IFERROR(MATCH($A38,Vr!$F$24:$AQ$24,0),100),IFERROR(MATCH($A38,Vr!$F$25:$AQ$25,0),100),IFERROR(MATCH($A38,Vr!$F$26:$AQ$26,0),100),IFERROR(MATCH($A38,Vr!$F$27:$AQ$27,0),100),IFERROR(MATCH($A38,Vr!$F$28:$AQ$28,0),100),IFERROR(MATCH($A38,Vr!$F$29:$AQ$29,0),100),IFERROR(MATCH($A38,Vr!$F$30:$AQ$30,0),100),IFERROR(MATCH($A38,Vr!$F$31:$AQ$31,0),100),IFERROR(MATCH($A38,Vr!$F$32:$AQ$32,0),100),IFERROR(MATCH($A38,Vr!$F$33:$AQ$33,0),100),IFERROR(MATCH($A38,Vr!$F$34:$AQ$34,0),100),IFERROR(MATCH($A38,Vr!$F$35:$AQ$35,0),100),IFERROR(MATCH($A38,Vr!$F$36:$AQ$36,0),100),IFERROR(MATCH($A38,Vr!$F$37:$AQ$37,0),100),IFERROR(MATCH($A38,Vr!$F$38:$AQ$38,0),100),IFERROR(MATCH($A38,Vr!$F$39:$AQ$39,0),100),IFERROR(MATCH($A38,Vr!$F$40:$AQ$40,0),100),IFERROR(MATCH($A38,Vr!$F$41:$AQ$41,0),100),IFERROR(MATCH($A38,Vr!$F$42:$AQ$42,0),100),IFERROR(MATCH($A38,Vr!$F$43:$AQ$43,0),100),IFERROR(MATCH($A38,Vr!$F$44:$AQ$44,0),100),IFERROR(MATCH($A38,Vr!$F$45:$AQ$45,0),100),IFERROR(MATCH($A38,Vr!$F$46:$AQ$46,0),100),IFERROR(MATCH($A38,Vr!$F$47:$AQ$47,0),100),IFERROR(MATCH($A38,Vr!$F$48:$AQ$48,0),100),IFERROR(MATCH($A38,Vr!$F$49:$AQ$49,0),100),IFERROR(MATCH($A38,Vr!$F$50:$AQ$50,0),100),IFERROR(MATCH($A38,Vr!$F$51:$AQ$51,0),100),IFERROR(MATCH($A38,Vr!$F$52:$AQ$52,0),100),IFERROR(MATCH($A38,Vr!$F$53:$AQ$53,0),100),IFERROR(MATCH($A38,Vr!$F$54:$AQ$54,0),100),IFERROR(MATCH($A38,Vr!$F$55:$AQ$55,0),100),IFERROR(MATCH($A38,Vr!$F$56:$AQ$56,0),100),IFERROR(MATCH($A38,Vr!$F$57:$AQ$57,0),100),IFERROR(MATCH($A38,Vr!$F$58:$AQ$58,0),100),IFERROR(MATCH($A38,Vr!$F$59:$AQ$59,0),100),IFERROR(MATCH($A38,Vr!$F$60:$AQ$60,0),100),IFERROR(MATCH($A38,Vr!$F$61:$AQ$61,0),100),IFERROR(MATCH($A38,Vr!$F$62:$AQ$62,0),100),IFERROR(MATCH($A38,Vr!$F$63:$AQ$63,0),100),39)</f>
        <v/>
      </c>
      <c r="L38" s="66">
        <f>IFERROR(IF(VLOOKUP(INDEX(Vr!$B$12:$B$63,MATCH($A38,OFFSET( Vr!$F$12:$F$63,0,(K38*48)-(IF(K38=7/24,9,IF(K38=12.5/24,9,IF(K38=14/24,9,IF(K38=15.5/24,9,10)))))),0),0),Vr!$B$13:$C$63,2,FALSE)="TL","",INDEX(Vr!$B$12:$B$63,MATCH($A38,OFFSET( Vr!$F$12:$F$63,0,(K38*48)-(IF(K38=7/24,9,IF(K38=12.5/24,9,IF(K38=14/24,9,IF(K38=15.5/24,9,10)))))),0),0)),"")</f>
        <v/>
      </c>
      <c r="M38" s="857">
        <f>9/48+(1/48)*MIN(IFERROR(MATCH($A38,Za!$F$13:$AQ$13,0),100),IFERROR(MATCH($A38,Za!$F$14:$AQ$14,0),100),IFERROR(MATCH($A38,Za!$F$15:$AQ$15,0),100),IFERROR(MATCH($A38,Za!$F$16:$AQ$16,0),100),IFERROR(MATCH($A38,Za!$F$17:$AQ$17,0),100),IFERROR(MATCH($A38,Za!$F$18:$AQ$18,0),100),IFERROR(MATCH($A38,Za!$F$19:$AQ$19,0),100),IFERROR(MATCH($A38,Za!$F$20:$AQ$20,0),100),IFERROR(MATCH($A38,Za!$F$21:$AQ$21,0),100),IFERROR(MATCH($A38,Za!$F$22:$AQ$22,0),100),IFERROR(MATCH($A38,Za!$F$23:$AQ$23,0),100),IFERROR(MATCH($A38,Za!$F$24:$AQ$24,0),100),IFERROR(MATCH($A38,Za!$F$25:$AQ$25,0),100),IFERROR(MATCH($A38,Za!$F$26:$AQ$26,0),100),IFERROR(MATCH($A38,Za!$F$27:$AQ$27,0),100),IFERROR(MATCH($A38,Za!$F$28:$AQ$28,0),100),IFERROR(MATCH($A38,Za!$F$29:$AQ$29,0),100),IFERROR(MATCH($A38,Za!$F$30:$AQ$30,0),100),IFERROR(MATCH($A38,Za!$F$31:$AQ$31,0),100),IFERROR(MATCH($A38,Za!$F$32:$AQ$32,0),100),IFERROR(MATCH($A38,Za!$F$33:$AQ$33,0),100),IFERROR(MATCH($A38,Za!$F$34:$AQ$34,0),100),IFERROR(MATCH($A38,Za!$F$35:$AQ$35,0),100),IFERROR(MATCH($A38,Za!$F$36:$AQ$36,0),100),IFERROR(MATCH($A38,Za!$F$37:$AQ$37,0),100),IFERROR(MATCH($A38,Za!$F$38:$AQ$38,0),100),IFERROR(MATCH($A38,Za!$F$39:$AQ$39,0),100),IFERROR(MATCH($A38,Za!$F$40:$AQ$40,0),100),IFERROR(MATCH($A38,Za!$F$41:$AQ$41,0),100),IFERROR(MATCH($A38,Za!$F$42:$AQ$42,0),100),IFERROR(MATCH($A38,Za!$F$43:$AQ$43,0),100),IFERROR(MATCH($A38,Za!$F$44:$AQ$44,0),100),IFERROR(MATCH($A38,Za!$F$45:$AQ$45,0),100),IFERROR(MATCH($A38,Za!$F$46:$AQ$46,0),100),IFERROR(MATCH($A38,Za!$F$47:$AQ$47,0),100),IFERROR(MATCH($A38,Za!$F$48:$AQ$48,0),100),IFERROR(MATCH($A38,Za!$F$49:$AQ$49,0),100),IFERROR(MATCH($A38,Za!$F$50:$AQ$50,0),100),IFERROR(MATCH($A38,Za!$F$51:$AQ$51,0),100),IFERROR(MATCH($A38,Za!$F$52:$AQ$52,0),100),IFERROR(MATCH($A38,Za!$F$53:$AQ$53,0),100),IFERROR(MATCH($A38,Za!$F$54:$AQ$54,0),100),IFERROR(MATCH($A38,Za!$F$55:$AQ$55,0),100),IFERROR(MATCH($A38,Za!$F$56:$AQ$56,0),100),IFERROR(MATCH($A38,Za!$F$57:$AQ$57,0),100),IFERROR(MATCH($A38,Za!$F$58:$AQ$58,0),100),IFERROR(MATCH($A38,Za!$F$59:$AQ$59,0),100),IFERROR(MATCH($A38,Za!$F$60:$AQ$60,0),100),IFERROR(MATCH($A38,Za!$F$61:$AQ$61,0),100),IFERROR(MATCH($A38,Za!$F$62:$AQ$62,0),100),IFERROR(MATCH($A38,Za!$F$63:$AQ$63,0),100),39)</f>
        <v/>
      </c>
      <c r="N38" s="66">
        <f>IFERROR(IF(VLOOKUP(INDEX(Za!$B$12:$B$63,MATCH($A38,OFFSET( Za!$F$12:$F$63,0,(M38*48)-(IF(M38=7/24,9,IF(M38=12.5/24,9,IF(M38=14/24,9,IF(M38=15.5/24,9,10)))))),0),0),Za!$B$13:$C$63,2,FALSE)="TL","",INDEX(Za!$B$12:$B$63,MATCH($A38,OFFSET( Za!$F$12:$F$63,0,(M38*48)-(IF(M38=7/24,9,IF(M38=12.5/24,9,IF(M38=14/24,9,IF(M38=15.5/24,9,10)))))),0),0)),"")</f>
        <v/>
      </c>
      <c r="O38" s="857">
        <f>9/48+(1/48)*MIN(IFERROR(MATCH($A38,Zo!$F$13:$AQ$13,0),100),IFERROR(MATCH($A38,Zo!$F$14:$AQ$14,0),100),IFERROR(MATCH($A38,Zo!$F$15:$AQ$15,0),100),IFERROR(MATCH($A38,Zo!$F$16:$AQ$16,0),100),IFERROR(MATCH($A38,Zo!$F$17:$AQ$17,0),100),IFERROR(MATCH($A38,Zo!$F$18:$AQ$18,0),100),IFERROR(MATCH($A38,Zo!$F$19:$AQ$19,0),100),IFERROR(MATCH($A38,Zo!$F$20:$AQ$20,0),100),IFERROR(MATCH($A38,Zo!$F$21:$AQ$21,0),100),IFERROR(MATCH($A38,Zo!$F$22:$AQ$22,0),100),IFERROR(MATCH($A38,Zo!$F$23:$AQ$23,0),100),IFERROR(MATCH($A38,Zo!$F$24:$AQ$24,0),100),IFERROR(MATCH($A38,Zo!$F$25:$AQ$25,0),100),IFERROR(MATCH($A38,Zo!$F$26:$AQ$26,0),100),IFERROR(MATCH($A38,Zo!$F$27:$AQ$27,0),100),IFERROR(MATCH($A38,Zo!$F$28:$AQ$28,0),100),IFERROR(MATCH($A38,Zo!$F$29:$AQ$29,0),100),IFERROR(MATCH($A38,Zo!$F$30:$AQ$30,0),100),IFERROR(MATCH($A38,Zo!$F$31:$AQ$31,0),100),IFERROR(MATCH($A38,Zo!$F$32:$AQ$32,0),100),IFERROR(MATCH($A38,Zo!$F$33:$AQ$33,0),100),IFERROR(MATCH($A38,Zo!$F$34:$AQ$34,0),100),IFERROR(MATCH($A38,Zo!$F$35:$AQ$35,0),100),IFERROR(MATCH($A38,Zo!$F$36:$AQ$36,0),100),IFERROR(MATCH($A38,Zo!$F$37:$AQ$37,0),100),IFERROR(MATCH($A38,Zo!$F$38:$AQ$38,0),100),IFERROR(MATCH($A38,Zo!$F$39:$AQ$39,0),100),IFERROR(MATCH($A38,Zo!$F$40:$AQ$40,0),100),IFERROR(MATCH($A38,Zo!$F$41:$AQ$41,0),100),IFERROR(MATCH($A38,Zo!$F$42:$AQ$42,0),100),IFERROR(MATCH($A38,Zo!$F$43:$AQ$43,0),100),IFERROR(MATCH($A38,Zo!$F$44:$AQ$44,0),100),IFERROR(MATCH($A38,Zo!$F$45:$AQ$45,0),100),IFERROR(MATCH($A38,Zo!$F$46:$AQ$46,0),100),IFERROR(MATCH($A38,Zo!$F$47:$AQ$47,0),100),IFERROR(MATCH($A38,Zo!$F$48:$AQ$48,0),100),IFERROR(MATCH($A38,Zo!$F$49:$AQ$49,0),100),IFERROR(MATCH($A38,Zo!$F$50:$AQ$50,0),100),IFERROR(MATCH($A38,Zo!$F$51:$AQ$51,0),100),IFERROR(MATCH($A38,Zo!$F$52:$AQ$52,0),100),IFERROR(MATCH($A38,Zo!$F$53:$AQ$53,0),100),IFERROR(MATCH($A38,Zo!$F$54:$AQ$54,0),100),IFERROR(MATCH($A38,Zo!$F$55:$AQ$55,0),100),IFERROR(MATCH($A38,Zo!$F$56:$AQ$56,0),100),IFERROR(MATCH($A38,Zo!$F$57:$AQ$57,0),100),IFERROR(MATCH($A38,Zo!$F$58:$AQ$58,0),100),IFERROR(MATCH($A38,Zo!$F$59:$AQ$59,0),100),IFERROR(MATCH($A38,Zo!$F$60:$AQ$60,0),100),IFERROR(MATCH($A38,Zo!$F$61:$AQ$61,0),100),IFERROR(MATCH($A38,Zo!$F$62:$AQ$62,0),100),IFERROR(MATCH($A38,Zo!$F$63:$AQ$63,0),100),39)</f>
        <v/>
      </c>
      <c r="P38" s="66">
        <f>IFERROR(IF(VLOOKUP(INDEX(Zo!$B$12:$B$63,MATCH($A38,OFFSET( Zo!$F$12:$F$63,0,(O38*48)-(IF(O38=7/24,9,IF(O38=12.5/24,9,IF(O38=14/24,9,IF(O38=15.5/24,9,10)))))),0),0),Zo!$B$13:$C$63,2,FALSE)="TL","",INDEX(Zo!$B$12:$B$63,MATCH($A38,OFFSET( Zo!$F$12:$F$63,0,(O38*48)-(IF(O38=7/24,9,IF(O38=12.5/24,9,IF(O38=14/24,9,IF(O38=15.5/24,9,10)))))),0),0)),"")</f>
        <v/>
      </c>
    </row>
    <row r="39" ht="15" customHeight="1">
      <c r="A39" s="66" t="inlineStr">
        <is>
          <t>wv</t>
        </is>
      </c>
      <c r="B39" s="67">
        <f>A39</f>
        <v/>
      </c>
      <c r="C39" s="857">
        <f>9/48+(1/48)*MIN(IFERROR(MATCH($A39,Ma!$F$13:$AQ$13,0),100),IFERROR(MATCH($A39,Ma!$F$14:$AQ$14,0),100),IFERROR(MATCH($A39,Ma!$F$15:$AQ$15,0),100),IFERROR(MATCH($A39,Ma!$F$16:$AQ$16,0),100),IFERROR(MATCH($A39,Ma!$F$17:$AQ$17,0),100),IFERROR(MATCH($A39,Ma!$F$18:$AQ$18,0),100),IFERROR(MATCH($A39,Ma!$F$19:$AQ$19,0),100),IFERROR(MATCH($A39,Ma!$F$20:$AQ$20,0),100),IFERROR(MATCH($A39,Ma!$F$21:$AQ$21,0),100),IFERROR(MATCH($A39,Ma!$F$22:$AQ$22,0),100),IFERROR(MATCH($A39,Ma!$F$23:$AQ$23,0),100),IFERROR(MATCH($A39,Ma!$F$24:$AQ$24,0),100),IFERROR(MATCH($A39,Ma!$F$25:$AQ$25,0),100),IFERROR(MATCH($A39,Ma!$F$26:$AQ$26,0),100),IFERROR(MATCH($A39,Ma!$F$27:$AQ$27,0),100),IFERROR(MATCH($A39,Ma!$F$28:$AQ$28,0),100),IFERROR(MATCH($A39,Ma!$F$29:$AQ$29,0),100),IFERROR(MATCH($A39,Ma!$F$30:$AQ$30,0),100),IFERROR(MATCH($A39,Ma!$F$31:$AQ$31,0),100),IFERROR(MATCH($A39,Ma!$F$32:$AQ$32,0),100),IFERROR(MATCH($A39,Ma!$F$33:$AQ$33,0),100),IFERROR(MATCH($A39,Ma!$F$34:$AQ$34,0),100),IFERROR(MATCH($A39,Ma!$F$35:$AQ$35,0),100),IFERROR(MATCH($A39,Ma!$F$36:$AQ$36,0),100),IFERROR(MATCH($A39,Ma!$F$37:$AQ$37,0),100),IFERROR(MATCH($A39,Ma!$F$38:$AQ$38,0),100),IFERROR(MATCH($A39,Ma!$F$39:$AQ$39,0),100),IFERROR(MATCH($A39,Ma!$F$40:$AQ$40,0),100),IFERROR(MATCH($A39,Ma!$F$41:$AQ$41,0),100),IFERROR(MATCH($A39,Ma!$F$42:$AQ$42,0),100),IFERROR(MATCH($A39,Ma!$F$43:$AQ$43,0),100),IFERROR(MATCH($A39,Ma!$F$44:$AQ$44,0),100),IFERROR(MATCH($A39,Ma!$F$45:$AQ$45,0),100),IFERROR(MATCH($A39,Ma!$F$46:$AQ$46,0),100),IFERROR(MATCH($A39,Ma!$F$47:$AQ$47,0),100),IFERROR(MATCH($A39,Ma!$F$48:$AQ$48,0),100),IFERROR(MATCH($A39,Ma!$F$49:$AQ$49,0),100),IFERROR(MATCH($A39,Ma!$F$50:$AQ$50,0),100),IFERROR(MATCH($A39,Ma!$F$51:$AQ$51,0),100),IFERROR(MATCH($A39,Ma!$F$52:$AQ$52,0),100),IFERROR(MATCH($A39,Ma!$F$53:$AQ$53,0),100),IFERROR(MATCH($A39,Ma!$F$54:$AQ$54,0),100),IFERROR(MATCH($A39,Ma!$F$55:$AQ$55,0),100),IFERROR(MATCH($A39,Ma!$F$56:$AQ$56,0),100),IFERROR(MATCH($A39,Ma!$F$57:$AQ$57,0),100),IFERROR(MATCH($A39,Ma!$F$58:$AQ$58,0),100),IFERROR(MATCH($A39,Ma!$F$59:$AQ$59,0),100),IFERROR(MATCH($A39,Ma!$F$60:$AQ$60,0),100),IFERROR(MATCH($A39,Ma!$F$61:$AQ$61,0),100),IFERROR(MATCH($A39,Ma!$F$62:$AQ$62,0),100),IFERROR(MATCH($A39,Ma!$F$63:$AQ$63,0),100),39)</f>
        <v/>
      </c>
      <c r="D39" s="66">
        <f>IFERROR(IF(VLOOKUP(INDEX(Ma!$B$12:$B$63,MATCH($A39,OFFSET( Ma!$F$12:$F$63,0,(C39*48)-(IF(C39=7/24,9,IF(C39=12.5/24,9,IF(C39=14/24,9,IF(C39=15.5/24,9,10)))))),0),0),Ma!$B$13:$C$63,2,FALSE)="TL","",INDEX(Ma!$B$12:$B$63,MATCH($A39,OFFSET( Ma!$F$12:$F$63,0,(C39*48)-(IF(C39=7/24,9,IF(C39=12.5/24,9,IF(C39=14/24,9,IF(C39=15.5/24,9,10)))))),0),0)),"")</f>
        <v/>
      </c>
      <c r="E39" s="857">
        <f>9/48+(1/48)*MIN(IFERROR(MATCH($A39,Di!$F$13:$AQ$13,0),100),IFERROR(MATCH($A39,Di!$F$14:$AQ$14,0),100),IFERROR(MATCH($A39,Di!$F$15:$AQ$15,0),100),IFERROR(MATCH($A39,Di!$F$16:$AQ$16,0),100),IFERROR(MATCH($A39,Di!$F$17:$AQ$17,0),100),IFERROR(MATCH($A39,Di!$F$18:$AQ$18,0),100),IFERROR(MATCH($A39,Di!$F$19:$AQ$19,0),100),IFERROR(MATCH($A39,Di!$F$20:$AQ$20,0),100),IFERROR(MATCH($A39,Di!$F$21:$AQ$21,0),100),IFERROR(MATCH($A39,Di!$F$22:$AQ$22,0),100),IFERROR(MATCH($A39,Di!$F$23:$AQ$23,0),100),IFERROR(MATCH($A39,Di!$F$24:$AQ$24,0),100),IFERROR(MATCH($A39,Di!$F$25:$AQ$25,0),100),IFERROR(MATCH($A39,Di!$F$26:$AQ$26,0),100),IFERROR(MATCH($A39,Di!$F$27:$AQ$27,0),100),IFERROR(MATCH($A39,Di!$F$28:$AQ$28,0),100),IFERROR(MATCH($A39,Di!$F$29:$AQ$29,0),100),IFERROR(MATCH($A39,Di!$F$30:$AQ$30,0),100),IFERROR(MATCH($A39,Di!$F$31:$AQ$31,0),100),IFERROR(MATCH($A39,Di!$F$32:$AQ$32,0),100),IFERROR(MATCH($A39,Di!$F$33:$AQ$33,0),100),IFERROR(MATCH($A39,Di!$F$34:$AQ$34,0),100),IFERROR(MATCH($A39,Di!$F$35:$AQ$35,0),100),IFERROR(MATCH($A39,Di!$F$36:$AQ$36,0),100),IFERROR(MATCH($A39,Di!$F$37:$AQ$37,0),100),IFERROR(MATCH($A39,Di!$F$38:$AQ$38,0),100),IFERROR(MATCH($A39,Di!$F$39:$AQ$39,0),100),IFERROR(MATCH($A39,Di!$F$40:$AQ$40,0),100),IFERROR(MATCH($A39,Di!$F$41:$AQ$41,0),100),IFERROR(MATCH($A39,Di!$F$42:$AQ$42,0),100),IFERROR(MATCH($A39,Di!$F$43:$AQ$43,0),100),IFERROR(MATCH($A39,Di!$F$44:$AQ$44,0),100),IFERROR(MATCH($A39,Di!$F$45:$AQ$45,0),100),IFERROR(MATCH($A39,Di!$F$46:$AQ$46,0),100),IFERROR(MATCH($A39,Di!$F$47:$AQ$47,0),100),IFERROR(MATCH($A39,Di!$F$48:$AQ$48,0),100),IFERROR(MATCH($A39,Di!$F$49:$AQ$49,0),100),IFERROR(MATCH($A39,Di!$F$50:$AQ$50,0),100),IFERROR(MATCH($A39,Di!$F$51:$AQ$51,0),100),IFERROR(MATCH($A39,Di!$F$52:$AQ$52,0),100),IFERROR(MATCH($A39,Di!$F$53:$AQ$53,0),100),IFERROR(MATCH($A39,Di!$F$54:$AQ$54,0),100),IFERROR(MATCH($A39,Di!$F$55:$AQ$55,0),100),IFERROR(MATCH($A39,Di!$F$56:$AQ$56,0),100),IFERROR(MATCH($A39,Di!$F$57:$AQ$57,0),100),IFERROR(MATCH($A39,Di!$F$58:$AQ$58,0),100),IFERROR(MATCH($A39,Di!$F$59:$AQ$59,0),100),IFERROR(MATCH($A39,Di!$F$60:$AQ$60,0),100),IFERROR(MATCH($A39,Di!$F$61:$AQ$61,0),100),IFERROR(MATCH($A39,Di!$F$62:$AQ$62,0),100),IFERROR(MATCH($A39,Di!$F$63:$AQ$63,0),100),39)</f>
        <v/>
      </c>
      <c r="F39" s="66">
        <f>IFERROR(IF(VLOOKUP(INDEX(Di!$B$12:$B$63,MATCH($A39,OFFSET( Di!$F$12:$F$63,0,(E39*48)-(IF(E39=7/24,9,IF(E39=12.5/24,9,IF(E39=14/24,9,IF(E39=15.5/24,9,10)))))),0),0),Di!$B$13:$C$63,2,FALSE)="TL","",INDEX(Di!$B$12:$B$63,MATCH($A39,OFFSET( Di!$F$12:$F$63,0,(E39*48)-(IF(E39=7/24,9,IF(E39=12.5/24,9,IF(E39=14/24,9,IF(E39=15.5/24,9,10)))))),0),0)),"")</f>
        <v/>
      </c>
      <c r="G39" s="857">
        <f>9/48+(1/48)*MIN(IFERROR(MATCH($A39,Wo!$F$13:$AQ$13,0),100),IFERROR(MATCH($A39,Wo!$F$14:$AQ$14,0),100),IFERROR(MATCH($A39,Wo!$F$15:$AQ$15,0),100),IFERROR(MATCH($A39,Wo!$F$16:$AQ$16,0),100),IFERROR(MATCH($A39,Wo!$F$17:$AQ$17,0),100),IFERROR(MATCH($A39,Wo!$F$18:$AQ$18,0),100),IFERROR(MATCH($A39,Wo!$F$19:$AQ$19,0),100),IFERROR(MATCH($A39,Wo!$F$20:$AQ$20,0),100),IFERROR(MATCH($A39,Wo!$F$21:$AQ$21,0),100),IFERROR(MATCH($A39,Wo!$F$22:$AQ$22,0),100),IFERROR(MATCH($A39,Wo!$F$23:$AQ$23,0),100),IFERROR(MATCH($A39,Wo!$F$24:$AQ$24,0),100),IFERROR(MATCH($A39,Wo!$F$25:$AQ$25,0),100),IFERROR(MATCH($A39,Wo!$F$26:$AQ$26,0),100),IFERROR(MATCH($A39,Wo!$F$27:$AQ$27,0),100),IFERROR(MATCH($A39,Wo!$F$28:$AQ$28,0),100),IFERROR(MATCH($A39,Wo!$F$29:$AQ$29,0),100),IFERROR(MATCH($A39,Wo!$F$30:$AQ$30,0),100),IFERROR(MATCH($A39,Wo!$F$31:$AQ$31,0),100),IFERROR(MATCH($A39,Wo!$F$32:$AQ$32,0),100),IFERROR(MATCH($A39,Wo!$F$33:$AQ$33,0),100),IFERROR(MATCH($A39,Wo!$F$34:$AQ$34,0),100),IFERROR(MATCH($A39,Wo!$F$35:$AQ$35,0),100),IFERROR(MATCH($A39,Wo!$F$36:$AQ$36,0),100),IFERROR(MATCH($A39,Wo!$F$37:$AQ$37,0),100),IFERROR(MATCH($A39,Wo!$F$38:$AQ$38,0),100),IFERROR(MATCH($A39,Wo!$F$39:$AQ$39,0),100),IFERROR(MATCH($A39,Wo!$F$40:$AQ$40,0),100),IFERROR(MATCH($A39,Wo!$F$41:$AQ$41,0),100),IFERROR(MATCH($A39,Wo!$F$42:$AQ$42,0),100),IFERROR(MATCH($A39,Wo!$F$43:$AQ$43,0),100),IFERROR(MATCH($A39,Wo!$F$44:$AQ$44,0),100),IFERROR(MATCH($A39,Wo!$F$45:$AQ$45,0),100),IFERROR(MATCH($A39,Wo!$F$46:$AQ$46,0),100),IFERROR(MATCH($A39,Wo!$F$47:$AQ$47,0),100),IFERROR(MATCH($A39,Wo!$F$48:$AQ$48,0),100),IFERROR(MATCH($A39,Wo!$F$49:$AQ$49,0),100),IFERROR(MATCH($A39,Wo!$F$50:$AQ$50,0),100),IFERROR(MATCH($A39,Wo!$F$51:$AQ$51,0),100),IFERROR(MATCH($A39,Wo!$F$52:$AQ$52,0),100),IFERROR(MATCH($A39,Wo!$F$53:$AQ$53,0),100),IFERROR(MATCH($A39,Wo!$F$54:$AQ$54,0),100),IFERROR(MATCH($A39,Wo!$F$55:$AQ$55,0),100),IFERROR(MATCH($A39,Wo!$F$56:$AQ$56,0),100),IFERROR(MATCH($A39,Wo!$F$57:$AQ$57,0),100),IFERROR(MATCH($A39,Wo!$F$58:$AQ$58,0),100),IFERROR(MATCH($A39,Wo!$F$59:$AQ$59,0),100),IFERROR(MATCH($A39,Wo!$F$60:$AQ$60,0),100),IFERROR(MATCH($A39,Wo!$F$61:$AQ$61,0),100),IFERROR(MATCH($A39,Wo!$F$62:$AQ$62,0),100),IFERROR(MATCH($A39,Wo!$F$63:$AQ$63,0),100),39)</f>
        <v/>
      </c>
      <c r="H39" s="66">
        <f>IFERROR(IF(VLOOKUP(INDEX(Wo!$B$12:$B$63,MATCH($A39,OFFSET( Wo!$F$12:$F$63,0,(G39*48)-(IF(G39=7/24,9,IF(G39=12.5/24,9,IF(G39=14/24,9,IF(G39=15.5/24,9,10)))))),0),0),Wo!$B$13:$C$63,2,FALSE)="TL","",INDEX(Wo!$B$12:$B$63,MATCH($A39,OFFSET( Wo!$F$12:$F$63,0,(G39*48)-(IF(G39=7/24,9,IF(G39=12.5/24,9,IF(G39=14/24,9,IF(G39=15.5/24,9,10)))))),0),0)),"")</f>
        <v/>
      </c>
      <c r="I39" s="857">
        <f>9/48+(1/48)*MIN(IFERROR(MATCH($A39,Do!$F$13:$AQ$13,0),100),IFERROR(MATCH($A39,Do!$F$14:$AQ$14,0),100),IFERROR(MATCH($A39,Do!$F$15:$AQ$15,0),100),IFERROR(MATCH($A39,Do!$F$16:$AQ$16,0),100),IFERROR(MATCH($A39,Do!$F$17:$AQ$17,0),100),IFERROR(MATCH($A39,Do!$F$18:$AQ$18,0),100),IFERROR(MATCH($A39,Do!$F$19:$AQ$19,0),100),IFERROR(MATCH($A39,Do!$F$20:$AQ$20,0),100),IFERROR(MATCH($A39,Do!$F$21:$AQ$21,0),100),IFERROR(MATCH($A39,Do!$F$22:$AQ$22,0),100),IFERROR(MATCH($A39,Do!$F$23:$AQ$23,0),100),IFERROR(MATCH($A39,Do!$F$24:$AQ$24,0),100),IFERROR(MATCH($A39,Do!$F$25:$AQ$25,0),100),IFERROR(MATCH($A39,Do!$F$26:$AQ$26,0),100),IFERROR(MATCH($A39,Do!$F$27:$AQ$27,0),100),IFERROR(MATCH($A39,Do!$F$28:$AQ$28,0),100),IFERROR(MATCH($A39,Do!$F$29:$AQ$29,0),100),IFERROR(MATCH($A39,Do!$F$30:$AQ$30,0),100),IFERROR(MATCH($A39,Do!$F$31:$AQ$31,0),100),IFERROR(MATCH($A39,Do!$F$32:$AQ$32,0),100),IFERROR(MATCH($A39,Do!$F$33:$AQ$33,0),100),IFERROR(MATCH($A39,Do!$F$34:$AQ$34,0),100),IFERROR(MATCH($A39,Do!$F$35:$AQ$35,0),100),IFERROR(MATCH($A39,Do!$F$36:$AQ$36,0),100),IFERROR(MATCH($A39,Do!$F$37:$AQ$37,0),100),IFERROR(MATCH($A39,Do!$F$38:$AQ$38,0),100),IFERROR(MATCH($A39,Do!$F$39:$AQ$39,0),100),IFERROR(MATCH($A39,Do!$F$40:$AQ$40,0),100),IFERROR(MATCH($A39,Do!$F$41:$AQ$41,0),100),IFERROR(MATCH($A39,Do!$F$42:$AQ$42,0),100),IFERROR(MATCH($A39,Do!$F$43:$AQ$43,0),100),IFERROR(MATCH($A39,Do!$F$44:$AQ$44,0),100),IFERROR(MATCH($A39,Do!$F$45:$AQ$45,0),100),IFERROR(MATCH($A39,Do!$F$46:$AQ$46,0),100),IFERROR(MATCH($A39,Do!$F$47:$AQ$47,0),100),IFERROR(MATCH($A39,Do!$F$48:$AQ$48,0),100),IFERROR(MATCH($A39,Do!$F$49:$AQ$49,0),100),IFERROR(MATCH($A39,Do!$F$50:$AQ$50,0),100),IFERROR(MATCH($A39,Do!$F$51:$AQ$51,0),100),IFERROR(MATCH($A39,Do!$F$52:$AQ$52,0),100),IFERROR(MATCH($A39,Do!$F$53:$AQ$53,0),100),IFERROR(MATCH($A39,Do!$F$54:$AQ$54,0),100),IFERROR(MATCH($A39,Do!$F$55:$AQ$55,0),100),IFERROR(MATCH($A39,Do!$F$56:$AQ$56,0),100),IFERROR(MATCH($A39,Do!$F$57:$AQ$57,0),100),IFERROR(MATCH($A39,Do!$F$58:$AQ$58,0),100),IFERROR(MATCH($A39,Do!$F$59:$AQ$59,0),100),IFERROR(MATCH($A39,Do!$F$60:$AQ$60,0),100),IFERROR(MATCH($A39,Do!$F$61:$AQ$61,0),100),IFERROR(MATCH($A39,Do!$F$62:$AQ$62,0),100),IFERROR(MATCH($A39,Do!$F$63:$AQ$63,0),100),39)</f>
        <v/>
      </c>
      <c r="J39" s="66">
        <f>IFERROR(IF(VLOOKUP(INDEX(Do!$B$12:$B$63,MATCH($A39,OFFSET( Do!$F$12:$F$63,0,(I39*48)-(IF(I39=7/24,9,IF(I39=12.5/24,9,IF(I39=14/24,9,IF(I39=15.5/24,9,10)))))),0),0),Do!$B$13:$C$63,2,FALSE)="TL","",INDEX(Do!$B$12:$B$63,MATCH($A39,OFFSET( Do!$F$12:$F$63,0,(I39*48)-(IF(I39=7/24,9,IF(I39=12.5/24,9,IF(I39=14/24,9,IF(I39=15.5/24,9,10)))))),0),0)),"")</f>
        <v/>
      </c>
      <c r="K39" s="857">
        <f>9/48+(1/48)*MIN(IFERROR(MATCH($A39,Vr!$F$13:$AQ$13,0),100),IFERROR(MATCH($A39,Vr!$F$14:$AQ$14,0),100),IFERROR(MATCH($A39,Vr!$F$15:$AQ$15,0),100),IFERROR(MATCH($A39,Vr!$F$16:$AQ$16,0),100),IFERROR(MATCH($A39,Vr!$F$17:$AQ$17,0),100),IFERROR(MATCH($A39,Vr!$F$18:$AQ$18,0),100),IFERROR(MATCH($A39,Vr!$F$19:$AQ$19,0),100),IFERROR(MATCH($A39,Vr!$F$20:$AQ$20,0),100),IFERROR(MATCH($A39,Vr!$F$21:$AQ$21,0),100),IFERROR(MATCH($A39,Vr!$F$22:$AQ$22,0),100),IFERROR(MATCH($A39,Vr!$F$23:$AQ$23,0),100),IFERROR(MATCH($A39,Vr!$F$24:$AQ$24,0),100),IFERROR(MATCH($A39,Vr!$F$25:$AQ$25,0),100),IFERROR(MATCH($A39,Vr!$F$26:$AQ$26,0),100),IFERROR(MATCH($A39,Vr!$F$27:$AQ$27,0),100),IFERROR(MATCH($A39,Vr!$F$28:$AQ$28,0),100),IFERROR(MATCH($A39,Vr!$F$29:$AQ$29,0),100),IFERROR(MATCH($A39,Vr!$F$30:$AQ$30,0),100),IFERROR(MATCH($A39,Vr!$F$31:$AQ$31,0),100),IFERROR(MATCH($A39,Vr!$F$32:$AQ$32,0),100),IFERROR(MATCH($A39,Vr!$F$33:$AQ$33,0),100),IFERROR(MATCH($A39,Vr!$F$34:$AQ$34,0),100),IFERROR(MATCH($A39,Vr!$F$35:$AQ$35,0),100),IFERROR(MATCH($A39,Vr!$F$36:$AQ$36,0),100),IFERROR(MATCH($A39,Vr!$F$37:$AQ$37,0),100),IFERROR(MATCH($A39,Vr!$F$38:$AQ$38,0),100),IFERROR(MATCH($A39,Vr!$F$39:$AQ$39,0),100),IFERROR(MATCH($A39,Vr!$F$40:$AQ$40,0),100),IFERROR(MATCH($A39,Vr!$F$41:$AQ$41,0),100),IFERROR(MATCH($A39,Vr!$F$42:$AQ$42,0),100),IFERROR(MATCH($A39,Vr!$F$43:$AQ$43,0),100),IFERROR(MATCH($A39,Vr!$F$44:$AQ$44,0),100),IFERROR(MATCH($A39,Vr!$F$45:$AQ$45,0),100),IFERROR(MATCH($A39,Vr!$F$46:$AQ$46,0),100),IFERROR(MATCH($A39,Vr!$F$47:$AQ$47,0),100),IFERROR(MATCH($A39,Vr!$F$48:$AQ$48,0),100),IFERROR(MATCH($A39,Vr!$F$49:$AQ$49,0),100),IFERROR(MATCH($A39,Vr!$F$50:$AQ$50,0),100),IFERROR(MATCH($A39,Vr!$F$51:$AQ$51,0),100),IFERROR(MATCH($A39,Vr!$F$52:$AQ$52,0),100),IFERROR(MATCH($A39,Vr!$F$53:$AQ$53,0),100),IFERROR(MATCH($A39,Vr!$F$54:$AQ$54,0),100),IFERROR(MATCH($A39,Vr!$F$55:$AQ$55,0),100),IFERROR(MATCH($A39,Vr!$F$56:$AQ$56,0),100),IFERROR(MATCH($A39,Vr!$F$57:$AQ$57,0),100),IFERROR(MATCH($A39,Vr!$F$58:$AQ$58,0),100),IFERROR(MATCH($A39,Vr!$F$59:$AQ$59,0),100),IFERROR(MATCH($A39,Vr!$F$60:$AQ$60,0),100),IFERROR(MATCH($A39,Vr!$F$61:$AQ$61,0),100),IFERROR(MATCH($A39,Vr!$F$62:$AQ$62,0),100),IFERROR(MATCH($A39,Vr!$F$63:$AQ$63,0),100),39)</f>
        <v/>
      </c>
      <c r="L39" s="66">
        <f>IFERROR(IF(VLOOKUP(INDEX(Vr!$B$12:$B$63,MATCH($A39,OFFSET( Vr!$F$12:$F$63,0,(K39*48)-(IF(K39=7/24,9,IF(K39=12.5/24,9,IF(K39=14/24,9,IF(K39=15.5/24,9,10)))))),0),0),Vr!$B$13:$C$63,2,FALSE)="TL","",INDEX(Vr!$B$12:$B$63,MATCH($A39,OFFSET( Vr!$F$12:$F$63,0,(K39*48)-(IF(K39=7/24,9,IF(K39=12.5/24,9,IF(K39=14/24,9,IF(K39=15.5/24,9,10)))))),0),0)),"")</f>
        <v/>
      </c>
      <c r="M39" s="857">
        <f>9/48+(1/48)*MIN(IFERROR(MATCH($A39,Za!$F$13:$AQ$13,0),100),IFERROR(MATCH($A39,Za!$F$14:$AQ$14,0),100),IFERROR(MATCH($A39,Za!$F$15:$AQ$15,0),100),IFERROR(MATCH($A39,Za!$F$16:$AQ$16,0),100),IFERROR(MATCH($A39,Za!$F$17:$AQ$17,0),100),IFERROR(MATCH($A39,Za!$F$18:$AQ$18,0),100),IFERROR(MATCH($A39,Za!$F$19:$AQ$19,0),100),IFERROR(MATCH($A39,Za!$F$20:$AQ$20,0),100),IFERROR(MATCH($A39,Za!$F$21:$AQ$21,0),100),IFERROR(MATCH($A39,Za!$F$22:$AQ$22,0),100),IFERROR(MATCH($A39,Za!$F$23:$AQ$23,0),100),IFERROR(MATCH($A39,Za!$F$24:$AQ$24,0),100),IFERROR(MATCH($A39,Za!$F$25:$AQ$25,0),100),IFERROR(MATCH($A39,Za!$F$26:$AQ$26,0),100),IFERROR(MATCH($A39,Za!$F$27:$AQ$27,0),100),IFERROR(MATCH($A39,Za!$F$28:$AQ$28,0),100),IFERROR(MATCH($A39,Za!$F$29:$AQ$29,0),100),IFERROR(MATCH($A39,Za!$F$30:$AQ$30,0),100),IFERROR(MATCH($A39,Za!$F$31:$AQ$31,0),100),IFERROR(MATCH($A39,Za!$F$32:$AQ$32,0),100),IFERROR(MATCH($A39,Za!$F$33:$AQ$33,0),100),IFERROR(MATCH($A39,Za!$F$34:$AQ$34,0),100),IFERROR(MATCH($A39,Za!$F$35:$AQ$35,0),100),IFERROR(MATCH($A39,Za!$F$36:$AQ$36,0),100),IFERROR(MATCH($A39,Za!$F$37:$AQ$37,0),100),IFERROR(MATCH($A39,Za!$F$38:$AQ$38,0),100),IFERROR(MATCH($A39,Za!$F$39:$AQ$39,0),100),IFERROR(MATCH($A39,Za!$F$40:$AQ$40,0),100),IFERROR(MATCH($A39,Za!$F$41:$AQ$41,0),100),IFERROR(MATCH($A39,Za!$F$42:$AQ$42,0),100),IFERROR(MATCH($A39,Za!$F$43:$AQ$43,0),100),IFERROR(MATCH($A39,Za!$F$44:$AQ$44,0),100),IFERROR(MATCH($A39,Za!$F$45:$AQ$45,0),100),IFERROR(MATCH($A39,Za!$F$46:$AQ$46,0),100),IFERROR(MATCH($A39,Za!$F$47:$AQ$47,0),100),IFERROR(MATCH($A39,Za!$F$48:$AQ$48,0),100),IFERROR(MATCH($A39,Za!$F$49:$AQ$49,0),100),IFERROR(MATCH($A39,Za!$F$50:$AQ$50,0),100),IFERROR(MATCH($A39,Za!$F$51:$AQ$51,0),100),IFERROR(MATCH($A39,Za!$F$52:$AQ$52,0),100),IFERROR(MATCH($A39,Za!$F$53:$AQ$53,0),100),IFERROR(MATCH($A39,Za!$F$54:$AQ$54,0),100),IFERROR(MATCH($A39,Za!$F$55:$AQ$55,0),100),IFERROR(MATCH($A39,Za!$F$56:$AQ$56,0),100),IFERROR(MATCH($A39,Za!$F$57:$AQ$57,0),100),IFERROR(MATCH($A39,Za!$F$58:$AQ$58,0),100),IFERROR(MATCH($A39,Za!$F$59:$AQ$59,0),100),IFERROR(MATCH($A39,Za!$F$60:$AQ$60,0),100),IFERROR(MATCH($A39,Za!$F$61:$AQ$61,0),100),IFERROR(MATCH($A39,Za!$F$62:$AQ$62,0),100),IFERROR(MATCH($A39,Za!$F$63:$AQ$63,0),100),39)</f>
        <v/>
      </c>
      <c r="N39" s="66">
        <f>IFERROR(IF(VLOOKUP(INDEX(Za!$B$12:$B$63,MATCH($A39,OFFSET( Za!$F$12:$F$63,0,(M39*48)-(IF(M39=7/24,9,IF(M39=12.5/24,9,IF(M39=14/24,9,IF(M39=15.5/24,9,10)))))),0),0),Za!$B$13:$C$63,2,FALSE)="TL","",INDEX(Za!$B$12:$B$63,MATCH($A39,OFFSET( Za!$F$12:$F$63,0,(M39*48)-(IF(M39=7/24,9,IF(M39=12.5/24,9,IF(M39=14/24,9,IF(M39=15.5/24,9,10)))))),0),0)),"")</f>
        <v/>
      </c>
      <c r="O39" s="857">
        <f>9/48+(1/48)*MIN(IFERROR(MATCH($A39,Zo!$F$13:$AQ$13,0),100),IFERROR(MATCH($A39,Zo!$F$14:$AQ$14,0),100),IFERROR(MATCH($A39,Zo!$F$15:$AQ$15,0),100),IFERROR(MATCH($A39,Zo!$F$16:$AQ$16,0),100),IFERROR(MATCH($A39,Zo!$F$17:$AQ$17,0),100),IFERROR(MATCH($A39,Zo!$F$18:$AQ$18,0),100),IFERROR(MATCH($A39,Zo!$F$19:$AQ$19,0),100),IFERROR(MATCH($A39,Zo!$F$20:$AQ$20,0),100),IFERROR(MATCH($A39,Zo!$F$21:$AQ$21,0),100),IFERROR(MATCH($A39,Zo!$F$22:$AQ$22,0),100),IFERROR(MATCH($A39,Zo!$F$23:$AQ$23,0),100),IFERROR(MATCH($A39,Zo!$F$24:$AQ$24,0),100),IFERROR(MATCH($A39,Zo!$F$25:$AQ$25,0),100),IFERROR(MATCH($A39,Zo!$F$26:$AQ$26,0),100),IFERROR(MATCH($A39,Zo!$F$27:$AQ$27,0),100),IFERROR(MATCH($A39,Zo!$F$28:$AQ$28,0),100),IFERROR(MATCH($A39,Zo!$F$29:$AQ$29,0),100),IFERROR(MATCH($A39,Zo!$F$30:$AQ$30,0),100),IFERROR(MATCH($A39,Zo!$F$31:$AQ$31,0),100),IFERROR(MATCH($A39,Zo!$F$32:$AQ$32,0),100),IFERROR(MATCH($A39,Zo!$F$33:$AQ$33,0),100),IFERROR(MATCH($A39,Zo!$F$34:$AQ$34,0),100),IFERROR(MATCH($A39,Zo!$F$35:$AQ$35,0),100),IFERROR(MATCH($A39,Zo!$F$36:$AQ$36,0),100),IFERROR(MATCH($A39,Zo!$F$37:$AQ$37,0),100),IFERROR(MATCH($A39,Zo!$F$38:$AQ$38,0),100),IFERROR(MATCH($A39,Zo!$F$39:$AQ$39,0),100),IFERROR(MATCH($A39,Zo!$F$40:$AQ$40,0),100),IFERROR(MATCH($A39,Zo!$F$41:$AQ$41,0),100),IFERROR(MATCH($A39,Zo!$F$42:$AQ$42,0),100),IFERROR(MATCH($A39,Zo!$F$43:$AQ$43,0),100),IFERROR(MATCH($A39,Zo!$F$44:$AQ$44,0),100),IFERROR(MATCH($A39,Zo!$F$45:$AQ$45,0),100),IFERROR(MATCH($A39,Zo!$F$46:$AQ$46,0),100),IFERROR(MATCH($A39,Zo!$F$47:$AQ$47,0),100),IFERROR(MATCH($A39,Zo!$F$48:$AQ$48,0),100),IFERROR(MATCH($A39,Zo!$F$49:$AQ$49,0),100),IFERROR(MATCH($A39,Zo!$F$50:$AQ$50,0),100),IFERROR(MATCH($A39,Zo!$F$51:$AQ$51,0),100),IFERROR(MATCH($A39,Zo!$F$52:$AQ$52,0),100),IFERROR(MATCH($A39,Zo!$F$53:$AQ$53,0),100),IFERROR(MATCH($A39,Zo!$F$54:$AQ$54,0),100),IFERROR(MATCH($A39,Zo!$F$55:$AQ$55,0),100),IFERROR(MATCH($A39,Zo!$F$56:$AQ$56,0),100),IFERROR(MATCH($A39,Zo!$F$57:$AQ$57,0),100),IFERROR(MATCH($A39,Zo!$F$58:$AQ$58,0),100),IFERROR(MATCH($A39,Zo!$F$59:$AQ$59,0),100),IFERROR(MATCH($A39,Zo!$F$60:$AQ$60,0),100),IFERROR(MATCH($A39,Zo!$F$61:$AQ$61,0),100),IFERROR(MATCH($A39,Zo!$F$62:$AQ$62,0),100),IFERROR(MATCH($A39,Zo!$F$63:$AQ$63,0),100),39)</f>
        <v/>
      </c>
      <c r="P39" s="66">
        <f>IFERROR(IF(VLOOKUP(INDEX(Zo!$B$12:$B$63,MATCH($A39,OFFSET( Zo!$F$12:$F$63,0,(O39*48)-(IF(O39=7/24,9,IF(O39=12.5/24,9,IF(O39=14/24,9,IF(O39=15.5/24,9,10)))))),0),0),Zo!$B$13:$C$63,2,FALSE)="TL","",INDEX(Zo!$B$12:$B$63,MATCH($A39,OFFSET( Zo!$F$12:$F$63,0,(O39*48)-(IF(O39=7/24,9,IF(O39=12.5/24,9,IF(O39=14/24,9,IF(O39=15.5/24,9,10)))))),0),0)),"")</f>
        <v/>
      </c>
    </row>
    <row r="40" ht="15" customHeight="1">
      <c r="A40" s="66" t="inlineStr">
        <is>
          <t>pup</t>
        </is>
      </c>
      <c r="B40" s="67">
        <f>A40</f>
        <v/>
      </c>
      <c r="C40" s="857">
        <f>9/48+(1/48)*MIN(IFERROR(MATCH($A40,Ma!$F$13:$AQ$13,0),100),IFERROR(MATCH($A40,Ma!$F$14:$AQ$14,0),100),IFERROR(MATCH($A40,Ma!$F$15:$AQ$15,0),100),IFERROR(MATCH($A40,Ma!$F$16:$AQ$16,0),100),IFERROR(MATCH($A40,Ma!$F$17:$AQ$17,0),100),IFERROR(MATCH($A40,Ma!$F$18:$AQ$18,0),100),IFERROR(MATCH($A40,Ma!$F$19:$AQ$19,0),100),IFERROR(MATCH($A40,Ma!$F$20:$AQ$20,0),100),IFERROR(MATCH($A40,Ma!$F$21:$AQ$21,0),100),IFERROR(MATCH($A40,Ma!$F$22:$AQ$22,0),100),IFERROR(MATCH($A40,Ma!$F$23:$AQ$23,0),100),IFERROR(MATCH($A40,Ma!$F$24:$AQ$24,0),100),IFERROR(MATCH($A40,Ma!$F$25:$AQ$25,0),100),IFERROR(MATCH($A40,Ma!$F$26:$AQ$26,0),100),IFERROR(MATCH($A40,Ma!$F$27:$AQ$27,0),100),IFERROR(MATCH($A40,Ma!$F$28:$AQ$28,0),100),IFERROR(MATCH($A40,Ma!$F$29:$AQ$29,0),100),IFERROR(MATCH($A40,Ma!$F$30:$AQ$30,0),100),IFERROR(MATCH($A40,Ma!$F$31:$AQ$31,0),100),IFERROR(MATCH($A40,Ma!$F$32:$AQ$32,0),100),IFERROR(MATCH($A40,Ma!$F$33:$AQ$33,0),100),IFERROR(MATCH($A40,Ma!$F$34:$AQ$34,0),100),IFERROR(MATCH($A40,Ma!$F$35:$AQ$35,0),100),IFERROR(MATCH($A40,Ma!$F$36:$AQ$36,0),100),IFERROR(MATCH($A40,Ma!$F$37:$AQ$37,0),100),IFERROR(MATCH($A40,Ma!$F$38:$AQ$38,0),100),IFERROR(MATCH($A40,Ma!$F$39:$AQ$39,0),100),IFERROR(MATCH($A40,Ma!$F$40:$AQ$40,0),100),IFERROR(MATCH($A40,Ma!$F$41:$AQ$41,0),100),IFERROR(MATCH($A40,Ma!$F$42:$AQ$42,0),100),IFERROR(MATCH($A40,Ma!$F$43:$AQ$43,0),100),IFERROR(MATCH($A40,Ma!$F$44:$AQ$44,0),100),IFERROR(MATCH($A40,Ma!$F$45:$AQ$45,0),100),IFERROR(MATCH($A40,Ma!$F$46:$AQ$46,0),100),IFERROR(MATCH($A40,Ma!$F$47:$AQ$47,0),100),IFERROR(MATCH($A40,Ma!$F$48:$AQ$48,0),100),IFERROR(MATCH($A40,Ma!$F$49:$AQ$49,0),100),IFERROR(MATCH($A40,Ma!$F$50:$AQ$50,0),100),IFERROR(MATCH($A40,Ma!$F$51:$AQ$51,0),100),IFERROR(MATCH($A40,Ma!$F$52:$AQ$52,0),100),IFERROR(MATCH($A40,Ma!$F$53:$AQ$53,0),100),IFERROR(MATCH($A40,Ma!$F$54:$AQ$54,0),100),IFERROR(MATCH($A40,Ma!$F$55:$AQ$55,0),100),IFERROR(MATCH($A40,Ma!$F$56:$AQ$56,0),100),IFERROR(MATCH($A40,Ma!$F$57:$AQ$57,0),100),IFERROR(MATCH($A40,Ma!$F$58:$AQ$58,0),100),IFERROR(MATCH($A40,Ma!$F$59:$AQ$59,0),100),IFERROR(MATCH($A40,Ma!$F$60:$AQ$60,0),100),IFERROR(MATCH($A40,Ma!$F$61:$AQ$61,0),100),IFERROR(MATCH($A40,Ma!$F$62:$AQ$62,0),100),IFERROR(MATCH($A40,Ma!$F$63:$AQ$63,0),100),39)</f>
        <v/>
      </c>
      <c r="D40" s="66">
        <f>IFERROR(IF(VLOOKUP(INDEX(Ma!$B$12:$B$63,MATCH($A40,OFFSET( Ma!$F$12:$F$63,0,(C40*48)-(IF(C40=7/24,9,IF(C40=12.5/24,9,IF(C40=14/24,9,IF(C40=15.5/24,9,10)))))),0),0),Ma!$B$13:$C$63,2,FALSE)="TL","",INDEX(Ma!$B$12:$B$63,MATCH($A40,OFFSET( Ma!$F$12:$F$63,0,(C40*48)-(IF(C40=7/24,9,IF(C40=12.5/24,9,IF(C40=14/24,9,IF(C40=15.5/24,9,10)))))),0),0)),"")</f>
        <v/>
      </c>
      <c r="E40" s="857">
        <f>9/48+(1/48)*MIN(IFERROR(MATCH($A40,Di!$F$13:$AQ$13,0),100),IFERROR(MATCH($A40,Di!$F$14:$AQ$14,0),100),IFERROR(MATCH($A40,Di!$F$15:$AQ$15,0),100),IFERROR(MATCH($A40,Di!$F$16:$AQ$16,0),100),IFERROR(MATCH($A40,Di!$F$17:$AQ$17,0),100),IFERROR(MATCH($A40,Di!$F$18:$AQ$18,0),100),IFERROR(MATCH($A40,Di!$F$19:$AQ$19,0),100),IFERROR(MATCH($A40,Di!$F$20:$AQ$20,0),100),IFERROR(MATCH($A40,Di!$F$21:$AQ$21,0),100),IFERROR(MATCH($A40,Di!$F$22:$AQ$22,0),100),IFERROR(MATCH($A40,Di!$F$23:$AQ$23,0),100),IFERROR(MATCH($A40,Di!$F$24:$AQ$24,0),100),IFERROR(MATCH($A40,Di!$F$25:$AQ$25,0),100),IFERROR(MATCH($A40,Di!$F$26:$AQ$26,0),100),IFERROR(MATCH($A40,Di!$F$27:$AQ$27,0),100),IFERROR(MATCH($A40,Di!$F$28:$AQ$28,0),100),IFERROR(MATCH($A40,Di!$F$29:$AQ$29,0),100),IFERROR(MATCH($A40,Di!$F$30:$AQ$30,0),100),IFERROR(MATCH($A40,Di!$F$31:$AQ$31,0),100),IFERROR(MATCH($A40,Di!$F$32:$AQ$32,0),100),IFERROR(MATCH($A40,Di!$F$33:$AQ$33,0),100),IFERROR(MATCH($A40,Di!$F$34:$AQ$34,0),100),IFERROR(MATCH($A40,Di!$F$35:$AQ$35,0),100),IFERROR(MATCH($A40,Di!$F$36:$AQ$36,0),100),IFERROR(MATCH($A40,Di!$F$37:$AQ$37,0),100),IFERROR(MATCH($A40,Di!$F$38:$AQ$38,0),100),IFERROR(MATCH($A40,Di!$F$39:$AQ$39,0),100),IFERROR(MATCH($A40,Di!$F$40:$AQ$40,0),100),IFERROR(MATCH($A40,Di!$F$41:$AQ$41,0),100),IFERROR(MATCH($A40,Di!$F$42:$AQ$42,0),100),IFERROR(MATCH($A40,Di!$F$43:$AQ$43,0),100),IFERROR(MATCH($A40,Di!$F$44:$AQ$44,0),100),IFERROR(MATCH($A40,Di!$F$45:$AQ$45,0),100),IFERROR(MATCH($A40,Di!$F$46:$AQ$46,0),100),IFERROR(MATCH($A40,Di!$F$47:$AQ$47,0),100),IFERROR(MATCH($A40,Di!$F$48:$AQ$48,0),100),IFERROR(MATCH($A40,Di!$F$49:$AQ$49,0),100),IFERROR(MATCH($A40,Di!$F$50:$AQ$50,0),100),IFERROR(MATCH($A40,Di!$F$51:$AQ$51,0),100),IFERROR(MATCH($A40,Di!$F$52:$AQ$52,0),100),IFERROR(MATCH($A40,Di!$F$53:$AQ$53,0),100),IFERROR(MATCH($A40,Di!$F$54:$AQ$54,0),100),IFERROR(MATCH($A40,Di!$F$55:$AQ$55,0),100),IFERROR(MATCH($A40,Di!$F$56:$AQ$56,0),100),IFERROR(MATCH($A40,Di!$F$57:$AQ$57,0),100),IFERROR(MATCH($A40,Di!$F$58:$AQ$58,0),100),IFERROR(MATCH($A40,Di!$F$59:$AQ$59,0),100),IFERROR(MATCH($A40,Di!$F$60:$AQ$60,0),100),IFERROR(MATCH($A40,Di!$F$61:$AQ$61,0),100),IFERROR(MATCH($A40,Di!$F$62:$AQ$62,0),100),IFERROR(MATCH($A40,Di!$F$63:$AQ$63,0),100),39)</f>
        <v/>
      </c>
      <c r="F40" s="66">
        <f>IFERROR(IF(VLOOKUP(INDEX(Di!$B$12:$B$63,MATCH($A40,OFFSET( Di!$F$12:$F$63,0,(E40*48)-(IF(E40=7/24,9,IF(E40=12.5/24,9,IF(E40=14/24,9,IF(E40=15.5/24,9,10)))))),0),0),Di!$B$13:$C$63,2,FALSE)="TL","",INDEX(Di!$B$12:$B$63,MATCH($A40,OFFSET( Di!$F$12:$F$63,0,(E40*48)-(IF(E40=7/24,9,IF(E40=12.5/24,9,IF(E40=14/24,9,IF(E40=15.5/24,9,10)))))),0),0)),"")</f>
        <v/>
      </c>
      <c r="G40" s="857">
        <f>9/48+(1/48)*MIN(IFERROR(MATCH($A40,Wo!$F$13:$AQ$13,0),100),IFERROR(MATCH($A40,Wo!$F$14:$AQ$14,0),100),IFERROR(MATCH($A40,Wo!$F$15:$AQ$15,0),100),IFERROR(MATCH($A40,Wo!$F$16:$AQ$16,0),100),IFERROR(MATCH($A40,Wo!$F$17:$AQ$17,0),100),IFERROR(MATCH($A40,Wo!$F$18:$AQ$18,0),100),IFERROR(MATCH($A40,Wo!$F$19:$AQ$19,0),100),IFERROR(MATCH($A40,Wo!$F$20:$AQ$20,0),100),IFERROR(MATCH($A40,Wo!$F$21:$AQ$21,0),100),IFERROR(MATCH($A40,Wo!$F$22:$AQ$22,0),100),IFERROR(MATCH($A40,Wo!$F$23:$AQ$23,0),100),IFERROR(MATCH($A40,Wo!$F$24:$AQ$24,0),100),IFERROR(MATCH($A40,Wo!$F$25:$AQ$25,0),100),IFERROR(MATCH($A40,Wo!$F$26:$AQ$26,0),100),IFERROR(MATCH($A40,Wo!$F$27:$AQ$27,0),100),IFERROR(MATCH($A40,Wo!$F$28:$AQ$28,0),100),IFERROR(MATCH($A40,Wo!$F$29:$AQ$29,0),100),IFERROR(MATCH($A40,Wo!$F$30:$AQ$30,0),100),IFERROR(MATCH($A40,Wo!$F$31:$AQ$31,0),100),IFERROR(MATCH($A40,Wo!$F$32:$AQ$32,0),100),IFERROR(MATCH($A40,Wo!$F$33:$AQ$33,0),100),IFERROR(MATCH($A40,Wo!$F$34:$AQ$34,0),100),IFERROR(MATCH($A40,Wo!$F$35:$AQ$35,0),100),IFERROR(MATCH($A40,Wo!$F$36:$AQ$36,0),100),IFERROR(MATCH($A40,Wo!$F$37:$AQ$37,0),100),IFERROR(MATCH($A40,Wo!$F$38:$AQ$38,0),100),IFERROR(MATCH($A40,Wo!$F$39:$AQ$39,0),100),IFERROR(MATCH($A40,Wo!$F$40:$AQ$40,0),100),IFERROR(MATCH($A40,Wo!$F$41:$AQ$41,0),100),IFERROR(MATCH($A40,Wo!$F$42:$AQ$42,0),100),IFERROR(MATCH($A40,Wo!$F$43:$AQ$43,0),100),IFERROR(MATCH($A40,Wo!$F$44:$AQ$44,0),100),IFERROR(MATCH($A40,Wo!$F$45:$AQ$45,0),100),IFERROR(MATCH($A40,Wo!$F$46:$AQ$46,0),100),IFERROR(MATCH($A40,Wo!$F$47:$AQ$47,0),100),IFERROR(MATCH($A40,Wo!$F$48:$AQ$48,0),100),IFERROR(MATCH($A40,Wo!$F$49:$AQ$49,0),100),IFERROR(MATCH($A40,Wo!$F$50:$AQ$50,0),100),IFERROR(MATCH($A40,Wo!$F$51:$AQ$51,0),100),IFERROR(MATCH($A40,Wo!$F$52:$AQ$52,0),100),IFERROR(MATCH($A40,Wo!$F$53:$AQ$53,0),100),IFERROR(MATCH($A40,Wo!$F$54:$AQ$54,0),100),IFERROR(MATCH($A40,Wo!$F$55:$AQ$55,0),100),IFERROR(MATCH($A40,Wo!$F$56:$AQ$56,0),100),IFERROR(MATCH($A40,Wo!$F$57:$AQ$57,0),100),IFERROR(MATCH($A40,Wo!$F$58:$AQ$58,0),100),IFERROR(MATCH($A40,Wo!$F$59:$AQ$59,0),100),IFERROR(MATCH($A40,Wo!$F$60:$AQ$60,0),100),IFERROR(MATCH($A40,Wo!$F$61:$AQ$61,0),100),IFERROR(MATCH($A40,Wo!$F$62:$AQ$62,0),100),IFERROR(MATCH($A40,Wo!$F$63:$AQ$63,0),100),39)</f>
        <v/>
      </c>
      <c r="H40" s="66">
        <f>IFERROR(IF(VLOOKUP(INDEX(Wo!$B$12:$B$63,MATCH($A40,OFFSET( Wo!$F$12:$F$63,0,(G40*48)-(IF(G40=7/24,9,IF(G40=12.5/24,9,IF(G40=14/24,9,IF(G40=15.5/24,9,10)))))),0),0),Wo!$B$13:$C$63,2,FALSE)="TL","",INDEX(Wo!$B$12:$B$63,MATCH($A40,OFFSET( Wo!$F$12:$F$63,0,(G40*48)-(IF(G40=7/24,9,IF(G40=12.5/24,9,IF(G40=14/24,9,IF(G40=15.5/24,9,10)))))),0),0)),"")</f>
        <v/>
      </c>
      <c r="I40" s="857">
        <f>9/48+(1/48)*MIN(IFERROR(MATCH($A40,Do!$F$13:$AQ$13,0),100),IFERROR(MATCH($A40,Do!$F$14:$AQ$14,0),100),IFERROR(MATCH($A40,Do!$F$15:$AQ$15,0),100),IFERROR(MATCH($A40,Do!$F$16:$AQ$16,0),100),IFERROR(MATCH($A40,Do!$F$17:$AQ$17,0),100),IFERROR(MATCH($A40,Do!$F$18:$AQ$18,0),100),IFERROR(MATCH($A40,Do!$F$19:$AQ$19,0),100),IFERROR(MATCH($A40,Do!$F$20:$AQ$20,0),100),IFERROR(MATCH($A40,Do!$F$21:$AQ$21,0),100),IFERROR(MATCH($A40,Do!$F$22:$AQ$22,0),100),IFERROR(MATCH($A40,Do!$F$23:$AQ$23,0),100),IFERROR(MATCH($A40,Do!$F$24:$AQ$24,0),100),IFERROR(MATCH($A40,Do!$F$25:$AQ$25,0),100),IFERROR(MATCH($A40,Do!$F$26:$AQ$26,0),100),IFERROR(MATCH($A40,Do!$F$27:$AQ$27,0),100),IFERROR(MATCH($A40,Do!$F$28:$AQ$28,0),100),IFERROR(MATCH($A40,Do!$F$29:$AQ$29,0),100),IFERROR(MATCH($A40,Do!$F$30:$AQ$30,0),100),IFERROR(MATCH($A40,Do!$F$31:$AQ$31,0),100),IFERROR(MATCH($A40,Do!$F$32:$AQ$32,0),100),IFERROR(MATCH($A40,Do!$F$33:$AQ$33,0),100),IFERROR(MATCH($A40,Do!$F$34:$AQ$34,0),100),IFERROR(MATCH($A40,Do!$F$35:$AQ$35,0),100),IFERROR(MATCH($A40,Do!$F$36:$AQ$36,0),100),IFERROR(MATCH($A40,Do!$F$37:$AQ$37,0),100),IFERROR(MATCH($A40,Do!$F$38:$AQ$38,0),100),IFERROR(MATCH($A40,Do!$F$39:$AQ$39,0),100),IFERROR(MATCH($A40,Do!$F$40:$AQ$40,0),100),IFERROR(MATCH($A40,Do!$F$41:$AQ$41,0),100),IFERROR(MATCH($A40,Do!$F$42:$AQ$42,0),100),IFERROR(MATCH($A40,Do!$F$43:$AQ$43,0),100),IFERROR(MATCH($A40,Do!$F$44:$AQ$44,0),100),IFERROR(MATCH($A40,Do!$F$45:$AQ$45,0),100),IFERROR(MATCH($A40,Do!$F$46:$AQ$46,0),100),IFERROR(MATCH($A40,Do!$F$47:$AQ$47,0),100),IFERROR(MATCH($A40,Do!$F$48:$AQ$48,0),100),IFERROR(MATCH($A40,Do!$F$49:$AQ$49,0),100),IFERROR(MATCH($A40,Do!$F$50:$AQ$50,0),100),IFERROR(MATCH($A40,Do!$F$51:$AQ$51,0),100),IFERROR(MATCH($A40,Do!$F$52:$AQ$52,0),100),IFERROR(MATCH($A40,Do!$F$53:$AQ$53,0),100),IFERROR(MATCH($A40,Do!$F$54:$AQ$54,0),100),IFERROR(MATCH($A40,Do!$F$55:$AQ$55,0),100),IFERROR(MATCH($A40,Do!$F$56:$AQ$56,0),100),IFERROR(MATCH($A40,Do!$F$57:$AQ$57,0),100),IFERROR(MATCH($A40,Do!$F$58:$AQ$58,0),100),IFERROR(MATCH($A40,Do!$F$59:$AQ$59,0),100),IFERROR(MATCH($A40,Do!$F$60:$AQ$60,0),100),IFERROR(MATCH($A40,Do!$F$61:$AQ$61,0),100),IFERROR(MATCH($A40,Do!$F$62:$AQ$62,0),100),IFERROR(MATCH($A40,Do!$F$63:$AQ$63,0),100),39)</f>
        <v/>
      </c>
      <c r="J40" s="66">
        <f>IFERROR(IF(VLOOKUP(INDEX(Do!$B$12:$B$63,MATCH($A40,OFFSET( Do!$F$12:$F$63,0,(I40*48)-(IF(I40=7/24,9,IF(I40=12.5/24,9,IF(I40=14/24,9,IF(I40=15.5/24,9,10)))))),0),0),Do!$B$13:$C$63,2,FALSE)="TL","",INDEX(Do!$B$12:$B$63,MATCH($A40,OFFSET( Do!$F$12:$F$63,0,(I40*48)-(IF(I40=7/24,9,IF(I40=12.5/24,9,IF(I40=14/24,9,IF(I40=15.5/24,9,10)))))),0),0)),"")</f>
        <v/>
      </c>
      <c r="K40" s="857">
        <f>9/48+(1/48)*MIN(IFERROR(MATCH($A40,Vr!$F$13:$AQ$13,0),100),IFERROR(MATCH($A40,Vr!$F$14:$AQ$14,0),100),IFERROR(MATCH($A40,Vr!$F$15:$AQ$15,0),100),IFERROR(MATCH($A40,Vr!$F$16:$AQ$16,0),100),IFERROR(MATCH($A40,Vr!$F$17:$AQ$17,0),100),IFERROR(MATCH($A40,Vr!$F$18:$AQ$18,0),100),IFERROR(MATCH($A40,Vr!$F$19:$AQ$19,0),100),IFERROR(MATCH($A40,Vr!$F$20:$AQ$20,0),100),IFERROR(MATCH($A40,Vr!$F$21:$AQ$21,0),100),IFERROR(MATCH($A40,Vr!$F$22:$AQ$22,0),100),IFERROR(MATCH($A40,Vr!$F$23:$AQ$23,0),100),IFERROR(MATCH($A40,Vr!$F$24:$AQ$24,0),100),IFERROR(MATCH($A40,Vr!$F$25:$AQ$25,0),100),IFERROR(MATCH($A40,Vr!$F$26:$AQ$26,0),100),IFERROR(MATCH($A40,Vr!$F$27:$AQ$27,0),100),IFERROR(MATCH($A40,Vr!$F$28:$AQ$28,0),100),IFERROR(MATCH($A40,Vr!$F$29:$AQ$29,0),100),IFERROR(MATCH($A40,Vr!$F$30:$AQ$30,0),100),IFERROR(MATCH($A40,Vr!$F$31:$AQ$31,0),100),IFERROR(MATCH($A40,Vr!$F$32:$AQ$32,0),100),IFERROR(MATCH($A40,Vr!$F$33:$AQ$33,0),100),IFERROR(MATCH($A40,Vr!$F$34:$AQ$34,0),100),IFERROR(MATCH($A40,Vr!$F$35:$AQ$35,0),100),IFERROR(MATCH($A40,Vr!$F$36:$AQ$36,0),100),IFERROR(MATCH($A40,Vr!$F$37:$AQ$37,0),100),IFERROR(MATCH($A40,Vr!$F$38:$AQ$38,0),100),IFERROR(MATCH($A40,Vr!$F$39:$AQ$39,0),100),IFERROR(MATCH($A40,Vr!$F$40:$AQ$40,0),100),IFERROR(MATCH($A40,Vr!$F$41:$AQ$41,0),100),IFERROR(MATCH($A40,Vr!$F$42:$AQ$42,0),100),IFERROR(MATCH($A40,Vr!$F$43:$AQ$43,0),100),IFERROR(MATCH($A40,Vr!$F$44:$AQ$44,0),100),IFERROR(MATCH($A40,Vr!$F$45:$AQ$45,0),100),IFERROR(MATCH($A40,Vr!$F$46:$AQ$46,0),100),IFERROR(MATCH($A40,Vr!$F$47:$AQ$47,0),100),IFERROR(MATCH($A40,Vr!$F$48:$AQ$48,0),100),IFERROR(MATCH($A40,Vr!$F$49:$AQ$49,0),100),IFERROR(MATCH($A40,Vr!$F$50:$AQ$50,0),100),IFERROR(MATCH($A40,Vr!$F$51:$AQ$51,0),100),IFERROR(MATCH($A40,Vr!$F$52:$AQ$52,0),100),IFERROR(MATCH($A40,Vr!$F$53:$AQ$53,0),100),IFERROR(MATCH($A40,Vr!$F$54:$AQ$54,0),100),IFERROR(MATCH($A40,Vr!$F$55:$AQ$55,0),100),IFERROR(MATCH($A40,Vr!$F$56:$AQ$56,0),100),IFERROR(MATCH($A40,Vr!$F$57:$AQ$57,0),100),IFERROR(MATCH($A40,Vr!$F$58:$AQ$58,0),100),IFERROR(MATCH($A40,Vr!$F$59:$AQ$59,0),100),IFERROR(MATCH($A40,Vr!$F$60:$AQ$60,0),100),IFERROR(MATCH($A40,Vr!$F$61:$AQ$61,0),100),IFERROR(MATCH($A40,Vr!$F$62:$AQ$62,0),100),IFERROR(MATCH($A40,Vr!$F$63:$AQ$63,0),100),39)</f>
        <v/>
      </c>
      <c r="L40" s="66">
        <f>IFERROR(IF(VLOOKUP(INDEX(Vr!$B$12:$B$63,MATCH($A40,OFFSET( Vr!$F$12:$F$63,0,(K40*48)-(IF(K40=7/24,9,IF(K40=12.5/24,9,IF(K40=14/24,9,IF(K40=15.5/24,9,10)))))),0),0),Vr!$B$13:$C$63,2,FALSE)="TL","",INDEX(Vr!$B$12:$B$63,MATCH($A40,OFFSET( Vr!$F$12:$F$63,0,(K40*48)-(IF(K40=7/24,9,IF(K40=12.5/24,9,IF(K40=14/24,9,IF(K40=15.5/24,9,10)))))),0),0)),"")</f>
        <v/>
      </c>
      <c r="M40" s="857">
        <f>9/48+(1/48)*MIN(IFERROR(MATCH($A40,Za!$F$13:$AQ$13,0),100),IFERROR(MATCH($A40,Za!$F$14:$AQ$14,0),100),IFERROR(MATCH($A40,Za!$F$15:$AQ$15,0),100),IFERROR(MATCH($A40,Za!$F$16:$AQ$16,0),100),IFERROR(MATCH($A40,Za!$F$17:$AQ$17,0),100),IFERROR(MATCH($A40,Za!$F$18:$AQ$18,0),100),IFERROR(MATCH($A40,Za!$F$19:$AQ$19,0),100),IFERROR(MATCH($A40,Za!$F$20:$AQ$20,0),100),IFERROR(MATCH($A40,Za!$F$21:$AQ$21,0),100),IFERROR(MATCH($A40,Za!$F$22:$AQ$22,0),100),IFERROR(MATCH($A40,Za!$F$23:$AQ$23,0),100),IFERROR(MATCH($A40,Za!$F$24:$AQ$24,0),100),IFERROR(MATCH($A40,Za!$F$25:$AQ$25,0),100),IFERROR(MATCH($A40,Za!$F$26:$AQ$26,0),100),IFERROR(MATCH($A40,Za!$F$27:$AQ$27,0),100),IFERROR(MATCH($A40,Za!$F$28:$AQ$28,0),100),IFERROR(MATCH($A40,Za!$F$29:$AQ$29,0),100),IFERROR(MATCH($A40,Za!$F$30:$AQ$30,0),100),IFERROR(MATCH($A40,Za!$F$31:$AQ$31,0),100),IFERROR(MATCH($A40,Za!$F$32:$AQ$32,0),100),IFERROR(MATCH($A40,Za!$F$33:$AQ$33,0),100),IFERROR(MATCH($A40,Za!$F$34:$AQ$34,0),100),IFERROR(MATCH($A40,Za!$F$35:$AQ$35,0),100),IFERROR(MATCH($A40,Za!$F$36:$AQ$36,0),100),IFERROR(MATCH($A40,Za!$F$37:$AQ$37,0),100),IFERROR(MATCH($A40,Za!$F$38:$AQ$38,0),100),IFERROR(MATCH($A40,Za!$F$39:$AQ$39,0),100),IFERROR(MATCH($A40,Za!$F$40:$AQ$40,0),100),IFERROR(MATCH($A40,Za!$F$41:$AQ$41,0),100),IFERROR(MATCH($A40,Za!$F$42:$AQ$42,0),100),IFERROR(MATCH($A40,Za!$F$43:$AQ$43,0),100),IFERROR(MATCH($A40,Za!$F$44:$AQ$44,0),100),IFERROR(MATCH($A40,Za!$F$45:$AQ$45,0),100),IFERROR(MATCH($A40,Za!$F$46:$AQ$46,0),100),IFERROR(MATCH($A40,Za!$F$47:$AQ$47,0),100),IFERROR(MATCH($A40,Za!$F$48:$AQ$48,0),100),IFERROR(MATCH($A40,Za!$F$49:$AQ$49,0),100),IFERROR(MATCH($A40,Za!$F$50:$AQ$50,0),100),IFERROR(MATCH($A40,Za!$F$51:$AQ$51,0),100),IFERROR(MATCH($A40,Za!$F$52:$AQ$52,0),100),IFERROR(MATCH($A40,Za!$F$53:$AQ$53,0),100),IFERROR(MATCH($A40,Za!$F$54:$AQ$54,0),100),IFERROR(MATCH($A40,Za!$F$55:$AQ$55,0),100),IFERROR(MATCH($A40,Za!$F$56:$AQ$56,0),100),IFERROR(MATCH($A40,Za!$F$57:$AQ$57,0),100),IFERROR(MATCH($A40,Za!$F$58:$AQ$58,0),100),IFERROR(MATCH($A40,Za!$F$59:$AQ$59,0),100),IFERROR(MATCH($A40,Za!$F$60:$AQ$60,0),100),IFERROR(MATCH($A40,Za!$F$61:$AQ$61,0),100),IFERROR(MATCH($A40,Za!$F$62:$AQ$62,0),100),IFERROR(MATCH($A40,Za!$F$63:$AQ$63,0),100),39)</f>
        <v/>
      </c>
      <c r="N40" s="66">
        <f>IFERROR(IF(VLOOKUP(INDEX(Za!$B$12:$B$63,MATCH($A40,OFFSET( Za!$F$12:$F$63,0,(M40*48)-(IF(M40=7/24,9,IF(M40=12.5/24,9,IF(M40=14/24,9,IF(M40=15.5/24,9,10)))))),0),0),Za!$B$13:$C$63,2,FALSE)="TL","",INDEX(Za!$B$12:$B$63,MATCH($A40,OFFSET( Za!$F$12:$F$63,0,(M40*48)-(IF(M40=7/24,9,IF(M40=12.5/24,9,IF(M40=14/24,9,IF(M40=15.5/24,9,10)))))),0),0)),"")</f>
        <v/>
      </c>
      <c r="O40" s="857">
        <f>9/48+(1/48)*MIN(IFERROR(MATCH($A40,Zo!$F$13:$AQ$13,0),100),IFERROR(MATCH($A40,Zo!$F$14:$AQ$14,0),100),IFERROR(MATCH($A40,Zo!$F$15:$AQ$15,0),100),IFERROR(MATCH($A40,Zo!$F$16:$AQ$16,0),100),IFERROR(MATCH($A40,Zo!$F$17:$AQ$17,0),100),IFERROR(MATCH($A40,Zo!$F$18:$AQ$18,0),100),IFERROR(MATCH($A40,Zo!$F$19:$AQ$19,0),100),IFERROR(MATCH($A40,Zo!$F$20:$AQ$20,0),100),IFERROR(MATCH($A40,Zo!$F$21:$AQ$21,0),100),IFERROR(MATCH($A40,Zo!$F$22:$AQ$22,0),100),IFERROR(MATCH($A40,Zo!$F$23:$AQ$23,0),100),IFERROR(MATCH($A40,Zo!$F$24:$AQ$24,0),100),IFERROR(MATCH($A40,Zo!$F$25:$AQ$25,0),100),IFERROR(MATCH($A40,Zo!$F$26:$AQ$26,0),100),IFERROR(MATCH($A40,Zo!$F$27:$AQ$27,0),100),IFERROR(MATCH($A40,Zo!$F$28:$AQ$28,0),100),IFERROR(MATCH($A40,Zo!$F$29:$AQ$29,0),100),IFERROR(MATCH($A40,Zo!$F$30:$AQ$30,0),100),IFERROR(MATCH($A40,Zo!$F$31:$AQ$31,0),100),IFERROR(MATCH($A40,Zo!$F$32:$AQ$32,0),100),IFERROR(MATCH($A40,Zo!$F$33:$AQ$33,0),100),IFERROR(MATCH($A40,Zo!$F$34:$AQ$34,0),100),IFERROR(MATCH($A40,Zo!$F$35:$AQ$35,0),100),IFERROR(MATCH($A40,Zo!$F$36:$AQ$36,0),100),IFERROR(MATCH($A40,Zo!$F$37:$AQ$37,0),100),IFERROR(MATCH($A40,Zo!$F$38:$AQ$38,0),100),IFERROR(MATCH($A40,Zo!$F$39:$AQ$39,0),100),IFERROR(MATCH($A40,Zo!$F$40:$AQ$40,0),100),IFERROR(MATCH($A40,Zo!$F$41:$AQ$41,0),100),IFERROR(MATCH($A40,Zo!$F$42:$AQ$42,0),100),IFERROR(MATCH($A40,Zo!$F$43:$AQ$43,0),100),IFERROR(MATCH($A40,Zo!$F$44:$AQ$44,0),100),IFERROR(MATCH($A40,Zo!$F$45:$AQ$45,0),100),IFERROR(MATCH($A40,Zo!$F$46:$AQ$46,0),100),IFERROR(MATCH($A40,Zo!$F$47:$AQ$47,0),100),IFERROR(MATCH($A40,Zo!$F$48:$AQ$48,0),100),IFERROR(MATCH($A40,Zo!$F$49:$AQ$49,0),100),IFERROR(MATCH($A40,Zo!$F$50:$AQ$50,0),100),IFERROR(MATCH($A40,Zo!$F$51:$AQ$51,0),100),IFERROR(MATCH($A40,Zo!$F$52:$AQ$52,0),100),IFERROR(MATCH($A40,Zo!$F$53:$AQ$53,0),100),IFERROR(MATCH($A40,Zo!$F$54:$AQ$54,0),100),IFERROR(MATCH($A40,Zo!$F$55:$AQ$55,0),100),IFERROR(MATCH($A40,Zo!$F$56:$AQ$56,0),100),IFERROR(MATCH($A40,Zo!$F$57:$AQ$57,0),100),IFERROR(MATCH($A40,Zo!$F$58:$AQ$58,0),100),IFERROR(MATCH($A40,Zo!$F$59:$AQ$59,0),100),IFERROR(MATCH($A40,Zo!$F$60:$AQ$60,0),100),IFERROR(MATCH($A40,Zo!$F$61:$AQ$61,0),100),IFERROR(MATCH($A40,Zo!$F$62:$AQ$62,0),100),IFERROR(MATCH($A40,Zo!$F$63:$AQ$63,0),100),39)</f>
        <v/>
      </c>
      <c r="P40" s="66">
        <f>IFERROR(IF(VLOOKUP(INDEX(Zo!$B$12:$B$63,MATCH($A40,OFFSET( Zo!$F$12:$F$63,0,(O40*48)-(IF(O40=7/24,9,IF(O40=12.5/24,9,IF(O40=14/24,9,IF(O40=15.5/24,9,10)))))),0),0),Zo!$B$13:$C$63,2,FALSE)="TL","",INDEX(Zo!$B$12:$B$63,MATCH($A40,OFFSET( Zo!$F$12:$F$63,0,(O40*48)-(IF(O40=7/24,9,IF(O40=12.5/24,9,IF(O40=14/24,9,IF(O40=15.5/24,9,10)))))),0),0)),"")</f>
        <v/>
      </c>
    </row>
    <row r="41" ht="15" customHeight="1">
      <c r="A41" s="66">
        <f>IF(Wo!AY58="",leeg,Wo!AY58)</f>
        <v/>
      </c>
      <c r="B41" s="67">
        <f>A41</f>
        <v/>
      </c>
      <c r="C41" s="857">
        <f>9/48+(1/48)*MIN(IFERROR(MATCH($A41,Ma!$F$13:$AQ$13,0),100),IFERROR(MATCH($A41,Ma!$F$14:$AQ$14,0),100),IFERROR(MATCH($A41,Ma!$F$15:$AQ$15,0),100),IFERROR(MATCH($A41,Ma!$F$16:$AQ$16,0),100),IFERROR(MATCH($A41,Ma!$F$17:$AQ$17,0),100),IFERROR(MATCH($A41,Ma!$F$18:$AQ$18,0),100),IFERROR(MATCH($A41,Ma!$F$19:$AQ$19,0),100),IFERROR(MATCH($A41,Ma!$F$20:$AQ$20,0),100),IFERROR(MATCH($A41,Ma!$F$21:$AQ$21,0),100),IFERROR(MATCH($A41,Ma!$F$22:$AQ$22,0),100),IFERROR(MATCH($A41,Ma!$F$23:$AQ$23,0),100),IFERROR(MATCH($A41,Ma!$F$24:$AQ$24,0),100),IFERROR(MATCH($A41,Ma!$F$25:$AQ$25,0),100),IFERROR(MATCH($A41,Ma!$F$26:$AQ$26,0),100),IFERROR(MATCH($A41,Ma!$F$27:$AQ$27,0),100),IFERROR(MATCH($A41,Ma!$F$28:$AQ$28,0),100),IFERROR(MATCH($A41,Ma!$F$29:$AQ$29,0),100),IFERROR(MATCH($A41,Ma!$F$30:$AQ$30,0),100),IFERROR(MATCH($A41,Ma!$F$31:$AQ$31,0),100),IFERROR(MATCH($A41,Ma!$F$32:$AQ$32,0),100),IFERROR(MATCH($A41,Ma!$F$33:$AQ$33,0),100),IFERROR(MATCH($A41,Ma!$F$34:$AQ$34,0),100),IFERROR(MATCH($A41,Ma!$F$35:$AQ$35,0),100),IFERROR(MATCH($A41,Ma!$F$36:$AQ$36,0),100),IFERROR(MATCH($A41,Ma!$F$37:$AQ$37,0),100),IFERROR(MATCH($A41,Ma!$F$38:$AQ$38,0),100),IFERROR(MATCH($A41,Ma!$F$39:$AQ$39,0),100),IFERROR(MATCH($A41,Ma!$F$40:$AQ$40,0),100),IFERROR(MATCH($A41,Ma!$F$41:$AQ$41,0),100),IFERROR(MATCH($A41,Ma!$F$42:$AQ$42,0),100),IFERROR(MATCH($A41,Ma!$F$43:$AQ$43,0),100),IFERROR(MATCH($A41,Ma!$F$44:$AQ$44,0),100),IFERROR(MATCH($A41,Ma!$F$45:$AQ$45,0),100),IFERROR(MATCH($A41,Ma!$F$46:$AQ$46,0),100),IFERROR(MATCH($A41,Ma!$F$47:$AQ$47,0),100),IFERROR(MATCH($A41,Ma!$F$48:$AQ$48,0),100),IFERROR(MATCH($A41,Ma!$F$49:$AQ$49,0),100),IFERROR(MATCH($A41,Ma!$F$50:$AQ$50,0),100),IFERROR(MATCH($A41,Ma!$F$51:$AQ$51,0),100),IFERROR(MATCH($A41,Ma!$F$52:$AQ$52,0),100),IFERROR(MATCH($A41,Ma!$F$53:$AQ$53,0),100),IFERROR(MATCH($A41,Ma!$F$54:$AQ$54,0),100),IFERROR(MATCH($A41,Ma!$F$55:$AQ$55,0),100),IFERROR(MATCH($A41,Ma!$F$56:$AQ$56,0),100),IFERROR(MATCH($A41,Ma!$F$57:$AQ$57,0),100),IFERROR(MATCH($A41,Ma!$F$58:$AQ$58,0),100),IFERROR(MATCH($A41,Ma!$F$59:$AQ$59,0),100),IFERROR(MATCH($A41,Ma!$F$60:$AQ$60,0),100),IFERROR(MATCH($A41,Ma!$F$61:$AQ$61,0),100),IFERROR(MATCH($A41,Ma!$F$62:$AQ$62,0),100),IFERROR(MATCH($A41,Ma!$F$63:$AQ$63,0),100),39)</f>
        <v/>
      </c>
      <c r="D41" s="66">
        <f>IFERROR(IF(VLOOKUP(INDEX(Ma!$B$12:$B$63,MATCH($A41,OFFSET( Ma!$F$12:$F$63,0,(C41*48)-(IF(C41=7/24,9,IF(C41=12.5/24,9,IF(C41=14/24,9,IF(C41=15.5/24,9,10)))))),0),0),Ma!$B$13:$C$63,2,FALSE)="TL","",INDEX(Ma!$B$12:$B$63,MATCH($A41,OFFSET( Ma!$F$12:$F$63,0,(C41*48)-(IF(C41=7/24,9,IF(C41=12.5/24,9,IF(C41=14/24,9,IF(C41=15.5/24,9,10)))))),0),0)),"")</f>
        <v/>
      </c>
      <c r="E41" s="857">
        <f>9/48+(1/48)*MIN(IFERROR(MATCH($A41,Di!$F$13:$AQ$13,0),100),IFERROR(MATCH($A41,Di!$F$14:$AQ$14,0),100),IFERROR(MATCH($A41,Di!$F$15:$AQ$15,0),100),IFERROR(MATCH($A41,Di!$F$16:$AQ$16,0),100),IFERROR(MATCH($A41,Di!$F$17:$AQ$17,0),100),IFERROR(MATCH($A41,Di!$F$18:$AQ$18,0),100),IFERROR(MATCH($A41,Di!$F$19:$AQ$19,0),100),IFERROR(MATCH($A41,Di!$F$20:$AQ$20,0),100),IFERROR(MATCH($A41,Di!$F$21:$AQ$21,0),100),IFERROR(MATCH($A41,Di!$F$22:$AQ$22,0),100),IFERROR(MATCH($A41,Di!$F$23:$AQ$23,0),100),IFERROR(MATCH($A41,Di!$F$24:$AQ$24,0),100),IFERROR(MATCH($A41,Di!$F$25:$AQ$25,0),100),IFERROR(MATCH($A41,Di!$F$26:$AQ$26,0),100),IFERROR(MATCH($A41,Di!$F$27:$AQ$27,0),100),IFERROR(MATCH($A41,Di!$F$28:$AQ$28,0),100),IFERROR(MATCH($A41,Di!$F$29:$AQ$29,0),100),IFERROR(MATCH($A41,Di!$F$30:$AQ$30,0),100),IFERROR(MATCH($A41,Di!$F$31:$AQ$31,0),100),IFERROR(MATCH($A41,Di!$F$32:$AQ$32,0),100),IFERROR(MATCH($A41,Di!$F$33:$AQ$33,0),100),IFERROR(MATCH($A41,Di!$F$34:$AQ$34,0),100),IFERROR(MATCH($A41,Di!$F$35:$AQ$35,0),100),IFERROR(MATCH($A41,Di!$F$36:$AQ$36,0),100),IFERROR(MATCH($A41,Di!$F$37:$AQ$37,0),100),IFERROR(MATCH($A41,Di!$F$38:$AQ$38,0),100),IFERROR(MATCH($A41,Di!$F$39:$AQ$39,0),100),IFERROR(MATCH($A41,Di!$F$40:$AQ$40,0),100),IFERROR(MATCH($A41,Di!$F$41:$AQ$41,0),100),IFERROR(MATCH($A41,Di!$F$42:$AQ$42,0),100),IFERROR(MATCH($A41,Di!$F$43:$AQ$43,0),100),IFERROR(MATCH($A41,Di!$F$44:$AQ$44,0),100),IFERROR(MATCH($A41,Di!$F$45:$AQ$45,0),100),IFERROR(MATCH($A41,Di!$F$46:$AQ$46,0),100),IFERROR(MATCH($A41,Di!$F$47:$AQ$47,0),100),IFERROR(MATCH($A41,Di!$F$48:$AQ$48,0),100),IFERROR(MATCH($A41,Di!$F$49:$AQ$49,0),100),IFERROR(MATCH($A41,Di!$F$50:$AQ$50,0),100),IFERROR(MATCH($A41,Di!$F$51:$AQ$51,0),100),IFERROR(MATCH($A41,Di!$F$52:$AQ$52,0),100),IFERROR(MATCH($A41,Di!$F$53:$AQ$53,0),100),IFERROR(MATCH($A41,Di!$F$54:$AQ$54,0),100),IFERROR(MATCH($A41,Di!$F$55:$AQ$55,0),100),IFERROR(MATCH($A41,Di!$F$56:$AQ$56,0),100),IFERROR(MATCH($A41,Di!$F$57:$AQ$57,0),100),IFERROR(MATCH($A41,Di!$F$58:$AQ$58,0),100),IFERROR(MATCH($A41,Di!$F$59:$AQ$59,0),100),IFERROR(MATCH($A41,Di!$F$60:$AQ$60,0),100),IFERROR(MATCH($A41,Di!$F$61:$AQ$61,0),100),IFERROR(MATCH($A41,Di!$F$62:$AQ$62,0),100),IFERROR(MATCH($A41,Di!$F$63:$AQ$63,0),100),39)</f>
        <v/>
      </c>
      <c r="F41" s="66">
        <f>IFERROR(IF(VLOOKUP(INDEX(Di!$B$12:$B$63,MATCH($A41,OFFSET( Di!$F$12:$F$63,0,(E41*48)-(IF(E41=7/24,9,IF(E41=12.5/24,9,IF(E41=14/24,9,IF(E41=15.5/24,9,10)))))),0),0),Di!$B$13:$C$63,2,FALSE)="TL","",INDEX(Di!$B$12:$B$63,MATCH($A41,OFFSET( Di!$F$12:$F$63,0,(E41*48)-(IF(E41=7/24,9,IF(E41=12.5/24,9,IF(E41=14/24,9,IF(E41=15.5/24,9,10)))))),0),0)),"")</f>
        <v/>
      </c>
      <c r="G41" s="857">
        <f>9/48+(1/48)*MIN(IFERROR(MATCH($A41,Wo!$F$13:$AQ$13,0),100),IFERROR(MATCH($A41,Wo!$F$14:$AQ$14,0),100),IFERROR(MATCH($A41,Wo!$F$15:$AQ$15,0),100),IFERROR(MATCH($A41,Wo!$F$16:$AQ$16,0),100),IFERROR(MATCH($A41,Wo!$F$17:$AQ$17,0),100),IFERROR(MATCH($A41,Wo!$F$18:$AQ$18,0),100),IFERROR(MATCH($A41,Wo!$F$19:$AQ$19,0),100),IFERROR(MATCH($A41,Wo!$F$20:$AQ$20,0),100),IFERROR(MATCH($A41,Wo!$F$21:$AQ$21,0),100),IFERROR(MATCH($A41,Wo!$F$22:$AQ$22,0),100),IFERROR(MATCH($A41,Wo!$F$23:$AQ$23,0),100),IFERROR(MATCH($A41,Wo!$F$24:$AQ$24,0),100),IFERROR(MATCH($A41,Wo!$F$25:$AQ$25,0),100),IFERROR(MATCH($A41,Wo!$F$26:$AQ$26,0),100),IFERROR(MATCH($A41,Wo!$F$27:$AQ$27,0),100),IFERROR(MATCH($A41,Wo!$F$28:$AQ$28,0),100),IFERROR(MATCH($A41,Wo!$F$29:$AQ$29,0),100),IFERROR(MATCH($A41,Wo!$F$30:$AQ$30,0),100),IFERROR(MATCH($A41,Wo!$F$31:$AQ$31,0),100),IFERROR(MATCH($A41,Wo!$F$32:$AQ$32,0),100),IFERROR(MATCH($A41,Wo!$F$33:$AQ$33,0),100),IFERROR(MATCH($A41,Wo!$F$34:$AQ$34,0),100),IFERROR(MATCH($A41,Wo!$F$35:$AQ$35,0),100),IFERROR(MATCH($A41,Wo!$F$36:$AQ$36,0),100),IFERROR(MATCH($A41,Wo!$F$37:$AQ$37,0),100),IFERROR(MATCH($A41,Wo!$F$38:$AQ$38,0),100),IFERROR(MATCH($A41,Wo!$F$39:$AQ$39,0),100),IFERROR(MATCH($A41,Wo!$F$40:$AQ$40,0),100),IFERROR(MATCH($A41,Wo!$F$41:$AQ$41,0),100),IFERROR(MATCH($A41,Wo!$F$42:$AQ$42,0),100),IFERROR(MATCH($A41,Wo!$F$43:$AQ$43,0),100),IFERROR(MATCH($A41,Wo!$F$44:$AQ$44,0),100),IFERROR(MATCH($A41,Wo!$F$45:$AQ$45,0),100),IFERROR(MATCH($A41,Wo!$F$46:$AQ$46,0),100),IFERROR(MATCH($A41,Wo!$F$47:$AQ$47,0),100),IFERROR(MATCH($A41,Wo!$F$48:$AQ$48,0),100),IFERROR(MATCH($A41,Wo!$F$49:$AQ$49,0),100),IFERROR(MATCH($A41,Wo!$F$50:$AQ$50,0),100),IFERROR(MATCH($A41,Wo!$F$51:$AQ$51,0),100),IFERROR(MATCH($A41,Wo!$F$52:$AQ$52,0),100),IFERROR(MATCH($A41,Wo!$F$53:$AQ$53,0),100),IFERROR(MATCH($A41,Wo!$F$54:$AQ$54,0),100),IFERROR(MATCH($A41,Wo!$F$55:$AQ$55,0),100),IFERROR(MATCH($A41,Wo!$F$56:$AQ$56,0),100),IFERROR(MATCH($A41,Wo!$F$57:$AQ$57,0),100),IFERROR(MATCH($A41,Wo!$F$58:$AQ$58,0),100),IFERROR(MATCH($A41,Wo!$F$59:$AQ$59,0),100),IFERROR(MATCH($A41,Wo!$F$60:$AQ$60,0),100),IFERROR(MATCH($A41,Wo!$F$61:$AQ$61,0),100),IFERROR(MATCH($A41,Wo!$F$62:$AQ$62,0),100),IFERROR(MATCH($A41,Wo!$F$63:$AQ$63,0),100),39)</f>
        <v/>
      </c>
      <c r="H41" s="66">
        <f>IFERROR(IF(VLOOKUP(INDEX(Wo!$B$12:$B$63,MATCH($A41,OFFSET( Wo!$F$12:$F$63,0,(G41*48)-(IF(G41=7/24,9,IF(G41=12.5/24,9,IF(G41=14/24,9,IF(G41=15.5/24,9,10)))))),0),0),Wo!$B$13:$C$63,2,FALSE)="TL","",INDEX(Wo!$B$12:$B$63,MATCH($A41,OFFSET( Wo!$F$12:$F$63,0,(G41*48)-(IF(G41=7/24,9,IF(G41=12.5/24,9,IF(G41=14/24,9,IF(G41=15.5/24,9,10)))))),0),0)),"")</f>
        <v/>
      </c>
      <c r="I41" s="857">
        <f>9/48+(1/48)*MIN(IFERROR(MATCH($A41,Do!$F$13:$AQ$13,0),100),IFERROR(MATCH($A41,Do!$F$14:$AQ$14,0),100),IFERROR(MATCH($A41,Do!$F$15:$AQ$15,0),100),IFERROR(MATCH($A41,Do!$F$16:$AQ$16,0),100),IFERROR(MATCH($A41,Do!$F$17:$AQ$17,0),100),IFERROR(MATCH($A41,Do!$F$18:$AQ$18,0),100),IFERROR(MATCH($A41,Do!$F$19:$AQ$19,0),100),IFERROR(MATCH($A41,Do!$F$20:$AQ$20,0),100),IFERROR(MATCH($A41,Do!$F$21:$AQ$21,0),100),IFERROR(MATCH($A41,Do!$F$22:$AQ$22,0),100),IFERROR(MATCH($A41,Do!$F$23:$AQ$23,0),100),IFERROR(MATCH($A41,Do!$F$24:$AQ$24,0),100),IFERROR(MATCH($A41,Do!$F$25:$AQ$25,0),100),IFERROR(MATCH($A41,Do!$F$26:$AQ$26,0),100),IFERROR(MATCH($A41,Do!$F$27:$AQ$27,0),100),IFERROR(MATCH($A41,Do!$F$28:$AQ$28,0),100),IFERROR(MATCH($A41,Do!$F$29:$AQ$29,0),100),IFERROR(MATCH($A41,Do!$F$30:$AQ$30,0),100),IFERROR(MATCH($A41,Do!$F$31:$AQ$31,0),100),IFERROR(MATCH($A41,Do!$F$32:$AQ$32,0),100),IFERROR(MATCH($A41,Do!$F$33:$AQ$33,0),100),IFERROR(MATCH($A41,Do!$F$34:$AQ$34,0),100),IFERROR(MATCH($A41,Do!$F$35:$AQ$35,0),100),IFERROR(MATCH($A41,Do!$F$36:$AQ$36,0),100),IFERROR(MATCH($A41,Do!$F$37:$AQ$37,0),100),IFERROR(MATCH($A41,Do!$F$38:$AQ$38,0),100),IFERROR(MATCH($A41,Do!$F$39:$AQ$39,0),100),IFERROR(MATCH($A41,Do!$F$40:$AQ$40,0),100),IFERROR(MATCH($A41,Do!$F$41:$AQ$41,0),100),IFERROR(MATCH($A41,Do!$F$42:$AQ$42,0),100),IFERROR(MATCH($A41,Do!$F$43:$AQ$43,0),100),IFERROR(MATCH($A41,Do!$F$44:$AQ$44,0),100),IFERROR(MATCH($A41,Do!$F$45:$AQ$45,0),100),IFERROR(MATCH($A41,Do!$F$46:$AQ$46,0),100),IFERROR(MATCH($A41,Do!$F$47:$AQ$47,0),100),IFERROR(MATCH($A41,Do!$F$48:$AQ$48,0),100),IFERROR(MATCH($A41,Do!$F$49:$AQ$49,0),100),IFERROR(MATCH($A41,Do!$F$50:$AQ$50,0),100),IFERROR(MATCH($A41,Do!$F$51:$AQ$51,0),100),IFERROR(MATCH($A41,Do!$F$52:$AQ$52,0),100),IFERROR(MATCH($A41,Do!$F$53:$AQ$53,0),100),IFERROR(MATCH($A41,Do!$F$54:$AQ$54,0),100),IFERROR(MATCH($A41,Do!$F$55:$AQ$55,0),100),IFERROR(MATCH($A41,Do!$F$56:$AQ$56,0),100),IFERROR(MATCH($A41,Do!$F$57:$AQ$57,0),100),IFERROR(MATCH($A41,Do!$F$58:$AQ$58,0),100),IFERROR(MATCH($A41,Do!$F$59:$AQ$59,0),100),IFERROR(MATCH($A41,Do!$F$60:$AQ$60,0),100),IFERROR(MATCH($A41,Do!$F$61:$AQ$61,0),100),IFERROR(MATCH($A41,Do!$F$62:$AQ$62,0),100),IFERROR(MATCH($A41,Do!$F$63:$AQ$63,0),100),39)</f>
        <v/>
      </c>
      <c r="J41" s="66">
        <f>IFERROR(IF(VLOOKUP(INDEX(Do!$B$12:$B$63,MATCH($A41,OFFSET( Do!$F$12:$F$63,0,(I41*48)-(IF(I41=7/24,9,IF(I41=12.5/24,9,IF(I41=14/24,9,IF(I41=15.5/24,9,10)))))),0),0),Do!$B$13:$C$63,2,FALSE)="TL","",INDEX(Do!$B$12:$B$63,MATCH($A41,OFFSET( Do!$F$12:$F$63,0,(I41*48)-(IF(I41=7/24,9,IF(I41=12.5/24,9,IF(I41=14/24,9,IF(I41=15.5/24,9,10)))))),0),0)),"")</f>
        <v/>
      </c>
      <c r="K41" s="857">
        <f>9/48+(1/48)*MIN(IFERROR(MATCH($A41,Vr!$F$13:$AQ$13,0),100),IFERROR(MATCH($A41,Vr!$F$14:$AQ$14,0),100),IFERROR(MATCH($A41,Vr!$F$15:$AQ$15,0),100),IFERROR(MATCH($A41,Vr!$F$16:$AQ$16,0),100),IFERROR(MATCH($A41,Vr!$F$17:$AQ$17,0),100),IFERROR(MATCH($A41,Vr!$F$18:$AQ$18,0),100),IFERROR(MATCH($A41,Vr!$F$19:$AQ$19,0),100),IFERROR(MATCH($A41,Vr!$F$20:$AQ$20,0),100),IFERROR(MATCH($A41,Vr!$F$21:$AQ$21,0),100),IFERROR(MATCH($A41,Vr!$F$22:$AQ$22,0),100),IFERROR(MATCH($A41,Vr!$F$23:$AQ$23,0),100),IFERROR(MATCH($A41,Vr!$F$24:$AQ$24,0),100),IFERROR(MATCH($A41,Vr!$F$25:$AQ$25,0),100),IFERROR(MATCH($A41,Vr!$F$26:$AQ$26,0),100),IFERROR(MATCH($A41,Vr!$F$27:$AQ$27,0),100),IFERROR(MATCH($A41,Vr!$F$28:$AQ$28,0),100),IFERROR(MATCH($A41,Vr!$F$29:$AQ$29,0),100),IFERROR(MATCH($A41,Vr!$F$30:$AQ$30,0),100),IFERROR(MATCH($A41,Vr!$F$31:$AQ$31,0),100),IFERROR(MATCH($A41,Vr!$F$32:$AQ$32,0),100),IFERROR(MATCH($A41,Vr!$F$33:$AQ$33,0),100),IFERROR(MATCH($A41,Vr!$F$34:$AQ$34,0),100),IFERROR(MATCH($A41,Vr!$F$35:$AQ$35,0),100),IFERROR(MATCH($A41,Vr!$F$36:$AQ$36,0),100),IFERROR(MATCH($A41,Vr!$F$37:$AQ$37,0),100),IFERROR(MATCH($A41,Vr!$F$38:$AQ$38,0),100),IFERROR(MATCH($A41,Vr!$F$39:$AQ$39,0),100),IFERROR(MATCH($A41,Vr!$F$40:$AQ$40,0),100),IFERROR(MATCH($A41,Vr!$F$41:$AQ$41,0),100),IFERROR(MATCH($A41,Vr!$F$42:$AQ$42,0),100),IFERROR(MATCH($A41,Vr!$F$43:$AQ$43,0),100),IFERROR(MATCH($A41,Vr!$F$44:$AQ$44,0),100),IFERROR(MATCH($A41,Vr!$F$45:$AQ$45,0),100),IFERROR(MATCH($A41,Vr!$F$46:$AQ$46,0),100),IFERROR(MATCH($A41,Vr!$F$47:$AQ$47,0),100),IFERROR(MATCH($A41,Vr!$F$48:$AQ$48,0),100),IFERROR(MATCH($A41,Vr!$F$49:$AQ$49,0),100),IFERROR(MATCH($A41,Vr!$F$50:$AQ$50,0),100),IFERROR(MATCH($A41,Vr!$F$51:$AQ$51,0),100),IFERROR(MATCH($A41,Vr!$F$52:$AQ$52,0),100),IFERROR(MATCH($A41,Vr!$F$53:$AQ$53,0),100),IFERROR(MATCH($A41,Vr!$F$54:$AQ$54,0),100),IFERROR(MATCH($A41,Vr!$F$55:$AQ$55,0),100),IFERROR(MATCH($A41,Vr!$F$56:$AQ$56,0),100),IFERROR(MATCH($A41,Vr!$F$57:$AQ$57,0),100),IFERROR(MATCH($A41,Vr!$F$58:$AQ$58,0),100),IFERROR(MATCH($A41,Vr!$F$59:$AQ$59,0),100),IFERROR(MATCH($A41,Vr!$F$60:$AQ$60,0),100),IFERROR(MATCH($A41,Vr!$F$61:$AQ$61,0),100),IFERROR(MATCH($A41,Vr!$F$62:$AQ$62,0),100),IFERROR(MATCH($A41,Vr!$F$63:$AQ$63,0),100),39)</f>
        <v/>
      </c>
      <c r="L41" s="66">
        <f>IFERROR(IF(VLOOKUP(INDEX(Vr!$B$12:$B$63,MATCH($A41,OFFSET( Vr!$F$12:$F$63,0,(K41*48)-(IF(K41=7/24,9,IF(K41=12.5/24,9,IF(K41=14/24,9,IF(K41=15.5/24,9,10)))))),0),0),Vr!$B$13:$C$63,2,FALSE)="TL","",INDEX(Vr!$B$12:$B$63,MATCH($A41,OFFSET( Vr!$F$12:$F$63,0,(K41*48)-(IF(K41=7/24,9,IF(K41=12.5/24,9,IF(K41=14/24,9,IF(K41=15.5/24,9,10)))))),0),0)),"")</f>
        <v/>
      </c>
      <c r="M41" s="857">
        <f>9/48+(1/48)*MIN(IFERROR(MATCH($A41,Za!$F$13:$AQ$13,0),100),IFERROR(MATCH($A41,Za!$F$14:$AQ$14,0),100),IFERROR(MATCH($A41,Za!$F$15:$AQ$15,0),100),IFERROR(MATCH($A41,Za!$F$16:$AQ$16,0),100),IFERROR(MATCH($A41,Za!$F$17:$AQ$17,0),100),IFERROR(MATCH($A41,Za!$F$18:$AQ$18,0),100),IFERROR(MATCH($A41,Za!$F$19:$AQ$19,0),100),IFERROR(MATCH($A41,Za!$F$20:$AQ$20,0),100),IFERROR(MATCH($A41,Za!$F$21:$AQ$21,0),100),IFERROR(MATCH($A41,Za!$F$22:$AQ$22,0),100),IFERROR(MATCH($A41,Za!$F$23:$AQ$23,0),100),IFERROR(MATCH($A41,Za!$F$24:$AQ$24,0),100),IFERROR(MATCH($A41,Za!$F$25:$AQ$25,0),100),IFERROR(MATCH($A41,Za!$F$26:$AQ$26,0),100),IFERROR(MATCH($A41,Za!$F$27:$AQ$27,0),100),IFERROR(MATCH($A41,Za!$F$28:$AQ$28,0),100),IFERROR(MATCH($A41,Za!$F$29:$AQ$29,0),100),IFERROR(MATCH($A41,Za!$F$30:$AQ$30,0),100),IFERROR(MATCH($A41,Za!$F$31:$AQ$31,0),100),IFERROR(MATCH($A41,Za!$F$32:$AQ$32,0),100),IFERROR(MATCH($A41,Za!$F$33:$AQ$33,0),100),IFERROR(MATCH($A41,Za!$F$34:$AQ$34,0),100),IFERROR(MATCH($A41,Za!$F$35:$AQ$35,0),100),IFERROR(MATCH($A41,Za!$F$36:$AQ$36,0),100),IFERROR(MATCH($A41,Za!$F$37:$AQ$37,0),100),IFERROR(MATCH($A41,Za!$F$38:$AQ$38,0),100),IFERROR(MATCH($A41,Za!$F$39:$AQ$39,0),100),IFERROR(MATCH($A41,Za!$F$40:$AQ$40,0),100),IFERROR(MATCH($A41,Za!$F$41:$AQ$41,0),100),IFERROR(MATCH($A41,Za!$F$42:$AQ$42,0),100),IFERROR(MATCH($A41,Za!$F$43:$AQ$43,0),100),IFERROR(MATCH($A41,Za!$F$44:$AQ$44,0),100),IFERROR(MATCH($A41,Za!$F$45:$AQ$45,0),100),IFERROR(MATCH($A41,Za!$F$46:$AQ$46,0),100),IFERROR(MATCH($A41,Za!$F$47:$AQ$47,0),100),IFERROR(MATCH($A41,Za!$F$48:$AQ$48,0),100),IFERROR(MATCH($A41,Za!$F$49:$AQ$49,0),100),IFERROR(MATCH($A41,Za!$F$50:$AQ$50,0),100),IFERROR(MATCH($A41,Za!$F$51:$AQ$51,0),100),IFERROR(MATCH($A41,Za!$F$52:$AQ$52,0),100),IFERROR(MATCH($A41,Za!$F$53:$AQ$53,0),100),IFERROR(MATCH($A41,Za!$F$54:$AQ$54,0),100),IFERROR(MATCH($A41,Za!$F$55:$AQ$55,0),100),IFERROR(MATCH($A41,Za!$F$56:$AQ$56,0),100),IFERROR(MATCH($A41,Za!$F$57:$AQ$57,0),100),IFERROR(MATCH($A41,Za!$F$58:$AQ$58,0),100),IFERROR(MATCH($A41,Za!$F$59:$AQ$59,0),100),IFERROR(MATCH($A41,Za!$F$60:$AQ$60,0),100),IFERROR(MATCH($A41,Za!$F$61:$AQ$61,0),100),IFERROR(MATCH($A41,Za!$F$62:$AQ$62,0),100),IFERROR(MATCH($A41,Za!$F$63:$AQ$63,0),100),39)</f>
        <v/>
      </c>
      <c r="N41" s="66">
        <f>IFERROR(IF(VLOOKUP(INDEX(Za!$B$12:$B$63,MATCH($A41,OFFSET( Za!$F$12:$F$63,0,(M41*48)-(IF(M41=7/24,9,IF(M41=12.5/24,9,IF(M41=14/24,9,IF(M41=15.5/24,9,10)))))),0),0),Za!$B$13:$C$63,2,FALSE)="TL","",INDEX(Za!$B$12:$B$63,MATCH($A41,OFFSET( Za!$F$12:$F$63,0,(M41*48)-(IF(M41=7/24,9,IF(M41=12.5/24,9,IF(M41=14/24,9,IF(M41=15.5/24,9,10)))))),0),0)),"")</f>
        <v/>
      </c>
      <c r="O41" s="857">
        <f>9/48+(1/48)*MIN(IFERROR(MATCH($A41,Zo!$F$13:$AQ$13,0),100),IFERROR(MATCH($A41,Zo!$F$14:$AQ$14,0),100),IFERROR(MATCH($A41,Zo!$F$15:$AQ$15,0),100),IFERROR(MATCH($A41,Zo!$F$16:$AQ$16,0),100),IFERROR(MATCH($A41,Zo!$F$17:$AQ$17,0),100),IFERROR(MATCH($A41,Zo!$F$18:$AQ$18,0),100),IFERROR(MATCH($A41,Zo!$F$19:$AQ$19,0),100),IFERROR(MATCH($A41,Zo!$F$20:$AQ$20,0),100),IFERROR(MATCH($A41,Zo!$F$21:$AQ$21,0),100),IFERROR(MATCH($A41,Zo!$F$22:$AQ$22,0),100),IFERROR(MATCH($A41,Zo!$F$23:$AQ$23,0),100),IFERROR(MATCH($A41,Zo!$F$24:$AQ$24,0),100),IFERROR(MATCH($A41,Zo!$F$25:$AQ$25,0),100),IFERROR(MATCH($A41,Zo!$F$26:$AQ$26,0),100),IFERROR(MATCH($A41,Zo!$F$27:$AQ$27,0),100),IFERROR(MATCH($A41,Zo!$F$28:$AQ$28,0),100),IFERROR(MATCH($A41,Zo!$F$29:$AQ$29,0),100),IFERROR(MATCH($A41,Zo!$F$30:$AQ$30,0),100),IFERROR(MATCH($A41,Zo!$F$31:$AQ$31,0),100),IFERROR(MATCH($A41,Zo!$F$32:$AQ$32,0),100),IFERROR(MATCH($A41,Zo!$F$33:$AQ$33,0),100),IFERROR(MATCH($A41,Zo!$F$34:$AQ$34,0),100),IFERROR(MATCH($A41,Zo!$F$35:$AQ$35,0),100),IFERROR(MATCH($A41,Zo!$F$36:$AQ$36,0),100),IFERROR(MATCH($A41,Zo!$F$37:$AQ$37,0),100),IFERROR(MATCH($A41,Zo!$F$38:$AQ$38,0),100),IFERROR(MATCH($A41,Zo!$F$39:$AQ$39,0),100),IFERROR(MATCH($A41,Zo!$F$40:$AQ$40,0),100),IFERROR(MATCH($A41,Zo!$F$41:$AQ$41,0),100),IFERROR(MATCH($A41,Zo!$F$42:$AQ$42,0),100),IFERROR(MATCH($A41,Zo!$F$43:$AQ$43,0),100),IFERROR(MATCH($A41,Zo!$F$44:$AQ$44,0),100),IFERROR(MATCH($A41,Zo!$F$45:$AQ$45,0),100),IFERROR(MATCH($A41,Zo!$F$46:$AQ$46,0),100),IFERROR(MATCH($A41,Zo!$F$47:$AQ$47,0),100),IFERROR(MATCH($A41,Zo!$F$48:$AQ$48,0),100),IFERROR(MATCH($A41,Zo!$F$49:$AQ$49,0),100),IFERROR(MATCH($A41,Zo!$F$50:$AQ$50,0),100),IFERROR(MATCH($A41,Zo!$F$51:$AQ$51,0),100),IFERROR(MATCH($A41,Zo!$F$52:$AQ$52,0),100),IFERROR(MATCH($A41,Zo!$F$53:$AQ$53,0),100),IFERROR(MATCH($A41,Zo!$F$54:$AQ$54,0),100),IFERROR(MATCH($A41,Zo!$F$55:$AQ$55,0),100),IFERROR(MATCH($A41,Zo!$F$56:$AQ$56,0),100),IFERROR(MATCH($A41,Zo!$F$57:$AQ$57,0),100),IFERROR(MATCH($A41,Zo!$F$58:$AQ$58,0),100),IFERROR(MATCH($A41,Zo!$F$59:$AQ$59,0),100),IFERROR(MATCH($A41,Zo!$F$60:$AQ$60,0),100),IFERROR(MATCH($A41,Zo!$F$61:$AQ$61,0),100),IFERROR(MATCH($A41,Zo!$F$62:$AQ$62,0),100),IFERROR(MATCH($A41,Zo!$F$63:$AQ$63,0),100),39)</f>
        <v/>
      </c>
      <c r="P41" s="66">
        <f>IFERROR(IF(VLOOKUP(INDEX(Zo!$B$12:$B$63,MATCH($A41,OFFSET( Zo!$F$12:$F$63,0,(O41*48)-(IF(O41=7/24,9,IF(O41=12.5/24,9,IF(O41=14/24,9,IF(O41=15.5/24,9,10)))))),0),0),Zo!$B$13:$C$63,2,FALSE)="TL","",INDEX(Zo!$B$12:$B$63,MATCH($A41,OFFSET( Zo!$F$12:$F$63,0,(O41*48)-(IF(O41=7/24,9,IF(O41=12.5/24,9,IF(O41=14/24,9,IF(O41=15.5/24,9,10)))))),0),0)),"")</f>
        <v/>
      </c>
    </row>
    <row r="42" ht="15" customHeight="1">
      <c r="A42" s="66">
        <f>IF(Wo!AY59="",leeg,Wo!AY59)</f>
        <v/>
      </c>
      <c r="B42" s="67">
        <f>A42</f>
        <v/>
      </c>
      <c r="C42" s="857">
        <f>9/48+(1/48)*MIN(IFERROR(MATCH($A42,Ma!$F$13:$AQ$13,0),100),IFERROR(MATCH($A42,Ma!$F$14:$AQ$14,0),100),IFERROR(MATCH($A42,Ma!$F$15:$AQ$15,0),100),IFERROR(MATCH($A42,Ma!$F$16:$AQ$16,0),100),IFERROR(MATCH($A42,Ma!$F$17:$AQ$17,0),100),IFERROR(MATCH($A42,Ma!$F$18:$AQ$18,0),100),IFERROR(MATCH($A42,Ma!$F$19:$AQ$19,0),100),IFERROR(MATCH($A42,Ma!$F$20:$AQ$20,0),100),IFERROR(MATCH($A42,Ma!$F$21:$AQ$21,0),100),IFERROR(MATCH($A42,Ma!$F$22:$AQ$22,0),100),IFERROR(MATCH($A42,Ma!$F$23:$AQ$23,0),100),IFERROR(MATCH($A42,Ma!$F$24:$AQ$24,0),100),IFERROR(MATCH($A42,Ma!$F$25:$AQ$25,0),100),IFERROR(MATCH($A42,Ma!$F$26:$AQ$26,0),100),IFERROR(MATCH($A42,Ma!$F$27:$AQ$27,0),100),IFERROR(MATCH($A42,Ma!$F$28:$AQ$28,0),100),IFERROR(MATCH($A42,Ma!$F$29:$AQ$29,0),100),IFERROR(MATCH($A42,Ma!$F$30:$AQ$30,0),100),IFERROR(MATCH($A42,Ma!$F$31:$AQ$31,0),100),IFERROR(MATCH($A42,Ma!$F$32:$AQ$32,0),100),IFERROR(MATCH($A42,Ma!$F$33:$AQ$33,0),100),IFERROR(MATCH($A42,Ma!$F$34:$AQ$34,0),100),IFERROR(MATCH($A42,Ma!$F$35:$AQ$35,0),100),IFERROR(MATCH($A42,Ma!$F$36:$AQ$36,0),100),IFERROR(MATCH($A42,Ma!$F$37:$AQ$37,0),100),IFERROR(MATCH($A42,Ma!$F$38:$AQ$38,0),100),IFERROR(MATCH($A42,Ma!$F$39:$AQ$39,0),100),IFERROR(MATCH($A42,Ma!$F$40:$AQ$40,0),100),IFERROR(MATCH($A42,Ma!$F$41:$AQ$41,0),100),IFERROR(MATCH($A42,Ma!$F$42:$AQ$42,0),100),IFERROR(MATCH($A42,Ma!$F$43:$AQ$43,0),100),IFERROR(MATCH($A42,Ma!$F$44:$AQ$44,0),100),IFERROR(MATCH($A42,Ma!$F$45:$AQ$45,0),100),IFERROR(MATCH($A42,Ma!$F$46:$AQ$46,0),100),IFERROR(MATCH($A42,Ma!$F$47:$AQ$47,0),100),IFERROR(MATCH($A42,Ma!$F$48:$AQ$48,0),100),IFERROR(MATCH($A42,Ma!$F$49:$AQ$49,0),100),IFERROR(MATCH($A42,Ma!$F$50:$AQ$50,0),100),IFERROR(MATCH($A42,Ma!$F$51:$AQ$51,0),100),IFERROR(MATCH($A42,Ma!$F$52:$AQ$52,0),100),IFERROR(MATCH($A42,Ma!$F$53:$AQ$53,0),100),IFERROR(MATCH($A42,Ma!$F$54:$AQ$54,0),100),IFERROR(MATCH($A42,Ma!$F$55:$AQ$55,0),100),IFERROR(MATCH($A42,Ma!$F$56:$AQ$56,0),100),IFERROR(MATCH($A42,Ma!$F$57:$AQ$57,0),100),IFERROR(MATCH($A42,Ma!$F$58:$AQ$58,0),100),IFERROR(MATCH($A42,Ma!$F$59:$AQ$59,0),100),IFERROR(MATCH($A42,Ma!$F$60:$AQ$60,0),100),IFERROR(MATCH($A42,Ma!$F$61:$AQ$61,0),100),IFERROR(MATCH($A42,Ma!$F$62:$AQ$62,0),100),IFERROR(MATCH($A42,Ma!$F$63:$AQ$63,0),100),39)</f>
        <v/>
      </c>
      <c r="D42" s="66">
        <f>IFERROR(IF(VLOOKUP(INDEX(Ma!$B$12:$B$63,MATCH($A42,OFFSET( Ma!$F$12:$F$63,0,(C42*48)-(IF(C42=7/24,9,IF(C42=12.5/24,9,IF(C42=14/24,9,IF(C42=15.5/24,9,10)))))),0),0),Ma!$B$13:$C$63,2,FALSE)="TL","",INDEX(Ma!$B$12:$B$63,MATCH($A42,OFFSET( Ma!$F$12:$F$63,0,(C42*48)-(IF(C42=7/24,9,IF(C42=12.5/24,9,IF(C42=14/24,9,IF(C42=15.5/24,9,10)))))),0),0)),"")</f>
        <v/>
      </c>
      <c r="E42" s="857">
        <f>9/48+(1/48)*MIN(IFERROR(MATCH($A42,Di!$F$13:$AQ$13,0),100),IFERROR(MATCH($A42,Di!$F$14:$AQ$14,0),100),IFERROR(MATCH($A42,Di!$F$15:$AQ$15,0),100),IFERROR(MATCH($A42,Di!$F$16:$AQ$16,0),100),IFERROR(MATCH($A42,Di!$F$17:$AQ$17,0),100),IFERROR(MATCH($A42,Di!$F$18:$AQ$18,0),100),IFERROR(MATCH($A42,Di!$F$19:$AQ$19,0),100),IFERROR(MATCH($A42,Di!$F$20:$AQ$20,0),100),IFERROR(MATCH($A42,Di!$F$21:$AQ$21,0),100),IFERROR(MATCH($A42,Di!$F$22:$AQ$22,0),100),IFERROR(MATCH($A42,Di!$F$23:$AQ$23,0),100),IFERROR(MATCH($A42,Di!$F$24:$AQ$24,0),100),IFERROR(MATCH($A42,Di!$F$25:$AQ$25,0),100),IFERROR(MATCH($A42,Di!$F$26:$AQ$26,0),100),IFERROR(MATCH($A42,Di!$F$27:$AQ$27,0),100),IFERROR(MATCH($A42,Di!$F$28:$AQ$28,0),100),IFERROR(MATCH($A42,Di!$F$29:$AQ$29,0),100),IFERROR(MATCH($A42,Di!$F$30:$AQ$30,0),100),IFERROR(MATCH($A42,Di!$F$31:$AQ$31,0),100),IFERROR(MATCH($A42,Di!$F$32:$AQ$32,0),100),IFERROR(MATCH($A42,Di!$F$33:$AQ$33,0),100),IFERROR(MATCH($A42,Di!$F$34:$AQ$34,0),100),IFERROR(MATCH($A42,Di!$F$35:$AQ$35,0),100),IFERROR(MATCH($A42,Di!$F$36:$AQ$36,0),100),IFERROR(MATCH($A42,Di!$F$37:$AQ$37,0),100),IFERROR(MATCH($A42,Di!$F$38:$AQ$38,0),100),IFERROR(MATCH($A42,Di!$F$39:$AQ$39,0),100),IFERROR(MATCH($A42,Di!$F$40:$AQ$40,0),100),IFERROR(MATCH($A42,Di!$F$41:$AQ$41,0),100),IFERROR(MATCH($A42,Di!$F$42:$AQ$42,0),100),IFERROR(MATCH($A42,Di!$F$43:$AQ$43,0),100),IFERROR(MATCH($A42,Di!$F$44:$AQ$44,0),100),IFERROR(MATCH($A42,Di!$F$45:$AQ$45,0),100),IFERROR(MATCH($A42,Di!$F$46:$AQ$46,0),100),IFERROR(MATCH($A42,Di!$F$47:$AQ$47,0),100),IFERROR(MATCH($A42,Di!$F$48:$AQ$48,0),100),IFERROR(MATCH($A42,Di!$F$49:$AQ$49,0),100),IFERROR(MATCH($A42,Di!$F$50:$AQ$50,0),100),IFERROR(MATCH($A42,Di!$F$51:$AQ$51,0),100),IFERROR(MATCH($A42,Di!$F$52:$AQ$52,0),100),IFERROR(MATCH($A42,Di!$F$53:$AQ$53,0),100),IFERROR(MATCH($A42,Di!$F$54:$AQ$54,0),100),IFERROR(MATCH($A42,Di!$F$55:$AQ$55,0),100),IFERROR(MATCH($A42,Di!$F$56:$AQ$56,0),100),IFERROR(MATCH($A42,Di!$F$57:$AQ$57,0),100),IFERROR(MATCH($A42,Di!$F$58:$AQ$58,0),100),IFERROR(MATCH($A42,Di!$F$59:$AQ$59,0),100),IFERROR(MATCH($A42,Di!$F$60:$AQ$60,0),100),IFERROR(MATCH($A42,Di!$F$61:$AQ$61,0),100),IFERROR(MATCH($A42,Di!$F$62:$AQ$62,0),100),IFERROR(MATCH($A42,Di!$F$63:$AQ$63,0),100),39)</f>
        <v/>
      </c>
      <c r="F42" s="66">
        <f>IFERROR(IF(VLOOKUP(INDEX(Di!$B$12:$B$63,MATCH($A42,OFFSET( Di!$F$12:$F$63,0,(E42*48)-(IF(E42=7/24,9,IF(E42=12.5/24,9,IF(E42=14/24,9,IF(E42=15.5/24,9,10)))))),0),0),Di!$B$13:$C$63,2,FALSE)="TL","",INDEX(Di!$B$12:$B$63,MATCH($A42,OFFSET( Di!$F$12:$F$63,0,(E42*48)-(IF(E42=7/24,9,IF(E42=12.5/24,9,IF(E42=14/24,9,IF(E42=15.5/24,9,10)))))),0),0)),"")</f>
        <v/>
      </c>
      <c r="G42" s="857">
        <f>9/48+(1/48)*MIN(IFERROR(MATCH($A42,Wo!$F$13:$AQ$13,0),100),IFERROR(MATCH($A42,Wo!$F$14:$AQ$14,0),100),IFERROR(MATCH($A42,Wo!$F$15:$AQ$15,0),100),IFERROR(MATCH($A42,Wo!$F$16:$AQ$16,0),100),IFERROR(MATCH($A42,Wo!$F$17:$AQ$17,0),100),IFERROR(MATCH($A42,Wo!$F$18:$AQ$18,0),100),IFERROR(MATCH($A42,Wo!$F$19:$AQ$19,0),100),IFERROR(MATCH($A42,Wo!$F$20:$AQ$20,0),100),IFERROR(MATCH($A42,Wo!$F$21:$AQ$21,0),100),IFERROR(MATCH($A42,Wo!$F$22:$AQ$22,0),100),IFERROR(MATCH($A42,Wo!$F$23:$AQ$23,0),100),IFERROR(MATCH($A42,Wo!$F$24:$AQ$24,0),100),IFERROR(MATCH($A42,Wo!$F$25:$AQ$25,0),100),IFERROR(MATCH($A42,Wo!$F$26:$AQ$26,0),100),IFERROR(MATCH($A42,Wo!$F$27:$AQ$27,0),100),IFERROR(MATCH($A42,Wo!$F$28:$AQ$28,0),100),IFERROR(MATCH($A42,Wo!$F$29:$AQ$29,0),100),IFERROR(MATCH($A42,Wo!$F$30:$AQ$30,0),100),IFERROR(MATCH($A42,Wo!$F$31:$AQ$31,0),100),IFERROR(MATCH($A42,Wo!$F$32:$AQ$32,0),100),IFERROR(MATCH($A42,Wo!$F$33:$AQ$33,0),100),IFERROR(MATCH($A42,Wo!$F$34:$AQ$34,0),100),IFERROR(MATCH($A42,Wo!$F$35:$AQ$35,0),100),IFERROR(MATCH($A42,Wo!$F$36:$AQ$36,0),100),IFERROR(MATCH($A42,Wo!$F$37:$AQ$37,0),100),IFERROR(MATCH($A42,Wo!$F$38:$AQ$38,0),100),IFERROR(MATCH($A42,Wo!$F$39:$AQ$39,0),100),IFERROR(MATCH($A42,Wo!$F$40:$AQ$40,0),100),IFERROR(MATCH($A42,Wo!$F$41:$AQ$41,0),100),IFERROR(MATCH($A42,Wo!$F$42:$AQ$42,0),100),IFERROR(MATCH($A42,Wo!$F$43:$AQ$43,0),100),IFERROR(MATCH($A42,Wo!$F$44:$AQ$44,0),100),IFERROR(MATCH($A42,Wo!$F$45:$AQ$45,0),100),IFERROR(MATCH($A42,Wo!$F$46:$AQ$46,0),100),IFERROR(MATCH($A42,Wo!$F$47:$AQ$47,0),100),IFERROR(MATCH($A42,Wo!$F$48:$AQ$48,0),100),IFERROR(MATCH($A42,Wo!$F$49:$AQ$49,0),100),IFERROR(MATCH($A42,Wo!$F$50:$AQ$50,0),100),IFERROR(MATCH($A42,Wo!$F$51:$AQ$51,0),100),IFERROR(MATCH($A42,Wo!$F$52:$AQ$52,0),100),IFERROR(MATCH($A42,Wo!$F$53:$AQ$53,0),100),IFERROR(MATCH($A42,Wo!$F$54:$AQ$54,0),100),IFERROR(MATCH($A42,Wo!$F$55:$AQ$55,0),100),IFERROR(MATCH($A42,Wo!$F$56:$AQ$56,0),100),IFERROR(MATCH($A42,Wo!$F$57:$AQ$57,0),100),IFERROR(MATCH($A42,Wo!$F$58:$AQ$58,0),100),IFERROR(MATCH($A42,Wo!$F$59:$AQ$59,0),100),IFERROR(MATCH($A42,Wo!$F$60:$AQ$60,0),100),IFERROR(MATCH($A42,Wo!$F$61:$AQ$61,0),100),IFERROR(MATCH($A42,Wo!$F$62:$AQ$62,0),100),IFERROR(MATCH($A42,Wo!$F$63:$AQ$63,0),100),39)</f>
        <v/>
      </c>
      <c r="H42" s="66">
        <f>IFERROR(IF(VLOOKUP(INDEX(Wo!$B$12:$B$63,MATCH($A42,OFFSET( Wo!$F$12:$F$63,0,(G42*48)-(IF(G42=7/24,9,IF(G42=12.5/24,9,IF(G42=14/24,9,IF(G42=15.5/24,9,10)))))),0),0),Wo!$B$13:$C$63,2,FALSE)="TL","",INDEX(Wo!$B$12:$B$63,MATCH($A42,OFFSET( Wo!$F$12:$F$63,0,(G42*48)-(IF(G42=7/24,9,IF(G42=12.5/24,9,IF(G42=14/24,9,IF(G42=15.5/24,9,10)))))),0),0)),"")</f>
        <v/>
      </c>
      <c r="I42" s="857">
        <f>9/48+(1/48)*MIN(IFERROR(MATCH($A42,Do!$F$13:$AQ$13,0),100),IFERROR(MATCH($A42,Do!$F$14:$AQ$14,0),100),IFERROR(MATCH($A42,Do!$F$15:$AQ$15,0),100),IFERROR(MATCH($A42,Do!$F$16:$AQ$16,0),100),IFERROR(MATCH($A42,Do!$F$17:$AQ$17,0),100),IFERROR(MATCH($A42,Do!$F$18:$AQ$18,0),100),IFERROR(MATCH($A42,Do!$F$19:$AQ$19,0),100),IFERROR(MATCH($A42,Do!$F$20:$AQ$20,0),100),IFERROR(MATCH($A42,Do!$F$21:$AQ$21,0),100),IFERROR(MATCH($A42,Do!$F$22:$AQ$22,0),100),IFERROR(MATCH($A42,Do!$F$23:$AQ$23,0),100),IFERROR(MATCH($A42,Do!$F$24:$AQ$24,0),100),IFERROR(MATCH($A42,Do!$F$25:$AQ$25,0),100),IFERROR(MATCH($A42,Do!$F$26:$AQ$26,0),100),IFERROR(MATCH($A42,Do!$F$27:$AQ$27,0),100),IFERROR(MATCH($A42,Do!$F$28:$AQ$28,0),100),IFERROR(MATCH($A42,Do!$F$29:$AQ$29,0),100),IFERROR(MATCH($A42,Do!$F$30:$AQ$30,0),100),IFERROR(MATCH($A42,Do!$F$31:$AQ$31,0),100),IFERROR(MATCH($A42,Do!$F$32:$AQ$32,0),100),IFERROR(MATCH($A42,Do!$F$33:$AQ$33,0),100),IFERROR(MATCH($A42,Do!$F$34:$AQ$34,0),100),IFERROR(MATCH($A42,Do!$F$35:$AQ$35,0),100),IFERROR(MATCH($A42,Do!$F$36:$AQ$36,0),100),IFERROR(MATCH($A42,Do!$F$37:$AQ$37,0),100),IFERROR(MATCH($A42,Do!$F$38:$AQ$38,0),100),IFERROR(MATCH($A42,Do!$F$39:$AQ$39,0),100),IFERROR(MATCH($A42,Do!$F$40:$AQ$40,0),100),IFERROR(MATCH($A42,Do!$F$41:$AQ$41,0),100),IFERROR(MATCH($A42,Do!$F$42:$AQ$42,0),100),IFERROR(MATCH($A42,Do!$F$43:$AQ$43,0),100),IFERROR(MATCH($A42,Do!$F$44:$AQ$44,0),100),IFERROR(MATCH($A42,Do!$F$45:$AQ$45,0),100),IFERROR(MATCH($A42,Do!$F$46:$AQ$46,0),100),IFERROR(MATCH($A42,Do!$F$47:$AQ$47,0),100),IFERROR(MATCH($A42,Do!$F$48:$AQ$48,0),100),IFERROR(MATCH($A42,Do!$F$49:$AQ$49,0),100),IFERROR(MATCH($A42,Do!$F$50:$AQ$50,0),100),IFERROR(MATCH($A42,Do!$F$51:$AQ$51,0),100),IFERROR(MATCH($A42,Do!$F$52:$AQ$52,0),100),IFERROR(MATCH($A42,Do!$F$53:$AQ$53,0),100),IFERROR(MATCH($A42,Do!$F$54:$AQ$54,0),100),IFERROR(MATCH($A42,Do!$F$55:$AQ$55,0),100),IFERROR(MATCH($A42,Do!$F$56:$AQ$56,0),100),IFERROR(MATCH($A42,Do!$F$57:$AQ$57,0),100),IFERROR(MATCH($A42,Do!$F$58:$AQ$58,0),100),IFERROR(MATCH($A42,Do!$F$59:$AQ$59,0),100),IFERROR(MATCH($A42,Do!$F$60:$AQ$60,0),100),IFERROR(MATCH($A42,Do!$F$61:$AQ$61,0),100),IFERROR(MATCH($A42,Do!$F$62:$AQ$62,0),100),IFERROR(MATCH($A42,Do!$F$63:$AQ$63,0),100),39)</f>
        <v/>
      </c>
      <c r="J42" s="66">
        <f>IFERROR(IF(VLOOKUP(INDEX(Do!$B$12:$B$63,MATCH($A42,OFFSET( Do!$F$12:$F$63,0,(I42*48)-(IF(I42=7/24,9,IF(I42=12.5/24,9,IF(I42=14/24,9,IF(I42=15.5/24,9,10)))))),0),0),Do!$B$13:$C$63,2,FALSE)="TL","",INDEX(Do!$B$12:$B$63,MATCH($A42,OFFSET( Do!$F$12:$F$63,0,(I42*48)-(IF(I42=7/24,9,IF(I42=12.5/24,9,IF(I42=14/24,9,IF(I42=15.5/24,9,10)))))),0),0)),"")</f>
        <v/>
      </c>
      <c r="K42" s="857">
        <f>9/48+(1/48)*MIN(IFERROR(MATCH($A42,Vr!$F$13:$AQ$13,0),100),IFERROR(MATCH($A42,Vr!$F$14:$AQ$14,0),100),IFERROR(MATCH($A42,Vr!$F$15:$AQ$15,0),100),IFERROR(MATCH($A42,Vr!$F$16:$AQ$16,0),100),IFERROR(MATCH($A42,Vr!$F$17:$AQ$17,0),100),IFERROR(MATCH($A42,Vr!$F$18:$AQ$18,0),100),IFERROR(MATCH($A42,Vr!$F$19:$AQ$19,0),100),IFERROR(MATCH($A42,Vr!$F$20:$AQ$20,0),100),IFERROR(MATCH($A42,Vr!$F$21:$AQ$21,0),100),IFERROR(MATCH($A42,Vr!$F$22:$AQ$22,0),100),IFERROR(MATCH($A42,Vr!$F$23:$AQ$23,0),100),IFERROR(MATCH($A42,Vr!$F$24:$AQ$24,0),100),IFERROR(MATCH($A42,Vr!$F$25:$AQ$25,0),100),IFERROR(MATCH($A42,Vr!$F$26:$AQ$26,0),100),IFERROR(MATCH($A42,Vr!$F$27:$AQ$27,0),100),IFERROR(MATCH($A42,Vr!$F$28:$AQ$28,0),100),IFERROR(MATCH($A42,Vr!$F$29:$AQ$29,0),100),IFERROR(MATCH($A42,Vr!$F$30:$AQ$30,0),100),IFERROR(MATCH($A42,Vr!$F$31:$AQ$31,0),100),IFERROR(MATCH($A42,Vr!$F$32:$AQ$32,0),100),IFERROR(MATCH($A42,Vr!$F$33:$AQ$33,0),100),IFERROR(MATCH($A42,Vr!$F$34:$AQ$34,0),100),IFERROR(MATCH($A42,Vr!$F$35:$AQ$35,0),100),IFERROR(MATCH($A42,Vr!$F$36:$AQ$36,0),100),IFERROR(MATCH($A42,Vr!$F$37:$AQ$37,0),100),IFERROR(MATCH($A42,Vr!$F$38:$AQ$38,0),100),IFERROR(MATCH($A42,Vr!$F$39:$AQ$39,0),100),IFERROR(MATCH($A42,Vr!$F$40:$AQ$40,0),100),IFERROR(MATCH($A42,Vr!$F$41:$AQ$41,0),100),IFERROR(MATCH($A42,Vr!$F$42:$AQ$42,0),100),IFERROR(MATCH($A42,Vr!$F$43:$AQ$43,0),100),IFERROR(MATCH($A42,Vr!$F$44:$AQ$44,0),100),IFERROR(MATCH($A42,Vr!$F$45:$AQ$45,0),100),IFERROR(MATCH($A42,Vr!$F$46:$AQ$46,0),100),IFERROR(MATCH($A42,Vr!$F$47:$AQ$47,0),100),IFERROR(MATCH($A42,Vr!$F$48:$AQ$48,0),100),IFERROR(MATCH($A42,Vr!$F$49:$AQ$49,0),100),IFERROR(MATCH($A42,Vr!$F$50:$AQ$50,0),100),IFERROR(MATCH($A42,Vr!$F$51:$AQ$51,0),100),IFERROR(MATCH($A42,Vr!$F$52:$AQ$52,0),100),IFERROR(MATCH($A42,Vr!$F$53:$AQ$53,0),100),IFERROR(MATCH($A42,Vr!$F$54:$AQ$54,0),100),IFERROR(MATCH($A42,Vr!$F$55:$AQ$55,0),100),IFERROR(MATCH($A42,Vr!$F$56:$AQ$56,0),100),IFERROR(MATCH($A42,Vr!$F$57:$AQ$57,0),100),IFERROR(MATCH($A42,Vr!$F$58:$AQ$58,0),100),IFERROR(MATCH($A42,Vr!$F$59:$AQ$59,0),100),IFERROR(MATCH($A42,Vr!$F$60:$AQ$60,0),100),IFERROR(MATCH($A42,Vr!$F$61:$AQ$61,0),100),IFERROR(MATCH($A42,Vr!$F$62:$AQ$62,0),100),IFERROR(MATCH($A42,Vr!$F$63:$AQ$63,0),100),39)</f>
        <v/>
      </c>
      <c r="L42" s="66">
        <f>IFERROR(IF(VLOOKUP(INDEX(Vr!$B$12:$B$63,MATCH($A42,OFFSET( Vr!$F$12:$F$63,0,(K42*48)-(IF(K42=7/24,9,IF(K42=12.5/24,9,IF(K42=14/24,9,IF(K42=15.5/24,9,10)))))),0),0),Vr!$B$13:$C$63,2,FALSE)="TL","",INDEX(Vr!$B$12:$B$63,MATCH($A42,OFFSET( Vr!$F$12:$F$63,0,(K42*48)-(IF(K42=7/24,9,IF(K42=12.5/24,9,IF(K42=14/24,9,IF(K42=15.5/24,9,10)))))),0),0)),"")</f>
        <v/>
      </c>
      <c r="M42" s="857">
        <f>9/48+(1/48)*MIN(IFERROR(MATCH($A42,Za!$F$13:$AQ$13,0),100),IFERROR(MATCH($A42,Za!$F$14:$AQ$14,0),100),IFERROR(MATCH($A42,Za!$F$15:$AQ$15,0),100),IFERROR(MATCH($A42,Za!$F$16:$AQ$16,0),100),IFERROR(MATCH($A42,Za!$F$17:$AQ$17,0),100),IFERROR(MATCH($A42,Za!$F$18:$AQ$18,0),100),IFERROR(MATCH($A42,Za!$F$19:$AQ$19,0),100),IFERROR(MATCH($A42,Za!$F$20:$AQ$20,0),100),IFERROR(MATCH($A42,Za!$F$21:$AQ$21,0),100),IFERROR(MATCH($A42,Za!$F$22:$AQ$22,0),100),IFERROR(MATCH($A42,Za!$F$23:$AQ$23,0),100),IFERROR(MATCH($A42,Za!$F$24:$AQ$24,0),100),IFERROR(MATCH($A42,Za!$F$25:$AQ$25,0),100),IFERROR(MATCH($A42,Za!$F$26:$AQ$26,0),100),IFERROR(MATCH($A42,Za!$F$27:$AQ$27,0),100),IFERROR(MATCH($A42,Za!$F$28:$AQ$28,0),100),IFERROR(MATCH($A42,Za!$F$29:$AQ$29,0),100),IFERROR(MATCH($A42,Za!$F$30:$AQ$30,0),100),IFERROR(MATCH($A42,Za!$F$31:$AQ$31,0),100),IFERROR(MATCH($A42,Za!$F$32:$AQ$32,0),100),IFERROR(MATCH($A42,Za!$F$33:$AQ$33,0),100),IFERROR(MATCH($A42,Za!$F$34:$AQ$34,0),100),IFERROR(MATCH($A42,Za!$F$35:$AQ$35,0),100),IFERROR(MATCH($A42,Za!$F$36:$AQ$36,0),100),IFERROR(MATCH($A42,Za!$F$37:$AQ$37,0),100),IFERROR(MATCH($A42,Za!$F$38:$AQ$38,0),100),IFERROR(MATCH($A42,Za!$F$39:$AQ$39,0),100),IFERROR(MATCH($A42,Za!$F$40:$AQ$40,0),100),IFERROR(MATCH($A42,Za!$F$41:$AQ$41,0),100),IFERROR(MATCH($A42,Za!$F$42:$AQ$42,0),100),IFERROR(MATCH($A42,Za!$F$43:$AQ$43,0),100),IFERROR(MATCH($A42,Za!$F$44:$AQ$44,0),100),IFERROR(MATCH($A42,Za!$F$45:$AQ$45,0),100),IFERROR(MATCH($A42,Za!$F$46:$AQ$46,0),100),IFERROR(MATCH($A42,Za!$F$47:$AQ$47,0),100),IFERROR(MATCH($A42,Za!$F$48:$AQ$48,0),100),IFERROR(MATCH($A42,Za!$F$49:$AQ$49,0),100),IFERROR(MATCH($A42,Za!$F$50:$AQ$50,0),100),IFERROR(MATCH($A42,Za!$F$51:$AQ$51,0),100),IFERROR(MATCH($A42,Za!$F$52:$AQ$52,0),100),IFERROR(MATCH($A42,Za!$F$53:$AQ$53,0),100),IFERROR(MATCH($A42,Za!$F$54:$AQ$54,0),100),IFERROR(MATCH($A42,Za!$F$55:$AQ$55,0),100),IFERROR(MATCH($A42,Za!$F$56:$AQ$56,0),100),IFERROR(MATCH($A42,Za!$F$57:$AQ$57,0),100),IFERROR(MATCH($A42,Za!$F$58:$AQ$58,0),100),IFERROR(MATCH($A42,Za!$F$59:$AQ$59,0),100),IFERROR(MATCH($A42,Za!$F$60:$AQ$60,0),100),IFERROR(MATCH($A42,Za!$F$61:$AQ$61,0),100),IFERROR(MATCH($A42,Za!$F$62:$AQ$62,0),100),IFERROR(MATCH($A42,Za!$F$63:$AQ$63,0),100),39)</f>
        <v/>
      </c>
      <c r="N42" s="66">
        <f>IFERROR(IF(VLOOKUP(INDEX(Za!$B$12:$B$63,MATCH($A42,OFFSET( Za!$F$12:$F$63,0,(M42*48)-(IF(M42=7/24,9,IF(M42=12.5/24,9,IF(M42=14/24,9,IF(M42=15.5/24,9,10)))))),0),0),Za!$B$13:$C$63,2,FALSE)="TL","",INDEX(Za!$B$12:$B$63,MATCH($A42,OFFSET( Za!$F$12:$F$63,0,(M42*48)-(IF(M42=7/24,9,IF(M42=12.5/24,9,IF(M42=14/24,9,IF(M42=15.5/24,9,10)))))),0),0)),"")</f>
        <v/>
      </c>
      <c r="O42" s="857">
        <f>9/48+(1/48)*MIN(IFERROR(MATCH($A42,Zo!$F$13:$AQ$13,0),100),IFERROR(MATCH($A42,Zo!$F$14:$AQ$14,0),100),IFERROR(MATCH($A42,Zo!$F$15:$AQ$15,0),100),IFERROR(MATCH($A42,Zo!$F$16:$AQ$16,0),100),IFERROR(MATCH($A42,Zo!$F$17:$AQ$17,0),100),IFERROR(MATCH($A42,Zo!$F$18:$AQ$18,0),100),IFERROR(MATCH($A42,Zo!$F$19:$AQ$19,0),100),IFERROR(MATCH($A42,Zo!$F$20:$AQ$20,0),100),IFERROR(MATCH($A42,Zo!$F$21:$AQ$21,0),100),IFERROR(MATCH($A42,Zo!$F$22:$AQ$22,0),100),IFERROR(MATCH($A42,Zo!$F$23:$AQ$23,0),100),IFERROR(MATCH($A42,Zo!$F$24:$AQ$24,0),100),IFERROR(MATCH($A42,Zo!$F$25:$AQ$25,0),100),IFERROR(MATCH($A42,Zo!$F$26:$AQ$26,0),100),IFERROR(MATCH($A42,Zo!$F$27:$AQ$27,0),100),IFERROR(MATCH($A42,Zo!$F$28:$AQ$28,0),100),IFERROR(MATCH($A42,Zo!$F$29:$AQ$29,0),100),IFERROR(MATCH($A42,Zo!$F$30:$AQ$30,0),100),IFERROR(MATCH($A42,Zo!$F$31:$AQ$31,0),100),IFERROR(MATCH($A42,Zo!$F$32:$AQ$32,0),100),IFERROR(MATCH($A42,Zo!$F$33:$AQ$33,0),100),IFERROR(MATCH($A42,Zo!$F$34:$AQ$34,0),100),IFERROR(MATCH($A42,Zo!$F$35:$AQ$35,0),100),IFERROR(MATCH($A42,Zo!$F$36:$AQ$36,0),100),IFERROR(MATCH($A42,Zo!$F$37:$AQ$37,0),100),IFERROR(MATCH($A42,Zo!$F$38:$AQ$38,0),100),IFERROR(MATCH($A42,Zo!$F$39:$AQ$39,0),100),IFERROR(MATCH($A42,Zo!$F$40:$AQ$40,0),100),IFERROR(MATCH($A42,Zo!$F$41:$AQ$41,0),100),IFERROR(MATCH($A42,Zo!$F$42:$AQ$42,0),100),IFERROR(MATCH($A42,Zo!$F$43:$AQ$43,0),100),IFERROR(MATCH($A42,Zo!$F$44:$AQ$44,0),100),IFERROR(MATCH($A42,Zo!$F$45:$AQ$45,0),100),IFERROR(MATCH($A42,Zo!$F$46:$AQ$46,0),100),IFERROR(MATCH($A42,Zo!$F$47:$AQ$47,0),100),IFERROR(MATCH($A42,Zo!$F$48:$AQ$48,0),100),IFERROR(MATCH($A42,Zo!$F$49:$AQ$49,0),100),IFERROR(MATCH($A42,Zo!$F$50:$AQ$50,0),100),IFERROR(MATCH($A42,Zo!$F$51:$AQ$51,0),100),IFERROR(MATCH($A42,Zo!$F$52:$AQ$52,0),100),IFERROR(MATCH($A42,Zo!$F$53:$AQ$53,0),100),IFERROR(MATCH($A42,Zo!$F$54:$AQ$54,0),100),IFERROR(MATCH($A42,Zo!$F$55:$AQ$55,0),100),IFERROR(MATCH($A42,Zo!$F$56:$AQ$56,0),100),IFERROR(MATCH($A42,Zo!$F$57:$AQ$57,0),100),IFERROR(MATCH($A42,Zo!$F$58:$AQ$58,0),100),IFERROR(MATCH($A42,Zo!$F$59:$AQ$59,0),100),IFERROR(MATCH($A42,Zo!$F$60:$AQ$60,0),100),IFERROR(MATCH($A42,Zo!$F$61:$AQ$61,0),100),IFERROR(MATCH($A42,Zo!$F$62:$AQ$62,0),100),IFERROR(MATCH($A42,Zo!$F$63:$AQ$63,0),100),39)</f>
        <v/>
      </c>
      <c r="P42" s="66">
        <f>IFERROR(IF(VLOOKUP(INDEX(Zo!$B$12:$B$63,MATCH($A42,OFFSET( Zo!$F$12:$F$63,0,(O42*48)-(IF(O42=7/24,9,IF(O42=12.5/24,9,IF(O42=14/24,9,IF(O42=15.5/24,9,10)))))),0),0),Zo!$B$13:$C$63,2,FALSE)="TL","",INDEX(Zo!$B$12:$B$63,MATCH($A42,OFFSET( Zo!$F$12:$F$63,0,(O42*48)-(IF(O42=7/24,9,IF(O42=12.5/24,9,IF(O42=14/24,9,IF(O42=15.5/24,9,10)))))),0),0)),"")</f>
        <v/>
      </c>
    </row>
    <row r="43" ht="15" customHeight="1">
      <c r="A43" s="66">
        <f>IF(Wo!AY60="",leeg,Wo!AY60)</f>
        <v/>
      </c>
      <c r="B43" s="67">
        <f>A43</f>
        <v/>
      </c>
      <c r="C43" s="857">
        <f>9/48+(1/48)*MIN(IFERROR(MATCH($A43,Ma!$F$13:$AQ$13,0),100),IFERROR(MATCH($A43,Ma!$F$14:$AQ$14,0),100),IFERROR(MATCH($A43,Ma!$F$15:$AQ$15,0),100),IFERROR(MATCH($A43,Ma!$F$16:$AQ$16,0),100),IFERROR(MATCH($A43,Ma!$F$17:$AQ$17,0),100),IFERROR(MATCH($A43,Ma!$F$18:$AQ$18,0),100),IFERROR(MATCH($A43,Ma!$F$19:$AQ$19,0),100),IFERROR(MATCH($A43,Ma!$F$20:$AQ$20,0),100),IFERROR(MATCH($A43,Ma!$F$21:$AQ$21,0),100),IFERROR(MATCH($A43,Ma!$F$22:$AQ$22,0),100),IFERROR(MATCH($A43,Ma!$F$23:$AQ$23,0),100),IFERROR(MATCH($A43,Ma!$F$24:$AQ$24,0),100),IFERROR(MATCH($A43,Ma!$F$25:$AQ$25,0),100),IFERROR(MATCH($A43,Ma!$F$26:$AQ$26,0),100),IFERROR(MATCH($A43,Ma!$F$27:$AQ$27,0),100),IFERROR(MATCH($A43,Ma!$F$28:$AQ$28,0),100),IFERROR(MATCH($A43,Ma!$F$29:$AQ$29,0),100),IFERROR(MATCH($A43,Ma!$F$30:$AQ$30,0),100),IFERROR(MATCH($A43,Ma!$F$31:$AQ$31,0),100),IFERROR(MATCH($A43,Ma!$F$32:$AQ$32,0),100),IFERROR(MATCH($A43,Ma!$F$33:$AQ$33,0),100),IFERROR(MATCH($A43,Ma!$F$34:$AQ$34,0),100),IFERROR(MATCH($A43,Ma!$F$35:$AQ$35,0),100),IFERROR(MATCH($A43,Ma!$F$36:$AQ$36,0),100),IFERROR(MATCH($A43,Ma!$F$37:$AQ$37,0),100),IFERROR(MATCH($A43,Ma!$F$38:$AQ$38,0),100),IFERROR(MATCH($A43,Ma!$F$39:$AQ$39,0),100),IFERROR(MATCH($A43,Ma!$F$40:$AQ$40,0),100),IFERROR(MATCH($A43,Ma!$F$41:$AQ$41,0),100),IFERROR(MATCH($A43,Ma!$F$42:$AQ$42,0),100),IFERROR(MATCH($A43,Ma!$F$43:$AQ$43,0),100),IFERROR(MATCH($A43,Ma!$F$44:$AQ$44,0),100),IFERROR(MATCH($A43,Ma!$F$45:$AQ$45,0),100),IFERROR(MATCH($A43,Ma!$F$46:$AQ$46,0),100),IFERROR(MATCH($A43,Ma!$F$47:$AQ$47,0),100),IFERROR(MATCH($A43,Ma!$F$48:$AQ$48,0),100),IFERROR(MATCH($A43,Ma!$F$49:$AQ$49,0),100),IFERROR(MATCH($A43,Ma!$F$50:$AQ$50,0),100),IFERROR(MATCH($A43,Ma!$F$51:$AQ$51,0),100),IFERROR(MATCH($A43,Ma!$F$52:$AQ$52,0),100),IFERROR(MATCH($A43,Ma!$F$53:$AQ$53,0),100),IFERROR(MATCH($A43,Ma!$F$54:$AQ$54,0),100),IFERROR(MATCH($A43,Ma!$F$55:$AQ$55,0),100),IFERROR(MATCH($A43,Ma!$F$56:$AQ$56,0),100),IFERROR(MATCH($A43,Ma!$F$57:$AQ$57,0),100),IFERROR(MATCH($A43,Ma!$F$58:$AQ$58,0),100),IFERROR(MATCH($A43,Ma!$F$59:$AQ$59,0),100),IFERROR(MATCH($A43,Ma!$F$60:$AQ$60,0),100),IFERROR(MATCH($A43,Ma!$F$61:$AQ$61,0),100),IFERROR(MATCH($A43,Ma!$F$62:$AQ$62,0),100),IFERROR(MATCH($A43,Ma!$F$63:$AQ$63,0),100),39)</f>
        <v/>
      </c>
      <c r="D43" s="66">
        <f>IFERROR(IF(VLOOKUP(INDEX(Ma!$B$12:$B$63,MATCH($A43,OFFSET( Ma!$F$12:$F$63,0,(C43*48)-(IF(C43=7/24,9,IF(C43=12.5/24,9,IF(C43=14/24,9,IF(C43=15.5/24,9,10)))))),0),0),Ma!$B$13:$C$63,2,FALSE)="TL","",INDEX(Ma!$B$12:$B$63,MATCH($A43,OFFSET( Ma!$F$12:$F$63,0,(C43*48)-(IF(C43=7/24,9,IF(C43=12.5/24,9,IF(C43=14/24,9,IF(C43=15.5/24,9,10)))))),0),0)),"")</f>
        <v/>
      </c>
      <c r="E43" s="857">
        <f>9/48+(1/48)*MIN(IFERROR(MATCH($A43,Di!$F$13:$AQ$13,0),100),IFERROR(MATCH($A43,Di!$F$14:$AQ$14,0),100),IFERROR(MATCH($A43,Di!$F$15:$AQ$15,0),100),IFERROR(MATCH($A43,Di!$F$16:$AQ$16,0),100),IFERROR(MATCH($A43,Di!$F$17:$AQ$17,0),100),IFERROR(MATCH($A43,Di!$F$18:$AQ$18,0),100),IFERROR(MATCH($A43,Di!$F$19:$AQ$19,0),100),IFERROR(MATCH($A43,Di!$F$20:$AQ$20,0),100),IFERROR(MATCH($A43,Di!$F$21:$AQ$21,0),100),IFERROR(MATCH($A43,Di!$F$22:$AQ$22,0),100),IFERROR(MATCH($A43,Di!$F$23:$AQ$23,0),100),IFERROR(MATCH($A43,Di!$F$24:$AQ$24,0),100),IFERROR(MATCH($A43,Di!$F$25:$AQ$25,0),100),IFERROR(MATCH($A43,Di!$F$26:$AQ$26,0),100),IFERROR(MATCH($A43,Di!$F$27:$AQ$27,0),100),IFERROR(MATCH($A43,Di!$F$28:$AQ$28,0),100),IFERROR(MATCH($A43,Di!$F$29:$AQ$29,0),100),IFERROR(MATCH($A43,Di!$F$30:$AQ$30,0),100),IFERROR(MATCH($A43,Di!$F$31:$AQ$31,0),100),IFERROR(MATCH($A43,Di!$F$32:$AQ$32,0),100),IFERROR(MATCH($A43,Di!$F$33:$AQ$33,0),100),IFERROR(MATCH($A43,Di!$F$34:$AQ$34,0),100),IFERROR(MATCH($A43,Di!$F$35:$AQ$35,0),100),IFERROR(MATCH($A43,Di!$F$36:$AQ$36,0),100),IFERROR(MATCH($A43,Di!$F$37:$AQ$37,0),100),IFERROR(MATCH($A43,Di!$F$38:$AQ$38,0),100),IFERROR(MATCH($A43,Di!$F$39:$AQ$39,0),100),IFERROR(MATCH($A43,Di!$F$40:$AQ$40,0),100),IFERROR(MATCH($A43,Di!$F$41:$AQ$41,0),100),IFERROR(MATCH($A43,Di!$F$42:$AQ$42,0),100),IFERROR(MATCH($A43,Di!$F$43:$AQ$43,0),100),IFERROR(MATCH($A43,Di!$F$44:$AQ$44,0),100),IFERROR(MATCH($A43,Di!$F$45:$AQ$45,0),100),IFERROR(MATCH($A43,Di!$F$46:$AQ$46,0),100),IFERROR(MATCH($A43,Di!$F$47:$AQ$47,0),100),IFERROR(MATCH($A43,Di!$F$48:$AQ$48,0),100),IFERROR(MATCH($A43,Di!$F$49:$AQ$49,0),100),IFERROR(MATCH($A43,Di!$F$50:$AQ$50,0),100),IFERROR(MATCH($A43,Di!$F$51:$AQ$51,0),100),IFERROR(MATCH($A43,Di!$F$52:$AQ$52,0),100),IFERROR(MATCH($A43,Di!$F$53:$AQ$53,0),100),IFERROR(MATCH($A43,Di!$F$54:$AQ$54,0),100),IFERROR(MATCH($A43,Di!$F$55:$AQ$55,0),100),IFERROR(MATCH($A43,Di!$F$56:$AQ$56,0),100),IFERROR(MATCH($A43,Di!$F$57:$AQ$57,0),100),IFERROR(MATCH($A43,Di!$F$58:$AQ$58,0),100),IFERROR(MATCH($A43,Di!$F$59:$AQ$59,0),100),IFERROR(MATCH($A43,Di!$F$60:$AQ$60,0),100),IFERROR(MATCH($A43,Di!$F$61:$AQ$61,0),100),IFERROR(MATCH($A43,Di!$F$62:$AQ$62,0),100),IFERROR(MATCH($A43,Di!$F$63:$AQ$63,0),100),39)</f>
        <v/>
      </c>
      <c r="F43" s="66">
        <f>IFERROR(IF(VLOOKUP(INDEX(Di!$B$12:$B$63,MATCH($A43,OFFSET( Di!$F$12:$F$63,0,(E43*48)-(IF(E43=7/24,9,IF(E43=12.5/24,9,IF(E43=14/24,9,IF(E43=15.5/24,9,10)))))),0),0),Di!$B$13:$C$63,2,FALSE)="TL","",INDEX(Di!$B$12:$B$63,MATCH($A43,OFFSET( Di!$F$12:$F$63,0,(E43*48)-(IF(E43=7/24,9,IF(E43=12.5/24,9,IF(E43=14/24,9,IF(E43=15.5/24,9,10)))))),0),0)),"")</f>
        <v/>
      </c>
      <c r="G43" s="857">
        <f>9/48+(1/48)*MIN(IFERROR(MATCH($A43,Wo!$F$13:$AQ$13,0),100),IFERROR(MATCH($A43,Wo!$F$14:$AQ$14,0),100),IFERROR(MATCH($A43,Wo!$F$15:$AQ$15,0),100),IFERROR(MATCH($A43,Wo!$F$16:$AQ$16,0),100),IFERROR(MATCH($A43,Wo!$F$17:$AQ$17,0),100),IFERROR(MATCH($A43,Wo!$F$18:$AQ$18,0),100),IFERROR(MATCH($A43,Wo!$F$19:$AQ$19,0),100),IFERROR(MATCH($A43,Wo!$F$20:$AQ$20,0),100),IFERROR(MATCH($A43,Wo!$F$21:$AQ$21,0),100),IFERROR(MATCH($A43,Wo!$F$22:$AQ$22,0),100),IFERROR(MATCH($A43,Wo!$F$23:$AQ$23,0),100),IFERROR(MATCH($A43,Wo!$F$24:$AQ$24,0),100),IFERROR(MATCH($A43,Wo!$F$25:$AQ$25,0),100),IFERROR(MATCH($A43,Wo!$F$26:$AQ$26,0),100),IFERROR(MATCH($A43,Wo!$F$27:$AQ$27,0),100),IFERROR(MATCH($A43,Wo!$F$28:$AQ$28,0),100),IFERROR(MATCH($A43,Wo!$F$29:$AQ$29,0),100),IFERROR(MATCH($A43,Wo!$F$30:$AQ$30,0),100),IFERROR(MATCH($A43,Wo!$F$31:$AQ$31,0),100),IFERROR(MATCH($A43,Wo!$F$32:$AQ$32,0),100),IFERROR(MATCH($A43,Wo!$F$33:$AQ$33,0),100),IFERROR(MATCH($A43,Wo!$F$34:$AQ$34,0),100),IFERROR(MATCH($A43,Wo!$F$35:$AQ$35,0),100),IFERROR(MATCH($A43,Wo!$F$36:$AQ$36,0),100),IFERROR(MATCH($A43,Wo!$F$37:$AQ$37,0),100),IFERROR(MATCH($A43,Wo!$F$38:$AQ$38,0),100),IFERROR(MATCH($A43,Wo!$F$39:$AQ$39,0),100),IFERROR(MATCH($A43,Wo!$F$40:$AQ$40,0),100),IFERROR(MATCH($A43,Wo!$F$41:$AQ$41,0),100),IFERROR(MATCH($A43,Wo!$F$42:$AQ$42,0),100),IFERROR(MATCH($A43,Wo!$F$43:$AQ$43,0),100),IFERROR(MATCH($A43,Wo!$F$44:$AQ$44,0),100),IFERROR(MATCH($A43,Wo!$F$45:$AQ$45,0),100),IFERROR(MATCH($A43,Wo!$F$46:$AQ$46,0),100),IFERROR(MATCH($A43,Wo!$F$47:$AQ$47,0),100),IFERROR(MATCH($A43,Wo!$F$48:$AQ$48,0),100),IFERROR(MATCH($A43,Wo!$F$49:$AQ$49,0),100),IFERROR(MATCH($A43,Wo!$F$50:$AQ$50,0),100),IFERROR(MATCH($A43,Wo!$F$51:$AQ$51,0),100),IFERROR(MATCH($A43,Wo!$F$52:$AQ$52,0),100),IFERROR(MATCH($A43,Wo!$F$53:$AQ$53,0),100),IFERROR(MATCH($A43,Wo!$F$54:$AQ$54,0),100),IFERROR(MATCH($A43,Wo!$F$55:$AQ$55,0),100),IFERROR(MATCH($A43,Wo!$F$56:$AQ$56,0),100),IFERROR(MATCH($A43,Wo!$F$57:$AQ$57,0),100),IFERROR(MATCH($A43,Wo!$F$58:$AQ$58,0),100),IFERROR(MATCH($A43,Wo!$F$59:$AQ$59,0),100),IFERROR(MATCH($A43,Wo!$F$60:$AQ$60,0),100),IFERROR(MATCH($A43,Wo!$F$61:$AQ$61,0),100),IFERROR(MATCH($A43,Wo!$F$62:$AQ$62,0),100),IFERROR(MATCH($A43,Wo!$F$63:$AQ$63,0),100),39)</f>
        <v/>
      </c>
      <c r="H43" s="66">
        <f>IFERROR(IF(VLOOKUP(INDEX(Wo!$B$12:$B$63,MATCH($A43,OFFSET( Wo!$F$12:$F$63,0,(G43*48)-(IF(G43=7/24,9,IF(G43=12.5/24,9,IF(G43=14/24,9,IF(G43=15.5/24,9,10)))))),0),0),Wo!$B$13:$C$63,2,FALSE)="TL","",INDEX(Wo!$B$12:$B$63,MATCH($A43,OFFSET( Wo!$F$12:$F$63,0,(G43*48)-(IF(G43=7/24,9,IF(G43=12.5/24,9,IF(G43=14/24,9,IF(G43=15.5/24,9,10)))))),0),0)),"")</f>
        <v/>
      </c>
      <c r="I43" s="857">
        <f>9/48+(1/48)*MIN(IFERROR(MATCH($A43,Do!$F$13:$AQ$13,0),100),IFERROR(MATCH($A43,Do!$F$14:$AQ$14,0),100),IFERROR(MATCH($A43,Do!$F$15:$AQ$15,0),100),IFERROR(MATCH($A43,Do!$F$16:$AQ$16,0),100),IFERROR(MATCH($A43,Do!$F$17:$AQ$17,0),100),IFERROR(MATCH($A43,Do!$F$18:$AQ$18,0),100),IFERROR(MATCH($A43,Do!$F$19:$AQ$19,0),100),IFERROR(MATCH($A43,Do!$F$20:$AQ$20,0),100),IFERROR(MATCH($A43,Do!$F$21:$AQ$21,0),100),IFERROR(MATCH($A43,Do!$F$22:$AQ$22,0),100),IFERROR(MATCH($A43,Do!$F$23:$AQ$23,0),100),IFERROR(MATCH($A43,Do!$F$24:$AQ$24,0),100),IFERROR(MATCH($A43,Do!$F$25:$AQ$25,0),100),IFERROR(MATCH($A43,Do!$F$26:$AQ$26,0),100),IFERROR(MATCH($A43,Do!$F$27:$AQ$27,0),100),IFERROR(MATCH($A43,Do!$F$28:$AQ$28,0),100),IFERROR(MATCH($A43,Do!$F$29:$AQ$29,0),100),IFERROR(MATCH($A43,Do!$F$30:$AQ$30,0),100),IFERROR(MATCH($A43,Do!$F$31:$AQ$31,0),100),IFERROR(MATCH($A43,Do!$F$32:$AQ$32,0),100),IFERROR(MATCH($A43,Do!$F$33:$AQ$33,0),100),IFERROR(MATCH($A43,Do!$F$34:$AQ$34,0),100),IFERROR(MATCH($A43,Do!$F$35:$AQ$35,0),100),IFERROR(MATCH($A43,Do!$F$36:$AQ$36,0),100),IFERROR(MATCH($A43,Do!$F$37:$AQ$37,0),100),IFERROR(MATCH($A43,Do!$F$38:$AQ$38,0),100),IFERROR(MATCH($A43,Do!$F$39:$AQ$39,0),100),IFERROR(MATCH($A43,Do!$F$40:$AQ$40,0),100),IFERROR(MATCH($A43,Do!$F$41:$AQ$41,0),100),IFERROR(MATCH($A43,Do!$F$42:$AQ$42,0),100),IFERROR(MATCH($A43,Do!$F$43:$AQ$43,0),100),IFERROR(MATCH($A43,Do!$F$44:$AQ$44,0),100),IFERROR(MATCH($A43,Do!$F$45:$AQ$45,0),100),IFERROR(MATCH($A43,Do!$F$46:$AQ$46,0),100),IFERROR(MATCH($A43,Do!$F$47:$AQ$47,0),100),IFERROR(MATCH($A43,Do!$F$48:$AQ$48,0),100),IFERROR(MATCH($A43,Do!$F$49:$AQ$49,0),100),IFERROR(MATCH($A43,Do!$F$50:$AQ$50,0),100),IFERROR(MATCH($A43,Do!$F$51:$AQ$51,0),100),IFERROR(MATCH($A43,Do!$F$52:$AQ$52,0),100),IFERROR(MATCH($A43,Do!$F$53:$AQ$53,0),100),IFERROR(MATCH($A43,Do!$F$54:$AQ$54,0),100),IFERROR(MATCH($A43,Do!$F$55:$AQ$55,0),100),IFERROR(MATCH($A43,Do!$F$56:$AQ$56,0),100),IFERROR(MATCH($A43,Do!$F$57:$AQ$57,0),100),IFERROR(MATCH($A43,Do!$F$58:$AQ$58,0),100),IFERROR(MATCH($A43,Do!$F$59:$AQ$59,0),100),IFERROR(MATCH($A43,Do!$F$60:$AQ$60,0),100),IFERROR(MATCH($A43,Do!$F$61:$AQ$61,0),100),IFERROR(MATCH($A43,Do!$F$62:$AQ$62,0),100),IFERROR(MATCH($A43,Do!$F$63:$AQ$63,0),100),39)</f>
        <v/>
      </c>
      <c r="J43" s="66">
        <f>IFERROR(IF(VLOOKUP(INDEX(Do!$B$12:$B$63,MATCH($A43,OFFSET( Do!$F$12:$F$63,0,(I43*48)-(IF(I43=7/24,9,IF(I43=12.5/24,9,IF(I43=14/24,9,IF(I43=15.5/24,9,10)))))),0),0),Do!$B$13:$C$63,2,FALSE)="TL","",INDEX(Do!$B$12:$B$63,MATCH($A43,OFFSET( Do!$F$12:$F$63,0,(I43*48)-(IF(I43=7/24,9,IF(I43=12.5/24,9,IF(I43=14/24,9,IF(I43=15.5/24,9,10)))))),0),0)),"")</f>
        <v/>
      </c>
      <c r="K43" s="857">
        <f>9/48+(1/48)*MIN(IFERROR(MATCH($A43,Vr!$F$13:$AQ$13,0),100),IFERROR(MATCH($A43,Vr!$F$14:$AQ$14,0),100),IFERROR(MATCH($A43,Vr!$F$15:$AQ$15,0),100),IFERROR(MATCH($A43,Vr!$F$16:$AQ$16,0),100),IFERROR(MATCH($A43,Vr!$F$17:$AQ$17,0),100),IFERROR(MATCH($A43,Vr!$F$18:$AQ$18,0),100),IFERROR(MATCH($A43,Vr!$F$19:$AQ$19,0),100),IFERROR(MATCH($A43,Vr!$F$20:$AQ$20,0),100),IFERROR(MATCH($A43,Vr!$F$21:$AQ$21,0),100),IFERROR(MATCH($A43,Vr!$F$22:$AQ$22,0),100),IFERROR(MATCH($A43,Vr!$F$23:$AQ$23,0),100),IFERROR(MATCH($A43,Vr!$F$24:$AQ$24,0),100),IFERROR(MATCH($A43,Vr!$F$25:$AQ$25,0),100),IFERROR(MATCH($A43,Vr!$F$26:$AQ$26,0),100),IFERROR(MATCH($A43,Vr!$F$27:$AQ$27,0),100),IFERROR(MATCH($A43,Vr!$F$28:$AQ$28,0),100),IFERROR(MATCH($A43,Vr!$F$29:$AQ$29,0),100),IFERROR(MATCH($A43,Vr!$F$30:$AQ$30,0),100),IFERROR(MATCH($A43,Vr!$F$31:$AQ$31,0),100),IFERROR(MATCH($A43,Vr!$F$32:$AQ$32,0),100),IFERROR(MATCH($A43,Vr!$F$33:$AQ$33,0),100),IFERROR(MATCH($A43,Vr!$F$34:$AQ$34,0),100),IFERROR(MATCH($A43,Vr!$F$35:$AQ$35,0),100),IFERROR(MATCH($A43,Vr!$F$36:$AQ$36,0),100),IFERROR(MATCH($A43,Vr!$F$37:$AQ$37,0),100),IFERROR(MATCH($A43,Vr!$F$38:$AQ$38,0),100),IFERROR(MATCH($A43,Vr!$F$39:$AQ$39,0),100),IFERROR(MATCH($A43,Vr!$F$40:$AQ$40,0),100),IFERROR(MATCH($A43,Vr!$F$41:$AQ$41,0),100),IFERROR(MATCH($A43,Vr!$F$42:$AQ$42,0),100),IFERROR(MATCH($A43,Vr!$F$43:$AQ$43,0),100),IFERROR(MATCH($A43,Vr!$F$44:$AQ$44,0),100),IFERROR(MATCH($A43,Vr!$F$45:$AQ$45,0),100),IFERROR(MATCH($A43,Vr!$F$46:$AQ$46,0),100),IFERROR(MATCH($A43,Vr!$F$47:$AQ$47,0),100),IFERROR(MATCH($A43,Vr!$F$48:$AQ$48,0),100),IFERROR(MATCH($A43,Vr!$F$49:$AQ$49,0),100),IFERROR(MATCH($A43,Vr!$F$50:$AQ$50,0),100),IFERROR(MATCH($A43,Vr!$F$51:$AQ$51,0),100),IFERROR(MATCH($A43,Vr!$F$52:$AQ$52,0),100),IFERROR(MATCH($A43,Vr!$F$53:$AQ$53,0),100),IFERROR(MATCH($A43,Vr!$F$54:$AQ$54,0),100),IFERROR(MATCH($A43,Vr!$F$55:$AQ$55,0),100),IFERROR(MATCH($A43,Vr!$F$56:$AQ$56,0),100),IFERROR(MATCH($A43,Vr!$F$57:$AQ$57,0),100),IFERROR(MATCH($A43,Vr!$F$58:$AQ$58,0),100),IFERROR(MATCH($A43,Vr!$F$59:$AQ$59,0),100),IFERROR(MATCH($A43,Vr!$F$60:$AQ$60,0),100),IFERROR(MATCH($A43,Vr!$F$61:$AQ$61,0),100),IFERROR(MATCH($A43,Vr!$F$62:$AQ$62,0),100),IFERROR(MATCH($A43,Vr!$F$63:$AQ$63,0),100),39)</f>
        <v/>
      </c>
      <c r="L43" s="66">
        <f>IFERROR(IF(VLOOKUP(INDEX(Vr!$B$12:$B$63,MATCH($A43,OFFSET( Vr!$F$12:$F$63,0,(K43*48)-(IF(K43=7/24,9,IF(K43=12.5/24,9,IF(K43=14/24,9,IF(K43=15.5/24,9,10)))))),0),0),Vr!$B$13:$C$63,2,FALSE)="TL","",INDEX(Vr!$B$12:$B$63,MATCH($A43,OFFSET( Vr!$F$12:$F$63,0,(K43*48)-(IF(K43=7/24,9,IF(K43=12.5/24,9,IF(K43=14/24,9,IF(K43=15.5/24,9,10)))))),0),0)),"")</f>
        <v/>
      </c>
      <c r="M43" s="857">
        <f>9/48+(1/48)*MIN(IFERROR(MATCH($A43,Za!$F$13:$AQ$13,0),100),IFERROR(MATCH($A43,Za!$F$14:$AQ$14,0),100),IFERROR(MATCH($A43,Za!$F$15:$AQ$15,0),100),IFERROR(MATCH($A43,Za!$F$16:$AQ$16,0),100),IFERROR(MATCH($A43,Za!$F$17:$AQ$17,0),100),IFERROR(MATCH($A43,Za!$F$18:$AQ$18,0),100),IFERROR(MATCH($A43,Za!$F$19:$AQ$19,0),100),IFERROR(MATCH($A43,Za!$F$20:$AQ$20,0),100),IFERROR(MATCH($A43,Za!$F$21:$AQ$21,0),100),IFERROR(MATCH($A43,Za!$F$22:$AQ$22,0),100),IFERROR(MATCH($A43,Za!$F$23:$AQ$23,0),100),IFERROR(MATCH($A43,Za!$F$24:$AQ$24,0),100),IFERROR(MATCH($A43,Za!$F$25:$AQ$25,0),100),IFERROR(MATCH($A43,Za!$F$26:$AQ$26,0),100),IFERROR(MATCH($A43,Za!$F$27:$AQ$27,0),100),IFERROR(MATCH($A43,Za!$F$28:$AQ$28,0),100),IFERROR(MATCH($A43,Za!$F$29:$AQ$29,0),100),IFERROR(MATCH($A43,Za!$F$30:$AQ$30,0),100),IFERROR(MATCH($A43,Za!$F$31:$AQ$31,0),100),IFERROR(MATCH($A43,Za!$F$32:$AQ$32,0),100),IFERROR(MATCH($A43,Za!$F$33:$AQ$33,0),100),IFERROR(MATCH($A43,Za!$F$34:$AQ$34,0),100),IFERROR(MATCH($A43,Za!$F$35:$AQ$35,0),100),IFERROR(MATCH($A43,Za!$F$36:$AQ$36,0),100),IFERROR(MATCH($A43,Za!$F$37:$AQ$37,0),100),IFERROR(MATCH($A43,Za!$F$38:$AQ$38,0),100),IFERROR(MATCH($A43,Za!$F$39:$AQ$39,0),100),IFERROR(MATCH($A43,Za!$F$40:$AQ$40,0),100),IFERROR(MATCH($A43,Za!$F$41:$AQ$41,0),100),IFERROR(MATCH($A43,Za!$F$42:$AQ$42,0),100),IFERROR(MATCH($A43,Za!$F$43:$AQ$43,0),100),IFERROR(MATCH($A43,Za!$F$44:$AQ$44,0),100),IFERROR(MATCH($A43,Za!$F$45:$AQ$45,0),100),IFERROR(MATCH($A43,Za!$F$46:$AQ$46,0),100),IFERROR(MATCH($A43,Za!$F$47:$AQ$47,0),100),IFERROR(MATCH($A43,Za!$F$48:$AQ$48,0),100),IFERROR(MATCH($A43,Za!$F$49:$AQ$49,0),100),IFERROR(MATCH($A43,Za!$F$50:$AQ$50,0),100),IFERROR(MATCH($A43,Za!$F$51:$AQ$51,0),100),IFERROR(MATCH($A43,Za!$F$52:$AQ$52,0),100),IFERROR(MATCH($A43,Za!$F$53:$AQ$53,0),100),IFERROR(MATCH($A43,Za!$F$54:$AQ$54,0),100),IFERROR(MATCH($A43,Za!$F$55:$AQ$55,0),100),IFERROR(MATCH($A43,Za!$F$56:$AQ$56,0),100),IFERROR(MATCH($A43,Za!$F$57:$AQ$57,0),100),IFERROR(MATCH($A43,Za!$F$58:$AQ$58,0),100),IFERROR(MATCH($A43,Za!$F$59:$AQ$59,0),100),IFERROR(MATCH($A43,Za!$F$60:$AQ$60,0),100),IFERROR(MATCH($A43,Za!$F$61:$AQ$61,0),100),IFERROR(MATCH($A43,Za!$F$62:$AQ$62,0),100),IFERROR(MATCH($A43,Za!$F$63:$AQ$63,0),100),39)</f>
        <v/>
      </c>
      <c r="N43" s="66">
        <f>IFERROR(IF(VLOOKUP(INDEX(Za!$B$12:$B$63,MATCH($A43,OFFSET( Za!$F$12:$F$63,0,(M43*48)-(IF(M43=7/24,9,IF(M43=12.5/24,9,IF(M43=14/24,9,IF(M43=15.5/24,9,10)))))),0),0),Za!$B$13:$C$63,2,FALSE)="TL","",INDEX(Za!$B$12:$B$63,MATCH($A43,OFFSET( Za!$F$12:$F$63,0,(M43*48)-(IF(M43=7/24,9,IF(M43=12.5/24,9,IF(M43=14/24,9,IF(M43=15.5/24,9,10)))))),0),0)),"")</f>
        <v/>
      </c>
      <c r="O43" s="857">
        <f>9/48+(1/48)*MIN(IFERROR(MATCH($A43,Zo!$F$13:$AQ$13,0),100),IFERROR(MATCH($A43,Zo!$F$14:$AQ$14,0),100),IFERROR(MATCH($A43,Zo!$F$15:$AQ$15,0),100),IFERROR(MATCH($A43,Zo!$F$16:$AQ$16,0),100),IFERROR(MATCH($A43,Zo!$F$17:$AQ$17,0),100),IFERROR(MATCH($A43,Zo!$F$18:$AQ$18,0),100),IFERROR(MATCH($A43,Zo!$F$19:$AQ$19,0),100),IFERROR(MATCH($A43,Zo!$F$20:$AQ$20,0),100),IFERROR(MATCH($A43,Zo!$F$21:$AQ$21,0),100),IFERROR(MATCH($A43,Zo!$F$22:$AQ$22,0),100),IFERROR(MATCH($A43,Zo!$F$23:$AQ$23,0),100),IFERROR(MATCH($A43,Zo!$F$24:$AQ$24,0),100),IFERROR(MATCH($A43,Zo!$F$25:$AQ$25,0),100),IFERROR(MATCH($A43,Zo!$F$26:$AQ$26,0),100),IFERROR(MATCH($A43,Zo!$F$27:$AQ$27,0),100),IFERROR(MATCH($A43,Zo!$F$28:$AQ$28,0),100),IFERROR(MATCH($A43,Zo!$F$29:$AQ$29,0),100),IFERROR(MATCH($A43,Zo!$F$30:$AQ$30,0),100),IFERROR(MATCH($A43,Zo!$F$31:$AQ$31,0),100),IFERROR(MATCH($A43,Zo!$F$32:$AQ$32,0),100),IFERROR(MATCH($A43,Zo!$F$33:$AQ$33,0),100),IFERROR(MATCH($A43,Zo!$F$34:$AQ$34,0),100),IFERROR(MATCH($A43,Zo!$F$35:$AQ$35,0),100),IFERROR(MATCH($A43,Zo!$F$36:$AQ$36,0),100),IFERROR(MATCH($A43,Zo!$F$37:$AQ$37,0),100),IFERROR(MATCH($A43,Zo!$F$38:$AQ$38,0),100),IFERROR(MATCH($A43,Zo!$F$39:$AQ$39,0),100),IFERROR(MATCH($A43,Zo!$F$40:$AQ$40,0),100),IFERROR(MATCH($A43,Zo!$F$41:$AQ$41,0),100),IFERROR(MATCH($A43,Zo!$F$42:$AQ$42,0),100),IFERROR(MATCH($A43,Zo!$F$43:$AQ$43,0),100),IFERROR(MATCH($A43,Zo!$F$44:$AQ$44,0),100),IFERROR(MATCH($A43,Zo!$F$45:$AQ$45,0),100),IFERROR(MATCH($A43,Zo!$F$46:$AQ$46,0),100),IFERROR(MATCH($A43,Zo!$F$47:$AQ$47,0),100),IFERROR(MATCH($A43,Zo!$F$48:$AQ$48,0),100),IFERROR(MATCH($A43,Zo!$F$49:$AQ$49,0),100),IFERROR(MATCH($A43,Zo!$F$50:$AQ$50,0),100),IFERROR(MATCH($A43,Zo!$F$51:$AQ$51,0),100),IFERROR(MATCH($A43,Zo!$F$52:$AQ$52,0),100),IFERROR(MATCH($A43,Zo!$F$53:$AQ$53,0),100),IFERROR(MATCH($A43,Zo!$F$54:$AQ$54,0),100),IFERROR(MATCH($A43,Zo!$F$55:$AQ$55,0),100),IFERROR(MATCH($A43,Zo!$F$56:$AQ$56,0),100),IFERROR(MATCH($A43,Zo!$F$57:$AQ$57,0),100),IFERROR(MATCH($A43,Zo!$F$58:$AQ$58,0),100),IFERROR(MATCH($A43,Zo!$F$59:$AQ$59,0),100),IFERROR(MATCH($A43,Zo!$F$60:$AQ$60,0),100),IFERROR(MATCH($A43,Zo!$F$61:$AQ$61,0),100),IFERROR(MATCH($A43,Zo!$F$62:$AQ$62,0),100),IFERROR(MATCH($A43,Zo!$F$63:$AQ$63,0),100),39)</f>
        <v/>
      </c>
      <c r="P43" s="66">
        <f>IFERROR(IF(VLOOKUP(INDEX(Zo!$B$12:$B$63,MATCH($A43,OFFSET( Zo!$F$12:$F$63,0,(O43*48)-(IF(O43=7/24,9,IF(O43=12.5/24,9,IF(O43=14/24,9,IF(O43=15.5/24,9,10)))))),0),0),Zo!$B$13:$C$63,2,FALSE)="TL","",INDEX(Zo!$B$12:$B$63,MATCH($A43,OFFSET( Zo!$F$12:$F$63,0,(O43*48)-(IF(O43=7/24,9,IF(O43=12.5/24,9,IF(O43=14/24,9,IF(O43=15.5/24,9,10)))))),0),0)),"")</f>
        <v/>
      </c>
    </row>
    <row r="44" ht="15" customHeight="1">
      <c r="A44" s="66" t="inlineStr">
        <is>
          <t>leeg</t>
        </is>
      </c>
      <c r="B44" s="67">
        <f>A44</f>
        <v/>
      </c>
      <c r="C44" s="857">
        <f>9/48+(1/48)*MIN(IFERROR(MATCH($A44,Ma!$F$13:$AQ$13,0),100),IFERROR(MATCH($A44,Ma!$F$14:$AQ$14,0),100),IFERROR(MATCH($A44,Ma!$F$15:$AQ$15,0),100),IFERROR(MATCH($A44,Ma!$F$16:$AQ$16,0),100),IFERROR(MATCH($A44,Ma!$F$17:$AQ$17,0),100),IFERROR(MATCH($A44,Ma!$F$18:$AQ$18,0),100),IFERROR(MATCH($A44,Ma!$F$19:$AQ$19,0),100),IFERROR(MATCH($A44,Ma!$F$20:$AQ$20,0),100),IFERROR(MATCH($A44,Ma!$F$21:$AQ$21,0),100),IFERROR(MATCH($A44,Ma!$F$22:$AQ$22,0),100),IFERROR(MATCH($A44,Ma!$F$23:$AQ$23,0),100),IFERROR(MATCH($A44,Ma!$F$24:$AQ$24,0),100),IFERROR(MATCH($A44,Ma!$F$25:$AQ$25,0),100),IFERROR(MATCH($A44,Ma!$F$26:$AQ$26,0),100),IFERROR(MATCH($A44,Ma!$F$27:$AQ$27,0),100),IFERROR(MATCH($A44,Ma!$F$28:$AQ$28,0),100),IFERROR(MATCH($A44,Ma!$F$29:$AQ$29,0),100),IFERROR(MATCH($A44,Ma!$F$30:$AQ$30,0),100),IFERROR(MATCH($A44,Ma!$F$31:$AQ$31,0),100),IFERROR(MATCH($A44,Ma!$F$32:$AQ$32,0),100),IFERROR(MATCH($A44,Ma!$F$33:$AQ$33,0),100),IFERROR(MATCH($A44,Ma!$F$34:$AQ$34,0),100),IFERROR(MATCH($A44,Ma!$F$35:$AQ$35,0),100),IFERROR(MATCH($A44,Ma!$F$36:$AQ$36,0),100),IFERROR(MATCH($A44,Ma!$F$37:$AQ$37,0),100),IFERROR(MATCH($A44,Ma!$F$38:$AQ$38,0),100),IFERROR(MATCH($A44,Ma!$F$39:$AQ$39,0),100),IFERROR(MATCH($A44,Ma!$F$40:$AQ$40,0),100),IFERROR(MATCH($A44,Ma!$F$41:$AQ$41,0),100),IFERROR(MATCH($A44,Ma!$F$42:$AQ$42,0),100),IFERROR(MATCH($A44,Ma!$F$43:$AQ$43,0),100),IFERROR(MATCH($A44,Ma!$F$44:$AQ$44,0),100),IFERROR(MATCH($A44,Ma!$F$45:$AQ$45,0),100),IFERROR(MATCH($A44,Ma!$F$46:$AQ$46,0),100),IFERROR(MATCH($A44,Ma!$F$47:$AQ$47,0),100),IFERROR(MATCH($A44,Ma!$F$48:$AQ$48,0),100),IFERROR(MATCH($A44,Ma!$F$49:$AQ$49,0),100),IFERROR(MATCH($A44,Ma!$F$50:$AQ$50,0),100),IFERROR(MATCH($A44,Ma!$F$51:$AQ$51,0),100),IFERROR(MATCH($A44,Ma!$F$52:$AQ$52,0),100),IFERROR(MATCH($A44,Ma!$F$53:$AQ$53,0),100),IFERROR(MATCH($A44,Ma!$F$54:$AQ$54,0),100),IFERROR(MATCH($A44,Ma!$F$55:$AQ$55,0),100),IFERROR(MATCH($A44,Ma!$F$56:$AQ$56,0),100),IFERROR(MATCH($A44,Ma!$F$57:$AQ$57,0),100),IFERROR(MATCH($A44,Ma!$F$58:$AQ$58,0),100),IFERROR(MATCH($A44,Ma!$F$59:$AQ$59,0),100),IFERROR(MATCH($A44,Ma!$F$60:$AQ$60,0),100),IFERROR(MATCH($A44,Ma!$F$61:$AQ$61,0),100),IFERROR(MATCH($A44,Ma!$F$62:$AQ$62,0),100),IFERROR(MATCH($A44,Ma!$F$63:$AQ$63,0),100),39)</f>
        <v/>
      </c>
      <c r="D44" s="66">
        <f>IFERROR(IF(VLOOKUP(INDEX(Ma!$B$12:$B$63,MATCH($A44,OFFSET( Ma!$F$12:$F$63,0,(C44*48)-(IF(C44=7/24,9,IF(C44=12.5/24,9,IF(C44=14/24,9,IF(C44=15.5/24,9,10)))))),0),0),Ma!$B$13:$C$63,2,FALSE)="TL","",INDEX(Ma!$B$12:$B$63,MATCH($A44,OFFSET( Ma!$F$12:$F$63,0,(C44*48)-(IF(C44=7/24,9,IF(C44=12.5/24,9,IF(C44=14/24,9,IF(C44=15.5/24,9,10)))))),0),0)),"")</f>
        <v/>
      </c>
      <c r="E44" s="857">
        <f>9/48+(1/48)*MIN(IFERROR(MATCH($A44,Di!$F$13:$AQ$13,0),100),IFERROR(MATCH($A44,Di!$F$14:$AQ$14,0),100),IFERROR(MATCH($A44,Di!$F$15:$AQ$15,0),100),IFERROR(MATCH($A44,Di!$F$16:$AQ$16,0),100),IFERROR(MATCH($A44,Di!$F$17:$AQ$17,0),100),IFERROR(MATCH($A44,Di!$F$18:$AQ$18,0),100),IFERROR(MATCH($A44,Di!$F$19:$AQ$19,0),100),IFERROR(MATCH($A44,Di!$F$20:$AQ$20,0),100),IFERROR(MATCH($A44,Di!$F$21:$AQ$21,0),100),IFERROR(MATCH($A44,Di!$F$22:$AQ$22,0),100),IFERROR(MATCH($A44,Di!$F$23:$AQ$23,0),100),IFERROR(MATCH($A44,Di!$F$24:$AQ$24,0),100),IFERROR(MATCH($A44,Di!$F$25:$AQ$25,0),100),IFERROR(MATCH($A44,Di!$F$26:$AQ$26,0),100),IFERROR(MATCH($A44,Di!$F$27:$AQ$27,0),100),IFERROR(MATCH($A44,Di!$F$28:$AQ$28,0),100),IFERROR(MATCH($A44,Di!$F$29:$AQ$29,0),100),IFERROR(MATCH($A44,Di!$F$30:$AQ$30,0),100),IFERROR(MATCH($A44,Di!$F$31:$AQ$31,0),100),IFERROR(MATCH($A44,Di!$F$32:$AQ$32,0),100),IFERROR(MATCH($A44,Di!$F$33:$AQ$33,0),100),IFERROR(MATCH($A44,Di!$F$34:$AQ$34,0),100),IFERROR(MATCH($A44,Di!$F$35:$AQ$35,0),100),IFERROR(MATCH($A44,Di!$F$36:$AQ$36,0),100),IFERROR(MATCH($A44,Di!$F$37:$AQ$37,0),100),IFERROR(MATCH($A44,Di!$F$38:$AQ$38,0),100),IFERROR(MATCH($A44,Di!$F$39:$AQ$39,0),100),IFERROR(MATCH($A44,Di!$F$40:$AQ$40,0),100),IFERROR(MATCH($A44,Di!$F$41:$AQ$41,0),100),IFERROR(MATCH($A44,Di!$F$42:$AQ$42,0),100),IFERROR(MATCH($A44,Di!$F$43:$AQ$43,0),100),IFERROR(MATCH($A44,Di!$F$44:$AQ$44,0),100),IFERROR(MATCH($A44,Di!$F$45:$AQ$45,0),100),IFERROR(MATCH($A44,Di!$F$46:$AQ$46,0),100),IFERROR(MATCH($A44,Di!$F$47:$AQ$47,0),100),IFERROR(MATCH($A44,Di!$F$48:$AQ$48,0),100),IFERROR(MATCH($A44,Di!$F$49:$AQ$49,0),100),IFERROR(MATCH($A44,Di!$F$50:$AQ$50,0),100),IFERROR(MATCH($A44,Di!$F$51:$AQ$51,0),100),IFERROR(MATCH($A44,Di!$F$52:$AQ$52,0),100),IFERROR(MATCH($A44,Di!$F$53:$AQ$53,0),100),IFERROR(MATCH($A44,Di!$F$54:$AQ$54,0),100),IFERROR(MATCH($A44,Di!$F$55:$AQ$55,0),100),IFERROR(MATCH($A44,Di!$F$56:$AQ$56,0),100),IFERROR(MATCH($A44,Di!$F$57:$AQ$57,0),100),IFERROR(MATCH($A44,Di!$F$58:$AQ$58,0),100),IFERROR(MATCH($A44,Di!$F$59:$AQ$59,0),100),IFERROR(MATCH($A44,Di!$F$60:$AQ$60,0),100),IFERROR(MATCH($A44,Di!$F$61:$AQ$61,0),100),IFERROR(MATCH($A44,Di!$F$62:$AQ$62,0),100),IFERROR(MATCH($A44,Di!$F$63:$AQ$63,0),100),39)</f>
        <v/>
      </c>
      <c r="F44" s="66">
        <f>IFERROR(IF(VLOOKUP(INDEX(Di!$B$12:$B$63,MATCH($A44,OFFSET( Di!$F$12:$F$63,0,(E44*48)-(IF(E44=7/24,9,IF(E44=12.5/24,9,IF(E44=14/24,9,IF(E44=15.5/24,9,10)))))),0),0),Di!$B$13:$C$63,2,FALSE)="TL","",INDEX(Di!$B$12:$B$63,MATCH($A44,OFFSET( Di!$F$12:$F$63,0,(E44*48)-(IF(E44=7/24,9,IF(E44=12.5/24,9,IF(E44=14/24,9,IF(E44=15.5/24,9,10)))))),0),0)),"")</f>
        <v/>
      </c>
      <c r="G44" s="857">
        <f>9/48+(1/48)*MIN(IFERROR(MATCH($A44,Wo!$F$13:$AQ$13,0),100),IFERROR(MATCH($A44,Wo!$F$14:$AQ$14,0),100),IFERROR(MATCH($A44,Wo!$F$15:$AQ$15,0),100),IFERROR(MATCH($A44,Wo!$F$16:$AQ$16,0),100),IFERROR(MATCH($A44,Wo!$F$17:$AQ$17,0),100),IFERROR(MATCH($A44,Wo!$F$18:$AQ$18,0),100),IFERROR(MATCH($A44,Wo!$F$19:$AQ$19,0),100),IFERROR(MATCH($A44,Wo!$F$20:$AQ$20,0),100),IFERROR(MATCH($A44,Wo!$F$21:$AQ$21,0),100),IFERROR(MATCH($A44,Wo!$F$22:$AQ$22,0),100),IFERROR(MATCH($A44,Wo!$F$23:$AQ$23,0),100),IFERROR(MATCH($A44,Wo!$F$24:$AQ$24,0),100),IFERROR(MATCH($A44,Wo!$F$25:$AQ$25,0),100),IFERROR(MATCH($A44,Wo!$F$26:$AQ$26,0),100),IFERROR(MATCH($A44,Wo!$F$27:$AQ$27,0),100),IFERROR(MATCH($A44,Wo!$F$28:$AQ$28,0),100),IFERROR(MATCH($A44,Wo!$F$29:$AQ$29,0),100),IFERROR(MATCH($A44,Wo!$F$30:$AQ$30,0),100),IFERROR(MATCH($A44,Wo!$F$31:$AQ$31,0),100),IFERROR(MATCH($A44,Wo!$F$32:$AQ$32,0),100),IFERROR(MATCH($A44,Wo!$F$33:$AQ$33,0),100),IFERROR(MATCH($A44,Wo!$F$34:$AQ$34,0),100),IFERROR(MATCH($A44,Wo!$F$35:$AQ$35,0),100),IFERROR(MATCH($A44,Wo!$F$36:$AQ$36,0),100),IFERROR(MATCH($A44,Wo!$F$37:$AQ$37,0),100),IFERROR(MATCH($A44,Wo!$F$38:$AQ$38,0),100),IFERROR(MATCH($A44,Wo!$F$39:$AQ$39,0),100),IFERROR(MATCH($A44,Wo!$F$40:$AQ$40,0),100),IFERROR(MATCH($A44,Wo!$F$41:$AQ$41,0),100),IFERROR(MATCH($A44,Wo!$F$42:$AQ$42,0),100),IFERROR(MATCH($A44,Wo!$F$43:$AQ$43,0),100),IFERROR(MATCH($A44,Wo!$F$44:$AQ$44,0),100),IFERROR(MATCH($A44,Wo!$F$45:$AQ$45,0),100),IFERROR(MATCH($A44,Wo!$F$46:$AQ$46,0),100),IFERROR(MATCH($A44,Wo!$F$47:$AQ$47,0),100),IFERROR(MATCH($A44,Wo!$F$48:$AQ$48,0),100),IFERROR(MATCH($A44,Wo!$F$49:$AQ$49,0),100),IFERROR(MATCH($A44,Wo!$F$50:$AQ$50,0),100),IFERROR(MATCH($A44,Wo!$F$51:$AQ$51,0),100),IFERROR(MATCH($A44,Wo!$F$52:$AQ$52,0),100),IFERROR(MATCH($A44,Wo!$F$53:$AQ$53,0),100),IFERROR(MATCH($A44,Wo!$F$54:$AQ$54,0),100),IFERROR(MATCH($A44,Wo!$F$55:$AQ$55,0),100),IFERROR(MATCH($A44,Wo!$F$56:$AQ$56,0),100),IFERROR(MATCH($A44,Wo!$F$57:$AQ$57,0),100),IFERROR(MATCH($A44,Wo!$F$58:$AQ$58,0),100),IFERROR(MATCH($A44,Wo!$F$59:$AQ$59,0),100),IFERROR(MATCH($A44,Wo!$F$60:$AQ$60,0),100),IFERROR(MATCH($A44,Wo!$F$61:$AQ$61,0),100),IFERROR(MATCH($A44,Wo!$F$62:$AQ$62,0),100),IFERROR(MATCH($A44,Wo!$F$63:$AQ$63,0),100),39)</f>
        <v/>
      </c>
      <c r="H44" s="66">
        <f>IFERROR(IF(VLOOKUP(INDEX(Wo!$B$12:$B$63,MATCH($A44,OFFSET( Wo!$F$12:$F$63,0,(G44*48)-(IF(G44=7/24,9,IF(G44=12.5/24,9,IF(G44=14/24,9,IF(G44=15.5/24,9,10)))))),0),0),Wo!$B$13:$C$63,2,FALSE)="TL","",INDEX(Wo!$B$12:$B$63,MATCH($A44,OFFSET( Wo!$F$12:$F$63,0,(G44*48)-(IF(G44=7/24,9,IF(G44=12.5/24,9,IF(G44=14/24,9,IF(G44=15.5/24,9,10)))))),0),0)),"")</f>
        <v/>
      </c>
      <c r="I44" s="857">
        <f>9/48+(1/48)*MIN(IFERROR(MATCH($A44,Do!$F$13:$AQ$13,0),100),IFERROR(MATCH($A44,Do!$F$14:$AQ$14,0),100),IFERROR(MATCH($A44,Do!$F$15:$AQ$15,0),100),IFERROR(MATCH($A44,Do!$F$16:$AQ$16,0),100),IFERROR(MATCH($A44,Do!$F$17:$AQ$17,0),100),IFERROR(MATCH($A44,Do!$F$18:$AQ$18,0),100),IFERROR(MATCH($A44,Do!$F$19:$AQ$19,0),100),IFERROR(MATCH($A44,Do!$F$20:$AQ$20,0),100),IFERROR(MATCH($A44,Do!$F$21:$AQ$21,0),100),IFERROR(MATCH($A44,Do!$F$22:$AQ$22,0),100),IFERROR(MATCH($A44,Do!$F$23:$AQ$23,0),100),IFERROR(MATCH($A44,Do!$F$24:$AQ$24,0),100),IFERROR(MATCH($A44,Do!$F$25:$AQ$25,0),100),IFERROR(MATCH($A44,Do!$F$26:$AQ$26,0),100),IFERROR(MATCH($A44,Do!$F$27:$AQ$27,0),100),IFERROR(MATCH($A44,Do!$F$28:$AQ$28,0),100),IFERROR(MATCH($A44,Do!$F$29:$AQ$29,0),100),IFERROR(MATCH($A44,Do!$F$30:$AQ$30,0),100),IFERROR(MATCH($A44,Do!$F$31:$AQ$31,0),100),IFERROR(MATCH($A44,Do!$F$32:$AQ$32,0),100),IFERROR(MATCH($A44,Do!$F$33:$AQ$33,0),100),IFERROR(MATCH($A44,Do!$F$34:$AQ$34,0),100),IFERROR(MATCH($A44,Do!$F$35:$AQ$35,0),100),IFERROR(MATCH($A44,Do!$F$36:$AQ$36,0),100),IFERROR(MATCH($A44,Do!$F$37:$AQ$37,0),100),IFERROR(MATCH($A44,Do!$F$38:$AQ$38,0),100),IFERROR(MATCH($A44,Do!$F$39:$AQ$39,0),100),IFERROR(MATCH($A44,Do!$F$40:$AQ$40,0),100),IFERROR(MATCH($A44,Do!$F$41:$AQ$41,0),100),IFERROR(MATCH($A44,Do!$F$42:$AQ$42,0),100),IFERROR(MATCH($A44,Do!$F$43:$AQ$43,0),100),IFERROR(MATCH($A44,Do!$F$44:$AQ$44,0),100),IFERROR(MATCH($A44,Do!$F$45:$AQ$45,0),100),IFERROR(MATCH($A44,Do!$F$46:$AQ$46,0),100),IFERROR(MATCH($A44,Do!$F$47:$AQ$47,0),100),IFERROR(MATCH($A44,Do!$F$48:$AQ$48,0),100),IFERROR(MATCH($A44,Do!$F$49:$AQ$49,0),100),IFERROR(MATCH($A44,Do!$F$50:$AQ$50,0),100),IFERROR(MATCH($A44,Do!$F$51:$AQ$51,0),100),IFERROR(MATCH($A44,Do!$F$52:$AQ$52,0),100),IFERROR(MATCH($A44,Do!$F$53:$AQ$53,0),100),IFERROR(MATCH($A44,Do!$F$54:$AQ$54,0),100),IFERROR(MATCH($A44,Do!$F$55:$AQ$55,0),100),IFERROR(MATCH($A44,Do!$F$56:$AQ$56,0),100),IFERROR(MATCH($A44,Do!$F$57:$AQ$57,0),100),IFERROR(MATCH($A44,Do!$F$58:$AQ$58,0),100),IFERROR(MATCH($A44,Do!$F$59:$AQ$59,0),100),IFERROR(MATCH($A44,Do!$F$60:$AQ$60,0),100),IFERROR(MATCH($A44,Do!$F$61:$AQ$61,0),100),IFERROR(MATCH($A44,Do!$F$62:$AQ$62,0),100),IFERROR(MATCH($A44,Do!$F$63:$AQ$63,0),100),39)</f>
        <v/>
      </c>
      <c r="J44" s="66">
        <f>IFERROR(IF(VLOOKUP(INDEX(Do!$B$12:$B$63,MATCH($A44,OFFSET( Do!$F$12:$F$63,0,(I44*48)-(IF(I44=7/24,9,IF(I44=12.5/24,9,IF(I44=14/24,9,IF(I44=15.5/24,9,10)))))),0),0),Do!$B$13:$C$63,2,FALSE)="TL","",INDEX(Do!$B$12:$B$63,MATCH($A44,OFFSET( Do!$F$12:$F$63,0,(I44*48)-(IF(I44=7/24,9,IF(I44=12.5/24,9,IF(I44=14/24,9,IF(I44=15.5/24,9,10)))))),0),0)),"")</f>
        <v/>
      </c>
      <c r="K44" s="857">
        <f>9/48+(1/48)*MIN(IFERROR(MATCH($A44,Vr!$F$13:$AQ$13,0),100),IFERROR(MATCH($A44,Vr!$F$14:$AQ$14,0),100),IFERROR(MATCH($A44,Vr!$F$15:$AQ$15,0),100),IFERROR(MATCH($A44,Vr!$F$16:$AQ$16,0),100),IFERROR(MATCH($A44,Vr!$F$17:$AQ$17,0),100),IFERROR(MATCH($A44,Vr!$F$18:$AQ$18,0),100),IFERROR(MATCH($A44,Vr!$F$19:$AQ$19,0),100),IFERROR(MATCH($A44,Vr!$F$20:$AQ$20,0),100),IFERROR(MATCH($A44,Vr!$F$21:$AQ$21,0),100),IFERROR(MATCH($A44,Vr!$F$22:$AQ$22,0),100),IFERROR(MATCH($A44,Vr!$F$23:$AQ$23,0),100),IFERROR(MATCH($A44,Vr!$F$24:$AQ$24,0),100),IFERROR(MATCH($A44,Vr!$F$25:$AQ$25,0),100),IFERROR(MATCH($A44,Vr!$F$26:$AQ$26,0),100),IFERROR(MATCH($A44,Vr!$F$27:$AQ$27,0),100),IFERROR(MATCH($A44,Vr!$F$28:$AQ$28,0),100),IFERROR(MATCH($A44,Vr!$F$29:$AQ$29,0),100),IFERROR(MATCH($A44,Vr!$F$30:$AQ$30,0),100),IFERROR(MATCH($A44,Vr!$F$31:$AQ$31,0),100),IFERROR(MATCH($A44,Vr!$F$32:$AQ$32,0),100),IFERROR(MATCH($A44,Vr!$F$33:$AQ$33,0),100),IFERROR(MATCH($A44,Vr!$F$34:$AQ$34,0),100),IFERROR(MATCH($A44,Vr!$F$35:$AQ$35,0),100),IFERROR(MATCH($A44,Vr!$F$36:$AQ$36,0),100),IFERROR(MATCH($A44,Vr!$F$37:$AQ$37,0),100),IFERROR(MATCH($A44,Vr!$F$38:$AQ$38,0),100),IFERROR(MATCH($A44,Vr!$F$39:$AQ$39,0),100),IFERROR(MATCH($A44,Vr!$F$40:$AQ$40,0),100),IFERROR(MATCH($A44,Vr!$F$41:$AQ$41,0),100),IFERROR(MATCH($A44,Vr!$F$42:$AQ$42,0),100),IFERROR(MATCH($A44,Vr!$F$43:$AQ$43,0),100),IFERROR(MATCH($A44,Vr!$F$44:$AQ$44,0),100),IFERROR(MATCH($A44,Vr!$F$45:$AQ$45,0),100),IFERROR(MATCH($A44,Vr!$F$46:$AQ$46,0),100),IFERROR(MATCH($A44,Vr!$F$47:$AQ$47,0),100),IFERROR(MATCH($A44,Vr!$F$48:$AQ$48,0),100),IFERROR(MATCH($A44,Vr!$F$49:$AQ$49,0),100),IFERROR(MATCH($A44,Vr!$F$50:$AQ$50,0),100),IFERROR(MATCH($A44,Vr!$F$51:$AQ$51,0),100),IFERROR(MATCH($A44,Vr!$F$52:$AQ$52,0),100),IFERROR(MATCH($A44,Vr!$F$53:$AQ$53,0),100),IFERROR(MATCH($A44,Vr!$F$54:$AQ$54,0),100),IFERROR(MATCH($A44,Vr!$F$55:$AQ$55,0),100),IFERROR(MATCH($A44,Vr!$F$56:$AQ$56,0),100),IFERROR(MATCH($A44,Vr!$F$57:$AQ$57,0),100),IFERROR(MATCH($A44,Vr!$F$58:$AQ$58,0),100),IFERROR(MATCH($A44,Vr!$F$59:$AQ$59,0),100),IFERROR(MATCH($A44,Vr!$F$60:$AQ$60,0),100),IFERROR(MATCH($A44,Vr!$F$61:$AQ$61,0),100),IFERROR(MATCH($A44,Vr!$F$62:$AQ$62,0),100),IFERROR(MATCH($A44,Vr!$F$63:$AQ$63,0),100),39)</f>
        <v/>
      </c>
      <c r="L44" s="66">
        <f>IFERROR(IF(VLOOKUP(INDEX(Vr!$B$12:$B$63,MATCH($A44,OFFSET( Vr!$F$12:$F$63,0,(K44*48)-(IF(K44=7/24,9,IF(K44=12.5/24,9,IF(K44=14/24,9,IF(K44=15.5/24,9,10)))))),0),0),Vr!$B$13:$C$63,2,FALSE)="TL","",INDEX(Vr!$B$12:$B$63,MATCH($A44,OFFSET( Vr!$F$12:$F$63,0,(K44*48)-(IF(K44=7/24,9,IF(K44=12.5/24,9,IF(K44=14/24,9,IF(K44=15.5/24,9,10)))))),0),0)),"")</f>
        <v/>
      </c>
      <c r="M44" s="857">
        <f>9/48+(1/48)*MIN(IFERROR(MATCH($A44,Za!$F$13:$AQ$13,0),100),IFERROR(MATCH($A44,Za!$F$14:$AQ$14,0),100),IFERROR(MATCH($A44,Za!$F$15:$AQ$15,0),100),IFERROR(MATCH($A44,Za!$F$16:$AQ$16,0),100),IFERROR(MATCH($A44,Za!$F$17:$AQ$17,0),100),IFERROR(MATCH($A44,Za!$F$18:$AQ$18,0),100),IFERROR(MATCH($A44,Za!$F$19:$AQ$19,0),100),IFERROR(MATCH($A44,Za!$F$20:$AQ$20,0),100),IFERROR(MATCH($A44,Za!$F$21:$AQ$21,0),100),IFERROR(MATCH($A44,Za!$F$22:$AQ$22,0),100),IFERROR(MATCH($A44,Za!$F$23:$AQ$23,0),100),IFERROR(MATCH($A44,Za!$F$24:$AQ$24,0),100),IFERROR(MATCH($A44,Za!$F$25:$AQ$25,0),100),IFERROR(MATCH($A44,Za!$F$26:$AQ$26,0),100),IFERROR(MATCH($A44,Za!$F$27:$AQ$27,0),100),IFERROR(MATCH($A44,Za!$F$28:$AQ$28,0),100),IFERROR(MATCH($A44,Za!$F$29:$AQ$29,0),100),IFERROR(MATCH($A44,Za!$F$30:$AQ$30,0),100),IFERROR(MATCH($A44,Za!$F$31:$AQ$31,0),100),IFERROR(MATCH($A44,Za!$F$32:$AQ$32,0),100),IFERROR(MATCH($A44,Za!$F$33:$AQ$33,0),100),IFERROR(MATCH($A44,Za!$F$34:$AQ$34,0),100),IFERROR(MATCH($A44,Za!$F$35:$AQ$35,0),100),IFERROR(MATCH($A44,Za!$F$36:$AQ$36,0),100),IFERROR(MATCH($A44,Za!$F$37:$AQ$37,0),100),IFERROR(MATCH($A44,Za!$F$38:$AQ$38,0),100),IFERROR(MATCH($A44,Za!$F$39:$AQ$39,0),100),IFERROR(MATCH($A44,Za!$F$40:$AQ$40,0),100),IFERROR(MATCH($A44,Za!$F$41:$AQ$41,0),100),IFERROR(MATCH($A44,Za!$F$42:$AQ$42,0),100),IFERROR(MATCH($A44,Za!$F$43:$AQ$43,0),100),IFERROR(MATCH($A44,Za!$F$44:$AQ$44,0),100),IFERROR(MATCH($A44,Za!$F$45:$AQ$45,0),100),IFERROR(MATCH($A44,Za!$F$46:$AQ$46,0),100),IFERROR(MATCH($A44,Za!$F$47:$AQ$47,0),100),IFERROR(MATCH($A44,Za!$F$48:$AQ$48,0),100),IFERROR(MATCH($A44,Za!$F$49:$AQ$49,0),100),IFERROR(MATCH($A44,Za!$F$50:$AQ$50,0),100),IFERROR(MATCH($A44,Za!$F$51:$AQ$51,0),100),IFERROR(MATCH($A44,Za!$F$52:$AQ$52,0),100),IFERROR(MATCH($A44,Za!$F$53:$AQ$53,0),100),IFERROR(MATCH($A44,Za!$F$54:$AQ$54,0),100),IFERROR(MATCH($A44,Za!$F$55:$AQ$55,0),100),IFERROR(MATCH($A44,Za!$F$56:$AQ$56,0),100),IFERROR(MATCH($A44,Za!$F$57:$AQ$57,0),100),IFERROR(MATCH($A44,Za!$F$58:$AQ$58,0),100),IFERROR(MATCH($A44,Za!$F$59:$AQ$59,0),100),IFERROR(MATCH($A44,Za!$F$60:$AQ$60,0),100),IFERROR(MATCH($A44,Za!$F$61:$AQ$61,0),100),IFERROR(MATCH($A44,Za!$F$62:$AQ$62,0),100),IFERROR(MATCH($A44,Za!$F$63:$AQ$63,0),100),39)</f>
        <v/>
      </c>
      <c r="N44" s="66">
        <f>IFERROR(IF(VLOOKUP(INDEX(Za!$B$12:$B$63,MATCH($A44,OFFSET( Za!$F$12:$F$63,0,(M44*48)-(IF(M44=7/24,9,IF(M44=12.5/24,9,IF(M44=14/24,9,IF(M44=15.5/24,9,10)))))),0),0),Za!$B$13:$C$63,2,FALSE)="TL","",INDEX(Za!$B$12:$B$63,MATCH($A44,OFFSET( Za!$F$12:$F$63,0,(M44*48)-(IF(M44=7/24,9,IF(M44=12.5/24,9,IF(M44=14/24,9,IF(M44=15.5/24,9,10)))))),0),0)),"")</f>
        <v/>
      </c>
      <c r="O44" s="857">
        <f>9/48+(1/48)*MIN(IFERROR(MATCH($A44,Zo!$F$13:$AQ$13,0),100),IFERROR(MATCH($A44,Zo!$F$14:$AQ$14,0),100),IFERROR(MATCH($A44,Zo!$F$15:$AQ$15,0),100),IFERROR(MATCH($A44,Zo!$F$16:$AQ$16,0),100),IFERROR(MATCH($A44,Zo!$F$17:$AQ$17,0),100),IFERROR(MATCH($A44,Zo!$F$18:$AQ$18,0),100),IFERROR(MATCH($A44,Zo!$F$19:$AQ$19,0),100),IFERROR(MATCH($A44,Zo!$F$20:$AQ$20,0),100),IFERROR(MATCH($A44,Zo!$F$21:$AQ$21,0),100),IFERROR(MATCH($A44,Zo!$F$22:$AQ$22,0),100),IFERROR(MATCH($A44,Zo!$F$23:$AQ$23,0),100),IFERROR(MATCH($A44,Zo!$F$24:$AQ$24,0),100),IFERROR(MATCH($A44,Zo!$F$25:$AQ$25,0),100),IFERROR(MATCH($A44,Zo!$F$26:$AQ$26,0),100),IFERROR(MATCH($A44,Zo!$F$27:$AQ$27,0),100),IFERROR(MATCH($A44,Zo!$F$28:$AQ$28,0),100),IFERROR(MATCH($A44,Zo!$F$29:$AQ$29,0),100),IFERROR(MATCH($A44,Zo!$F$30:$AQ$30,0),100),IFERROR(MATCH($A44,Zo!$F$31:$AQ$31,0),100),IFERROR(MATCH($A44,Zo!$F$32:$AQ$32,0),100),IFERROR(MATCH($A44,Zo!$F$33:$AQ$33,0),100),IFERROR(MATCH($A44,Zo!$F$34:$AQ$34,0),100),IFERROR(MATCH($A44,Zo!$F$35:$AQ$35,0),100),IFERROR(MATCH($A44,Zo!$F$36:$AQ$36,0),100),IFERROR(MATCH($A44,Zo!$F$37:$AQ$37,0),100),IFERROR(MATCH($A44,Zo!$F$38:$AQ$38,0),100),IFERROR(MATCH($A44,Zo!$F$39:$AQ$39,0),100),IFERROR(MATCH($A44,Zo!$F$40:$AQ$40,0),100),IFERROR(MATCH($A44,Zo!$F$41:$AQ$41,0),100),IFERROR(MATCH($A44,Zo!$F$42:$AQ$42,0),100),IFERROR(MATCH($A44,Zo!$F$43:$AQ$43,0),100),IFERROR(MATCH($A44,Zo!$F$44:$AQ$44,0),100),IFERROR(MATCH($A44,Zo!$F$45:$AQ$45,0),100),IFERROR(MATCH($A44,Zo!$F$46:$AQ$46,0),100),IFERROR(MATCH($A44,Zo!$F$47:$AQ$47,0),100),IFERROR(MATCH($A44,Zo!$F$48:$AQ$48,0),100),IFERROR(MATCH($A44,Zo!$F$49:$AQ$49,0),100),IFERROR(MATCH($A44,Zo!$F$50:$AQ$50,0),100),IFERROR(MATCH($A44,Zo!$F$51:$AQ$51,0),100),IFERROR(MATCH($A44,Zo!$F$52:$AQ$52,0),100),IFERROR(MATCH($A44,Zo!$F$53:$AQ$53,0),100),IFERROR(MATCH($A44,Zo!$F$54:$AQ$54,0),100),IFERROR(MATCH($A44,Zo!$F$55:$AQ$55,0),100),IFERROR(MATCH($A44,Zo!$F$56:$AQ$56,0),100),IFERROR(MATCH($A44,Zo!$F$57:$AQ$57,0),100),IFERROR(MATCH($A44,Zo!$F$58:$AQ$58,0),100),IFERROR(MATCH($A44,Zo!$F$59:$AQ$59,0),100),IFERROR(MATCH($A44,Zo!$F$60:$AQ$60,0),100),IFERROR(MATCH($A44,Zo!$F$61:$AQ$61,0),100),IFERROR(MATCH($A44,Zo!$F$62:$AQ$62,0),100),IFERROR(MATCH($A44,Zo!$F$63:$AQ$63,0),100),39)</f>
        <v/>
      </c>
      <c r="P44" s="66">
        <f>IFERROR(IF(VLOOKUP(INDEX(Zo!$B$12:$B$63,MATCH($A44,OFFSET( Zo!$F$12:$F$63,0,(O44*48)-(IF(O44=7/24,9,IF(O44=12.5/24,9,IF(O44=14/24,9,IF(O44=15.5/24,9,10)))))),0),0),Zo!$B$13:$C$63,2,FALSE)="TL","",INDEX(Zo!$B$12:$B$63,MATCH($A44,OFFSET( Zo!$F$12:$F$63,0,(O44*48)-(IF(O44=7/24,9,IF(O44=12.5/24,9,IF(O44=14/24,9,IF(O44=15.5/24,9,10)))))),0),0)),"")</f>
        <v/>
      </c>
    </row>
    <row r="45" ht="15" customHeight="1">
      <c r="A45" s="66" t="inlineStr">
        <is>
          <t>leeg</t>
        </is>
      </c>
      <c r="B45" s="67">
        <f>A45</f>
        <v/>
      </c>
      <c r="C45" s="857">
        <f>9/48+(1/48)*MIN(IFERROR(MATCH($A45,Ma!$F$13:$AQ$13,0),100),IFERROR(MATCH($A45,Ma!$F$14:$AQ$14,0),100),IFERROR(MATCH($A45,Ma!$F$15:$AQ$15,0),100),IFERROR(MATCH($A45,Ma!$F$16:$AQ$16,0),100),IFERROR(MATCH($A45,Ma!$F$17:$AQ$17,0),100),IFERROR(MATCH($A45,Ma!$F$18:$AQ$18,0),100),IFERROR(MATCH($A45,Ma!$F$19:$AQ$19,0),100),IFERROR(MATCH($A45,Ma!$F$20:$AQ$20,0),100),IFERROR(MATCH($A45,Ma!$F$21:$AQ$21,0),100),IFERROR(MATCH($A45,Ma!$F$22:$AQ$22,0),100),IFERROR(MATCH($A45,Ma!$F$23:$AQ$23,0),100),IFERROR(MATCH($A45,Ma!$F$24:$AQ$24,0),100),IFERROR(MATCH($A45,Ma!$F$25:$AQ$25,0),100),IFERROR(MATCH($A45,Ma!$F$26:$AQ$26,0),100),IFERROR(MATCH($A45,Ma!$F$27:$AQ$27,0),100),IFERROR(MATCH($A45,Ma!$F$28:$AQ$28,0),100),IFERROR(MATCH($A45,Ma!$F$29:$AQ$29,0),100),IFERROR(MATCH($A45,Ma!$F$30:$AQ$30,0),100),IFERROR(MATCH($A45,Ma!$F$31:$AQ$31,0),100),IFERROR(MATCH($A45,Ma!$F$32:$AQ$32,0),100),IFERROR(MATCH($A45,Ma!$F$33:$AQ$33,0),100),IFERROR(MATCH($A45,Ma!$F$34:$AQ$34,0),100),IFERROR(MATCH($A45,Ma!$F$35:$AQ$35,0),100),IFERROR(MATCH($A45,Ma!$F$36:$AQ$36,0),100),IFERROR(MATCH($A45,Ma!$F$37:$AQ$37,0),100),IFERROR(MATCH($A45,Ma!$F$38:$AQ$38,0),100),IFERROR(MATCH($A45,Ma!$F$39:$AQ$39,0),100),IFERROR(MATCH($A45,Ma!$F$40:$AQ$40,0),100),IFERROR(MATCH($A45,Ma!$F$41:$AQ$41,0),100),IFERROR(MATCH($A45,Ma!$F$42:$AQ$42,0),100),IFERROR(MATCH($A45,Ma!$F$43:$AQ$43,0),100),IFERROR(MATCH($A45,Ma!$F$44:$AQ$44,0),100),IFERROR(MATCH($A45,Ma!$F$45:$AQ$45,0),100),IFERROR(MATCH($A45,Ma!$F$46:$AQ$46,0),100),IFERROR(MATCH($A45,Ma!$F$47:$AQ$47,0),100),IFERROR(MATCH($A45,Ma!$F$48:$AQ$48,0),100),IFERROR(MATCH($A45,Ma!$F$49:$AQ$49,0),100),IFERROR(MATCH($A45,Ma!$F$50:$AQ$50,0),100),IFERROR(MATCH($A45,Ma!$F$51:$AQ$51,0),100),IFERROR(MATCH($A45,Ma!$F$52:$AQ$52,0),100),IFERROR(MATCH($A45,Ma!$F$53:$AQ$53,0),100),IFERROR(MATCH($A45,Ma!$F$54:$AQ$54,0),100),IFERROR(MATCH($A45,Ma!$F$55:$AQ$55,0),100),IFERROR(MATCH($A45,Ma!$F$56:$AQ$56,0),100),IFERROR(MATCH($A45,Ma!$F$57:$AQ$57,0),100),IFERROR(MATCH($A45,Ma!$F$58:$AQ$58,0),100),IFERROR(MATCH($A45,Ma!$F$59:$AQ$59,0),100),IFERROR(MATCH($A45,Ma!$F$60:$AQ$60,0),100),IFERROR(MATCH($A45,Ma!$F$61:$AQ$61,0),100),IFERROR(MATCH($A45,Ma!$F$62:$AQ$62,0),100),IFERROR(MATCH($A45,Ma!$F$63:$AQ$63,0),100),39)</f>
        <v/>
      </c>
      <c r="D45" s="66">
        <f>IFERROR(IF(VLOOKUP(INDEX(Ma!$B$12:$B$63,MATCH($A45,OFFSET( Ma!$F$12:$F$63,0,(C45*48)-(IF(C45=7/24,9,IF(C45=12.5/24,9,IF(C45=14/24,9,IF(C45=15.5/24,9,10)))))),0),0),Ma!$B$13:$C$63,2,FALSE)="TL","",INDEX(Ma!$B$12:$B$63,MATCH($A45,OFFSET( Ma!$F$12:$F$63,0,(C45*48)-(IF(C45=7/24,9,IF(C45=12.5/24,9,IF(C45=14/24,9,IF(C45=15.5/24,9,10)))))),0),0)),"")</f>
        <v/>
      </c>
      <c r="E45" s="857">
        <f>9/48+(1/48)*MIN(IFERROR(MATCH($A45,Di!$F$13:$AQ$13,0),100),IFERROR(MATCH($A45,Di!$F$14:$AQ$14,0),100),IFERROR(MATCH($A45,Di!$F$15:$AQ$15,0),100),IFERROR(MATCH($A45,Di!$F$16:$AQ$16,0),100),IFERROR(MATCH($A45,Di!$F$17:$AQ$17,0),100),IFERROR(MATCH($A45,Di!$F$18:$AQ$18,0),100),IFERROR(MATCH($A45,Di!$F$19:$AQ$19,0),100),IFERROR(MATCH($A45,Di!$F$20:$AQ$20,0),100),IFERROR(MATCH($A45,Di!$F$21:$AQ$21,0),100),IFERROR(MATCH($A45,Di!$F$22:$AQ$22,0),100),IFERROR(MATCH($A45,Di!$F$23:$AQ$23,0),100),IFERROR(MATCH($A45,Di!$F$24:$AQ$24,0),100),IFERROR(MATCH($A45,Di!$F$25:$AQ$25,0),100),IFERROR(MATCH($A45,Di!$F$26:$AQ$26,0),100),IFERROR(MATCH($A45,Di!$F$27:$AQ$27,0),100),IFERROR(MATCH($A45,Di!$F$28:$AQ$28,0),100),IFERROR(MATCH($A45,Di!$F$29:$AQ$29,0),100),IFERROR(MATCH($A45,Di!$F$30:$AQ$30,0),100),IFERROR(MATCH($A45,Di!$F$31:$AQ$31,0),100),IFERROR(MATCH($A45,Di!$F$32:$AQ$32,0),100),IFERROR(MATCH($A45,Di!$F$33:$AQ$33,0),100),IFERROR(MATCH($A45,Di!$F$34:$AQ$34,0),100),IFERROR(MATCH($A45,Di!$F$35:$AQ$35,0),100),IFERROR(MATCH($A45,Di!$F$36:$AQ$36,0),100),IFERROR(MATCH($A45,Di!$F$37:$AQ$37,0),100),IFERROR(MATCH($A45,Di!$F$38:$AQ$38,0),100),IFERROR(MATCH($A45,Di!$F$39:$AQ$39,0),100),IFERROR(MATCH($A45,Di!$F$40:$AQ$40,0),100),IFERROR(MATCH($A45,Di!$F$41:$AQ$41,0),100),IFERROR(MATCH($A45,Di!$F$42:$AQ$42,0),100),IFERROR(MATCH($A45,Di!$F$43:$AQ$43,0),100),IFERROR(MATCH($A45,Di!$F$44:$AQ$44,0),100),IFERROR(MATCH($A45,Di!$F$45:$AQ$45,0),100),IFERROR(MATCH($A45,Di!$F$46:$AQ$46,0),100),IFERROR(MATCH($A45,Di!$F$47:$AQ$47,0),100),IFERROR(MATCH($A45,Di!$F$48:$AQ$48,0),100),IFERROR(MATCH($A45,Di!$F$49:$AQ$49,0),100),IFERROR(MATCH($A45,Di!$F$50:$AQ$50,0),100),IFERROR(MATCH($A45,Di!$F$51:$AQ$51,0),100),IFERROR(MATCH($A45,Di!$F$52:$AQ$52,0),100),IFERROR(MATCH($A45,Di!$F$53:$AQ$53,0),100),IFERROR(MATCH($A45,Di!$F$54:$AQ$54,0),100),IFERROR(MATCH($A45,Di!$F$55:$AQ$55,0),100),IFERROR(MATCH($A45,Di!$F$56:$AQ$56,0),100),IFERROR(MATCH($A45,Di!$F$57:$AQ$57,0),100),IFERROR(MATCH($A45,Di!$F$58:$AQ$58,0),100),IFERROR(MATCH($A45,Di!$F$59:$AQ$59,0),100),IFERROR(MATCH($A45,Di!$F$60:$AQ$60,0),100),IFERROR(MATCH($A45,Di!$F$61:$AQ$61,0),100),IFERROR(MATCH($A45,Di!$F$62:$AQ$62,0),100),IFERROR(MATCH($A45,Di!$F$63:$AQ$63,0),100),39)</f>
        <v/>
      </c>
      <c r="F45" s="66">
        <f>IFERROR(IF(VLOOKUP(INDEX(Di!$B$12:$B$63,MATCH($A45,OFFSET( Di!$F$12:$F$63,0,(E45*48)-(IF(E45=7/24,9,IF(E45=12.5/24,9,IF(E45=14/24,9,IF(E45=15.5/24,9,10)))))),0),0),Di!$B$13:$C$63,2,FALSE)="TL","",INDEX(Di!$B$12:$B$63,MATCH($A45,OFFSET( Di!$F$12:$F$63,0,(E45*48)-(IF(E45=7/24,9,IF(E45=12.5/24,9,IF(E45=14/24,9,IF(E45=15.5/24,9,10)))))),0),0)),"")</f>
        <v/>
      </c>
      <c r="G45" s="857">
        <f>9/48+(1/48)*MIN(IFERROR(MATCH($A45,Wo!$F$13:$AQ$13,0),100),IFERROR(MATCH($A45,Wo!$F$14:$AQ$14,0),100),IFERROR(MATCH($A45,Wo!$F$15:$AQ$15,0),100),IFERROR(MATCH($A45,Wo!$F$16:$AQ$16,0),100),IFERROR(MATCH($A45,Wo!$F$17:$AQ$17,0),100),IFERROR(MATCH($A45,Wo!$F$18:$AQ$18,0),100),IFERROR(MATCH($A45,Wo!$F$19:$AQ$19,0),100),IFERROR(MATCH($A45,Wo!$F$20:$AQ$20,0),100),IFERROR(MATCH($A45,Wo!$F$21:$AQ$21,0),100),IFERROR(MATCH($A45,Wo!$F$22:$AQ$22,0),100),IFERROR(MATCH($A45,Wo!$F$23:$AQ$23,0),100),IFERROR(MATCH($A45,Wo!$F$24:$AQ$24,0),100),IFERROR(MATCH($A45,Wo!$F$25:$AQ$25,0),100),IFERROR(MATCH($A45,Wo!$F$26:$AQ$26,0),100),IFERROR(MATCH($A45,Wo!$F$27:$AQ$27,0),100),IFERROR(MATCH($A45,Wo!$F$28:$AQ$28,0),100),IFERROR(MATCH($A45,Wo!$F$29:$AQ$29,0),100),IFERROR(MATCH($A45,Wo!$F$30:$AQ$30,0),100),IFERROR(MATCH($A45,Wo!$F$31:$AQ$31,0),100),IFERROR(MATCH($A45,Wo!$F$32:$AQ$32,0),100),IFERROR(MATCH($A45,Wo!$F$33:$AQ$33,0),100),IFERROR(MATCH($A45,Wo!$F$34:$AQ$34,0),100),IFERROR(MATCH($A45,Wo!$F$35:$AQ$35,0),100),IFERROR(MATCH($A45,Wo!$F$36:$AQ$36,0),100),IFERROR(MATCH($A45,Wo!$F$37:$AQ$37,0),100),IFERROR(MATCH($A45,Wo!$F$38:$AQ$38,0),100),IFERROR(MATCH($A45,Wo!$F$39:$AQ$39,0),100),IFERROR(MATCH($A45,Wo!$F$40:$AQ$40,0),100),IFERROR(MATCH($A45,Wo!$F$41:$AQ$41,0),100),IFERROR(MATCH($A45,Wo!$F$42:$AQ$42,0),100),IFERROR(MATCH($A45,Wo!$F$43:$AQ$43,0),100),IFERROR(MATCH($A45,Wo!$F$44:$AQ$44,0),100),IFERROR(MATCH($A45,Wo!$F$45:$AQ$45,0),100),IFERROR(MATCH($A45,Wo!$F$46:$AQ$46,0),100),IFERROR(MATCH($A45,Wo!$F$47:$AQ$47,0),100),IFERROR(MATCH($A45,Wo!$F$48:$AQ$48,0),100),IFERROR(MATCH($A45,Wo!$F$49:$AQ$49,0),100),IFERROR(MATCH($A45,Wo!$F$50:$AQ$50,0),100),IFERROR(MATCH($A45,Wo!$F$51:$AQ$51,0),100),IFERROR(MATCH($A45,Wo!$F$52:$AQ$52,0),100),IFERROR(MATCH($A45,Wo!$F$53:$AQ$53,0),100),IFERROR(MATCH($A45,Wo!$F$54:$AQ$54,0),100),IFERROR(MATCH($A45,Wo!$F$55:$AQ$55,0),100),IFERROR(MATCH($A45,Wo!$F$56:$AQ$56,0),100),IFERROR(MATCH($A45,Wo!$F$57:$AQ$57,0),100),IFERROR(MATCH($A45,Wo!$F$58:$AQ$58,0),100),IFERROR(MATCH($A45,Wo!$F$59:$AQ$59,0),100),IFERROR(MATCH($A45,Wo!$F$60:$AQ$60,0),100),IFERROR(MATCH($A45,Wo!$F$61:$AQ$61,0),100),IFERROR(MATCH($A45,Wo!$F$62:$AQ$62,0),100),IFERROR(MATCH($A45,Wo!$F$63:$AQ$63,0),100),39)</f>
        <v/>
      </c>
      <c r="H45" s="66">
        <f>IFERROR(IF(VLOOKUP(INDEX(Wo!$B$12:$B$63,MATCH($A45,OFFSET( Wo!$F$12:$F$63,0,(G45*48)-(IF(G45=7/24,9,IF(G45=12.5/24,9,IF(G45=14/24,9,IF(G45=15.5/24,9,10)))))),0),0),Wo!$B$13:$C$63,2,FALSE)="TL","",INDEX(Wo!$B$12:$B$63,MATCH($A45,OFFSET( Wo!$F$12:$F$63,0,(G45*48)-(IF(G45=7/24,9,IF(G45=12.5/24,9,IF(G45=14/24,9,IF(G45=15.5/24,9,10)))))),0),0)),"")</f>
        <v/>
      </c>
      <c r="I45" s="857">
        <f>9/48+(1/48)*MIN(IFERROR(MATCH($A45,Do!$F$13:$AQ$13,0),100),IFERROR(MATCH($A45,Do!$F$14:$AQ$14,0),100),IFERROR(MATCH($A45,Do!$F$15:$AQ$15,0),100),IFERROR(MATCH($A45,Do!$F$16:$AQ$16,0),100),IFERROR(MATCH($A45,Do!$F$17:$AQ$17,0),100),IFERROR(MATCH($A45,Do!$F$18:$AQ$18,0),100),IFERROR(MATCH($A45,Do!$F$19:$AQ$19,0),100),IFERROR(MATCH($A45,Do!$F$20:$AQ$20,0),100),IFERROR(MATCH($A45,Do!$F$21:$AQ$21,0),100),IFERROR(MATCH($A45,Do!$F$22:$AQ$22,0),100),IFERROR(MATCH($A45,Do!$F$23:$AQ$23,0),100),IFERROR(MATCH($A45,Do!$F$24:$AQ$24,0),100),IFERROR(MATCH($A45,Do!$F$25:$AQ$25,0),100),IFERROR(MATCH($A45,Do!$F$26:$AQ$26,0),100),IFERROR(MATCH($A45,Do!$F$27:$AQ$27,0),100),IFERROR(MATCH($A45,Do!$F$28:$AQ$28,0),100),IFERROR(MATCH($A45,Do!$F$29:$AQ$29,0),100),IFERROR(MATCH($A45,Do!$F$30:$AQ$30,0),100),IFERROR(MATCH($A45,Do!$F$31:$AQ$31,0),100),IFERROR(MATCH($A45,Do!$F$32:$AQ$32,0),100),IFERROR(MATCH($A45,Do!$F$33:$AQ$33,0),100),IFERROR(MATCH($A45,Do!$F$34:$AQ$34,0),100),IFERROR(MATCH($A45,Do!$F$35:$AQ$35,0),100),IFERROR(MATCH($A45,Do!$F$36:$AQ$36,0),100),IFERROR(MATCH($A45,Do!$F$37:$AQ$37,0),100),IFERROR(MATCH($A45,Do!$F$38:$AQ$38,0),100),IFERROR(MATCH($A45,Do!$F$39:$AQ$39,0),100),IFERROR(MATCH($A45,Do!$F$40:$AQ$40,0),100),IFERROR(MATCH($A45,Do!$F$41:$AQ$41,0),100),IFERROR(MATCH($A45,Do!$F$42:$AQ$42,0),100),IFERROR(MATCH($A45,Do!$F$43:$AQ$43,0),100),IFERROR(MATCH($A45,Do!$F$44:$AQ$44,0),100),IFERROR(MATCH($A45,Do!$F$45:$AQ$45,0),100),IFERROR(MATCH($A45,Do!$F$46:$AQ$46,0),100),IFERROR(MATCH($A45,Do!$F$47:$AQ$47,0),100),IFERROR(MATCH($A45,Do!$F$48:$AQ$48,0),100),IFERROR(MATCH($A45,Do!$F$49:$AQ$49,0),100),IFERROR(MATCH($A45,Do!$F$50:$AQ$50,0),100),IFERROR(MATCH($A45,Do!$F$51:$AQ$51,0),100),IFERROR(MATCH($A45,Do!$F$52:$AQ$52,0),100),IFERROR(MATCH($A45,Do!$F$53:$AQ$53,0),100),IFERROR(MATCH($A45,Do!$F$54:$AQ$54,0),100),IFERROR(MATCH($A45,Do!$F$55:$AQ$55,0),100),IFERROR(MATCH($A45,Do!$F$56:$AQ$56,0),100),IFERROR(MATCH($A45,Do!$F$57:$AQ$57,0),100),IFERROR(MATCH($A45,Do!$F$58:$AQ$58,0),100),IFERROR(MATCH($A45,Do!$F$59:$AQ$59,0),100),IFERROR(MATCH($A45,Do!$F$60:$AQ$60,0),100),IFERROR(MATCH($A45,Do!$F$61:$AQ$61,0),100),IFERROR(MATCH($A45,Do!$F$62:$AQ$62,0),100),IFERROR(MATCH($A45,Do!$F$63:$AQ$63,0),100),39)</f>
        <v/>
      </c>
      <c r="J45" s="66">
        <f>IFERROR(IF(VLOOKUP(INDEX(Do!$B$12:$B$63,MATCH($A45,OFFSET( Do!$F$12:$F$63,0,(I45*48)-(IF(I45=7/24,9,IF(I45=12.5/24,9,IF(I45=14/24,9,IF(I45=15.5/24,9,10)))))),0),0),Do!$B$13:$C$63,2,FALSE)="TL","",INDEX(Do!$B$12:$B$63,MATCH($A45,OFFSET( Do!$F$12:$F$63,0,(I45*48)-(IF(I45=7/24,9,IF(I45=12.5/24,9,IF(I45=14/24,9,IF(I45=15.5/24,9,10)))))),0),0)),"")</f>
        <v/>
      </c>
      <c r="K45" s="857">
        <f>9/48+(1/48)*MIN(IFERROR(MATCH($A45,Vr!$F$13:$AQ$13,0),100),IFERROR(MATCH($A45,Vr!$F$14:$AQ$14,0),100),IFERROR(MATCH($A45,Vr!$F$15:$AQ$15,0),100),IFERROR(MATCH($A45,Vr!$F$16:$AQ$16,0),100),IFERROR(MATCH($A45,Vr!$F$17:$AQ$17,0),100),IFERROR(MATCH($A45,Vr!$F$18:$AQ$18,0),100),IFERROR(MATCH($A45,Vr!$F$19:$AQ$19,0),100),IFERROR(MATCH($A45,Vr!$F$20:$AQ$20,0),100),IFERROR(MATCH($A45,Vr!$F$21:$AQ$21,0),100),IFERROR(MATCH($A45,Vr!$F$22:$AQ$22,0),100),IFERROR(MATCH($A45,Vr!$F$23:$AQ$23,0),100),IFERROR(MATCH($A45,Vr!$F$24:$AQ$24,0),100),IFERROR(MATCH($A45,Vr!$F$25:$AQ$25,0),100),IFERROR(MATCH($A45,Vr!$F$26:$AQ$26,0),100),IFERROR(MATCH($A45,Vr!$F$27:$AQ$27,0),100),IFERROR(MATCH($A45,Vr!$F$28:$AQ$28,0),100),IFERROR(MATCH($A45,Vr!$F$29:$AQ$29,0),100),IFERROR(MATCH($A45,Vr!$F$30:$AQ$30,0),100),IFERROR(MATCH($A45,Vr!$F$31:$AQ$31,0),100),IFERROR(MATCH($A45,Vr!$F$32:$AQ$32,0),100),IFERROR(MATCH($A45,Vr!$F$33:$AQ$33,0),100),IFERROR(MATCH($A45,Vr!$F$34:$AQ$34,0),100),IFERROR(MATCH($A45,Vr!$F$35:$AQ$35,0),100),IFERROR(MATCH($A45,Vr!$F$36:$AQ$36,0),100),IFERROR(MATCH($A45,Vr!$F$37:$AQ$37,0),100),IFERROR(MATCH($A45,Vr!$F$38:$AQ$38,0),100),IFERROR(MATCH($A45,Vr!$F$39:$AQ$39,0),100),IFERROR(MATCH($A45,Vr!$F$40:$AQ$40,0),100),IFERROR(MATCH($A45,Vr!$F$41:$AQ$41,0),100),IFERROR(MATCH($A45,Vr!$F$42:$AQ$42,0),100),IFERROR(MATCH($A45,Vr!$F$43:$AQ$43,0),100),IFERROR(MATCH($A45,Vr!$F$44:$AQ$44,0),100),IFERROR(MATCH($A45,Vr!$F$45:$AQ$45,0),100),IFERROR(MATCH($A45,Vr!$F$46:$AQ$46,0),100),IFERROR(MATCH($A45,Vr!$F$47:$AQ$47,0),100),IFERROR(MATCH($A45,Vr!$F$48:$AQ$48,0),100),IFERROR(MATCH($A45,Vr!$F$49:$AQ$49,0),100),IFERROR(MATCH($A45,Vr!$F$50:$AQ$50,0),100),IFERROR(MATCH($A45,Vr!$F$51:$AQ$51,0),100),IFERROR(MATCH($A45,Vr!$F$52:$AQ$52,0),100),IFERROR(MATCH($A45,Vr!$F$53:$AQ$53,0),100),IFERROR(MATCH($A45,Vr!$F$54:$AQ$54,0),100),IFERROR(MATCH($A45,Vr!$F$55:$AQ$55,0),100),IFERROR(MATCH($A45,Vr!$F$56:$AQ$56,0),100),IFERROR(MATCH($A45,Vr!$F$57:$AQ$57,0),100),IFERROR(MATCH($A45,Vr!$F$58:$AQ$58,0),100),IFERROR(MATCH($A45,Vr!$F$59:$AQ$59,0),100),IFERROR(MATCH($A45,Vr!$F$60:$AQ$60,0),100),IFERROR(MATCH($A45,Vr!$F$61:$AQ$61,0),100),IFERROR(MATCH($A45,Vr!$F$62:$AQ$62,0),100),IFERROR(MATCH($A45,Vr!$F$63:$AQ$63,0),100),39)</f>
        <v/>
      </c>
      <c r="L45" s="66">
        <f>IFERROR(IF(VLOOKUP(INDEX(Vr!$B$12:$B$63,MATCH($A45,OFFSET( Vr!$F$12:$F$63,0,(K45*48)-(IF(K45=7/24,9,IF(K45=12.5/24,9,IF(K45=14/24,9,IF(K45=15.5/24,9,10)))))),0),0),Vr!$B$13:$C$63,2,FALSE)="TL","",INDEX(Vr!$B$12:$B$63,MATCH($A45,OFFSET( Vr!$F$12:$F$63,0,(K45*48)-(IF(K45=7/24,9,IF(K45=12.5/24,9,IF(K45=14/24,9,IF(K45=15.5/24,9,10)))))),0),0)),"")</f>
        <v/>
      </c>
      <c r="M45" s="857">
        <f>9/48+(1/48)*MIN(IFERROR(MATCH($A45,Za!$F$13:$AQ$13,0),100),IFERROR(MATCH($A45,Za!$F$14:$AQ$14,0),100),IFERROR(MATCH($A45,Za!$F$15:$AQ$15,0),100),IFERROR(MATCH($A45,Za!$F$16:$AQ$16,0),100),IFERROR(MATCH($A45,Za!$F$17:$AQ$17,0),100),IFERROR(MATCH($A45,Za!$F$18:$AQ$18,0),100),IFERROR(MATCH($A45,Za!$F$19:$AQ$19,0),100),IFERROR(MATCH($A45,Za!$F$20:$AQ$20,0),100),IFERROR(MATCH($A45,Za!$F$21:$AQ$21,0),100),IFERROR(MATCH($A45,Za!$F$22:$AQ$22,0),100),IFERROR(MATCH($A45,Za!$F$23:$AQ$23,0),100),IFERROR(MATCH($A45,Za!$F$24:$AQ$24,0),100),IFERROR(MATCH($A45,Za!$F$25:$AQ$25,0),100),IFERROR(MATCH($A45,Za!$F$26:$AQ$26,0),100),IFERROR(MATCH($A45,Za!$F$27:$AQ$27,0),100),IFERROR(MATCH($A45,Za!$F$28:$AQ$28,0),100),IFERROR(MATCH($A45,Za!$F$29:$AQ$29,0),100),IFERROR(MATCH($A45,Za!$F$30:$AQ$30,0),100),IFERROR(MATCH($A45,Za!$F$31:$AQ$31,0),100),IFERROR(MATCH($A45,Za!$F$32:$AQ$32,0),100),IFERROR(MATCH($A45,Za!$F$33:$AQ$33,0),100),IFERROR(MATCH($A45,Za!$F$34:$AQ$34,0),100),IFERROR(MATCH($A45,Za!$F$35:$AQ$35,0),100),IFERROR(MATCH($A45,Za!$F$36:$AQ$36,0),100),IFERROR(MATCH($A45,Za!$F$37:$AQ$37,0),100),IFERROR(MATCH($A45,Za!$F$38:$AQ$38,0),100),IFERROR(MATCH($A45,Za!$F$39:$AQ$39,0),100),IFERROR(MATCH($A45,Za!$F$40:$AQ$40,0),100),IFERROR(MATCH($A45,Za!$F$41:$AQ$41,0),100),IFERROR(MATCH($A45,Za!$F$42:$AQ$42,0),100),IFERROR(MATCH($A45,Za!$F$43:$AQ$43,0),100),IFERROR(MATCH($A45,Za!$F$44:$AQ$44,0),100),IFERROR(MATCH($A45,Za!$F$45:$AQ$45,0),100),IFERROR(MATCH($A45,Za!$F$46:$AQ$46,0),100),IFERROR(MATCH($A45,Za!$F$47:$AQ$47,0),100),IFERROR(MATCH($A45,Za!$F$48:$AQ$48,0),100),IFERROR(MATCH($A45,Za!$F$49:$AQ$49,0),100),IFERROR(MATCH($A45,Za!$F$50:$AQ$50,0),100),IFERROR(MATCH($A45,Za!$F$51:$AQ$51,0),100),IFERROR(MATCH($A45,Za!$F$52:$AQ$52,0),100),IFERROR(MATCH($A45,Za!$F$53:$AQ$53,0),100),IFERROR(MATCH($A45,Za!$F$54:$AQ$54,0),100),IFERROR(MATCH($A45,Za!$F$55:$AQ$55,0),100),IFERROR(MATCH($A45,Za!$F$56:$AQ$56,0),100),IFERROR(MATCH($A45,Za!$F$57:$AQ$57,0),100),IFERROR(MATCH($A45,Za!$F$58:$AQ$58,0),100),IFERROR(MATCH($A45,Za!$F$59:$AQ$59,0),100),IFERROR(MATCH($A45,Za!$F$60:$AQ$60,0),100),IFERROR(MATCH($A45,Za!$F$61:$AQ$61,0),100),IFERROR(MATCH($A45,Za!$F$62:$AQ$62,0),100),IFERROR(MATCH($A45,Za!$F$63:$AQ$63,0),100),39)</f>
        <v/>
      </c>
      <c r="N45" s="66">
        <f>IFERROR(IF(VLOOKUP(INDEX(Za!$B$12:$B$63,MATCH($A45,OFFSET( Za!$F$12:$F$63,0,(M45*48)-(IF(M45=7/24,9,IF(M45=12.5/24,9,IF(M45=14/24,9,IF(M45=15.5/24,9,10)))))),0),0),Za!$B$13:$C$63,2,FALSE)="TL","",INDEX(Za!$B$12:$B$63,MATCH($A45,OFFSET( Za!$F$12:$F$63,0,(M45*48)-(IF(M45=7/24,9,IF(M45=12.5/24,9,IF(M45=14/24,9,IF(M45=15.5/24,9,10)))))),0),0)),"")</f>
        <v/>
      </c>
      <c r="O45" s="857">
        <f>9/48+(1/48)*MIN(IFERROR(MATCH($A45,Zo!$F$13:$AQ$13,0),100),IFERROR(MATCH($A45,Zo!$F$14:$AQ$14,0),100),IFERROR(MATCH($A45,Zo!$F$15:$AQ$15,0),100),IFERROR(MATCH($A45,Zo!$F$16:$AQ$16,0),100),IFERROR(MATCH($A45,Zo!$F$17:$AQ$17,0),100),IFERROR(MATCH($A45,Zo!$F$18:$AQ$18,0),100),IFERROR(MATCH($A45,Zo!$F$19:$AQ$19,0),100),IFERROR(MATCH($A45,Zo!$F$20:$AQ$20,0),100),IFERROR(MATCH($A45,Zo!$F$21:$AQ$21,0),100),IFERROR(MATCH($A45,Zo!$F$22:$AQ$22,0),100),IFERROR(MATCH($A45,Zo!$F$23:$AQ$23,0),100),IFERROR(MATCH($A45,Zo!$F$24:$AQ$24,0),100),IFERROR(MATCH($A45,Zo!$F$25:$AQ$25,0),100),IFERROR(MATCH($A45,Zo!$F$26:$AQ$26,0),100),IFERROR(MATCH($A45,Zo!$F$27:$AQ$27,0),100),IFERROR(MATCH($A45,Zo!$F$28:$AQ$28,0),100),IFERROR(MATCH($A45,Zo!$F$29:$AQ$29,0),100),IFERROR(MATCH($A45,Zo!$F$30:$AQ$30,0),100),IFERROR(MATCH($A45,Zo!$F$31:$AQ$31,0),100),IFERROR(MATCH($A45,Zo!$F$32:$AQ$32,0),100),IFERROR(MATCH($A45,Zo!$F$33:$AQ$33,0),100),IFERROR(MATCH($A45,Zo!$F$34:$AQ$34,0),100),IFERROR(MATCH($A45,Zo!$F$35:$AQ$35,0),100),IFERROR(MATCH($A45,Zo!$F$36:$AQ$36,0),100),IFERROR(MATCH($A45,Zo!$F$37:$AQ$37,0),100),IFERROR(MATCH($A45,Zo!$F$38:$AQ$38,0),100),IFERROR(MATCH($A45,Zo!$F$39:$AQ$39,0),100),IFERROR(MATCH($A45,Zo!$F$40:$AQ$40,0),100),IFERROR(MATCH($A45,Zo!$F$41:$AQ$41,0),100),IFERROR(MATCH($A45,Zo!$F$42:$AQ$42,0),100),IFERROR(MATCH($A45,Zo!$F$43:$AQ$43,0),100),IFERROR(MATCH($A45,Zo!$F$44:$AQ$44,0),100),IFERROR(MATCH($A45,Zo!$F$45:$AQ$45,0),100),IFERROR(MATCH($A45,Zo!$F$46:$AQ$46,0),100),IFERROR(MATCH($A45,Zo!$F$47:$AQ$47,0),100),IFERROR(MATCH($A45,Zo!$F$48:$AQ$48,0),100),IFERROR(MATCH($A45,Zo!$F$49:$AQ$49,0),100),IFERROR(MATCH($A45,Zo!$F$50:$AQ$50,0),100),IFERROR(MATCH($A45,Zo!$F$51:$AQ$51,0),100),IFERROR(MATCH($A45,Zo!$F$52:$AQ$52,0),100),IFERROR(MATCH($A45,Zo!$F$53:$AQ$53,0),100),IFERROR(MATCH($A45,Zo!$F$54:$AQ$54,0),100),IFERROR(MATCH($A45,Zo!$F$55:$AQ$55,0),100),IFERROR(MATCH($A45,Zo!$F$56:$AQ$56,0),100),IFERROR(MATCH($A45,Zo!$F$57:$AQ$57,0),100),IFERROR(MATCH($A45,Zo!$F$58:$AQ$58,0),100),IFERROR(MATCH($A45,Zo!$F$59:$AQ$59,0),100),IFERROR(MATCH($A45,Zo!$F$60:$AQ$60,0),100),IFERROR(MATCH($A45,Zo!$F$61:$AQ$61,0),100),IFERROR(MATCH($A45,Zo!$F$62:$AQ$62,0),100),IFERROR(MATCH($A45,Zo!$F$63:$AQ$63,0),100),39)</f>
        <v/>
      </c>
      <c r="P45" s="66">
        <f>IFERROR(IF(VLOOKUP(INDEX(Zo!$B$12:$B$63,MATCH($A45,OFFSET( Zo!$F$12:$F$63,0,(O45*48)-(IF(O45=7/24,9,IF(O45=12.5/24,9,IF(O45=14/24,9,IF(O45=15.5/24,9,10)))))),0),0),Zo!$B$13:$C$63,2,FALSE)="TL","",INDEX(Zo!$B$12:$B$63,MATCH($A45,OFFSET( Zo!$F$12:$F$63,0,(O45*48)-(IF(O45=7/24,9,IF(O45=12.5/24,9,IF(O45=14/24,9,IF(O45=15.5/24,9,10)))))),0),0)),"")</f>
        <v/>
      </c>
    </row>
    <row r="46" ht="15" customHeight="1">
      <c r="A46" s="66" t="inlineStr">
        <is>
          <t>leeg</t>
        </is>
      </c>
      <c r="B46" s="67">
        <f>A46</f>
        <v/>
      </c>
      <c r="C46" s="857">
        <f>9/48+(1/48)*MIN(IFERROR(MATCH($A46,Ma!$F$13:$AQ$13,0),100),IFERROR(MATCH($A46,Ma!$F$14:$AQ$14,0),100),IFERROR(MATCH($A46,Ma!$F$15:$AQ$15,0),100),IFERROR(MATCH($A46,Ma!$F$16:$AQ$16,0),100),IFERROR(MATCH($A46,Ma!$F$17:$AQ$17,0),100),IFERROR(MATCH($A46,Ma!$F$18:$AQ$18,0),100),IFERROR(MATCH($A46,Ma!$F$19:$AQ$19,0),100),IFERROR(MATCH($A46,Ma!$F$20:$AQ$20,0),100),IFERROR(MATCH($A46,Ma!$F$21:$AQ$21,0),100),IFERROR(MATCH($A46,Ma!$F$22:$AQ$22,0),100),IFERROR(MATCH($A46,Ma!$F$23:$AQ$23,0),100),IFERROR(MATCH($A46,Ma!$F$24:$AQ$24,0),100),IFERROR(MATCH($A46,Ma!$F$25:$AQ$25,0),100),IFERROR(MATCH($A46,Ma!$F$26:$AQ$26,0),100),IFERROR(MATCH($A46,Ma!$F$27:$AQ$27,0),100),IFERROR(MATCH($A46,Ma!$F$28:$AQ$28,0),100),IFERROR(MATCH($A46,Ma!$F$29:$AQ$29,0),100),IFERROR(MATCH($A46,Ma!$F$30:$AQ$30,0),100),IFERROR(MATCH($A46,Ma!$F$31:$AQ$31,0),100),IFERROR(MATCH($A46,Ma!$F$32:$AQ$32,0),100),IFERROR(MATCH($A46,Ma!$F$33:$AQ$33,0),100),IFERROR(MATCH($A46,Ma!$F$34:$AQ$34,0),100),IFERROR(MATCH($A46,Ma!$F$35:$AQ$35,0),100),IFERROR(MATCH($A46,Ma!$F$36:$AQ$36,0),100),IFERROR(MATCH($A46,Ma!$F$37:$AQ$37,0),100),IFERROR(MATCH($A46,Ma!$F$38:$AQ$38,0),100),IFERROR(MATCH($A46,Ma!$F$39:$AQ$39,0),100),IFERROR(MATCH($A46,Ma!$F$40:$AQ$40,0),100),IFERROR(MATCH($A46,Ma!$F$41:$AQ$41,0),100),IFERROR(MATCH($A46,Ma!$F$42:$AQ$42,0),100),IFERROR(MATCH($A46,Ma!$F$43:$AQ$43,0),100),IFERROR(MATCH($A46,Ma!$F$44:$AQ$44,0),100),IFERROR(MATCH($A46,Ma!$F$45:$AQ$45,0),100),IFERROR(MATCH($A46,Ma!$F$46:$AQ$46,0),100),IFERROR(MATCH($A46,Ma!$F$47:$AQ$47,0),100),IFERROR(MATCH($A46,Ma!$F$48:$AQ$48,0),100),IFERROR(MATCH($A46,Ma!$F$49:$AQ$49,0),100),IFERROR(MATCH($A46,Ma!$F$50:$AQ$50,0),100),IFERROR(MATCH($A46,Ma!$F$51:$AQ$51,0),100),IFERROR(MATCH($A46,Ma!$F$52:$AQ$52,0),100),IFERROR(MATCH($A46,Ma!$F$53:$AQ$53,0),100),IFERROR(MATCH($A46,Ma!$F$54:$AQ$54,0),100),IFERROR(MATCH($A46,Ma!$F$55:$AQ$55,0),100),IFERROR(MATCH($A46,Ma!$F$56:$AQ$56,0),100),IFERROR(MATCH($A46,Ma!$F$57:$AQ$57,0),100),IFERROR(MATCH($A46,Ma!$F$58:$AQ$58,0),100),IFERROR(MATCH($A46,Ma!$F$59:$AQ$59,0),100),IFERROR(MATCH($A46,Ma!$F$60:$AQ$60,0),100),IFERROR(MATCH($A46,Ma!$F$61:$AQ$61,0),100),IFERROR(MATCH($A46,Ma!$F$62:$AQ$62,0),100),IFERROR(MATCH($A46,Ma!$F$63:$AQ$63,0),100),39)</f>
        <v/>
      </c>
      <c r="D46" s="66">
        <f>IFERROR(IF(VLOOKUP(INDEX(Ma!$B$12:$B$63,MATCH($A46,OFFSET( Ma!$F$12:$F$63,0,(C46*48)-(IF(C46=7/24,9,IF(C46=12.5/24,9,IF(C46=14/24,9,IF(C46=15.5/24,9,10)))))),0),0),Ma!$B$13:$C$63,2,FALSE)="TL","",INDEX(Ma!$B$12:$B$63,MATCH($A46,OFFSET( Ma!$F$12:$F$63,0,(C46*48)-(IF(C46=7/24,9,IF(C46=12.5/24,9,IF(C46=14/24,9,IF(C46=15.5/24,9,10)))))),0),0)),"")</f>
        <v/>
      </c>
      <c r="E46" s="857">
        <f>9/48+(1/48)*MIN(IFERROR(MATCH($A46,Di!$F$13:$AQ$13,0),100),IFERROR(MATCH($A46,Di!$F$14:$AQ$14,0),100),IFERROR(MATCH($A46,Di!$F$15:$AQ$15,0),100),IFERROR(MATCH($A46,Di!$F$16:$AQ$16,0),100),IFERROR(MATCH($A46,Di!$F$17:$AQ$17,0),100),IFERROR(MATCH($A46,Di!$F$18:$AQ$18,0),100),IFERROR(MATCH($A46,Di!$F$19:$AQ$19,0),100),IFERROR(MATCH($A46,Di!$F$20:$AQ$20,0),100),IFERROR(MATCH($A46,Di!$F$21:$AQ$21,0),100),IFERROR(MATCH($A46,Di!$F$22:$AQ$22,0),100),IFERROR(MATCH($A46,Di!$F$23:$AQ$23,0),100),IFERROR(MATCH($A46,Di!$F$24:$AQ$24,0),100),IFERROR(MATCH($A46,Di!$F$25:$AQ$25,0),100),IFERROR(MATCH($A46,Di!$F$26:$AQ$26,0),100),IFERROR(MATCH($A46,Di!$F$27:$AQ$27,0),100),IFERROR(MATCH($A46,Di!$F$28:$AQ$28,0),100),IFERROR(MATCH($A46,Di!$F$29:$AQ$29,0),100),IFERROR(MATCH($A46,Di!$F$30:$AQ$30,0),100),IFERROR(MATCH($A46,Di!$F$31:$AQ$31,0),100),IFERROR(MATCH($A46,Di!$F$32:$AQ$32,0),100),IFERROR(MATCH($A46,Di!$F$33:$AQ$33,0),100),IFERROR(MATCH($A46,Di!$F$34:$AQ$34,0),100),IFERROR(MATCH($A46,Di!$F$35:$AQ$35,0),100),IFERROR(MATCH($A46,Di!$F$36:$AQ$36,0),100),IFERROR(MATCH($A46,Di!$F$37:$AQ$37,0),100),IFERROR(MATCH($A46,Di!$F$38:$AQ$38,0),100),IFERROR(MATCH($A46,Di!$F$39:$AQ$39,0),100),IFERROR(MATCH($A46,Di!$F$40:$AQ$40,0),100),IFERROR(MATCH($A46,Di!$F$41:$AQ$41,0),100),IFERROR(MATCH($A46,Di!$F$42:$AQ$42,0),100),IFERROR(MATCH($A46,Di!$F$43:$AQ$43,0),100),IFERROR(MATCH($A46,Di!$F$44:$AQ$44,0),100),IFERROR(MATCH($A46,Di!$F$45:$AQ$45,0),100),IFERROR(MATCH($A46,Di!$F$46:$AQ$46,0),100),IFERROR(MATCH($A46,Di!$F$47:$AQ$47,0),100),IFERROR(MATCH($A46,Di!$F$48:$AQ$48,0),100),IFERROR(MATCH($A46,Di!$F$49:$AQ$49,0),100),IFERROR(MATCH($A46,Di!$F$50:$AQ$50,0),100),IFERROR(MATCH($A46,Di!$F$51:$AQ$51,0),100),IFERROR(MATCH($A46,Di!$F$52:$AQ$52,0),100),IFERROR(MATCH($A46,Di!$F$53:$AQ$53,0),100),IFERROR(MATCH($A46,Di!$F$54:$AQ$54,0),100),IFERROR(MATCH($A46,Di!$F$55:$AQ$55,0),100),IFERROR(MATCH($A46,Di!$F$56:$AQ$56,0),100),IFERROR(MATCH($A46,Di!$F$57:$AQ$57,0),100),IFERROR(MATCH($A46,Di!$F$58:$AQ$58,0),100),IFERROR(MATCH($A46,Di!$F$59:$AQ$59,0),100),IFERROR(MATCH($A46,Di!$F$60:$AQ$60,0),100),IFERROR(MATCH($A46,Di!$F$61:$AQ$61,0),100),IFERROR(MATCH($A46,Di!$F$62:$AQ$62,0),100),IFERROR(MATCH($A46,Di!$F$63:$AQ$63,0),100),39)</f>
        <v/>
      </c>
      <c r="F46" s="66">
        <f>IFERROR(IF(VLOOKUP(INDEX(Di!$B$12:$B$63,MATCH($A46,OFFSET( Di!$F$12:$F$63,0,(E46*48)-(IF(E46=7/24,9,IF(E46=12.5/24,9,IF(E46=14/24,9,IF(E46=15.5/24,9,10)))))),0),0),Di!$B$13:$C$63,2,FALSE)="TL","",INDEX(Di!$B$12:$B$63,MATCH($A46,OFFSET( Di!$F$12:$F$63,0,(E46*48)-(IF(E46=7/24,9,IF(E46=12.5/24,9,IF(E46=14/24,9,IF(E46=15.5/24,9,10)))))),0),0)),"")</f>
        <v/>
      </c>
      <c r="G46" s="857">
        <f>9/48+(1/48)*MIN(IFERROR(MATCH($A46,Wo!$F$13:$AQ$13,0),100),IFERROR(MATCH($A46,Wo!$F$14:$AQ$14,0),100),IFERROR(MATCH($A46,Wo!$F$15:$AQ$15,0),100),IFERROR(MATCH($A46,Wo!$F$16:$AQ$16,0),100),IFERROR(MATCH($A46,Wo!$F$17:$AQ$17,0),100),IFERROR(MATCH($A46,Wo!$F$18:$AQ$18,0),100),IFERROR(MATCH($A46,Wo!$F$19:$AQ$19,0),100),IFERROR(MATCH($A46,Wo!$F$20:$AQ$20,0),100),IFERROR(MATCH($A46,Wo!$F$21:$AQ$21,0),100),IFERROR(MATCH($A46,Wo!$F$22:$AQ$22,0),100),IFERROR(MATCH($A46,Wo!$F$23:$AQ$23,0),100),IFERROR(MATCH($A46,Wo!$F$24:$AQ$24,0),100),IFERROR(MATCH($A46,Wo!$F$25:$AQ$25,0),100),IFERROR(MATCH($A46,Wo!$F$26:$AQ$26,0),100),IFERROR(MATCH($A46,Wo!$F$27:$AQ$27,0),100),IFERROR(MATCH($A46,Wo!$F$28:$AQ$28,0),100),IFERROR(MATCH($A46,Wo!$F$29:$AQ$29,0),100),IFERROR(MATCH($A46,Wo!$F$30:$AQ$30,0),100),IFERROR(MATCH($A46,Wo!$F$31:$AQ$31,0),100),IFERROR(MATCH($A46,Wo!$F$32:$AQ$32,0),100),IFERROR(MATCH($A46,Wo!$F$33:$AQ$33,0),100),IFERROR(MATCH($A46,Wo!$F$34:$AQ$34,0),100),IFERROR(MATCH($A46,Wo!$F$35:$AQ$35,0),100),IFERROR(MATCH($A46,Wo!$F$36:$AQ$36,0),100),IFERROR(MATCH($A46,Wo!$F$37:$AQ$37,0),100),IFERROR(MATCH($A46,Wo!$F$38:$AQ$38,0),100),IFERROR(MATCH($A46,Wo!$F$39:$AQ$39,0),100),IFERROR(MATCH($A46,Wo!$F$40:$AQ$40,0),100),IFERROR(MATCH($A46,Wo!$F$41:$AQ$41,0),100),IFERROR(MATCH($A46,Wo!$F$42:$AQ$42,0),100),IFERROR(MATCH($A46,Wo!$F$43:$AQ$43,0),100),IFERROR(MATCH($A46,Wo!$F$44:$AQ$44,0),100),IFERROR(MATCH($A46,Wo!$F$45:$AQ$45,0),100),IFERROR(MATCH($A46,Wo!$F$46:$AQ$46,0),100),IFERROR(MATCH($A46,Wo!$F$47:$AQ$47,0),100),IFERROR(MATCH($A46,Wo!$F$48:$AQ$48,0),100),IFERROR(MATCH($A46,Wo!$F$49:$AQ$49,0),100),IFERROR(MATCH($A46,Wo!$F$50:$AQ$50,0),100),IFERROR(MATCH($A46,Wo!$F$51:$AQ$51,0),100),IFERROR(MATCH($A46,Wo!$F$52:$AQ$52,0),100),IFERROR(MATCH($A46,Wo!$F$53:$AQ$53,0),100),IFERROR(MATCH($A46,Wo!$F$54:$AQ$54,0),100),IFERROR(MATCH($A46,Wo!$F$55:$AQ$55,0),100),IFERROR(MATCH($A46,Wo!$F$56:$AQ$56,0),100),IFERROR(MATCH($A46,Wo!$F$57:$AQ$57,0),100),IFERROR(MATCH($A46,Wo!$F$58:$AQ$58,0),100),IFERROR(MATCH($A46,Wo!$F$59:$AQ$59,0),100),IFERROR(MATCH($A46,Wo!$F$60:$AQ$60,0),100),IFERROR(MATCH($A46,Wo!$F$61:$AQ$61,0),100),IFERROR(MATCH($A46,Wo!$F$62:$AQ$62,0),100),IFERROR(MATCH($A46,Wo!$F$63:$AQ$63,0),100),39)</f>
        <v/>
      </c>
      <c r="H46" s="66">
        <f>IFERROR(IF(VLOOKUP(INDEX(Wo!$B$12:$B$63,MATCH($A46,OFFSET( Wo!$F$12:$F$63,0,(G46*48)-(IF(G46=7/24,9,IF(G46=12.5/24,9,IF(G46=14/24,9,IF(G46=15.5/24,9,10)))))),0),0),Wo!$B$13:$C$63,2,FALSE)="TL","",INDEX(Wo!$B$12:$B$63,MATCH($A46,OFFSET( Wo!$F$12:$F$63,0,(G46*48)-(IF(G46=7/24,9,IF(G46=12.5/24,9,IF(G46=14/24,9,IF(G46=15.5/24,9,10)))))),0),0)),"")</f>
        <v/>
      </c>
      <c r="I46" s="857">
        <f>9/48+(1/48)*MIN(IFERROR(MATCH($A46,Do!$F$13:$AQ$13,0),100),IFERROR(MATCH($A46,Do!$F$14:$AQ$14,0),100),IFERROR(MATCH($A46,Do!$F$15:$AQ$15,0),100),IFERROR(MATCH($A46,Do!$F$16:$AQ$16,0),100),IFERROR(MATCH($A46,Do!$F$17:$AQ$17,0),100),IFERROR(MATCH($A46,Do!$F$18:$AQ$18,0),100),IFERROR(MATCH($A46,Do!$F$19:$AQ$19,0),100),IFERROR(MATCH($A46,Do!$F$20:$AQ$20,0),100),IFERROR(MATCH($A46,Do!$F$21:$AQ$21,0),100),IFERROR(MATCH($A46,Do!$F$22:$AQ$22,0),100),IFERROR(MATCH($A46,Do!$F$23:$AQ$23,0),100),IFERROR(MATCH($A46,Do!$F$24:$AQ$24,0),100),IFERROR(MATCH($A46,Do!$F$25:$AQ$25,0),100),IFERROR(MATCH($A46,Do!$F$26:$AQ$26,0),100),IFERROR(MATCH($A46,Do!$F$27:$AQ$27,0),100),IFERROR(MATCH($A46,Do!$F$28:$AQ$28,0),100),IFERROR(MATCH($A46,Do!$F$29:$AQ$29,0),100),IFERROR(MATCH($A46,Do!$F$30:$AQ$30,0),100),IFERROR(MATCH($A46,Do!$F$31:$AQ$31,0),100),IFERROR(MATCH($A46,Do!$F$32:$AQ$32,0),100),IFERROR(MATCH($A46,Do!$F$33:$AQ$33,0),100),IFERROR(MATCH($A46,Do!$F$34:$AQ$34,0),100),IFERROR(MATCH($A46,Do!$F$35:$AQ$35,0),100),IFERROR(MATCH($A46,Do!$F$36:$AQ$36,0),100),IFERROR(MATCH($A46,Do!$F$37:$AQ$37,0),100),IFERROR(MATCH($A46,Do!$F$38:$AQ$38,0),100),IFERROR(MATCH($A46,Do!$F$39:$AQ$39,0),100),IFERROR(MATCH($A46,Do!$F$40:$AQ$40,0),100),IFERROR(MATCH($A46,Do!$F$41:$AQ$41,0),100),IFERROR(MATCH($A46,Do!$F$42:$AQ$42,0),100),IFERROR(MATCH($A46,Do!$F$43:$AQ$43,0),100),IFERROR(MATCH($A46,Do!$F$44:$AQ$44,0),100),IFERROR(MATCH($A46,Do!$F$45:$AQ$45,0),100),IFERROR(MATCH($A46,Do!$F$46:$AQ$46,0),100),IFERROR(MATCH($A46,Do!$F$47:$AQ$47,0),100),IFERROR(MATCH($A46,Do!$F$48:$AQ$48,0),100),IFERROR(MATCH($A46,Do!$F$49:$AQ$49,0),100),IFERROR(MATCH($A46,Do!$F$50:$AQ$50,0),100),IFERROR(MATCH($A46,Do!$F$51:$AQ$51,0),100),IFERROR(MATCH($A46,Do!$F$52:$AQ$52,0),100),IFERROR(MATCH($A46,Do!$F$53:$AQ$53,0),100),IFERROR(MATCH($A46,Do!$F$54:$AQ$54,0),100),IFERROR(MATCH($A46,Do!$F$55:$AQ$55,0),100),IFERROR(MATCH($A46,Do!$F$56:$AQ$56,0),100),IFERROR(MATCH($A46,Do!$F$57:$AQ$57,0),100),IFERROR(MATCH($A46,Do!$F$58:$AQ$58,0),100),IFERROR(MATCH($A46,Do!$F$59:$AQ$59,0),100),IFERROR(MATCH($A46,Do!$F$60:$AQ$60,0),100),IFERROR(MATCH($A46,Do!$F$61:$AQ$61,0),100),IFERROR(MATCH($A46,Do!$F$62:$AQ$62,0),100),IFERROR(MATCH($A46,Do!$F$63:$AQ$63,0),100),39)</f>
        <v/>
      </c>
      <c r="J46" s="66">
        <f>IFERROR(IF(VLOOKUP(INDEX(Do!$B$12:$B$63,MATCH($A46,OFFSET( Do!$F$12:$F$63,0,(I46*48)-(IF(I46=7/24,9,IF(I46=12.5/24,9,IF(I46=14/24,9,IF(I46=15.5/24,9,10)))))),0),0),Do!$B$13:$C$63,2,FALSE)="TL","",INDEX(Do!$B$12:$B$63,MATCH($A46,OFFSET( Do!$F$12:$F$63,0,(I46*48)-(IF(I46=7/24,9,IF(I46=12.5/24,9,IF(I46=14/24,9,IF(I46=15.5/24,9,10)))))),0),0)),"")</f>
        <v/>
      </c>
      <c r="K46" s="857">
        <f>9/48+(1/48)*MIN(IFERROR(MATCH($A46,Vr!$F$13:$AQ$13,0),100),IFERROR(MATCH($A46,Vr!$F$14:$AQ$14,0),100),IFERROR(MATCH($A46,Vr!$F$15:$AQ$15,0),100),IFERROR(MATCH($A46,Vr!$F$16:$AQ$16,0),100),IFERROR(MATCH($A46,Vr!$F$17:$AQ$17,0),100),IFERROR(MATCH($A46,Vr!$F$18:$AQ$18,0),100),IFERROR(MATCH($A46,Vr!$F$19:$AQ$19,0),100),IFERROR(MATCH($A46,Vr!$F$20:$AQ$20,0),100),IFERROR(MATCH($A46,Vr!$F$21:$AQ$21,0),100),IFERROR(MATCH($A46,Vr!$F$22:$AQ$22,0),100),IFERROR(MATCH($A46,Vr!$F$23:$AQ$23,0),100),IFERROR(MATCH($A46,Vr!$F$24:$AQ$24,0),100),IFERROR(MATCH($A46,Vr!$F$25:$AQ$25,0),100),IFERROR(MATCH($A46,Vr!$F$26:$AQ$26,0),100),IFERROR(MATCH($A46,Vr!$F$27:$AQ$27,0),100),IFERROR(MATCH($A46,Vr!$F$28:$AQ$28,0),100),IFERROR(MATCH($A46,Vr!$F$29:$AQ$29,0),100),IFERROR(MATCH($A46,Vr!$F$30:$AQ$30,0),100),IFERROR(MATCH($A46,Vr!$F$31:$AQ$31,0),100),IFERROR(MATCH($A46,Vr!$F$32:$AQ$32,0),100),IFERROR(MATCH($A46,Vr!$F$33:$AQ$33,0),100),IFERROR(MATCH($A46,Vr!$F$34:$AQ$34,0),100),IFERROR(MATCH($A46,Vr!$F$35:$AQ$35,0),100),IFERROR(MATCH($A46,Vr!$F$36:$AQ$36,0),100),IFERROR(MATCH($A46,Vr!$F$37:$AQ$37,0),100),IFERROR(MATCH($A46,Vr!$F$38:$AQ$38,0),100),IFERROR(MATCH($A46,Vr!$F$39:$AQ$39,0),100),IFERROR(MATCH($A46,Vr!$F$40:$AQ$40,0),100),IFERROR(MATCH($A46,Vr!$F$41:$AQ$41,0),100),IFERROR(MATCH($A46,Vr!$F$42:$AQ$42,0),100),IFERROR(MATCH($A46,Vr!$F$43:$AQ$43,0),100),IFERROR(MATCH($A46,Vr!$F$44:$AQ$44,0),100),IFERROR(MATCH($A46,Vr!$F$45:$AQ$45,0),100),IFERROR(MATCH($A46,Vr!$F$46:$AQ$46,0),100),IFERROR(MATCH($A46,Vr!$F$47:$AQ$47,0),100),IFERROR(MATCH($A46,Vr!$F$48:$AQ$48,0),100),IFERROR(MATCH($A46,Vr!$F$49:$AQ$49,0),100),IFERROR(MATCH($A46,Vr!$F$50:$AQ$50,0),100),IFERROR(MATCH($A46,Vr!$F$51:$AQ$51,0),100),IFERROR(MATCH($A46,Vr!$F$52:$AQ$52,0),100),IFERROR(MATCH($A46,Vr!$F$53:$AQ$53,0),100),IFERROR(MATCH($A46,Vr!$F$54:$AQ$54,0),100),IFERROR(MATCH($A46,Vr!$F$55:$AQ$55,0),100),IFERROR(MATCH($A46,Vr!$F$56:$AQ$56,0),100),IFERROR(MATCH($A46,Vr!$F$57:$AQ$57,0),100),IFERROR(MATCH($A46,Vr!$F$58:$AQ$58,0),100),IFERROR(MATCH($A46,Vr!$F$59:$AQ$59,0),100),IFERROR(MATCH($A46,Vr!$F$60:$AQ$60,0),100),IFERROR(MATCH($A46,Vr!$F$61:$AQ$61,0),100),IFERROR(MATCH($A46,Vr!$F$62:$AQ$62,0),100),IFERROR(MATCH($A46,Vr!$F$63:$AQ$63,0),100),39)</f>
        <v/>
      </c>
      <c r="L46" s="66">
        <f>IFERROR(IF(VLOOKUP(INDEX(Vr!$B$12:$B$63,MATCH($A46,OFFSET( Vr!$F$12:$F$63,0,(K46*48)-(IF(K46=7/24,9,IF(K46=12.5/24,9,IF(K46=14/24,9,IF(K46=15.5/24,9,10)))))),0),0),Vr!$B$13:$C$63,2,FALSE)="TL","",INDEX(Vr!$B$12:$B$63,MATCH($A46,OFFSET( Vr!$F$12:$F$63,0,(K46*48)-(IF(K46=7/24,9,IF(K46=12.5/24,9,IF(K46=14/24,9,IF(K46=15.5/24,9,10)))))),0),0)),"")</f>
        <v/>
      </c>
      <c r="M46" s="857">
        <f>9/48+(1/48)*MIN(IFERROR(MATCH($A46,Za!$F$13:$AQ$13,0),100),IFERROR(MATCH($A46,Za!$F$14:$AQ$14,0),100),IFERROR(MATCH($A46,Za!$F$15:$AQ$15,0),100),IFERROR(MATCH($A46,Za!$F$16:$AQ$16,0),100),IFERROR(MATCH($A46,Za!$F$17:$AQ$17,0),100),IFERROR(MATCH($A46,Za!$F$18:$AQ$18,0),100),IFERROR(MATCH($A46,Za!$F$19:$AQ$19,0),100),IFERROR(MATCH($A46,Za!$F$20:$AQ$20,0),100),IFERROR(MATCH($A46,Za!$F$21:$AQ$21,0),100),IFERROR(MATCH($A46,Za!$F$22:$AQ$22,0),100),IFERROR(MATCH($A46,Za!$F$23:$AQ$23,0),100),IFERROR(MATCH($A46,Za!$F$24:$AQ$24,0),100),IFERROR(MATCH($A46,Za!$F$25:$AQ$25,0),100),IFERROR(MATCH($A46,Za!$F$26:$AQ$26,0),100),IFERROR(MATCH($A46,Za!$F$27:$AQ$27,0),100),IFERROR(MATCH($A46,Za!$F$28:$AQ$28,0),100),IFERROR(MATCH($A46,Za!$F$29:$AQ$29,0),100),IFERROR(MATCH($A46,Za!$F$30:$AQ$30,0),100),IFERROR(MATCH($A46,Za!$F$31:$AQ$31,0),100),IFERROR(MATCH($A46,Za!$F$32:$AQ$32,0),100),IFERROR(MATCH($A46,Za!$F$33:$AQ$33,0),100),IFERROR(MATCH($A46,Za!$F$34:$AQ$34,0),100),IFERROR(MATCH($A46,Za!$F$35:$AQ$35,0),100),IFERROR(MATCH($A46,Za!$F$36:$AQ$36,0),100),IFERROR(MATCH($A46,Za!$F$37:$AQ$37,0),100),IFERROR(MATCH($A46,Za!$F$38:$AQ$38,0),100),IFERROR(MATCH($A46,Za!$F$39:$AQ$39,0),100),IFERROR(MATCH($A46,Za!$F$40:$AQ$40,0),100),IFERROR(MATCH($A46,Za!$F$41:$AQ$41,0),100),IFERROR(MATCH($A46,Za!$F$42:$AQ$42,0),100),IFERROR(MATCH($A46,Za!$F$43:$AQ$43,0),100),IFERROR(MATCH($A46,Za!$F$44:$AQ$44,0),100),IFERROR(MATCH($A46,Za!$F$45:$AQ$45,0),100),IFERROR(MATCH($A46,Za!$F$46:$AQ$46,0),100),IFERROR(MATCH($A46,Za!$F$47:$AQ$47,0),100),IFERROR(MATCH($A46,Za!$F$48:$AQ$48,0),100),IFERROR(MATCH($A46,Za!$F$49:$AQ$49,0),100),IFERROR(MATCH($A46,Za!$F$50:$AQ$50,0),100),IFERROR(MATCH($A46,Za!$F$51:$AQ$51,0),100),IFERROR(MATCH($A46,Za!$F$52:$AQ$52,0),100),IFERROR(MATCH($A46,Za!$F$53:$AQ$53,0),100),IFERROR(MATCH($A46,Za!$F$54:$AQ$54,0),100),IFERROR(MATCH($A46,Za!$F$55:$AQ$55,0),100),IFERROR(MATCH($A46,Za!$F$56:$AQ$56,0),100),IFERROR(MATCH($A46,Za!$F$57:$AQ$57,0),100),IFERROR(MATCH($A46,Za!$F$58:$AQ$58,0),100),IFERROR(MATCH($A46,Za!$F$59:$AQ$59,0),100),IFERROR(MATCH($A46,Za!$F$60:$AQ$60,0),100),IFERROR(MATCH($A46,Za!$F$61:$AQ$61,0),100),IFERROR(MATCH($A46,Za!$F$62:$AQ$62,0),100),IFERROR(MATCH($A46,Za!$F$63:$AQ$63,0),100),39)</f>
        <v/>
      </c>
      <c r="N46" s="66">
        <f>IFERROR(IF(VLOOKUP(INDEX(Za!$B$12:$B$63,MATCH($A46,OFFSET( Za!$F$12:$F$63,0,(M46*48)-(IF(M46=7/24,9,IF(M46=12.5/24,9,IF(M46=14/24,9,IF(M46=15.5/24,9,10)))))),0),0),Za!$B$13:$C$63,2,FALSE)="TL","",INDEX(Za!$B$12:$B$63,MATCH($A46,OFFSET( Za!$F$12:$F$63,0,(M46*48)-(IF(M46=7/24,9,IF(M46=12.5/24,9,IF(M46=14/24,9,IF(M46=15.5/24,9,10)))))),0),0)),"")</f>
        <v/>
      </c>
      <c r="O46" s="857">
        <f>9/48+(1/48)*MIN(IFERROR(MATCH($A46,Zo!$F$13:$AQ$13,0),100),IFERROR(MATCH($A46,Zo!$F$14:$AQ$14,0),100),IFERROR(MATCH($A46,Zo!$F$15:$AQ$15,0),100),IFERROR(MATCH($A46,Zo!$F$16:$AQ$16,0),100),IFERROR(MATCH($A46,Zo!$F$17:$AQ$17,0),100),IFERROR(MATCH($A46,Zo!$F$18:$AQ$18,0),100),IFERROR(MATCH($A46,Zo!$F$19:$AQ$19,0),100),IFERROR(MATCH($A46,Zo!$F$20:$AQ$20,0),100),IFERROR(MATCH($A46,Zo!$F$21:$AQ$21,0),100),IFERROR(MATCH($A46,Zo!$F$22:$AQ$22,0),100),IFERROR(MATCH($A46,Zo!$F$23:$AQ$23,0),100),IFERROR(MATCH($A46,Zo!$F$24:$AQ$24,0),100),IFERROR(MATCH($A46,Zo!$F$25:$AQ$25,0),100),IFERROR(MATCH($A46,Zo!$F$26:$AQ$26,0),100),IFERROR(MATCH($A46,Zo!$F$27:$AQ$27,0),100),IFERROR(MATCH($A46,Zo!$F$28:$AQ$28,0),100),IFERROR(MATCH($A46,Zo!$F$29:$AQ$29,0),100),IFERROR(MATCH($A46,Zo!$F$30:$AQ$30,0),100),IFERROR(MATCH($A46,Zo!$F$31:$AQ$31,0),100),IFERROR(MATCH($A46,Zo!$F$32:$AQ$32,0),100),IFERROR(MATCH($A46,Zo!$F$33:$AQ$33,0),100),IFERROR(MATCH($A46,Zo!$F$34:$AQ$34,0),100),IFERROR(MATCH($A46,Zo!$F$35:$AQ$35,0),100),IFERROR(MATCH($A46,Zo!$F$36:$AQ$36,0),100),IFERROR(MATCH($A46,Zo!$F$37:$AQ$37,0),100),IFERROR(MATCH($A46,Zo!$F$38:$AQ$38,0),100),IFERROR(MATCH($A46,Zo!$F$39:$AQ$39,0),100),IFERROR(MATCH($A46,Zo!$F$40:$AQ$40,0),100),IFERROR(MATCH($A46,Zo!$F$41:$AQ$41,0),100),IFERROR(MATCH($A46,Zo!$F$42:$AQ$42,0),100),IFERROR(MATCH($A46,Zo!$F$43:$AQ$43,0),100),IFERROR(MATCH($A46,Zo!$F$44:$AQ$44,0),100),IFERROR(MATCH($A46,Zo!$F$45:$AQ$45,0),100),IFERROR(MATCH($A46,Zo!$F$46:$AQ$46,0),100),IFERROR(MATCH($A46,Zo!$F$47:$AQ$47,0),100),IFERROR(MATCH($A46,Zo!$F$48:$AQ$48,0),100),IFERROR(MATCH($A46,Zo!$F$49:$AQ$49,0),100),IFERROR(MATCH($A46,Zo!$F$50:$AQ$50,0),100),IFERROR(MATCH($A46,Zo!$F$51:$AQ$51,0),100),IFERROR(MATCH($A46,Zo!$F$52:$AQ$52,0),100),IFERROR(MATCH($A46,Zo!$F$53:$AQ$53,0),100),IFERROR(MATCH($A46,Zo!$F$54:$AQ$54,0),100),IFERROR(MATCH($A46,Zo!$F$55:$AQ$55,0),100),IFERROR(MATCH($A46,Zo!$F$56:$AQ$56,0),100),IFERROR(MATCH($A46,Zo!$F$57:$AQ$57,0),100),IFERROR(MATCH($A46,Zo!$F$58:$AQ$58,0),100),IFERROR(MATCH($A46,Zo!$F$59:$AQ$59,0),100),IFERROR(MATCH($A46,Zo!$F$60:$AQ$60,0),100),IFERROR(MATCH($A46,Zo!$F$61:$AQ$61,0),100),IFERROR(MATCH($A46,Zo!$F$62:$AQ$62,0),100),IFERROR(MATCH($A46,Zo!$F$63:$AQ$63,0),100),39)</f>
        <v/>
      </c>
      <c r="P46" s="66">
        <f>IFERROR(IF(VLOOKUP(INDEX(Zo!$B$12:$B$63,MATCH($A46,OFFSET( Zo!$F$12:$F$63,0,(O46*48)-(IF(O46=7/24,9,IF(O46=12.5/24,9,IF(O46=14/24,9,IF(O46=15.5/24,9,10)))))),0),0),Zo!$B$13:$C$63,2,FALSE)="TL","",INDEX(Zo!$B$12:$B$63,MATCH($A46,OFFSET( Zo!$F$12:$F$63,0,(O46*48)-(IF(O46=7/24,9,IF(O46=12.5/24,9,IF(O46=14/24,9,IF(O46=15.5/24,9,10)))))),0),0)),"")</f>
        <v/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Sheet3">
    <tabColor rgb="FFFF0000"/>
    <outlinePr summaryBelow="1" summaryRight="1"/>
    <pageSetUpPr/>
  </sheetPr>
  <dimension ref="A1:N1429"/>
  <sheetViews>
    <sheetView showGridLines="0" showRowColHeaders="0" topLeftCell="O1" workbookViewId="0">
      <selection activeCell="N1" sqref="A1:N1048576"/>
    </sheetView>
  </sheetViews>
  <sheetFormatPr baseColWidth="8" defaultColWidth="9.140625" defaultRowHeight="12.6"/>
  <cols>
    <col hidden="1" width="10.7109375" customWidth="1" style="630" min="1" max="7"/>
    <col hidden="1" width="10.7109375" customWidth="1" style="627" min="8" max="11"/>
    <col hidden="1" width="9.140625" customWidth="1" style="643" min="12" max="12"/>
    <col hidden="1" width="25.85546875" customWidth="1" style="630" min="13" max="13"/>
    <col hidden="1" width="9.140625" customWidth="1" style="630" min="14" max="14"/>
    <col width="9.140625" customWidth="1" style="583" min="15" max="16384"/>
  </cols>
  <sheetData>
    <row r="1" ht="12.95" customHeight="1">
      <c r="A1" s="623" t="inlineStr">
        <is>
          <t>Wnr.:</t>
        </is>
      </c>
      <c r="B1" s="623" t="inlineStr">
        <is>
          <t>Winkelnaam:</t>
        </is>
      </c>
      <c r="C1" s="623" t="inlineStr">
        <is>
          <t>Adres:</t>
        </is>
      </c>
      <c r="D1" s="623" t="inlineStr">
        <is>
          <t>Postcode:</t>
        </is>
      </c>
      <c r="E1" s="623" t="inlineStr">
        <is>
          <t>Plaats:</t>
        </is>
      </c>
      <c r="F1" s="623" t="inlineStr">
        <is>
          <t>Telefoon:</t>
        </is>
      </c>
      <c r="G1" s="623" t="n"/>
      <c r="H1" s="624" t="inlineStr">
        <is>
          <t>Datum:</t>
        </is>
      </c>
      <c r="I1" s="624" t="inlineStr">
        <is>
          <t>Evenement:</t>
        </is>
      </c>
      <c r="J1" s="624" t="n"/>
      <c r="K1" s="624" t="n"/>
      <c r="L1" s="634" t="inlineStr">
        <is>
          <t>Week</t>
        </is>
      </c>
      <c r="M1" s="635" t="inlineStr">
        <is>
          <t>Omzet</t>
        </is>
      </c>
      <c r="N1" s="636" t="inlineStr">
        <is>
          <t>Feestdag</t>
        </is>
      </c>
    </row>
    <row r="2">
      <c r="A2" s="625" t="n">
        <v>3002</v>
      </c>
      <c r="B2" s="625" t="inlineStr">
        <is>
          <t>Pelt</t>
        </is>
      </c>
      <c r="C2" s="625" t="inlineStr">
        <is>
          <t>De Koel 8</t>
        </is>
      </c>
      <c r="D2" s="625" t="n">
        <v>3900</v>
      </c>
      <c r="E2" s="625" t="inlineStr">
        <is>
          <t>Pelt</t>
        </is>
      </c>
      <c r="F2" s="625" t="inlineStr">
        <is>
          <t>011/44 61 54</t>
        </is>
      </c>
      <c r="G2" s="625" t="n"/>
      <c r="H2" s="626" t="n">
        <v>45656</v>
      </c>
      <c r="I2" s="627" t="inlineStr">
        <is>
          <t>Kerstvakantie</t>
        </is>
      </c>
      <c r="J2" s="628" t="n"/>
      <c r="K2" s="628" t="n"/>
      <c r="L2" s="637" t="n">
        <v>1</v>
      </c>
      <c r="M2" s="625" t="n">
        <v>365380.079902851</v>
      </c>
      <c r="N2" s="638" t="n">
        <v>0</v>
      </c>
    </row>
    <row r="3">
      <c r="A3" s="625" t="n">
        <v>3003</v>
      </c>
      <c r="B3" s="625" t="inlineStr">
        <is>
          <t>Antwerpen Hessenplein</t>
        </is>
      </c>
      <c r="C3" s="625" t="inlineStr">
        <is>
          <t>Hessenplein 25</t>
        </is>
      </c>
      <c r="D3" s="625" t="n">
        <v>2000</v>
      </c>
      <c r="E3" s="625" t="inlineStr">
        <is>
          <t>Antwerpen</t>
        </is>
      </c>
      <c r="F3" s="625" t="inlineStr">
        <is>
          <t>03/225 20 07</t>
        </is>
      </c>
      <c r="G3" s="625" t="n"/>
      <c r="H3" s="626" t="n">
        <v>45657</v>
      </c>
      <c r="I3" s="627" t="inlineStr">
        <is>
          <t>Kerstvakantie</t>
        </is>
      </c>
      <c r="J3" s="628" t="n"/>
      <c r="K3" s="628" t="n"/>
      <c r="L3" s="637" t="n">
        <v>2</v>
      </c>
      <c r="M3" s="625" t="n">
        <v>380928.1684093554</v>
      </c>
      <c r="N3" s="638" t="n">
        <v>0</v>
      </c>
    </row>
    <row r="4">
      <c r="A4" s="625" t="n">
        <v>3004</v>
      </c>
      <c r="B4" s="625" t="inlineStr">
        <is>
          <t>Antwerpen Hoboken</t>
        </is>
      </c>
      <c r="C4" s="625" t="inlineStr">
        <is>
          <t>Zeelandstraat 40</t>
        </is>
      </c>
      <c r="D4" s="625" t="n">
        <v>2660</v>
      </c>
      <c r="E4" s="625" t="inlineStr">
        <is>
          <t>Antwerpen</t>
        </is>
      </c>
      <c r="F4" s="625" t="inlineStr">
        <is>
          <t>03/899 53 36</t>
        </is>
      </c>
      <c r="G4" s="625" t="n"/>
      <c r="H4" s="626" t="n">
        <v>45658</v>
      </c>
      <c r="I4" s="627" t="inlineStr">
        <is>
          <t>Nieuwjaar (FD)</t>
        </is>
      </c>
      <c r="J4" s="628" t="n"/>
      <c r="K4" s="628" t="n"/>
      <c r="L4" s="637" t="n">
        <v>3</v>
      </c>
      <c r="M4" s="625" t="n">
        <v>366242.409511844</v>
      </c>
      <c r="N4" s="638" t="n">
        <v>0</v>
      </c>
    </row>
    <row r="5">
      <c r="A5" s="625" t="n">
        <v>3005</v>
      </c>
      <c r="B5" s="625" t="inlineStr">
        <is>
          <t>Beveren</t>
        </is>
      </c>
      <c r="C5" s="625" t="inlineStr">
        <is>
          <t>Warande 23</t>
        </is>
      </c>
      <c r="D5" s="625" t="n">
        <v>9120</v>
      </c>
      <c r="E5" s="625" t="inlineStr">
        <is>
          <t>Beveren</t>
        </is>
      </c>
      <c r="F5" s="625" t="inlineStr">
        <is>
          <t>03/755 52 32</t>
        </is>
      </c>
      <c r="G5" s="625" t="n"/>
      <c r="H5" s="626" t="n">
        <v>45659</v>
      </c>
      <c r="I5" s="627" t="inlineStr">
        <is>
          <t>Kerstvakantie</t>
        </is>
      </c>
      <c r="J5" s="628" t="n"/>
      <c r="K5" s="628" t="n"/>
      <c r="L5" s="637" t="n">
        <v>4</v>
      </c>
      <c r="M5" s="625" t="n">
        <v>372356.583383698</v>
      </c>
      <c r="N5" s="638" t="n">
        <v>0</v>
      </c>
    </row>
    <row r="6">
      <c r="A6" s="625" t="n">
        <v>3006</v>
      </c>
      <c r="B6" s="625" t="inlineStr">
        <is>
          <t>Olen</t>
        </is>
      </c>
      <c r="C6" s="625" t="inlineStr">
        <is>
          <t>Lammerdries winkelstraat 4</t>
        </is>
      </c>
      <c r="D6" s="625" t="n">
        <v>2250</v>
      </c>
      <c r="E6" s="625" t="inlineStr">
        <is>
          <t>Olen</t>
        </is>
      </c>
      <c r="F6" s="625" t="inlineStr">
        <is>
          <t>014/22 68 41</t>
        </is>
      </c>
      <c r="G6" s="625" t="n"/>
      <c r="H6" s="626" t="n">
        <v>45660</v>
      </c>
      <c r="I6" s="627" t="inlineStr">
        <is>
          <t>Kerstvakantie</t>
        </is>
      </c>
      <c r="J6" s="628" t="n"/>
      <c r="K6" s="628" t="n"/>
      <c r="L6" s="637" t="n">
        <v>5</v>
      </c>
      <c r="M6" s="625" t="n">
        <v>399105.9639124984</v>
      </c>
      <c r="N6" s="638" t="n">
        <v>0</v>
      </c>
    </row>
    <row r="7">
      <c r="A7" s="625" t="n">
        <v>3008</v>
      </c>
      <c r="B7" s="625" t="inlineStr">
        <is>
          <t>Harelbeke</t>
        </is>
      </c>
      <c r="C7" s="625" t="inlineStr">
        <is>
          <t>Gentsesteenweg 79</t>
        </is>
      </c>
      <c r="D7" s="625" t="n">
        <v>8530</v>
      </c>
      <c r="E7" s="625" t="inlineStr">
        <is>
          <t>Harelbeke</t>
        </is>
      </c>
      <c r="F7" s="625" t="inlineStr">
        <is>
          <t>056/71 17 96</t>
        </is>
      </c>
      <c r="G7" s="625" t="n"/>
      <c r="H7" s="626" t="n">
        <v>45661</v>
      </c>
      <c r="I7" s="627" t="inlineStr">
        <is>
          <t>Kerstvakantie</t>
        </is>
      </c>
      <c r="L7" s="637" t="n">
        <v>6</v>
      </c>
      <c r="M7" s="625" t="n">
        <v>396470.6514294852</v>
      </c>
      <c r="N7" s="638" t="n">
        <v>0</v>
      </c>
    </row>
    <row r="8">
      <c r="A8" s="625" t="n">
        <v>3009</v>
      </c>
      <c r="B8" s="625" t="inlineStr">
        <is>
          <t>Maaseik</t>
        </is>
      </c>
      <c r="C8" s="625" t="inlineStr">
        <is>
          <t>Kolonel Aertsplein 3</t>
        </is>
      </c>
      <c r="D8" s="625" t="n">
        <v>3680</v>
      </c>
      <c r="E8" s="625" t="inlineStr">
        <is>
          <t>Maaseik</t>
        </is>
      </c>
      <c r="F8" s="625" t="inlineStr">
        <is>
          <t>089/50 49 34</t>
        </is>
      </c>
      <c r="G8" s="625" t="n"/>
      <c r="H8" s="626" t="n">
        <v>45662</v>
      </c>
      <c r="I8" s="627" t="inlineStr">
        <is>
          <t>Kerstvakantie</t>
        </is>
      </c>
      <c r="J8" s="628" t="n"/>
      <c r="K8" s="628" t="n"/>
      <c r="L8" s="637" t="n">
        <v>7</v>
      </c>
      <c r="M8" s="625" t="n">
        <v>366441.0157649782</v>
      </c>
      <c r="N8" s="638" t="n">
        <v>0</v>
      </c>
    </row>
    <row r="9">
      <c r="A9" s="625" t="n">
        <v>3010</v>
      </c>
      <c r="B9" s="625" t="inlineStr">
        <is>
          <t>Mol</t>
        </is>
      </c>
      <c r="C9" s="625" t="inlineStr">
        <is>
          <t>Molderdijk 49</t>
        </is>
      </c>
      <c r="D9" s="625" t="n">
        <v>2400</v>
      </c>
      <c r="E9" s="625" t="inlineStr">
        <is>
          <t>Mol</t>
        </is>
      </c>
      <c r="F9" s="625" t="inlineStr">
        <is>
          <t>014/32 43 85</t>
        </is>
      </c>
      <c r="G9" s="625" t="n"/>
      <c r="H9" s="626" t="n">
        <v>45663</v>
      </c>
      <c r="I9" s="627" t="inlineStr">
        <is>
          <t>Driekoningen</t>
        </is>
      </c>
      <c r="J9" s="628" t="n"/>
      <c r="K9" s="628" t="n"/>
      <c r="L9" s="637" t="n">
        <v>8</v>
      </c>
      <c r="M9" s="625" t="n">
        <v>366441.0137882364</v>
      </c>
      <c r="N9" s="638" t="n">
        <v>0</v>
      </c>
    </row>
    <row r="10">
      <c r="A10" s="625" t="n">
        <v>3012</v>
      </c>
      <c r="B10" s="625" t="inlineStr">
        <is>
          <t>Kortrijk</t>
        </is>
      </c>
      <c r="C10" s="625" t="inlineStr">
        <is>
          <t>Ringlaan 34 bus 152</t>
        </is>
      </c>
      <c r="D10" s="625" t="n">
        <v>8500</v>
      </c>
      <c r="E10" s="625" t="inlineStr">
        <is>
          <t>Kortrijk</t>
        </is>
      </c>
      <c r="F10" s="625" t="inlineStr">
        <is>
          <t>056/37 18 43</t>
        </is>
      </c>
      <c r="G10" s="625" t="n"/>
      <c r="H10" s="626" t="n">
        <v>45702</v>
      </c>
      <c r="I10" s="627" t="inlineStr">
        <is>
          <t>Valentijnsdag</t>
        </is>
      </c>
      <c r="J10" s="628" t="n"/>
      <c r="K10" s="628" t="n"/>
      <c r="L10" s="637" t="n">
        <v>9</v>
      </c>
      <c r="M10" s="625" t="n">
        <v>369975.0737262277</v>
      </c>
      <c r="N10" s="638" t="n">
        <v>0</v>
      </c>
    </row>
    <row r="11">
      <c r="A11" s="625" t="n">
        <v>3013</v>
      </c>
      <c r="B11" s="625" t="inlineStr">
        <is>
          <t>Aalst</t>
        </is>
      </c>
      <c r="C11" s="625" t="inlineStr">
        <is>
          <t>Pontstraat 34</t>
        </is>
      </c>
      <c r="D11" s="625" t="n">
        <v>9300</v>
      </c>
      <c r="E11" s="625" t="inlineStr">
        <is>
          <t>Aalst</t>
        </is>
      </c>
      <c r="F11" s="625" t="inlineStr">
        <is>
          <t>053/21 56 79</t>
        </is>
      </c>
      <c r="G11" s="625" t="n"/>
      <c r="H11" s="626" t="n">
        <v>45719</v>
      </c>
      <c r="I11" s="627" t="inlineStr">
        <is>
          <t>Krokusvakantie</t>
        </is>
      </c>
      <c r="J11" s="628" t="n"/>
      <c r="K11" s="628" t="n"/>
      <c r="L11" s="637" t="n">
        <v>10</v>
      </c>
      <c r="M11" s="625" t="n">
        <v>384809.718595808</v>
      </c>
      <c r="N11" s="638" t="n">
        <v>0</v>
      </c>
    </row>
    <row r="12">
      <c r="A12" s="625" t="n">
        <v>3014</v>
      </c>
      <c r="B12" s="625" t="inlineStr">
        <is>
          <t>Bredene</t>
        </is>
      </c>
      <c r="C12" s="625" t="inlineStr">
        <is>
          <t>Kapelstraat 29-31</t>
        </is>
      </c>
      <c r="D12" s="625" t="n">
        <v>8450</v>
      </c>
      <c r="E12" s="625" t="inlineStr">
        <is>
          <t>Bredene</t>
        </is>
      </c>
      <c r="F12" s="625" t="inlineStr">
        <is>
          <t>059/33 32 89</t>
        </is>
      </c>
      <c r="G12" s="625" t="n"/>
      <c r="H12" s="626" t="n">
        <v>45720</v>
      </c>
      <c r="I12" s="627" t="inlineStr">
        <is>
          <t>Krokusvakantie</t>
        </is>
      </c>
      <c r="J12" s="628" t="n"/>
      <c r="K12" s="628" t="n"/>
      <c r="L12" s="637" t="n">
        <v>11</v>
      </c>
      <c r="M12" s="625" t="n">
        <v>366440.9995323895</v>
      </c>
      <c r="N12" s="638" t="n">
        <v>0</v>
      </c>
    </row>
    <row r="13">
      <c r="A13" s="625" t="n">
        <v>3015</v>
      </c>
      <c r="B13" s="625" t="inlineStr">
        <is>
          <t>Lier</t>
        </is>
      </c>
      <c r="C13" s="625" t="inlineStr">
        <is>
          <t>Antwerpsesteenweg 499B</t>
        </is>
      </c>
      <c r="D13" s="625" t="n">
        <v>2500</v>
      </c>
      <c r="E13" s="625" t="inlineStr">
        <is>
          <t>Lier</t>
        </is>
      </c>
      <c r="F13" s="625" t="inlineStr">
        <is>
          <t>034/88 11 06</t>
        </is>
      </c>
      <c r="G13" s="625" t="n"/>
      <c r="H13" s="626" t="n">
        <v>45721</v>
      </c>
      <c r="I13" s="627" t="inlineStr">
        <is>
          <t>Krokusvakantie</t>
        </is>
      </c>
      <c r="J13" s="628" t="n"/>
      <c r="K13" s="628" t="n"/>
      <c r="L13" s="637" t="n">
        <v>12</v>
      </c>
      <c r="M13" s="625" t="n">
        <v>366440.9863226797</v>
      </c>
      <c r="N13" s="638" t="n">
        <v>0</v>
      </c>
    </row>
    <row r="14">
      <c r="A14" s="625" t="n">
        <v>3018</v>
      </c>
      <c r="B14" s="625" t="inlineStr">
        <is>
          <t>Deinze</t>
        </is>
      </c>
      <c r="C14" s="625" t="inlineStr">
        <is>
          <t>Gaversesteenweg 46</t>
        </is>
      </c>
      <c r="D14" s="625" t="n">
        <v>9800</v>
      </c>
      <c r="E14" s="625" t="inlineStr">
        <is>
          <t>Deinze</t>
        </is>
      </c>
      <c r="F14" s="625" t="inlineStr">
        <is>
          <t>093/80 49 04</t>
        </is>
      </c>
      <c r="G14" s="625" t="n"/>
      <c r="H14" s="626" t="n">
        <v>45722</v>
      </c>
      <c r="I14" s="627" t="inlineStr">
        <is>
          <t>Krokusvakantie</t>
        </is>
      </c>
      <c r="J14" s="628" t="n"/>
      <c r="K14" s="628" t="n"/>
      <c r="L14" s="637" t="n">
        <v>13</v>
      </c>
      <c r="M14" s="625" t="n">
        <v>384809.7151625363</v>
      </c>
      <c r="N14" s="638" t="n">
        <v>0</v>
      </c>
    </row>
    <row r="15">
      <c r="A15" s="625" t="n">
        <v>3020</v>
      </c>
      <c r="B15" s="625" t="inlineStr">
        <is>
          <t>Gent Korenmarkt</t>
        </is>
      </c>
      <c r="C15" s="625" t="inlineStr">
        <is>
          <t>Korenmarkt 16</t>
        </is>
      </c>
      <c r="D15" s="625" t="n">
        <v>9000</v>
      </c>
      <c r="E15" s="625" t="inlineStr">
        <is>
          <t>Gent Korenmarkt</t>
        </is>
      </c>
      <c r="F15" s="625" t="inlineStr">
        <is>
          <t>092/23 23 27</t>
        </is>
      </c>
      <c r="G15" s="625" t="n"/>
      <c r="H15" s="626" t="n">
        <v>45723</v>
      </c>
      <c r="I15" s="627" t="inlineStr">
        <is>
          <t>Krokusvakantie</t>
        </is>
      </c>
      <c r="J15" s="628" t="n"/>
      <c r="K15" s="628" t="n"/>
      <c r="L15" s="637" t="n">
        <v>14</v>
      </c>
      <c r="M15" s="625" t="n">
        <v>368688.6055240139</v>
      </c>
      <c r="N15" s="638" t="n">
        <v>0</v>
      </c>
    </row>
    <row r="16">
      <c r="A16" s="625" t="n">
        <v>3021</v>
      </c>
      <c r="B16" s="625" t="inlineStr">
        <is>
          <t>Sint-Truiden</t>
        </is>
      </c>
      <c r="C16" s="625" t="inlineStr">
        <is>
          <t>Tiensesteenweg  168 bus 001</t>
        </is>
      </c>
      <c r="D16" s="625" t="n">
        <v>3800</v>
      </c>
      <c r="E16" s="625" t="inlineStr">
        <is>
          <t>Sint-Truiden</t>
        </is>
      </c>
      <c r="F16" s="625" t="inlineStr">
        <is>
          <t>011/88 42 13</t>
        </is>
      </c>
      <c r="G16" s="625" t="n"/>
      <c r="H16" s="626" t="n">
        <v>45724</v>
      </c>
      <c r="I16" s="627" t="inlineStr">
        <is>
          <t>Krokusvakantie</t>
        </is>
      </c>
      <c r="J16" s="628" t="n"/>
      <c r="K16" s="628" t="n"/>
      <c r="L16" s="637" t="n">
        <v>15</v>
      </c>
      <c r="M16" s="625" t="n">
        <v>368604.9280935073</v>
      </c>
      <c r="N16" s="638" t="n">
        <v>0</v>
      </c>
    </row>
    <row r="17">
      <c r="A17" s="625" t="n">
        <v>3024</v>
      </c>
      <c r="B17" s="625" t="inlineStr">
        <is>
          <t>Gent Stadion</t>
        </is>
      </c>
      <c r="C17" s="625" t="inlineStr">
        <is>
          <t>Ottergemsesteenweg zuid 808 B1</t>
        </is>
      </c>
      <c r="D17" s="625" t="n">
        <v>9000</v>
      </c>
      <c r="E17" s="625" t="inlineStr">
        <is>
          <t>Gent Stadion</t>
        </is>
      </c>
      <c r="F17" s="625" t="inlineStr">
        <is>
          <t>092/20 78 63</t>
        </is>
      </c>
      <c r="G17" s="625" t="n"/>
      <c r="H17" s="626" t="n">
        <v>45725</v>
      </c>
      <c r="I17" s="627" t="inlineStr">
        <is>
          <t>Krokusvakantie</t>
        </is>
      </c>
      <c r="J17" s="628" t="n"/>
      <c r="K17" s="628" t="n"/>
      <c r="L17" s="637" t="n">
        <v>16</v>
      </c>
      <c r="M17" s="625" t="n">
        <v>387132.4947199979</v>
      </c>
      <c r="N17" s="638" t="n">
        <v>0</v>
      </c>
    </row>
    <row r="18">
      <c r="A18" s="625" t="n">
        <v>3026</v>
      </c>
      <c r="B18" s="625" t="inlineStr">
        <is>
          <t>Gent Overpoort</t>
        </is>
      </c>
      <c r="C18" s="625" t="inlineStr">
        <is>
          <t>Overpoortstraat 49a bus 07/08</t>
        </is>
      </c>
      <c r="D18" s="625" t="n">
        <v>9000</v>
      </c>
      <c r="E18" s="625" t="inlineStr">
        <is>
          <t>Gent Overpoort</t>
        </is>
      </c>
      <c r="F18" s="625" t="inlineStr">
        <is>
          <t>092/22 69 96</t>
        </is>
      </c>
      <c r="G18" s="625" t="n"/>
      <c r="H18" s="626" t="n">
        <v>45746</v>
      </c>
      <c r="I18" s="627" t="inlineStr">
        <is>
          <t>Zomertijd</t>
        </is>
      </c>
      <c r="J18" s="628" t="n"/>
      <c r="K18" s="628" t="n"/>
      <c r="L18" s="637" t="n">
        <v>17</v>
      </c>
      <c r="M18" s="625" t="n">
        <v>346320.9228154716</v>
      </c>
      <c r="N18" s="638" t="n">
        <v>0</v>
      </c>
    </row>
    <row r="19">
      <c r="A19" s="625" t="n">
        <v>3028</v>
      </c>
      <c r="B19" s="625" t="inlineStr">
        <is>
          <t>Brugge</t>
        </is>
      </c>
      <c r="C19" s="625" t="inlineStr">
        <is>
          <t>Sint-Pieterskaai 55</t>
        </is>
      </c>
      <c r="D19" s="625" t="n">
        <v>8000</v>
      </c>
      <c r="E19" s="625" t="inlineStr">
        <is>
          <t>Brugge</t>
        </is>
      </c>
      <c r="F19" s="625" t="inlineStr">
        <is>
          <t>050/32 11 60</t>
        </is>
      </c>
      <c r="G19" s="625" t="n"/>
      <c r="H19" s="626" t="n">
        <v>45754</v>
      </c>
      <c r="I19" s="627" t="inlineStr">
        <is>
          <t>Paasvakantie</t>
        </is>
      </c>
      <c r="J19" s="628" t="n"/>
      <c r="K19" s="628" t="n"/>
      <c r="L19" s="637" t="n">
        <v>18</v>
      </c>
      <c r="M19" s="625" t="n">
        <v>353835.9441297901</v>
      </c>
      <c r="N19" s="638" t="n">
        <v>0</v>
      </c>
    </row>
    <row r="20">
      <c r="A20" s="625" t="n">
        <v>3029</v>
      </c>
      <c r="B20" s="625" t="inlineStr">
        <is>
          <t>Nijlen</t>
        </is>
      </c>
      <c r="C20" s="625" t="inlineStr">
        <is>
          <t>Bouwelsesteenweg 13</t>
        </is>
      </c>
      <c r="D20" s="625" t="n">
        <v>2560</v>
      </c>
      <c r="E20" s="625" t="inlineStr">
        <is>
          <t>Nijlen</t>
        </is>
      </c>
      <c r="F20" s="625" t="inlineStr">
        <is>
          <t>033/14 18 71</t>
        </is>
      </c>
      <c r="G20" s="625" t="n"/>
      <c r="H20" s="626" t="n">
        <v>45755</v>
      </c>
      <c r="I20" s="627" t="inlineStr">
        <is>
          <t>Paasvakantie</t>
        </is>
      </c>
      <c r="L20" s="637" t="n">
        <v>19</v>
      </c>
      <c r="M20" s="625" t="n">
        <v>394664.4586848016</v>
      </c>
      <c r="N20" s="638" t="n">
        <v>0</v>
      </c>
    </row>
    <row r="21">
      <c r="A21" s="625" t="n">
        <v>3030</v>
      </c>
      <c r="B21" s="625" t="inlineStr">
        <is>
          <t>Westmalle</t>
        </is>
      </c>
      <c r="C21" s="625" t="inlineStr">
        <is>
          <t>Antwerpsesteenweg 146A</t>
        </is>
      </c>
      <c r="D21" s="625" t="n">
        <v>2390</v>
      </c>
      <c r="E21" s="625" t="inlineStr">
        <is>
          <t>Westmalle</t>
        </is>
      </c>
      <c r="F21" s="625" t="inlineStr">
        <is>
          <t>033/22 02 16</t>
        </is>
      </c>
      <c r="G21" s="625" t="n"/>
      <c r="H21" s="626" t="n">
        <v>45756</v>
      </c>
      <c r="I21" s="627" t="inlineStr">
        <is>
          <t>Paasvakantie</t>
        </is>
      </c>
      <c r="L21" s="637" t="n">
        <v>20</v>
      </c>
      <c r="M21" s="625" t="n">
        <v>368587.7778799289</v>
      </c>
      <c r="N21" s="638" t="n">
        <v>0</v>
      </c>
    </row>
    <row r="22">
      <c r="A22" s="625" t="n">
        <v>3031</v>
      </c>
      <c r="B22" s="625" t="inlineStr">
        <is>
          <t>Kontich</t>
        </is>
      </c>
      <c r="C22" s="625" t="inlineStr">
        <is>
          <t>Mechelsesteenweg 315</t>
        </is>
      </c>
      <c r="D22" s="625" t="n">
        <v>2550</v>
      </c>
      <c r="E22" s="625" t="inlineStr">
        <is>
          <t>Kontich</t>
        </is>
      </c>
      <c r="F22" s="625" t="inlineStr">
        <is>
          <t>034/48 24 77</t>
        </is>
      </c>
      <c r="G22" s="625" t="n"/>
      <c r="H22" s="626" t="n">
        <v>45757</v>
      </c>
      <c r="I22" s="627" t="inlineStr">
        <is>
          <t>Paasvakantie</t>
        </is>
      </c>
      <c r="L22" s="637" t="n">
        <v>21</v>
      </c>
      <c r="M22" s="625" t="n">
        <v>387252.9515628692</v>
      </c>
      <c r="N22" s="638" t="n">
        <v>0</v>
      </c>
    </row>
    <row r="23">
      <c r="A23" s="625" t="n">
        <v>3033</v>
      </c>
      <c r="B23" s="625" t="inlineStr">
        <is>
          <t>Antwerpen Karel Oomsstraat</t>
        </is>
      </c>
      <c r="C23" s="625" t="inlineStr">
        <is>
          <t>Karel Oomsstraat 47K bus 1</t>
        </is>
      </c>
      <c r="D23" s="625" t="n">
        <v>2018</v>
      </c>
      <c r="E23" s="625" t="inlineStr">
        <is>
          <t>Antwerpen</t>
        </is>
      </c>
      <c r="F23" s="625" t="inlineStr">
        <is>
          <t>032/37 10 08</t>
        </is>
      </c>
      <c r="G23" s="625" t="n"/>
      <c r="H23" s="626" t="n">
        <v>45758</v>
      </c>
      <c r="I23" s="627" t="inlineStr">
        <is>
          <t>Paasvakantie</t>
        </is>
      </c>
      <c r="J23" s="628" t="n"/>
      <c r="K23" s="628" t="n"/>
      <c r="L23" s="637" t="n">
        <v>22</v>
      </c>
      <c r="M23" s="625" t="n">
        <v>368618.571662447</v>
      </c>
      <c r="N23" s="638" t="n">
        <v>0</v>
      </c>
    </row>
    <row r="24">
      <c r="A24" s="625" t="n">
        <v>3034</v>
      </c>
      <c r="B24" s="625" t="inlineStr">
        <is>
          <t>Beringen</t>
        </is>
      </c>
      <c r="C24" s="625" t="inlineStr">
        <is>
          <t>Be-Mine 6</t>
        </is>
      </c>
      <c r="D24" s="625" t="n">
        <v>3582</v>
      </c>
      <c r="E24" s="625" t="inlineStr">
        <is>
          <t>Beringen</t>
        </is>
      </c>
      <c r="F24" s="625" t="inlineStr">
        <is>
          <t>011/32 27 22</t>
        </is>
      </c>
      <c r="G24" s="625" t="n"/>
      <c r="H24" s="626" t="n">
        <v>45759</v>
      </c>
      <c r="I24" s="627" t="inlineStr">
        <is>
          <t>Paasvakantie</t>
        </is>
      </c>
      <c r="J24" s="628" t="n"/>
      <c r="K24" s="628" t="n"/>
      <c r="L24" s="637" t="n">
        <v>23</v>
      </c>
      <c r="M24" s="625" t="n">
        <v>394598.4266793419</v>
      </c>
      <c r="N24" s="638" t="n">
        <v>0</v>
      </c>
    </row>
    <row r="25">
      <c r="A25" s="625" t="n">
        <v>3036</v>
      </c>
      <c r="B25" s="625" t="inlineStr">
        <is>
          <t>Aarschot</t>
        </is>
      </c>
      <c r="C25" s="625" t="inlineStr">
        <is>
          <t>Herseltsesteenweg 152</t>
        </is>
      </c>
      <c r="D25" s="625" t="n">
        <v>3200</v>
      </c>
      <c r="E25" s="625" t="inlineStr">
        <is>
          <t>Aarschot</t>
        </is>
      </c>
      <c r="F25" s="625" t="inlineStr">
        <is>
          <t>016/69 99 16</t>
        </is>
      </c>
      <c r="G25" s="625" t="n"/>
      <c r="H25" s="626" t="n">
        <v>45760</v>
      </c>
      <c r="I25" s="627" t="inlineStr">
        <is>
          <t>Paasvakantie</t>
        </is>
      </c>
      <c r="J25" s="628" t="n"/>
      <c r="K25" s="628" t="n"/>
      <c r="L25" s="637" t="n">
        <v>24</v>
      </c>
      <c r="M25" s="625" t="n">
        <v>368630.1917812554</v>
      </c>
      <c r="N25" s="638" t="n">
        <v>0</v>
      </c>
    </row>
    <row r="26">
      <c r="A26" s="625" t="n">
        <v>3037</v>
      </c>
      <c r="B26" s="625" t="inlineStr">
        <is>
          <t>Zottegem</t>
        </is>
      </c>
      <c r="C26" s="625" t="inlineStr">
        <is>
          <t>Spelaanstraat 2a</t>
        </is>
      </c>
      <c r="D26" s="625" t="n">
        <v>9620</v>
      </c>
      <c r="E26" s="625" t="inlineStr">
        <is>
          <t>Zottegem</t>
        </is>
      </c>
      <c r="F26" s="625" t="inlineStr">
        <is>
          <t>093/56 32 25</t>
        </is>
      </c>
      <c r="G26" s="625" t="n"/>
      <c r="H26" s="626" t="n">
        <v>45761</v>
      </c>
      <c r="I26" s="627" t="inlineStr">
        <is>
          <t>Paasvakantie</t>
        </is>
      </c>
      <c r="J26" s="628" t="n"/>
      <c r="K26" s="628" t="n"/>
      <c r="L26" s="637" t="n">
        <v>25</v>
      </c>
      <c r="M26" s="625" t="n">
        <v>405742.6268014575</v>
      </c>
      <c r="N26" s="638" t="n">
        <v>0</v>
      </c>
    </row>
    <row r="27">
      <c r="A27" s="625" t="n">
        <v>3101</v>
      </c>
      <c r="B27" s="625" t="inlineStr">
        <is>
          <t>Stabroek</t>
        </is>
      </c>
      <c r="C27" s="625" t="inlineStr">
        <is>
          <t>Picoloplein 1</t>
        </is>
      </c>
      <c r="D27" s="625" t="n">
        <v>2940</v>
      </c>
      <c r="E27" s="625" t="inlineStr">
        <is>
          <t>Stabroek</t>
        </is>
      </c>
      <c r="F27" s="625" t="inlineStr">
        <is>
          <t>032/50 10 60</t>
        </is>
      </c>
      <c r="G27" s="625" t="n"/>
      <c r="H27" s="626" t="n">
        <v>45762</v>
      </c>
      <c r="I27" s="627" t="inlineStr">
        <is>
          <t>Paasvakantie</t>
        </is>
      </c>
      <c r="J27" s="628" t="n"/>
      <c r="K27" s="628" t="n"/>
      <c r="L27" s="637" t="n">
        <v>26</v>
      </c>
      <c r="M27" s="625" t="n">
        <v>387201.3842045986</v>
      </c>
      <c r="N27" s="638" t="n">
        <v>0</v>
      </c>
    </row>
    <row r="28">
      <c r="A28" s="625" t="n">
        <v>3102</v>
      </c>
      <c r="B28" s="625" t="inlineStr">
        <is>
          <t>Roeselare</t>
        </is>
      </c>
      <c r="C28" s="625" t="inlineStr">
        <is>
          <t>Brugsesteenweg 341</t>
        </is>
      </c>
      <c r="D28" s="625" t="n">
        <v>8800</v>
      </c>
      <c r="E28" s="625" t="inlineStr">
        <is>
          <t>Roeselare</t>
        </is>
      </c>
      <c r="F28" s="625" t="inlineStr">
        <is>
          <t>051/25 49 20</t>
        </is>
      </c>
      <c r="G28" s="625" t="n"/>
      <c r="H28" s="626" t="n">
        <v>45763</v>
      </c>
      <c r="I28" s="627" t="inlineStr">
        <is>
          <t>Paasvakantie</t>
        </is>
      </c>
      <c r="K28" s="628" t="n"/>
      <c r="L28" s="637" t="n">
        <v>27</v>
      </c>
      <c r="M28" s="625" t="n">
        <v>387212.8872365459</v>
      </c>
      <c r="N28" s="638" t="n">
        <v>0</v>
      </c>
    </row>
    <row r="29">
      <c r="A29" s="625" t="n">
        <v>3103</v>
      </c>
      <c r="B29" s="625" t="inlineStr">
        <is>
          <t>Genk</t>
        </is>
      </c>
      <c r="C29" s="625" t="inlineStr">
        <is>
          <t>Hasseltweg 198</t>
        </is>
      </c>
      <c r="D29" s="625" t="n">
        <v>3600</v>
      </c>
      <c r="E29" s="625" t="inlineStr">
        <is>
          <t>Genk</t>
        </is>
      </c>
      <c r="F29" s="625" t="inlineStr">
        <is>
          <t>089/61 38 83</t>
        </is>
      </c>
      <c r="G29" s="625" t="n"/>
      <c r="H29" s="626" t="n">
        <v>45764</v>
      </c>
      <c r="I29" s="627" t="inlineStr">
        <is>
          <t>Paasvakantie</t>
        </is>
      </c>
      <c r="J29" s="628" t="n"/>
      <c r="K29" s="628" t="n"/>
      <c r="L29" s="637" t="n">
        <v>28</v>
      </c>
      <c r="M29" s="625" t="n">
        <v>338982.6987799791</v>
      </c>
      <c r="N29" s="638" t="n">
        <v>0</v>
      </c>
    </row>
    <row r="30">
      <c r="A30" s="625" t="n">
        <v>3104</v>
      </c>
      <c r="B30" s="625" t="inlineStr">
        <is>
          <t>Hasselt</t>
        </is>
      </c>
      <c r="C30" s="625" t="inlineStr">
        <is>
          <t>Gouverneur Verwilghensingel 2d</t>
        </is>
      </c>
      <c r="D30" s="625" t="n">
        <v>3500</v>
      </c>
      <c r="E30" s="625" t="inlineStr">
        <is>
          <t>Hasselt</t>
        </is>
      </c>
      <c r="F30" s="625" t="inlineStr">
        <is>
          <t>011/48 75 85</t>
        </is>
      </c>
      <c r="G30" s="625" t="n"/>
      <c r="H30" s="626" t="n">
        <v>45765</v>
      </c>
      <c r="I30" s="627" t="inlineStr">
        <is>
          <t>Paasvakantie</t>
        </is>
      </c>
      <c r="J30" s="628" t="n"/>
      <c r="K30" s="628" t="n"/>
      <c r="L30" s="637" t="n">
        <v>29</v>
      </c>
      <c r="M30" s="625" t="n">
        <v>339004.1793534026</v>
      </c>
      <c r="N30" s="638" t="n">
        <v>0</v>
      </c>
    </row>
    <row r="31">
      <c r="A31" s="625" t="n">
        <v>3108</v>
      </c>
      <c r="B31" s="625" t="inlineStr">
        <is>
          <t>Zonhoven</t>
        </is>
      </c>
      <c r="C31" s="625" t="inlineStr">
        <is>
          <t>Heuveneindeweg 20</t>
        </is>
      </c>
      <c r="D31" s="625" t="n">
        <v>3520</v>
      </c>
      <c r="E31" s="625" t="inlineStr">
        <is>
          <t>Zonhoven</t>
        </is>
      </c>
      <c r="F31" s="625" t="inlineStr">
        <is>
          <t>011/66 67 75</t>
        </is>
      </c>
      <c r="G31" s="625" t="n"/>
      <c r="H31" s="626" t="n">
        <v>45766</v>
      </c>
      <c r="I31" s="627" t="inlineStr">
        <is>
          <t>Paasvakantie</t>
        </is>
      </c>
      <c r="J31" s="628" t="n"/>
      <c r="K31" s="628" t="n"/>
      <c r="L31" s="637" t="n">
        <v>30</v>
      </c>
      <c r="M31" s="625" t="n">
        <v>331522.3095046643</v>
      </c>
      <c r="N31" s="638" t="n">
        <v>0</v>
      </c>
    </row>
    <row r="32">
      <c r="A32" s="625" t="n">
        <v>3109</v>
      </c>
      <c r="B32" s="625" t="inlineStr">
        <is>
          <t>Knokke-Heist</t>
        </is>
      </c>
      <c r="C32" s="625" t="inlineStr">
        <is>
          <t>Duinenwater 28/01</t>
        </is>
      </c>
      <c r="D32" s="625" t="n">
        <v>8300</v>
      </c>
      <c r="E32" s="625" t="inlineStr">
        <is>
          <t>Knokke-Heist</t>
        </is>
      </c>
      <c r="F32" s="625" t="inlineStr">
        <is>
          <t>050/61 04 17</t>
        </is>
      </c>
      <c r="G32" s="625" t="n"/>
      <c r="H32" s="626" t="n">
        <v>45767</v>
      </c>
      <c r="I32" s="627" t="inlineStr">
        <is>
          <t>Paasvakantie</t>
        </is>
      </c>
      <c r="J32" s="628" t="n"/>
      <c r="K32" s="628" t="n"/>
      <c r="L32" s="637" t="n">
        <v>31</v>
      </c>
      <c r="M32" s="625" t="n">
        <v>338952.9062108942</v>
      </c>
      <c r="N32" s="638" t="n">
        <v>0</v>
      </c>
    </row>
    <row r="33">
      <c r="A33" s="625" t="n">
        <v>3110</v>
      </c>
      <c r="B33" s="625" t="inlineStr">
        <is>
          <t>Sint-Niklaas</t>
        </is>
      </c>
      <c r="C33" s="625" t="inlineStr">
        <is>
          <t>Puitvoetstraat 5</t>
        </is>
      </c>
      <c r="D33" s="625" t="n">
        <v>9100</v>
      </c>
      <c r="E33" s="625" t="inlineStr">
        <is>
          <t>St-Niklaas</t>
        </is>
      </c>
      <c r="F33" s="625" t="inlineStr">
        <is>
          <t>033/34 08 19</t>
        </is>
      </c>
      <c r="G33" s="625" t="n"/>
      <c r="H33" s="629" t="n">
        <v>45768</v>
      </c>
      <c r="I33" s="628" t="inlineStr">
        <is>
          <t>Paasmaandag (FD)</t>
        </is>
      </c>
      <c r="J33" s="628" t="n"/>
      <c r="K33" s="628" t="n"/>
      <c r="L33" s="637" t="n">
        <v>32</v>
      </c>
      <c r="M33" s="625" t="n">
        <v>338953.7517048225</v>
      </c>
      <c r="N33" s="638" t="n">
        <v>0</v>
      </c>
    </row>
    <row r="34">
      <c r="A34" s="625" t="n">
        <v>3111</v>
      </c>
      <c r="B34" s="625" t="inlineStr">
        <is>
          <t>Gierle</t>
        </is>
      </c>
      <c r="C34" s="625" t="inlineStr">
        <is>
          <t>Kloosterstraat 36</t>
        </is>
      </c>
      <c r="D34" s="625" t="n">
        <v>2275</v>
      </c>
      <c r="E34" s="625" t="inlineStr">
        <is>
          <t>Gierle</t>
        </is>
      </c>
      <c r="F34" s="625" t="inlineStr">
        <is>
          <t>014/55 82 90</t>
        </is>
      </c>
      <c r="G34" s="625" t="n"/>
      <c r="H34" s="629" t="n">
        <v>45778</v>
      </c>
      <c r="I34" s="628" t="inlineStr">
        <is>
          <t>Dag van de Arbeid (FD)</t>
        </is>
      </c>
      <c r="J34" s="628" t="n"/>
      <c r="K34" s="628" t="n"/>
      <c r="L34" s="637" t="n">
        <v>33</v>
      </c>
      <c r="M34" s="625" t="n">
        <v>331534.0053161351</v>
      </c>
      <c r="N34" s="638" t="n">
        <v>0</v>
      </c>
    </row>
    <row r="35">
      <c r="A35" s="625" t="n">
        <v>3112</v>
      </c>
      <c r="B35" s="625" t="inlineStr">
        <is>
          <t>Berchem Walemstraat</t>
        </is>
      </c>
      <c r="C35" s="625" t="inlineStr">
        <is>
          <t>Walemstraat 70</t>
        </is>
      </c>
      <c r="D35" s="625" t="n">
        <v>2600</v>
      </c>
      <c r="E35" s="625" t="inlineStr">
        <is>
          <t>Berchem</t>
        </is>
      </c>
      <c r="F35" s="625" t="inlineStr">
        <is>
          <t>032/86 41 90</t>
        </is>
      </c>
      <c r="G35" s="625" t="n"/>
      <c r="H35" s="626" t="n">
        <v>45788</v>
      </c>
      <c r="I35" s="627" t="inlineStr">
        <is>
          <t>Moederdag</t>
        </is>
      </c>
      <c r="J35" s="628" t="n"/>
      <c r="K35" s="628" t="n"/>
      <c r="L35" s="637" t="n">
        <v>34</v>
      </c>
      <c r="M35" s="625" t="n">
        <v>338955.653040096</v>
      </c>
      <c r="N35" s="638" t="n">
        <v>0</v>
      </c>
    </row>
    <row r="36">
      <c r="A36" s="625" t="n">
        <v>3113</v>
      </c>
      <c r="B36" s="625" t="inlineStr">
        <is>
          <t>Antwerpen Offerandestraat</t>
        </is>
      </c>
      <c r="C36" s="625" t="inlineStr">
        <is>
          <t>Offerandestraat 108</t>
        </is>
      </c>
      <c r="D36" s="625" t="n">
        <v>2140</v>
      </c>
      <c r="E36" s="625" t="inlineStr">
        <is>
          <t>Antwerpen</t>
        </is>
      </c>
      <c r="F36" s="625" t="inlineStr">
        <is>
          <t>032/70 30 10</t>
        </is>
      </c>
      <c r="G36" s="625" t="n"/>
      <c r="H36" s="629" t="n">
        <v>45806</v>
      </c>
      <c r="I36" s="628" t="inlineStr">
        <is>
          <t>Hemelvaart (FD)</t>
        </is>
      </c>
      <c r="J36" s="628" t="n"/>
      <c r="K36" s="628" t="n"/>
      <c r="L36" s="637" t="n">
        <v>35</v>
      </c>
      <c r="M36" s="625" t="n">
        <v>376067.7336413454</v>
      </c>
      <c r="N36" s="638" t="n">
        <v>0</v>
      </c>
    </row>
    <row r="37">
      <c r="A37" s="625" t="n">
        <v>3114</v>
      </c>
      <c r="B37" s="625" t="inlineStr">
        <is>
          <t>Maasmechelen</t>
        </is>
      </c>
      <c r="C37" s="625" t="inlineStr">
        <is>
          <t>Koninginnelaan 115 bus 25</t>
        </is>
      </c>
      <c r="D37" s="625" t="n">
        <v>3630</v>
      </c>
      <c r="E37" s="625" t="inlineStr">
        <is>
          <t>Maasmechelen</t>
        </is>
      </c>
      <c r="F37" s="625" t="inlineStr">
        <is>
          <t>089/79 11 86</t>
        </is>
      </c>
      <c r="G37" s="625" t="n"/>
      <c r="H37" s="626" t="n">
        <v>45816</v>
      </c>
      <c r="I37" s="627" t="inlineStr">
        <is>
          <t>Vaderdag</t>
        </is>
      </c>
      <c r="J37" s="628" t="n"/>
      <c r="K37" s="628" t="n"/>
      <c r="L37" s="637" t="n">
        <v>36</v>
      </c>
      <c r="M37" s="625" t="n">
        <v>397841.4703357201</v>
      </c>
      <c r="N37" s="638" t="n">
        <v>0</v>
      </c>
    </row>
    <row r="38">
      <c r="A38" s="625" t="n">
        <v>3115</v>
      </c>
      <c r="B38" s="625" t="inlineStr">
        <is>
          <t>Genk Shopping</t>
        </is>
      </c>
      <c r="C38" s="625" t="inlineStr">
        <is>
          <t>Rootenstraat 8 bus 101a</t>
        </is>
      </c>
      <c r="D38" s="625" t="n">
        <v>3600</v>
      </c>
      <c r="E38" s="625" t="inlineStr">
        <is>
          <t>Genk Shopping</t>
        </is>
      </c>
      <c r="F38" s="625" t="inlineStr">
        <is>
          <t>089/81 11 48</t>
        </is>
      </c>
      <c r="G38" s="625" t="n"/>
      <c r="H38" s="629" t="n">
        <v>45817</v>
      </c>
      <c r="I38" s="628" t="inlineStr">
        <is>
          <t>Pinkstermaandag (FD)</t>
        </is>
      </c>
      <c r="L38" s="637" t="n">
        <v>37</v>
      </c>
      <c r="M38" s="625" t="n">
        <v>368153.6662185363</v>
      </c>
      <c r="N38" s="638" t="n">
        <v>0</v>
      </c>
    </row>
    <row r="39">
      <c r="A39" s="625" t="n">
        <v>3116</v>
      </c>
      <c r="B39" s="625" t="inlineStr">
        <is>
          <t>Sint-Pieters-Leeuw</t>
        </is>
      </c>
      <c r="C39" s="625" t="inlineStr">
        <is>
          <t>Bergensesteenweg 65</t>
        </is>
      </c>
      <c r="D39" s="625" t="n">
        <v>1600</v>
      </c>
      <c r="E39" s="625" t="inlineStr">
        <is>
          <t>Sint-Pieters-Leeuw</t>
        </is>
      </c>
      <c r="F39" s="625" t="inlineStr">
        <is>
          <t>026/69 73 90</t>
        </is>
      </c>
      <c r="G39" s="625" t="n"/>
      <c r="H39" s="626" t="n">
        <v>45839</v>
      </c>
      <c r="I39" s="627" t="inlineStr">
        <is>
          <t>Zomervakantie</t>
        </is>
      </c>
      <c r="K39" s="628" t="n"/>
      <c r="L39" s="637" t="n">
        <v>38</v>
      </c>
      <c r="M39" s="625" t="n">
        <v>364442.9929808139</v>
      </c>
      <c r="N39" s="638" t="n">
        <v>0</v>
      </c>
    </row>
    <row r="40">
      <c r="A40" s="625" t="n">
        <v>3118</v>
      </c>
      <c r="B40" s="625" t="inlineStr">
        <is>
          <t>Wijnegem</t>
        </is>
      </c>
      <c r="C40" s="625" t="inlineStr">
        <is>
          <t>Turnhoutsebaan 5</t>
        </is>
      </c>
      <c r="D40" s="625" t="n">
        <v>2110</v>
      </c>
      <c r="E40" s="625" t="inlineStr">
        <is>
          <t>Wijnegem</t>
        </is>
      </c>
      <c r="F40" s="625" t="inlineStr">
        <is>
          <t>033/69 87 50</t>
        </is>
      </c>
      <c r="G40" s="625" t="n"/>
      <c r="H40" s="626" t="n">
        <v>45840</v>
      </c>
      <c r="I40" s="627" t="inlineStr">
        <is>
          <t>Zomervakantie</t>
        </is>
      </c>
      <c r="J40" s="628" t="n"/>
      <c r="K40" s="628" t="n"/>
      <c r="L40" s="637" t="n">
        <v>39</v>
      </c>
      <c r="M40" s="625" t="n">
        <v>386709.1077307459</v>
      </c>
      <c r="N40" s="638" t="n">
        <v>0</v>
      </c>
    </row>
    <row r="41">
      <c r="A41" s="625" t="n">
        <v>3120</v>
      </c>
      <c r="B41" s="625" t="inlineStr">
        <is>
          <t>Zaventem</t>
        </is>
      </c>
      <c r="C41" s="625" t="inlineStr">
        <is>
          <t>Hoogstraat 179</t>
        </is>
      </c>
      <c r="D41" s="625" t="n">
        <v>1930</v>
      </c>
      <c r="E41" s="625" t="inlineStr">
        <is>
          <t>Zaventem</t>
        </is>
      </c>
      <c r="F41" s="625" t="inlineStr">
        <is>
          <t>026/69 69 80</t>
        </is>
      </c>
      <c r="G41" s="625" t="n"/>
      <c r="H41" s="626" t="n">
        <v>45841</v>
      </c>
      <c r="I41" s="627" t="inlineStr">
        <is>
          <t>Zomervakantie</t>
        </is>
      </c>
      <c r="L41" s="637" t="n">
        <v>40</v>
      </c>
      <c r="M41" s="625" t="n">
        <v>376077.428315766</v>
      </c>
      <c r="N41" s="638" t="n">
        <v>0</v>
      </c>
    </row>
    <row r="42">
      <c r="A42" s="625" t="n">
        <v>3121</v>
      </c>
      <c r="B42" s="625" t="inlineStr">
        <is>
          <t>Ternat</t>
        </is>
      </c>
      <c r="C42" s="625" t="inlineStr">
        <is>
          <t>Morettestraat 18</t>
        </is>
      </c>
      <c r="D42" s="625" t="n">
        <v>1740</v>
      </c>
      <c r="E42" s="625" t="inlineStr">
        <is>
          <t>Ternat</t>
        </is>
      </c>
      <c r="F42" s="625" t="inlineStr">
        <is>
          <t>026/69 69 30</t>
        </is>
      </c>
      <c r="G42" s="625" t="n"/>
      <c r="H42" s="626" t="n">
        <v>45842</v>
      </c>
      <c r="I42" s="627" t="inlineStr">
        <is>
          <t>Zomervakantie</t>
        </is>
      </c>
      <c r="L42" s="637" t="n">
        <v>41</v>
      </c>
      <c r="M42" s="625" t="n">
        <v>387210.8739424988</v>
      </c>
      <c r="N42" s="638" t="n">
        <v>0</v>
      </c>
    </row>
    <row r="43">
      <c r="A43" s="625" t="n">
        <v>3123</v>
      </c>
      <c r="B43" s="625" t="inlineStr">
        <is>
          <t>Turnhout Turnova</t>
        </is>
      </c>
      <c r="C43" s="625" t="inlineStr">
        <is>
          <t>P.J. Brepolsplein 29</t>
        </is>
      </c>
      <c r="D43" s="625" t="n">
        <v>2300</v>
      </c>
      <c r="E43" s="625" t="inlineStr">
        <is>
          <t>Turnhout</t>
        </is>
      </c>
      <c r="F43" s="625" t="inlineStr">
        <is>
          <t>014/49 97 00</t>
        </is>
      </c>
      <c r="G43" s="625" t="n"/>
      <c r="H43" s="626" t="n">
        <v>45843</v>
      </c>
      <c r="I43" s="627" t="inlineStr">
        <is>
          <t>Zomervakantie</t>
        </is>
      </c>
      <c r="L43" s="637" t="n">
        <v>42</v>
      </c>
      <c r="M43" s="625" t="n">
        <v>357524.5284923078</v>
      </c>
      <c r="N43" s="638" t="n">
        <v>0</v>
      </c>
    </row>
    <row r="44">
      <c r="A44" s="625" t="n">
        <v>3124</v>
      </c>
      <c r="B44" s="625" t="inlineStr">
        <is>
          <t>Lokeren</t>
        </is>
      </c>
      <c r="C44" s="625" t="inlineStr">
        <is>
          <t>Zelebaan 19</t>
        </is>
      </c>
      <c r="D44" s="625" t="n">
        <v>9160</v>
      </c>
      <c r="E44" s="625" t="inlineStr">
        <is>
          <t>Lokeren</t>
        </is>
      </c>
      <c r="F44" s="625" t="inlineStr">
        <is>
          <t>092/22 06 60</t>
        </is>
      </c>
      <c r="G44" s="625" t="n"/>
      <c r="H44" s="626" t="n">
        <v>45844</v>
      </c>
      <c r="I44" s="627" t="inlineStr">
        <is>
          <t>Zomervakantie</t>
        </is>
      </c>
      <c r="K44" s="628" t="n"/>
      <c r="L44" s="637" t="n">
        <v>43</v>
      </c>
      <c r="M44" s="625" t="n">
        <v>376078.9488303391</v>
      </c>
      <c r="N44" s="638" t="n">
        <v>0</v>
      </c>
    </row>
    <row r="45">
      <c r="A45" s="625" t="n">
        <v>3127</v>
      </c>
      <c r="B45" s="625" t="inlineStr">
        <is>
          <t>Oostakker</t>
        </is>
      </c>
      <c r="C45" s="625" t="inlineStr">
        <is>
          <t>Herman Teirlinckstraat 8b</t>
        </is>
      </c>
      <c r="D45" s="625" t="n">
        <v>9041</v>
      </c>
      <c r="E45" s="625" t="inlineStr">
        <is>
          <t>Oostakker</t>
        </is>
      </c>
      <c r="F45" s="625" t="inlineStr">
        <is>
          <t>093/10 30 85</t>
        </is>
      </c>
      <c r="G45" s="625" t="n"/>
      <c r="H45" s="626" t="n">
        <v>45845</v>
      </c>
      <c r="I45" s="627" t="inlineStr">
        <is>
          <t>Zomervakantie</t>
        </is>
      </c>
      <c r="L45" s="637" t="n">
        <v>44</v>
      </c>
      <c r="M45" s="625" t="n">
        <v>331587.7798908182</v>
      </c>
      <c r="N45" s="638" t="n">
        <v>0</v>
      </c>
    </row>
    <row r="46">
      <c r="A46" s="625" t="n">
        <v>3128</v>
      </c>
      <c r="B46" s="625" t="inlineStr">
        <is>
          <t>Oostende</t>
        </is>
      </c>
      <c r="C46" s="625" t="inlineStr">
        <is>
          <t>Torhoutsesteenweg 541-543</t>
        </is>
      </c>
      <c r="D46" s="625" t="n">
        <v>8400</v>
      </c>
      <c r="E46" s="625" t="inlineStr">
        <is>
          <t>Oostende</t>
        </is>
      </c>
      <c r="F46" s="625" t="inlineStr">
        <is>
          <t>059/36 95 00</t>
        </is>
      </c>
      <c r="G46" s="625" t="n"/>
      <c r="H46" s="626" t="n">
        <v>45846</v>
      </c>
      <c r="I46" s="627" t="inlineStr">
        <is>
          <t>Zomervakantie</t>
        </is>
      </c>
      <c r="L46" s="637" t="n">
        <v>45</v>
      </c>
      <c r="M46" s="625" t="n">
        <v>376098.7912088301</v>
      </c>
      <c r="N46" s="638" t="n">
        <v>0</v>
      </c>
    </row>
    <row r="47">
      <c r="A47" s="625" t="n">
        <v>3131</v>
      </c>
      <c r="B47" s="625" t="inlineStr">
        <is>
          <t>Rijkevorsel</t>
        </is>
      </c>
      <c r="C47" s="625" t="inlineStr">
        <is>
          <t>Merksplassesteenweg 108c</t>
        </is>
      </c>
      <c r="D47" s="625" t="n">
        <v>2310</v>
      </c>
      <c r="E47" s="625" t="inlineStr">
        <is>
          <t>Rijkevorsel</t>
        </is>
      </c>
      <c r="F47" s="625" t="inlineStr">
        <is>
          <t>033/09 93 20</t>
        </is>
      </c>
      <c r="G47" s="625" t="n"/>
      <c r="H47" s="626" t="n">
        <v>45847</v>
      </c>
      <c r="I47" s="627" t="inlineStr">
        <is>
          <t>Zomervakantie</t>
        </is>
      </c>
      <c r="J47" s="628" t="n"/>
      <c r="K47" s="628" t="n"/>
      <c r="L47" s="637" t="n">
        <v>46</v>
      </c>
      <c r="M47" s="625" t="n">
        <v>331548.4567402678</v>
      </c>
      <c r="N47" s="638" t="n">
        <v>0</v>
      </c>
    </row>
    <row r="48">
      <c r="A48" s="625" t="n">
        <v>3132</v>
      </c>
      <c r="B48" s="625" t="inlineStr">
        <is>
          <t xml:space="preserve">Kuringen </t>
        </is>
      </c>
      <c r="C48" s="625" t="inlineStr">
        <is>
          <t>Schampbergstraat 22</t>
        </is>
      </c>
      <c r="D48" s="625" t="n">
        <v>3511</v>
      </c>
      <c r="E48" s="625" t="inlineStr">
        <is>
          <t>Hasselt</t>
        </is>
      </c>
      <c r="F48" s="625" t="inlineStr">
        <is>
          <t>011/66 36 16</t>
        </is>
      </c>
      <c r="G48" s="625" t="n"/>
      <c r="H48" s="626" t="n">
        <v>45848</v>
      </c>
      <c r="I48" s="627" t="inlineStr">
        <is>
          <t>Zomervakantie</t>
        </is>
      </c>
      <c r="L48" s="637" t="n">
        <v>47</v>
      </c>
      <c r="M48" s="625" t="n">
        <v>357523.2080998163</v>
      </c>
      <c r="N48" s="638" t="n">
        <v>0</v>
      </c>
    </row>
    <row r="49">
      <c r="A49" s="625" t="n">
        <v>3133</v>
      </c>
      <c r="B49" s="625" t="inlineStr">
        <is>
          <t>Deurne</t>
        </is>
      </c>
      <c r="C49" s="625" t="inlineStr">
        <is>
          <t>Herentalsebaan 683</t>
        </is>
      </c>
      <c r="D49" s="625" t="n">
        <v>2100</v>
      </c>
      <c r="E49" s="625" t="inlineStr">
        <is>
          <t>Deurne</t>
        </is>
      </c>
      <c r="F49" s="625" t="inlineStr">
        <is>
          <t>033/69 66 40</t>
        </is>
      </c>
      <c r="G49" s="625" t="n"/>
      <c r="H49" s="626" t="n">
        <v>45849</v>
      </c>
      <c r="I49" s="627" t="inlineStr">
        <is>
          <t>Vlaamse feestdag</t>
        </is>
      </c>
      <c r="J49" s="628" t="n"/>
      <c r="K49" s="628" t="n"/>
      <c r="L49" s="637" t="n">
        <v>48</v>
      </c>
      <c r="M49" s="625" t="n">
        <v>371503.8808297561</v>
      </c>
      <c r="N49" s="638" t="n">
        <v>0</v>
      </c>
    </row>
    <row r="50">
      <c r="A50" s="625" t="n">
        <v>3135</v>
      </c>
      <c r="B50" s="625" t="inlineStr">
        <is>
          <t>Veurne</t>
        </is>
      </c>
      <c r="C50" s="625" t="inlineStr">
        <is>
          <t>Koksijdestraat 8</t>
        </is>
      </c>
      <c r="D50" s="625" t="n">
        <v>8630</v>
      </c>
      <c r="E50" s="625" t="inlineStr">
        <is>
          <t>Veurne</t>
        </is>
      </c>
      <c r="F50" s="625" t="inlineStr">
        <is>
          <t>058/69 01 00</t>
        </is>
      </c>
      <c r="G50" s="625" t="n"/>
      <c r="H50" s="626" t="n">
        <v>45850</v>
      </c>
      <c r="I50" s="627" t="inlineStr">
        <is>
          <t>Zomervakantie</t>
        </is>
      </c>
      <c r="J50" s="628" t="n"/>
      <c r="K50" s="628" t="n"/>
      <c r="L50" s="637" t="n">
        <v>49</v>
      </c>
      <c r="M50" s="625" t="n">
        <v>375399.2977225167</v>
      </c>
      <c r="N50" s="638" t="n">
        <v>0</v>
      </c>
    </row>
    <row r="51">
      <c r="A51" s="625" t="n">
        <v>3136</v>
      </c>
      <c r="B51" s="625" t="inlineStr">
        <is>
          <t>Westmeerbeek</t>
        </is>
      </c>
      <c r="C51" s="625" t="inlineStr">
        <is>
          <t>Stationsstraat 90-94</t>
        </is>
      </c>
      <c r="D51" s="625" t="n">
        <v>2235</v>
      </c>
      <c r="E51" s="625" t="inlineStr">
        <is>
          <t>Westmeerbeek</t>
        </is>
      </c>
      <c r="F51" s="625" t="inlineStr">
        <is>
          <t>016/36 96 90</t>
        </is>
      </c>
      <c r="G51" s="625" t="n"/>
      <c r="H51" s="626" t="n">
        <v>45851</v>
      </c>
      <c r="I51" s="627" t="inlineStr">
        <is>
          <t>Zomervakantie</t>
        </is>
      </c>
      <c r="J51" s="628" t="n"/>
      <c r="K51" s="628" t="n"/>
      <c r="L51" s="637" t="n">
        <v>50</v>
      </c>
      <c r="M51" s="625" t="n">
        <v>394880.2140286259</v>
      </c>
      <c r="N51" s="638" t="n">
        <v>0</v>
      </c>
    </row>
    <row r="52">
      <c r="A52" s="625" t="n">
        <v>3137</v>
      </c>
      <c r="B52" s="625" t="inlineStr">
        <is>
          <t>Dendermonde</t>
        </is>
      </c>
      <c r="C52" s="625" t="inlineStr">
        <is>
          <t>Oude Vest 180</t>
        </is>
      </c>
      <c r="D52" s="625" t="n">
        <v>9200</v>
      </c>
      <c r="E52" s="625" t="inlineStr">
        <is>
          <t>Dendermonde</t>
        </is>
      </c>
      <c r="F52" s="625" t="inlineStr">
        <is>
          <t>052/69 09 90</t>
        </is>
      </c>
      <c r="G52" s="625" t="n"/>
      <c r="H52" s="626" t="n">
        <v>45852</v>
      </c>
      <c r="I52" s="627" t="inlineStr">
        <is>
          <t>Zomervakantie</t>
        </is>
      </c>
      <c r="J52" s="628" t="n"/>
      <c r="K52" s="628" t="n"/>
      <c r="L52" s="637" t="n">
        <v>51</v>
      </c>
      <c r="M52" s="625" t="n">
        <v>387210.437273114</v>
      </c>
      <c r="N52" s="638" t="n">
        <v>0</v>
      </c>
    </row>
    <row r="53">
      <c r="A53" s="625" t="n">
        <v>3138</v>
      </c>
      <c r="B53" s="625" t="inlineStr">
        <is>
          <t>Antwerpen Groenplaats</t>
        </is>
      </c>
      <c r="C53" s="625" t="inlineStr">
        <is>
          <t>Groenplaats</t>
        </is>
      </c>
      <c r="D53" s="625" t="n">
        <v>2000</v>
      </c>
      <c r="E53" s="625" t="inlineStr">
        <is>
          <t>Groenplaats</t>
        </is>
      </c>
      <c r="F53" s="625" t="inlineStr">
        <is>
          <t>032/69 10 10</t>
        </is>
      </c>
      <c r="G53" s="625" t="n"/>
      <c r="H53" s="626" t="n">
        <v>45853</v>
      </c>
      <c r="I53" s="627" t="inlineStr">
        <is>
          <t>Zomervakantie</t>
        </is>
      </c>
      <c r="J53" s="628" t="n"/>
      <c r="K53" s="628" t="n"/>
      <c r="L53" s="637" t="n">
        <v>52</v>
      </c>
      <c r="M53" s="625" t="n">
        <v>357523.2853013716</v>
      </c>
      <c r="N53" s="638" t="n">
        <v>0</v>
      </c>
    </row>
    <row r="54">
      <c r="A54" s="625" t="n">
        <v>3139</v>
      </c>
      <c r="B54" s="625" t="inlineStr">
        <is>
          <t>Maldegem</t>
        </is>
      </c>
      <c r="C54" s="625" t="inlineStr">
        <is>
          <t>Staatsbaan 69</t>
        </is>
      </c>
      <c r="D54" s="625" t="n">
        <v>9991</v>
      </c>
      <c r="E54" s="625" t="inlineStr">
        <is>
          <t>Maldegem</t>
        </is>
      </c>
      <c r="F54" s="625" t="inlineStr">
        <is>
          <t>050/55 17 11</t>
        </is>
      </c>
      <c r="G54" s="625" t="n"/>
      <c r="H54" s="626" t="n">
        <v>45854</v>
      </c>
      <c r="I54" s="627" t="inlineStr">
        <is>
          <t>Zomervakantie</t>
        </is>
      </c>
      <c r="J54" s="628" t="n"/>
      <c r="K54" s="628" t="n"/>
      <c r="L54" s="639" t="n">
        <v>53</v>
      </c>
      <c r="M54" s="640" t="n"/>
      <c r="N54" s="641" t="n"/>
    </row>
    <row r="55">
      <c r="A55" s="625" t="n">
        <v>3140</v>
      </c>
      <c r="B55" s="625" t="inlineStr">
        <is>
          <t>Oudenaarde</t>
        </is>
      </c>
      <c r="C55" s="625" t="inlineStr">
        <is>
          <t>Westerring 45</t>
        </is>
      </c>
      <c r="D55" s="625" t="n">
        <v>9700</v>
      </c>
      <c r="E55" s="625" t="inlineStr">
        <is>
          <t>Oudenaarde</t>
        </is>
      </c>
      <c r="F55" s="625" t="inlineStr">
        <is>
          <t>055/30 32 03</t>
        </is>
      </c>
      <c r="G55" s="625" t="n"/>
      <c r="H55" s="626" t="n">
        <v>45855</v>
      </c>
      <c r="I55" s="627" t="inlineStr">
        <is>
          <t>Zomervakantie</t>
        </is>
      </c>
      <c r="J55" s="628" t="n"/>
      <c r="K55" s="628" t="n"/>
      <c r="L55" s="642" t="n"/>
      <c r="M55" s="625" t="n"/>
      <c r="N55" s="625" t="n"/>
    </row>
    <row r="56">
      <c r="A56" s="625" t="n">
        <v>3141</v>
      </c>
      <c r="B56" s="625" t="inlineStr">
        <is>
          <t>Ninove</t>
        </is>
      </c>
      <c r="C56" s="625" t="inlineStr">
        <is>
          <t>Ring West 21-23</t>
        </is>
      </c>
      <c r="D56" s="625" t="n">
        <v>9400</v>
      </c>
      <c r="E56" s="625" t="inlineStr">
        <is>
          <t>Ninove</t>
        </is>
      </c>
      <c r="F56" s="625" t="inlineStr">
        <is>
          <t>054/69 97 00</t>
        </is>
      </c>
      <c r="G56" s="625" t="n"/>
      <c r="H56" s="626" t="n">
        <v>45856</v>
      </c>
      <c r="I56" s="627" t="inlineStr">
        <is>
          <t>Zomervakantie</t>
        </is>
      </c>
      <c r="J56" s="628" t="n"/>
      <c r="K56" s="628" t="n"/>
      <c r="L56" s="642" t="n"/>
      <c r="M56" s="625" t="n"/>
      <c r="N56" s="625" t="n"/>
    </row>
    <row r="57">
      <c r="A57" s="625" t="n">
        <v>3142</v>
      </c>
      <c r="B57" s="625" t="inlineStr">
        <is>
          <t>Rumbeke</t>
        </is>
      </c>
      <c r="C57" s="625" t="inlineStr">
        <is>
          <t>Koestraat 177</t>
        </is>
      </c>
      <c r="D57" s="625" t="n">
        <v>8800</v>
      </c>
      <c r="E57" s="625" t="inlineStr">
        <is>
          <t>Roeselare</t>
        </is>
      </c>
      <c r="F57" s="625" t="inlineStr">
        <is>
          <t>051/49 08 00</t>
        </is>
      </c>
      <c r="G57" s="625" t="n"/>
      <c r="H57" s="626" t="n">
        <v>45857</v>
      </c>
      <c r="I57" s="627" t="inlineStr">
        <is>
          <t>Zomervakantie</t>
        </is>
      </c>
      <c r="J57" s="628" t="n"/>
      <c r="K57" s="628" t="n"/>
      <c r="L57" s="642" t="n"/>
      <c r="M57" s="625" t="n"/>
      <c r="N57" s="625" t="n"/>
    </row>
    <row r="58">
      <c r="A58" s="625" t="n">
        <v>3143</v>
      </c>
      <c r="B58" s="625" t="inlineStr">
        <is>
          <t>Gent Kouter</t>
        </is>
      </c>
      <c r="C58" s="625" t="inlineStr">
        <is>
          <t>Kouter 174</t>
        </is>
      </c>
      <c r="D58" s="625" t="n">
        <v>9000</v>
      </c>
      <c r="E58" s="625" t="inlineStr">
        <is>
          <t>Gent Kouter</t>
        </is>
      </c>
      <c r="F58" s="625" t="inlineStr">
        <is>
          <t>093/95 79 00</t>
        </is>
      </c>
      <c r="G58" s="625" t="n"/>
      <c r="H58" s="626" t="n">
        <v>45858</v>
      </c>
      <c r="I58" s="627" t="inlineStr">
        <is>
          <t>Zomervakantie</t>
        </is>
      </c>
      <c r="J58" s="628" t="n"/>
      <c r="K58" s="628" t="n"/>
      <c r="L58" s="642" t="n"/>
      <c r="M58" s="625" t="n"/>
      <c r="N58" s="625" t="n"/>
    </row>
    <row r="59">
      <c r="A59" s="625" t="n">
        <v>3144</v>
      </c>
      <c r="B59" s="625" t="inlineStr">
        <is>
          <t>Antwerpen Slachthuislaan</t>
        </is>
      </c>
      <c r="C59" s="625" t="inlineStr">
        <is>
          <t>Slachthuislaan 47A</t>
        </is>
      </c>
      <c r="D59" s="625" t="n">
        <v>2060</v>
      </c>
      <c r="E59" s="625" t="inlineStr">
        <is>
          <t>Antwerpen</t>
        </is>
      </c>
      <c r="F59" s="625" t="inlineStr">
        <is>
          <t>032/69 20 20</t>
        </is>
      </c>
      <c r="G59" s="625" t="n"/>
      <c r="H59" s="626" t="n">
        <v>45859</v>
      </c>
      <c r="I59" s="627" t="inlineStr">
        <is>
          <t>Nationale Feestdag (FD)</t>
        </is>
      </c>
      <c r="L59" s="642" t="n"/>
      <c r="M59" s="625" t="n"/>
      <c r="N59" s="625" t="n"/>
    </row>
    <row r="60">
      <c r="A60" s="625" t="n">
        <v>3145</v>
      </c>
      <c r="B60" s="625" t="inlineStr">
        <is>
          <t>Merksem Bredabaan</t>
        </is>
      </c>
      <c r="C60" s="625" t="inlineStr">
        <is>
          <t>Bredabaan 387</t>
        </is>
      </c>
      <c r="D60" s="625" t="n">
        <v>2170</v>
      </c>
      <c r="E60" s="625" t="inlineStr">
        <is>
          <t>Merksem</t>
        </is>
      </c>
      <c r="F60" s="625" t="inlineStr">
        <is>
          <t>032/69 10 00</t>
        </is>
      </c>
      <c r="G60" s="625" t="n"/>
      <c r="H60" s="626" t="n">
        <v>45860</v>
      </c>
      <c r="I60" s="627" t="inlineStr">
        <is>
          <t>Zomervakantie</t>
        </is>
      </c>
      <c r="J60" s="628" t="n"/>
      <c r="K60" s="628" t="n"/>
      <c r="L60" s="642" t="n"/>
      <c r="M60" s="625" t="n"/>
      <c r="N60" s="625" t="n"/>
    </row>
    <row r="61">
      <c r="A61" s="625" t="n">
        <v>3146</v>
      </c>
      <c r="B61" s="625" t="inlineStr">
        <is>
          <t>Merchtem</t>
        </is>
      </c>
      <c r="C61" s="625" t="inlineStr">
        <is>
          <t>Dendermondsestraat 15</t>
        </is>
      </c>
      <c r="D61" s="625" t="n">
        <v>1785</v>
      </c>
      <c r="E61" s="625" t="inlineStr">
        <is>
          <t>Merchtem</t>
        </is>
      </c>
      <c r="F61" s="625" t="inlineStr">
        <is>
          <t>052/21 27 24</t>
        </is>
      </c>
      <c r="G61" s="625" t="n"/>
      <c r="H61" s="626" t="n">
        <v>45861</v>
      </c>
      <c r="I61" s="627" t="inlineStr">
        <is>
          <t>Zomervakantie</t>
        </is>
      </c>
      <c r="J61" s="628" t="n"/>
      <c r="K61" s="628" t="n"/>
      <c r="L61" s="642" t="n"/>
      <c r="M61" s="625" t="n"/>
      <c r="N61" s="625" t="n"/>
    </row>
    <row r="62">
      <c r="A62" s="625" t="n">
        <v>3148</v>
      </c>
      <c r="B62" s="625" t="inlineStr">
        <is>
          <t>Willebroek</t>
        </is>
      </c>
      <c r="C62" s="625" t="inlineStr">
        <is>
          <t>Dendermondsesteenweg 167</t>
        </is>
      </c>
      <c r="D62" s="625" t="n">
        <v>2830</v>
      </c>
      <c r="E62" s="625" t="inlineStr">
        <is>
          <t>Willebroek</t>
        </is>
      </c>
      <c r="F62" s="625" t="inlineStr">
        <is>
          <t>033/69 72 90</t>
        </is>
      </c>
      <c r="G62" s="625" t="n"/>
      <c r="H62" s="626" t="n">
        <v>45862</v>
      </c>
      <c r="I62" s="627" t="inlineStr">
        <is>
          <t>Zomervakantie</t>
        </is>
      </c>
      <c r="J62" s="628" t="n"/>
      <c r="K62" s="628" t="n"/>
      <c r="L62" s="642" t="n"/>
      <c r="M62" s="625" t="n"/>
      <c r="N62" s="625" t="n"/>
    </row>
    <row r="63">
      <c r="A63" s="625" t="n">
        <v>3149</v>
      </c>
      <c r="B63" s="625" t="inlineStr">
        <is>
          <t>Ingelmunster</t>
        </is>
      </c>
      <c r="C63" s="625" t="inlineStr">
        <is>
          <t>Kortrijkstraat 114</t>
        </is>
      </c>
      <c r="D63" s="625" t="n">
        <v>8770</v>
      </c>
      <c r="E63" s="625" t="inlineStr">
        <is>
          <t>Ingelmunster</t>
        </is>
      </c>
      <c r="F63" s="625" t="inlineStr">
        <is>
          <t>051/49 40 00</t>
        </is>
      </c>
      <c r="G63" s="625" t="n"/>
      <c r="H63" s="626" t="n">
        <v>45863</v>
      </c>
      <c r="I63" s="627" t="inlineStr">
        <is>
          <t>Zomervakantie</t>
        </is>
      </c>
      <c r="J63" s="628" t="n"/>
      <c r="K63" s="628" t="n"/>
      <c r="L63" s="642" t="n"/>
      <c r="M63" s="625" t="n"/>
      <c r="N63" s="625" t="n"/>
    </row>
    <row r="64">
      <c r="A64" s="625" t="n">
        <v>3150</v>
      </c>
      <c r="B64" s="625" t="inlineStr">
        <is>
          <t>Vilvoorde</t>
        </is>
      </c>
      <c r="C64" s="625" t="inlineStr">
        <is>
          <t>Schaarbeeklei 344</t>
        </is>
      </c>
      <c r="D64" s="625" t="n">
        <v>1800</v>
      </c>
      <c r="E64" s="625" t="inlineStr">
        <is>
          <t>Vilvoorde</t>
        </is>
      </c>
      <c r="F64" s="625" t="inlineStr">
        <is>
          <t>022/23 72 40</t>
        </is>
      </c>
      <c r="G64" s="625" t="n"/>
      <c r="H64" s="626" t="n">
        <v>45864</v>
      </c>
      <c r="I64" s="627" t="inlineStr">
        <is>
          <t>Zomervakantie</t>
        </is>
      </c>
      <c r="J64" s="628" t="n"/>
      <c r="K64" s="628" t="n"/>
      <c r="L64" s="642" t="n"/>
      <c r="M64" s="625" t="n"/>
      <c r="N64" s="625" t="n"/>
    </row>
    <row r="65">
      <c r="A65" s="625" t="n">
        <v>3152</v>
      </c>
      <c r="B65" s="625" t="inlineStr">
        <is>
          <t>XL Mechelen Malinas</t>
        </is>
      </c>
      <c r="C65" s="625" t="inlineStr">
        <is>
          <t>Nora Tilleylaan 42</t>
        </is>
      </c>
      <c r="D65" s="625" t="n">
        <v>2800</v>
      </c>
      <c r="E65" s="625" t="inlineStr">
        <is>
          <t>Mechelen</t>
        </is>
      </c>
      <c r="F65" s="625" t="inlineStr">
        <is>
          <t>015/69 95 00</t>
        </is>
      </c>
      <c r="G65" s="625" t="n"/>
      <c r="H65" s="626" t="n">
        <v>45865</v>
      </c>
      <c r="I65" s="627" t="inlineStr">
        <is>
          <t>Zomervakantie</t>
        </is>
      </c>
      <c r="J65" s="628" t="n"/>
      <c r="K65" s="628" t="n"/>
      <c r="L65" s="642" t="n"/>
      <c r="M65" s="625" t="n"/>
      <c r="N65" s="625" t="n"/>
    </row>
    <row r="66">
      <c r="A66" s="625" t="n">
        <v>3153</v>
      </c>
      <c r="B66" s="625" t="inlineStr">
        <is>
          <t>Leopoldsburg</t>
        </is>
      </c>
      <c r="C66" s="625" t="inlineStr">
        <is>
          <t>Lidostraat 7</t>
        </is>
      </c>
      <c r="D66" s="625" t="n">
        <v>3970</v>
      </c>
      <c r="E66" s="625" t="inlineStr">
        <is>
          <t>Leopoldsburg</t>
        </is>
      </c>
      <c r="F66" s="625" t="inlineStr">
        <is>
          <t>011/22 00 02</t>
        </is>
      </c>
      <c r="G66" s="625" t="n"/>
      <c r="H66" s="626" t="n">
        <v>45866</v>
      </c>
      <c r="I66" s="627" t="inlineStr">
        <is>
          <t>Zomervakantie</t>
        </is>
      </c>
      <c r="J66" s="628" t="n"/>
      <c r="K66" s="628" t="n"/>
      <c r="L66" s="642" t="n"/>
      <c r="M66" s="625" t="n"/>
      <c r="N66" s="625" t="n"/>
    </row>
    <row r="67">
      <c r="A67" s="625" t="n">
        <v>3154</v>
      </c>
      <c r="B67" s="625" t="inlineStr">
        <is>
          <t>Tongeren</t>
        </is>
      </c>
      <c r="C67" s="625" t="inlineStr">
        <is>
          <t>Luikersteenweg 151</t>
        </is>
      </c>
      <c r="D67" s="625" t="n">
        <v>3700</v>
      </c>
      <c r="E67" s="625" t="inlineStr">
        <is>
          <t>Tongeren</t>
        </is>
      </c>
      <c r="F67" s="625" t="inlineStr">
        <is>
          <t>012/67 12 22</t>
        </is>
      </c>
      <c r="G67" s="625" t="n"/>
      <c r="H67" s="626" t="n">
        <v>45867</v>
      </c>
      <c r="I67" s="627" t="inlineStr">
        <is>
          <t>Zomervakantie</t>
        </is>
      </c>
      <c r="J67" s="628" t="n"/>
      <c r="K67" s="628" t="n"/>
      <c r="L67" s="642" t="n"/>
      <c r="M67" s="625" t="n"/>
      <c r="N67" s="625" t="n"/>
    </row>
    <row r="68">
      <c r="A68" s="625" t="n">
        <v>3155</v>
      </c>
      <c r="B68" s="625" t="inlineStr">
        <is>
          <t>Hechtel-Eksel</t>
        </is>
      </c>
      <c r="C68" s="625" t="inlineStr">
        <is>
          <t>Hasseltsebaan 64</t>
        </is>
      </c>
      <c r="D68" s="625" t="n">
        <v>3940</v>
      </c>
      <c r="E68" s="625" t="inlineStr">
        <is>
          <t>Hechtel-Eksel</t>
        </is>
      </c>
      <c r="F68" s="625" t="inlineStr">
        <is>
          <t>011/81 19 11</t>
        </is>
      </c>
      <c r="G68" s="625" t="n"/>
      <c r="H68" s="626" t="n">
        <v>45868</v>
      </c>
      <c r="I68" s="627" t="inlineStr">
        <is>
          <t>Zomervakantie</t>
        </is>
      </c>
      <c r="J68" s="628" t="n"/>
      <c r="K68" s="628" t="n"/>
      <c r="L68" s="642" t="n"/>
      <c r="M68" s="625" t="n"/>
      <c r="N68" s="625" t="n"/>
    </row>
    <row r="69">
      <c r="A69" s="625" t="n">
        <v>3156</v>
      </c>
      <c r="B69" s="625" t="inlineStr">
        <is>
          <t>Berchem Elisabethlaan</t>
        </is>
      </c>
      <c r="C69" s="625" t="inlineStr">
        <is>
          <t>Elisabethlaan 214</t>
        </is>
      </c>
      <c r="D69" s="625" t="n">
        <v>2600</v>
      </c>
      <c r="E69" s="625" t="inlineStr">
        <is>
          <t>Berchem</t>
        </is>
      </c>
      <c r="F69" s="625" t="inlineStr">
        <is>
          <t>033/69 65 40</t>
        </is>
      </c>
      <c r="G69" s="625" t="n"/>
      <c r="H69" s="626" t="n">
        <v>45869</v>
      </c>
      <c r="I69" s="627" t="inlineStr">
        <is>
          <t>Zomervakantie</t>
        </is>
      </c>
      <c r="J69" s="628" t="n"/>
      <c r="K69" s="628" t="n"/>
      <c r="L69" s="642" t="n"/>
      <c r="M69" s="625" t="n"/>
      <c r="N69" s="625" t="n"/>
    </row>
    <row r="70">
      <c r="A70" s="625" t="n">
        <v>3157</v>
      </c>
      <c r="B70" s="625" t="inlineStr">
        <is>
          <t>Schilde</t>
        </is>
      </c>
      <c r="C70" s="625" t="inlineStr">
        <is>
          <t>Turnhoutsebaan 411</t>
        </is>
      </c>
      <c r="D70" s="625" t="n">
        <v>2970</v>
      </c>
      <c r="E70" s="625" t="inlineStr">
        <is>
          <t>Schilde</t>
        </is>
      </c>
      <c r="F70" s="625" t="inlineStr">
        <is>
          <t>033/69 79 70</t>
        </is>
      </c>
      <c r="G70" s="625" t="n"/>
      <c r="H70" s="626" t="n">
        <v>45870</v>
      </c>
      <c r="I70" s="627" t="inlineStr">
        <is>
          <t>Zomervakantie</t>
        </is>
      </c>
      <c r="J70" s="628" t="n"/>
      <c r="K70" s="628" t="n"/>
      <c r="L70" s="642" t="n"/>
      <c r="M70" s="625" t="n"/>
      <c r="N70" s="625" t="n"/>
    </row>
    <row r="71">
      <c r="A71" s="625" t="n">
        <v>3159</v>
      </c>
      <c r="B71" s="625" t="inlineStr">
        <is>
          <t>Antwerpen Pelikaanstraat</t>
        </is>
      </c>
      <c r="C71" s="625" t="inlineStr">
        <is>
          <t>Pelikaanstraat 4d</t>
        </is>
      </c>
      <c r="D71" s="625" t="n">
        <v>2018</v>
      </c>
      <c r="E71" s="625" t="inlineStr">
        <is>
          <t>Antwerpen</t>
        </is>
      </c>
      <c r="F71" s="625" t="inlineStr">
        <is>
          <t>035/90 20 31</t>
        </is>
      </c>
      <c r="G71" s="625" t="n"/>
      <c r="H71" s="626" t="n">
        <v>45871</v>
      </c>
      <c r="I71" s="627" t="inlineStr">
        <is>
          <t>Zomervakantie</t>
        </is>
      </c>
      <c r="J71" s="628" t="n"/>
      <c r="K71" s="628" t="n"/>
      <c r="L71" s="642" t="n"/>
      <c r="M71" s="625" t="n"/>
      <c r="N71" s="625" t="n"/>
    </row>
    <row r="72">
      <c r="A72" s="625" t="n">
        <v>3160</v>
      </c>
      <c r="B72" s="625" t="inlineStr">
        <is>
          <t>Waregem</t>
        </is>
      </c>
      <c r="C72" s="625" t="inlineStr">
        <is>
          <t>Het Pand 254</t>
        </is>
      </c>
      <c r="D72" s="625" t="n">
        <v>8790</v>
      </c>
      <c r="E72" s="625" t="inlineStr">
        <is>
          <t>Waregem</t>
        </is>
      </c>
      <c r="F72" s="625" t="inlineStr">
        <is>
          <t>056/30 60 06</t>
        </is>
      </c>
      <c r="G72" s="625" t="n"/>
      <c r="H72" s="626" t="n">
        <v>45872</v>
      </c>
      <c r="I72" s="627" t="inlineStr">
        <is>
          <t>Zomervakantie</t>
        </is>
      </c>
      <c r="J72" s="628" t="n"/>
      <c r="K72" s="628" t="n"/>
      <c r="L72" s="642" t="n"/>
      <c r="M72" s="625" t="n"/>
      <c r="N72" s="625" t="n"/>
    </row>
    <row r="73">
      <c r="A73" s="625" t="n">
        <v>3163</v>
      </c>
      <c r="B73" s="625" t="inlineStr">
        <is>
          <t>Lanaken</t>
        </is>
      </c>
      <c r="C73" s="625" t="inlineStr">
        <is>
          <t>Steenweg 10</t>
        </is>
      </c>
      <c r="D73" s="625" t="n">
        <v>3620</v>
      </c>
      <c r="E73" s="625" t="inlineStr">
        <is>
          <t>Lanaken</t>
        </is>
      </c>
      <c r="F73" s="625" t="inlineStr">
        <is>
          <t>089/69 05 80</t>
        </is>
      </c>
      <c r="G73" s="625" t="n"/>
      <c r="H73" s="626" t="n">
        <v>45873</v>
      </c>
      <c r="I73" s="627" t="inlineStr">
        <is>
          <t>Zomervakantie</t>
        </is>
      </c>
      <c r="J73" s="628" t="n"/>
      <c r="K73" s="628" t="n"/>
      <c r="L73" s="642" t="n"/>
      <c r="M73" s="625" t="n"/>
      <c r="N73" s="625" t="n"/>
    </row>
    <row r="74">
      <c r="A74" s="625" t="n">
        <v>3166</v>
      </c>
      <c r="B74" s="625" t="inlineStr">
        <is>
          <t>Merksem Maantjessteenweg</t>
        </is>
      </c>
      <c r="C74" s="625" t="inlineStr">
        <is>
          <t>Laarsebaan 241</t>
        </is>
      </c>
      <c r="D74" s="625" t="n">
        <v>2170</v>
      </c>
      <c r="E74" s="625" t="inlineStr">
        <is>
          <t>Merksem</t>
        </is>
      </c>
      <c r="F74" s="625" t="inlineStr">
        <is>
          <t>037/00 27 05</t>
        </is>
      </c>
      <c r="G74" s="625" t="n"/>
      <c r="H74" s="626" t="n">
        <v>45874</v>
      </c>
      <c r="I74" s="627" t="inlineStr">
        <is>
          <t>Zomervakantie</t>
        </is>
      </c>
      <c r="J74" s="628" t="n"/>
      <c r="K74" s="628" t="n"/>
      <c r="L74" s="642" t="n"/>
      <c r="M74" s="625" t="n"/>
      <c r="N74" s="625" t="n"/>
    </row>
    <row r="75">
      <c r="A75" s="625" t="n">
        <v>3167</v>
      </c>
      <c r="B75" s="625" t="inlineStr">
        <is>
          <t>Londerzeel</t>
        </is>
      </c>
      <c r="C75" s="625" t="inlineStr">
        <is>
          <t>Kerkhofstraat 131-133</t>
        </is>
      </c>
      <c r="D75" s="625" t="n">
        <v>1840</v>
      </c>
      <c r="E75" s="625" t="inlineStr">
        <is>
          <t>Londerzeel</t>
        </is>
      </c>
      <c r="F75" s="625" t="inlineStr">
        <is>
          <t>058/87 25 10</t>
        </is>
      </c>
      <c r="G75" s="625" t="n"/>
      <c r="H75" s="626" t="n">
        <v>45875</v>
      </c>
      <c r="I75" s="627" t="inlineStr">
        <is>
          <t>Zomervakantie</t>
        </is>
      </c>
      <c r="J75" s="628" t="n"/>
      <c r="K75" s="628" t="n"/>
      <c r="L75" s="642" t="n"/>
      <c r="M75" s="625" t="n"/>
      <c r="N75" s="625" t="n"/>
    </row>
    <row r="76">
      <c r="A76" s="625" t="n">
        <v>3168</v>
      </c>
      <c r="B76" s="625" t="inlineStr">
        <is>
          <t>Lebbeke</t>
        </is>
      </c>
      <c r="C76" s="625" t="inlineStr">
        <is>
          <t>Brusselsteenweg</t>
        </is>
      </c>
      <c r="D76" s="625" t="n">
        <v>9280</v>
      </c>
      <c r="E76" s="625" t="inlineStr">
        <is>
          <t>Lebbeke</t>
        </is>
      </c>
      <c r="F76" s="625" t="inlineStr">
        <is>
          <t>052/87 25 11</t>
        </is>
      </c>
      <c r="G76" s="625" t="n"/>
      <c r="H76" s="626" t="n">
        <v>45876</v>
      </c>
      <c r="I76" s="627" t="inlineStr">
        <is>
          <t>Zomervakantie</t>
        </is>
      </c>
      <c r="J76" s="628" t="n"/>
      <c r="K76" s="628" t="n"/>
      <c r="L76" s="642" t="n"/>
      <c r="M76" s="625" t="n"/>
      <c r="N76" s="625" t="n"/>
    </row>
    <row r="77">
      <c r="A77" s="625" t="n">
        <v>3169</v>
      </c>
      <c r="B77" s="625" t="inlineStr">
        <is>
          <t>Diest</t>
        </is>
      </c>
      <c r="C77" s="625" t="inlineStr">
        <is>
          <t>Leuvensesteenweg 108C</t>
        </is>
      </c>
      <c r="D77" s="625" t="n">
        <v>3290</v>
      </c>
      <c r="E77" s="625" t="inlineStr">
        <is>
          <t>Diest</t>
        </is>
      </c>
      <c r="F77" s="625" t="inlineStr">
        <is>
          <t>013/22 00 11</t>
        </is>
      </c>
      <c r="G77" s="625" t="n"/>
      <c r="H77" s="626" t="n">
        <v>45877</v>
      </c>
      <c r="I77" s="627" t="inlineStr">
        <is>
          <t>Zomervakantie</t>
        </is>
      </c>
      <c r="J77" s="628" t="n"/>
      <c r="K77" s="628" t="n"/>
      <c r="L77" s="642" t="n"/>
      <c r="M77" s="625" t="n"/>
      <c r="N77" s="625" t="n"/>
    </row>
    <row r="78">
      <c r="A78" s="625" t="n"/>
      <c r="B78" s="625" t="n"/>
      <c r="C78" s="625" t="n"/>
      <c r="D78" s="625" t="n"/>
      <c r="E78" s="625" t="n"/>
      <c r="F78" s="625" t="n"/>
      <c r="G78" s="625" t="n"/>
      <c r="H78" s="626" t="n">
        <v>45878</v>
      </c>
      <c r="I78" s="627" t="inlineStr">
        <is>
          <t>Zomervakantie</t>
        </is>
      </c>
      <c r="J78" s="628" t="n"/>
      <c r="K78" s="628" t="n"/>
      <c r="L78" s="642" t="n"/>
      <c r="M78" s="625" t="n"/>
      <c r="N78" s="625" t="n"/>
    </row>
    <row r="79">
      <c r="A79" s="625" t="n"/>
      <c r="B79" s="625" t="n"/>
      <c r="C79" s="625" t="n"/>
      <c r="D79" s="625" t="n"/>
      <c r="E79" s="625" t="n"/>
      <c r="F79" s="625" t="n"/>
      <c r="G79" s="625" t="n"/>
      <c r="H79" s="626" t="n">
        <v>45879</v>
      </c>
      <c r="I79" s="627" t="inlineStr">
        <is>
          <t>Zomervakantie</t>
        </is>
      </c>
      <c r="J79" s="628" t="n"/>
      <c r="K79" s="628" t="n"/>
      <c r="L79" s="642" t="n"/>
      <c r="M79" s="625" t="n"/>
      <c r="N79" s="625" t="n"/>
    </row>
    <row r="80">
      <c r="A80" s="625" t="n"/>
      <c r="B80" s="625" t="n"/>
      <c r="C80" s="625" t="n"/>
      <c r="D80" s="625" t="n"/>
      <c r="E80" s="625" t="n"/>
      <c r="F80" s="625" t="n"/>
      <c r="G80" s="625" t="n"/>
      <c r="H80" s="626" t="n">
        <v>45880</v>
      </c>
      <c r="I80" s="627" t="inlineStr">
        <is>
          <t>Zomervakantie</t>
        </is>
      </c>
      <c r="J80" s="628" t="n"/>
      <c r="K80" s="628" t="n"/>
      <c r="L80" s="642" t="n"/>
      <c r="M80" s="625" t="n"/>
      <c r="N80" s="625" t="n"/>
    </row>
    <row r="81">
      <c r="A81" s="625" t="n"/>
      <c r="B81" s="625" t="n"/>
      <c r="C81" s="625" t="n"/>
      <c r="D81" s="625" t="n"/>
      <c r="E81" s="625" t="n"/>
      <c r="F81" s="625" t="n"/>
      <c r="G81" s="625" t="n"/>
      <c r="H81" s="626" t="n">
        <v>45881</v>
      </c>
      <c r="I81" s="627" t="inlineStr">
        <is>
          <t>Zomervakantie</t>
        </is>
      </c>
      <c r="J81" s="628" t="n"/>
      <c r="K81" s="628" t="n"/>
      <c r="L81" s="642" t="n"/>
      <c r="M81" s="625" t="n"/>
      <c r="N81" s="625" t="n"/>
    </row>
    <row r="82">
      <c r="A82" s="625" t="n"/>
      <c r="B82" s="625" t="n"/>
      <c r="C82" s="625" t="n"/>
      <c r="D82" s="625" t="n"/>
      <c r="E82" s="625" t="n"/>
      <c r="F82" s="625" t="n"/>
      <c r="G82" s="625" t="n"/>
      <c r="H82" s="626" t="n">
        <v>45882</v>
      </c>
      <c r="I82" s="627" t="inlineStr">
        <is>
          <t>Zomervakantie</t>
        </is>
      </c>
      <c r="J82" s="628" t="n"/>
      <c r="K82" s="628" t="n"/>
      <c r="L82" s="642" t="n"/>
      <c r="M82" s="625" t="n"/>
      <c r="N82" s="625" t="n"/>
    </row>
    <row r="83">
      <c r="A83" s="625" t="n"/>
      <c r="B83" s="625" t="n"/>
      <c r="C83" s="625" t="n"/>
      <c r="D83" s="625" t="n"/>
      <c r="E83" s="625" t="n"/>
      <c r="F83" s="625" t="n"/>
      <c r="G83" s="625" t="n"/>
      <c r="H83" s="626" t="n">
        <v>45883</v>
      </c>
      <c r="I83" s="627" t="inlineStr">
        <is>
          <t>Zomervakantie</t>
        </is>
      </c>
      <c r="J83" s="628" t="n"/>
      <c r="K83" s="628" t="n"/>
      <c r="L83" s="642" t="n"/>
      <c r="M83" s="625" t="n"/>
      <c r="N83" s="625" t="n"/>
    </row>
    <row r="84">
      <c r="A84" s="625" t="n"/>
      <c r="B84" s="625" t="n"/>
      <c r="C84" s="625" t="n"/>
      <c r="D84" s="625" t="n"/>
      <c r="E84" s="625" t="n"/>
      <c r="F84" s="625" t="n"/>
      <c r="G84" s="625" t="n"/>
      <c r="H84" s="629" t="n">
        <v>45884</v>
      </c>
      <c r="I84" s="628" t="inlineStr">
        <is>
          <t>O.L.V. Hemelvaart (FD)</t>
        </is>
      </c>
      <c r="J84" s="628" t="n"/>
      <c r="K84" s="628" t="n"/>
      <c r="L84" s="642" t="n"/>
      <c r="M84" s="625" t="n"/>
      <c r="N84" s="625" t="n"/>
    </row>
    <row r="85">
      <c r="A85" s="625" t="n"/>
      <c r="B85" s="625" t="n"/>
      <c r="C85" s="625" t="n"/>
      <c r="D85" s="625" t="n"/>
      <c r="E85" s="625" t="n"/>
      <c r="F85" s="625" t="n"/>
      <c r="G85" s="625" t="n"/>
      <c r="H85" s="626" t="n">
        <v>45885</v>
      </c>
      <c r="I85" s="627" t="inlineStr">
        <is>
          <t>Zomervakantie</t>
        </is>
      </c>
      <c r="J85" s="628" t="n"/>
      <c r="K85" s="628" t="n"/>
      <c r="L85" s="642" t="n"/>
      <c r="M85" s="625" t="n"/>
      <c r="N85" s="625" t="n"/>
    </row>
    <row r="86">
      <c r="A86" s="625" t="n"/>
      <c r="B86" s="625" t="n"/>
      <c r="C86" s="625" t="n"/>
      <c r="D86" s="625" t="n"/>
      <c r="E86" s="625" t="n"/>
      <c r="F86" s="625" t="n"/>
      <c r="G86" s="625" t="n"/>
      <c r="H86" s="626" t="n">
        <v>45886</v>
      </c>
      <c r="I86" s="627" t="inlineStr">
        <is>
          <t>Zomervakantie</t>
        </is>
      </c>
      <c r="J86" s="628" t="n"/>
      <c r="K86" s="628" t="n"/>
      <c r="L86" s="642" t="n"/>
      <c r="M86" s="625" t="n"/>
      <c r="N86" s="625" t="n"/>
    </row>
    <row r="87">
      <c r="A87" s="625" t="n"/>
      <c r="B87" s="625" t="n"/>
      <c r="C87" s="625" t="n"/>
      <c r="D87" s="625" t="n"/>
      <c r="E87" s="625" t="n"/>
      <c r="F87" s="625" t="n"/>
      <c r="G87" s="625" t="n"/>
      <c r="H87" s="626" t="n">
        <v>45887</v>
      </c>
      <c r="I87" s="627" t="inlineStr">
        <is>
          <t>Zomervakantie</t>
        </is>
      </c>
      <c r="J87" s="628" t="n"/>
      <c r="K87" s="628" t="n"/>
      <c r="L87" s="642" t="n"/>
      <c r="M87" s="625" t="n"/>
      <c r="N87" s="625" t="n"/>
    </row>
    <row r="88">
      <c r="A88" s="625" t="n"/>
      <c r="B88" s="625" t="n"/>
      <c r="C88" s="625" t="n"/>
      <c r="D88" s="625" t="n"/>
      <c r="E88" s="625" t="n"/>
      <c r="F88" s="625" t="n"/>
      <c r="G88" s="625" t="n"/>
      <c r="H88" s="626" t="n">
        <v>45888</v>
      </c>
      <c r="I88" s="627" t="inlineStr">
        <is>
          <t>Zomervakantie</t>
        </is>
      </c>
      <c r="J88" s="628" t="n"/>
      <c r="K88" s="628" t="n"/>
      <c r="L88" s="642" t="n"/>
      <c r="M88" s="625" t="n"/>
      <c r="N88" s="625" t="n"/>
    </row>
    <row r="89">
      <c r="A89" s="625" t="n"/>
      <c r="B89" s="625" t="n"/>
      <c r="C89" s="625" t="n"/>
      <c r="D89" s="625" t="n"/>
      <c r="E89" s="625" t="n"/>
      <c r="F89" s="625" t="n"/>
      <c r="G89" s="625" t="n"/>
      <c r="H89" s="626" t="n">
        <v>45889</v>
      </c>
      <c r="I89" s="627" t="inlineStr">
        <is>
          <t>Zomervakantie</t>
        </is>
      </c>
      <c r="J89" s="628" t="n"/>
      <c r="K89" s="628" t="n"/>
      <c r="L89" s="642" t="n"/>
      <c r="M89" s="625" t="n"/>
      <c r="N89" s="625" t="n"/>
    </row>
    <row r="90">
      <c r="A90" s="625" t="n"/>
      <c r="B90" s="625" t="n"/>
      <c r="C90" s="625" t="n"/>
      <c r="D90" s="625" t="n"/>
      <c r="E90" s="625" t="n"/>
      <c r="F90" s="625" t="n"/>
      <c r="G90" s="625" t="n"/>
      <c r="H90" s="626" t="n">
        <v>45890</v>
      </c>
      <c r="I90" s="627" t="inlineStr">
        <is>
          <t>Zomervakantie</t>
        </is>
      </c>
      <c r="J90" s="628" t="n"/>
      <c r="K90" s="628" t="n"/>
      <c r="L90" s="642" t="n"/>
      <c r="M90" s="625" t="n"/>
      <c r="N90" s="625" t="n"/>
    </row>
    <row r="91">
      <c r="A91" s="625" t="n"/>
      <c r="B91" s="625" t="n"/>
      <c r="C91" s="625" t="n"/>
      <c r="D91" s="625" t="n"/>
      <c r="E91" s="625" t="n"/>
      <c r="F91" s="625" t="n"/>
      <c r="G91" s="625" t="n"/>
      <c r="H91" s="626" t="n">
        <v>45891</v>
      </c>
      <c r="I91" s="627" t="inlineStr">
        <is>
          <t>Zomervakantie</t>
        </is>
      </c>
      <c r="J91" s="628" t="n"/>
      <c r="K91" s="628" t="n"/>
      <c r="L91" s="642" t="n"/>
      <c r="M91" s="625" t="n"/>
      <c r="N91" s="625" t="n"/>
    </row>
    <row r="92">
      <c r="A92" s="625" t="n"/>
      <c r="B92" s="625" t="n"/>
      <c r="C92" s="625" t="n"/>
      <c r="D92" s="625" t="n"/>
      <c r="E92" s="625" t="n"/>
      <c r="F92" s="625" t="n"/>
      <c r="G92" s="625" t="n"/>
      <c r="H92" s="626" t="n">
        <v>45892</v>
      </c>
      <c r="I92" s="627" t="inlineStr">
        <is>
          <t>Zomervakantie</t>
        </is>
      </c>
      <c r="J92" s="628" t="n"/>
      <c r="K92" s="628" t="n"/>
      <c r="L92" s="642" t="n"/>
      <c r="M92" s="625" t="n"/>
      <c r="N92" s="625" t="n"/>
    </row>
    <row r="93">
      <c r="A93" s="625" t="n"/>
      <c r="B93" s="625" t="n"/>
      <c r="C93" s="625" t="n"/>
      <c r="D93" s="625" t="n"/>
      <c r="E93" s="625" t="n"/>
      <c r="F93" s="625" t="n"/>
      <c r="G93" s="625" t="n"/>
      <c r="H93" s="626" t="n">
        <v>45893</v>
      </c>
      <c r="I93" s="627" t="inlineStr">
        <is>
          <t>Zomervakantie</t>
        </is>
      </c>
      <c r="J93" s="628" t="n"/>
      <c r="K93" s="628" t="n"/>
      <c r="L93" s="642" t="n"/>
      <c r="M93" s="625" t="n"/>
      <c r="N93" s="625" t="n"/>
    </row>
    <row r="94">
      <c r="A94" s="625" t="n"/>
      <c r="B94" s="625" t="n"/>
      <c r="C94" s="625" t="n"/>
      <c r="D94" s="625" t="n"/>
      <c r="E94" s="625" t="n"/>
      <c r="F94" s="625" t="n"/>
      <c r="G94" s="625" t="n"/>
      <c r="H94" s="626" t="n">
        <v>45894</v>
      </c>
      <c r="I94" s="627" t="inlineStr">
        <is>
          <t>Zomervakantie</t>
        </is>
      </c>
      <c r="J94" s="628" t="n"/>
      <c r="L94" s="642" t="n"/>
      <c r="M94" s="625" t="n"/>
      <c r="N94" s="625" t="n"/>
    </row>
    <row r="95">
      <c r="A95" s="625" t="n"/>
      <c r="B95" s="625" t="n"/>
      <c r="C95" s="625" t="n"/>
      <c r="D95" s="625" t="n"/>
      <c r="E95" s="625" t="n"/>
      <c r="F95" s="625" t="n"/>
      <c r="G95" s="625" t="n"/>
      <c r="H95" s="626" t="n">
        <v>45895</v>
      </c>
      <c r="I95" s="627" t="inlineStr">
        <is>
          <t>Zomervakantie</t>
        </is>
      </c>
      <c r="J95" s="628" t="n"/>
      <c r="K95" s="628" t="n"/>
      <c r="L95" s="642" t="n"/>
      <c r="M95" s="625" t="n"/>
      <c r="N95" s="625" t="n"/>
    </row>
    <row r="96">
      <c r="A96" s="625" t="n"/>
      <c r="B96" s="625" t="n"/>
      <c r="C96" s="625" t="n"/>
      <c r="D96" s="625" t="n"/>
      <c r="E96" s="625" t="n"/>
      <c r="F96" s="625" t="n"/>
      <c r="G96" s="625" t="n"/>
      <c r="H96" s="626" t="n">
        <v>45896</v>
      </c>
      <c r="I96" s="627" t="inlineStr">
        <is>
          <t>Zomervakantie</t>
        </is>
      </c>
      <c r="J96" s="628" t="n"/>
      <c r="K96" s="628" t="n"/>
      <c r="L96" s="642" t="n"/>
      <c r="M96" s="625" t="n"/>
      <c r="N96" s="625" t="n"/>
    </row>
    <row r="97">
      <c r="A97" s="625" t="n"/>
      <c r="B97" s="625" t="n"/>
      <c r="C97" s="625" t="n"/>
      <c r="D97" s="625" t="n"/>
      <c r="E97" s="625" t="n"/>
      <c r="F97" s="625" t="n"/>
      <c r="G97" s="625" t="n"/>
      <c r="H97" s="626" t="n">
        <v>45897</v>
      </c>
      <c r="I97" s="627" t="inlineStr">
        <is>
          <t>Zomervakantie</t>
        </is>
      </c>
      <c r="J97" s="628" t="n"/>
      <c r="K97" s="628" t="n"/>
      <c r="L97" s="642" t="n"/>
      <c r="M97" s="625" t="n"/>
      <c r="N97" s="625" t="n"/>
    </row>
    <row r="98">
      <c r="A98" s="625" t="n"/>
      <c r="B98" s="625" t="n"/>
      <c r="C98" s="625" t="n"/>
      <c r="D98" s="625" t="n"/>
      <c r="E98" s="625" t="n"/>
      <c r="F98" s="625" t="n"/>
      <c r="G98" s="625" t="n"/>
      <c r="H98" s="626" t="n">
        <v>45898</v>
      </c>
      <c r="I98" s="627" t="inlineStr">
        <is>
          <t>Zomervakantie</t>
        </is>
      </c>
      <c r="J98" s="628" t="n"/>
      <c r="K98" s="628" t="n"/>
      <c r="L98" s="642" t="n"/>
      <c r="M98" s="625" t="n"/>
      <c r="N98" s="625" t="n"/>
    </row>
    <row r="99">
      <c r="A99" s="625" t="n"/>
      <c r="B99" s="625" t="n"/>
      <c r="C99" s="625" t="n"/>
      <c r="D99" s="625" t="n"/>
      <c r="E99" s="625" t="n"/>
      <c r="F99" s="625" t="n"/>
      <c r="G99" s="625" t="n"/>
      <c r="H99" s="626" t="n">
        <v>45899</v>
      </c>
      <c r="I99" s="627" t="inlineStr">
        <is>
          <t>Zomervakantie</t>
        </is>
      </c>
      <c r="J99" s="628" t="n"/>
      <c r="K99" s="628" t="n"/>
      <c r="L99" s="642" t="n"/>
      <c r="M99" s="625" t="n"/>
      <c r="N99" s="625" t="n"/>
    </row>
    <row r="100">
      <c r="A100" s="625" t="n"/>
      <c r="B100" s="625" t="n"/>
      <c r="C100" s="625" t="n"/>
      <c r="D100" s="625" t="n"/>
      <c r="E100" s="625" t="n"/>
      <c r="F100" s="625" t="n"/>
      <c r="G100" s="625" t="n"/>
      <c r="H100" s="626" t="n">
        <v>45900</v>
      </c>
      <c r="I100" s="627" t="inlineStr">
        <is>
          <t>Zomervakantie</t>
        </is>
      </c>
      <c r="J100" s="628" t="n"/>
      <c r="K100" s="628" t="n"/>
      <c r="L100" s="642" t="n"/>
      <c r="M100" s="625" t="n"/>
      <c r="N100" s="625" t="n"/>
    </row>
    <row r="101">
      <c r="A101" s="625" t="n"/>
      <c r="B101" s="625" t="n"/>
      <c r="C101" s="625" t="n"/>
      <c r="D101" s="625" t="n"/>
      <c r="E101" s="625" t="n"/>
      <c r="F101" s="625" t="n"/>
      <c r="G101" s="625" t="n"/>
      <c r="H101" s="626" t="n">
        <v>45956</v>
      </c>
      <c r="I101" s="627" t="inlineStr">
        <is>
          <t>Wintertijd</t>
        </is>
      </c>
      <c r="J101" s="628" t="n"/>
      <c r="K101" s="628" t="n"/>
      <c r="L101" s="642" t="n"/>
      <c r="M101" s="625" t="n"/>
      <c r="N101" s="625" t="n"/>
    </row>
    <row r="102">
      <c r="A102" s="625" t="n"/>
      <c r="B102" s="625" t="n"/>
      <c r="C102" s="625" t="n"/>
      <c r="D102" s="625" t="n"/>
      <c r="E102" s="625" t="n"/>
      <c r="F102" s="625" t="n"/>
      <c r="G102" s="625" t="n"/>
      <c r="H102" s="626" t="n">
        <v>45957</v>
      </c>
      <c r="I102" s="627" t="inlineStr">
        <is>
          <t>Herfstvakantie</t>
        </is>
      </c>
      <c r="J102" s="628" t="n"/>
      <c r="K102" s="628" t="n"/>
      <c r="L102" s="642" t="n"/>
      <c r="M102" s="625" t="n"/>
      <c r="N102" s="625" t="n"/>
    </row>
    <row r="103">
      <c r="A103" s="625" t="n"/>
      <c r="B103" s="625" t="n"/>
      <c r="C103" s="625" t="n"/>
      <c r="D103" s="625" t="n"/>
      <c r="E103" s="625" t="n"/>
      <c r="F103" s="625" t="n"/>
      <c r="G103" s="625" t="n"/>
      <c r="H103" s="626" t="n">
        <v>45958</v>
      </c>
      <c r="I103" s="627" t="inlineStr">
        <is>
          <t>Herfstvakantie</t>
        </is>
      </c>
      <c r="J103" s="628" t="n"/>
      <c r="K103" s="628" t="n"/>
      <c r="L103" s="642" t="n"/>
      <c r="M103" s="625" t="n"/>
      <c r="N103" s="625" t="n"/>
    </row>
    <row r="104">
      <c r="A104" s="625" t="n"/>
      <c r="B104" s="625" t="n"/>
      <c r="C104" s="625" t="n"/>
      <c r="D104" s="625" t="n"/>
      <c r="E104" s="625" t="n"/>
      <c r="F104" s="625" t="n"/>
      <c r="G104" s="625" t="n"/>
      <c r="H104" s="626" t="n">
        <v>45959</v>
      </c>
      <c r="I104" s="627" t="inlineStr">
        <is>
          <t>Herfstvakantie</t>
        </is>
      </c>
      <c r="J104" s="628" t="n"/>
      <c r="K104" s="628" t="n"/>
      <c r="L104" s="642" t="n"/>
      <c r="M104" s="625" t="n"/>
      <c r="N104" s="625" t="n"/>
    </row>
    <row r="105">
      <c r="A105" s="625" t="n"/>
      <c r="B105" s="625" t="n"/>
      <c r="C105" s="625" t="n"/>
      <c r="D105" s="625" t="n"/>
      <c r="E105" s="625" t="n"/>
      <c r="F105" s="625" t="n"/>
      <c r="G105" s="625" t="n"/>
      <c r="H105" s="626" t="n">
        <v>45960</v>
      </c>
      <c r="I105" s="627" t="inlineStr">
        <is>
          <t>Herfstvakantie</t>
        </is>
      </c>
      <c r="J105" s="628" t="n"/>
      <c r="K105" s="628" t="n"/>
      <c r="L105" s="642" t="n"/>
      <c r="M105" s="625" t="n"/>
      <c r="N105" s="625" t="n"/>
    </row>
    <row r="106">
      <c r="A106" s="625" t="n"/>
      <c r="B106" s="625" t="n"/>
      <c r="C106" s="625" t="n"/>
      <c r="D106" s="625" t="n"/>
      <c r="E106" s="625" t="n"/>
      <c r="F106" s="625" t="n"/>
      <c r="G106" s="625" t="n"/>
      <c r="H106" s="626" t="n">
        <v>45961</v>
      </c>
      <c r="I106" s="627" t="inlineStr">
        <is>
          <t>Halloween</t>
        </is>
      </c>
      <c r="J106" s="628" t="n"/>
      <c r="K106" s="628" t="n"/>
      <c r="L106" s="642" t="n"/>
      <c r="M106" s="625" t="n"/>
      <c r="N106" s="625" t="n"/>
    </row>
    <row r="107">
      <c r="A107" s="625" t="n"/>
      <c r="B107" s="625" t="n"/>
      <c r="C107" s="625" t="n"/>
      <c r="D107" s="625" t="n"/>
      <c r="E107" s="625" t="n"/>
      <c r="F107" s="625" t="n"/>
      <c r="G107" s="625" t="n"/>
      <c r="H107" s="629" t="n">
        <v>45962</v>
      </c>
      <c r="I107" s="628" t="inlineStr">
        <is>
          <t>Allerheiligen (FD)</t>
        </is>
      </c>
      <c r="J107" s="628" t="n"/>
      <c r="K107" s="628" t="n"/>
      <c r="L107" s="642" t="n"/>
      <c r="M107" s="625" t="n"/>
      <c r="N107" s="625" t="n"/>
    </row>
    <row r="108">
      <c r="A108" s="625" t="n"/>
      <c r="B108" s="625" t="n"/>
      <c r="C108" s="625" t="n"/>
      <c r="D108" s="625" t="n"/>
      <c r="E108" s="625" t="n"/>
      <c r="F108" s="625" t="n"/>
      <c r="G108" s="625" t="n"/>
      <c r="H108" s="626" t="n">
        <v>45963</v>
      </c>
      <c r="I108" s="627" t="inlineStr">
        <is>
          <t>Herfstvakantie</t>
        </is>
      </c>
      <c r="J108" s="628" t="n"/>
      <c r="K108" s="628" t="n"/>
      <c r="L108" s="642" t="n"/>
      <c r="M108" s="625" t="n"/>
      <c r="N108" s="625" t="n"/>
    </row>
    <row r="109">
      <c r="A109" s="625" t="n"/>
      <c r="B109" s="625" t="n"/>
      <c r="C109" s="625" t="n"/>
      <c r="D109" s="625" t="n"/>
      <c r="E109" s="625" t="n"/>
      <c r="F109" s="625" t="n"/>
      <c r="G109" s="625" t="n"/>
      <c r="H109" s="629" t="n">
        <v>45972</v>
      </c>
      <c r="I109" s="628" t="inlineStr">
        <is>
          <t>Wapenstilstand (FD)</t>
        </is>
      </c>
      <c r="J109" s="628" t="n"/>
      <c r="K109" s="628" t="n"/>
      <c r="L109" s="642" t="n"/>
      <c r="M109" s="625" t="n"/>
      <c r="N109" s="625" t="n"/>
    </row>
    <row r="110">
      <c r="A110" s="625" t="n"/>
      <c r="B110" s="625" t="n"/>
      <c r="C110" s="625" t="n"/>
      <c r="D110" s="625" t="n"/>
      <c r="E110" s="625" t="n"/>
      <c r="F110" s="625" t="n"/>
      <c r="G110" s="625" t="n"/>
      <c r="H110" s="626" t="n">
        <v>45985</v>
      </c>
      <c r="I110" s="627" t="inlineStr">
        <is>
          <t>Black Friday</t>
        </is>
      </c>
      <c r="J110" s="628" t="n"/>
      <c r="K110" s="628" t="n"/>
      <c r="L110" s="642" t="n"/>
      <c r="M110" s="625" t="n"/>
      <c r="N110" s="625" t="n"/>
    </row>
    <row r="111">
      <c r="A111" s="625" t="n"/>
      <c r="B111" s="625" t="n"/>
      <c r="C111" s="625" t="n"/>
      <c r="D111" s="625" t="n"/>
      <c r="E111" s="625" t="n"/>
      <c r="F111" s="625" t="n"/>
      <c r="G111" s="625" t="n"/>
      <c r="H111" s="626" t="n">
        <v>45987</v>
      </c>
      <c r="I111" s="627" t="inlineStr">
        <is>
          <t>Black Friday</t>
        </is>
      </c>
      <c r="L111" s="642" t="n"/>
      <c r="M111" s="625" t="n"/>
      <c r="N111" s="625" t="n"/>
    </row>
    <row r="112">
      <c r="A112" s="625" t="n"/>
      <c r="B112" s="625" t="n"/>
      <c r="C112" s="625" t="n"/>
      <c r="D112" s="625" t="n"/>
      <c r="E112" s="625" t="n"/>
      <c r="F112" s="625" t="n"/>
      <c r="G112" s="625" t="n"/>
      <c r="H112" s="626" t="n">
        <v>45988</v>
      </c>
      <c r="I112" s="627" t="inlineStr">
        <is>
          <t>Black Friday</t>
        </is>
      </c>
      <c r="L112" s="642" t="n"/>
      <c r="M112" s="625" t="n"/>
      <c r="N112" s="625" t="n"/>
    </row>
    <row r="113">
      <c r="A113" s="625" t="n"/>
      <c r="B113" s="625" t="n"/>
      <c r="C113" s="625" t="n"/>
      <c r="D113" s="625" t="n"/>
      <c r="E113" s="625" t="n"/>
      <c r="F113" s="625" t="n"/>
      <c r="G113" s="625" t="n"/>
      <c r="H113" s="626" t="n">
        <v>45989</v>
      </c>
      <c r="I113" s="627" t="inlineStr">
        <is>
          <t>Black Friday</t>
        </is>
      </c>
      <c r="K113" s="628" t="n"/>
      <c r="L113" s="642" t="n"/>
      <c r="M113" s="625" t="n"/>
      <c r="N113" s="625" t="n"/>
    </row>
    <row r="114">
      <c r="A114" s="625" t="n"/>
      <c r="B114" s="625" t="n"/>
      <c r="C114" s="625" t="n"/>
      <c r="D114" s="625" t="n"/>
      <c r="E114" s="625" t="n"/>
      <c r="F114" s="625" t="n"/>
      <c r="G114" s="625" t="n"/>
      <c r="H114" s="626" t="n">
        <v>45997</v>
      </c>
      <c r="I114" s="627" t="inlineStr">
        <is>
          <t>Sinterklaas</t>
        </is>
      </c>
      <c r="L114" s="642" t="n"/>
      <c r="M114" s="625" t="n"/>
      <c r="N114" s="625" t="n"/>
    </row>
    <row r="115">
      <c r="A115" s="625" t="n"/>
      <c r="B115" s="625" t="n"/>
      <c r="C115" s="625" t="n"/>
      <c r="D115" s="625" t="n"/>
      <c r="E115" s="625" t="n"/>
      <c r="F115" s="625" t="n"/>
      <c r="G115" s="625" t="n"/>
      <c r="H115" s="626" t="n">
        <v>46013</v>
      </c>
      <c r="I115" s="627" t="inlineStr">
        <is>
          <t>Kerstvakantie</t>
        </is>
      </c>
      <c r="J115" s="628" t="n"/>
      <c r="K115" s="628" t="n"/>
      <c r="L115" s="642" t="n"/>
      <c r="M115" s="625" t="n"/>
      <c r="N115" s="625" t="n"/>
    </row>
    <row r="116">
      <c r="A116" s="625" t="n"/>
      <c r="B116" s="625" t="n"/>
      <c r="C116" s="625" t="n"/>
      <c r="D116" s="625" t="n"/>
      <c r="E116" s="625" t="n"/>
      <c r="F116" s="625" t="n"/>
      <c r="G116" s="625" t="n"/>
      <c r="H116" s="626" t="n">
        <v>46014</v>
      </c>
      <c r="I116" s="627" t="inlineStr">
        <is>
          <t>Kerstvakantie</t>
        </is>
      </c>
      <c r="L116" s="642" t="n"/>
      <c r="M116" s="625" t="n"/>
      <c r="N116" s="625" t="n"/>
    </row>
    <row r="117">
      <c r="A117" s="625" t="n"/>
      <c r="B117" s="625" t="n"/>
      <c r="C117" s="625" t="n"/>
      <c r="D117" s="625" t="n"/>
      <c r="E117" s="625" t="n"/>
      <c r="F117" s="625" t="n"/>
      <c r="G117" s="625" t="n"/>
      <c r="H117" s="626" t="n">
        <v>46015</v>
      </c>
      <c r="I117" s="627" t="inlineStr">
        <is>
          <t>Kerstavond</t>
        </is>
      </c>
      <c r="J117" s="628" t="n"/>
      <c r="K117" s="628" t="n"/>
      <c r="L117" s="642" t="n"/>
      <c r="M117" s="625" t="n"/>
      <c r="N117" s="625" t="n"/>
    </row>
    <row r="118">
      <c r="A118" s="625" t="n"/>
      <c r="B118" s="625" t="n"/>
      <c r="C118" s="625" t="n"/>
      <c r="D118" s="625" t="n"/>
      <c r="E118" s="625" t="n"/>
      <c r="F118" s="625" t="n"/>
      <c r="G118" s="625" t="n"/>
      <c r="H118" s="629" t="n">
        <v>46016</v>
      </c>
      <c r="I118" s="628" t="inlineStr">
        <is>
          <t>Eerste Kerstdag (FD)</t>
        </is>
      </c>
      <c r="J118" s="628" t="n"/>
      <c r="K118" s="628" t="n"/>
      <c r="L118" s="642" t="n"/>
      <c r="M118" s="625" t="n"/>
      <c r="N118" s="625" t="n"/>
    </row>
    <row r="119">
      <c r="A119" s="625" t="n"/>
      <c r="B119" s="625" t="n"/>
      <c r="C119" s="625" t="n"/>
      <c r="D119" s="625" t="n"/>
      <c r="E119" s="625" t="n"/>
      <c r="F119" s="625" t="n"/>
      <c r="G119" s="625" t="n"/>
      <c r="H119" s="626" t="n">
        <v>46017</v>
      </c>
      <c r="I119" s="627" t="inlineStr">
        <is>
          <t>Kerstvakantie</t>
        </is>
      </c>
      <c r="J119" s="628" t="n"/>
      <c r="K119" s="628" t="n"/>
      <c r="L119" s="642" t="n"/>
      <c r="M119" s="625" t="n"/>
      <c r="N119" s="625" t="n"/>
    </row>
    <row r="120">
      <c r="A120" s="625" t="n"/>
      <c r="B120" s="625" t="n"/>
      <c r="C120" s="625" t="n"/>
      <c r="D120" s="625" t="n"/>
      <c r="E120" s="625" t="n"/>
      <c r="F120" s="625" t="n"/>
      <c r="G120" s="625" t="n"/>
      <c r="H120" s="626" t="n">
        <v>46018</v>
      </c>
      <c r="I120" s="627" t="inlineStr">
        <is>
          <t>Kerstvakantie</t>
        </is>
      </c>
      <c r="J120" s="628" t="n"/>
      <c r="K120" s="628" t="n"/>
      <c r="L120" s="642" t="n"/>
      <c r="M120" s="625" t="n"/>
      <c r="N120" s="625" t="n"/>
    </row>
    <row r="121">
      <c r="A121" s="625" t="n"/>
      <c r="B121" s="625" t="n"/>
      <c r="C121" s="625" t="n"/>
      <c r="D121" s="625" t="n"/>
      <c r="E121" s="625" t="n"/>
      <c r="F121" s="625" t="n"/>
      <c r="G121" s="625" t="n"/>
      <c r="H121" s="626" t="n">
        <v>46019</v>
      </c>
      <c r="I121" s="627" t="inlineStr">
        <is>
          <t>Kerstvakantie</t>
        </is>
      </c>
      <c r="J121" s="628" t="n"/>
      <c r="K121" s="628" t="n"/>
      <c r="L121" s="642" t="n"/>
      <c r="M121" s="625" t="n"/>
      <c r="N121" s="625" t="n"/>
    </row>
    <row r="122">
      <c r="A122" s="625" t="n"/>
      <c r="B122" s="625" t="n"/>
      <c r="C122" s="625" t="n"/>
      <c r="D122" s="625" t="n"/>
      <c r="E122" s="625" t="n"/>
      <c r="F122" s="625" t="n"/>
      <c r="G122" s="625" t="n"/>
      <c r="H122" s="626" t="n">
        <v>46020</v>
      </c>
      <c r="I122" s="627" t="inlineStr">
        <is>
          <t>Kerstvakantie</t>
        </is>
      </c>
      <c r="J122" s="628" t="n"/>
      <c r="K122" s="628" t="n"/>
      <c r="L122" s="642" t="n"/>
      <c r="M122" s="625" t="n"/>
      <c r="N122" s="625" t="n"/>
    </row>
    <row r="123">
      <c r="A123" s="625" t="n"/>
      <c r="B123" s="625" t="n"/>
      <c r="C123" s="625" t="n"/>
      <c r="D123" s="625" t="n"/>
      <c r="E123" s="625" t="n"/>
      <c r="F123" s="625" t="n"/>
      <c r="G123" s="625" t="n"/>
      <c r="H123" s="626" t="n">
        <v>46021</v>
      </c>
      <c r="I123" s="627" t="inlineStr">
        <is>
          <t>Kerstvakantie</t>
        </is>
      </c>
      <c r="J123" s="628" t="n"/>
      <c r="K123" s="628" t="n"/>
      <c r="L123" s="642" t="n"/>
      <c r="M123" s="625" t="n"/>
      <c r="N123" s="625" t="n"/>
    </row>
    <row r="124">
      <c r="A124" s="625" t="n"/>
      <c r="B124" s="625" t="n"/>
      <c r="C124" s="625" t="n"/>
      <c r="D124" s="625" t="n"/>
      <c r="E124" s="625" t="n"/>
      <c r="F124" s="625" t="n"/>
      <c r="G124" s="625" t="n"/>
      <c r="H124" s="626" t="n">
        <v>46022</v>
      </c>
      <c r="I124" s="627" t="inlineStr">
        <is>
          <t>Oudjaarsdag</t>
        </is>
      </c>
      <c r="L124" s="642" t="n"/>
      <c r="M124" s="625" t="n"/>
      <c r="N124" s="625" t="n"/>
    </row>
    <row r="125">
      <c r="A125" s="625" t="n"/>
      <c r="B125" s="625" t="n"/>
      <c r="C125" s="625" t="n"/>
      <c r="D125" s="625" t="n"/>
      <c r="E125" s="625" t="n"/>
      <c r="F125" s="625" t="n"/>
      <c r="G125" s="625" t="n"/>
      <c r="H125" s="629" t="n">
        <v>46023</v>
      </c>
      <c r="I125" s="628" t="inlineStr">
        <is>
          <t>Nieuwjaar (FD)</t>
        </is>
      </c>
      <c r="L125" s="642" t="n"/>
      <c r="M125" s="625" t="n"/>
      <c r="N125" s="625" t="n"/>
    </row>
    <row r="126">
      <c r="A126" s="625" t="n"/>
      <c r="B126" s="625" t="n"/>
      <c r="C126" s="625" t="n"/>
      <c r="D126" s="625" t="n"/>
      <c r="E126" s="625" t="n"/>
      <c r="F126" s="625" t="n"/>
      <c r="G126" s="625" t="n"/>
      <c r="H126" s="626" t="n">
        <v>46024</v>
      </c>
      <c r="I126" s="627" t="inlineStr">
        <is>
          <t>Kerstvakantie</t>
        </is>
      </c>
      <c r="K126" s="628" t="n"/>
      <c r="L126" s="642" t="n"/>
      <c r="M126" s="625" t="n"/>
      <c r="N126" s="625" t="n"/>
    </row>
    <row r="127">
      <c r="A127" s="625" t="n"/>
      <c r="B127" s="625" t="n"/>
      <c r="C127" s="625" t="n"/>
      <c r="D127" s="625" t="n"/>
      <c r="E127" s="625" t="n"/>
      <c r="F127" s="625" t="n"/>
      <c r="G127" s="625" t="n"/>
      <c r="H127" s="626" t="n">
        <v>46025</v>
      </c>
      <c r="I127" s="627" t="inlineStr">
        <is>
          <t>Kerstvakantie</t>
        </is>
      </c>
      <c r="J127" s="628" t="n"/>
      <c r="K127" s="628" t="n"/>
      <c r="L127" s="642" t="n"/>
      <c r="M127" s="625" t="n"/>
      <c r="N127" s="625" t="n"/>
    </row>
    <row r="128">
      <c r="A128" s="625" t="n"/>
      <c r="B128" s="625" t="n"/>
      <c r="C128" s="625" t="n"/>
      <c r="D128" s="625" t="n"/>
      <c r="E128" s="625" t="n"/>
      <c r="F128" s="625" t="n"/>
      <c r="G128" s="625" t="n"/>
      <c r="H128" s="626" t="n">
        <v>46026</v>
      </c>
      <c r="I128" s="627" t="inlineStr">
        <is>
          <t>Kerstvakantie</t>
        </is>
      </c>
      <c r="J128" s="628" t="n"/>
      <c r="K128" s="628" t="n"/>
      <c r="L128" s="642" t="n"/>
      <c r="M128" s="625" t="n"/>
      <c r="N128" s="625" t="n"/>
    </row>
    <row r="129">
      <c r="A129" s="625" t="n"/>
      <c r="B129" s="625" t="n"/>
      <c r="C129" s="625" t="n"/>
      <c r="D129" s="625" t="n"/>
      <c r="E129" s="625" t="n"/>
      <c r="F129" s="625" t="n"/>
      <c r="G129" s="625" t="n"/>
      <c r="H129" s="626" t="n">
        <v>46028</v>
      </c>
      <c r="I129" s="627" t="inlineStr">
        <is>
          <t>Driekoningen</t>
        </is>
      </c>
      <c r="J129" s="628" t="n"/>
      <c r="K129" s="628" t="n"/>
      <c r="L129" s="642" t="n"/>
      <c r="M129" s="625" t="n"/>
      <c r="N129" s="625" t="n"/>
    </row>
    <row r="130">
      <c r="A130" s="625" t="n"/>
      <c r="B130" s="625" t="n"/>
      <c r="C130" s="625" t="n"/>
      <c r="D130" s="625" t="n"/>
      <c r="E130" s="625" t="n"/>
      <c r="F130" s="625" t="n"/>
      <c r="G130" s="625" t="n"/>
      <c r="H130" s="626" t="n">
        <v>46067</v>
      </c>
      <c r="I130" s="627" t="inlineStr">
        <is>
          <t>Valentijnsdag</t>
        </is>
      </c>
      <c r="J130" s="628" t="n"/>
      <c r="K130" s="628" t="n"/>
      <c r="L130" s="642" t="n"/>
      <c r="M130" s="625" t="n"/>
      <c r="N130" s="625" t="n"/>
    </row>
    <row r="131">
      <c r="A131" s="625" t="n"/>
      <c r="B131" s="625" t="n"/>
      <c r="C131" s="625" t="n"/>
      <c r="D131" s="625" t="n"/>
      <c r="E131" s="625" t="n"/>
      <c r="F131" s="625" t="n"/>
      <c r="G131" s="625" t="n"/>
      <c r="H131" s="626" t="n">
        <v>46069</v>
      </c>
      <c r="I131" s="627" t="inlineStr">
        <is>
          <t>Krokusvakantie</t>
        </is>
      </c>
      <c r="J131" s="628" t="n"/>
      <c r="K131" s="628" t="n"/>
      <c r="L131" s="642" t="n"/>
      <c r="M131" s="625" t="n"/>
      <c r="N131" s="625" t="n"/>
    </row>
    <row r="132">
      <c r="A132" s="625" t="n"/>
      <c r="B132" s="625" t="n"/>
      <c r="C132" s="625" t="n"/>
      <c r="D132" s="625" t="n"/>
      <c r="E132" s="625" t="n"/>
      <c r="F132" s="625" t="n"/>
      <c r="G132" s="625" t="n"/>
      <c r="H132" s="626" t="n">
        <v>46070</v>
      </c>
      <c r="I132" s="627" t="inlineStr">
        <is>
          <t>Krokusvakantie</t>
        </is>
      </c>
      <c r="J132" s="628" t="n"/>
      <c r="K132" s="628" t="n"/>
      <c r="L132" s="642" t="n"/>
      <c r="M132" s="625" t="n"/>
      <c r="N132" s="625" t="n"/>
    </row>
    <row r="133">
      <c r="A133" s="625" t="n"/>
      <c r="B133" s="625" t="n"/>
      <c r="C133" s="625" t="n"/>
      <c r="D133" s="625" t="n"/>
      <c r="E133" s="625" t="n"/>
      <c r="F133" s="625" t="n"/>
      <c r="G133" s="625" t="n"/>
      <c r="H133" s="626" t="n">
        <v>46071</v>
      </c>
      <c r="I133" s="627" t="inlineStr">
        <is>
          <t>Krokusvakantie</t>
        </is>
      </c>
      <c r="J133" s="628" t="n"/>
      <c r="K133" s="628" t="n"/>
      <c r="L133" s="642" t="n"/>
      <c r="M133" s="625" t="n"/>
      <c r="N133" s="625" t="n"/>
    </row>
    <row r="134">
      <c r="A134" s="625" t="n"/>
      <c r="B134" s="625" t="n"/>
      <c r="C134" s="625" t="n"/>
      <c r="D134" s="625" t="n"/>
      <c r="E134" s="625" t="n"/>
      <c r="F134" s="625" t="n"/>
      <c r="G134" s="625" t="n"/>
      <c r="H134" s="626" t="n">
        <v>46072</v>
      </c>
      <c r="I134" s="627" t="inlineStr">
        <is>
          <t>Krokusvakantie</t>
        </is>
      </c>
      <c r="J134" s="628" t="n"/>
      <c r="K134" s="628" t="n"/>
      <c r="L134" s="642" t="n"/>
      <c r="M134" s="625" t="n"/>
      <c r="N134" s="625" t="n"/>
    </row>
    <row r="135">
      <c r="A135" s="625" t="n"/>
      <c r="B135" s="625" t="n"/>
      <c r="C135" s="625" t="n"/>
      <c r="D135" s="625" t="n"/>
      <c r="E135" s="625" t="n"/>
      <c r="F135" s="625" t="n"/>
      <c r="G135" s="625" t="n"/>
      <c r="H135" s="626" t="n">
        <v>46073</v>
      </c>
      <c r="I135" s="627" t="inlineStr">
        <is>
          <t>Krokusvakantie</t>
        </is>
      </c>
      <c r="J135" s="628" t="n"/>
      <c r="K135" s="628" t="n"/>
      <c r="L135" s="642" t="n"/>
      <c r="M135" s="625" t="n"/>
      <c r="N135" s="625" t="n"/>
    </row>
    <row r="136">
      <c r="A136" s="625" t="n"/>
      <c r="B136" s="625" t="n"/>
      <c r="C136" s="625" t="n"/>
      <c r="D136" s="625" t="n"/>
      <c r="E136" s="625" t="n"/>
      <c r="F136" s="625" t="n"/>
      <c r="G136" s="625" t="n"/>
      <c r="H136" s="626" t="n">
        <v>46074</v>
      </c>
      <c r="I136" s="627" t="inlineStr">
        <is>
          <t>Krokusvakantie</t>
        </is>
      </c>
      <c r="J136" s="628" t="n"/>
      <c r="K136" s="628" t="n"/>
    </row>
    <row r="137">
      <c r="A137" s="625" t="n"/>
      <c r="B137" s="625" t="n"/>
      <c r="C137" s="625" t="n"/>
      <c r="D137" s="625" t="n"/>
      <c r="E137" s="625" t="n"/>
      <c r="F137" s="625" t="n"/>
      <c r="G137" s="625" t="n"/>
      <c r="H137" s="626" t="n">
        <v>46075</v>
      </c>
      <c r="I137" s="627" t="inlineStr">
        <is>
          <t>Krokusvakantie</t>
        </is>
      </c>
      <c r="J137" s="628" t="n"/>
      <c r="K137" s="628" t="n"/>
    </row>
    <row r="138">
      <c r="A138" s="625" t="n"/>
      <c r="B138" s="625" t="n"/>
      <c r="C138" s="625" t="n"/>
      <c r="D138" s="625" t="n"/>
      <c r="E138" s="625" t="n"/>
      <c r="F138" s="625" t="n"/>
      <c r="G138" s="625" t="n"/>
      <c r="H138" s="626" t="n">
        <v>46110</v>
      </c>
      <c r="I138" s="627" t="inlineStr">
        <is>
          <t>Zomertijd</t>
        </is>
      </c>
    </row>
    <row r="139">
      <c r="A139" s="625" t="n"/>
      <c r="B139" s="625" t="n"/>
      <c r="C139" s="625" t="n"/>
      <c r="D139" s="625" t="n"/>
      <c r="E139" s="625" t="n"/>
      <c r="F139" s="625" t="n"/>
      <c r="G139" s="625" t="n"/>
      <c r="H139" s="629" t="n">
        <v>46118</v>
      </c>
      <c r="I139" s="628" t="inlineStr">
        <is>
          <t>Paasmaandag (FD)</t>
        </is>
      </c>
      <c r="J139" s="628" t="n"/>
      <c r="K139" s="628" t="n"/>
    </row>
    <row r="140">
      <c r="A140" s="625" t="n"/>
      <c r="B140" s="625" t="n"/>
      <c r="C140" s="625" t="n"/>
      <c r="D140" s="625" t="n"/>
      <c r="E140" s="625" t="n"/>
      <c r="F140" s="625" t="n"/>
      <c r="G140" s="625" t="n"/>
      <c r="H140" s="626" t="n">
        <v>46119</v>
      </c>
      <c r="I140" s="627" t="inlineStr">
        <is>
          <t>Paasvakantie</t>
        </is>
      </c>
      <c r="J140" s="628" t="n"/>
      <c r="K140" s="628" t="n"/>
    </row>
    <row r="141">
      <c r="A141" s="625" t="n"/>
      <c r="B141" s="625" t="n"/>
      <c r="C141" s="625" t="n"/>
      <c r="D141" s="625" t="n"/>
      <c r="E141" s="625" t="n"/>
      <c r="F141" s="625" t="n"/>
      <c r="G141" s="625" t="n"/>
      <c r="H141" s="626" t="n">
        <v>46120</v>
      </c>
      <c r="I141" s="627" t="inlineStr">
        <is>
          <t>Paasvakantie</t>
        </is>
      </c>
    </row>
    <row r="142">
      <c r="A142" s="625" t="n"/>
      <c r="B142" s="625" t="n"/>
      <c r="C142" s="625" t="n"/>
      <c r="D142" s="625" t="n"/>
      <c r="E142" s="625" t="n"/>
      <c r="F142" s="625" t="n"/>
      <c r="G142" s="625" t="n"/>
      <c r="H142" s="626" t="n">
        <v>46121</v>
      </c>
      <c r="I142" s="627" t="inlineStr">
        <is>
          <t>Paasvakantie</t>
        </is>
      </c>
      <c r="J142" s="628" t="n"/>
      <c r="K142" s="628" t="n"/>
    </row>
    <row r="143">
      <c r="A143" s="625" t="n"/>
      <c r="B143" s="625" t="n"/>
      <c r="C143" s="625" t="n"/>
      <c r="D143" s="625" t="n"/>
      <c r="E143" s="625" t="n"/>
      <c r="F143" s="625" t="n"/>
      <c r="G143" s="625" t="n"/>
      <c r="H143" s="626" t="n">
        <v>46122</v>
      </c>
      <c r="I143" s="627" t="inlineStr">
        <is>
          <t>Paasvakantie</t>
        </is>
      </c>
      <c r="J143" s="628" t="n"/>
      <c r="K143" s="628" t="n"/>
    </row>
    <row r="144">
      <c r="A144" s="625" t="n"/>
      <c r="B144" s="625" t="n"/>
      <c r="C144" s="625" t="n"/>
      <c r="D144" s="625" t="n"/>
      <c r="E144" s="625" t="n"/>
      <c r="F144" s="625" t="n"/>
      <c r="G144" s="625" t="n"/>
      <c r="H144" s="626" t="n">
        <v>46123</v>
      </c>
      <c r="I144" s="627" t="inlineStr">
        <is>
          <t>Paasvakantie</t>
        </is>
      </c>
      <c r="J144" s="628" t="n"/>
      <c r="K144" s="628" t="n"/>
    </row>
    <row r="145">
      <c r="A145" s="625" t="n"/>
      <c r="B145" s="625" t="n"/>
      <c r="C145" s="625" t="n"/>
      <c r="D145" s="625" t="n"/>
      <c r="E145" s="625" t="n"/>
      <c r="F145" s="625" t="n"/>
      <c r="G145" s="625" t="n"/>
      <c r="H145" s="626" t="n">
        <v>46124</v>
      </c>
      <c r="I145" s="627" t="inlineStr">
        <is>
          <t>Paasvakantie</t>
        </is>
      </c>
      <c r="J145" s="628" t="n"/>
      <c r="K145" s="628" t="n"/>
    </row>
    <row r="146">
      <c r="A146" s="625" t="n"/>
      <c r="B146" s="625" t="n"/>
      <c r="C146" s="625" t="n"/>
      <c r="D146" s="625" t="n"/>
      <c r="E146" s="625" t="n"/>
      <c r="F146" s="625" t="n"/>
      <c r="G146" s="625" t="n"/>
      <c r="H146" s="626" t="n">
        <v>46125</v>
      </c>
      <c r="I146" s="627" t="inlineStr">
        <is>
          <t>Paasvakantie</t>
        </is>
      </c>
      <c r="J146" s="628" t="n"/>
      <c r="K146" s="628" t="n"/>
    </row>
    <row r="147">
      <c r="A147" s="625" t="n"/>
      <c r="B147" s="625" t="n"/>
      <c r="C147" s="625" t="n"/>
      <c r="D147" s="625" t="n"/>
      <c r="E147" s="625" t="n"/>
      <c r="F147" s="625" t="n"/>
      <c r="G147" s="625" t="n"/>
      <c r="H147" s="626" t="n">
        <v>46126</v>
      </c>
      <c r="I147" s="627" t="inlineStr">
        <is>
          <t>Paasvakantie</t>
        </is>
      </c>
      <c r="J147" s="628" t="n"/>
      <c r="K147" s="628" t="n"/>
    </row>
    <row r="148">
      <c r="A148" s="625" t="n"/>
      <c r="B148" s="625" t="n"/>
      <c r="C148" s="625" t="n"/>
      <c r="D148" s="625" t="n"/>
      <c r="E148" s="625" t="n"/>
      <c r="F148" s="625" t="n"/>
      <c r="G148" s="625" t="n"/>
      <c r="H148" s="626" t="n">
        <v>46127</v>
      </c>
      <c r="I148" s="627" t="inlineStr">
        <is>
          <t>Paasvakantie</t>
        </is>
      </c>
      <c r="J148" s="628" t="n"/>
      <c r="K148" s="628" t="n"/>
    </row>
    <row r="149">
      <c r="A149" s="625" t="n"/>
      <c r="B149" s="625" t="n"/>
      <c r="C149" s="625" t="n"/>
      <c r="D149" s="625" t="n"/>
      <c r="E149" s="625" t="n"/>
      <c r="F149" s="625" t="n"/>
      <c r="G149" s="625" t="n"/>
      <c r="H149" s="626" t="n">
        <v>46128</v>
      </c>
      <c r="I149" s="627" t="inlineStr">
        <is>
          <t>Paasvakantie</t>
        </is>
      </c>
      <c r="J149" s="628" t="n"/>
      <c r="K149" s="628" t="n"/>
    </row>
    <row r="150">
      <c r="A150" s="625" t="n"/>
      <c r="B150" s="625" t="n"/>
      <c r="C150" s="625" t="n"/>
      <c r="D150" s="625" t="n"/>
      <c r="E150" s="625" t="n"/>
      <c r="F150" s="625" t="n"/>
      <c r="G150" s="625" t="n"/>
      <c r="H150" s="626" t="n">
        <v>46129</v>
      </c>
      <c r="I150" s="627" t="inlineStr">
        <is>
          <t>Paasvakantie</t>
        </is>
      </c>
      <c r="J150" s="628" t="n"/>
      <c r="K150" s="628" t="n"/>
    </row>
    <row r="151">
      <c r="A151" s="625" t="n"/>
      <c r="B151" s="625" t="n"/>
      <c r="C151" s="625" t="n"/>
      <c r="D151" s="625" t="n"/>
      <c r="E151" s="625" t="n"/>
      <c r="F151" s="625" t="n"/>
      <c r="G151" s="625" t="n"/>
      <c r="H151" s="626" t="n">
        <v>46130</v>
      </c>
      <c r="I151" s="627" t="inlineStr">
        <is>
          <t>Paasvakantie</t>
        </is>
      </c>
      <c r="J151" s="628" t="n"/>
      <c r="K151" s="628" t="n"/>
    </row>
    <row r="152">
      <c r="A152" s="625" t="n"/>
      <c r="B152" s="625" t="n"/>
      <c r="C152" s="625" t="n"/>
      <c r="D152" s="625" t="n"/>
      <c r="E152" s="625" t="n"/>
      <c r="F152" s="625" t="n"/>
      <c r="G152" s="625" t="n"/>
      <c r="H152" s="626" t="n">
        <v>46131</v>
      </c>
      <c r="I152" s="627" t="inlineStr">
        <is>
          <t>Paasvakantie</t>
        </is>
      </c>
      <c r="J152" s="628" t="n"/>
      <c r="K152" s="628" t="n"/>
    </row>
    <row r="153">
      <c r="A153" s="625" t="n"/>
      <c r="B153" s="625" t="n"/>
      <c r="C153" s="625" t="n"/>
      <c r="D153" s="625" t="n"/>
      <c r="E153" s="625" t="n"/>
      <c r="F153" s="625" t="n"/>
      <c r="G153" s="625" t="n"/>
      <c r="H153" s="629" t="n">
        <v>46143</v>
      </c>
      <c r="I153" s="628" t="inlineStr">
        <is>
          <t>Dag van de Arbeid (FD)</t>
        </is>
      </c>
      <c r="J153" s="628" t="n"/>
      <c r="K153" s="628" t="n"/>
    </row>
    <row r="154">
      <c r="A154" s="625" t="n"/>
      <c r="B154" s="625" t="n"/>
      <c r="C154" s="625" t="n"/>
      <c r="D154" s="625" t="n"/>
      <c r="E154" s="625" t="n"/>
      <c r="F154" s="625" t="n"/>
      <c r="G154" s="625" t="n"/>
      <c r="H154" s="626" t="n">
        <v>46152</v>
      </c>
      <c r="I154" s="627" t="inlineStr">
        <is>
          <t>Moederdag</t>
        </is>
      </c>
    </row>
    <row r="155">
      <c r="A155" s="625" t="n"/>
      <c r="B155" s="625" t="n"/>
      <c r="C155" s="625" t="n"/>
      <c r="D155" s="625" t="n"/>
      <c r="E155" s="625" t="n"/>
      <c r="F155" s="625" t="n"/>
      <c r="G155" s="625" t="n"/>
      <c r="H155" s="629" t="n">
        <v>46156</v>
      </c>
      <c r="I155" s="628" t="inlineStr">
        <is>
          <t>Hemelvaart (FD)</t>
        </is>
      </c>
    </row>
    <row r="156">
      <c r="A156" s="625" t="n"/>
      <c r="B156" s="625" t="n"/>
      <c r="C156" s="625" t="n"/>
      <c r="D156" s="625" t="n"/>
      <c r="E156" s="625" t="n"/>
      <c r="F156" s="625" t="n"/>
      <c r="G156" s="625" t="n"/>
      <c r="H156" s="629" t="n">
        <v>46167</v>
      </c>
      <c r="I156" s="628" t="inlineStr">
        <is>
          <t>Pinkstermaandag (FD)</t>
        </is>
      </c>
    </row>
    <row r="157">
      <c r="A157" s="625" t="n"/>
      <c r="B157" s="625" t="n"/>
      <c r="C157" s="625" t="n"/>
      <c r="D157" s="625" t="n"/>
      <c r="E157" s="625" t="n"/>
      <c r="F157" s="625" t="n"/>
      <c r="G157" s="625" t="n"/>
      <c r="H157" s="626" t="n">
        <v>46187</v>
      </c>
      <c r="I157" s="627" t="inlineStr">
        <is>
          <t>Vaderdag</t>
        </is>
      </c>
      <c r="K157" s="628" t="n"/>
    </row>
    <row r="158">
      <c r="A158" s="625" t="n"/>
      <c r="B158" s="625" t="n"/>
      <c r="C158" s="625" t="n"/>
      <c r="D158" s="625" t="n"/>
      <c r="E158" s="625" t="n"/>
      <c r="F158" s="625" t="n"/>
      <c r="G158" s="625" t="n"/>
      <c r="H158" s="626" t="n">
        <v>46204</v>
      </c>
      <c r="I158" s="627" t="inlineStr">
        <is>
          <t>Zomervakantie</t>
        </is>
      </c>
      <c r="K158" s="628" t="n"/>
    </row>
    <row r="159">
      <c r="A159" s="625" t="n"/>
      <c r="B159" s="625" t="n"/>
      <c r="C159" s="625" t="n"/>
      <c r="D159" s="625" t="n"/>
      <c r="E159" s="625" t="n"/>
      <c r="F159" s="625" t="n"/>
      <c r="G159" s="625" t="n"/>
      <c r="H159" s="626" t="n">
        <v>46205</v>
      </c>
      <c r="I159" s="627" t="inlineStr">
        <is>
          <t>Zomervakantie</t>
        </is>
      </c>
      <c r="K159" s="628" t="n"/>
    </row>
    <row r="160">
      <c r="A160" s="625" t="n"/>
      <c r="B160" s="625" t="n"/>
      <c r="C160" s="625" t="n"/>
      <c r="D160" s="625" t="n"/>
      <c r="E160" s="625" t="n"/>
      <c r="F160" s="625" t="n"/>
      <c r="G160" s="625" t="n"/>
      <c r="H160" s="626" t="n">
        <v>46206</v>
      </c>
      <c r="I160" s="627" t="inlineStr">
        <is>
          <t>Zomervakantie</t>
        </is>
      </c>
      <c r="K160" s="628" t="n"/>
    </row>
    <row r="161">
      <c r="A161" s="625" t="n"/>
      <c r="B161" s="625" t="n"/>
      <c r="C161" s="625" t="n"/>
      <c r="D161" s="625" t="n"/>
      <c r="E161" s="625" t="n"/>
      <c r="F161" s="625" t="n"/>
      <c r="G161" s="625" t="n"/>
      <c r="H161" s="626" t="n">
        <v>46207</v>
      </c>
      <c r="I161" s="627" t="inlineStr">
        <is>
          <t>Zomervakantie</t>
        </is>
      </c>
      <c r="K161" s="628" t="n"/>
    </row>
    <row r="162">
      <c r="A162" s="625" t="n"/>
      <c r="B162" s="625" t="n"/>
      <c r="C162" s="625" t="n"/>
      <c r="D162" s="625" t="n"/>
      <c r="E162" s="625" t="n"/>
      <c r="F162" s="625" t="n"/>
      <c r="G162" s="625" t="n"/>
      <c r="H162" s="626" t="n">
        <v>46208</v>
      </c>
      <c r="I162" s="627" t="inlineStr">
        <is>
          <t>Zomervakantie</t>
        </is>
      </c>
    </row>
    <row r="163">
      <c r="A163" s="625" t="n"/>
      <c r="B163" s="625" t="n"/>
      <c r="C163" s="625" t="n"/>
      <c r="D163" s="625" t="n"/>
      <c r="E163" s="625" t="n"/>
      <c r="F163" s="625" t="n"/>
      <c r="G163" s="625" t="n"/>
      <c r="H163" s="626" t="n">
        <v>46209</v>
      </c>
      <c r="I163" s="627" t="inlineStr">
        <is>
          <t>Zomervakantie</t>
        </is>
      </c>
    </row>
    <row r="164">
      <c r="A164" s="625" t="n"/>
      <c r="B164" s="625" t="n"/>
      <c r="C164" s="625" t="n"/>
      <c r="D164" s="625" t="n"/>
      <c r="E164" s="625" t="n"/>
      <c r="F164" s="625" t="n"/>
      <c r="G164" s="625" t="n"/>
      <c r="H164" s="626" t="n">
        <v>46210</v>
      </c>
      <c r="I164" s="627" t="inlineStr">
        <is>
          <t>Zomervakantie</t>
        </is>
      </c>
      <c r="J164" s="628" t="n"/>
      <c r="K164" s="628" t="n"/>
    </row>
    <row r="165">
      <c r="A165" s="625" t="n"/>
      <c r="B165" s="625" t="n"/>
      <c r="C165" s="625" t="n"/>
      <c r="D165" s="625" t="n"/>
      <c r="E165" s="625" t="n"/>
      <c r="F165" s="625" t="n"/>
      <c r="G165" s="625" t="n"/>
      <c r="H165" s="626" t="n">
        <v>46211</v>
      </c>
      <c r="I165" s="627" t="inlineStr">
        <is>
          <t>Zomervakantie</t>
        </is>
      </c>
      <c r="J165" s="628" t="n"/>
      <c r="K165" s="628" t="n"/>
    </row>
    <row r="166">
      <c r="A166" s="625" t="n"/>
      <c r="B166" s="625" t="n"/>
      <c r="C166" s="625" t="n"/>
      <c r="D166" s="625" t="n"/>
      <c r="E166" s="625" t="n"/>
      <c r="F166" s="625" t="n"/>
      <c r="G166" s="625" t="n"/>
      <c r="H166" s="626" t="n">
        <v>46212</v>
      </c>
      <c r="I166" s="627" t="inlineStr">
        <is>
          <t>Zomervakantie</t>
        </is>
      </c>
      <c r="J166" s="628" t="n"/>
      <c r="K166" s="628" t="n"/>
    </row>
    <row r="167">
      <c r="A167" s="625" t="n"/>
      <c r="B167" s="625" t="n"/>
      <c r="C167" s="625" t="n"/>
      <c r="D167" s="625" t="n"/>
      <c r="E167" s="625" t="n"/>
      <c r="F167" s="625" t="n"/>
      <c r="G167" s="625" t="n"/>
      <c r="H167" s="626" t="n">
        <v>46213</v>
      </c>
      <c r="I167" s="627" t="inlineStr">
        <is>
          <t>Zomervakantie</t>
        </is>
      </c>
      <c r="J167" s="628" t="n"/>
      <c r="K167" s="628" t="n"/>
    </row>
    <row r="168">
      <c r="A168" s="625" t="n"/>
      <c r="B168" s="625" t="n"/>
      <c r="C168" s="625" t="n"/>
      <c r="D168" s="625" t="n"/>
      <c r="E168" s="625" t="n"/>
      <c r="F168" s="625" t="n"/>
      <c r="G168" s="625" t="n"/>
      <c r="H168" s="626" t="n">
        <v>46214</v>
      </c>
      <c r="I168" s="627" t="inlineStr">
        <is>
          <t>Vlaamse feestdag</t>
        </is>
      </c>
      <c r="J168" s="628" t="n"/>
      <c r="K168" s="628" t="n"/>
    </row>
    <row r="169">
      <c r="A169" s="625" t="n"/>
      <c r="B169" s="625" t="n"/>
      <c r="C169" s="625" t="n"/>
      <c r="D169" s="625" t="n"/>
      <c r="E169" s="625" t="n"/>
      <c r="F169" s="625" t="n"/>
      <c r="G169" s="625" t="n"/>
      <c r="H169" s="626" t="n">
        <v>46215</v>
      </c>
      <c r="I169" s="627" t="inlineStr">
        <is>
          <t>Zomervakantie</t>
        </is>
      </c>
      <c r="J169" s="628" t="n"/>
      <c r="K169" s="628" t="n"/>
    </row>
    <row r="170">
      <c r="A170" s="625" t="n"/>
      <c r="B170" s="625" t="n"/>
      <c r="C170" s="625" t="n"/>
      <c r="D170" s="625" t="n"/>
      <c r="E170" s="625" t="n"/>
      <c r="F170" s="625" t="n"/>
      <c r="G170" s="625" t="n"/>
      <c r="H170" s="626" t="n">
        <v>46216</v>
      </c>
      <c r="I170" s="627" t="inlineStr">
        <is>
          <t>Zomervakantie</t>
        </is>
      </c>
      <c r="J170" s="628" t="n"/>
      <c r="K170" s="628" t="n"/>
    </row>
    <row r="171">
      <c r="A171" s="625" t="n"/>
      <c r="B171" s="625" t="n"/>
      <c r="C171" s="625" t="n"/>
      <c r="D171" s="625" t="n"/>
      <c r="E171" s="625" t="n"/>
      <c r="F171" s="625" t="n"/>
      <c r="G171" s="625" t="n"/>
      <c r="H171" s="626" t="n">
        <v>46217</v>
      </c>
      <c r="I171" s="627" t="inlineStr">
        <is>
          <t>Zomervakantie</t>
        </is>
      </c>
      <c r="J171" s="628" t="n"/>
      <c r="K171" s="628" t="n"/>
    </row>
    <row r="172">
      <c r="A172" s="625" t="n"/>
      <c r="B172" s="625" t="n"/>
      <c r="C172" s="625" t="n"/>
      <c r="D172" s="625" t="n"/>
      <c r="E172" s="625" t="n"/>
      <c r="F172" s="625" t="n"/>
      <c r="G172" s="625" t="n"/>
      <c r="H172" s="626" t="n">
        <v>46218</v>
      </c>
      <c r="I172" s="627" t="inlineStr">
        <is>
          <t>Zomervakantie</t>
        </is>
      </c>
      <c r="J172" s="628" t="n"/>
      <c r="K172" s="628" t="n"/>
    </row>
    <row r="173">
      <c r="A173" s="625" t="n"/>
      <c r="B173" s="625" t="n"/>
      <c r="C173" s="625" t="n"/>
      <c r="D173" s="625" t="n"/>
      <c r="E173" s="625" t="n"/>
      <c r="F173" s="625" t="n"/>
      <c r="G173" s="625" t="n"/>
      <c r="H173" s="626" t="n">
        <v>46219</v>
      </c>
      <c r="I173" s="627" t="inlineStr">
        <is>
          <t>Zomervakantie</t>
        </is>
      </c>
      <c r="J173" s="628" t="n"/>
      <c r="K173" s="628" t="n"/>
    </row>
    <row r="174">
      <c r="A174" s="625" t="n"/>
      <c r="B174" s="625" t="n"/>
      <c r="C174" s="625" t="n"/>
      <c r="D174" s="625" t="n"/>
      <c r="E174" s="625" t="n"/>
      <c r="F174" s="625" t="n"/>
      <c r="G174" s="625" t="n"/>
      <c r="H174" s="626" t="n">
        <v>46220</v>
      </c>
      <c r="I174" s="627" t="inlineStr">
        <is>
          <t>Zomervakantie</t>
        </is>
      </c>
      <c r="J174" s="628" t="n"/>
      <c r="K174" s="628" t="n"/>
    </row>
    <row r="175">
      <c r="A175" s="625" t="n"/>
      <c r="B175" s="625" t="n"/>
      <c r="C175" s="625" t="n"/>
      <c r="D175" s="625" t="n"/>
      <c r="E175" s="625" t="n"/>
      <c r="F175" s="625" t="n"/>
      <c r="G175" s="625" t="n"/>
      <c r="H175" s="626" t="n">
        <v>46221</v>
      </c>
      <c r="I175" s="627" t="inlineStr">
        <is>
          <t>Zomervakantie</t>
        </is>
      </c>
      <c r="J175" s="628" t="n"/>
      <c r="K175" s="628" t="n"/>
    </row>
    <row r="176">
      <c r="A176" s="625" t="n"/>
      <c r="B176" s="625" t="n"/>
      <c r="C176" s="625" t="n"/>
      <c r="D176" s="625" t="n"/>
      <c r="E176" s="625" t="n"/>
      <c r="F176" s="625" t="n"/>
      <c r="G176" s="625" t="n"/>
      <c r="H176" s="626" t="n">
        <v>46222</v>
      </c>
      <c r="I176" s="627" t="inlineStr">
        <is>
          <t>Zomervakantie</t>
        </is>
      </c>
      <c r="J176" s="628" t="n"/>
      <c r="K176" s="628" t="n"/>
    </row>
    <row r="177">
      <c r="A177" s="625" t="n"/>
      <c r="B177" s="625" t="n"/>
      <c r="C177" s="625" t="n"/>
      <c r="D177" s="625" t="n"/>
      <c r="E177" s="625" t="n"/>
      <c r="F177" s="625" t="n"/>
      <c r="G177" s="625" t="n"/>
      <c r="H177" s="626" t="n">
        <v>46223</v>
      </c>
      <c r="I177" s="627" t="inlineStr">
        <is>
          <t>Zomervakantie</t>
        </is>
      </c>
    </row>
    <row r="178">
      <c r="A178" s="625" t="n"/>
      <c r="B178" s="625" t="n"/>
      <c r="C178" s="625" t="n"/>
      <c r="D178" s="625" t="n"/>
      <c r="E178" s="625" t="n"/>
      <c r="F178" s="625" t="n"/>
      <c r="G178" s="625" t="n"/>
      <c r="H178" s="629" t="n">
        <v>46224</v>
      </c>
      <c r="I178" s="628" t="inlineStr">
        <is>
          <t>Nationale Feestdag (FD)</t>
        </is>
      </c>
    </row>
    <row r="179">
      <c r="A179" s="625" t="n"/>
      <c r="B179" s="625" t="n"/>
      <c r="C179" s="625" t="n"/>
      <c r="D179" s="625" t="n"/>
      <c r="E179" s="625" t="n"/>
      <c r="F179" s="625" t="n"/>
      <c r="G179" s="625" t="n"/>
      <c r="H179" s="626" t="n">
        <v>46225</v>
      </c>
      <c r="I179" s="627" t="inlineStr">
        <is>
          <t>Zomervakantie</t>
        </is>
      </c>
      <c r="J179" s="628" t="n"/>
      <c r="K179" s="628" t="n"/>
    </row>
    <row r="180">
      <c r="A180" s="625" t="n"/>
      <c r="B180" s="625" t="n"/>
      <c r="C180" s="625" t="n"/>
      <c r="D180" s="625" t="n"/>
      <c r="E180" s="625" t="n"/>
      <c r="F180" s="625" t="n"/>
      <c r="G180" s="625" t="n"/>
      <c r="H180" s="626" t="n">
        <v>46226</v>
      </c>
      <c r="I180" s="627" t="inlineStr">
        <is>
          <t>Zomervakantie</t>
        </is>
      </c>
    </row>
    <row r="181">
      <c r="A181" s="625" t="n"/>
      <c r="B181" s="625" t="n"/>
      <c r="C181" s="625" t="n"/>
      <c r="D181" s="625" t="n"/>
      <c r="E181" s="625" t="n"/>
      <c r="F181" s="625" t="n"/>
      <c r="G181" s="625" t="n"/>
      <c r="H181" s="626" t="n">
        <v>46227</v>
      </c>
      <c r="I181" s="627" t="inlineStr">
        <is>
          <t>Zomervakantie</t>
        </is>
      </c>
    </row>
    <row r="182">
      <c r="A182" s="625" t="n"/>
      <c r="B182" s="625" t="n"/>
      <c r="C182" s="625" t="n"/>
      <c r="D182" s="625" t="n"/>
      <c r="E182" s="625" t="n"/>
      <c r="F182" s="625" t="n"/>
      <c r="G182" s="625" t="n"/>
      <c r="H182" s="626" t="n">
        <v>46228</v>
      </c>
      <c r="I182" s="627" t="inlineStr">
        <is>
          <t>Zomervakantie</t>
        </is>
      </c>
    </row>
    <row r="183">
      <c r="A183" s="625" t="n"/>
      <c r="B183" s="625" t="n"/>
      <c r="C183" s="625" t="n"/>
      <c r="D183" s="625" t="n"/>
      <c r="E183" s="625" t="n"/>
      <c r="F183" s="625" t="n"/>
      <c r="G183" s="625" t="n"/>
      <c r="H183" s="626" t="n">
        <v>46229</v>
      </c>
      <c r="I183" s="627" t="inlineStr">
        <is>
          <t>Zomervakantie</t>
        </is>
      </c>
    </row>
    <row r="184">
      <c r="A184" s="625" t="n"/>
      <c r="B184" s="625" t="n"/>
      <c r="C184" s="625" t="n"/>
      <c r="D184" s="625" t="n"/>
      <c r="E184" s="625" t="n"/>
      <c r="F184" s="625" t="n"/>
      <c r="G184" s="625" t="n"/>
      <c r="H184" s="626" t="n">
        <v>46230</v>
      </c>
      <c r="I184" s="627" t="inlineStr">
        <is>
          <t>Zomervakantie</t>
        </is>
      </c>
    </row>
    <row r="185">
      <c r="A185" s="625" t="n"/>
      <c r="B185" s="625" t="n"/>
      <c r="C185" s="625" t="n"/>
      <c r="D185" s="625" t="n"/>
      <c r="E185" s="625" t="n"/>
      <c r="F185" s="625" t="n"/>
      <c r="G185" s="625" t="n"/>
      <c r="H185" s="626" t="n">
        <v>46231</v>
      </c>
      <c r="I185" s="627" t="inlineStr">
        <is>
          <t>Zomervakantie</t>
        </is>
      </c>
    </row>
    <row r="186">
      <c r="A186" s="625" t="n"/>
      <c r="B186" s="625" t="n"/>
      <c r="C186" s="625" t="n"/>
      <c r="D186" s="625" t="n"/>
      <c r="E186" s="625" t="n"/>
      <c r="F186" s="625" t="n"/>
      <c r="G186" s="625" t="n"/>
      <c r="H186" s="626" t="n">
        <v>46232</v>
      </c>
      <c r="I186" s="627" t="inlineStr">
        <is>
          <t>Zomervakantie</t>
        </is>
      </c>
    </row>
    <row r="187">
      <c r="A187" s="625" t="n"/>
      <c r="B187" s="625" t="n"/>
      <c r="C187" s="625" t="n"/>
      <c r="D187" s="625" t="n"/>
      <c r="E187" s="625" t="n"/>
      <c r="F187" s="625" t="n"/>
      <c r="G187" s="625" t="n"/>
      <c r="H187" s="626" t="n">
        <v>46233</v>
      </c>
      <c r="I187" s="627" t="inlineStr">
        <is>
          <t>Zomervakantie</t>
        </is>
      </c>
      <c r="K187" s="628" t="n"/>
    </row>
    <row r="188">
      <c r="A188" s="625" t="n"/>
      <c r="B188" s="625" t="n"/>
      <c r="C188" s="625" t="n"/>
      <c r="D188" s="625" t="n"/>
      <c r="E188" s="625" t="n"/>
      <c r="F188" s="625" t="n"/>
      <c r="G188" s="625" t="n"/>
      <c r="H188" s="626" t="n">
        <v>46234</v>
      </c>
      <c r="I188" s="627" t="inlineStr">
        <is>
          <t>Zomervakantie</t>
        </is>
      </c>
    </row>
    <row r="189">
      <c r="A189" s="625" t="n"/>
      <c r="B189" s="625" t="n"/>
      <c r="C189" s="625" t="n"/>
      <c r="D189" s="625" t="n"/>
      <c r="E189" s="625" t="n"/>
      <c r="F189" s="625" t="n"/>
      <c r="G189" s="625" t="n"/>
      <c r="H189" s="626" t="n">
        <v>46235</v>
      </c>
      <c r="I189" s="627" t="inlineStr">
        <is>
          <t>Zomervakantie</t>
        </is>
      </c>
      <c r="J189" s="628" t="n"/>
      <c r="K189" s="628" t="n"/>
    </row>
    <row r="190">
      <c r="A190" s="625" t="n"/>
      <c r="B190" s="625" t="n"/>
      <c r="C190" s="625" t="n"/>
      <c r="D190" s="625" t="n"/>
      <c r="E190" s="625" t="n"/>
      <c r="F190" s="625" t="n"/>
      <c r="G190" s="625" t="n"/>
      <c r="H190" s="626" t="n">
        <v>46236</v>
      </c>
      <c r="I190" s="627" t="inlineStr">
        <is>
          <t>Zomervakantie</t>
        </is>
      </c>
      <c r="J190" s="628" t="n"/>
      <c r="K190" s="628" t="n"/>
    </row>
    <row r="191">
      <c r="A191" s="625" t="n"/>
      <c r="B191" s="625" t="n"/>
      <c r="C191" s="625" t="n"/>
      <c r="D191" s="625" t="n"/>
      <c r="E191" s="625" t="n"/>
      <c r="F191" s="625" t="n"/>
      <c r="G191" s="625" t="n"/>
      <c r="H191" s="626" t="n">
        <v>46237</v>
      </c>
      <c r="I191" s="627" t="inlineStr">
        <is>
          <t>Zomervakantie</t>
        </is>
      </c>
      <c r="J191" s="628" t="n"/>
      <c r="K191" s="628" t="n"/>
    </row>
    <row r="192">
      <c r="A192" s="625" t="n"/>
      <c r="B192" s="625" t="n"/>
      <c r="C192" s="625" t="n"/>
      <c r="D192" s="625" t="n"/>
      <c r="E192" s="625" t="n"/>
      <c r="F192" s="625" t="n"/>
      <c r="G192" s="625" t="n"/>
      <c r="H192" s="626" t="n">
        <v>46238</v>
      </c>
      <c r="I192" s="627" t="inlineStr">
        <is>
          <t>Zomervakantie</t>
        </is>
      </c>
      <c r="J192" s="628" t="n"/>
      <c r="K192" s="628" t="n"/>
    </row>
    <row r="193">
      <c r="A193" s="625" t="n"/>
      <c r="B193" s="625" t="n"/>
      <c r="C193" s="625" t="n"/>
      <c r="D193" s="625" t="n"/>
      <c r="E193" s="625" t="n"/>
      <c r="F193" s="625" t="n"/>
      <c r="G193" s="625" t="n"/>
      <c r="H193" s="626" t="n">
        <v>46239</v>
      </c>
      <c r="I193" s="627" t="inlineStr">
        <is>
          <t>Zomervakantie</t>
        </is>
      </c>
      <c r="J193" s="628" t="n"/>
      <c r="K193" s="628" t="n"/>
    </row>
    <row r="194">
      <c r="A194" s="625" t="n"/>
      <c r="B194" s="625" t="n"/>
      <c r="C194" s="625" t="n"/>
      <c r="D194" s="625" t="n"/>
      <c r="E194" s="625" t="n"/>
      <c r="F194" s="625" t="n"/>
      <c r="G194" s="625" t="n"/>
      <c r="H194" s="626" t="n">
        <v>46240</v>
      </c>
      <c r="I194" s="627" t="inlineStr">
        <is>
          <t>Zomervakantie</t>
        </is>
      </c>
      <c r="J194" s="628" t="n"/>
      <c r="K194" s="628" t="n"/>
    </row>
    <row r="195">
      <c r="A195" s="625" t="n"/>
      <c r="B195" s="625" t="n"/>
      <c r="C195" s="625" t="n"/>
      <c r="D195" s="625" t="n"/>
      <c r="E195" s="625" t="n"/>
      <c r="F195" s="625" t="n"/>
      <c r="G195" s="625" t="n"/>
      <c r="H195" s="626" t="n">
        <v>46241</v>
      </c>
      <c r="I195" s="627" t="inlineStr">
        <is>
          <t>Zomervakantie</t>
        </is>
      </c>
      <c r="J195" s="628" t="n"/>
      <c r="K195" s="628" t="n"/>
    </row>
    <row r="196">
      <c r="A196" s="625" t="n"/>
      <c r="B196" s="625" t="n"/>
      <c r="C196" s="625" t="n"/>
      <c r="D196" s="625" t="n"/>
      <c r="E196" s="625" t="n"/>
      <c r="F196" s="625" t="n"/>
      <c r="G196" s="625" t="n"/>
      <c r="H196" s="626" t="n">
        <v>46242</v>
      </c>
      <c r="I196" s="627" t="inlineStr">
        <is>
          <t>Zomervakantie</t>
        </is>
      </c>
      <c r="J196" s="628" t="n"/>
      <c r="K196" s="628" t="n"/>
    </row>
    <row r="197">
      <c r="A197" s="625" t="n"/>
      <c r="B197" s="625" t="n"/>
      <c r="C197" s="625" t="n"/>
      <c r="D197" s="625" t="n"/>
      <c r="E197" s="625" t="n"/>
      <c r="F197" s="625" t="n"/>
      <c r="G197" s="625" t="n"/>
      <c r="H197" s="626" t="n">
        <v>46243</v>
      </c>
      <c r="I197" s="627" t="inlineStr">
        <is>
          <t>Zomervakantie</t>
        </is>
      </c>
      <c r="J197" s="628" t="n"/>
      <c r="K197" s="628" t="n"/>
    </row>
    <row r="198">
      <c r="A198" s="625" t="n"/>
      <c r="B198" s="625" t="n"/>
      <c r="C198" s="625" t="n"/>
      <c r="D198" s="625" t="n"/>
      <c r="E198" s="625" t="n"/>
      <c r="F198" s="625" t="n"/>
      <c r="G198" s="625" t="n"/>
      <c r="H198" s="626" t="n">
        <v>46244</v>
      </c>
      <c r="I198" s="627" t="inlineStr">
        <is>
          <t>Zomervakantie</t>
        </is>
      </c>
      <c r="J198" s="628" t="n"/>
      <c r="K198" s="628" t="n"/>
    </row>
    <row r="199">
      <c r="A199" s="625" t="n"/>
      <c r="B199" s="625" t="n"/>
      <c r="C199" s="625" t="n"/>
      <c r="D199" s="625" t="n"/>
      <c r="E199" s="625" t="n"/>
      <c r="F199" s="625" t="n"/>
      <c r="G199" s="625" t="n"/>
      <c r="H199" s="626" t="n">
        <v>46245</v>
      </c>
      <c r="I199" s="627" t="inlineStr">
        <is>
          <t>Zomervakantie</t>
        </is>
      </c>
    </row>
    <row r="200">
      <c r="A200" s="625" t="n"/>
      <c r="B200" s="625" t="n"/>
      <c r="C200" s="625" t="n"/>
      <c r="D200" s="625" t="n"/>
      <c r="E200" s="625" t="n"/>
      <c r="F200" s="625" t="n"/>
      <c r="G200" s="625" t="n"/>
      <c r="H200" s="626" t="n">
        <v>46246</v>
      </c>
      <c r="I200" s="627" t="inlineStr">
        <is>
          <t>Zomervakantie</t>
        </is>
      </c>
      <c r="J200" s="628" t="n"/>
      <c r="K200" s="628" t="n"/>
    </row>
    <row r="201">
      <c r="A201" s="625" t="n"/>
      <c r="B201" s="625" t="n"/>
      <c r="C201" s="625" t="n"/>
      <c r="D201" s="625" t="n"/>
      <c r="E201" s="625" t="n"/>
      <c r="F201" s="625" t="n"/>
      <c r="G201" s="625" t="n"/>
      <c r="H201" s="626" t="n">
        <v>46247</v>
      </c>
      <c r="I201" s="627" t="inlineStr">
        <is>
          <t>Zomervakantie</t>
        </is>
      </c>
      <c r="J201" s="628" t="n"/>
      <c r="K201" s="628" t="n"/>
    </row>
    <row r="202">
      <c r="A202" s="625" t="n"/>
      <c r="B202" s="625" t="n"/>
      <c r="C202" s="625" t="n"/>
      <c r="D202" s="625" t="n"/>
      <c r="E202" s="625" t="n"/>
      <c r="F202" s="625" t="n"/>
      <c r="G202" s="625" t="n"/>
      <c r="H202" s="626" t="n">
        <v>46248</v>
      </c>
      <c r="I202" s="627" t="inlineStr">
        <is>
          <t>Zomervakantie</t>
        </is>
      </c>
      <c r="J202" s="628" t="n"/>
      <c r="K202" s="628" t="n"/>
    </row>
    <row r="203">
      <c r="A203" s="625" t="n"/>
      <c r="B203" s="625" t="n"/>
      <c r="C203" s="625" t="n"/>
      <c r="D203" s="625" t="n"/>
      <c r="E203" s="625" t="n"/>
      <c r="F203" s="625" t="n"/>
      <c r="G203" s="625" t="n"/>
      <c r="H203" s="629" t="n">
        <v>46249</v>
      </c>
      <c r="I203" s="628" t="inlineStr">
        <is>
          <t>O.L.V. Hemelvaart (FD)</t>
        </is>
      </c>
      <c r="J203" s="628" t="n"/>
      <c r="K203" s="628" t="n"/>
    </row>
    <row r="204">
      <c r="A204" s="625" t="n"/>
      <c r="B204" s="625" t="n"/>
      <c r="C204" s="625" t="n"/>
      <c r="D204" s="625" t="n"/>
      <c r="E204" s="625" t="n"/>
      <c r="F204" s="625" t="n"/>
      <c r="G204" s="625" t="n"/>
      <c r="H204" s="626" t="n">
        <v>46250</v>
      </c>
      <c r="I204" s="627" t="inlineStr">
        <is>
          <t>Zomervakantie</t>
        </is>
      </c>
      <c r="J204" s="628" t="n"/>
      <c r="K204" s="628" t="n"/>
    </row>
    <row r="205">
      <c r="A205" s="625" t="n"/>
      <c r="B205" s="625" t="n"/>
      <c r="C205" s="625" t="n"/>
      <c r="D205" s="625" t="n"/>
      <c r="E205" s="625" t="n"/>
      <c r="F205" s="625" t="n"/>
      <c r="G205" s="625" t="n"/>
      <c r="H205" s="626" t="n">
        <v>46251</v>
      </c>
      <c r="I205" s="627" t="inlineStr">
        <is>
          <t>Zomervakantie</t>
        </is>
      </c>
      <c r="J205" s="628" t="n"/>
      <c r="K205" s="628" t="n"/>
    </row>
    <row r="206">
      <c r="A206" s="625" t="n"/>
      <c r="B206" s="625" t="n"/>
      <c r="C206" s="625" t="n"/>
      <c r="D206" s="625" t="n"/>
      <c r="E206" s="625" t="n"/>
      <c r="F206" s="625" t="n"/>
      <c r="G206" s="625" t="n"/>
      <c r="H206" s="626" t="n">
        <v>46252</v>
      </c>
      <c r="I206" s="627" t="inlineStr">
        <is>
          <t>Zomervakantie</t>
        </is>
      </c>
      <c r="J206" s="628" t="n"/>
      <c r="K206" s="628" t="n"/>
    </row>
    <row r="207">
      <c r="A207" s="625" t="n"/>
      <c r="B207" s="625" t="n"/>
      <c r="C207" s="625" t="n"/>
      <c r="D207" s="625" t="n"/>
      <c r="E207" s="625" t="n"/>
      <c r="F207" s="625" t="n"/>
      <c r="G207" s="625" t="n"/>
      <c r="H207" s="626" t="n">
        <v>46253</v>
      </c>
      <c r="I207" s="627" t="inlineStr">
        <is>
          <t>Zomervakantie</t>
        </is>
      </c>
      <c r="J207" s="628" t="n"/>
      <c r="K207" s="628" t="n"/>
    </row>
    <row r="208">
      <c r="A208" s="625" t="n"/>
      <c r="B208" s="625" t="n"/>
      <c r="C208" s="625" t="n"/>
      <c r="D208" s="625" t="n"/>
      <c r="E208" s="625" t="n"/>
      <c r="F208" s="625" t="n"/>
      <c r="G208" s="625" t="n"/>
      <c r="H208" s="626" t="n">
        <v>46254</v>
      </c>
      <c r="I208" s="627" t="inlineStr">
        <is>
          <t>Zomervakantie</t>
        </is>
      </c>
      <c r="J208" s="628" t="n"/>
      <c r="K208" s="628" t="n"/>
    </row>
    <row r="209">
      <c r="A209" s="625" t="n"/>
      <c r="B209" s="625" t="n"/>
      <c r="C209" s="625" t="n"/>
      <c r="D209" s="625" t="n"/>
      <c r="E209" s="625" t="n"/>
      <c r="F209" s="625" t="n"/>
      <c r="G209" s="625" t="n"/>
      <c r="H209" s="626" t="n">
        <v>46255</v>
      </c>
      <c r="I209" s="627" t="inlineStr">
        <is>
          <t>Zomervakantie</t>
        </is>
      </c>
    </row>
    <row r="210">
      <c r="A210" s="625" t="n"/>
      <c r="B210" s="625" t="n"/>
      <c r="C210" s="625" t="n"/>
      <c r="D210" s="625" t="n"/>
      <c r="E210" s="625" t="n"/>
      <c r="F210" s="625" t="n"/>
      <c r="G210" s="625" t="n"/>
      <c r="H210" s="626" t="n">
        <v>46256</v>
      </c>
      <c r="I210" s="627" t="inlineStr">
        <is>
          <t>Zomervakantie</t>
        </is>
      </c>
      <c r="J210" s="628" t="n"/>
      <c r="K210" s="628" t="n"/>
    </row>
    <row r="211">
      <c r="A211" s="625" t="n"/>
      <c r="B211" s="625" t="n"/>
      <c r="C211" s="625" t="n"/>
      <c r="D211" s="625" t="n"/>
      <c r="E211" s="625" t="n"/>
      <c r="F211" s="625" t="n"/>
      <c r="G211" s="625" t="n"/>
      <c r="H211" s="626" t="n">
        <v>46257</v>
      </c>
      <c r="I211" s="627" t="inlineStr">
        <is>
          <t>Zomervakantie</t>
        </is>
      </c>
      <c r="J211" s="628" t="n"/>
      <c r="K211" s="628" t="n"/>
    </row>
    <row r="212">
      <c r="A212" s="625" t="n"/>
      <c r="B212" s="625" t="n"/>
      <c r="C212" s="625" t="n"/>
      <c r="D212" s="625" t="n"/>
      <c r="E212" s="625" t="n"/>
      <c r="F212" s="625" t="n"/>
      <c r="G212" s="625" t="n"/>
      <c r="H212" s="626" t="n">
        <v>46258</v>
      </c>
      <c r="I212" s="627" t="inlineStr">
        <is>
          <t>Zomervakantie</t>
        </is>
      </c>
      <c r="J212" s="628" t="n"/>
      <c r="K212" s="628" t="n"/>
    </row>
    <row r="213">
      <c r="A213" s="625" t="n"/>
      <c r="B213" s="625" t="n"/>
      <c r="C213" s="625" t="n"/>
      <c r="D213" s="625" t="n"/>
      <c r="E213" s="625" t="n"/>
      <c r="F213" s="625" t="n"/>
      <c r="G213" s="625" t="n"/>
      <c r="H213" s="626" t="n">
        <v>46259</v>
      </c>
      <c r="I213" s="627" t="inlineStr">
        <is>
          <t>Zomervakantie</t>
        </is>
      </c>
      <c r="J213" s="628" t="n"/>
      <c r="K213" s="628" t="n"/>
    </row>
    <row r="214">
      <c r="A214" s="625" t="n"/>
      <c r="B214" s="625" t="n"/>
      <c r="C214" s="625" t="n"/>
      <c r="D214" s="625" t="n"/>
      <c r="E214" s="625" t="n"/>
      <c r="F214" s="625" t="n"/>
      <c r="G214" s="625" t="n"/>
      <c r="H214" s="626" t="n">
        <v>46260</v>
      </c>
      <c r="I214" s="627" t="inlineStr">
        <is>
          <t>Zomervakantie</t>
        </is>
      </c>
      <c r="J214" s="628" t="n"/>
      <c r="K214" s="628" t="n"/>
    </row>
    <row r="215">
      <c r="A215" s="625" t="n"/>
      <c r="B215" s="625" t="n"/>
      <c r="C215" s="625" t="n"/>
      <c r="D215" s="625" t="n"/>
      <c r="E215" s="625" t="n"/>
      <c r="F215" s="625" t="n"/>
      <c r="G215" s="625" t="n"/>
      <c r="H215" s="626" t="n">
        <v>46261</v>
      </c>
      <c r="I215" s="627" t="inlineStr">
        <is>
          <t>Zomervakantie</t>
        </is>
      </c>
      <c r="J215" s="628" t="n"/>
      <c r="K215" s="628" t="n"/>
    </row>
    <row r="216">
      <c r="A216" s="625" t="n"/>
      <c r="B216" s="625" t="n"/>
      <c r="C216" s="625" t="n"/>
      <c r="D216" s="625" t="n"/>
      <c r="E216" s="625" t="n"/>
      <c r="F216" s="625" t="n"/>
      <c r="G216" s="625" t="n"/>
      <c r="H216" s="626" t="n">
        <v>46262</v>
      </c>
      <c r="I216" s="627" t="inlineStr">
        <is>
          <t>Zomervakantie</t>
        </is>
      </c>
      <c r="J216" s="628" t="n"/>
      <c r="K216" s="628" t="n"/>
    </row>
    <row r="217">
      <c r="A217" s="625" t="n"/>
      <c r="B217" s="625" t="n"/>
      <c r="C217" s="625" t="n"/>
      <c r="D217" s="625" t="n"/>
      <c r="E217" s="625" t="n"/>
      <c r="F217" s="625" t="n"/>
      <c r="G217" s="625" t="n"/>
      <c r="H217" s="626" t="n">
        <v>46263</v>
      </c>
      <c r="I217" s="627" t="inlineStr">
        <is>
          <t>Zomervakantie</t>
        </is>
      </c>
      <c r="J217" s="628" t="n"/>
      <c r="K217" s="628" t="n"/>
    </row>
    <row r="218">
      <c r="A218" s="625" t="n"/>
      <c r="B218" s="625" t="n"/>
      <c r="C218" s="625" t="n"/>
      <c r="D218" s="625" t="n"/>
      <c r="E218" s="625" t="n"/>
      <c r="F218" s="625" t="n"/>
      <c r="G218" s="625" t="n"/>
      <c r="H218" s="626" t="n">
        <v>46264</v>
      </c>
      <c r="I218" s="627" t="inlineStr">
        <is>
          <t>Zomervakantie</t>
        </is>
      </c>
      <c r="J218" s="628" t="n"/>
      <c r="K218" s="628" t="n"/>
    </row>
    <row r="219">
      <c r="A219" s="625" t="n"/>
      <c r="B219" s="625" t="n"/>
      <c r="C219" s="625" t="n"/>
      <c r="D219" s="625" t="n"/>
      <c r="E219" s="625" t="n"/>
      <c r="F219" s="625" t="n"/>
      <c r="G219" s="625" t="n"/>
      <c r="H219" s="626" t="n">
        <v>46265</v>
      </c>
      <c r="I219" s="627" t="inlineStr">
        <is>
          <t>Zomervakantie</t>
        </is>
      </c>
      <c r="J219" s="628" t="n"/>
      <c r="K219" s="628" t="n"/>
    </row>
    <row r="220">
      <c r="A220" s="625" t="n"/>
      <c r="B220" s="625" t="n"/>
      <c r="C220" s="625" t="n"/>
      <c r="D220" s="625" t="n"/>
      <c r="E220" s="625" t="n"/>
      <c r="F220" s="625" t="n"/>
      <c r="G220" s="625" t="n"/>
      <c r="H220" s="626" t="n">
        <v>46320</v>
      </c>
      <c r="I220" s="627" t="inlineStr">
        <is>
          <t>Wintertijd</t>
        </is>
      </c>
      <c r="J220" s="628" t="n"/>
      <c r="K220" s="628" t="n"/>
    </row>
    <row r="221">
      <c r="A221" s="625" t="n"/>
      <c r="B221" s="625" t="n"/>
      <c r="C221" s="625" t="n"/>
      <c r="D221" s="625" t="n"/>
      <c r="E221" s="625" t="n"/>
      <c r="F221" s="625" t="n"/>
      <c r="G221" s="625" t="n"/>
      <c r="H221" s="626" t="n">
        <v>46326</v>
      </c>
      <c r="I221" s="627" t="inlineStr">
        <is>
          <t>Halloween</t>
        </is>
      </c>
      <c r="J221" s="628" t="n"/>
      <c r="K221" s="628" t="n"/>
    </row>
    <row r="222">
      <c r="A222" s="625" t="n"/>
      <c r="B222" s="625" t="n"/>
      <c r="C222" s="625" t="n"/>
      <c r="D222" s="625" t="n"/>
      <c r="E222" s="625" t="n"/>
      <c r="F222" s="625" t="n"/>
      <c r="G222" s="625" t="n"/>
      <c r="H222" s="629" t="n">
        <v>46327</v>
      </c>
      <c r="I222" s="628" t="inlineStr">
        <is>
          <t>Allerheiligen (FD)</t>
        </is>
      </c>
      <c r="J222" s="628" t="n"/>
      <c r="K222" s="628" t="n"/>
    </row>
    <row r="223">
      <c r="A223" s="625" t="n"/>
      <c r="B223" s="625" t="n"/>
      <c r="C223" s="625" t="n"/>
      <c r="D223" s="625" t="n"/>
      <c r="E223" s="625" t="n"/>
      <c r="F223" s="625" t="n"/>
      <c r="G223" s="625" t="n"/>
      <c r="H223" s="629" t="n">
        <v>46328</v>
      </c>
      <c r="I223" s="628" t="inlineStr">
        <is>
          <t>Herfstvakantie</t>
        </is>
      </c>
      <c r="J223" s="628" t="n"/>
      <c r="K223" s="628" t="n"/>
    </row>
    <row r="224">
      <c r="A224" s="625" t="n"/>
      <c r="B224" s="625" t="n"/>
      <c r="C224" s="625" t="n"/>
      <c r="D224" s="625" t="n"/>
      <c r="E224" s="625" t="n"/>
      <c r="F224" s="625" t="n"/>
      <c r="G224" s="625" t="n"/>
      <c r="H224" s="629" t="n">
        <v>46329</v>
      </c>
      <c r="I224" s="628" t="inlineStr">
        <is>
          <t>Herfstvakantie</t>
        </is>
      </c>
      <c r="J224" s="628" t="n"/>
      <c r="K224" s="628" t="n"/>
    </row>
    <row r="225">
      <c r="A225" s="625" t="n"/>
      <c r="B225" s="625" t="n"/>
      <c r="C225" s="625" t="n"/>
      <c r="D225" s="625" t="n"/>
      <c r="E225" s="625" t="n"/>
      <c r="F225" s="625" t="n"/>
      <c r="G225" s="625" t="n"/>
      <c r="H225" s="629" t="n">
        <v>46330</v>
      </c>
      <c r="I225" s="628" t="inlineStr">
        <is>
          <t>Herfstvakantie</t>
        </is>
      </c>
      <c r="J225" s="628" t="n"/>
      <c r="K225" s="628" t="n"/>
    </row>
    <row r="226">
      <c r="A226" s="625" t="n"/>
      <c r="B226" s="625" t="n"/>
      <c r="C226" s="625" t="n"/>
      <c r="D226" s="625" t="n"/>
      <c r="E226" s="625" t="n"/>
      <c r="F226" s="625" t="n"/>
      <c r="G226" s="625" t="n"/>
      <c r="H226" s="629" t="n">
        <v>46331</v>
      </c>
      <c r="I226" s="628" t="inlineStr">
        <is>
          <t>Herfstvakantie</t>
        </is>
      </c>
      <c r="J226" s="628" t="n"/>
      <c r="K226" s="628" t="n"/>
    </row>
    <row r="227">
      <c r="A227" s="625" t="n"/>
      <c r="B227" s="625" t="n"/>
      <c r="C227" s="625" t="n"/>
      <c r="D227" s="625" t="n"/>
      <c r="E227" s="625" t="n"/>
      <c r="F227" s="625" t="n"/>
      <c r="G227" s="625" t="n"/>
      <c r="H227" s="629" t="n">
        <v>46332</v>
      </c>
      <c r="I227" s="628" t="inlineStr">
        <is>
          <t>Herfstvakantie</t>
        </is>
      </c>
      <c r="J227" s="628" t="n"/>
      <c r="K227" s="628" t="n"/>
    </row>
    <row r="228">
      <c r="H228" s="629" t="n">
        <v>46333</v>
      </c>
      <c r="I228" s="628" t="inlineStr">
        <is>
          <t>Herfstvakantie</t>
        </is>
      </c>
      <c r="J228" s="628" t="n"/>
      <c r="K228" s="628" t="n"/>
    </row>
    <row r="229">
      <c r="H229" s="629" t="n">
        <v>46334</v>
      </c>
      <c r="I229" s="628" t="inlineStr">
        <is>
          <t>Herfstvakantie</t>
        </is>
      </c>
      <c r="J229" s="628" t="n"/>
      <c r="K229" s="628" t="n"/>
    </row>
    <row r="230">
      <c r="H230" s="629" t="n">
        <v>46337</v>
      </c>
      <c r="I230" s="628" t="inlineStr">
        <is>
          <t>Wapenstilstand (FD)</t>
        </is>
      </c>
      <c r="J230" s="628" t="n"/>
      <c r="K230" s="628" t="n"/>
    </row>
    <row r="231">
      <c r="H231" s="626" t="n">
        <v>46362</v>
      </c>
      <c r="I231" s="627" t="inlineStr">
        <is>
          <t>Sinterklaas</t>
        </is>
      </c>
      <c r="J231" s="628" t="n"/>
      <c r="K231" s="628" t="n"/>
    </row>
    <row r="232">
      <c r="H232" s="629" t="n">
        <v>46377</v>
      </c>
      <c r="I232" s="628" t="inlineStr">
        <is>
          <t>Kerstvakantie</t>
        </is>
      </c>
      <c r="J232" s="628" t="n"/>
      <c r="K232" s="628" t="n"/>
    </row>
    <row r="233">
      <c r="H233" s="629" t="n">
        <v>46378</v>
      </c>
      <c r="I233" s="628" t="inlineStr">
        <is>
          <t>Kerstvakantie</t>
        </is>
      </c>
      <c r="J233" s="628" t="n"/>
      <c r="K233" s="628" t="n"/>
    </row>
    <row r="234">
      <c r="H234" s="629" t="n">
        <v>46379</v>
      </c>
      <c r="I234" s="628" t="inlineStr">
        <is>
          <t>Kerstvakantie</t>
        </is>
      </c>
    </row>
    <row r="235">
      <c r="H235" s="626" t="n">
        <v>46380</v>
      </c>
      <c r="I235" s="627" t="inlineStr">
        <is>
          <t>Kerstavond</t>
        </is>
      </c>
      <c r="J235" s="628" t="n"/>
      <c r="K235" s="628" t="n"/>
    </row>
    <row r="236">
      <c r="H236" s="629" t="n">
        <v>46381</v>
      </c>
      <c r="I236" s="628" t="inlineStr">
        <is>
          <t>Eerste Kerstdag (FD)</t>
        </is>
      </c>
      <c r="J236" s="628" t="n"/>
      <c r="K236" s="628" t="n"/>
    </row>
    <row r="237">
      <c r="H237" s="629" t="n">
        <v>46382</v>
      </c>
      <c r="I237" s="628" t="inlineStr">
        <is>
          <t>Kerstvakantie</t>
        </is>
      </c>
      <c r="J237" s="628" t="n"/>
      <c r="K237" s="628" t="n"/>
    </row>
    <row r="238">
      <c r="H238" s="629" t="n">
        <v>46383</v>
      </c>
      <c r="I238" s="628" t="inlineStr">
        <is>
          <t>Kerstvakantie</t>
        </is>
      </c>
      <c r="J238" s="628" t="n"/>
      <c r="K238" s="628" t="n"/>
    </row>
    <row r="239">
      <c r="H239" s="629" t="n">
        <v>46384</v>
      </c>
      <c r="I239" s="628" t="inlineStr">
        <is>
          <t>Kerstvakantie</t>
        </is>
      </c>
      <c r="J239" s="628" t="n"/>
      <c r="K239" s="628" t="n"/>
    </row>
    <row r="240">
      <c r="H240" s="629" t="n">
        <v>46385</v>
      </c>
      <c r="I240" s="628" t="inlineStr">
        <is>
          <t>Kerstvakantie</t>
        </is>
      </c>
      <c r="J240" s="628" t="n"/>
      <c r="K240" s="628" t="n"/>
    </row>
    <row r="241">
      <c r="H241" s="629" t="n">
        <v>46386</v>
      </c>
      <c r="I241" s="628" t="inlineStr">
        <is>
          <t>Kerstvakantie</t>
        </is>
      </c>
      <c r="J241" s="628" t="n"/>
      <c r="K241" s="628" t="n"/>
    </row>
    <row r="242">
      <c r="H242" s="626" t="n">
        <v>46387</v>
      </c>
      <c r="I242" s="627" t="inlineStr">
        <is>
          <t>Oudjaarsdag</t>
        </is>
      </c>
      <c r="J242" s="628" t="n"/>
      <c r="K242" s="628" t="n"/>
    </row>
    <row r="243">
      <c r="H243" s="629" t="n">
        <v>46388</v>
      </c>
      <c r="I243" s="628" t="inlineStr">
        <is>
          <t>Nieuwjaar (FD)</t>
        </is>
      </c>
      <c r="J243" s="628" t="n"/>
      <c r="K243" s="628" t="n"/>
    </row>
    <row r="244">
      <c r="H244" s="629" t="n">
        <v>46389</v>
      </c>
      <c r="I244" s="628" t="inlineStr">
        <is>
          <t>Kerstvakantie</t>
        </is>
      </c>
      <c r="J244" s="628" t="n"/>
      <c r="K244" s="628" t="n"/>
    </row>
    <row r="245">
      <c r="H245" s="629" t="n">
        <v>46390</v>
      </c>
      <c r="I245" s="628" t="inlineStr">
        <is>
          <t>Kerstvakantie</t>
        </is>
      </c>
      <c r="J245" s="628" t="n"/>
      <c r="K245" s="628" t="n"/>
    </row>
    <row r="246">
      <c r="H246" s="626" t="n">
        <v>46393</v>
      </c>
      <c r="I246" s="627" t="inlineStr">
        <is>
          <t>Driekoningen</t>
        </is>
      </c>
      <c r="J246" s="628" t="n"/>
      <c r="K246" s="628" t="n"/>
    </row>
    <row r="247">
      <c r="H247" s="626" t="n">
        <v>46426</v>
      </c>
      <c r="I247" s="627" t="inlineStr">
        <is>
          <t>Krokusvakantie</t>
        </is>
      </c>
      <c r="J247" s="628" t="n"/>
      <c r="K247" s="628" t="n"/>
    </row>
    <row r="248">
      <c r="H248" s="626" t="n">
        <v>46427</v>
      </c>
      <c r="I248" s="627" t="inlineStr">
        <is>
          <t>Krokusvakantie</t>
        </is>
      </c>
      <c r="J248" s="628" t="n"/>
      <c r="K248" s="628" t="n"/>
    </row>
    <row r="249">
      <c r="H249" s="626" t="n">
        <v>46428</v>
      </c>
      <c r="I249" s="627" t="inlineStr">
        <is>
          <t>Krokusvakantie</t>
        </is>
      </c>
      <c r="J249" s="628" t="n"/>
      <c r="K249" s="628" t="n"/>
    </row>
    <row r="250">
      <c r="H250" s="626" t="n">
        <v>46429</v>
      </c>
      <c r="I250" s="627" t="inlineStr">
        <is>
          <t>Krokusvakantie</t>
        </is>
      </c>
      <c r="J250" s="628" t="n"/>
      <c r="K250" s="628" t="n"/>
    </row>
    <row r="251">
      <c r="H251" s="626" t="n">
        <v>46430</v>
      </c>
      <c r="I251" s="627" t="inlineStr">
        <is>
          <t>Krokusvakantie</t>
        </is>
      </c>
      <c r="K251" s="628" t="n"/>
    </row>
    <row r="252">
      <c r="H252" s="626" t="n">
        <v>46431</v>
      </c>
      <c r="I252" s="627" t="inlineStr">
        <is>
          <t>Krokusvakantie</t>
        </is>
      </c>
    </row>
    <row r="253">
      <c r="H253" s="626" t="n">
        <v>46432</v>
      </c>
      <c r="I253" s="627" t="inlineStr">
        <is>
          <t>Valentijnsdag</t>
        </is>
      </c>
    </row>
    <row r="254">
      <c r="H254" s="626" t="n">
        <v>46474</v>
      </c>
      <c r="I254" s="627" t="inlineStr">
        <is>
          <t>Zomertijd</t>
        </is>
      </c>
    </row>
    <row r="255">
      <c r="H255" s="626" t="n">
        <v>46475</v>
      </c>
      <c r="I255" s="627" t="inlineStr">
        <is>
          <t>Paasmaandag (FD)</t>
        </is>
      </c>
    </row>
    <row r="256">
      <c r="H256" s="626" t="n">
        <v>46476</v>
      </c>
      <c r="I256" s="627" t="inlineStr">
        <is>
          <t>Paasvakantie</t>
        </is>
      </c>
      <c r="J256" s="628" t="n"/>
      <c r="K256" s="628" t="n"/>
    </row>
    <row r="257">
      <c r="H257" s="626" t="n">
        <v>46477</v>
      </c>
      <c r="I257" s="627" t="inlineStr">
        <is>
          <t>Paasvakantie</t>
        </is>
      </c>
      <c r="J257" s="628" t="n"/>
      <c r="K257" s="628" t="n"/>
    </row>
    <row r="258">
      <c r="H258" s="626" t="n">
        <v>46478</v>
      </c>
      <c r="I258" s="627" t="inlineStr">
        <is>
          <t>Paasvakantie</t>
        </is>
      </c>
      <c r="J258" s="628" t="n"/>
      <c r="K258" s="628" t="n"/>
    </row>
    <row r="259">
      <c r="H259" s="626" t="n">
        <v>46479</v>
      </c>
      <c r="I259" s="627" t="inlineStr">
        <is>
          <t>Paasvakantie</t>
        </is>
      </c>
      <c r="J259" s="628" t="n"/>
      <c r="K259" s="628" t="n"/>
    </row>
    <row r="260">
      <c r="H260" s="626" t="n">
        <v>46480</v>
      </c>
      <c r="I260" s="627" t="inlineStr">
        <is>
          <t>Paasvakantie</t>
        </is>
      </c>
      <c r="J260" s="628" t="n"/>
      <c r="K260" s="628" t="n"/>
    </row>
    <row r="261">
      <c r="H261" s="626" t="n">
        <v>46481</v>
      </c>
      <c r="I261" s="627" t="inlineStr">
        <is>
          <t>Paasvakantie</t>
        </is>
      </c>
    </row>
    <row r="262">
      <c r="H262" s="626" t="n">
        <v>46482</v>
      </c>
      <c r="I262" s="627" t="inlineStr">
        <is>
          <t>Paasvakantie</t>
        </is>
      </c>
    </row>
    <row r="263">
      <c r="H263" s="626" t="n">
        <v>46483</v>
      </c>
      <c r="I263" s="627" t="inlineStr">
        <is>
          <t>Paasvakantie</t>
        </is>
      </c>
    </row>
    <row r="264">
      <c r="H264" s="626" t="n">
        <v>46484</v>
      </c>
      <c r="I264" s="627" t="inlineStr">
        <is>
          <t>Paasvakantie</t>
        </is>
      </c>
      <c r="J264" s="628" t="n"/>
      <c r="K264" s="628" t="n"/>
    </row>
    <row r="265">
      <c r="H265" s="626" t="n">
        <v>46485</v>
      </c>
      <c r="I265" s="627" t="inlineStr">
        <is>
          <t>Paasvakantie</t>
        </is>
      </c>
    </row>
    <row r="266">
      <c r="H266" s="626" t="n">
        <v>46486</v>
      </c>
      <c r="I266" s="627" t="inlineStr">
        <is>
          <t>Paasvakantie</t>
        </is>
      </c>
    </row>
    <row r="267">
      <c r="H267" s="626" t="n">
        <v>46487</v>
      </c>
      <c r="I267" s="627" t="inlineStr">
        <is>
          <t>Paasvakantie</t>
        </is>
      </c>
    </row>
    <row r="268">
      <c r="H268" s="626" t="n">
        <v>46488</v>
      </c>
      <c r="I268" s="627" t="inlineStr">
        <is>
          <t>Paasvakantie</t>
        </is>
      </c>
      <c r="J268" s="628" t="n"/>
      <c r="K268" s="628" t="n"/>
    </row>
    <row r="269">
      <c r="H269" s="626" t="n">
        <v>46508</v>
      </c>
      <c r="I269" s="627" t="inlineStr">
        <is>
          <t>Dag van de Arbeid (FD)</t>
        </is>
      </c>
      <c r="J269" s="628" t="n"/>
      <c r="K269" s="628" t="n"/>
    </row>
    <row r="270">
      <c r="H270" s="626" t="n">
        <v>46513</v>
      </c>
      <c r="I270" s="627" t="inlineStr">
        <is>
          <t>Hemelvaart (FD)</t>
        </is>
      </c>
      <c r="J270" s="628" t="n"/>
      <c r="K270" s="628" t="n"/>
    </row>
    <row r="271">
      <c r="H271" s="626" t="n">
        <v>46516</v>
      </c>
      <c r="I271" s="627" t="inlineStr">
        <is>
          <t>Moederdag</t>
        </is>
      </c>
      <c r="J271" s="628" t="n"/>
      <c r="K271" s="628" t="n"/>
    </row>
    <row r="272">
      <c r="H272" s="629" t="n">
        <v>46524</v>
      </c>
      <c r="I272" s="628" t="inlineStr">
        <is>
          <t>Pinkstermaandag (FD)</t>
        </is>
      </c>
    </row>
    <row r="273">
      <c r="H273" s="626" t="n">
        <v>46551</v>
      </c>
      <c r="I273" s="627" t="inlineStr">
        <is>
          <t>Vaderdag</t>
        </is>
      </c>
    </row>
    <row r="274">
      <c r="H274" s="626" t="n">
        <v>46569</v>
      </c>
      <c r="I274" s="627" t="inlineStr">
        <is>
          <t>Zomervakantie</t>
        </is>
      </c>
      <c r="J274" s="628" t="n"/>
      <c r="K274" s="628" t="n"/>
    </row>
    <row r="275">
      <c r="H275" s="626" t="n">
        <v>46570</v>
      </c>
      <c r="I275" s="627" t="inlineStr">
        <is>
          <t>Zomervakantie</t>
        </is>
      </c>
      <c r="J275" s="628" t="n"/>
      <c r="K275" s="628" t="n"/>
    </row>
    <row r="276">
      <c r="H276" s="626" t="n">
        <v>46571</v>
      </c>
      <c r="I276" s="627" t="inlineStr">
        <is>
          <t>Zomervakantie</t>
        </is>
      </c>
      <c r="J276" s="628" t="n"/>
      <c r="K276" s="628" t="n"/>
    </row>
    <row r="277">
      <c r="H277" s="626" t="n">
        <v>46572</v>
      </c>
      <c r="I277" s="627" t="inlineStr">
        <is>
          <t>Zomervakantie</t>
        </is>
      </c>
      <c r="J277" s="628" t="n"/>
      <c r="K277" s="628" t="n"/>
    </row>
    <row r="278">
      <c r="H278" s="626" t="n">
        <v>46573</v>
      </c>
      <c r="I278" s="627" t="inlineStr">
        <is>
          <t>Zomervakantie</t>
        </is>
      </c>
    </row>
    <row r="279">
      <c r="H279" s="626" t="n">
        <v>46574</v>
      </c>
      <c r="I279" s="627" t="inlineStr">
        <is>
          <t>Zomervakantie</t>
        </is>
      </c>
      <c r="J279" s="628" t="n"/>
      <c r="K279" s="628" t="n"/>
    </row>
    <row r="280">
      <c r="H280" s="626" t="n">
        <v>46575</v>
      </c>
      <c r="I280" s="627" t="inlineStr">
        <is>
          <t>Zomervakantie</t>
        </is>
      </c>
      <c r="J280" s="628" t="n"/>
      <c r="K280" s="628" t="n"/>
    </row>
    <row r="281">
      <c r="H281" s="626" t="n">
        <v>46576</v>
      </c>
      <c r="I281" s="627" t="inlineStr">
        <is>
          <t>Zomervakantie</t>
        </is>
      </c>
      <c r="J281" s="628" t="n"/>
      <c r="K281" s="628" t="n"/>
    </row>
    <row r="282">
      <c r="H282" s="626" t="n">
        <v>46577</v>
      </c>
      <c r="I282" s="627" t="inlineStr">
        <is>
          <t>Zomervakantie</t>
        </is>
      </c>
      <c r="J282" s="628" t="n"/>
      <c r="K282" s="628" t="n"/>
    </row>
    <row r="283">
      <c r="H283" s="626" t="n">
        <v>46578</v>
      </c>
      <c r="I283" s="627" t="inlineStr">
        <is>
          <t>Zomervakantie</t>
        </is>
      </c>
      <c r="J283" s="628" t="n"/>
      <c r="K283" s="628" t="n"/>
    </row>
    <row r="284">
      <c r="H284" s="626" t="n">
        <v>46579</v>
      </c>
      <c r="I284" s="627" t="inlineStr">
        <is>
          <t>Vlaamse feestdag</t>
        </is>
      </c>
      <c r="J284" s="628" t="n"/>
      <c r="K284" s="628" t="n"/>
    </row>
    <row r="285">
      <c r="H285" s="626" t="n">
        <v>46580</v>
      </c>
      <c r="I285" s="627" t="inlineStr">
        <is>
          <t>Zomervakantie</t>
        </is>
      </c>
      <c r="J285" s="628" t="n"/>
      <c r="K285" s="628" t="n"/>
    </row>
    <row r="286">
      <c r="H286" s="626" t="n">
        <v>46581</v>
      </c>
      <c r="I286" s="627" t="inlineStr">
        <is>
          <t>Zomervakantie</t>
        </is>
      </c>
      <c r="J286" s="628" t="n"/>
      <c r="K286" s="628" t="n"/>
    </row>
    <row r="287">
      <c r="H287" s="626" t="n">
        <v>46582</v>
      </c>
      <c r="I287" s="627" t="inlineStr">
        <is>
          <t>Zomervakantie</t>
        </is>
      </c>
      <c r="J287" s="628" t="n"/>
      <c r="K287" s="628" t="n"/>
    </row>
    <row r="288">
      <c r="H288" s="626" t="n">
        <v>46583</v>
      </c>
      <c r="I288" s="627" t="inlineStr">
        <is>
          <t>Zomervakantie</t>
        </is>
      </c>
      <c r="J288" s="628" t="n"/>
      <c r="K288" s="628" t="n"/>
    </row>
    <row r="289">
      <c r="H289" s="626" t="n">
        <v>46584</v>
      </c>
      <c r="I289" s="627" t="inlineStr">
        <is>
          <t>Zomervakantie</t>
        </is>
      </c>
      <c r="J289" s="628" t="n"/>
      <c r="K289" s="628" t="n"/>
    </row>
    <row r="290">
      <c r="H290" s="626" t="n">
        <v>46585</v>
      </c>
      <c r="I290" s="627" t="inlineStr">
        <is>
          <t>Zomervakantie</t>
        </is>
      </c>
      <c r="J290" s="628" t="n"/>
      <c r="K290" s="628" t="n"/>
    </row>
    <row r="291">
      <c r="H291" s="626" t="n">
        <v>46586</v>
      </c>
      <c r="I291" s="627" t="inlineStr">
        <is>
          <t>Zomervakantie</t>
        </is>
      </c>
      <c r="J291" s="628" t="n"/>
      <c r="K291" s="628" t="n"/>
    </row>
    <row r="292">
      <c r="H292" s="626" t="n">
        <v>46587</v>
      </c>
      <c r="I292" s="627" t="inlineStr">
        <is>
          <t>Zomervakantie</t>
        </is>
      </c>
      <c r="J292" s="628" t="n"/>
      <c r="K292" s="628" t="n"/>
    </row>
    <row r="293">
      <c r="H293" s="626" t="n">
        <v>46588</v>
      </c>
      <c r="I293" s="627" t="inlineStr">
        <is>
          <t>Zomervakantie</t>
        </is>
      </c>
      <c r="J293" s="628" t="n"/>
      <c r="K293" s="628" t="n"/>
    </row>
    <row r="294">
      <c r="H294" s="629" t="n">
        <v>46589</v>
      </c>
      <c r="I294" s="628" t="inlineStr">
        <is>
          <t>Nationale Feestdag (FD)</t>
        </is>
      </c>
    </row>
    <row r="295">
      <c r="H295" s="626" t="n">
        <v>46590</v>
      </c>
      <c r="I295" s="627" t="inlineStr">
        <is>
          <t>Zomervakantie</t>
        </is>
      </c>
    </row>
    <row r="296">
      <c r="H296" s="626" t="n">
        <v>46591</v>
      </c>
      <c r="I296" s="627" t="inlineStr">
        <is>
          <t>Zomervakantie</t>
        </is>
      </c>
    </row>
    <row r="297">
      <c r="H297" s="626" t="n">
        <v>46592</v>
      </c>
      <c r="I297" s="627" t="inlineStr">
        <is>
          <t>Zomervakantie</t>
        </is>
      </c>
      <c r="J297" s="628" t="n"/>
      <c r="K297" s="628" t="n"/>
    </row>
    <row r="298">
      <c r="H298" s="626" t="n">
        <v>46593</v>
      </c>
      <c r="I298" s="627" t="inlineStr">
        <is>
          <t>Zomervakantie</t>
        </is>
      </c>
      <c r="J298" s="628" t="n"/>
      <c r="K298" s="628" t="n"/>
    </row>
    <row r="299">
      <c r="H299" s="626" t="n">
        <v>46594</v>
      </c>
      <c r="I299" s="627" t="inlineStr">
        <is>
          <t>Zomervakantie</t>
        </is>
      </c>
      <c r="J299" s="628" t="n"/>
      <c r="K299" s="628" t="n"/>
    </row>
    <row r="300">
      <c r="H300" s="626" t="n">
        <v>46595</v>
      </c>
      <c r="I300" s="627" t="inlineStr">
        <is>
          <t>Zomervakantie</t>
        </is>
      </c>
      <c r="J300" s="628" t="n"/>
      <c r="K300" s="628" t="n"/>
    </row>
    <row r="301">
      <c r="H301" s="626" t="n">
        <v>46596</v>
      </c>
      <c r="I301" s="627" t="inlineStr">
        <is>
          <t>Zomervakantie</t>
        </is>
      </c>
      <c r="J301" s="628" t="n"/>
      <c r="K301" s="628" t="n"/>
    </row>
    <row r="302">
      <c r="H302" s="626" t="n">
        <v>46597</v>
      </c>
      <c r="I302" s="627" t="inlineStr">
        <is>
          <t>Zomervakantie</t>
        </is>
      </c>
      <c r="J302" s="628" t="n"/>
      <c r="K302" s="628" t="n"/>
    </row>
    <row r="303">
      <c r="H303" s="626" t="n">
        <v>46598</v>
      </c>
      <c r="I303" s="627" t="inlineStr">
        <is>
          <t>Zomervakantie</t>
        </is>
      </c>
      <c r="J303" s="628" t="n"/>
      <c r="K303" s="628" t="n"/>
    </row>
    <row r="304">
      <c r="H304" s="626" t="n">
        <v>46599</v>
      </c>
      <c r="I304" s="627" t="inlineStr">
        <is>
          <t>Zomervakantie</t>
        </is>
      </c>
      <c r="J304" s="628" t="n"/>
      <c r="K304" s="628" t="n"/>
    </row>
    <row r="305">
      <c r="H305" s="626" t="n">
        <v>46600</v>
      </c>
      <c r="I305" s="627" t="inlineStr">
        <is>
          <t>Zomervakantie</t>
        </is>
      </c>
      <c r="J305" s="628" t="n"/>
      <c r="K305" s="628" t="n"/>
    </row>
    <row r="306">
      <c r="H306" s="626" t="n">
        <v>46601</v>
      </c>
      <c r="I306" s="627" t="inlineStr">
        <is>
          <t>Zomervakantie</t>
        </is>
      </c>
      <c r="J306" s="628" t="n"/>
      <c r="K306" s="628" t="n"/>
    </row>
    <row r="307">
      <c r="H307" s="626" t="n">
        <v>46602</v>
      </c>
      <c r="I307" s="627" t="inlineStr">
        <is>
          <t>Zomervakantie</t>
        </is>
      </c>
      <c r="J307" s="628" t="n"/>
      <c r="K307" s="628" t="n"/>
    </row>
    <row r="308">
      <c r="H308" s="626" t="n">
        <v>46603</v>
      </c>
      <c r="I308" s="627" t="inlineStr">
        <is>
          <t>Zomervakantie</t>
        </is>
      </c>
      <c r="J308" s="628" t="n"/>
      <c r="K308" s="628" t="n"/>
    </row>
    <row r="309">
      <c r="H309" s="626" t="n">
        <v>46604</v>
      </c>
      <c r="I309" s="627" t="inlineStr">
        <is>
          <t>Zomervakantie</t>
        </is>
      </c>
      <c r="K309" s="628" t="n"/>
    </row>
    <row r="310">
      <c r="H310" s="626" t="n">
        <v>46605</v>
      </c>
      <c r="I310" s="627" t="inlineStr">
        <is>
          <t>Zomervakantie</t>
        </is>
      </c>
      <c r="K310" s="628" t="n"/>
    </row>
    <row r="311">
      <c r="H311" s="626" t="n">
        <v>46606</v>
      </c>
      <c r="I311" s="627" t="inlineStr">
        <is>
          <t>Zomervakantie</t>
        </is>
      </c>
    </row>
    <row r="312">
      <c r="H312" s="626" t="n">
        <v>46607</v>
      </c>
      <c r="I312" s="627" t="inlineStr">
        <is>
          <t>Zomervakantie</t>
        </is>
      </c>
    </row>
    <row r="313">
      <c r="H313" s="626" t="n">
        <v>46608</v>
      </c>
      <c r="I313" s="627" t="inlineStr">
        <is>
          <t>Zomervakantie</t>
        </is>
      </c>
    </row>
    <row r="314">
      <c r="H314" s="626" t="n">
        <v>46609</v>
      </c>
      <c r="I314" s="627" t="inlineStr">
        <is>
          <t>Zomervakantie</t>
        </is>
      </c>
      <c r="K314" s="628" t="n"/>
    </row>
    <row r="315">
      <c r="H315" s="626" t="n">
        <v>46610</v>
      </c>
      <c r="I315" s="627" t="inlineStr">
        <is>
          <t>Zomervakantie</t>
        </is>
      </c>
      <c r="J315" s="628" t="n"/>
      <c r="K315" s="628" t="n"/>
    </row>
    <row r="316">
      <c r="H316" s="626" t="n">
        <v>46611</v>
      </c>
      <c r="I316" s="627" t="inlineStr">
        <is>
          <t>Zomervakantie</t>
        </is>
      </c>
    </row>
    <row r="317">
      <c r="H317" s="626" t="n">
        <v>46612</v>
      </c>
      <c r="I317" s="627" t="inlineStr">
        <is>
          <t>Zomervakantie</t>
        </is>
      </c>
    </row>
    <row r="318">
      <c r="H318" s="626" t="n">
        <v>46613</v>
      </c>
      <c r="I318" s="627" t="inlineStr">
        <is>
          <t>Zomervakantie</t>
        </is>
      </c>
    </row>
    <row r="319">
      <c r="H319" s="629" t="n">
        <v>46614</v>
      </c>
      <c r="I319" s="628" t="inlineStr">
        <is>
          <t>O.L.V. Hemelvaart (FD)</t>
        </is>
      </c>
    </row>
    <row r="320">
      <c r="H320" s="626" t="n">
        <v>46615</v>
      </c>
      <c r="I320" s="627" t="inlineStr">
        <is>
          <t>Zomervakantie</t>
        </is>
      </c>
    </row>
    <row r="321">
      <c r="H321" s="626" t="n">
        <v>46616</v>
      </c>
      <c r="I321" s="627" t="inlineStr">
        <is>
          <t>Zomervakantie</t>
        </is>
      </c>
    </row>
    <row r="322">
      <c r="H322" s="626" t="n">
        <v>46617</v>
      </c>
      <c r="I322" s="627" t="inlineStr">
        <is>
          <t>Zomervakantie</t>
        </is>
      </c>
    </row>
    <row r="323">
      <c r="H323" s="626" t="n">
        <v>46618</v>
      </c>
      <c r="I323" s="627" t="inlineStr">
        <is>
          <t>Zomervakantie</t>
        </is>
      </c>
    </row>
    <row r="324">
      <c r="H324" s="626" t="n">
        <v>46619</v>
      </c>
      <c r="I324" s="627" t="inlineStr">
        <is>
          <t>Zomervakantie</t>
        </is>
      </c>
    </row>
    <row r="325">
      <c r="H325" s="626" t="n">
        <v>46620</v>
      </c>
      <c r="I325" s="627" t="inlineStr">
        <is>
          <t>Zomervakantie</t>
        </is>
      </c>
    </row>
    <row r="326">
      <c r="H326" s="626" t="n">
        <v>46621</v>
      </c>
      <c r="I326" s="627" t="inlineStr">
        <is>
          <t>Zomervakantie</t>
        </is>
      </c>
    </row>
    <row r="327">
      <c r="H327" s="626" t="n">
        <v>46622</v>
      </c>
      <c r="I327" s="627" t="inlineStr">
        <is>
          <t>Zomervakantie</t>
        </is>
      </c>
    </row>
    <row r="328">
      <c r="H328" s="626" t="n">
        <v>46623</v>
      </c>
      <c r="I328" s="627" t="inlineStr">
        <is>
          <t>Zomervakantie</t>
        </is>
      </c>
    </row>
    <row r="329">
      <c r="H329" s="626" t="n">
        <v>46624</v>
      </c>
      <c r="I329" s="627" t="inlineStr">
        <is>
          <t>Zomervakantie</t>
        </is>
      </c>
    </row>
    <row r="330">
      <c r="H330" s="626" t="n">
        <v>46625</v>
      </c>
      <c r="I330" s="627" t="inlineStr">
        <is>
          <t>Zomervakantie</t>
        </is>
      </c>
    </row>
    <row r="331">
      <c r="H331" s="626" t="n">
        <v>46626</v>
      </c>
      <c r="I331" s="627" t="inlineStr">
        <is>
          <t>Zomervakantie</t>
        </is>
      </c>
    </row>
    <row r="332">
      <c r="H332" s="626" t="n">
        <v>46627</v>
      </c>
      <c r="I332" s="627" t="inlineStr">
        <is>
          <t>Zomervakantie</t>
        </is>
      </c>
    </row>
    <row r="333">
      <c r="H333" s="626" t="n">
        <v>46628</v>
      </c>
      <c r="I333" s="627" t="inlineStr">
        <is>
          <t>Zomervakantie</t>
        </is>
      </c>
    </row>
    <row r="334">
      <c r="H334" s="626" t="n">
        <v>46629</v>
      </c>
      <c r="I334" s="627" t="inlineStr">
        <is>
          <t>Zomervakantie</t>
        </is>
      </c>
    </row>
    <row r="335">
      <c r="H335" s="626" t="n">
        <v>46630</v>
      </c>
      <c r="I335" s="627" t="inlineStr">
        <is>
          <t>Zomervakantie</t>
        </is>
      </c>
    </row>
    <row r="336">
      <c r="H336" s="626" t="n">
        <v>46691</v>
      </c>
      <c r="I336" s="627" t="inlineStr">
        <is>
          <t>Halloween + Wintertijd</t>
        </is>
      </c>
    </row>
    <row r="337">
      <c r="H337" s="629" t="n">
        <v>46692</v>
      </c>
      <c r="I337" s="628" t="inlineStr">
        <is>
          <t>Allerheiligen (FD)</t>
        </is>
      </c>
    </row>
    <row r="338">
      <c r="H338" s="626" t="n">
        <v>46693</v>
      </c>
      <c r="I338" s="627" t="inlineStr">
        <is>
          <t>Herfstvakantie</t>
        </is>
      </c>
    </row>
    <row r="339">
      <c r="H339" s="626" t="n">
        <v>46694</v>
      </c>
      <c r="I339" s="627" t="inlineStr">
        <is>
          <t>Herfstvakantie</t>
        </is>
      </c>
      <c r="K339" s="628" t="n"/>
    </row>
    <row r="340">
      <c r="H340" s="626" t="n">
        <v>46695</v>
      </c>
      <c r="I340" s="627" t="inlineStr">
        <is>
          <t>Herfstvakantie</t>
        </is>
      </c>
    </row>
    <row r="341">
      <c r="H341" s="626" t="n">
        <v>46696</v>
      </c>
      <c r="I341" s="627" t="inlineStr">
        <is>
          <t>Herfstvakantie</t>
        </is>
      </c>
    </row>
    <row r="342">
      <c r="H342" s="626" t="n">
        <v>46697</v>
      </c>
      <c r="I342" s="627" t="inlineStr">
        <is>
          <t>Herfstvakantie</t>
        </is>
      </c>
    </row>
    <row r="343">
      <c r="H343" s="626" t="n">
        <v>46698</v>
      </c>
      <c r="I343" s="627" t="inlineStr">
        <is>
          <t>Herfstvakantie</t>
        </is>
      </c>
    </row>
    <row r="344">
      <c r="H344" s="629" t="n">
        <v>46702</v>
      </c>
      <c r="I344" s="628" t="inlineStr">
        <is>
          <t>Wapenstilstand (FD)</t>
        </is>
      </c>
    </row>
    <row r="345">
      <c r="H345" s="626" t="n">
        <v>46727</v>
      </c>
      <c r="I345" s="627" t="inlineStr">
        <is>
          <t>Sinterklaas</t>
        </is>
      </c>
    </row>
    <row r="346">
      <c r="H346" s="626" t="n">
        <v>46745</v>
      </c>
      <c r="I346" s="627" t="inlineStr">
        <is>
          <t>Kerstavond</t>
        </is>
      </c>
    </row>
    <row r="347">
      <c r="H347" s="629" t="n">
        <v>46746</v>
      </c>
      <c r="I347" s="628" t="inlineStr">
        <is>
          <t>Eerste Kerstdag (FD)</t>
        </is>
      </c>
    </row>
    <row r="348">
      <c r="H348" s="626" t="n">
        <v>46748</v>
      </c>
      <c r="I348" s="627" t="inlineStr">
        <is>
          <t>Kerstvakantie</t>
        </is>
      </c>
    </row>
    <row r="349">
      <c r="H349" s="626" t="n">
        <v>46749</v>
      </c>
      <c r="I349" s="627" t="inlineStr">
        <is>
          <t>Kerstvakantie</t>
        </is>
      </c>
    </row>
    <row r="350">
      <c r="H350" s="626" t="n">
        <v>46750</v>
      </c>
      <c r="I350" s="627" t="inlineStr">
        <is>
          <t>Kerstvakantie</t>
        </is>
      </c>
    </row>
    <row r="351">
      <c r="H351" s="626" t="n">
        <v>46751</v>
      </c>
      <c r="I351" s="627" t="inlineStr">
        <is>
          <t>Kerstvakantie</t>
        </is>
      </c>
    </row>
    <row r="352">
      <c r="H352" s="626" t="n">
        <v>46752</v>
      </c>
      <c r="I352" s="627" t="inlineStr">
        <is>
          <t>Oudjaarsdag</t>
        </is>
      </c>
    </row>
    <row r="353">
      <c r="H353" s="629" t="n">
        <v>46753</v>
      </c>
      <c r="I353" s="628" t="inlineStr">
        <is>
          <t>Nieuwjaar (FD)</t>
        </is>
      </c>
    </row>
    <row r="354">
      <c r="H354" s="626" t="n">
        <v>46754</v>
      </c>
      <c r="I354" s="627" t="inlineStr">
        <is>
          <t>Kerstvakantie</t>
        </is>
      </c>
    </row>
    <row r="355">
      <c r="H355" s="626" t="n">
        <v>46755</v>
      </c>
      <c r="I355" s="627" t="inlineStr">
        <is>
          <t>Kerstvakantie</t>
        </is>
      </c>
    </row>
    <row r="356">
      <c r="H356" s="626" t="n">
        <v>46756</v>
      </c>
      <c r="I356" s="627" t="inlineStr">
        <is>
          <t>Kerstvakantie</t>
        </is>
      </c>
    </row>
    <row r="357">
      <c r="H357" s="626" t="n">
        <v>46757</v>
      </c>
      <c r="I357" s="627" t="inlineStr">
        <is>
          <t>Kerstvakantie</t>
        </is>
      </c>
    </row>
    <row r="358">
      <c r="H358" s="626" t="n">
        <v>46758</v>
      </c>
      <c r="I358" s="627" t="inlineStr">
        <is>
          <t>Driekoningen</t>
        </is>
      </c>
    </row>
    <row r="359">
      <c r="H359" s="626" t="n">
        <v>46759</v>
      </c>
      <c r="I359" s="627" t="inlineStr">
        <is>
          <t>Kerstvakantie</t>
        </is>
      </c>
    </row>
    <row r="360">
      <c r="H360" s="626" t="n">
        <v>46760</v>
      </c>
      <c r="I360" s="627" t="inlineStr">
        <is>
          <t>Kerstvakantie</t>
        </is>
      </c>
    </row>
    <row r="361">
      <c r="H361" s="626" t="n">
        <v>46761</v>
      </c>
      <c r="I361" s="627" t="inlineStr">
        <is>
          <t>Kerstvakantie</t>
        </is>
      </c>
    </row>
    <row r="362">
      <c r="H362" s="626" t="n">
        <v>46797</v>
      </c>
      <c r="I362" s="627" t="inlineStr">
        <is>
          <t>Valentijnsdag</t>
        </is>
      </c>
      <c r="K362" s="628" t="n"/>
    </row>
    <row r="363">
      <c r="H363" s="626" t="n">
        <v>46811</v>
      </c>
      <c r="I363" s="627" t="inlineStr">
        <is>
          <t>Krokusvakantie</t>
        </is>
      </c>
    </row>
    <row r="364">
      <c r="H364" s="626" t="n">
        <v>46812</v>
      </c>
      <c r="I364" s="627" t="inlineStr">
        <is>
          <t>Krokusvakantie</t>
        </is>
      </c>
    </row>
    <row r="365">
      <c r="H365" s="626" t="n">
        <v>46813</v>
      </c>
      <c r="I365" s="627" t="inlineStr">
        <is>
          <t>Krokusvakantie</t>
        </is>
      </c>
    </row>
    <row r="366">
      <c r="H366" s="626" t="n">
        <v>46814</v>
      </c>
      <c r="I366" s="627" t="inlineStr">
        <is>
          <t>Krokusvakantie</t>
        </is>
      </c>
    </row>
    <row r="367">
      <c r="H367" s="626" t="n">
        <v>46815</v>
      </c>
      <c r="I367" s="627" t="inlineStr">
        <is>
          <t>Krokusvakantie</t>
        </is>
      </c>
    </row>
    <row r="368">
      <c r="H368" s="626" t="n">
        <v>46816</v>
      </c>
      <c r="I368" s="627" t="inlineStr">
        <is>
          <t>Krokusvakantie</t>
        </is>
      </c>
    </row>
    <row r="369">
      <c r="H369" s="626" t="n">
        <v>46817</v>
      </c>
      <c r="I369" s="627" t="inlineStr">
        <is>
          <t>Krokusvakantie</t>
        </is>
      </c>
    </row>
    <row r="370">
      <c r="H370" s="626" t="n">
        <v>46838</v>
      </c>
      <c r="I370" s="627" t="inlineStr">
        <is>
          <t>Zomertijd</t>
        </is>
      </c>
    </row>
    <row r="371">
      <c r="H371" s="626" t="n">
        <v>46846</v>
      </c>
      <c r="I371" s="627" t="inlineStr">
        <is>
          <t>Paasvakantie</t>
        </is>
      </c>
    </row>
    <row r="372">
      <c r="H372" s="626" t="n">
        <v>46847</v>
      </c>
      <c r="I372" s="627" t="inlineStr">
        <is>
          <t>Paasvakantie</t>
        </is>
      </c>
    </row>
    <row r="373">
      <c r="H373" s="626" t="n">
        <v>46848</v>
      </c>
      <c r="I373" s="627" t="inlineStr">
        <is>
          <t>Paasvakantie</t>
        </is>
      </c>
    </row>
    <row r="374">
      <c r="H374" s="626" t="n">
        <v>46849</v>
      </c>
      <c r="I374" s="627" t="inlineStr">
        <is>
          <t>Paasvakantie</t>
        </is>
      </c>
    </row>
    <row r="375">
      <c r="H375" s="626" t="n">
        <v>46850</v>
      </c>
      <c r="I375" s="627" t="inlineStr">
        <is>
          <t>Paasvakantie</t>
        </is>
      </c>
    </row>
    <row r="376">
      <c r="H376" s="626" t="n">
        <v>46851</v>
      </c>
      <c r="I376" s="627" t="inlineStr">
        <is>
          <t>Paasvakantie</t>
        </is>
      </c>
    </row>
    <row r="377">
      <c r="H377" s="626" t="n">
        <v>46852</v>
      </c>
      <c r="I377" s="627" t="inlineStr">
        <is>
          <t>Paasvakantie</t>
        </is>
      </c>
    </row>
    <row r="378">
      <c r="H378" s="626" t="n">
        <v>46853</v>
      </c>
      <c r="I378" s="627" t="inlineStr">
        <is>
          <t>Paasvakantie</t>
        </is>
      </c>
    </row>
    <row r="379">
      <c r="H379" s="626" t="n">
        <v>46854</v>
      </c>
      <c r="I379" s="627" t="inlineStr">
        <is>
          <t>Paasvakantie</t>
        </is>
      </c>
    </row>
    <row r="380">
      <c r="H380" s="626" t="n">
        <v>46855</v>
      </c>
      <c r="I380" s="627" t="inlineStr">
        <is>
          <t>Paasvakantie</t>
        </is>
      </c>
    </row>
    <row r="381">
      <c r="H381" s="626" t="n">
        <v>46856</v>
      </c>
      <c r="I381" s="627" t="inlineStr">
        <is>
          <t>Paasvakantie</t>
        </is>
      </c>
    </row>
    <row r="382">
      <c r="H382" s="626" t="n">
        <v>46857</v>
      </c>
      <c r="I382" s="627" t="inlineStr">
        <is>
          <t>Paasvakantie</t>
        </is>
      </c>
    </row>
    <row r="383">
      <c r="H383" s="626" t="n">
        <v>46858</v>
      </c>
      <c r="I383" s="627" t="inlineStr">
        <is>
          <t>Paasvakantie</t>
        </is>
      </c>
    </row>
    <row r="384">
      <c r="H384" s="626" t="n">
        <v>46859</v>
      </c>
      <c r="I384" s="627" t="inlineStr">
        <is>
          <t>Paasvakantie</t>
        </is>
      </c>
    </row>
    <row r="385">
      <c r="H385" s="629" t="n">
        <v>46860</v>
      </c>
      <c r="I385" s="628" t="inlineStr">
        <is>
          <t>Paasmaandag (FD)</t>
        </is>
      </c>
    </row>
    <row r="386">
      <c r="H386" s="629" t="n">
        <v>46874</v>
      </c>
      <c r="I386" s="628" t="inlineStr">
        <is>
          <t>Dag van de Arbeid (FD)</t>
        </is>
      </c>
      <c r="J386" s="628" t="n"/>
      <c r="K386" s="628" t="n"/>
    </row>
    <row r="387">
      <c r="H387" s="626" t="n">
        <v>46887</v>
      </c>
      <c r="I387" s="627" t="inlineStr">
        <is>
          <t>Moederdag</t>
        </is>
      </c>
    </row>
    <row r="388">
      <c r="H388" s="629" t="n">
        <v>46898</v>
      </c>
      <c r="I388" s="628" t="inlineStr">
        <is>
          <t>Hemelvaart (FD)</t>
        </is>
      </c>
    </row>
    <row r="389">
      <c r="H389" s="629" t="n">
        <v>46909</v>
      </c>
      <c r="I389" s="628" t="inlineStr">
        <is>
          <t>Pinkstermaandag (FD)</t>
        </is>
      </c>
    </row>
    <row r="390">
      <c r="H390" s="626" t="n">
        <v>46915</v>
      </c>
      <c r="I390" s="627" t="inlineStr">
        <is>
          <t>Vaderdag</t>
        </is>
      </c>
    </row>
    <row r="391">
      <c r="H391" s="626" t="n">
        <v>46935</v>
      </c>
      <c r="I391" s="627" t="inlineStr">
        <is>
          <t>Zomervakantie</t>
        </is>
      </c>
    </row>
    <row r="392">
      <c r="H392" s="626" t="n">
        <v>46936</v>
      </c>
      <c r="I392" s="627" t="inlineStr">
        <is>
          <t>Zomervakantie</t>
        </is>
      </c>
    </row>
    <row r="393">
      <c r="H393" s="626" t="n">
        <v>46937</v>
      </c>
      <c r="I393" s="627" t="inlineStr">
        <is>
          <t>Zomervakantie</t>
        </is>
      </c>
    </row>
    <row r="394">
      <c r="H394" s="626" t="n">
        <v>46938</v>
      </c>
      <c r="I394" s="627" t="inlineStr">
        <is>
          <t>Zomervakantie</t>
        </is>
      </c>
    </row>
    <row r="395">
      <c r="H395" s="626" t="n">
        <v>46939</v>
      </c>
      <c r="I395" s="627" t="inlineStr">
        <is>
          <t>Zomervakantie</t>
        </is>
      </c>
      <c r="K395" s="628" t="n"/>
    </row>
    <row r="396">
      <c r="H396" s="626" t="n">
        <v>46940</v>
      </c>
      <c r="I396" s="627" t="inlineStr">
        <is>
          <t>Zomervakantie</t>
        </is>
      </c>
    </row>
    <row r="397">
      <c r="H397" s="626" t="n">
        <v>46941</v>
      </c>
      <c r="I397" s="627" t="inlineStr">
        <is>
          <t>Zomervakantie</t>
        </is>
      </c>
    </row>
    <row r="398">
      <c r="H398" s="626" t="n">
        <v>46942</v>
      </c>
      <c r="I398" s="627" t="inlineStr">
        <is>
          <t>Zomervakantie</t>
        </is>
      </c>
    </row>
    <row r="399">
      <c r="H399" s="626" t="n">
        <v>46943</v>
      </c>
      <c r="I399" s="627" t="inlineStr">
        <is>
          <t>Zomervakantie</t>
        </is>
      </c>
    </row>
    <row r="400">
      <c r="H400" s="626" t="n">
        <v>46944</v>
      </c>
      <c r="I400" s="627" t="inlineStr">
        <is>
          <t>Zomervakantie</t>
        </is>
      </c>
      <c r="J400" s="628" t="n"/>
      <c r="K400" s="628" t="n"/>
    </row>
    <row r="401">
      <c r="H401" s="626" t="n">
        <v>46945</v>
      </c>
      <c r="I401" s="627" t="inlineStr">
        <is>
          <t>Vlaamse feestdag</t>
        </is>
      </c>
      <c r="J401" s="628" t="n"/>
      <c r="K401" s="628" t="n"/>
    </row>
    <row r="402">
      <c r="H402" s="626" t="n">
        <v>46946</v>
      </c>
      <c r="I402" s="627" t="inlineStr">
        <is>
          <t>Zomervakantie</t>
        </is>
      </c>
      <c r="J402" s="628" t="n"/>
      <c r="K402" s="628" t="n"/>
    </row>
    <row r="403">
      <c r="H403" s="626" t="n">
        <v>46947</v>
      </c>
      <c r="I403" s="627" t="inlineStr">
        <is>
          <t>Zomervakantie</t>
        </is>
      </c>
      <c r="K403" s="628" t="n"/>
    </row>
    <row r="404">
      <c r="H404" s="626" t="n">
        <v>46948</v>
      </c>
      <c r="I404" s="627" t="inlineStr">
        <is>
          <t>Zomervakantie</t>
        </is>
      </c>
      <c r="K404" s="628" t="n"/>
    </row>
    <row r="405">
      <c r="H405" s="626" t="n">
        <v>46949</v>
      </c>
      <c r="I405" s="627" t="inlineStr">
        <is>
          <t>Zomervakantie</t>
        </is>
      </c>
      <c r="J405" s="628" t="n"/>
      <c r="K405" s="628" t="n"/>
    </row>
    <row r="406">
      <c r="H406" s="626" t="n">
        <v>46950</v>
      </c>
      <c r="I406" s="627" t="inlineStr">
        <is>
          <t>Zomervakantie</t>
        </is>
      </c>
      <c r="J406" s="628" t="n"/>
      <c r="K406" s="628" t="n"/>
    </row>
    <row r="407">
      <c r="H407" s="626" t="n">
        <v>46951</v>
      </c>
      <c r="I407" s="627" t="inlineStr">
        <is>
          <t>Zomervakantie</t>
        </is>
      </c>
    </row>
    <row r="408">
      <c r="H408" s="626" t="n">
        <v>46952</v>
      </c>
      <c r="I408" s="627" t="inlineStr">
        <is>
          <t>Zomervakantie</t>
        </is>
      </c>
    </row>
    <row r="409">
      <c r="H409" s="626" t="n">
        <v>46953</v>
      </c>
      <c r="I409" s="627" t="inlineStr">
        <is>
          <t>Zomervakantie</t>
        </is>
      </c>
    </row>
    <row r="410">
      <c r="H410" s="626" t="n">
        <v>46954</v>
      </c>
      <c r="I410" s="627" t="inlineStr">
        <is>
          <t>Zomervakantie</t>
        </is>
      </c>
    </row>
    <row r="411">
      <c r="H411" s="629" t="n">
        <v>46955</v>
      </c>
      <c r="I411" s="628" t="inlineStr">
        <is>
          <t>Nationale Feestdag (FD)</t>
        </is>
      </c>
    </row>
    <row r="412">
      <c r="H412" s="626" t="n">
        <v>46956</v>
      </c>
      <c r="I412" s="627" t="inlineStr">
        <is>
          <t>Zomervakantie</t>
        </is>
      </c>
    </row>
    <row r="413">
      <c r="H413" s="626" t="n">
        <v>46957</v>
      </c>
      <c r="I413" s="627" t="inlineStr">
        <is>
          <t>Zomervakantie</t>
        </is>
      </c>
    </row>
    <row r="414">
      <c r="H414" s="626" t="n">
        <v>46958</v>
      </c>
      <c r="I414" s="627" t="inlineStr">
        <is>
          <t>Zomervakantie</t>
        </is>
      </c>
    </row>
    <row r="415">
      <c r="H415" s="626" t="n">
        <v>46959</v>
      </c>
      <c r="I415" s="627" t="inlineStr">
        <is>
          <t>Zomervakantie</t>
        </is>
      </c>
    </row>
    <row r="416">
      <c r="H416" s="626" t="n">
        <v>46960</v>
      </c>
      <c r="I416" s="627" t="inlineStr">
        <is>
          <t>Zomervakantie</t>
        </is>
      </c>
    </row>
    <row r="417">
      <c r="H417" s="626" t="n">
        <v>46961</v>
      </c>
      <c r="I417" s="627" t="inlineStr">
        <is>
          <t>Zomervakantie</t>
        </is>
      </c>
    </row>
    <row r="418">
      <c r="H418" s="626" t="n">
        <v>46962</v>
      </c>
      <c r="I418" s="627" t="inlineStr">
        <is>
          <t>Zomervakantie</t>
        </is>
      </c>
    </row>
    <row r="419">
      <c r="H419" s="626" t="n">
        <v>46963</v>
      </c>
      <c r="I419" s="627" t="inlineStr">
        <is>
          <t>Zomervakantie</t>
        </is>
      </c>
    </row>
    <row r="420">
      <c r="H420" s="626" t="n">
        <v>46964</v>
      </c>
      <c r="I420" s="627" t="inlineStr">
        <is>
          <t>Zomervakantie</t>
        </is>
      </c>
    </row>
    <row r="421">
      <c r="H421" s="626" t="n">
        <v>46965</v>
      </c>
      <c r="I421" s="627" t="inlineStr">
        <is>
          <t>Zomervakantie</t>
        </is>
      </c>
    </row>
    <row r="422">
      <c r="H422" s="626" t="n">
        <v>46966</v>
      </c>
      <c r="I422" s="627" t="inlineStr">
        <is>
          <t>Zomervakantie</t>
        </is>
      </c>
    </row>
    <row r="423">
      <c r="H423" s="626" t="n">
        <v>46967</v>
      </c>
      <c r="I423" s="627" t="inlineStr">
        <is>
          <t>Zomervakantie</t>
        </is>
      </c>
    </row>
    <row r="424">
      <c r="H424" s="626" t="n">
        <v>46968</v>
      </c>
      <c r="I424" s="627" t="inlineStr">
        <is>
          <t>Zomervakantie</t>
        </is>
      </c>
    </row>
    <row r="425">
      <c r="H425" s="626" t="n">
        <v>46969</v>
      </c>
      <c r="I425" s="627" t="inlineStr">
        <is>
          <t>Zomervakantie</t>
        </is>
      </c>
    </row>
    <row r="426">
      <c r="H426" s="626" t="n">
        <v>46970</v>
      </c>
      <c r="I426" s="627" t="inlineStr">
        <is>
          <t>Zomervakantie</t>
        </is>
      </c>
    </row>
    <row r="427">
      <c r="H427" s="626" t="n">
        <v>46971</v>
      </c>
      <c r="I427" s="627" t="inlineStr">
        <is>
          <t>Zomervakantie</t>
        </is>
      </c>
    </row>
    <row r="428">
      <c r="H428" s="626" t="n">
        <v>46972</v>
      </c>
      <c r="I428" s="627" t="inlineStr">
        <is>
          <t>Zomervakantie</t>
        </is>
      </c>
    </row>
    <row r="429">
      <c r="H429" s="626" t="n">
        <v>46973</v>
      </c>
      <c r="I429" s="627" t="inlineStr">
        <is>
          <t>Zomervakantie</t>
        </is>
      </c>
    </row>
    <row r="430">
      <c r="H430" s="626" t="n">
        <v>46974</v>
      </c>
      <c r="I430" s="627" t="inlineStr">
        <is>
          <t>Zomervakantie</t>
        </is>
      </c>
    </row>
    <row r="431">
      <c r="H431" s="626" t="n">
        <v>46975</v>
      </c>
      <c r="I431" s="627" t="inlineStr">
        <is>
          <t>Zomervakantie</t>
        </is>
      </c>
    </row>
    <row r="432">
      <c r="H432" s="626" t="n">
        <v>46976</v>
      </c>
      <c r="I432" s="627" t="inlineStr">
        <is>
          <t>Zomervakantie</t>
        </is>
      </c>
    </row>
    <row r="433">
      <c r="H433" s="626" t="n">
        <v>46977</v>
      </c>
      <c r="I433" s="627" t="inlineStr">
        <is>
          <t>Zomervakantie</t>
        </is>
      </c>
    </row>
    <row r="434">
      <c r="H434" s="626" t="n">
        <v>46978</v>
      </c>
      <c r="I434" s="627" t="inlineStr">
        <is>
          <t>Zomervakantie</t>
        </is>
      </c>
    </row>
    <row r="435">
      <c r="H435" s="626" t="n">
        <v>46979</v>
      </c>
      <c r="I435" s="627" t="inlineStr">
        <is>
          <t>Zomervakantie</t>
        </is>
      </c>
    </row>
    <row r="436">
      <c r="H436" s="626" t="n">
        <v>46980</v>
      </c>
      <c r="I436" s="627" t="inlineStr">
        <is>
          <t>O.L.V. Hemelvaart (FD)</t>
        </is>
      </c>
    </row>
    <row r="437">
      <c r="H437" s="626" t="n">
        <v>46981</v>
      </c>
      <c r="I437" s="627" t="inlineStr">
        <is>
          <t>Zomervakantie</t>
        </is>
      </c>
    </row>
    <row r="438">
      <c r="H438" s="626" t="n">
        <v>46982</v>
      </c>
      <c r="I438" s="627" t="inlineStr">
        <is>
          <t>Zomervakantie</t>
        </is>
      </c>
    </row>
    <row r="439">
      <c r="H439" s="626" t="n">
        <v>46983</v>
      </c>
      <c r="I439" s="627" t="inlineStr">
        <is>
          <t>Zomervakantie</t>
        </is>
      </c>
    </row>
    <row r="440">
      <c r="H440" s="626" t="n">
        <v>46984</v>
      </c>
      <c r="I440" s="627" t="inlineStr">
        <is>
          <t>Zomervakantie</t>
        </is>
      </c>
    </row>
    <row r="441">
      <c r="H441" s="626" t="n">
        <v>46985</v>
      </c>
      <c r="I441" s="627" t="inlineStr">
        <is>
          <t>Zomervakantie</t>
        </is>
      </c>
    </row>
    <row r="442">
      <c r="H442" s="626" t="n">
        <v>46986</v>
      </c>
      <c r="I442" s="627" t="inlineStr">
        <is>
          <t>Zomervakantie</t>
        </is>
      </c>
    </row>
    <row r="443">
      <c r="H443" s="626" t="n">
        <v>46987</v>
      </c>
      <c r="I443" s="627" t="inlineStr">
        <is>
          <t>Zomervakantie</t>
        </is>
      </c>
    </row>
    <row r="444">
      <c r="H444" s="626" t="n">
        <v>46988</v>
      </c>
      <c r="I444" s="627" t="inlineStr">
        <is>
          <t>Zomervakantie</t>
        </is>
      </c>
    </row>
    <row r="445">
      <c r="H445" s="626" t="n">
        <v>46989</v>
      </c>
      <c r="I445" s="627" t="inlineStr">
        <is>
          <t>Zomervakantie</t>
        </is>
      </c>
    </row>
    <row r="446">
      <c r="H446" s="626" t="n">
        <v>46990</v>
      </c>
      <c r="I446" s="627" t="inlineStr">
        <is>
          <t>Zomervakantie</t>
        </is>
      </c>
    </row>
    <row r="447">
      <c r="H447" s="626" t="n">
        <v>46991</v>
      </c>
      <c r="I447" s="627" t="inlineStr">
        <is>
          <t>Zomervakantie</t>
        </is>
      </c>
    </row>
    <row r="448">
      <c r="H448" s="626" t="n">
        <v>46992</v>
      </c>
      <c r="I448" s="627" t="inlineStr">
        <is>
          <t>Zomervakantie</t>
        </is>
      </c>
    </row>
    <row r="449">
      <c r="H449" s="626" t="n">
        <v>46993</v>
      </c>
      <c r="I449" s="627" t="inlineStr">
        <is>
          <t>Zomervakantie</t>
        </is>
      </c>
    </row>
    <row r="450">
      <c r="H450" s="626" t="n">
        <v>46994</v>
      </c>
      <c r="I450" s="627" t="inlineStr">
        <is>
          <t>Zomervakantie</t>
        </is>
      </c>
    </row>
    <row r="451">
      <c r="H451" s="626" t="n">
        <v>46995</v>
      </c>
      <c r="I451" s="627" t="inlineStr">
        <is>
          <t>Zomervakantie</t>
        </is>
      </c>
    </row>
    <row r="452">
      <c r="H452" s="626" t="n">
        <v>46996</v>
      </c>
      <c r="I452" s="627" t="inlineStr">
        <is>
          <t>Zomervakantie</t>
        </is>
      </c>
    </row>
    <row r="453">
      <c r="H453" s="626" t="n">
        <v>47055</v>
      </c>
      <c r="I453" s="627" t="inlineStr">
        <is>
          <t>Wintertijd</t>
        </is>
      </c>
    </row>
    <row r="454">
      <c r="H454" s="626" t="n">
        <v>47056</v>
      </c>
      <c r="I454" s="627" t="inlineStr">
        <is>
          <t>Herfstvakantie</t>
        </is>
      </c>
    </row>
    <row r="455">
      <c r="H455" s="626" t="n">
        <v>47057</v>
      </c>
      <c r="I455" s="627" t="inlineStr">
        <is>
          <t>Halloween</t>
        </is>
      </c>
    </row>
    <row r="456">
      <c r="H456" s="626" t="n">
        <v>47058</v>
      </c>
      <c r="I456" s="627" t="inlineStr">
        <is>
          <t>Allerheiligen (FD)</t>
        </is>
      </c>
    </row>
    <row r="457">
      <c r="H457" s="626" t="n">
        <v>47059</v>
      </c>
      <c r="I457" s="627" t="inlineStr">
        <is>
          <t>Herfstvakantie</t>
        </is>
      </c>
    </row>
    <row r="458">
      <c r="H458" s="626" t="n">
        <v>47060</v>
      </c>
      <c r="I458" s="627" t="inlineStr">
        <is>
          <t>Herfstvakantie</t>
        </is>
      </c>
    </row>
    <row r="459">
      <c r="H459" s="626" t="n">
        <v>47061</v>
      </c>
      <c r="I459" s="627" t="inlineStr">
        <is>
          <t>Herfstvakantie</t>
        </is>
      </c>
    </row>
    <row r="460">
      <c r="H460" s="626" t="n">
        <v>47062</v>
      </c>
      <c r="I460" s="627" t="inlineStr">
        <is>
          <t>Herfstvakantie</t>
        </is>
      </c>
    </row>
    <row r="461">
      <c r="H461" s="626" t="n">
        <v>47068</v>
      </c>
      <c r="I461" s="627" t="inlineStr">
        <is>
          <t>Wapenstilstand (FD)</t>
        </is>
      </c>
    </row>
    <row r="462">
      <c r="H462" s="626" t="n">
        <v>47093</v>
      </c>
      <c r="I462" s="627" t="inlineStr">
        <is>
          <t>Sinterklaas</t>
        </is>
      </c>
    </row>
    <row r="463">
      <c r="H463" s="626" t="n">
        <v>47111</v>
      </c>
      <c r="I463" s="627" t="inlineStr">
        <is>
          <t>Kerstavond</t>
        </is>
      </c>
    </row>
    <row r="464">
      <c r="H464" s="626" t="n">
        <v>47112</v>
      </c>
      <c r="I464" s="627" t="inlineStr">
        <is>
          <t>Eerste Kerstdag (FD)</t>
        </is>
      </c>
    </row>
    <row r="465">
      <c r="H465" s="626" t="n">
        <v>47113</v>
      </c>
      <c r="I465" s="627" t="inlineStr">
        <is>
          <t>Kerstvakantie</t>
        </is>
      </c>
    </row>
    <row r="466">
      <c r="H466" s="626" t="n">
        <v>47114</v>
      </c>
      <c r="I466" s="627" t="inlineStr">
        <is>
          <t>Kerstvakantie</t>
        </is>
      </c>
    </row>
    <row r="467">
      <c r="H467" s="626" t="n">
        <v>47115</v>
      </c>
      <c r="I467" s="627" t="inlineStr">
        <is>
          <t>Kerstvakantie</t>
        </is>
      </c>
    </row>
    <row r="468">
      <c r="H468" s="626" t="n">
        <v>47116</v>
      </c>
      <c r="I468" s="627" t="inlineStr">
        <is>
          <t>Kerstvakantie</t>
        </is>
      </c>
    </row>
    <row r="469">
      <c r="H469" s="626" t="n">
        <v>47117</v>
      </c>
      <c r="I469" s="627" t="inlineStr">
        <is>
          <t>Kerstvakantie</t>
        </is>
      </c>
    </row>
    <row r="470">
      <c r="H470" s="626" t="n">
        <v>47118</v>
      </c>
      <c r="I470" s="627" t="inlineStr">
        <is>
          <t>Oudjaarsdag</t>
        </is>
      </c>
    </row>
    <row r="471">
      <c r="H471" s="626" t="n">
        <v>47120</v>
      </c>
      <c r="I471" s="627" t="inlineStr">
        <is>
          <t>Kerstvakantie</t>
        </is>
      </c>
    </row>
    <row r="472">
      <c r="H472" s="626" t="n">
        <v>47121</v>
      </c>
      <c r="I472" s="627" t="inlineStr">
        <is>
          <t>Kerstvakantie</t>
        </is>
      </c>
    </row>
    <row r="473">
      <c r="H473" s="626" t="n">
        <v>47122</v>
      </c>
      <c r="I473" s="627" t="inlineStr">
        <is>
          <t>Kerstvakantie</t>
        </is>
      </c>
    </row>
    <row r="474">
      <c r="H474" s="626" t="n">
        <v>47123</v>
      </c>
      <c r="I474" s="627" t="inlineStr">
        <is>
          <t>Kerstvakantie</t>
        </is>
      </c>
    </row>
    <row r="475">
      <c r="H475" s="626" t="n">
        <v>47124</v>
      </c>
      <c r="I475" s="627" t="inlineStr">
        <is>
          <t>Kerstvakantie</t>
        </is>
      </c>
    </row>
    <row r="476">
      <c r="H476" s="626" t="n">
        <v>47125</v>
      </c>
      <c r="I476" s="627" t="inlineStr">
        <is>
          <t>Kerstvakantie</t>
        </is>
      </c>
    </row>
    <row r="477">
      <c r="H477" s="629" t="n"/>
      <c r="I477" s="628" t="n"/>
    </row>
    <row r="478">
      <c r="H478" s="629" t="n"/>
    </row>
    <row r="479">
      <c r="H479" s="629" t="n"/>
      <c r="I479" s="628" t="n"/>
    </row>
    <row r="480">
      <c r="H480" s="629" t="n"/>
      <c r="I480" s="628" t="n"/>
    </row>
    <row r="481">
      <c r="H481" s="629" t="n"/>
      <c r="I481" s="628" t="n"/>
    </row>
    <row r="482">
      <c r="H482" s="629" t="n"/>
      <c r="I482" s="628" t="n"/>
    </row>
    <row r="483">
      <c r="H483" s="629" t="n"/>
      <c r="I483" s="628" t="n"/>
    </row>
    <row r="484">
      <c r="H484" s="629" t="n"/>
      <c r="I484" s="628" t="n"/>
    </row>
    <row r="485">
      <c r="H485" s="629" t="n"/>
      <c r="I485" s="628" t="n"/>
    </row>
    <row r="486">
      <c r="H486" s="629" t="n"/>
    </row>
    <row r="487">
      <c r="H487" s="629" t="n"/>
    </row>
    <row r="488">
      <c r="H488" s="629" t="n"/>
    </row>
    <row r="489">
      <c r="H489" s="629" t="n"/>
      <c r="I489" s="628" t="n"/>
    </row>
    <row r="490">
      <c r="H490" s="629" t="n"/>
      <c r="I490" s="628" t="n"/>
    </row>
    <row r="491">
      <c r="H491" s="629" t="n"/>
      <c r="I491" s="628" t="n"/>
    </row>
    <row r="492">
      <c r="H492" s="629" t="n"/>
      <c r="I492" s="628" t="n"/>
    </row>
    <row r="493">
      <c r="H493" s="629" t="n"/>
      <c r="I493" s="628" t="n"/>
    </row>
    <row r="494">
      <c r="H494" s="629" t="n"/>
      <c r="I494" s="628" t="n"/>
    </row>
    <row r="495">
      <c r="H495" s="629" t="n"/>
      <c r="I495" s="628" t="n"/>
    </row>
    <row r="496">
      <c r="H496" s="629" t="n"/>
      <c r="I496" s="628" t="n"/>
    </row>
    <row r="497">
      <c r="H497" s="629" t="n"/>
      <c r="I497" s="628" t="n"/>
    </row>
    <row r="498">
      <c r="H498" s="629" t="n"/>
      <c r="I498" s="628" t="n"/>
    </row>
    <row r="499">
      <c r="H499" s="629" t="n"/>
      <c r="I499" s="628" t="n"/>
    </row>
    <row r="500">
      <c r="H500" s="629" t="n"/>
      <c r="I500" s="628" t="n"/>
    </row>
    <row r="501">
      <c r="H501" s="629" t="n"/>
    </row>
    <row r="502">
      <c r="H502" s="629" t="n"/>
    </row>
    <row r="503">
      <c r="H503" s="629" t="n"/>
    </row>
    <row r="504">
      <c r="H504" s="629" t="n"/>
    </row>
    <row r="505">
      <c r="H505" s="629" t="n"/>
    </row>
    <row r="506">
      <c r="H506" s="629" t="n"/>
    </row>
    <row r="507">
      <c r="H507" s="629" t="n"/>
    </row>
    <row r="508">
      <c r="H508" s="629" t="n"/>
    </row>
    <row r="509">
      <c r="H509" s="629" t="n"/>
    </row>
    <row r="510">
      <c r="H510" s="629" t="n"/>
    </row>
    <row r="511">
      <c r="H511" s="629" t="n"/>
    </row>
    <row r="512">
      <c r="H512" s="629" t="n"/>
    </row>
    <row r="513">
      <c r="H513" s="629" t="n"/>
    </row>
    <row r="514">
      <c r="H514" s="629" t="n"/>
    </row>
    <row r="515">
      <c r="H515" s="629" t="n"/>
    </row>
    <row r="516">
      <c r="H516" s="629" t="n"/>
      <c r="I516" s="628" t="n"/>
    </row>
    <row r="517">
      <c r="H517" s="629" t="n"/>
    </row>
    <row r="518">
      <c r="H518" s="629" t="n"/>
    </row>
    <row r="519">
      <c r="H519" s="629" t="n"/>
    </row>
    <row r="520">
      <c r="H520" s="629" t="n"/>
    </row>
    <row r="521">
      <c r="H521" s="629" t="n"/>
    </row>
    <row r="522">
      <c r="H522" s="629" t="n"/>
    </row>
    <row r="523">
      <c r="H523" s="629" t="n"/>
    </row>
    <row r="524">
      <c r="H524" s="629" t="n"/>
    </row>
    <row r="525">
      <c r="H525" s="629" t="n"/>
    </row>
    <row r="526">
      <c r="H526" s="629" t="n"/>
    </row>
    <row r="527">
      <c r="H527" s="629" t="n"/>
    </row>
    <row r="528">
      <c r="H528" s="629" t="n"/>
    </row>
    <row r="529">
      <c r="H529" s="629" t="n"/>
    </row>
    <row r="530">
      <c r="H530" s="629" t="n"/>
      <c r="I530" s="628" t="n"/>
    </row>
    <row r="531">
      <c r="H531" s="629" t="n"/>
      <c r="I531" s="628" t="n"/>
    </row>
    <row r="532">
      <c r="H532" s="629" t="n"/>
      <c r="I532" s="628" t="n"/>
    </row>
    <row r="533">
      <c r="H533" s="629" t="n"/>
    </row>
    <row r="534">
      <c r="H534" s="629" t="n"/>
    </row>
    <row r="535">
      <c r="H535" s="629" t="n"/>
      <c r="I535" s="628" t="n"/>
    </row>
    <row r="536">
      <c r="H536" s="629" t="n"/>
      <c r="I536" s="628" t="n"/>
    </row>
    <row r="537">
      <c r="H537" s="629" t="n"/>
    </row>
    <row r="538">
      <c r="H538" s="629" t="n"/>
    </row>
    <row r="539">
      <c r="H539" s="629" t="n"/>
    </row>
    <row r="540">
      <c r="H540" s="629" t="n"/>
    </row>
    <row r="541">
      <c r="H541" s="629" t="n"/>
    </row>
    <row r="542">
      <c r="H542" s="629" t="n"/>
    </row>
    <row r="543">
      <c r="H543" s="629" t="n"/>
    </row>
    <row r="544">
      <c r="H544" s="629" t="n"/>
    </row>
    <row r="545">
      <c r="H545" s="629" t="n"/>
    </row>
    <row r="546">
      <c r="H546" s="629" t="n"/>
    </row>
    <row r="547">
      <c r="H547" s="629" t="n"/>
    </row>
    <row r="548">
      <c r="H548" s="629" t="n"/>
    </row>
    <row r="549">
      <c r="H549" s="629" t="n"/>
    </row>
    <row r="550">
      <c r="H550" s="629" t="n"/>
    </row>
    <row r="551">
      <c r="H551" s="629" t="n"/>
    </row>
    <row r="552">
      <c r="H552" s="629" t="n"/>
    </row>
    <row r="553">
      <c r="H553" s="629" t="n"/>
    </row>
    <row r="554">
      <c r="H554" s="629" t="n"/>
    </row>
    <row r="555">
      <c r="H555" s="629" t="n"/>
    </row>
    <row r="556">
      <c r="H556" s="629" t="n"/>
    </row>
    <row r="557">
      <c r="H557" s="629" t="n"/>
    </row>
    <row r="558">
      <c r="H558" s="629" t="n"/>
    </row>
    <row r="559">
      <c r="H559" s="629" t="n"/>
    </row>
    <row r="560">
      <c r="H560" s="629" t="n"/>
    </row>
    <row r="561">
      <c r="H561" s="629" t="n"/>
    </row>
    <row r="562">
      <c r="H562" s="629" t="n"/>
    </row>
    <row r="563">
      <c r="H563" s="629" t="n"/>
    </row>
    <row r="564">
      <c r="H564" s="629" t="n"/>
    </row>
    <row r="565">
      <c r="H565" s="629" t="n"/>
    </row>
    <row r="566">
      <c r="H566" s="629" t="n"/>
    </row>
    <row r="567">
      <c r="H567" s="629" t="n"/>
    </row>
    <row r="568">
      <c r="H568" s="629" t="n"/>
    </row>
    <row r="569">
      <c r="H569" s="629" t="n"/>
    </row>
    <row r="570">
      <c r="H570" s="629" t="n"/>
    </row>
    <row r="571">
      <c r="H571" s="629" t="n"/>
    </row>
    <row r="572">
      <c r="H572" s="629" t="n"/>
    </row>
    <row r="573">
      <c r="H573" s="629" t="n"/>
    </row>
    <row r="574">
      <c r="H574" s="629" t="n"/>
    </row>
    <row r="575">
      <c r="H575" s="629" t="n"/>
    </row>
    <row r="576">
      <c r="H576" s="629" t="n"/>
    </row>
    <row r="577">
      <c r="H577" s="629" t="n"/>
    </row>
    <row r="578">
      <c r="H578" s="629" t="n"/>
    </row>
    <row r="579">
      <c r="H579" s="629" t="n"/>
    </row>
    <row r="580">
      <c r="H580" s="629" t="n"/>
    </row>
    <row r="581">
      <c r="H581" s="629" t="n"/>
    </row>
    <row r="582">
      <c r="H582" s="629" t="n"/>
    </row>
    <row r="583">
      <c r="H583" s="629" t="n"/>
    </row>
    <row r="584">
      <c r="H584" s="629" t="n"/>
    </row>
    <row r="585">
      <c r="H585" s="629" t="n"/>
    </row>
    <row r="586">
      <c r="H586" s="629" t="n"/>
    </row>
    <row r="587">
      <c r="H587" s="629" t="n"/>
    </row>
    <row r="588">
      <c r="H588" s="629" t="n"/>
    </row>
    <row r="589">
      <c r="H589" s="629" t="n"/>
    </row>
    <row r="590">
      <c r="H590" s="629" t="n"/>
    </row>
    <row r="591">
      <c r="H591" s="629" t="n"/>
    </row>
    <row r="592">
      <c r="H592" s="629" t="n"/>
    </row>
    <row r="593">
      <c r="H593" s="629" t="n"/>
    </row>
    <row r="594">
      <c r="H594" s="629" t="n"/>
    </row>
    <row r="595">
      <c r="H595" s="629" t="n"/>
    </row>
    <row r="596">
      <c r="H596" s="629" t="n"/>
    </row>
    <row r="597">
      <c r="H597" s="629" t="n"/>
    </row>
    <row r="598">
      <c r="H598" s="629" t="n"/>
    </row>
    <row r="599">
      <c r="H599" s="629" t="n"/>
    </row>
    <row r="600">
      <c r="H600" s="629" t="n"/>
    </row>
    <row r="601">
      <c r="H601" s="629" t="n"/>
    </row>
    <row r="602">
      <c r="H602" s="629" t="n"/>
    </row>
    <row r="603">
      <c r="H603" s="629" t="n"/>
    </row>
    <row r="604">
      <c r="H604" s="629" t="n"/>
    </row>
    <row r="605">
      <c r="H605" s="629" t="n"/>
    </row>
    <row r="606">
      <c r="H606" s="629" t="n"/>
    </row>
    <row r="607">
      <c r="H607" s="629" t="n"/>
    </row>
    <row r="608">
      <c r="H608" s="629" t="n"/>
    </row>
    <row r="609">
      <c r="H609" s="629" t="n"/>
    </row>
    <row r="610">
      <c r="H610" s="629" t="n"/>
    </row>
    <row r="611">
      <c r="H611" s="629" t="n"/>
    </row>
    <row r="612">
      <c r="H612" s="629" t="n"/>
    </row>
    <row r="613">
      <c r="H613" s="629" t="n"/>
    </row>
    <row r="614">
      <c r="H614" s="629" t="n"/>
    </row>
    <row r="615">
      <c r="H615" s="629" t="n"/>
    </row>
    <row r="616">
      <c r="H616" s="629" t="n"/>
    </row>
    <row r="617">
      <c r="H617" s="629" t="n"/>
    </row>
    <row r="618">
      <c r="H618" s="629" t="n"/>
    </row>
    <row r="619">
      <c r="H619" s="629" t="n"/>
    </row>
    <row r="620">
      <c r="H620" s="629" t="n"/>
    </row>
    <row r="621">
      <c r="H621" s="629" t="n"/>
    </row>
    <row r="622">
      <c r="H622" s="629" t="n"/>
    </row>
    <row r="623">
      <c r="H623" s="629" t="n"/>
    </row>
    <row r="624">
      <c r="H624" s="629" t="n"/>
    </row>
    <row r="625">
      <c r="H625" s="629" t="n"/>
    </row>
    <row r="626">
      <c r="H626" s="629" t="n"/>
    </row>
    <row r="627">
      <c r="H627" s="629" t="n"/>
    </row>
    <row r="628">
      <c r="H628" s="629" t="n"/>
    </row>
    <row r="629">
      <c r="H629" s="629" t="n"/>
    </row>
    <row r="630">
      <c r="H630" s="629" t="n"/>
    </row>
    <row r="631">
      <c r="H631" s="629" t="n"/>
    </row>
    <row r="632">
      <c r="H632" s="629" t="n"/>
    </row>
    <row r="633">
      <c r="H633" s="629" t="n"/>
    </row>
    <row r="634">
      <c r="H634" s="629" t="n"/>
    </row>
    <row r="635">
      <c r="H635" s="629" t="n"/>
    </row>
    <row r="636">
      <c r="H636" s="629" t="n"/>
    </row>
    <row r="637">
      <c r="H637" s="629" t="n"/>
    </row>
    <row r="638">
      <c r="H638" s="629" t="n"/>
    </row>
    <row r="639">
      <c r="H639" s="629" t="n"/>
    </row>
    <row r="640">
      <c r="H640" s="629" t="n"/>
    </row>
    <row r="641">
      <c r="H641" s="629" t="n"/>
    </row>
    <row r="642">
      <c r="H642" s="629" t="n"/>
    </row>
    <row r="643">
      <c r="H643" s="629" t="n"/>
    </row>
    <row r="644">
      <c r="H644" s="629" t="n"/>
    </row>
    <row r="645">
      <c r="H645" s="629" t="n"/>
    </row>
    <row r="646">
      <c r="H646" s="629" t="n"/>
    </row>
    <row r="647">
      <c r="H647" s="629" t="n"/>
    </row>
    <row r="648">
      <c r="H648" s="629" t="n"/>
    </row>
    <row r="649">
      <c r="H649" s="629" t="n"/>
    </row>
    <row r="650">
      <c r="H650" s="629" t="n"/>
    </row>
    <row r="651">
      <c r="H651" s="629" t="n"/>
    </row>
    <row r="652">
      <c r="H652" s="629" t="n"/>
    </row>
    <row r="653">
      <c r="H653" s="629" t="n"/>
    </row>
    <row r="654">
      <c r="H654" s="629" t="n"/>
    </row>
    <row r="655">
      <c r="H655" s="629" t="n"/>
    </row>
    <row r="656">
      <c r="H656" s="629" t="n"/>
    </row>
    <row r="657">
      <c r="H657" s="629" t="n"/>
    </row>
    <row r="658">
      <c r="H658" s="629" t="n"/>
    </row>
    <row r="659">
      <c r="H659" s="629" t="n"/>
    </row>
    <row r="660">
      <c r="H660" s="629" t="n"/>
    </row>
    <row r="661">
      <c r="H661" s="629" t="n"/>
    </row>
    <row r="662">
      <c r="H662" s="629" t="n"/>
    </row>
    <row r="663">
      <c r="H663" s="629" t="n"/>
    </row>
    <row r="664">
      <c r="H664" s="629" t="n"/>
    </row>
    <row r="665">
      <c r="H665" s="629" t="n"/>
    </row>
    <row r="666">
      <c r="H666" s="629" t="n"/>
    </row>
    <row r="667">
      <c r="H667" s="629" t="n"/>
    </row>
    <row r="668">
      <c r="H668" s="629" t="n"/>
    </row>
    <row r="669">
      <c r="H669" s="629" t="n"/>
    </row>
    <row r="670">
      <c r="H670" s="629" t="n"/>
    </row>
    <row r="671">
      <c r="H671" s="629" t="n"/>
    </row>
    <row r="672">
      <c r="H672" s="629" t="n"/>
    </row>
    <row r="673">
      <c r="H673" s="629" t="n"/>
    </row>
    <row r="674">
      <c r="H674" s="629" t="n"/>
    </row>
    <row r="675">
      <c r="H675" s="629" t="n"/>
    </row>
    <row r="676">
      <c r="H676" s="629" t="n"/>
    </row>
    <row r="677">
      <c r="H677" s="629" t="n"/>
    </row>
    <row r="678">
      <c r="H678" s="629" t="n"/>
    </row>
    <row r="679">
      <c r="H679" s="629" t="n"/>
    </row>
    <row r="680">
      <c r="H680" s="629" t="n"/>
    </row>
    <row r="681">
      <c r="H681" s="629" t="n"/>
    </row>
    <row r="682">
      <c r="H682" s="629" t="n"/>
    </row>
    <row r="683">
      <c r="H683" s="629" t="n"/>
    </row>
    <row r="684">
      <c r="H684" s="629" t="n"/>
    </row>
    <row r="685">
      <c r="H685" s="629" t="n"/>
    </row>
    <row r="686">
      <c r="H686" s="629" t="n"/>
    </row>
    <row r="687">
      <c r="H687" s="629" t="n"/>
    </row>
    <row r="688">
      <c r="H688" s="629" t="n"/>
    </row>
    <row r="689">
      <c r="H689" s="629" t="n"/>
    </row>
    <row r="690">
      <c r="H690" s="629" t="n"/>
    </row>
    <row r="691">
      <c r="H691" s="629" t="n"/>
    </row>
    <row r="692">
      <c r="H692" s="629" t="n"/>
    </row>
    <row r="693">
      <c r="H693" s="629" t="n"/>
    </row>
    <row r="694">
      <c r="H694" s="629" t="n"/>
    </row>
    <row r="695">
      <c r="H695" s="629" t="n"/>
    </row>
    <row r="696">
      <c r="H696" s="629" t="n"/>
    </row>
    <row r="697">
      <c r="H697" s="629" t="n"/>
    </row>
    <row r="698">
      <c r="H698" s="629" t="n"/>
    </row>
    <row r="699">
      <c r="H699" s="629" t="n"/>
    </row>
    <row r="700">
      <c r="H700" s="629" t="n"/>
    </row>
    <row r="701">
      <c r="H701" s="629" t="n"/>
    </row>
    <row r="702">
      <c r="H702" s="629" t="n"/>
    </row>
    <row r="703">
      <c r="H703" s="629" t="n"/>
    </row>
    <row r="704">
      <c r="H704" s="629" t="n"/>
    </row>
    <row r="705">
      <c r="H705" s="629" t="n"/>
    </row>
    <row r="706">
      <c r="H706" s="629" t="n"/>
    </row>
    <row r="707">
      <c r="H707" s="629" t="n"/>
    </row>
    <row r="708">
      <c r="H708" s="629" t="n"/>
    </row>
    <row r="709">
      <c r="H709" s="629" t="n"/>
    </row>
    <row r="710">
      <c r="H710" s="629" t="n"/>
    </row>
    <row r="711">
      <c r="H711" s="629" t="n"/>
    </row>
    <row r="712">
      <c r="H712" s="629" t="n"/>
    </row>
    <row r="713">
      <c r="H713" s="629" t="n"/>
    </row>
    <row r="714">
      <c r="H714" s="629" t="n"/>
    </row>
    <row r="715">
      <c r="H715" s="629" t="n"/>
    </row>
    <row r="716">
      <c r="H716" s="629" t="n"/>
    </row>
    <row r="717">
      <c r="H717" s="629" t="n"/>
    </row>
    <row r="718">
      <c r="H718" s="629" t="n"/>
    </row>
    <row r="719">
      <c r="H719" s="629" t="n"/>
    </row>
    <row r="720">
      <c r="H720" s="629" t="n"/>
    </row>
    <row r="721">
      <c r="H721" s="629" t="n"/>
    </row>
    <row r="722">
      <c r="H722" s="629" t="n"/>
    </row>
    <row r="723">
      <c r="H723" s="629" t="n"/>
    </row>
    <row r="724">
      <c r="H724" s="629" t="n"/>
    </row>
    <row r="725">
      <c r="H725" s="629" t="n"/>
    </row>
    <row r="726">
      <c r="H726" s="629" t="n"/>
    </row>
    <row r="727">
      <c r="H727" s="629" t="n"/>
    </row>
    <row r="728">
      <c r="H728" s="629" t="n"/>
    </row>
    <row r="729">
      <c r="H729" s="629" t="n"/>
    </row>
    <row r="730">
      <c r="H730" s="629" t="n"/>
    </row>
    <row r="731">
      <c r="H731" s="629" t="n"/>
    </row>
    <row r="732">
      <c r="H732" s="629" t="n"/>
    </row>
    <row r="733">
      <c r="H733" s="629" t="n"/>
    </row>
    <row r="734">
      <c r="H734" s="629" t="n"/>
    </row>
    <row r="735">
      <c r="H735" s="629" t="n"/>
    </row>
    <row r="736">
      <c r="H736" s="629" t="n"/>
    </row>
    <row r="737">
      <c r="H737" s="629" t="n"/>
    </row>
    <row r="738">
      <c r="H738" s="629" t="n"/>
    </row>
    <row r="739">
      <c r="H739" s="629" t="n"/>
    </row>
    <row r="740">
      <c r="H740" s="629" t="n"/>
    </row>
    <row r="741">
      <c r="H741" s="629" t="n"/>
    </row>
    <row r="742">
      <c r="H742" s="629" t="n"/>
    </row>
    <row r="743">
      <c r="H743" s="629" t="n"/>
    </row>
    <row r="744">
      <c r="H744" s="629" t="n"/>
    </row>
    <row r="745">
      <c r="H745" s="629" t="n"/>
    </row>
    <row r="746">
      <c r="H746" s="629" t="n"/>
    </row>
    <row r="747">
      <c r="H747" s="629" t="n"/>
    </row>
    <row r="748">
      <c r="H748" s="629" t="n"/>
    </row>
    <row r="749">
      <c r="H749" s="629" t="n"/>
    </row>
    <row r="750">
      <c r="H750" s="629" t="n"/>
    </row>
    <row r="751">
      <c r="H751" s="629" t="n"/>
    </row>
    <row r="752">
      <c r="H752" s="629" t="n"/>
    </row>
    <row r="753">
      <c r="H753" s="629" t="n"/>
    </row>
    <row r="754">
      <c r="H754" s="629" t="n"/>
    </row>
    <row r="755">
      <c r="H755" s="629" t="n"/>
    </row>
    <row r="756">
      <c r="H756" s="629" t="n"/>
    </row>
    <row r="757">
      <c r="H757" s="629" t="n"/>
    </row>
    <row r="758">
      <c r="H758" s="629" t="n"/>
    </row>
    <row r="759">
      <c r="H759" s="629" t="n"/>
    </row>
    <row r="760">
      <c r="H760" s="629" t="n"/>
    </row>
    <row r="761">
      <c r="H761" s="629" t="n"/>
    </row>
    <row r="762">
      <c r="H762" s="629" t="n"/>
    </row>
    <row r="763">
      <c r="H763" s="629" t="n"/>
    </row>
    <row r="764">
      <c r="H764" s="629" t="n"/>
    </row>
    <row r="765">
      <c r="H765" s="629" t="n"/>
    </row>
    <row r="766">
      <c r="H766" s="629" t="n"/>
    </row>
    <row r="767">
      <c r="H767" s="629" t="n"/>
    </row>
    <row r="768">
      <c r="H768" s="629" t="n"/>
    </row>
    <row r="769">
      <c r="H769" s="629" t="n"/>
    </row>
    <row r="770">
      <c r="H770" s="629" t="n"/>
    </row>
    <row r="771">
      <c r="H771" s="629" t="n"/>
    </row>
    <row r="772">
      <c r="H772" s="629" t="n"/>
    </row>
    <row r="773">
      <c r="H773" s="629" t="n"/>
    </row>
    <row r="774">
      <c r="H774" s="629" t="n"/>
    </row>
    <row r="775">
      <c r="H775" s="629" t="n"/>
    </row>
    <row r="776">
      <c r="H776" s="629" t="n"/>
    </row>
    <row r="777">
      <c r="H777" s="629" t="n"/>
    </row>
    <row r="778">
      <c r="H778" s="629" t="n"/>
    </row>
    <row r="779">
      <c r="H779" s="629" t="n"/>
    </row>
    <row r="780">
      <c r="H780" s="629" t="n"/>
    </row>
    <row r="781">
      <c r="H781" s="629" t="n"/>
    </row>
    <row r="782">
      <c r="H782" s="629" t="n"/>
    </row>
    <row r="783">
      <c r="H783" s="629" t="n"/>
    </row>
    <row r="784">
      <c r="H784" s="629" t="n"/>
    </row>
    <row r="785">
      <c r="H785" s="629" t="n"/>
    </row>
    <row r="786">
      <c r="H786" s="629" t="n"/>
    </row>
    <row r="787">
      <c r="H787" s="629" t="n"/>
    </row>
    <row r="788">
      <c r="H788" s="629" t="n"/>
    </row>
    <row r="789">
      <c r="H789" s="629" t="n"/>
    </row>
    <row r="790">
      <c r="H790" s="629" t="n"/>
    </row>
    <row r="791">
      <c r="H791" s="629" t="n"/>
    </row>
    <row r="792">
      <c r="H792" s="629" t="n"/>
    </row>
    <row r="793">
      <c r="H793" s="629" t="n"/>
    </row>
    <row r="794">
      <c r="H794" s="629" t="n"/>
    </row>
    <row r="795">
      <c r="H795" s="629" t="n"/>
    </row>
    <row r="796">
      <c r="H796" s="629" t="n"/>
    </row>
    <row r="797">
      <c r="H797" s="629" t="n"/>
    </row>
    <row r="798">
      <c r="H798" s="629" t="n"/>
    </row>
    <row r="799">
      <c r="H799" s="629" t="n"/>
    </row>
    <row r="800">
      <c r="H800" s="629" t="n"/>
    </row>
    <row r="801">
      <c r="H801" s="629" t="n"/>
    </row>
    <row r="802">
      <c r="H802" s="629" t="n"/>
    </row>
    <row r="803">
      <c r="H803" s="629" t="n"/>
    </row>
    <row r="804">
      <c r="H804" s="629" t="n"/>
    </row>
    <row r="805">
      <c r="H805" s="629" t="n"/>
    </row>
    <row r="806">
      <c r="H806" s="629" t="n"/>
    </row>
    <row r="807">
      <c r="H807" s="629" t="n"/>
    </row>
    <row r="808">
      <c r="H808" s="629" t="n"/>
    </row>
    <row r="809">
      <c r="H809" s="629" t="n"/>
    </row>
    <row r="810">
      <c r="H810" s="629" t="n"/>
    </row>
    <row r="811">
      <c r="H811" s="629" t="n"/>
    </row>
    <row r="812">
      <c r="H812" s="629" t="n"/>
    </row>
    <row r="813">
      <c r="H813" s="629" t="n"/>
    </row>
    <row r="814">
      <c r="H814" s="629" t="n"/>
    </row>
    <row r="815">
      <c r="H815" s="629" t="n"/>
    </row>
    <row r="816">
      <c r="H816" s="629" t="n"/>
    </row>
    <row r="817">
      <c r="H817" s="629" t="n"/>
    </row>
    <row r="818">
      <c r="H818" s="629" t="n"/>
    </row>
    <row r="819">
      <c r="H819" s="629" t="n"/>
    </row>
    <row r="820">
      <c r="H820" s="629" t="n"/>
    </row>
    <row r="821">
      <c r="H821" s="629" t="n"/>
    </row>
    <row r="822">
      <c r="H822" s="629" t="n"/>
    </row>
    <row r="823">
      <c r="H823" s="629" t="n"/>
    </row>
    <row r="824">
      <c r="H824" s="629" t="n"/>
    </row>
    <row r="825">
      <c r="H825" s="629" t="n"/>
    </row>
    <row r="826">
      <c r="H826" s="629" t="n"/>
    </row>
    <row r="827">
      <c r="H827" s="629" t="n"/>
    </row>
    <row r="828">
      <c r="H828" s="629" t="n"/>
    </row>
    <row r="829">
      <c r="H829" s="629" t="n"/>
    </row>
    <row r="830">
      <c r="H830" s="629" t="n"/>
    </row>
    <row r="831">
      <c r="H831" s="629" t="n"/>
    </row>
    <row r="832">
      <c r="H832" s="629" t="n"/>
    </row>
    <row r="833">
      <c r="H833" s="629" t="n"/>
    </row>
    <row r="834">
      <c r="H834" s="629" t="n"/>
    </row>
    <row r="835">
      <c r="H835" s="629" t="n"/>
    </row>
    <row r="836">
      <c r="H836" s="629" t="n"/>
    </row>
    <row r="837">
      <c r="H837" s="629" t="n"/>
    </row>
    <row r="838">
      <c r="H838" s="629" t="n"/>
    </row>
    <row r="839">
      <c r="H839" s="629" t="n"/>
    </row>
    <row r="840">
      <c r="H840" s="629" t="n"/>
    </row>
    <row r="841">
      <c r="H841" s="629" t="n"/>
    </row>
    <row r="842">
      <c r="H842" s="629" t="n"/>
    </row>
    <row r="843">
      <c r="H843" s="629" t="n"/>
    </row>
    <row r="844">
      <c r="H844" s="629" t="n"/>
    </row>
    <row r="845">
      <c r="H845" s="629" t="n"/>
    </row>
    <row r="846">
      <c r="H846" s="629" t="n"/>
    </row>
    <row r="847">
      <c r="H847" s="629" t="n"/>
    </row>
    <row r="848">
      <c r="H848" s="629" t="n"/>
    </row>
    <row r="849">
      <c r="H849" s="629" t="n"/>
    </row>
    <row r="850">
      <c r="H850" s="629" t="n"/>
    </row>
    <row r="851">
      <c r="H851" s="629" t="n"/>
    </row>
    <row r="852">
      <c r="H852" s="629" t="n"/>
    </row>
    <row r="853">
      <c r="H853" s="629" t="n"/>
    </row>
    <row r="854">
      <c r="H854" s="629" t="n"/>
    </row>
    <row r="855">
      <c r="H855" s="629" t="n"/>
    </row>
    <row r="856">
      <c r="H856" s="629" t="n"/>
    </row>
    <row r="857">
      <c r="H857" s="629" t="n"/>
    </row>
    <row r="858">
      <c r="H858" s="629" t="n"/>
    </row>
    <row r="859">
      <c r="H859" s="629" t="n"/>
    </row>
    <row r="860">
      <c r="H860" s="629" t="n"/>
    </row>
    <row r="861">
      <c r="H861" s="629" t="n"/>
    </row>
    <row r="862">
      <c r="H862" s="629" t="n"/>
    </row>
    <row r="863">
      <c r="H863" s="629" t="n"/>
    </row>
    <row r="864">
      <c r="H864" s="629" t="n"/>
    </row>
    <row r="865">
      <c r="H865" s="629" t="n"/>
    </row>
    <row r="866">
      <c r="H866" s="629" t="n"/>
    </row>
    <row r="867">
      <c r="H867" s="629" t="n"/>
    </row>
    <row r="868">
      <c r="H868" s="629" t="n"/>
    </row>
    <row r="869">
      <c r="H869" s="629" t="n"/>
    </row>
    <row r="870">
      <c r="H870" s="629" t="n"/>
    </row>
    <row r="871">
      <c r="H871" s="629" t="n"/>
    </row>
    <row r="872">
      <c r="H872" s="629" t="n"/>
    </row>
    <row r="873">
      <c r="H873" s="629" t="n"/>
    </row>
    <row r="874">
      <c r="H874" s="629" t="n"/>
    </row>
    <row r="875">
      <c r="H875" s="629" t="n"/>
    </row>
    <row r="876">
      <c r="H876" s="629" t="n"/>
    </row>
    <row r="877">
      <c r="H877" s="629" t="n"/>
    </row>
    <row r="878">
      <c r="H878" s="629" t="n"/>
    </row>
    <row r="879">
      <c r="H879" s="629" t="n"/>
    </row>
    <row r="880">
      <c r="H880" s="629" t="n"/>
    </row>
    <row r="881">
      <c r="H881" s="629" t="n"/>
    </row>
    <row r="882">
      <c r="H882" s="629" t="n"/>
    </row>
    <row r="883">
      <c r="H883" s="629" t="n"/>
    </row>
    <row r="884">
      <c r="H884" s="629" t="n"/>
    </row>
    <row r="885">
      <c r="H885" s="629" t="n"/>
    </row>
    <row r="886">
      <c r="H886" s="629" t="n"/>
    </row>
    <row r="887">
      <c r="H887" s="629" t="n"/>
    </row>
    <row r="888">
      <c r="H888" s="629" t="n"/>
    </row>
    <row r="889">
      <c r="H889" s="629" t="n"/>
    </row>
    <row r="890">
      <c r="H890" s="629" t="n"/>
    </row>
    <row r="891">
      <c r="H891" s="629" t="n"/>
    </row>
    <row r="892">
      <c r="H892" s="629" t="n"/>
    </row>
    <row r="893">
      <c r="H893" s="629" t="n"/>
    </row>
    <row r="894">
      <c r="H894" s="629" t="n"/>
    </row>
    <row r="895">
      <c r="H895" s="629" t="n"/>
    </row>
    <row r="896">
      <c r="H896" s="629" t="n"/>
    </row>
    <row r="897">
      <c r="H897" s="629" t="n"/>
    </row>
    <row r="898">
      <c r="H898" s="629" t="n"/>
    </row>
    <row r="899">
      <c r="H899" s="629" t="n"/>
    </row>
    <row r="900">
      <c r="H900" s="629" t="n"/>
    </row>
    <row r="901">
      <c r="H901" s="629" t="n"/>
    </row>
    <row r="902">
      <c r="H902" s="629" t="n"/>
    </row>
    <row r="903">
      <c r="H903" s="629" t="n"/>
    </row>
    <row r="904">
      <c r="H904" s="629" t="n"/>
    </row>
    <row r="905">
      <c r="H905" s="629" t="n"/>
    </row>
    <row r="906">
      <c r="H906" s="629" t="n"/>
    </row>
    <row r="907">
      <c r="H907" s="629" t="n"/>
    </row>
    <row r="908">
      <c r="H908" s="629" t="n"/>
    </row>
    <row r="909">
      <c r="H909" s="629" t="n"/>
    </row>
    <row r="910">
      <c r="H910" s="629" t="n"/>
    </row>
    <row r="911">
      <c r="H911" s="629" t="n"/>
    </row>
    <row r="912">
      <c r="H912" s="629" t="n"/>
    </row>
    <row r="913">
      <c r="H913" s="629" t="n"/>
    </row>
    <row r="914">
      <c r="H914" s="629" t="n"/>
    </row>
    <row r="915">
      <c r="H915" s="629" t="n"/>
    </row>
    <row r="916">
      <c r="H916" s="629" t="n"/>
    </row>
    <row r="917">
      <c r="H917" s="629" t="n"/>
    </row>
    <row r="918">
      <c r="H918" s="629" t="n"/>
    </row>
    <row r="919">
      <c r="H919" s="629" t="n"/>
    </row>
    <row r="920">
      <c r="H920" s="629" t="n"/>
    </row>
    <row r="921">
      <c r="H921" s="629" t="n"/>
    </row>
    <row r="922">
      <c r="H922" s="629" t="n"/>
    </row>
    <row r="923">
      <c r="H923" s="629" t="n"/>
    </row>
    <row r="924">
      <c r="H924" s="629" t="n"/>
    </row>
    <row r="925">
      <c r="H925" s="629" t="n"/>
    </row>
    <row r="926">
      <c r="H926" s="629" t="n"/>
    </row>
    <row r="927">
      <c r="H927" s="629" t="n"/>
    </row>
    <row r="928">
      <c r="H928" s="629" t="n"/>
    </row>
    <row r="929">
      <c r="H929" s="629" t="n"/>
    </row>
    <row r="930">
      <c r="H930" s="629" t="n"/>
    </row>
    <row r="931">
      <c r="H931" s="629" t="n"/>
    </row>
    <row r="932">
      <c r="H932" s="629" t="n"/>
    </row>
    <row r="933">
      <c r="H933" s="629" t="n"/>
    </row>
    <row r="934">
      <c r="H934" s="629" t="n"/>
    </row>
    <row r="935">
      <c r="H935" s="629" t="n"/>
    </row>
    <row r="936">
      <c r="H936" s="629" t="n"/>
    </row>
    <row r="937">
      <c r="H937" s="629" t="n"/>
    </row>
    <row r="938">
      <c r="H938" s="629" t="n"/>
    </row>
    <row r="939">
      <c r="H939" s="629" t="n"/>
    </row>
    <row r="940">
      <c r="H940" s="629" t="n"/>
    </row>
    <row r="941">
      <c r="H941" s="629" t="n"/>
    </row>
    <row r="942">
      <c r="H942" s="629" t="n"/>
    </row>
    <row r="943">
      <c r="H943" s="629" t="n"/>
    </row>
    <row r="944">
      <c r="H944" s="629" t="n"/>
    </row>
    <row r="945">
      <c r="H945" s="629" t="n"/>
    </row>
    <row r="946">
      <c r="H946" s="629" t="n"/>
    </row>
    <row r="947">
      <c r="H947" s="629" t="n"/>
    </row>
    <row r="948">
      <c r="H948" s="629" t="n"/>
    </row>
    <row r="949">
      <c r="H949" s="629" t="n"/>
    </row>
    <row r="950">
      <c r="H950" s="629" t="n"/>
    </row>
    <row r="951">
      <c r="H951" s="629" t="n"/>
    </row>
    <row r="952">
      <c r="H952" s="629" t="n"/>
    </row>
    <row r="953">
      <c r="H953" s="629" t="n"/>
    </row>
    <row r="954">
      <c r="H954" s="629" t="n"/>
    </row>
    <row r="955">
      <c r="H955" s="629" t="n"/>
    </row>
    <row r="956">
      <c r="H956" s="629" t="n"/>
    </row>
    <row r="957">
      <c r="H957" s="629" t="n"/>
    </row>
    <row r="958">
      <c r="H958" s="629" t="n"/>
    </row>
    <row r="959">
      <c r="H959" s="629" t="n"/>
    </row>
    <row r="960">
      <c r="H960" s="629" t="n"/>
    </row>
    <row r="961">
      <c r="H961" s="629" t="n"/>
    </row>
    <row r="962">
      <c r="H962" s="629" t="n"/>
    </row>
    <row r="963">
      <c r="H963" s="629" t="n"/>
    </row>
    <row r="964">
      <c r="H964" s="629" t="n"/>
    </row>
    <row r="965">
      <c r="H965" s="629" t="n"/>
    </row>
    <row r="966">
      <c r="H966" s="629" t="n"/>
    </row>
    <row r="967">
      <c r="H967" s="629" t="n"/>
    </row>
    <row r="968">
      <c r="H968" s="629" t="n"/>
    </row>
    <row r="969">
      <c r="H969" s="629" t="n"/>
    </row>
    <row r="970">
      <c r="H970" s="629" t="n"/>
    </row>
    <row r="971">
      <c r="H971" s="629" t="n"/>
    </row>
    <row r="972">
      <c r="H972" s="629" t="n"/>
    </row>
    <row r="973">
      <c r="H973" s="629" t="n"/>
    </row>
    <row r="974">
      <c r="H974" s="629" t="n"/>
    </row>
    <row r="975">
      <c r="H975" s="629" t="n"/>
    </row>
    <row r="976">
      <c r="H976" s="629" t="n"/>
    </row>
    <row r="977">
      <c r="H977" s="629" t="n"/>
    </row>
    <row r="978">
      <c r="H978" s="629" t="n"/>
    </row>
    <row r="979">
      <c r="H979" s="629" t="n"/>
    </row>
    <row r="980">
      <c r="H980" s="629" t="n"/>
    </row>
    <row r="981">
      <c r="H981" s="629" t="n"/>
    </row>
    <row r="982">
      <c r="H982" s="629" t="n"/>
    </row>
    <row r="983">
      <c r="H983" s="629" t="n"/>
    </row>
    <row r="984">
      <c r="H984" s="629" t="n"/>
    </row>
    <row r="985">
      <c r="H985" s="629" t="n"/>
    </row>
    <row r="986">
      <c r="H986" s="629" t="n"/>
    </row>
    <row r="987">
      <c r="H987" s="629" t="n"/>
    </row>
    <row r="988">
      <c r="H988" s="629" t="n"/>
    </row>
    <row r="989">
      <c r="H989" s="629" t="n"/>
    </row>
    <row r="990">
      <c r="H990" s="629" t="n"/>
    </row>
    <row r="991">
      <c r="H991" s="629" t="n"/>
    </row>
    <row r="992">
      <c r="H992" s="629" t="n"/>
    </row>
    <row r="993">
      <c r="H993" s="629" t="n"/>
    </row>
    <row r="994">
      <c r="H994" s="629" t="n"/>
    </row>
    <row r="995">
      <c r="H995" s="629" t="n"/>
    </row>
    <row r="996">
      <c r="H996" s="629" t="n"/>
    </row>
    <row r="997">
      <c r="H997" s="629" t="n"/>
    </row>
    <row r="998">
      <c r="H998" s="629" t="n"/>
    </row>
    <row r="999">
      <c r="H999" s="629" t="n"/>
    </row>
    <row r="1000">
      <c r="H1000" s="629" t="n"/>
    </row>
    <row r="1001">
      <c r="H1001" s="629" t="n"/>
    </row>
    <row r="1002">
      <c r="H1002" s="629" t="n"/>
    </row>
    <row r="1003">
      <c r="H1003" s="629" t="n"/>
    </row>
    <row r="1004">
      <c r="H1004" s="629" t="n"/>
    </row>
    <row r="1005">
      <c r="H1005" s="629" t="n"/>
    </row>
    <row r="1006">
      <c r="H1006" s="629" t="n"/>
    </row>
    <row r="1007">
      <c r="H1007" s="629" t="n"/>
    </row>
    <row r="1008">
      <c r="H1008" s="629" t="n"/>
    </row>
    <row r="1009">
      <c r="H1009" s="629" t="n"/>
    </row>
    <row r="1010">
      <c r="H1010" s="629" t="n"/>
    </row>
    <row r="1011">
      <c r="H1011" s="629" t="n"/>
    </row>
    <row r="1012">
      <c r="H1012" s="629" t="n"/>
    </row>
    <row r="1013">
      <c r="H1013" s="629" t="n"/>
    </row>
    <row r="1014">
      <c r="H1014" s="629" t="n"/>
    </row>
    <row r="1015">
      <c r="H1015" s="629" t="n"/>
    </row>
    <row r="1016">
      <c r="H1016" s="629" t="n"/>
    </row>
    <row r="1017">
      <c r="H1017" s="629" t="n"/>
    </row>
    <row r="1018">
      <c r="H1018" s="629" t="n"/>
    </row>
    <row r="1019">
      <c r="H1019" s="629" t="n"/>
    </row>
    <row r="1020">
      <c r="H1020" s="629" t="n"/>
    </row>
    <row r="1021">
      <c r="H1021" s="629" t="n"/>
    </row>
    <row r="1022">
      <c r="H1022" s="629" t="n"/>
    </row>
    <row r="1023">
      <c r="H1023" s="629" t="n"/>
    </row>
    <row r="1024">
      <c r="H1024" s="629" t="n"/>
    </row>
    <row r="1025">
      <c r="H1025" s="629" t="n"/>
    </row>
    <row r="1026">
      <c r="H1026" s="629" t="n"/>
    </row>
    <row r="1027">
      <c r="H1027" s="629" t="n"/>
    </row>
    <row r="1028">
      <c r="H1028" s="629" t="n"/>
    </row>
    <row r="1029">
      <c r="H1029" s="629" t="n"/>
    </row>
    <row r="1030">
      <c r="H1030" s="629" t="n"/>
    </row>
    <row r="1031">
      <c r="H1031" s="629" t="n"/>
    </row>
    <row r="1032">
      <c r="H1032" s="629" t="n"/>
    </row>
    <row r="1033">
      <c r="H1033" s="629" t="n"/>
    </row>
    <row r="1034">
      <c r="H1034" s="629" t="n"/>
    </row>
    <row r="1035">
      <c r="H1035" s="629" t="n"/>
    </row>
    <row r="1036">
      <c r="H1036" s="629" t="n"/>
    </row>
    <row r="1037">
      <c r="H1037" s="629" t="n"/>
    </row>
    <row r="1038">
      <c r="H1038" s="629" t="n"/>
    </row>
    <row r="1039">
      <c r="H1039" s="629" t="n"/>
    </row>
    <row r="1040">
      <c r="H1040" s="629" t="n"/>
    </row>
    <row r="1041">
      <c r="H1041" s="629" t="n"/>
    </row>
    <row r="1042">
      <c r="H1042" s="629" t="n"/>
    </row>
    <row r="1043">
      <c r="H1043" s="629" t="n"/>
    </row>
    <row r="1044">
      <c r="H1044" s="629" t="n"/>
    </row>
    <row r="1045">
      <c r="H1045" s="629" t="n"/>
    </row>
    <row r="1046">
      <c r="H1046" s="629" t="n"/>
    </row>
    <row r="1047">
      <c r="H1047" s="629" t="n"/>
    </row>
    <row r="1048">
      <c r="H1048" s="629" t="n"/>
    </row>
    <row r="1049">
      <c r="H1049" s="629" t="n"/>
    </row>
    <row r="1050">
      <c r="H1050" s="629" t="n"/>
    </row>
    <row r="1051">
      <c r="H1051" s="629" t="n"/>
    </row>
    <row r="1052">
      <c r="H1052" s="629" t="n"/>
    </row>
    <row r="1053">
      <c r="H1053" s="629" t="n"/>
    </row>
    <row r="1054">
      <c r="H1054" s="629" t="n"/>
    </row>
    <row r="1055">
      <c r="H1055" s="629" t="n"/>
    </row>
    <row r="1056">
      <c r="H1056" s="629" t="n"/>
    </row>
    <row r="1057">
      <c r="H1057" s="629" t="n"/>
    </row>
    <row r="1058">
      <c r="H1058" s="629" t="n"/>
    </row>
    <row r="1059">
      <c r="H1059" s="629" t="n"/>
    </row>
    <row r="1060">
      <c r="H1060" s="629" t="n"/>
    </row>
    <row r="1061">
      <c r="H1061" s="629" t="n"/>
    </row>
    <row r="1062">
      <c r="H1062" s="629" t="n"/>
    </row>
    <row r="1063">
      <c r="H1063" s="629" t="n"/>
    </row>
    <row r="1064">
      <c r="H1064" s="629" t="n"/>
    </row>
    <row r="1065">
      <c r="H1065" s="629" t="n"/>
    </row>
    <row r="1066">
      <c r="H1066" s="629" t="n"/>
    </row>
    <row r="1067">
      <c r="H1067" s="629" t="n"/>
    </row>
    <row r="1068">
      <c r="H1068" s="629" t="n"/>
    </row>
    <row r="1069">
      <c r="H1069" s="629" t="n"/>
    </row>
    <row r="1070">
      <c r="H1070" s="629" t="n"/>
    </row>
    <row r="1071">
      <c r="H1071" s="629" t="n"/>
    </row>
    <row r="1072">
      <c r="H1072" s="629" t="n"/>
    </row>
    <row r="1073">
      <c r="H1073" s="629" t="n"/>
    </row>
    <row r="1074">
      <c r="H1074" s="629" t="n"/>
    </row>
    <row r="1075">
      <c r="H1075" s="629" t="n"/>
    </row>
    <row r="1076">
      <c r="H1076" s="629" t="n"/>
    </row>
    <row r="1077">
      <c r="H1077" s="629" t="n"/>
    </row>
    <row r="1078">
      <c r="H1078" s="629" t="n"/>
    </row>
    <row r="1079">
      <c r="H1079" s="629" t="n"/>
    </row>
    <row r="1080">
      <c r="H1080" s="629" t="n"/>
    </row>
    <row r="1081">
      <c r="H1081" s="629" t="n"/>
    </row>
    <row r="1082">
      <c r="H1082" s="629" t="n"/>
    </row>
    <row r="1083">
      <c r="H1083" s="629" t="n"/>
    </row>
    <row r="1084">
      <c r="H1084" s="629" t="n"/>
    </row>
    <row r="1085">
      <c r="H1085" s="629" t="n"/>
    </row>
    <row r="1086">
      <c r="H1086" s="629" t="n"/>
    </row>
    <row r="1087">
      <c r="H1087" s="629" t="n"/>
    </row>
    <row r="1088">
      <c r="H1088" s="629" t="n"/>
    </row>
    <row r="1089">
      <c r="H1089" s="629" t="n"/>
    </row>
    <row r="1090">
      <c r="H1090" s="629" t="n"/>
    </row>
    <row r="1091">
      <c r="H1091" s="629" t="n"/>
    </row>
    <row r="1092">
      <c r="H1092" s="629" t="n"/>
    </row>
    <row r="1093">
      <c r="H1093" s="629" t="n"/>
    </row>
    <row r="1094">
      <c r="H1094" s="629" t="n"/>
    </row>
    <row r="1095">
      <c r="H1095" s="629" t="n"/>
    </row>
    <row r="1096">
      <c r="H1096" s="629" t="n"/>
    </row>
    <row r="1097">
      <c r="H1097" s="629" t="n"/>
    </row>
    <row r="1098">
      <c r="H1098" s="629" t="n"/>
    </row>
    <row r="1099">
      <c r="H1099" s="629" t="n"/>
    </row>
    <row r="1100">
      <c r="H1100" s="629" t="n"/>
    </row>
    <row r="1101">
      <c r="H1101" s="629" t="n"/>
    </row>
    <row r="1102">
      <c r="H1102" s="629" t="n"/>
    </row>
    <row r="1103">
      <c r="H1103" s="629" t="n"/>
    </row>
    <row r="1104">
      <c r="H1104" s="629" t="n"/>
    </row>
    <row r="1105">
      <c r="H1105" s="629" t="n"/>
    </row>
    <row r="1106">
      <c r="H1106" s="629" t="n"/>
    </row>
    <row r="1107">
      <c r="H1107" s="629" t="n"/>
    </row>
    <row r="1108">
      <c r="H1108" s="629" t="n"/>
    </row>
    <row r="1109">
      <c r="H1109" s="629" t="n"/>
    </row>
    <row r="1110">
      <c r="H1110" s="629" t="n"/>
    </row>
    <row r="1111">
      <c r="H1111" s="629" t="n"/>
    </row>
    <row r="1112">
      <c r="H1112" s="629" t="n"/>
    </row>
    <row r="1113">
      <c r="H1113" s="629" t="n"/>
    </row>
    <row r="1114">
      <c r="H1114" s="629" t="n"/>
    </row>
    <row r="1115">
      <c r="H1115" s="629" t="n"/>
    </row>
    <row r="1116">
      <c r="H1116" s="629" t="n"/>
    </row>
    <row r="1117">
      <c r="H1117" s="629" t="n"/>
    </row>
    <row r="1118">
      <c r="H1118" s="629" t="n"/>
    </row>
    <row r="1119">
      <c r="H1119" s="629" t="n"/>
    </row>
    <row r="1120">
      <c r="H1120" s="629" t="n"/>
    </row>
    <row r="1121">
      <c r="H1121" s="629" t="n"/>
    </row>
    <row r="1122">
      <c r="H1122" s="629" t="n"/>
    </row>
    <row r="1123">
      <c r="H1123" s="629" t="n"/>
    </row>
    <row r="1124">
      <c r="H1124" s="629" t="n"/>
    </row>
    <row r="1125">
      <c r="H1125" s="629" t="n"/>
    </row>
    <row r="1126">
      <c r="H1126" s="629" t="n"/>
    </row>
    <row r="1127">
      <c r="H1127" s="629" t="n"/>
    </row>
    <row r="1128">
      <c r="H1128" s="629" t="n"/>
    </row>
    <row r="1129">
      <c r="H1129" s="629" t="n"/>
    </row>
    <row r="1130">
      <c r="H1130" s="629" t="n"/>
    </row>
    <row r="1131">
      <c r="H1131" s="629" t="n"/>
    </row>
    <row r="1132">
      <c r="H1132" s="629" t="n"/>
    </row>
    <row r="1133">
      <c r="H1133" s="629" t="n"/>
    </row>
    <row r="1134">
      <c r="H1134" s="629" t="n"/>
    </row>
    <row r="1135">
      <c r="H1135" s="629" t="n"/>
    </row>
    <row r="1136">
      <c r="H1136" s="629" t="n"/>
    </row>
    <row r="1137">
      <c r="H1137" s="629" t="n"/>
    </row>
    <row r="1138">
      <c r="H1138" s="629" t="n"/>
    </row>
    <row r="1139">
      <c r="H1139" s="629" t="n"/>
    </row>
    <row r="1140">
      <c r="H1140" s="629" t="n"/>
    </row>
    <row r="1141">
      <c r="H1141" s="629" t="n"/>
    </row>
    <row r="1142">
      <c r="H1142" s="629" t="n"/>
    </row>
    <row r="1143">
      <c r="H1143" s="629" t="n"/>
    </row>
    <row r="1144">
      <c r="H1144" s="629" t="n"/>
    </row>
    <row r="1145">
      <c r="H1145" s="629" t="n"/>
    </row>
    <row r="1146">
      <c r="H1146" s="629" t="n"/>
    </row>
    <row r="1147">
      <c r="H1147" s="629" t="n"/>
    </row>
    <row r="1148">
      <c r="H1148" s="629" t="n"/>
    </row>
    <row r="1149">
      <c r="H1149" s="629" t="n"/>
    </row>
    <row r="1150">
      <c r="H1150" s="629" t="n"/>
    </row>
    <row r="1151">
      <c r="H1151" s="629" t="n"/>
    </row>
    <row r="1152">
      <c r="H1152" s="629" t="n"/>
    </row>
    <row r="1153">
      <c r="H1153" s="629" t="n"/>
    </row>
    <row r="1154">
      <c r="H1154" s="629" t="n"/>
    </row>
    <row r="1155">
      <c r="H1155" s="629" t="n"/>
    </row>
    <row r="1156">
      <c r="H1156" s="629" t="n"/>
    </row>
    <row r="1157">
      <c r="H1157" s="629" t="n"/>
    </row>
    <row r="1158">
      <c r="H1158" s="629" t="n"/>
    </row>
    <row r="1159">
      <c r="H1159" s="629" t="n"/>
    </row>
    <row r="1160">
      <c r="H1160" s="629" t="n"/>
    </row>
    <row r="1161">
      <c r="H1161" s="629" t="n"/>
    </row>
    <row r="1162">
      <c r="H1162" s="629" t="n"/>
    </row>
    <row r="1163">
      <c r="H1163" s="629" t="n"/>
    </row>
    <row r="1164">
      <c r="H1164" s="629" t="n"/>
    </row>
    <row r="1165">
      <c r="H1165" s="629" t="n"/>
    </row>
    <row r="1166">
      <c r="H1166" s="629" t="n"/>
    </row>
    <row r="1167">
      <c r="H1167" s="629" t="n"/>
    </row>
    <row r="1168">
      <c r="H1168" s="629" t="n"/>
    </row>
    <row r="1169">
      <c r="H1169" s="629" t="n"/>
    </row>
    <row r="1170">
      <c r="H1170" s="629" t="n"/>
    </row>
    <row r="1171">
      <c r="H1171" s="629" t="n"/>
    </row>
    <row r="1172">
      <c r="H1172" s="629" t="n"/>
    </row>
    <row r="1173">
      <c r="H1173" s="629" t="n"/>
    </row>
    <row r="1174">
      <c r="H1174" s="629" t="n"/>
    </row>
    <row r="1175">
      <c r="H1175" s="629" t="n"/>
    </row>
    <row r="1176">
      <c r="H1176" s="629" t="n"/>
    </row>
    <row r="1177">
      <c r="H1177" s="629" t="n"/>
    </row>
    <row r="1178">
      <c r="H1178" s="629" t="n"/>
    </row>
    <row r="1179">
      <c r="H1179" s="629" t="n"/>
    </row>
    <row r="1180">
      <c r="H1180" s="629" t="n"/>
    </row>
    <row r="1181">
      <c r="H1181" s="629" t="n"/>
    </row>
    <row r="1182">
      <c r="H1182" s="629" t="n"/>
    </row>
    <row r="1183">
      <c r="H1183" s="629" t="n"/>
    </row>
    <row r="1184">
      <c r="H1184" s="629" t="n"/>
    </row>
    <row r="1185">
      <c r="H1185" s="629" t="n"/>
    </row>
    <row r="1186">
      <c r="H1186" s="629" t="n"/>
    </row>
    <row r="1187">
      <c r="H1187" s="629" t="n"/>
    </row>
    <row r="1188">
      <c r="H1188" s="629" t="n"/>
    </row>
    <row r="1189">
      <c r="H1189" s="629" t="n"/>
    </row>
    <row r="1190">
      <c r="H1190" s="629" t="n"/>
    </row>
    <row r="1191">
      <c r="H1191" s="629" t="n"/>
    </row>
    <row r="1192">
      <c r="H1192" s="629" t="n"/>
    </row>
    <row r="1193">
      <c r="H1193" s="629" t="n"/>
    </row>
    <row r="1194">
      <c r="H1194" s="629" t="n"/>
    </row>
    <row r="1195">
      <c r="H1195" s="629" t="n"/>
    </row>
    <row r="1196">
      <c r="H1196" s="629" t="n"/>
    </row>
    <row r="1197">
      <c r="H1197" s="629" t="n"/>
    </row>
    <row r="1198">
      <c r="H1198" s="629" t="n"/>
    </row>
    <row r="1199">
      <c r="H1199" s="629" t="n"/>
    </row>
    <row r="1200">
      <c r="H1200" s="629" t="n"/>
    </row>
    <row r="1201">
      <c r="H1201" s="629" t="n"/>
    </row>
    <row r="1202">
      <c r="H1202" s="629" t="n"/>
    </row>
    <row r="1203">
      <c r="H1203" s="629" t="n"/>
    </row>
    <row r="1204">
      <c r="H1204" s="629" t="n"/>
    </row>
    <row r="1205">
      <c r="H1205" s="629" t="n"/>
    </row>
    <row r="1206">
      <c r="H1206" s="629" t="n"/>
    </row>
    <row r="1207">
      <c r="H1207" s="629" t="n"/>
    </row>
    <row r="1208">
      <c r="H1208" s="629" t="n"/>
    </row>
    <row r="1209">
      <c r="H1209" s="629" t="n"/>
    </row>
    <row r="1210">
      <c r="H1210" s="629" t="n"/>
    </row>
    <row r="1211">
      <c r="H1211" s="629" t="n"/>
    </row>
    <row r="1212">
      <c r="H1212" s="629" t="n"/>
    </row>
    <row r="1213">
      <c r="H1213" s="629" t="n"/>
    </row>
    <row r="1214">
      <c r="H1214" s="629" t="n"/>
    </row>
    <row r="1215">
      <c r="H1215" s="629" t="n"/>
    </row>
    <row r="1216">
      <c r="H1216" s="629" t="n"/>
    </row>
    <row r="1217">
      <c r="H1217" s="629" t="n"/>
    </row>
    <row r="1218">
      <c r="H1218" s="629" t="n"/>
    </row>
    <row r="1219">
      <c r="H1219" s="629" t="n"/>
    </row>
    <row r="1220">
      <c r="H1220" s="629" t="n"/>
    </row>
    <row r="1221">
      <c r="H1221" s="629" t="n"/>
    </row>
    <row r="1222">
      <c r="H1222" s="629" t="n"/>
    </row>
    <row r="1223">
      <c r="H1223" s="629" t="n"/>
    </row>
    <row r="1224">
      <c r="H1224" s="629" t="n"/>
    </row>
    <row r="1225">
      <c r="H1225" s="629" t="n"/>
    </row>
    <row r="1226">
      <c r="H1226" s="629" t="n"/>
    </row>
    <row r="1227">
      <c r="H1227" s="629" t="n"/>
    </row>
    <row r="1228">
      <c r="H1228" s="629" t="n"/>
    </row>
    <row r="1229">
      <c r="H1229" s="629" t="n"/>
    </row>
    <row r="1230">
      <c r="H1230" s="629" t="n"/>
    </row>
    <row r="1231">
      <c r="H1231" s="629" t="n"/>
    </row>
    <row r="1232">
      <c r="H1232" s="629" t="n"/>
    </row>
    <row r="1233">
      <c r="H1233" s="629" t="n"/>
    </row>
    <row r="1234">
      <c r="H1234" s="629" t="n"/>
    </row>
    <row r="1235">
      <c r="H1235" s="629" t="n"/>
    </row>
    <row r="1236">
      <c r="H1236" s="629" t="n"/>
    </row>
    <row r="1237">
      <c r="H1237" s="629" t="n"/>
    </row>
    <row r="1238">
      <c r="H1238" s="629" t="n"/>
    </row>
    <row r="1239">
      <c r="H1239" s="629" t="n"/>
    </row>
    <row r="1240">
      <c r="H1240" s="629" t="n"/>
    </row>
    <row r="1241">
      <c r="H1241" s="629" t="n"/>
    </row>
    <row r="1242">
      <c r="H1242" s="629" t="n"/>
    </row>
    <row r="1243">
      <c r="H1243" s="629" t="n"/>
    </row>
    <row r="1244">
      <c r="H1244" s="629" t="n"/>
    </row>
    <row r="1245">
      <c r="H1245" s="629" t="n"/>
    </row>
    <row r="1246">
      <c r="H1246" s="629" t="n"/>
    </row>
    <row r="1247">
      <c r="H1247" s="629" t="n"/>
    </row>
    <row r="1248">
      <c r="H1248" s="629" t="n"/>
    </row>
    <row r="1249">
      <c r="H1249" s="629" t="n"/>
    </row>
    <row r="1250">
      <c r="H1250" s="629" t="n"/>
    </row>
    <row r="1251">
      <c r="H1251" s="629" t="n"/>
    </row>
    <row r="1252">
      <c r="H1252" s="629" t="n"/>
    </row>
    <row r="1253">
      <c r="H1253" s="629" t="n"/>
    </row>
    <row r="1254">
      <c r="H1254" s="629" t="n"/>
    </row>
    <row r="1255">
      <c r="H1255" s="629" t="n"/>
    </row>
    <row r="1256">
      <c r="H1256" s="629" t="n"/>
    </row>
    <row r="1257">
      <c r="H1257" s="629" t="n"/>
    </row>
    <row r="1258">
      <c r="H1258" s="629" t="n"/>
    </row>
    <row r="1259">
      <c r="H1259" s="629" t="n"/>
    </row>
    <row r="1260">
      <c r="H1260" s="629" t="n"/>
    </row>
    <row r="1261">
      <c r="H1261" s="629" t="n"/>
    </row>
    <row r="1262">
      <c r="H1262" s="629" t="n"/>
    </row>
    <row r="1263">
      <c r="H1263" s="629" t="n"/>
    </row>
    <row r="1264">
      <c r="H1264" s="629" t="n"/>
    </row>
    <row r="1265">
      <c r="H1265" s="629" t="n"/>
    </row>
    <row r="1266">
      <c r="H1266" s="629" t="n"/>
    </row>
    <row r="1267">
      <c r="H1267" s="629" t="n"/>
    </row>
    <row r="1268">
      <c r="H1268" s="629" t="n"/>
    </row>
    <row r="1269">
      <c r="H1269" s="629" t="n"/>
    </row>
    <row r="1270">
      <c r="H1270" s="629" t="n"/>
    </row>
    <row r="1271">
      <c r="H1271" s="629" t="n"/>
    </row>
    <row r="1272">
      <c r="H1272" s="629" t="n"/>
    </row>
    <row r="1273">
      <c r="H1273" s="629" t="n"/>
    </row>
    <row r="1274">
      <c r="H1274" s="629" t="n"/>
    </row>
    <row r="1275">
      <c r="H1275" s="629" t="n"/>
    </row>
    <row r="1276">
      <c r="H1276" s="629" t="n"/>
    </row>
    <row r="1277">
      <c r="H1277" s="629" t="n"/>
    </row>
    <row r="1278">
      <c r="H1278" s="629" t="n"/>
    </row>
    <row r="1279">
      <c r="H1279" s="629" t="n"/>
    </row>
    <row r="1280">
      <c r="H1280" s="629" t="n"/>
    </row>
    <row r="1281">
      <c r="H1281" s="629" t="n"/>
    </row>
    <row r="1282">
      <c r="H1282" s="629" t="n"/>
    </row>
    <row r="1283">
      <c r="H1283" s="629" t="n"/>
    </row>
    <row r="1284">
      <c r="H1284" s="629" t="n"/>
    </row>
    <row r="1285">
      <c r="H1285" s="629" t="n"/>
    </row>
    <row r="1286">
      <c r="H1286" s="629" t="n"/>
    </row>
    <row r="1287">
      <c r="H1287" s="629" t="n"/>
    </row>
    <row r="1288">
      <c r="H1288" s="629" t="n"/>
    </row>
    <row r="1289">
      <c r="H1289" s="629" t="n"/>
    </row>
    <row r="1290">
      <c r="H1290" s="629" t="n"/>
    </row>
    <row r="1291">
      <c r="H1291" s="629" t="n"/>
    </row>
    <row r="1292">
      <c r="H1292" s="629" t="n"/>
    </row>
    <row r="1293">
      <c r="H1293" s="629" t="n"/>
    </row>
    <row r="1294">
      <c r="H1294" s="629" t="n"/>
    </row>
    <row r="1295">
      <c r="H1295" s="629" t="n"/>
    </row>
    <row r="1296">
      <c r="H1296" s="629" t="n"/>
    </row>
    <row r="1297">
      <c r="H1297" s="629" t="n"/>
    </row>
    <row r="1298">
      <c r="H1298" s="629" t="n"/>
    </row>
    <row r="1299">
      <c r="H1299" s="629" t="n"/>
    </row>
    <row r="1300">
      <c r="H1300" s="629" t="n"/>
    </row>
    <row r="1301">
      <c r="H1301" s="629" t="n"/>
    </row>
    <row r="1302">
      <c r="H1302" s="629" t="n"/>
    </row>
    <row r="1303">
      <c r="H1303" s="629" t="n"/>
    </row>
    <row r="1304">
      <c r="H1304" s="629" t="n"/>
    </row>
    <row r="1305">
      <c r="H1305" s="629" t="n"/>
    </row>
    <row r="1306">
      <c r="H1306" s="629" t="n"/>
    </row>
    <row r="1307">
      <c r="H1307" s="629" t="n"/>
    </row>
    <row r="1308">
      <c r="H1308" s="629" t="n"/>
    </row>
    <row r="1309">
      <c r="H1309" s="629" t="n"/>
    </row>
    <row r="1310">
      <c r="H1310" s="629" t="n"/>
    </row>
    <row r="1311">
      <c r="H1311" s="629" t="n"/>
    </row>
    <row r="1312">
      <c r="H1312" s="629" t="n"/>
    </row>
    <row r="1313">
      <c r="H1313" s="629" t="n"/>
    </row>
    <row r="1314">
      <c r="H1314" s="629" t="n"/>
    </row>
    <row r="1315">
      <c r="H1315" s="629" t="n"/>
    </row>
    <row r="1316">
      <c r="H1316" s="629" t="n"/>
    </row>
    <row r="1317">
      <c r="H1317" s="629" t="n"/>
    </row>
    <row r="1318">
      <c r="H1318" s="629" t="n"/>
    </row>
    <row r="1319">
      <c r="H1319" s="629" t="n"/>
    </row>
    <row r="1320">
      <c r="H1320" s="629" t="n"/>
    </row>
    <row r="1321">
      <c r="H1321" s="629" t="n"/>
    </row>
    <row r="1322">
      <c r="H1322" s="629" t="n"/>
    </row>
    <row r="1323">
      <c r="H1323" s="629" t="n"/>
    </row>
    <row r="1324">
      <c r="H1324" s="629" t="n"/>
    </row>
    <row r="1325">
      <c r="H1325" s="629" t="n"/>
    </row>
    <row r="1326">
      <c r="H1326" s="629" t="n"/>
    </row>
    <row r="1327">
      <c r="H1327" s="629" t="n"/>
    </row>
    <row r="1328">
      <c r="H1328" s="629" t="n"/>
    </row>
    <row r="1329">
      <c r="H1329" s="629" t="n"/>
    </row>
    <row r="1330">
      <c r="H1330" s="629" t="n"/>
    </row>
    <row r="1331">
      <c r="H1331" s="629" t="n"/>
    </row>
    <row r="1332">
      <c r="H1332" s="629" t="n"/>
    </row>
    <row r="1333">
      <c r="H1333" s="629" t="n"/>
    </row>
    <row r="1334">
      <c r="H1334" s="629" t="n"/>
    </row>
    <row r="1335">
      <c r="H1335" s="629" t="n"/>
    </row>
    <row r="1336">
      <c r="H1336" s="629" t="n"/>
    </row>
    <row r="1337">
      <c r="H1337" s="629" t="n"/>
    </row>
    <row r="1338">
      <c r="H1338" s="629" t="n"/>
    </row>
    <row r="1339">
      <c r="H1339" s="629" t="n"/>
    </row>
    <row r="1340">
      <c r="H1340" s="629" t="n"/>
    </row>
    <row r="1341">
      <c r="H1341" s="629" t="n"/>
    </row>
    <row r="1342">
      <c r="H1342" s="629" t="n"/>
    </row>
    <row r="1343">
      <c r="H1343" s="629" t="n"/>
    </row>
    <row r="1344">
      <c r="H1344" s="629" t="n"/>
    </row>
    <row r="1345">
      <c r="H1345" s="629" t="n"/>
    </row>
    <row r="1346">
      <c r="H1346" s="629" t="n"/>
    </row>
    <row r="1347">
      <c r="H1347" s="629" t="n"/>
    </row>
    <row r="1348">
      <c r="H1348" s="629" t="n"/>
    </row>
    <row r="1349">
      <c r="H1349" s="629" t="n"/>
    </row>
    <row r="1350">
      <c r="H1350" s="629" t="n"/>
    </row>
    <row r="1351">
      <c r="H1351" s="629" t="n"/>
    </row>
    <row r="1352">
      <c r="H1352" s="629" t="n"/>
    </row>
    <row r="1353">
      <c r="H1353" s="629" t="n"/>
    </row>
    <row r="1354">
      <c r="H1354" s="629" t="n"/>
    </row>
    <row r="1355">
      <c r="H1355" s="629" t="n"/>
    </row>
    <row r="1356">
      <c r="H1356" s="629" t="n"/>
    </row>
    <row r="1357">
      <c r="H1357" s="629" t="n"/>
    </row>
    <row r="1358">
      <c r="H1358" s="629" t="n"/>
    </row>
    <row r="1359">
      <c r="H1359" s="629" t="n"/>
    </row>
    <row r="1360">
      <c r="H1360" s="629" t="n"/>
    </row>
    <row r="1361">
      <c r="H1361" s="629" t="n"/>
    </row>
    <row r="1362">
      <c r="H1362" s="629" t="n"/>
    </row>
    <row r="1363">
      <c r="H1363" s="629" t="n"/>
    </row>
    <row r="1364">
      <c r="H1364" s="629" t="n"/>
    </row>
    <row r="1365">
      <c r="H1365" s="629" t="n"/>
    </row>
    <row r="1366">
      <c r="H1366" s="629" t="n"/>
    </row>
    <row r="1367">
      <c r="H1367" s="629" t="n"/>
    </row>
    <row r="1368">
      <c r="H1368" s="629" t="n"/>
    </row>
    <row r="1369">
      <c r="H1369" s="629" t="n"/>
    </row>
    <row r="1370">
      <c r="H1370" s="629" t="n"/>
    </row>
    <row r="1371">
      <c r="H1371" s="629" t="n"/>
    </row>
    <row r="1372">
      <c r="H1372" s="629" t="n"/>
    </row>
    <row r="1373">
      <c r="H1373" s="629" t="n"/>
    </row>
    <row r="1374">
      <c r="H1374" s="629" t="n"/>
    </row>
    <row r="1375">
      <c r="H1375" s="629" t="n"/>
    </row>
    <row r="1376">
      <c r="H1376" s="629" t="n"/>
    </row>
    <row r="1377">
      <c r="H1377" s="629" t="n"/>
    </row>
    <row r="1378">
      <c r="H1378" s="629" t="n"/>
    </row>
    <row r="1379">
      <c r="H1379" s="629" t="n"/>
    </row>
    <row r="1380">
      <c r="H1380" s="629" t="n"/>
    </row>
    <row r="1381">
      <c r="H1381" s="629" t="n"/>
    </row>
    <row r="1382">
      <c r="H1382" s="629" t="n"/>
    </row>
    <row r="1383">
      <c r="H1383" s="629" t="n"/>
    </row>
    <row r="1384">
      <c r="H1384" s="629" t="n"/>
    </row>
    <row r="1385">
      <c r="H1385" s="629" t="n"/>
    </row>
    <row r="1386">
      <c r="H1386" s="629" t="n"/>
    </row>
    <row r="1387">
      <c r="H1387" s="629" t="n"/>
    </row>
    <row r="1388">
      <c r="H1388" s="629" t="n"/>
    </row>
    <row r="1389">
      <c r="H1389" s="629" t="n"/>
    </row>
    <row r="1390">
      <c r="H1390" s="629" t="n"/>
    </row>
    <row r="1391">
      <c r="H1391" s="629" t="n"/>
    </row>
    <row r="1392">
      <c r="H1392" s="629" t="n"/>
    </row>
    <row r="1393">
      <c r="H1393" s="629" t="n"/>
    </row>
    <row r="1394">
      <c r="H1394" s="629" t="n"/>
    </row>
    <row r="1395">
      <c r="H1395" s="629" t="n"/>
    </row>
    <row r="1396">
      <c r="H1396" s="629" t="n"/>
    </row>
    <row r="1397">
      <c r="H1397" s="629" t="n"/>
    </row>
    <row r="1398">
      <c r="H1398" s="629" t="n"/>
    </row>
    <row r="1399">
      <c r="H1399" s="629" t="n"/>
    </row>
    <row r="1400">
      <c r="H1400" s="629" t="n"/>
    </row>
    <row r="1401">
      <c r="H1401" s="629" t="n"/>
    </row>
    <row r="1402">
      <c r="H1402" s="629" t="n"/>
    </row>
    <row r="1403">
      <c r="H1403" s="629" t="n"/>
    </row>
    <row r="1404">
      <c r="H1404" s="629" t="n"/>
    </row>
    <row r="1405">
      <c r="H1405" s="629" t="n"/>
    </row>
    <row r="1406">
      <c r="H1406" s="629" t="n"/>
    </row>
    <row r="1407">
      <c r="H1407" s="629" t="n"/>
    </row>
    <row r="1408">
      <c r="H1408" s="629" t="n"/>
    </row>
    <row r="1409">
      <c r="H1409" s="629" t="n"/>
    </row>
    <row r="1410">
      <c r="H1410" s="629" t="n"/>
    </row>
    <row r="1411">
      <c r="H1411" s="629" t="n"/>
    </row>
    <row r="1412">
      <c r="H1412" s="629" t="n"/>
    </row>
    <row r="1413">
      <c r="H1413" s="629" t="n"/>
    </row>
    <row r="1414">
      <c r="H1414" s="629" t="n"/>
    </row>
    <row r="1415">
      <c r="H1415" s="629" t="n"/>
    </row>
    <row r="1416">
      <c r="H1416" s="629" t="n"/>
    </row>
    <row r="1417">
      <c r="H1417" s="629" t="n"/>
    </row>
    <row r="1418">
      <c r="H1418" s="629" t="n"/>
    </row>
    <row r="1419">
      <c r="H1419" s="629" t="n"/>
    </row>
    <row r="1420">
      <c r="H1420" s="629" t="n"/>
    </row>
    <row r="1421">
      <c r="H1421" s="629" t="n"/>
    </row>
    <row r="1422">
      <c r="H1422" s="629" t="n"/>
    </row>
    <row r="1423">
      <c r="H1423" s="629" t="n"/>
    </row>
    <row r="1424">
      <c r="H1424" s="629" t="n"/>
    </row>
    <row r="1425">
      <c r="H1425" s="629" t="n"/>
    </row>
    <row r="1426">
      <c r="H1426" s="629" t="n"/>
    </row>
    <row r="1427">
      <c r="H1427" s="629" t="n"/>
    </row>
    <row r="1428">
      <c r="H1428" s="629" t="n"/>
    </row>
    <row r="1429">
      <c r="H1429" s="629" t="n"/>
    </row>
  </sheetData>
  <conditionalFormatting sqref="L1:M1">
    <cfRule type="duplicateValues" priority="1" dxfId="192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Sheet4">
    <tabColor rgb="FF1696D0"/>
    <outlinePr summaryBelow="0" summaryRight="0"/>
    <pageSetUpPr fitToPage="1"/>
  </sheetPr>
  <dimension ref="A1:CM87"/>
  <sheetViews>
    <sheetView showGridLines="0" showRowColHeaders="0" topLeftCell="A16" zoomScaleNormal="100" workbookViewId="0">
      <selection activeCell="BJ20" sqref="BJ20"/>
    </sheetView>
  </sheetViews>
  <sheetFormatPr baseColWidth="8" defaultColWidth="17.28515625" defaultRowHeight="15" customHeight="1"/>
  <cols>
    <col width="1.7109375" customWidth="1" style="164" min="1" max="1"/>
    <col width="21.7109375" customWidth="1" style="264" min="2" max="2"/>
    <col width="5.85546875" customWidth="1" style="264" min="3" max="3"/>
    <col width="4.7109375" customWidth="1" style="264" min="4" max="5"/>
    <col width="2.7109375" customWidth="1" style="264" min="6" max="41"/>
    <col width="2.42578125" customWidth="1" style="264" min="42" max="42"/>
    <col width="2.7109375" customWidth="1" style="264" min="43" max="43"/>
    <col hidden="1" width="5.42578125" customWidth="1" style="264" min="44" max="47"/>
    <col width="4.7109375" customWidth="1" style="264" min="48" max="48"/>
    <col width="5" customWidth="1" style="264" min="49" max="50"/>
    <col width="4.140625" customWidth="1" style="264" min="51" max="51"/>
    <col width="12.5703125" customWidth="1" style="264" min="52" max="52"/>
    <col width="5.42578125" customWidth="1" style="264" min="53" max="53"/>
    <col width="2.85546875" customWidth="1" style="264" min="54" max="54"/>
    <col width="18.85546875" customWidth="1" style="264" min="55" max="55"/>
    <col width="0.42578125" customWidth="1" style="264" min="56" max="56"/>
    <col width="4.7109375" customWidth="1" style="264" min="57" max="58"/>
    <col hidden="1" width="3.28515625" customWidth="1" style="264" min="59" max="59"/>
    <col width="0.42578125" customWidth="1" style="264" min="60" max="60"/>
    <col width="4.7109375" customWidth="1" style="264" min="61" max="62"/>
    <col hidden="1" width="3.28515625" customWidth="1" style="264" min="63" max="63"/>
    <col width="0.42578125" customWidth="1" style="264" min="64" max="64"/>
    <col width="4.7109375" customWidth="1" style="264" min="65" max="66"/>
    <col hidden="1" width="3.28515625" customWidth="1" style="264" min="67" max="67"/>
    <col width="0.42578125" customWidth="1" style="264" min="68" max="68"/>
    <col width="4.7109375" customWidth="1" style="264" min="69" max="70"/>
    <col hidden="1" width="3.28515625" customWidth="1" style="264" min="71" max="71"/>
    <col width="0.42578125" customWidth="1" style="264" min="72" max="72"/>
    <col width="4.7109375" customWidth="1" style="264" min="73" max="74"/>
    <col hidden="1" width="3.28515625" customWidth="1" style="264" min="75" max="75"/>
    <col width="0.42578125" customWidth="1" style="264" min="76" max="76"/>
    <col width="4.7109375" customWidth="1" style="264" min="77" max="78"/>
    <col hidden="1" width="3.28515625" customWidth="1" style="264" min="79" max="79"/>
    <col width="0.42578125" customWidth="1" style="264" min="80" max="80"/>
    <col width="4.7109375" customWidth="1" style="264" min="81" max="82"/>
    <col hidden="1" width="3.28515625" customWidth="1" style="264" min="83" max="83"/>
    <col width="0.42578125" customWidth="1" style="264" min="84" max="84"/>
    <col width="5.7109375" customWidth="1" style="264" min="85" max="85"/>
    <col width="0.42578125" customWidth="1" style="264" min="86" max="86"/>
    <col width="3.85546875" customWidth="1" style="264" min="87" max="90"/>
    <col width="0.85546875" customWidth="1" style="264" min="91" max="91"/>
    <col width="17.28515625" customWidth="1" style="264" min="92" max="16384"/>
  </cols>
  <sheetData>
    <row r="1" ht="6" customHeight="1" thickBot="1">
      <c r="A1" s="720">
        <f>CONCATENATE("Planning week ",IF(Access!C4="B","BASIS",IF(Access!C4="","BASIS",WEEKNUM(Access!C4,21))))</f>
        <v/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  <c r="AR1" s="112" t="n"/>
      <c r="AS1" s="112" t="n"/>
      <c r="AT1" s="112" t="n"/>
      <c r="AU1" s="112" t="n"/>
      <c r="AV1" s="113" t="n"/>
    </row>
    <row r="2" ht="14.1" customHeight="1">
      <c r="A2" s="858" t="n"/>
      <c r="B2" s="264" t="n"/>
      <c r="C2" s="264" t="n"/>
      <c r="D2" s="264" t="n"/>
      <c r="E2" s="264" t="n"/>
      <c r="F2" s="264" t="n"/>
      <c r="G2" s="264" t="n"/>
      <c r="H2" s="264" t="n"/>
      <c r="I2" s="264" t="n"/>
      <c r="J2" s="264" t="n"/>
      <c r="K2" s="724" t="n"/>
      <c r="L2" s="859" t="n"/>
      <c r="M2" s="860" t="n"/>
      <c r="N2" s="725" t="inlineStr">
        <is>
          <t>Maandag</t>
        </is>
      </c>
      <c r="O2" s="859" t="n"/>
      <c r="P2" s="860" t="n"/>
      <c r="Q2" s="725" t="inlineStr">
        <is>
          <t>Dinsdag</t>
        </is>
      </c>
      <c r="R2" s="859" t="n"/>
      <c r="S2" s="860" t="n"/>
      <c r="T2" s="725" t="inlineStr">
        <is>
          <t>Woensdag</t>
        </is>
      </c>
      <c r="U2" s="859" t="n"/>
      <c r="V2" s="860" t="n"/>
      <c r="W2" s="725" t="inlineStr">
        <is>
          <t>Donderdag</t>
        </is>
      </c>
      <c r="X2" s="859" t="n"/>
      <c r="Y2" s="860" t="n"/>
      <c r="Z2" s="725" t="inlineStr">
        <is>
          <t>Vrijdag</t>
        </is>
      </c>
      <c r="AA2" s="859" t="n"/>
      <c r="AB2" s="860" t="n"/>
      <c r="AC2" s="725" t="inlineStr">
        <is>
          <t>Zaterdag</t>
        </is>
      </c>
      <c r="AD2" s="859" t="n"/>
      <c r="AE2" s="860" t="n"/>
      <c r="AF2" s="725" t="inlineStr">
        <is>
          <t>Zondag</t>
        </is>
      </c>
      <c r="AG2" s="859" t="n"/>
      <c r="AH2" s="860" t="n"/>
      <c r="AI2" s="740" t="inlineStr">
        <is>
          <t>Totaal</t>
        </is>
      </c>
      <c r="AJ2" s="859" t="n"/>
      <c r="AK2" s="860" t="n"/>
      <c r="AL2" s="258" t="n"/>
      <c r="AM2" s="259" t="n"/>
      <c r="AN2" s="259" t="n"/>
      <c r="AO2" s="259" t="n"/>
      <c r="AP2" s="259" t="n"/>
      <c r="AQ2" s="259" t="n"/>
      <c r="AR2" s="259" t="n"/>
      <c r="AS2" s="259" t="n"/>
      <c r="AT2" s="259" t="n"/>
      <c r="AU2" s="259" t="n"/>
      <c r="AV2" s="114" t="n"/>
      <c r="AW2" s="106" t="n"/>
      <c r="AX2" s="838" t="n"/>
      <c r="AY2" s="861" t="inlineStr">
        <is>
          <t>Planning OK?</t>
        </is>
      </c>
      <c r="AZ2" s="862" t="n"/>
      <c r="BA2" s="19" t="n"/>
      <c r="BB2" s="838" t="n"/>
      <c r="BC2" s="20" t="n"/>
      <c r="BD2" s="20" t="n"/>
      <c r="BE2" s="20" t="n"/>
      <c r="BF2" s="20" t="n"/>
      <c r="BG2" s="20" t="n"/>
      <c r="BH2" s="20" t="n"/>
      <c r="BI2" s="20" t="n"/>
      <c r="BJ2" s="20" t="n"/>
      <c r="BK2" s="20" t="n"/>
      <c r="BL2" s="20" t="n"/>
      <c r="BM2" s="20" t="n"/>
      <c r="BN2" s="20" t="n"/>
      <c r="BO2" s="20" t="n"/>
      <c r="BP2" s="20" t="n"/>
      <c r="BQ2" s="20" t="n"/>
      <c r="BR2" s="20" t="n"/>
      <c r="BS2" s="20" t="n"/>
      <c r="BT2" s="20" t="n"/>
      <c r="BU2" s="20" t="n"/>
      <c r="BV2" s="20" t="n"/>
      <c r="BW2" s="20" t="n"/>
      <c r="BX2" s="20" t="n"/>
      <c r="BY2" s="20" t="n"/>
      <c r="BZ2" s="20" t="n"/>
      <c r="CA2" s="20" t="n"/>
      <c r="CB2" s="20" t="n"/>
      <c r="CC2" s="20" t="n"/>
      <c r="CD2" s="20" t="n"/>
      <c r="CE2" s="20" t="n"/>
      <c r="CF2" s="20" t="n"/>
      <c r="CG2" s="20" t="n"/>
      <c r="CH2" s="20" t="n"/>
      <c r="CI2" s="20" t="n"/>
      <c r="CJ2" s="20" t="n"/>
      <c r="CK2" s="20" t="n"/>
      <c r="CL2" s="20" t="n"/>
      <c r="CM2" s="20" t="n"/>
    </row>
    <row r="3" ht="14.1" customHeight="1">
      <c r="A3" s="858" t="n"/>
      <c r="B3" s="264" t="n"/>
      <c r="C3" s="264" t="n"/>
      <c r="D3" s="264" t="n"/>
      <c r="E3" s="264" t="n"/>
      <c r="F3" s="264" t="n"/>
      <c r="G3" s="264" t="n"/>
      <c r="H3" s="264" t="n"/>
      <c r="I3" s="264" t="n"/>
      <c r="J3" s="264" t="n"/>
      <c r="K3" s="728" t="inlineStr">
        <is>
          <t>Gepland</t>
        </is>
      </c>
      <c r="L3" s="863" t="n"/>
      <c r="M3" s="864" t="n"/>
      <c r="N3" s="730">
        <f>Ma!AV65</f>
        <v/>
      </c>
      <c r="O3" s="863" t="n"/>
      <c r="P3" s="864" t="n"/>
      <c r="Q3" s="731">
        <f>Di!AV65</f>
        <v/>
      </c>
      <c r="R3" s="863" t="n"/>
      <c r="S3" s="864" t="n"/>
      <c r="T3" s="731">
        <f>Wo!AV65</f>
        <v/>
      </c>
      <c r="U3" s="863" t="n"/>
      <c r="V3" s="864" t="n"/>
      <c r="W3" s="731">
        <f>Do!AV65</f>
        <v/>
      </c>
      <c r="X3" s="863" t="n"/>
      <c r="Y3" s="864" t="n"/>
      <c r="Z3" s="731">
        <f>Vr!AV65</f>
        <v/>
      </c>
      <c r="AA3" s="863" t="n"/>
      <c r="AB3" s="864" t="n"/>
      <c r="AC3" s="731">
        <f>Za!AV65</f>
        <v/>
      </c>
      <c r="AD3" s="863" t="n"/>
      <c r="AE3" s="864" t="n"/>
      <c r="AF3" s="731">
        <f>Zo!AV65</f>
        <v/>
      </c>
      <c r="AG3" s="863" t="n"/>
      <c r="AH3" s="864" t="n"/>
      <c r="AI3" s="713">
        <f>SUM(N3:AH3)</f>
        <v/>
      </c>
      <c r="AJ3" s="863" t="n"/>
      <c r="AK3" s="864" t="n"/>
      <c r="AL3" s="96" t="n"/>
      <c r="AM3" s="96" t="n"/>
      <c r="AN3" s="96" t="n"/>
      <c r="AO3" s="96" t="n"/>
      <c r="AP3" s="96" t="n"/>
      <c r="AQ3" s="96" t="n"/>
      <c r="AR3" s="96" t="n"/>
      <c r="AS3" s="96" t="n"/>
      <c r="AT3" s="96" t="n"/>
      <c r="AU3" s="96" t="n"/>
      <c r="AV3" s="114" t="n"/>
      <c r="AW3" s="106" t="n"/>
      <c r="AX3" s="838" t="n"/>
      <c r="AY3" s="865">
        <f>IF(SUM(A13:A63)=1326,"JA","NEE")</f>
        <v/>
      </c>
      <c r="AZ3" s="866" t="n"/>
      <c r="BA3" s="19" t="n"/>
      <c r="BB3" s="838" t="n"/>
      <c r="BC3" s="20" t="n"/>
      <c r="BD3" s="20" t="n"/>
      <c r="BE3" s="20" t="n"/>
      <c r="BF3" s="20" t="n"/>
      <c r="BG3" s="20" t="n"/>
      <c r="BH3" s="20" t="n"/>
      <c r="BI3" s="20" t="n"/>
      <c r="BJ3" s="20" t="n"/>
      <c r="BK3" s="20" t="n"/>
      <c r="BL3" s="20" t="n"/>
      <c r="BM3" s="20" t="n"/>
      <c r="BN3" s="20" t="n"/>
      <c r="BO3" s="20" t="n"/>
      <c r="BP3" s="20" t="n"/>
      <c r="BQ3" s="20" t="n"/>
      <c r="BR3" s="20" t="n"/>
      <c r="BS3" s="20" t="n"/>
      <c r="BT3" s="20" t="n"/>
      <c r="BU3" s="20" t="n"/>
      <c r="BV3" s="20" t="n"/>
      <c r="BW3" s="20" t="n"/>
      <c r="BX3" s="20" t="n"/>
      <c r="BY3" s="20" t="n"/>
      <c r="BZ3" s="20" t="n"/>
      <c r="CA3" s="20" t="n"/>
      <c r="CB3" s="20" t="n"/>
      <c r="CC3" s="20" t="n"/>
      <c r="CD3" s="20" t="n"/>
      <c r="CE3" s="20" t="n"/>
      <c r="CF3" s="20" t="n"/>
      <c r="CG3" s="20" t="n"/>
      <c r="CH3" s="20" t="n"/>
      <c r="CI3" s="20" t="n"/>
      <c r="CJ3" s="20" t="n"/>
      <c r="CK3" s="20" t="n"/>
      <c r="CL3" s="20" t="n"/>
      <c r="CM3" s="20" t="n"/>
    </row>
    <row r="4" ht="14.1" customHeight="1">
      <c r="A4" s="867">
        <f>CONCATENATE("maandag ",IF(Access!C4="","",TEXT(Access!C4,"D-M-JJJJ")))</f>
        <v/>
      </c>
      <c r="B4" s="264" t="n"/>
      <c r="C4" s="264" t="n"/>
      <c r="D4" s="264" t="n"/>
      <c r="E4" s="264" t="n"/>
      <c r="F4" s="264" t="n"/>
      <c r="G4" s="264" t="n"/>
      <c r="H4" s="264" t="n"/>
      <c r="I4" s="264" t="n"/>
      <c r="J4" s="264" t="n"/>
      <c r="K4" s="728" t="inlineStr">
        <is>
          <t>Norm</t>
        </is>
      </c>
      <c r="L4" s="863" t="n"/>
      <c r="M4" s="864" t="n"/>
      <c r="N4" s="730">
        <f>Instellingen!F23</f>
        <v/>
      </c>
      <c r="O4" s="863" t="n"/>
      <c r="P4" s="864" t="n"/>
      <c r="Q4" s="731">
        <f>Instellingen!G23</f>
        <v/>
      </c>
      <c r="R4" s="863" t="n"/>
      <c r="S4" s="864" t="n"/>
      <c r="T4" s="731">
        <f>Instellingen!H23</f>
        <v/>
      </c>
      <c r="U4" s="863" t="n"/>
      <c r="V4" s="864" t="n"/>
      <c r="W4" s="731">
        <f>Instellingen!I23</f>
        <v/>
      </c>
      <c r="X4" s="863" t="n"/>
      <c r="Y4" s="864" t="n"/>
      <c r="Z4" s="731">
        <f>Instellingen!J23</f>
        <v/>
      </c>
      <c r="AA4" s="863" t="n"/>
      <c r="AB4" s="864" t="n"/>
      <c r="AC4" s="731">
        <f>Instellingen!K23</f>
        <v/>
      </c>
      <c r="AD4" s="863" t="n"/>
      <c r="AE4" s="864" t="n"/>
      <c r="AF4" s="731">
        <f>Instellingen!L23</f>
        <v/>
      </c>
      <c r="AG4" s="863" t="n"/>
      <c r="AH4" s="864" t="n"/>
      <c r="AI4" s="713">
        <f>Begroting!N71</f>
        <v/>
      </c>
      <c r="AJ4" s="863" t="n"/>
      <c r="AK4" s="864" t="n"/>
      <c r="AL4" s="96" t="n"/>
      <c r="AM4" s="96" t="n"/>
      <c r="AN4" s="96" t="n"/>
      <c r="AO4" s="96" t="n"/>
      <c r="AP4" s="96" t="n"/>
      <c r="AQ4" s="96" t="n"/>
      <c r="AR4" s="96" t="n"/>
      <c r="AS4" s="96" t="n"/>
      <c r="AT4" s="96" t="n"/>
      <c r="AU4" s="96" t="n"/>
      <c r="AV4" s="114" t="n"/>
      <c r="AW4" s="106" t="n"/>
      <c r="AX4" s="838" t="n"/>
      <c r="AY4" s="868" t="n"/>
      <c r="AZ4" s="869" t="n"/>
      <c r="BA4" s="19" t="n"/>
      <c r="BB4" s="838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20" t="n"/>
      <c r="BU4" s="20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  <c r="CE4" s="20" t="n"/>
      <c r="CF4" s="20" t="n"/>
      <c r="CG4" s="20" t="n"/>
      <c r="CH4" s="20" t="n"/>
      <c r="CI4" s="20" t="n"/>
      <c r="CJ4" s="20" t="n"/>
      <c r="CK4" s="20" t="n"/>
      <c r="CL4" s="20" t="n"/>
      <c r="CM4" s="20" t="n"/>
    </row>
    <row r="5" ht="14.1" customHeight="1" thickBot="1">
      <c r="A5" s="858" t="n"/>
      <c r="B5" s="264" t="n"/>
      <c r="C5" s="264" t="n"/>
      <c r="D5" s="264" t="n"/>
      <c r="E5" s="264" t="n"/>
      <c r="F5" s="264" t="n"/>
      <c r="G5" s="264" t="n"/>
      <c r="H5" s="264" t="n"/>
      <c r="I5" s="264" t="n"/>
      <c r="J5" s="264" t="n"/>
      <c r="K5" s="732" t="inlineStr">
        <is>
          <t>Verschil</t>
        </is>
      </c>
      <c r="L5" s="870" t="n"/>
      <c r="M5" s="871" t="n"/>
      <c r="N5" s="734">
        <f>N4-N3</f>
        <v/>
      </c>
      <c r="O5" s="870" t="n"/>
      <c r="P5" s="871" t="n"/>
      <c r="Q5" s="735">
        <f>Q4-Q3</f>
        <v/>
      </c>
      <c r="R5" s="870" t="n"/>
      <c r="S5" s="871" t="n"/>
      <c r="T5" s="735">
        <f>T4-T3</f>
        <v/>
      </c>
      <c r="U5" s="870" t="n"/>
      <c r="V5" s="871" t="n"/>
      <c r="W5" s="735">
        <f>W4-W3</f>
        <v/>
      </c>
      <c r="X5" s="870" t="n"/>
      <c r="Y5" s="871" t="n"/>
      <c r="Z5" s="735">
        <f>Z4-Z3</f>
        <v/>
      </c>
      <c r="AA5" s="870" t="n"/>
      <c r="AB5" s="871" t="n"/>
      <c r="AC5" s="735">
        <f>AC4-AC3</f>
        <v/>
      </c>
      <c r="AD5" s="870" t="n"/>
      <c r="AE5" s="871" t="n"/>
      <c r="AF5" s="735">
        <f>AF4-AF3</f>
        <v/>
      </c>
      <c r="AG5" s="870" t="n"/>
      <c r="AH5" s="871" t="n"/>
      <c r="AI5" s="742">
        <f>AI4-AI3</f>
        <v/>
      </c>
      <c r="AJ5" s="870" t="n"/>
      <c r="AK5" s="871" t="n"/>
      <c r="AL5" s="96" t="n"/>
      <c r="AM5" s="96" t="n"/>
      <c r="AN5" s="96" t="n"/>
      <c r="AO5" s="96" t="n"/>
      <c r="AP5" s="96" t="n"/>
      <c r="AQ5" s="96" t="n"/>
      <c r="AR5" s="96" t="n"/>
      <c r="AS5" s="96" t="n"/>
      <c r="AT5" s="96" t="n"/>
      <c r="AU5" s="96" t="n"/>
      <c r="AV5" s="114" t="n"/>
      <c r="AW5" s="123" t="n"/>
      <c r="AX5" s="125" t="n"/>
      <c r="AY5" s="125" t="n"/>
      <c r="AZ5" s="125" t="n"/>
      <c r="BA5" s="125" t="n"/>
      <c r="BB5" s="124" t="n"/>
      <c r="BC5" s="838" t="n"/>
      <c r="BD5" s="838" t="n"/>
      <c r="BE5" s="838" t="n"/>
      <c r="BF5" s="838" t="n"/>
      <c r="BG5" s="838" t="n"/>
      <c r="BH5" s="838" t="n"/>
      <c r="BI5" s="838" t="n"/>
      <c r="BJ5" s="838" t="n"/>
      <c r="BK5" s="838" t="n"/>
      <c r="BL5" s="838" t="n"/>
      <c r="BM5" s="838" t="n"/>
      <c r="BN5" s="838" t="n"/>
      <c r="BO5" s="838" t="n"/>
      <c r="BP5" s="838" t="n"/>
      <c r="BQ5" s="21" t="n"/>
      <c r="BR5" s="21" t="n"/>
      <c r="BS5" s="21" t="n"/>
      <c r="BT5" s="21" t="n"/>
      <c r="BU5" s="21" t="n"/>
      <c r="BV5" s="21" t="n"/>
      <c r="BW5" s="21" t="n"/>
      <c r="BX5" s="21" t="n"/>
      <c r="BY5" s="21" t="n"/>
      <c r="BZ5" s="21" t="n"/>
      <c r="CA5" s="21" t="n"/>
      <c r="CB5" s="21" t="n"/>
      <c r="CC5" s="21" t="n"/>
      <c r="CD5" s="21" t="n"/>
      <c r="CE5" s="21" t="n"/>
      <c r="CF5" s="21" t="n"/>
      <c r="CG5" s="21" t="n"/>
      <c r="CH5" s="21" t="n"/>
      <c r="CI5" s="21" t="n"/>
      <c r="CJ5" s="21" t="n"/>
      <c r="CK5" s="21" t="n"/>
      <c r="CL5" s="21" t="n"/>
      <c r="CM5" s="21" t="n"/>
    </row>
    <row r="6" ht="5.1" customHeight="1">
      <c r="A6" s="165" t="n"/>
      <c r="B6" s="96" t="n"/>
      <c r="C6" s="96" t="n"/>
      <c r="D6" s="96" t="n"/>
      <c r="E6" s="96" t="n"/>
      <c r="F6" s="96" t="n"/>
      <c r="G6" s="96" t="n"/>
      <c r="H6" s="96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  <c r="AA6" s="96" t="n"/>
      <c r="AB6" s="96" t="n"/>
      <c r="AC6" s="96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6" t="n"/>
      <c r="AM6" s="96" t="n"/>
      <c r="AN6" s="96" t="n"/>
      <c r="AO6" s="96" t="n"/>
      <c r="AP6" s="96" t="n"/>
      <c r="AQ6" s="96" t="n"/>
      <c r="AR6" s="96" t="n"/>
      <c r="AS6" s="96" t="n"/>
      <c r="AT6" s="96" t="n"/>
      <c r="AU6" s="96" t="n"/>
      <c r="AV6" s="114" t="n"/>
      <c r="AW6" s="123" t="n"/>
      <c r="AX6" s="744">
        <f>IFERROR(VLOOKUP(Access!C4,'Instellingen HIDE'!H:I,2,FALSE),"")</f>
        <v/>
      </c>
      <c r="AY6" s="264" t="n"/>
      <c r="AZ6" s="264" t="n"/>
      <c r="BA6" s="264" t="n"/>
      <c r="BB6" s="124" t="n"/>
      <c r="BC6" s="838" t="n"/>
      <c r="BD6" s="838" t="n"/>
      <c r="BE6" s="838" t="n"/>
      <c r="BF6" s="838" t="n"/>
      <c r="BG6" s="838" t="n"/>
      <c r="BH6" s="838" t="n"/>
      <c r="BI6" s="838" t="n"/>
      <c r="BJ6" s="838" t="n"/>
      <c r="BK6" s="838" t="n"/>
      <c r="BL6" s="838" t="n"/>
      <c r="BM6" s="838" t="n"/>
      <c r="BN6" s="838" t="n"/>
      <c r="BO6" s="838" t="n"/>
      <c r="BP6" s="838" t="n"/>
      <c r="BQ6" s="21" t="n"/>
      <c r="BR6" s="21" t="n"/>
      <c r="BS6" s="21" t="n"/>
      <c r="BT6" s="21" t="n"/>
      <c r="BU6" s="21" t="n"/>
      <c r="BV6" s="21" t="n"/>
      <c r="BW6" s="21" t="n"/>
      <c r="BX6" s="21" t="n"/>
      <c r="BY6" s="21" t="n"/>
      <c r="BZ6" s="21" t="n"/>
      <c r="CA6" s="21" t="n"/>
      <c r="CB6" s="21" t="n"/>
      <c r="CC6" s="21" t="n"/>
      <c r="CD6" s="21" t="n"/>
      <c r="CE6" s="21" t="n"/>
      <c r="CF6" s="21" t="n"/>
      <c r="CG6" s="21" t="n"/>
      <c r="CH6" s="21" t="n"/>
      <c r="CI6" s="21" t="n"/>
      <c r="CJ6" s="21" t="n"/>
      <c r="CK6" s="21" t="n"/>
      <c r="CL6" s="21" t="n"/>
      <c r="CM6" s="21" t="n"/>
    </row>
    <row r="7" ht="3" customHeight="1">
      <c r="A7" s="604" t="n"/>
      <c r="B7" s="605" t="n"/>
      <c r="C7" s="605" t="n"/>
      <c r="D7" s="605" t="n"/>
      <c r="E7" s="605" t="n"/>
      <c r="F7" s="605" t="n"/>
      <c r="G7" s="605" t="n"/>
      <c r="H7" s="605" t="n"/>
      <c r="I7" s="605" t="n"/>
      <c r="J7" s="605" t="n"/>
      <c r="K7" s="605" t="n"/>
      <c r="L7" s="605" t="n"/>
      <c r="M7" s="605" t="n"/>
      <c r="N7" s="605" t="n"/>
      <c r="O7" s="605" t="n"/>
      <c r="P7" s="605" t="n"/>
      <c r="Q7" s="605" t="n"/>
      <c r="R7" s="605" t="n"/>
      <c r="S7" s="605" t="n"/>
      <c r="T7" s="605" t="n"/>
      <c r="U7" s="605" t="n"/>
      <c r="V7" s="605" t="n"/>
      <c r="W7" s="605" t="n"/>
      <c r="X7" s="605" t="n"/>
      <c r="Y7" s="605" t="n"/>
      <c r="Z7" s="605" t="n"/>
      <c r="AA7" s="605" t="n"/>
      <c r="AB7" s="605" t="n"/>
      <c r="AC7" s="605" t="n"/>
      <c r="AD7" s="605" t="n"/>
      <c r="AE7" s="605" t="n"/>
      <c r="AF7" s="605" t="n"/>
      <c r="AG7" s="605" t="n"/>
      <c r="AH7" s="605" t="n"/>
      <c r="AI7" s="605" t="n"/>
      <c r="AJ7" s="605" t="n"/>
      <c r="AK7" s="605" t="n"/>
      <c r="AL7" s="605" t="n"/>
      <c r="AM7" s="605" t="n"/>
      <c r="AN7" s="605" t="n"/>
      <c r="AO7" s="605" t="n"/>
      <c r="AP7" s="605" t="n"/>
      <c r="AQ7" s="605" t="n"/>
      <c r="AR7" s="605" t="n"/>
      <c r="AS7" s="605" t="n"/>
      <c r="AT7" s="605" t="n"/>
      <c r="AU7" s="605" t="n"/>
      <c r="AV7" s="605" t="n"/>
      <c r="AW7" s="124" t="n"/>
      <c r="AX7" s="264" t="n"/>
      <c r="AY7" s="264" t="n"/>
      <c r="AZ7" s="264" t="n"/>
      <c r="BA7" s="264" t="n"/>
      <c r="BB7" s="124" t="n"/>
      <c r="BC7" s="838" t="n"/>
      <c r="BD7" s="838" t="n"/>
      <c r="BE7" s="838" t="n"/>
      <c r="BF7" s="838" t="n"/>
      <c r="BG7" s="838" t="n"/>
      <c r="BH7" s="838" t="n"/>
      <c r="BI7" s="838" t="n"/>
      <c r="BJ7" s="838" t="n"/>
      <c r="BK7" s="838" t="n"/>
      <c r="BL7" s="838" t="n"/>
      <c r="BM7" s="838" t="n"/>
      <c r="BN7" s="838" t="n"/>
      <c r="BO7" s="838" t="n"/>
      <c r="BP7" s="838" t="n"/>
      <c r="BQ7" s="21" t="n"/>
      <c r="BR7" s="21" t="n"/>
      <c r="BS7" s="21" t="n"/>
      <c r="BT7" s="21" t="n"/>
      <c r="BU7" s="21" t="n"/>
      <c r="BV7" s="21" t="n"/>
      <c r="BW7" s="21" t="n"/>
      <c r="BX7" s="21" t="n"/>
      <c r="BY7" s="21" t="n"/>
      <c r="BZ7" s="21" t="n"/>
      <c r="CA7" s="21" t="n"/>
      <c r="CB7" s="21" t="n"/>
      <c r="CC7" s="21" t="n"/>
      <c r="CD7" s="21" t="n"/>
      <c r="CE7" s="21" t="n"/>
      <c r="CF7" s="21" t="n"/>
      <c r="CG7" s="21" t="n"/>
      <c r="CH7" s="21" t="n"/>
      <c r="CI7" s="21" t="n"/>
      <c r="CJ7" s="21" t="n"/>
      <c r="CK7" s="21" t="n"/>
      <c r="CL7" s="21" t="n"/>
      <c r="CM7" s="21" t="n"/>
    </row>
    <row r="8" ht="3" customHeight="1">
      <c r="A8" s="602" t="n"/>
      <c r="B8" s="603" t="n"/>
      <c r="C8" s="603" t="n"/>
      <c r="D8" s="603" t="n"/>
      <c r="E8" s="603" t="n"/>
      <c r="F8" s="603" t="n"/>
      <c r="G8" s="603" t="n"/>
      <c r="H8" s="603" t="n"/>
      <c r="I8" s="603" t="n"/>
      <c r="J8" s="603" t="n"/>
      <c r="K8" s="603" t="n"/>
      <c r="L8" s="603" t="n"/>
      <c r="M8" s="603" t="n"/>
      <c r="N8" s="603" t="n"/>
      <c r="O8" s="603" t="n"/>
      <c r="P8" s="603" t="n"/>
      <c r="Q8" s="603" t="n"/>
      <c r="R8" s="603" t="n"/>
      <c r="S8" s="603" t="n"/>
      <c r="T8" s="603" t="n"/>
      <c r="U8" s="603" t="n"/>
      <c r="V8" s="603" t="n"/>
      <c r="W8" s="603" t="n"/>
      <c r="X8" s="603" t="n"/>
      <c r="Y8" s="603" t="n"/>
      <c r="Z8" s="603" t="n"/>
      <c r="AA8" s="603" t="n"/>
      <c r="AB8" s="603" t="n"/>
      <c r="AC8" s="603" t="n"/>
      <c r="AD8" s="603" t="n"/>
      <c r="AE8" s="603" t="n"/>
      <c r="AF8" s="603" t="n"/>
      <c r="AG8" s="603" t="n"/>
      <c r="AH8" s="603" t="n"/>
      <c r="AI8" s="603" t="n"/>
      <c r="AJ8" s="603" t="n"/>
      <c r="AK8" s="603" t="n"/>
      <c r="AL8" s="603" t="n"/>
      <c r="AM8" s="603" t="n"/>
      <c r="AN8" s="603" t="n"/>
      <c r="AO8" s="603" t="n"/>
      <c r="AP8" s="603" t="n"/>
      <c r="AQ8" s="603" t="n"/>
      <c r="AR8" s="603" t="n"/>
      <c r="AS8" s="603" t="n"/>
      <c r="AT8" s="603" t="n"/>
      <c r="AU8" s="603" t="n"/>
      <c r="AV8" s="603" t="n"/>
      <c r="AW8" s="124" t="n"/>
      <c r="AX8" s="264" t="n"/>
      <c r="AY8" s="264" t="n"/>
      <c r="AZ8" s="264" t="n"/>
      <c r="BA8" s="264" t="n"/>
      <c r="BB8" s="124" t="n"/>
      <c r="BC8" s="838" t="n"/>
      <c r="BD8" s="838" t="n"/>
      <c r="BE8" s="838" t="n"/>
      <c r="BF8" s="838" t="n"/>
      <c r="BG8" s="838" t="n"/>
      <c r="BH8" s="838" t="n"/>
      <c r="BI8" s="838" t="n"/>
      <c r="BJ8" s="838" t="n"/>
      <c r="BK8" s="838" t="n"/>
      <c r="BL8" s="838" t="n"/>
      <c r="BM8" s="838" t="n"/>
      <c r="BN8" s="838" t="n"/>
      <c r="BO8" s="838" t="n"/>
      <c r="BP8" s="838" t="n"/>
      <c r="BQ8" s="21" t="n"/>
      <c r="BR8" s="21" t="n"/>
      <c r="BS8" s="21" t="n"/>
      <c r="BT8" s="21" t="n"/>
      <c r="BU8" s="21" t="n"/>
      <c r="BV8" s="21" t="n"/>
      <c r="BW8" s="21" t="n"/>
      <c r="BX8" s="21" t="n"/>
      <c r="BY8" s="21" t="n"/>
      <c r="BZ8" s="21" t="n"/>
      <c r="CA8" s="21" t="n"/>
      <c r="CB8" s="21" t="n"/>
      <c r="CC8" s="21" t="n"/>
      <c r="CD8" s="21" t="n"/>
      <c r="CE8" s="21" t="n"/>
      <c r="CF8" s="21" t="n"/>
      <c r="CG8" s="21" t="n"/>
      <c r="CH8" s="21" t="n"/>
      <c r="CI8" s="21" t="n"/>
      <c r="CJ8" s="21" t="n"/>
      <c r="CK8" s="21" t="n"/>
      <c r="CL8" s="21" t="n"/>
      <c r="CM8" s="21" t="n"/>
    </row>
    <row r="9" ht="12" customHeight="1">
      <c r="A9" s="159" t="n"/>
      <c r="B9" s="838">
        <f>CONCATENATE("AH ",VLOOKUP(Access!C3,'Instellingen HIDE'!A:B,2,FALSE),", ",VLOOKUP(Access!C3,'Instellingen HIDE'!A:C,3,FALSE),", ",VLOOKUP(Access!C3,'Instellingen HIDE'!A:D,4,FALSE)," ",VLOOKUP(Access!C3,'Instellingen HIDE'!A:E,5,FALSE),", (telefoon: ",VLOOKUP(Access!C3,'Instellingen HIDE'!A:F,6,FALSE),")")</f>
        <v/>
      </c>
      <c r="C9" s="838" t="n"/>
      <c r="D9" s="838" t="n"/>
      <c r="E9" s="838" t="n"/>
      <c r="F9" s="838" t="n"/>
      <c r="G9" s="838" t="n"/>
      <c r="H9" s="838" t="n"/>
      <c r="I9" s="838" t="n"/>
      <c r="J9" s="838" t="n"/>
      <c r="K9" s="838" t="n"/>
      <c r="L9" s="838" t="n"/>
      <c r="M9" s="838" t="n"/>
      <c r="N9" s="838" t="n"/>
      <c r="O9" s="838" t="n"/>
      <c r="P9" s="838" t="n"/>
      <c r="Q9" s="838" t="n"/>
      <c r="R9" s="838" t="n"/>
      <c r="S9" s="838" t="n"/>
      <c r="T9" s="838" t="n"/>
      <c r="U9" s="838" t="n"/>
      <c r="V9" s="838" t="n"/>
      <c r="W9" s="838" t="n"/>
      <c r="X9" s="838" t="n"/>
      <c r="Y9" s="838" t="n"/>
      <c r="Z9" s="838" t="n"/>
      <c r="AA9" s="838" t="n"/>
      <c r="AB9" s="838" t="n"/>
      <c r="AC9" s="838" t="n"/>
      <c r="AD9" s="838" t="n"/>
      <c r="AE9" s="838" t="n"/>
      <c r="AF9" s="838" t="n"/>
      <c r="AG9" s="838" t="n"/>
      <c r="AH9" s="838" t="n"/>
      <c r="AI9" s="838" t="n"/>
      <c r="AJ9" s="838" t="n"/>
      <c r="AK9" s="838" t="n"/>
      <c r="AL9" s="838" t="n"/>
      <c r="AM9" s="838" t="n"/>
      <c r="AN9" s="838" t="n"/>
      <c r="AO9" s="838" t="n"/>
      <c r="AP9" s="838" t="n"/>
      <c r="AQ9" s="838" t="n"/>
      <c r="AR9" s="838" t="n"/>
      <c r="AS9" s="838" t="n"/>
      <c r="AT9" s="838" t="n"/>
      <c r="AU9" s="838" t="n"/>
      <c r="AV9" s="115" t="inlineStr">
        <is>
          <t>DagritmeONLINE Versie  100.53</t>
        </is>
      </c>
      <c r="AW9" s="123" t="n"/>
      <c r="AX9" s="264" t="n"/>
      <c r="AY9" s="264" t="n"/>
      <c r="AZ9" s="264" t="n"/>
      <c r="BA9" s="264" t="n"/>
      <c r="BB9" s="124" t="n"/>
      <c r="BC9" s="838" t="n"/>
      <c r="BD9" s="838" t="n"/>
      <c r="BE9" s="838" t="n"/>
      <c r="BF9" s="838" t="n"/>
      <c r="BG9" s="838" t="n"/>
      <c r="BH9" s="838" t="n"/>
      <c r="BI9" s="838" t="n"/>
      <c r="BJ9" s="838" t="n"/>
      <c r="BK9" s="838" t="n"/>
      <c r="BL9" s="838" t="n"/>
      <c r="BM9" s="838" t="n"/>
      <c r="BN9" s="838" t="n"/>
      <c r="BO9" s="838" t="n"/>
      <c r="BP9" s="838" t="n"/>
      <c r="BQ9" s="21" t="n"/>
      <c r="BR9" s="21" t="n"/>
      <c r="BS9" s="21" t="n"/>
      <c r="BT9" s="21" t="n"/>
      <c r="BU9" s="21" t="n"/>
      <c r="BV9" s="21" t="n"/>
      <c r="BW9" s="21" t="n"/>
      <c r="BX9" s="21" t="n"/>
      <c r="BY9" s="21" t="n"/>
      <c r="BZ9" s="21" t="n"/>
      <c r="CA9" s="21" t="n"/>
      <c r="CB9" s="21" t="n"/>
      <c r="CC9" s="21" t="n"/>
      <c r="CD9" s="21" t="n"/>
      <c r="CE9" s="21" t="n"/>
      <c r="CF9" s="21" t="n"/>
      <c r="CG9" s="21" t="n"/>
      <c r="CH9" s="21" t="n"/>
      <c r="CI9" s="21" t="n"/>
      <c r="CJ9" s="21" t="n"/>
      <c r="CK9" s="21" t="n"/>
      <c r="CL9" s="21" t="n"/>
      <c r="CM9" s="21" t="n"/>
    </row>
    <row r="10" ht="6" customHeight="1">
      <c r="A10" s="160" t="n"/>
      <c r="B10" s="95" t="n"/>
      <c r="C10" s="95" t="n"/>
      <c r="D10" s="95" t="n"/>
      <c r="E10" s="95" t="n"/>
      <c r="F10" s="95" t="n"/>
      <c r="G10" s="95" t="n"/>
      <c r="H10" s="95" t="n"/>
      <c r="I10" s="95" t="n"/>
      <c r="J10" s="95" t="n"/>
      <c r="K10" s="95" t="n"/>
      <c r="L10" s="95" t="n"/>
      <c r="M10" s="95" t="n"/>
      <c r="N10" s="95" t="n"/>
      <c r="O10" s="95" t="n"/>
      <c r="P10" s="95" t="n"/>
      <c r="Q10" s="95" t="n"/>
      <c r="R10" s="95" t="n"/>
      <c r="S10" s="95" t="n"/>
      <c r="T10" s="95" t="n"/>
      <c r="U10" s="95" t="n"/>
      <c r="V10" s="95" t="n"/>
      <c r="W10" s="95" t="n"/>
      <c r="X10" s="95" t="n"/>
      <c r="Y10" s="95" t="n"/>
      <c r="Z10" s="95" t="n"/>
      <c r="AA10" s="95" t="n"/>
      <c r="AB10" s="95" t="n"/>
      <c r="AC10" s="95" t="n"/>
      <c r="AD10" s="95" t="n"/>
      <c r="AE10" s="95" t="n"/>
      <c r="AF10" s="95" t="n"/>
      <c r="AG10" s="95" t="n"/>
      <c r="AH10" s="95" t="n"/>
      <c r="AI10" s="95" t="n"/>
      <c r="AJ10" s="95" t="n"/>
      <c r="AK10" s="95" t="n"/>
      <c r="AL10" s="95" t="n"/>
      <c r="AM10" s="95" t="n"/>
      <c r="AN10" s="95" t="n"/>
      <c r="AO10" s="95" t="n"/>
      <c r="AP10" s="95" t="n"/>
      <c r="AQ10" s="95" t="n"/>
      <c r="AR10" s="95" t="n"/>
      <c r="AS10" s="95" t="n"/>
      <c r="AT10" s="95" t="n"/>
      <c r="AU10" s="95" t="n"/>
      <c r="AV10" s="114" t="n"/>
      <c r="AW10" s="106" t="n"/>
      <c r="AX10" s="745" t="n"/>
      <c r="AY10" s="264" t="n"/>
      <c r="AZ10" s="264" t="n"/>
      <c r="BA10" s="264" t="n"/>
      <c r="BB10" s="838" t="n"/>
      <c r="BC10" s="838" t="n"/>
      <c r="BD10" s="838" t="n"/>
      <c r="BE10" s="838" t="n"/>
      <c r="BF10" s="838" t="n"/>
      <c r="BG10" s="838" t="n"/>
      <c r="BH10" s="838" t="n"/>
      <c r="BI10" s="838" t="n"/>
      <c r="BJ10" s="838" t="n"/>
      <c r="BK10" s="838" t="n"/>
      <c r="BL10" s="838" t="n"/>
      <c r="BM10" s="838" t="n"/>
      <c r="BN10" s="838" t="n"/>
      <c r="BO10" s="838" t="n"/>
      <c r="BP10" s="838" t="n"/>
      <c r="BQ10" s="21" t="n"/>
      <c r="BR10" s="21" t="n"/>
      <c r="BS10" s="21" t="n"/>
      <c r="BT10" s="21" t="n"/>
      <c r="BU10" s="21" t="n"/>
      <c r="BV10" s="21" t="n"/>
      <c r="BW10" s="21" t="n"/>
      <c r="BX10" s="21" t="n"/>
      <c r="BY10" s="21" t="n"/>
      <c r="BZ10" s="21" t="n"/>
      <c r="CA10" s="21" t="n"/>
      <c r="CB10" s="21" t="n"/>
      <c r="CC10" s="21" t="n"/>
      <c r="CD10" s="21" t="n"/>
      <c r="CE10" s="21" t="n"/>
      <c r="CF10" s="21" t="n"/>
      <c r="CG10" s="21" t="n"/>
      <c r="CH10" s="21" t="n"/>
      <c r="CI10" s="21" t="n"/>
      <c r="CJ10" s="21" t="n"/>
      <c r="CK10" s="21" t="n"/>
      <c r="CL10" s="21" t="n"/>
      <c r="CM10" s="21" t="n"/>
    </row>
    <row r="11" hidden="1" ht="13.5" customHeight="1">
      <c r="A11" s="159" t="n"/>
      <c r="B11" s="838" t="n"/>
      <c r="C11" s="95" t="n"/>
      <c r="D11" s="95" t="n"/>
      <c r="E11" s="95" t="n"/>
      <c r="F11" s="23" t="n">
        <v>0.2083333333333333</v>
      </c>
      <c r="G11" s="24" t="n">
        <v>0.2291666666666667</v>
      </c>
      <c r="H11" s="24" t="n">
        <v>0.25</v>
      </c>
      <c r="I11" s="24" t="n">
        <v>0.2708333333333333</v>
      </c>
      <c r="J11" s="24" t="n">
        <v>0.2916666666666667</v>
      </c>
      <c r="K11" s="24" t="n">
        <v>0.3125</v>
      </c>
      <c r="L11" s="24" t="n">
        <v>0.3333333333333333</v>
      </c>
      <c r="M11" s="24" t="n">
        <v>0.3541666666666667</v>
      </c>
      <c r="N11" s="24" t="n">
        <v>0.375</v>
      </c>
      <c r="O11" s="24" t="n">
        <v>0.3958333333333333</v>
      </c>
      <c r="P11" s="24" t="n">
        <v>0.4166666666666667</v>
      </c>
      <c r="Q11" s="24" t="n">
        <v>0.4375</v>
      </c>
      <c r="R11" s="24" t="n">
        <v>0.4583333333333333</v>
      </c>
      <c r="S11" s="24" t="n">
        <v>0.4791666666666667</v>
      </c>
      <c r="T11" s="24" t="n">
        <v>0.5</v>
      </c>
      <c r="U11" s="24" t="n">
        <v>0.5208333333333334</v>
      </c>
      <c r="V11" s="24" t="n">
        <v>0.5416666666666666</v>
      </c>
      <c r="W11" s="24" t="n">
        <v>0.5625</v>
      </c>
      <c r="X11" s="24" t="n">
        <v>0.5833333333333334</v>
      </c>
      <c r="Y11" s="24" t="n">
        <v>0.6041666666666666</v>
      </c>
      <c r="Z11" s="24" t="n">
        <v>0.625</v>
      </c>
      <c r="AA11" s="24" t="n">
        <v>0.6458333333333334</v>
      </c>
      <c r="AB11" s="24" t="n">
        <v>0.6666666666666666</v>
      </c>
      <c r="AC11" s="24" t="n">
        <v>0.6875</v>
      </c>
      <c r="AD11" s="53" t="n">
        <v>0.7083333333333334</v>
      </c>
      <c r="AE11" s="53" t="n">
        <v>0.7291666666666666</v>
      </c>
      <c r="AF11" s="53" t="n">
        <v>0.75</v>
      </c>
      <c r="AG11" s="53" t="n">
        <v>0.7708333333333334</v>
      </c>
      <c r="AH11" s="53" t="n">
        <v>0.7916666666666666</v>
      </c>
      <c r="AI11" s="53" t="n">
        <v>0.8125</v>
      </c>
      <c r="AJ11" s="53" t="n">
        <v>0.8333333333333334</v>
      </c>
      <c r="AK11" s="53" t="n">
        <v>0.8541666666666666</v>
      </c>
      <c r="AL11" s="54" t="n">
        <v>0.875</v>
      </c>
      <c r="AM11" s="55" t="n">
        <v>0.8958333333333334</v>
      </c>
      <c r="AN11" s="25" t="n">
        <v>0.9166666666666666</v>
      </c>
      <c r="AO11" s="55" t="n">
        <v>0.9375</v>
      </c>
      <c r="AP11" s="26" t="n">
        <v>0.9583333333333334</v>
      </c>
      <c r="AQ11" s="27" t="n">
        <v>0.9791666666666666</v>
      </c>
      <c r="AR11" s="719" t="inlineStr">
        <is>
          <t>Beschikbaarheid</t>
        </is>
      </c>
      <c r="AS11" s="264" t="n"/>
      <c r="AT11" s="719" t="n"/>
      <c r="AU11" s="106" t="n"/>
      <c r="AV11" s="116" t="n"/>
      <c r="AW11" s="106" t="n"/>
      <c r="AX11" s="838" t="n"/>
      <c r="AY11" s="17" t="n"/>
      <c r="AZ11" s="18" t="n"/>
      <c r="BA11" s="19" t="n"/>
      <c r="BB11" s="838" t="n"/>
      <c r="BC11" s="838" t="n"/>
      <c r="BD11" s="838" t="n"/>
      <c r="BE11" s="838" t="n"/>
      <c r="BF11" s="838" t="n"/>
      <c r="BG11" s="838" t="n"/>
      <c r="BH11" s="838" t="n"/>
      <c r="BI11" s="838" t="n"/>
      <c r="BJ11" s="838" t="n"/>
      <c r="BK11" s="838" t="n"/>
      <c r="BL11" s="838" t="n"/>
      <c r="BM11" s="838" t="n"/>
      <c r="BN11" s="838" t="n"/>
      <c r="BO11" s="838" t="n"/>
      <c r="BP11" s="838" t="n"/>
      <c r="BQ11" s="21" t="n"/>
      <c r="BR11" s="21" t="n"/>
      <c r="BS11" s="21" t="n"/>
      <c r="BT11" s="21" t="n"/>
      <c r="BU11" s="21" t="n"/>
      <c r="BV11" s="21" t="n"/>
      <c r="BW11" s="21" t="n"/>
      <c r="BX11" s="21" t="n"/>
      <c r="BY11" s="21" t="n"/>
      <c r="BZ11" s="21" t="n"/>
      <c r="CA11" s="21" t="n"/>
      <c r="CB11" s="21" t="n"/>
      <c r="CC11" s="21" t="n"/>
      <c r="CD11" s="21" t="n"/>
      <c r="CE11" s="21" t="n"/>
      <c r="CF11" s="21" t="n"/>
      <c r="CG11" s="21" t="n"/>
      <c r="CH11" s="21" t="n"/>
      <c r="CI11" s="21" t="n"/>
      <c r="CJ11" s="21" t="n"/>
      <c r="CK11" s="21" t="n"/>
      <c r="CL11" s="21" t="n"/>
      <c r="CM11" s="21" t="n"/>
    </row>
    <row r="12" ht="12" customHeight="1">
      <c r="A12" s="160" t="n"/>
      <c r="B12" s="107" t="n"/>
      <c r="C12" s="97" t="inlineStr">
        <is>
          <t>Functie</t>
        </is>
      </c>
      <c r="D12" s="97" t="inlineStr">
        <is>
          <t>Begin</t>
        </is>
      </c>
      <c r="E12" s="97" t="inlineStr">
        <is>
          <t>Eind</t>
        </is>
      </c>
      <c r="F12" s="872" t="n">
        <v>0.2083333333333333</v>
      </c>
      <c r="G12" s="873" t="n"/>
      <c r="H12" s="874" t="n">
        <v>0.25</v>
      </c>
      <c r="I12" s="875" t="n"/>
      <c r="J12" s="874" t="n">
        <v>0.2916666666666667</v>
      </c>
      <c r="K12" s="875" t="n"/>
      <c r="L12" s="874" t="n">
        <v>0.3333333333333333</v>
      </c>
      <c r="M12" s="875" t="n"/>
      <c r="N12" s="874" t="n">
        <v>0.375</v>
      </c>
      <c r="O12" s="875" t="n"/>
      <c r="P12" s="874" t="n">
        <v>0.4166666666666667</v>
      </c>
      <c r="Q12" s="875" t="n"/>
      <c r="R12" s="874" t="n">
        <v>0.4583333333333333</v>
      </c>
      <c r="S12" s="875" t="n"/>
      <c r="T12" s="874" t="n">
        <v>0.5</v>
      </c>
      <c r="U12" s="875" t="n"/>
      <c r="V12" s="874" t="n">
        <v>0.5416666666666666</v>
      </c>
      <c r="W12" s="875" t="n"/>
      <c r="X12" s="874" t="n">
        <v>0.5833333333333334</v>
      </c>
      <c r="Y12" s="875" t="n"/>
      <c r="Z12" s="874" t="n">
        <v>0.625</v>
      </c>
      <c r="AA12" s="875" t="n"/>
      <c r="AB12" s="874" t="n">
        <v>0.6666666666666666</v>
      </c>
      <c r="AC12" s="875" t="n"/>
      <c r="AD12" s="874" t="n">
        <v>0.7083333333333334</v>
      </c>
      <c r="AE12" s="875" t="n"/>
      <c r="AF12" s="876" t="n">
        <v>0.75</v>
      </c>
      <c r="AG12" s="875" t="n"/>
      <c r="AH12" s="874" t="n">
        <v>0.7916666666666666</v>
      </c>
      <c r="AI12" s="875" t="n"/>
      <c r="AJ12" s="874" t="n">
        <v>0.8333333333333334</v>
      </c>
      <c r="AK12" s="875" t="n"/>
      <c r="AL12" s="872" t="n">
        <v>0.875</v>
      </c>
      <c r="AM12" s="873" t="n"/>
      <c r="AN12" s="872" t="n">
        <v>0.9166666666666666</v>
      </c>
      <c r="AO12" s="873" t="n"/>
      <c r="AP12" s="872" t="n">
        <v>0.9583333333333334</v>
      </c>
      <c r="AQ12" s="873" t="n"/>
      <c r="AR12" s="98" t="inlineStr">
        <is>
          <t>Begin</t>
        </is>
      </c>
      <c r="AS12" s="98" t="inlineStr">
        <is>
          <t>Eind</t>
        </is>
      </c>
      <c r="AT12" s="99" t="n"/>
      <c r="AU12" s="432" t="inlineStr">
        <is>
          <t>Afw</t>
        </is>
      </c>
      <c r="AV12" s="433" t="inlineStr">
        <is>
          <t>Uren</t>
        </is>
      </c>
      <c r="AW12" s="100" t="inlineStr">
        <is>
          <t>Cont</t>
        </is>
      </c>
      <c r="AX12" s="101" t="inlineStr">
        <is>
          <t>Week</t>
        </is>
      </c>
      <c r="AY12" s="17" t="n"/>
      <c r="AZ12" s="28" t="n"/>
      <c r="BA12" s="29">
        <f>IF(AY12&lt;99,IF(AY12=0,"",((COUNTIF($E$13:$AQ$61,AY12))/2)),IF(AY12=0,"",((COUNTIF($E$13:$AQ$61,CONCATENATE(AY12,"*")))/2)+(COUNTIF($E$13:$AQ$61,CONCATENATE("x",AY12,"*")))/4))</f>
        <v/>
      </c>
      <c r="BB12" s="838" t="n"/>
      <c r="BC12" s="102" t="inlineStr">
        <is>
          <t>Naam</t>
        </is>
      </c>
      <c r="BD12" s="103" t="n"/>
      <c r="BE12" s="877" t="inlineStr">
        <is>
          <t>Maandag</t>
        </is>
      </c>
      <c r="BF12" s="878" t="n"/>
      <c r="BG12" s="103" t="n"/>
      <c r="BH12" s="103" t="n"/>
      <c r="BI12" s="877" t="inlineStr">
        <is>
          <t>Dinsdag</t>
        </is>
      </c>
      <c r="BJ12" s="878" t="n"/>
      <c r="BK12" s="103" t="n"/>
      <c r="BL12" s="103" t="n"/>
      <c r="BM12" s="877" t="inlineStr">
        <is>
          <t>Woensdag</t>
        </is>
      </c>
      <c r="BN12" s="878" t="n"/>
      <c r="BO12" s="103" t="n"/>
      <c r="BP12" s="103" t="n"/>
      <c r="BQ12" s="877" t="inlineStr">
        <is>
          <t>Donderdag</t>
        </is>
      </c>
      <c r="BR12" s="878" t="n"/>
      <c r="BS12" s="103" t="n"/>
      <c r="BT12" s="103" t="n"/>
      <c r="BU12" s="877" t="inlineStr">
        <is>
          <t>Vrijdag</t>
        </is>
      </c>
      <c r="BV12" s="878" t="n"/>
      <c r="BW12" s="103" t="n"/>
      <c r="BX12" s="103" t="n"/>
      <c r="BY12" s="877" t="inlineStr">
        <is>
          <t>Zaterdag</t>
        </is>
      </c>
      <c r="BZ12" s="878" t="n"/>
      <c r="CA12" s="103" t="n"/>
      <c r="CB12" s="103" t="n"/>
      <c r="CC12" s="877" t="inlineStr">
        <is>
          <t>Zondag</t>
        </is>
      </c>
      <c r="CD12" s="878" t="n"/>
      <c r="CE12" s="103" t="n"/>
      <c r="CF12" s="103" t="n"/>
      <c r="CG12" s="103" t="n"/>
      <c r="CH12" s="103" t="n"/>
      <c r="CI12" s="250">
        <f>"+/-"</f>
        <v/>
      </c>
      <c r="CJ12" s="250">
        <f>CONCATENATE("&lt;",ROUNDUP(Instellingen!$I$8,0))</f>
        <v/>
      </c>
      <c r="CK12" s="250">
        <f>CONCATENATE("&lt;",ROUNDUP(Instellingen!$I$9,0))</f>
        <v/>
      </c>
      <c r="CL12" s="104" t="inlineStr">
        <is>
          <t>Dag</t>
        </is>
      </c>
      <c r="CM12" s="21" t="n"/>
    </row>
    <row r="13" ht="12.75" customHeight="1">
      <c r="A13" s="161">
        <f>IFERROR(IF(VLOOKUP($B13,$BC$13:$CL$86,36,FALSE)&gt;5,0,IF(COUNTIF($B$13:$B$63,$B13)&gt;1,0,1)),1)+IF(B13&lt;&gt;0,0,IF(AV13&gt;0,0.000001,0))</f>
        <v/>
      </c>
      <c r="B13" s="51" t="inlineStr">
        <is>
          <t>Zubaid Shinwari</t>
        </is>
      </c>
      <c r="C13" s="48">
        <f>IFERROR(IF($B13="","",VLOOKUP($B13,Medewerker!$C$8:$AI$107,33,FALSE)),"?")</f>
        <v/>
      </c>
      <c r="D13" s="879">
        <f t="array" ref="D13">IFERROR(IF(LEFT(INDEX($F13:$AQ13,1,SUM(SMALL(IF($F13:$AQ13&lt;&gt;"",COLUMN($F13:$AQ13)),1)-5)),1)="x",SUM(SMALL(IF($F13:$AQ13&lt;&gt;"",$F$11:$AQ$11),1)+"0:15"),SMALL(IF($F13:$AQ13&lt;&gt;"",$F$11:$AQ$11),1)),"")</f>
        <v/>
      </c>
      <c r="E13" s="879">
        <f t="array" ref="E13">IFERROR(IF(LEFT(INDEX($F13:$AQ13,1,SUM(LARGE(IF($F13:$AQ13&lt;&gt;"",COLUMN($F13:$AQ13)),1)-5)),1)="x",SUM(LARGE(IF($F13:$AQ13&lt;&gt;"",$F$11:$AQ$11+"0:30:00"),1)-"0:15"),LARGE(IF($F13:$AQ13&lt;&gt;"",$F$11:$AQ$11+"0:30:00"),1)),"")</f>
        <v/>
      </c>
      <c r="F13" s="37" t="n"/>
      <c r="G13" s="38" t="n"/>
      <c r="H13" s="40" t="inlineStr">
        <is>
          <t>bl</t>
        </is>
      </c>
      <c r="I13" s="41" t="inlineStr">
        <is>
          <t>bl</t>
        </is>
      </c>
      <c r="J13" s="40" t="inlineStr">
        <is>
          <t>bl</t>
        </is>
      </c>
      <c r="K13" s="42" t="inlineStr">
        <is>
          <t>bl</t>
        </is>
      </c>
      <c r="L13" s="43" t="inlineStr">
        <is>
          <t>bl</t>
        </is>
      </c>
      <c r="M13" s="41" t="inlineStr">
        <is>
          <t>sl</t>
        </is>
      </c>
      <c r="N13" s="40" t="inlineStr">
        <is>
          <t>sl</t>
        </is>
      </c>
      <c r="O13" s="42" t="inlineStr">
        <is>
          <t>sl</t>
        </is>
      </c>
      <c r="P13" s="43" t="inlineStr">
        <is>
          <t>p</t>
        </is>
      </c>
      <c r="Q13" s="41" t="inlineStr">
        <is>
          <t>sl</t>
        </is>
      </c>
      <c r="R13" s="40" t="inlineStr">
        <is>
          <t>sl</t>
        </is>
      </c>
      <c r="S13" s="42" t="inlineStr">
        <is>
          <t>sl</t>
        </is>
      </c>
      <c r="T13" s="43" t="inlineStr">
        <is>
          <t>sl</t>
        </is>
      </c>
      <c r="U13" s="41" t="inlineStr">
        <is>
          <t>sl</t>
        </is>
      </c>
      <c r="V13" s="40" t="inlineStr">
        <is>
          <t>sl</t>
        </is>
      </c>
      <c r="W13" s="42" t="inlineStr">
        <is>
          <t>sl</t>
        </is>
      </c>
      <c r="X13" s="43" t="n"/>
      <c r="Y13" s="41" t="n"/>
      <c r="Z13" s="40" t="n"/>
      <c r="AA13" s="42" t="n"/>
      <c r="AB13" s="43" t="n"/>
      <c r="AC13" s="41" t="n"/>
      <c r="AD13" s="40" t="n"/>
      <c r="AE13" s="42" t="n"/>
      <c r="AF13" s="43" t="n"/>
      <c r="AG13" s="41" t="n"/>
      <c r="AH13" s="40" t="n"/>
      <c r="AI13" s="42" t="n"/>
      <c r="AJ13" s="43" t="n"/>
      <c r="AK13" s="41" t="n"/>
      <c r="AL13" s="37" t="n"/>
      <c r="AM13" s="38" t="n"/>
      <c r="AN13" s="644" t="n"/>
      <c r="AO13" s="39" t="n"/>
      <c r="AP13" s="37" t="n"/>
      <c r="AQ13" s="38" t="n"/>
      <c r="AR13" s="880">
        <f>IFERROR(IF(VLOOKUP($B13,Medewerker!$C$8:$I$107,7,FALSE)="",VLOOKUP($B13,Medewerker!$C$8:$I$107,5,FALSE),0),0)</f>
        <v/>
      </c>
      <c r="AS13" s="881">
        <f>IFERROR(IF(B13="",1,IF(VLOOKUP($B13,Medewerker!$C$8:$I$107,7,FALSE)="",VLOOKUP($B13,Medewerker!$C$8:$I$107,6,FALSE),0)),0)</f>
        <v/>
      </c>
      <c r="AT13" s="49" t="n"/>
      <c r="AU13" s="49">
        <f>(COUNTIF(F13:AQ13,"afw"))/2</f>
        <v/>
      </c>
      <c r="AV13" s="111">
        <f>((38-(COUNTIF(F13:AQ13,"")))/2)-(COUNTIF(F13:AQ13,"p")/2)-(COUNTIF(F13:AQ13,CONCATENATE("x","*"))/4)</f>
        <v/>
      </c>
      <c r="AW13" s="70">
        <f>IFERROR(IF($B13="","",VLOOKUP($B13,Medewerker!$C$8:$E$107,3,FALSE)),"")</f>
        <v/>
      </c>
      <c r="AX13" s="404">
        <f>IFERROR(VLOOKUP($B13,Planning!$B$6:$AG$105,32,FALSE)*24,"")</f>
        <v/>
      </c>
      <c r="AY13" s="882" t="inlineStr">
        <is>
          <t>Vullen</t>
        </is>
      </c>
      <c r="AZ13" s="883" t="n"/>
      <c r="BA13" s="884" t="n"/>
      <c r="BB13" s="838" t="n"/>
      <c r="BC13" s="31">
        <f>IF(Planning!B6="","",Planning!B6)</f>
        <v/>
      </c>
      <c r="BD13" s="105" t="n"/>
      <c r="BE13" s="885">
        <f>Planning!E6</f>
        <v/>
      </c>
      <c r="BF13" s="885">
        <f>Planning!F6</f>
        <v/>
      </c>
      <c r="BG13" s="886" t="n"/>
      <c r="BH13" s="105" t="n"/>
      <c r="BI13" s="885">
        <f>Planning!I6</f>
        <v/>
      </c>
      <c r="BJ13" s="885">
        <f>Planning!J6</f>
        <v/>
      </c>
      <c r="BK13" s="886" t="n"/>
      <c r="BL13" s="105" t="n"/>
      <c r="BM13" s="885">
        <f>Planning!M6</f>
        <v/>
      </c>
      <c r="BN13" s="885">
        <f>Planning!N6</f>
        <v/>
      </c>
      <c r="BO13" s="886" t="n"/>
      <c r="BP13" s="105" t="n"/>
      <c r="BQ13" s="885">
        <f>Planning!Q6</f>
        <v/>
      </c>
      <c r="BR13" s="885">
        <f>Planning!R6</f>
        <v/>
      </c>
      <c r="BS13" s="886" t="n"/>
      <c r="BT13" s="105" t="n"/>
      <c r="BU13" s="885">
        <f>Planning!U6</f>
        <v/>
      </c>
      <c r="BV13" s="885">
        <f>Planning!V6</f>
        <v/>
      </c>
      <c r="BW13" s="886" t="n"/>
      <c r="BX13" s="105" t="n"/>
      <c r="BY13" s="885">
        <f>Planning!Y6</f>
        <v/>
      </c>
      <c r="BZ13" s="885">
        <f>Planning!Z6</f>
        <v/>
      </c>
      <c r="CA13" s="886" t="n"/>
      <c r="CB13" s="105" t="n"/>
      <c r="CC13" s="885">
        <f>Planning!AC6</f>
        <v/>
      </c>
      <c r="CD13" s="885">
        <f>Planning!AD6</f>
        <v/>
      </c>
      <c r="CE13" s="886" t="n"/>
      <c r="CF13" s="105" t="n"/>
      <c r="CG13" s="887">
        <f>Planning!AG6</f>
        <v/>
      </c>
      <c r="CH13" s="105" t="n"/>
      <c r="CI13" s="252">
        <f>IF(BC13="","",Planning!AI6)</f>
        <v/>
      </c>
      <c r="CJ13" s="252">
        <f>IF(BC13="","",Planning!AJ6)</f>
        <v/>
      </c>
      <c r="CK13" s="252">
        <f>IF(BC13="","",Planning!AK6)</f>
        <v/>
      </c>
      <c r="CL13" s="252">
        <f>IF(BC13="","",Planning!AH6)</f>
        <v/>
      </c>
      <c r="CM13" s="21" t="n"/>
    </row>
    <row r="14" ht="12.75" customHeight="1">
      <c r="A14" s="161">
        <f>IFERROR(IF(VLOOKUP($B14,$BC$13:$CL$86,36,FALSE)&gt;5,0,IF(COUNTIF($B$13:$B$63,$B14)&gt;1,0,2)),2)+IF(B14&lt;&gt;0,0,IF(AV14&gt;0,0.000001,0))</f>
        <v/>
      </c>
      <c r="B14" s="52" t="inlineStr">
        <is>
          <t>Stefan</t>
        </is>
      </c>
      <c r="C14" s="48">
        <f>IFERROR(IF($B14="","",VLOOKUP($B14,Medewerker!$C$8:$AI$107,33,FALSE)),"?")</f>
        <v/>
      </c>
      <c r="D14" s="879">
        <f t="array" ref="D14">IFERROR(IF(LEFT(INDEX($F14:$AQ14,1,SUM(SMALL(IF($F14:$AQ14&lt;&gt;"",COLUMN($F14:$AQ14)),1)-5)),1)="x",SUM(SMALL(IF($F14:$AQ14&lt;&gt;"",$F$11:$AQ$11),1)+"0:15"),SMALL(IF($F14:$AQ14&lt;&gt;"",$F$11:$AQ$11),1)),"")</f>
        <v/>
      </c>
      <c r="E14" s="879">
        <f t="array" ref="E14">IFERROR(IF(LEFT(INDEX($F14:$AQ14,1,SUM(LARGE(IF($F14:$AQ14&lt;&gt;"",COLUMN($F14:$AQ14)),1)-5)),1)="x",SUM(LARGE(IF($F14:$AQ14&lt;&gt;"",$F$11:$AQ$11+"0:30:00"),1)-"0:15"),LARGE(IF($F14:$AQ14&lt;&gt;"",$F$11:$AQ$11+"0:30:00"),1)),"")</f>
        <v/>
      </c>
      <c r="F14" s="40" t="n"/>
      <c r="G14" s="41" t="n"/>
      <c r="H14" s="40" t="inlineStr">
        <is>
          <t>act</t>
        </is>
      </c>
      <c r="I14" s="41" t="inlineStr">
        <is>
          <t>act</t>
        </is>
      </c>
      <c r="J14" s="40" t="inlineStr">
        <is>
          <t>act</t>
        </is>
      </c>
      <c r="K14" s="42" t="inlineStr">
        <is>
          <t>act</t>
        </is>
      </c>
      <c r="L14" s="43" t="inlineStr">
        <is>
          <t>act</t>
        </is>
      </c>
      <c r="M14" s="41" t="inlineStr">
        <is>
          <t>act</t>
        </is>
      </c>
      <c r="N14" s="40" t="inlineStr">
        <is>
          <t>act</t>
        </is>
      </c>
      <c r="O14" s="42" t="inlineStr">
        <is>
          <t>act</t>
        </is>
      </c>
      <c r="P14" s="43" t="inlineStr">
        <is>
          <t>p</t>
        </is>
      </c>
      <c r="Q14" s="41" t="inlineStr">
        <is>
          <t>wap</t>
        </is>
      </c>
      <c r="R14" s="40" t="inlineStr">
        <is>
          <t>wap</t>
        </is>
      </c>
      <c r="S14" s="42" t="inlineStr">
        <is>
          <t>wap</t>
        </is>
      </c>
      <c r="T14" s="43" t="inlineStr">
        <is>
          <t>wap</t>
        </is>
      </c>
      <c r="U14" s="41" t="inlineStr">
        <is>
          <t>wap</t>
        </is>
      </c>
      <c r="V14" s="40" t="inlineStr">
        <is>
          <t>wap</t>
        </is>
      </c>
      <c r="W14" s="42" t="inlineStr">
        <is>
          <t>wap</t>
        </is>
      </c>
      <c r="X14" s="43" t="n"/>
      <c r="Y14" s="41" t="n"/>
      <c r="Z14" s="40" t="n"/>
      <c r="AA14" s="42" t="n"/>
      <c r="AB14" s="43" t="n"/>
      <c r="AC14" s="41" t="n"/>
      <c r="AD14" s="40" t="n"/>
      <c r="AE14" s="42" t="n"/>
      <c r="AF14" s="43" t="n"/>
      <c r="AG14" s="41" t="n"/>
      <c r="AH14" s="40" t="n"/>
      <c r="AI14" s="42" t="n"/>
      <c r="AJ14" s="43" t="n"/>
      <c r="AK14" s="41" t="n"/>
      <c r="AL14" s="40" t="n"/>
      <c r="AM14" s="41" t="n"/>
      <c r="AN14" s="645" t="n"/>
      <c r="AO14" s="42" t="n"/>
      <c r="AP14" s="40" t="n"/>
      <c r="AQ14" s="41" t="n"/>
      <c r="AR14" s="888">
        <f>IFERROR(IF(VLOOKUP($B14,Medewerker!$C$8:$I$107,7,FALSE)="",VLOOKUP($B14,Medewerker!$C$8:$I$107,5,FALSE),0),0)</f>
        <v/>
      </c>
      <c r="AS14" s="889">
        <f>IFERROR(IF(B14="",1,IF(VLOOKUP($B14,Medewerker!$C$8:$I$107,7,FALSE)="",VLOOKUP($B14,Medewerker!$C$8:$I$107,6,FALSE),0)),0)</f>
        <v/>
      </c>
      <c r="AT14" s="30" t="n"/>
      <c r="AU14" s="30">
        <f>(COUNTIF(F14:AQ14,"afw"))/2</f>
        <v/>
      </c>
      <c r="AV14" s="111">
        <f>((38-(COUNTIF(F14:AQ14,"")))/2)-(COUNTIF(F14:AQ14,"p")/2)-(COUNTIF(F14:AQ14,CONCATENATE("x","*"))/4)</f>
        <v/>
      </c>
      <c r="AW14" s="73">
        <f>IF($B14="","",VLOOKUP($B14,Medewerker!$C$8:$E$107,3,FALSE))</f>
        <v/>
      </c>
      <c r="AX14" s="403">
        <f>IFERROR(VLOOKUP($B14,Planning!$B$6:$AG$105,32,FALSE)*24,"")</f>
        <v/>
      </c>
      <c r="AY14" s="562" t="inlineStr">
        <is>
          <t>hv</t>
        </is>
      </c>
      <c r="AZ14" s="166" t="inlineStr">
        <is>
          <t>Houdbaar vullen</t>
        </is>
      </c>
      <c r="BA14" s="111">
        <f>COUNTIF($F$13:$AQ$63,CONCATENATE(AY14,"*"))/2+COUNTIF($F$13:$AQ$63,CONCATENATE("x",AY14,"*"))/4</f>
        <v/>
      </c>
      <c r="BB14" s="838" t="n"/>
      <c r="BC14" s="31">
        <f>IF(Planning!B7="","",Planning!B7)</f>
        <v/>
      </c>
      <c r="BD14" s="105" t="n"/>
      <c r="BE14" s="885">
        <f>Planning!E7</f>
        <v/>
      </c>
      <c r="BF14" s="885">
        <f>Planning!F7</f>
        <v/>
      </c>
      <c r="BG14" s="886" t="n"/>
      <c r="BH14" s="105" t="n"/>
      <c r="BI14" s="885">
        <f>Planning!I7</f>
        <v/>
      </c>
      <c r="BJ14" s="885">
        <f>Planning!J7</f>
        <v/>
      </c>
      <c r="BK14" s="886" t="n"/>
      <c r="BL14" s="105" t="n"/>
      <c r="BM14" s="885">
        <f>Planning!M7</f>
        <v/>
      </c>
      <c r="BN14" s="885">
        <f>Planning!N7</f>
        <v/>
      </c>
      <c r="BO14" s="886" t="n"/>
      <c r="BP14" s="105" t="n"/>
      <c r="BQ14" s="885">
        <f>Planning!Q7</f>
        <v/>
      </c>
      <c r="BR14" s="885">
        <f>Planning!R7</f>
        <v/>
      </c>
      <c r="BS14" s="886" t="n"/>
      <c r="BT14" s="105" t="n"/>
      <c r="BU14" s="885">
        <f>Planning!U7</f>
        <v/>
      </c>
      <c r="BV14" s="885">
        <f>Planning!V7</f>
        <v/>
      </c>
      <c r="BW14" s="886" t="n"/>
      <c r="BX14" s="105" t="n"/>
      <c r="BY14" s="885">
        <f>Planning!Y7</f>
        <v/>
      </c>
      <c r="BZ14" s="885">
        <f>Planning!Z7</f>
        <v/>
      </c>
      <c r="CA14" s="886" t="n"/>
      <c r="CB14" s="105" t="n"/>
      <c r="CC14" s="885">
        <f>Planning!AC7</f>
        <v/>
      </c>
      <c r="CD14" s="885">
        <f>Planning!AD7</f>
        <v/>
      </c>
      <c r="CE14" s="886" t="n"/>
      <c r="CF14" s="105" t="n"/>
      <c r="CG14" s="887">
        <f>Planning!AG7</f>
        <v/>
      </c>
      <c r="CH14" s="105" t="n"/>
      <c r="CI14" s="252">
        <f>IF(BC14="","",Planning!AI7)</f>
        <v/>
      </c>
      <c r="CJ14" s="252">
        <f>IF(BC14="","",Planning!AJ7)</f>
        <v/>
      </c>
      <c r="CK14" s="252">
        <f>IF(BC14="","",Planning!AK7)</f>
        <v/>
      </c>
      <c r="CL14" s="252">
        <f>IF(BC14="","",Planning!AH7)</f>
        <v/>
      </c>
      <c r="CM14" s="21" t="n"/>
    </row>
    <row r="15" ht="12.75" customHeight="1">
      <c r="A15" s="161">
        <f>IFERROR(IF(VLOOKUP($B15,$BC$13:$CL$86,36,FALSE)&gt;5,0,IF(COUNTIF($B$13:$B$63,$B15)&gt;1,0,3)),3)+IF(B15&lt;&gt;0,0,IF(AV15&gt;0,0.000001,0))</f>
        <v/>
      </c>
      <c r="B15" s="52" t="inlineStr">
        <is>
          <t>Milan Gebruers</t>
        </is>
      </c>
      <c r="C15" s="48">
        <f>IFERROR(IF($B15="","",VLOOKUP($B15,Medewerker!$C$8:$AI$107,33,FALSE)),"?")</f>
        <v/>
      </c>
      <c r="D15" s="879">
        <f t="array" ref="D15">IFERROR(IF(LEFT(INDEX($F15:$AQ15,1,SUM(SMALL(IF($F15:$AQ15&lt;&gt;"",COLUMN($F15:$AQ15)),1)-5)),1)="x",SUM(SMALL(IF($F15:$AQ15&lt;&gt;"",$F$11:$AQ$11),1)+"0:15"),SMALL(IF($F15:$AQ15&lt;&gt;"",$F$11:$AQ$11),1)),"")</f>
        <v/>
      </c>
      <c r="E15" s="879">
        <f t="array" ref="E15">IFERROR(IF(LEFT(INDEX($F15:$AQ15,1,SUM(LARGE(IF($F15:$AQ15&lt;&gt;"",COLUMN($F15:$AQ15)),1)-5)),1)="x",SUM(LARGE(IF($F15:$AQ15&lt;&gt;"",$F$11:$AQ$11+"0:30:00"),1)-"0:15"),LARGE(IF($F15:$AQ15&lt;&gt;"",$F$11:$AQ$11+"0:30:00"),1)),"")</f>
        <v/>
      </c>
      <c r="F15" s="40" t="n"/>
      <c r="G15" s="41" t="n"/>
      <c r="H15" s="40" t="n"/>
      <c r="I15" s="41" t="n"/>
      <c r="J15" s="40" t="n"/>
      <c r="K15" s="42" t="n"/>
      <c r="L15" s="43" t="n"/>
      <c r="M15" s="41" t="n"/>
      <c r="N15" s="40" t="n"/>
      <c r="O15" s="42" t="n"/>
      <c r="P15" s="43" t="n"/>
      <c r="Q15" s="41" t="n"/>
      <c r="R15" s="40" t="n"/>
      <c r="S15" s="42" t="n"/>
      <c r="T15" s="43" t="n"/>
      <c r="U15" s="41" t="n"/>
      <c r="V15" s="40" t="n"/>
      <c r="W15" s="42" t="inlineStr">
        <is>
          <t>rv</t>
        </is>
      </c>
      <c r="X15" s="42" t="inlineStr">
        <is>
          <t>rv</t>
        </is>
      </c>
      <c r="Y15" s="42" t="inlineStr">
        <is>
          <t>rv</t>
        </is>
      </c>
      <c r="Z15" s="42" t="inlineStr">
        <is>
          <t>rv</t>
        </is>
      </c>
      <c r="AA15" s="42" t="inlineStr">
        <is>
          <t>rv</t>
        </is>
      </c>
      <c r="AB15" s="42" t="inlineStr">
        <is>
          <t>rv</t>
        </is>
      </c>
      <c r="AC15" s="42" t="inlineStr">
        <is>
          <t>rv</t>
        </is>
      </c>
      <c r="AD15" s="42" t="inlineStr">
        <is>
          <t>rv</t>
        </is>
      </c>
      <c r="AE15" s="42" t="inlineStr">
        <is>
          <t>p</t>
        </is>
      </c>
      <c r="AF15" s="43" t="inlineStr">
        <is>
          <t>sl</t>
        </is>
      </c>
      <c r="AG15" s="41" t="inlineStr">
        <is>
          <t>sl</t>
        </is>
      </c>
      <c r="AH15" s="40" t="inlineStr">
        <is>
          <t>sl</t>
        </is>
      </c>
      <c r="AI15" s="42" t="inlineStr">
        <is>
          <t>sl</t>
        </is>
      </c>
      <c r="AJ15" s="43" t="inlineStr">
        <is>
          <t>sl</t>
        </is>
      </c>
      <c r="AK15" s="41" t="inlineStr">
        <is>
          <t>sl</t>
        </is>
      </c>
      <c r="AL15" s="40" t="n"/>
      <c r="AM15" s="41" t="n"/>
      <c r="AN15" s="645" t="n"/>
      <c r="AO15" s="42" t="n"/>
      <c r="AP15" s="40" t="n"/>
      <c r="AQ15" s="41" t="n"/>
      <c r="AR15" s="888">
        <f>IFERROR(IF(VLOOKUP($B15,Medewerker!$C$8:$I$107,7,FALSE)="",VLOOKUP($B15,Medewerker!$C$8:$I$107,5,FALSE),0),0)</f>
        <v/>
      </c>
      <c r="AS15" s="889">
        <f>IFERROR(IF(B15="",1,IF(VLOOKUP($B15,Medewerker!$C$8:$I$107,7,FALSE)="",VLOOKUP($B15,Medewerker!$C$8:$I$107,6,FALSE),0)),0)</f>
        <v/>
      </c>
      <c r="AT15" s="30" t="n"/>
      <c r="AU15" s="30">
        <f>(COUNTIF(F15:AQ15,"afw"))/2</f>
        <v/>
      </c>
      <c r="AV15" s="111">
        <f>((38-(COUNTIF(F15:AQ15,"")))/2)-(COUNTIF(F15:AQ15,"p")/2)-(COUNTIF(F15:AQ15,CONCATENATE("x","*"))/4)</f>
        <v/>
      </c>
      <c r="AW15" s="73">
        <f>IF($B15="","",VLOOKUP($B15,Medewerker!$C$8:$E$107,3,FALSE))</f>
        <v/>
      </c>
      <c r="AX15" s="403">
        <f>IFERROR(VLOOKUP($B15,Planning!$B$6:$AG$105,32,FALSE)*24,"")</f>
        <v/>
      </c>
      <c r="AY15" s="562" t="inlineStr">
        <is>
          <t>dv</t>
        </is>
      </c>
      <c r="AZ15" s="166" t="inlineStr">
        <is>
          <t>Diepvries vullen</t>
        </is>
      </c>
      <c r="BA15" s="111">
        <f>COUNTIF($F$13:$AQ$63,CONCATENATE(AY15,"*"))/2+COUNTIF($F$13:$AQ$63,CONCATENATE("x",AY15,"*"))/4</f>
        <v/>
      </c>
      <c r="BB15" s="838" t="n"/>
      <c r="BC15" s="31">
        <f>IF(Planning!B8="","",Planning!B8)</f>
        <v/>
      </c>
      <c r="BD15" s="105" t="n"/>
      <c r="BE15" s="885">
        <f>Planning!E8</f>
        <v/>
      </c>
      <c r="BF15" s="885">
        <f>Planning!F8</f>
        <v/>
      </c>
      <c r="BG15" s="886" t="n"/>
      <c r="BH15" s="105" t="n"/>
      <c r="BI15" s="885">
        <f>Planning!I8</f>
        <v/>
      </c>
      <c r="BJ15" s="885">
        <f>Planning!J8</f>
        <v/>
      </c>
      <c r="BK15" s="886" t="n"/>
      <c r="BL15" s="105" t="n"/>
      <c r="BM15" s="885">
        <f>Planning!M8</f>
        <v/>
      </c>
      <c r="BN15" s="885">
        <f>Planning!N8</f>
        <v/>
      </c>
      <c r="BO15" s="886" t="n"/>
      <c r="BP15" s="105" t="n"/>
      <c r="BQ15" s="885">
        <f>Planning!Q8</f>
        <v/>
      </c>
      <c r="BR15" s="885">
        <f>Planning!R8</f>
        <v/>
      </c>
      <c r="BS15" s="886" t="n"/>
      <c r="BT15" s="105" t="n"/>
      <c r="BU15" s="885">
        <f>Planning!U8</f>
        <v/>
      </c>
      <c r="BV15" s="885">
        <f>Planning!V8</f>
        <v/>
      </c>
      <c r="BW15" s="886" t="n"/>
      <c r="BX15" s="105" t="n"/>
      <c r="BY15" s="885">
        <f>Planning!Y8</f>
        <v/>
      </c>
      <c r="BZ15" s="885">
        <f>Planning!Z8</f>
        <v/>
      </c>
      <c r="CA15" s="886" t="n"/>
      <c r="CB15" s="105" t="n"/>
      <c r="CC15" s="885">
        <f>Planning!AC8</f>
        <v/>
      </c>
      <c r="CD15" s="885">
        <f>Planning!AD8</f>
        <v/>
      </c>
      <c r="CE15" s="886" t="n"/>
      <c r="CF15" s="105" t="n"/>
      <c r="CG15" s="887">
        <f>Planning!AG8</f>
        <v/>
      </c>
      <c r="CH15" s="105" t="n"/>
      <c r="CI15" s="252">
        <f>IF(BC15="","",Planning!AI8)</f>
        <v/>
      </c>
      <c r="CJ15" s="252">
        <f>IF(BC15="","",Planning!AJ8)</f>
        <v/>
      </c>
      <c r="CK15" s="252">
        <f>IF(BC15="","",Planning!AK8)</f>
        <v/>
      </c>
      <c r="CL15" s="252">
        <f>IF(BC15="","",Planning!AH8)</f>
        <v/>
      </c>
      <c r="CM15" s="21" t="n"/>
    </row>
    <row r="16" ht="12.75" customHeight="1">
      <c r="A16" s="161">
        <f>IFERROR(IF(VLOOKUP($B16,$BC$13:$CL$86,36,FALSE)&gt;5,0,IF(COUNTIF($B$13:$B$63,$B16)&gt;1,0,4)),4)+IF(B16&lt;&gt;0,0,IF(AV16&gt;0,0.000001,0))</f>
        <v/>
      </c>
      <c r="B16" s="52" t="n"/>
      <c r="C16" s="48">
        <f>IFERROR(IF($B16="","",VLOOKUP($B16,Medewerker!$C$8:$AI$107,33,FALSE)),"?")</f>
        <v/>
      </c>
      <c r="D16" s="879">
        <f t="array" ref="D16">IFERROR(IF(LEFT(INDEX($F16:$AQ16,1,SUM(SMALL(IF($F16:$AQ16&lt;&gt;"",COLUMN($F16:$AQ16)),1)-5)),1)="x",SUM(SMALL(IF($F16:$AQ16&lt;&gt;"",$F$11:$AQ$11),1)+"0:15"),SMALL(IF($F16:$AQ16&lt;&gt;"",$F$11:$AQ$11),1)),"")</f>
        <v/>
      </c>
      <c r="E16" s="879">
        <f t="array" ref="E16">IFERROR(IF(LEFT(INDEX($F16:$AQ16,1,SUM(LARGE(IF($F16:$AQ16&lt;&gt;"",COLUMN($F16:$AQ16)),1)-5)),1)="x",SUM(LARGE(IF($F16:$AQ16&lt;&gt;"",$F$11:$AQ$11+"0:30:00"),1)-"0:15"),LARGE(IF($F16:$AQ16&lt;&gt;"",$F$11:$AQ$11+"0:30:00"),1)),"")</f>
        <v/>
      </c>
      <c r="F16" s="40" t="n"/>
      <c r="G16" s="41" t="n"/>
      <c r="H16" s="40" t="n"/>
      <c r="I16" s="41" t="n"/>
      <c r="J16" s="40" t="n"/>
      <c r="K16" s="42" t="n"/>
      <c r="L16" s="43" t="n"/>
      <c r="M16" s="41" t="n"/>
      <c r="N16" s="40" t="n"/>
      <c r="O16" s="42" t="n"/>
      <c r="P16" s="43" t="n"/>
      <c r="Q16" s="41" t="n"/>
      <c r="R16" s="40" t="n"/>
      <c r="S16" s="42" t="n"/>
      <c r="T16" s="43" t="n"/>
      <c r="U16" s="41" t="n"/>
      <c r="V16" s="40" t="n"/>
      <c r="W16" s="42" t="n"/>
      <c r="X16" s="43" t="n"/>
      <c r="Y16" s="41" t="n"/>
      <c r="Z16" s="40" t="n"/>
      <c r="AA16" s="42" t="n"/>
      <c r="AB16" s="43" t="n"/>
      <c r="AC16" s="41" t="n"/>
      <c r="AD16" s="40" t="n"/>
      <c r="AE16" s="42" t="n"/>
      <c r="AF16" s="43" t="n"/>
      <c r="AG16" s="41" t="n"/>
      <c r="AH16" s="40" t="n"/>
      <c r="AI16" s="42" t="n"/>
      <c r="AJ16" s="43" t="n"/>
      <c r="AK16" s="41" t="n"/>
      <c r="AL16" s="40" t="n"/>
      <c r="AM16" s="41" t="n"/>
      <c r="AN16" s="645" t="n"/>
      <c r="AO16" s="42" t="n"/>
      <c r="AP16" s="40" t="n"/>
      <c r="AQ16" s="41" t="n"/>
      <c r="AR16" s="888">
        <f>IFERROR(IF(VLOOKUP($B16,Medewerker!$C$8:$I$107,7,FALSE)="",VLOOKUP($B16,Medewerker!$C$8:$I$107,5,FALSE),0),0)</f>
        <v/>
      </c>
      <c r="AS16" s="889">
        <f>IFERROR(IF(B16="",1,IF(VLOOKUP($B16,Medewerker!$C$8:$I$107,7,FALSE)="",VLOOKUP($B16,Medewerker!$C$8:$I$107,6,FALSE),0)),0)</f>
        <v/>
      </c>
      <c r="AT16" s="30" t="n"/>
      <c r="AU16" s="30">
        <f>(COUNTIF(F16:AQ16,"afw"))/2</f>
        <v/>
      </c>
      <c r="AV16" s="111">
        <f>((38-(COUNTIF(F16:AQ16,"")))/2)-(COUNTIF(F16:AQ16,"p")/2)-(COUNTIF(F16:AQ16,CONCATENATE("x","*"))/4)</f>
        <v/>
      </c>
      <c r="AW16" s="73">
        <f>IF($B16="","",VLOOKUP($B16,Medewerker!$C$8:$E$107,3,FALSE))</f>
        <v/>
      </c>
      <c r="AX16" s="403">
        <f>IFERROR(VLOOKUP($B16,Planning!$B$6:$AG$105,32,FALSE)*24,"")</f>
        <v/>
      </c>
      <c r="AY16" s="562" t="inlineStr">
        <is>
          <t>vv</t>
        </is>
      </c>
      <c r="AZ16" s="166" t="inlineStr">
        <is>
          <t>Vers vullen</t>
        </is>
      </c>
      <c r="BA16" s="111">
        <f>COUNTIF($F$13:$AQ$63,CONCATENATE(AY16,"*"))/2+COUNTIF($F$13:$AQ$63,CONCATENATE("x",AY16,"*"))/4</f>
        <v/>
      </c>
      <c r="BB16" s="838" t="n"/>
      <c r="BC16" s="31">
        <f>IF(Planning!B9="","",Planning!B9)</f>
        <v/>
      </c>
      <c r="BD16" s="105" t="n"/>
      <c r="BE16" s="885">
        <f>Planning!E9</f>
        <v/>
      </c>
      <c r="BF16" s="885">
        <f>Planning!F9</f>
        <v/>
      </c>
      <c r="BG16" s="886" t="n"/>
      <c r="BH16" s="105" t="n"/>
      <c r="BI16" s="885">
        <f>Planning!I9</f>
        <v/>
      </c>
      <c r="BJ16" s="885">
        <f>Planning!J9</f>
        <v/>
      </c>
      <c r="BK16" s="886" t="n"/>
      <c r="BL16" s="105" t="n"/>
      <c r="BM16" s="885">
        <f>Planning!M9</f>
        <v/>
      </c>
      <c r="BN16" s="885">
        <f>Planning!N9</f>
        <v/>
      </c>
      <c r="BO16" s="886" t="n"/>
      <c r="BP16" s="105" t="n"/>
      <c r="BQ16" s="885">
        <f>Planning!Q9</f>
        <v/>
      </c>
      <c r="BR16" s="885">
        <f>Planning!R9</f>
        <v/>
      </c>
      <c r="BS16" s="886" t="n"/>
      <c r="BT16" s="105" t="n"/>
      <c r="BU16" s="885">
        <f>Planning!U9</f>
        <v/>
      </c>
      <c r="BV16" s="885">
        <f>Planning!V9</f>
        <v/>
      </c>
      <c r="BW16" s="886" t="n"/>
      <c r="BX16" s="105" t="n"/>
      <c r="BY16" s="885">
        <f>Planning!Y9</f>
        <v/>
      </c>
      <c r="BZ16" s="885">
        <f>Planning!Z9</f>
        <v/>
      </c>
      <c r="CA16" s="886" t="n"/>
      <c r="CB16" s="105" t="n"/>
      <c r="CC16" s="885">
        <f>Planning!AC9</f>
        <v/>
      </c>
      <c r="CD16" s="885">
        <f>Planning!AD9</f>
        <v/>
      </c>
      <c r="CE16" s="886" t="n"/>
      <c r="CF16" s="105" t="n"/>
      <c r="CG16" s="887">
        <f>Planning!AG9</f>
        <v/>
      </c>
      <c r="CH16" s="105" t="n"/>
      <c r="CI16" s="252">
        <f>IF(BC16="","",Planning!AI9)</f>
        <v/>
      </c>
      <c r="CJ16" s="252">
        <f>IF(BC16="","",Planning!AJ9)</f>
        <v/>
      </c>
      <c r="CK16" s="252">
        <f>IF(BC16="","",Planning!AK9)</f>
        <v/>
      </c>
      <c r="CL16" s="252">
        <f>IF(BC16="","",Planning!AH9)</f>
        <v/>
      </c>
      <c r="CM16" s="21" t="n"/>
    </row>
    <row r="17" ht="12.75" customHeight="1">
      <c r="A17" s="161">
        <f>IFERROR(IF(VLOOKUP($B17,$BC$13:$CL$86,36,FALSE)&gt;5,0,IF(COUNTIF($B$13:$B$63,$B17)&gt;1,0,5)),5)+IF(B17&lt;&gt;0,0,IF(AV17&gt;0,0.000001,0))</f>
        <v/>
      </c>
      <c r="B17" s="52" t="inlineStr">
        <is>
          <t>Nermeen Mamlouk</t>
        </is>
      </c>
      <c r="C17" s="48">
        <f>IFERROR(IF($B17="","",VLOOKUP($B17,Medewerker!$C$8:$AI$107,33,FALSE)),"?")</f>
        <v/>
      </c>
      <c r="D17" s="879">
        <f t="array" ref="D17">IFERROR(IF(LEFT(INDEX($F17:$AQ17,1,SUM(SMALL(IF($F17:$AQ17&lt;&gt;"",COLUMN($F17:$AQ17)),1)-5)),1)="x",SUM(SMALL(IF($F17:$AQ17&lt;&gt;"",$F$11:$AQ$11),1)+"0:15"),SMALL(IF($F17:$AQ17&lt;&gt;"",$F$11:$AQ$11),1)),"")</f>
        <v/>
      </c>
      <c r="E17" s="879">
        <f t="array" ref="E17">IFERROR(IF(LEFT(INDEX($F17:$AQ17,1,SUM(LARGE(IF($F17:$AQ17&lt;&gt;"",COLUMN($F17:$AQ17)),1)-5)),1)="x",SUM(LARGE(IF($F17:$AQ17&lt;&gt;"",$F$11:$AQ$11+"0:30:00"),1)-"0:15"),LARGE(IF($F17:$AQ17&lt;&gt;"",$F$11:$AQ$11+"0:30:00"),1)),"")</f>
        <v/>
      </c>
      <c r="F17" s="40" t="n"/>
      <c r="G17" s="41" t="n"/>
      <c r="H17" s="40" t="inlineStr">
        <is>
          <t>cb</t>
        </is>
      </c>
      <c r="I17" s="41" t="inlineStr">
        <is>
          <t>cb</t>
        </is>
      </c>
      <c r="J17" s="40" t="inlineStr">
        <is>
          <t>cb</t>
        </is>
      </c>
      <c r="K17" s="42" t="inlineStr">
        <is>
          <t>cb</t>
        </is>
      </c>
      <c r="L17" s="43" t="inlineStr">
        <is>
          <t>cb</t>
        </is>
      </c>
      <c r="M17" s="41" t="inlineStr">
        <is>
          <t>cb</t>
        </is>
      </c>
      <c r="N17" s="40" t="inlineStr">
        <is>
          <t>cb</t>
        </is>
      </c>
      <c r="O17" s="42" t="inlineStr">
        <is>
          <t>cb</t>
        </is>
      </c>
      <c r="P17" s="43" t="inlineStr">
        <is>
          <t>p</t>
        </is>
      </c>
      <c r="Q17" s="41" t="inlineStr">
        <is>
          <t>hv</t>
        </is>
      </c>
      <c r="R17" s="40" t="inlineStr">
        <is>
          <t>hv</t>
        </is>
      </c>
      <c r="S17" s="42" t="inlineStr">
        <is>
          <t>hv</t>
        </is>
      </c>
      <c r="T17" s="43" t="inlineStr">
        <is>
          <t>hv</t>
        </is>
      </c>
      <c r="U17" s="41" t="n"/>
      <c r="V17" s="40" t="n"/>
      <c r="W17" s="42" t="n"/>
      <c r="X17" s="43" t="n"/>
      <c r="Y17" s="41" t="n"/>
      <c r="Z17" s="40" t="n"/>
      <c r="AA17" s="42" t="n"/>
      <c r="AB17" s="43" t="n"/>
      <c r="AC17" s="41" t="n"/>
      <c r="AD17" s="40" t="n"/>
      <c r="AE17" s="42" t="n"/>
      <c r="AF17" s="43" t="n"/>
      <c r="AG17" s="41" t="n"/>
      <c r="AH17" s="40" t="n"/>
      <c r="AI17" s="42" t="n"/>
      <c r="AJ17" s="43" t="n"/>
      <c r="AK17" s="41" t="n"/>
      <c r="AL17" s="40" t="n"/>
      <c r="AM17" s="41" t="n"/>
      <c r="AN17" s="645" t="n"/>
      <c r="AO17" s="42" t="n"/>
      <c r="AP17" s="40" t="n"/>
      <c r="AQ17" s="41" t="n"/>
      <c r="AR17" s="888">
        <f>IFERROR(IF(VLOOKUP($B17,Medewerker!$C$8:$I$107,7,FALSE)="",VLOOKUP($B17,Medewerker!$C$8:$I$107,5,FALSE),0),0)</f>
        <v/>
      </c>
      <c r="AS17" s="889">
        <f>IFERROR(IF(B17="",1,IF(VLOOKUP($B17,Medewerker!$C$8:$I$107,7,FALSE)="",VLOOKUP($B17,Medewerker!$C$8:$I$107,6,FALSE),0)),0)</f>
        <v/>
      </c>
      <c r="AT17" s="30" t="n"/>
      <c r="AU17" s="30">
        <f>(COUNTIF(F17:AQ17,"afw"))/2</f>
        <v/>
      </c>
      <c r="AV17" s="111">
        <f>((38-(COUNTIF(F17:AQ17,"")))/2)-(COUNTIF(F17:AQ17,"p")/2)-(COUNTIF(F17:AQ17,CONCATENATE("x","*"))/4)</f>
        <v/>
      </c>
      <c r="AW17" s="73">
        <f>IF($B17="","",VLOOKUP($B17,Medewerker!$C$8:$E$107,3,FALSE))</f>
        <v/>
      </c>
      <c r="AX17" s="403">
        <f>IFERROR(VLOOKUP($B17,Planning!$B$6:$AG$105,32,FALSE)*24,"")</f>
        <v/>
      </c>
      <c r="AY17" s="562" t="inlineStr">
        <is>
          <t>nh</t>
        </is>
      </c>
      <c r="AZ17" s="166" t="inlineStr">
        <is>
          <t>Navulling HB</t>
        </is>
      </c>
      <c r="BA17" s="111">
        <f>COUNTIF($F$13:$AQ$63,CONCATENATE(AY17,"*"))/2+COUNTIF($F$13:$AQ$63,CONCATENATE("x",AY17,"*"))/4</f>
        <v/>
      </c>
      <c r="BB17" s="838" t="n"/>
      <c r="BC17" s="31">
        <f>IF(Planning!B10="","",Planning!B10)</f>
        <v/>
      </c>
      <c r="BD17" s="105" t="n"/>
      <c r="BE17" s="885">
        <f>Planning!E10</f>
        <v/>
      </c>
      <c r="BF17" s="885">
        <f>Planning!F10</f>
        <v/>
      </c>
      <c r="BG17" s="886" t="n"/>
      <c r="BH17" s="105" t="n"/>
      <c r="BI17" s="885">
        <f>Planning!I10</f>
        <v/>
      </c>
      <c r="BJ17" s="885">
        <f>Planning!J10</f>
        <v/>
      </c>
      <c r="BK17" s="886" t="n"/>
      <c r="BL17" s="105" t="n"/>
      <c r="BM17" s="885">
        <f>Planning!M10</f>
        <v/>
      </c>
      <c r="BN17" s="885">
        <f>Planning!N10</f>
        <v/>
      </c>
      <c r="BO17" s="886" t="n"/>
      <c r="BP17" s="105" t="n"/>
      <c r="BQ17" s="885">
        <f>Planning!Q10</f>
        <v/>
      </c>
      <c r="BR17" s="885">
        <f>Planning!R10</f>
        <v/>
      </c>
      <c r="BS17" s="886" t="n"/>
      <c r="BT17" s="105" t="n"/>
      <c r="BU17" s="885">
        <f>Planning!U10</f>
        <v/>
      </c>
      <c r="BV17" s="885">
        <f>Planning!V10</f>
        <v/>
      </c>
      <c r="BW17" s="886" t="n"/>
      <c r="BX17" s="105" t="n"/>
      <c r="BY17" s="885">
        <f>Planning!Y10</f>
        <v/>
      </c>
      <c r="BZ17" s="885">
        <f>Planning!Z10</f>
        <v/>
      </c>
      <c r="CA17" s="886" t="n"/>
      <c r="CB17" s="105" t="n"/>
      <c r="CC17" s="885">
        <f>Planning!AC10</f>
        <v/>
      </c>
      <c r="CD17" s="885">
        <f>Planning!AD10</f>
        <v/>
      </c>
      <c r="CE17" s="886" t="n"/>
      <c r="CF17" s="105" t="n"/>
      <c r="CG17" s="887">
        <f>Planning!AG10</f>
        <v/>
      </c>
      <c r="CH17" s="105" t="n"/>
      <c r="CI17" s="252">
        <f>IF(BC17="","",Planning!AI10)</f>
        <v/>
      </c>
      <c r="CJ17" s="252">
        <f>IF(BC17="","",Planning!AJ10)</f>
        <v/>
      </c>
      <c r="CK17" s="252">
        <f>IF(BC17="","",Planning!AK10)</f>
        <v/>
      </c>
      <c r="CL17" s="252">
        <f>IF(BC17="","",Planning!AH10)</f>
        <v/>
      </c>
      <c r="CM17" s="21" t="n"/>
    </row>
    <row r="18" ht="12.75" customHeight="1">
      <c r="A18" s="161">
        <f>IFERROR(IF(VLOOKUP($B18,$BC$13:$CL$86,36,FALSE)&gt;5,0,IF(COUNTIF($B$13:$B$63,$B18)&gt;1,0,6)),6)+IF(B18&lt;&gt;0,0,IF(AV18&gt;0,0.000001,0))</f>
        <v/>
      </c>
      <c r="B18" s="52" t="n"/>
      <c r="C18" s="48">
        <f>IFERROR(IF($B18="","",VLOOKUP($B18,Medewerker!$C$8:$AI$107,33,FALSE)),"?")</f>
        <v/>
      </c>
      <c r="D18" s="879">
        <f t="array" ref="D18">IFERROR(IF(LEFT(INDEX($F18:$AQ18,1,SUM(SMALL(IF($F18:$AQ18&lt;&gt;"",COLUMN($F18:$AQ18)),1)-5)),1)="x",SUM(SMALL(IF($F18:$AQ18&lt;&gt;"",$F$11:$AQ$11),1)+"0:15"),SMALL(IF($F18:$AQ18&lt;&gt;"",$F$11:$AQ$11),1)),"")</f>
        <v/>
      </c>
      <c r="E18" s="879">
        <f t="array" ref="E18">IFERROR(IF(LEFT(INDEX($F18:$AQ18,1,SUM(LARGE(IF($F18:$AQ18&lt;&gt;"",COLUMN($F18:$AQ18)),1)-5)),1)="x",SUM(LARGE(IF($F18:$AQ18&lt;&gt;"",$F$11:$AQ$11+"0:30:00"),1)-"0:15"),LARGE(IF($F18:$AQ18&lt;&gt;"",$F$11:$AQ$11+"0:30:00"),1)),"")</f>
        <v/>
      </c>
      <c r="F18" s="40" t="n"/>
      <c r="G18" s="41" t="n"/>
      <c r="H18" s="40" t="n"/>
      <c r="I18" s="41" t="n"/>
      <c r="J18" s="40" t="n"/>
      <c r="K18" s="42" t="n"/>
      <c r="L18" s="43" t="n"/>
      <c r="M18" s="41" t="n"/>
      <c r="N18" s="40" t="n"/>
      <c r="O18" s="42" t="n"/>
      <c r="P18" s="43" t="n"/>
      <c r="Q18" s="41" t="n"/>
      <c r="R18" s="40" t="n"/>
      <c r="S18" s="42" t="n"/>
      <c r="T18" s="43" t="n"/>
      <c r="U18" s="41" t="n"/>
      <c r="V18" s="40" t="n"/>
      <c r="W18" s="42" t="n"/>
      <c r="X18" s="43" t="n"/>
      <c r="Y18" s="41" t="n"/>
      <c r="Z18" s="40" t="n"/>
      <c r="AA18" s="42" t="n"/>
      <c r="AB18" s="43" t="n"/>
      <c r="AC18" s="41" t="n"/>
      <c r="AD18" s="40" t="n"/>
      <c r="AE18" s="42" t="n"/>
      <c r="AF18" s="43" t="n"/>
      <c r="AG18" s="41" t="n"/>
      <c r="AH18" s="40" t="n"/>
      <c r="AI18" s="42" t="n"/>
      <c r="AJ18" s="43" t="n"/>
      <c r="AK18" s="41" t="n"/>
      <c r="AL18" s="40" t="n"/>
      <c r="AM18" s="41" t="n"/>
      <c r="AN18" s="645" t="n"/>
      <c r="AO18" s="42" t="n"/>
      <c r="AP18" s="40" t="n"/>
      <c r="AQ18" s="41" t="n"/>
      <c r="AR18" s="888">
        <f>IFERROR(IF(VLOOKUP($B18,Medewerker!$C$8:$I$107,7,FALSE)="",VLOOKUP($B18,Medewerker!$C$8:$I$107,5,FALSE),0),0)</f>
        <v/>
      </c>
      <c r="AS18" s="889">
        <f>IFERROR(IF(B18="",1,IF(VLOOKUP($B18,Medewerker!$C$8:$I$107,7,FALSE)="",VLOOKUP($B18,Medewerker!$C$8:$I$107,6,FALSE),0)),0)</f>
        <v/>
      </c>
      <c r="AT18" s="30" t="n"/>
      <c r="AU18" s="30">
        <f>(COUNTIF(F18:AQ18,"afw"))/2</f>
        <v/>
      </c>
      <c r="AV18" s="111">
        <f>((38-(COUNTIF(F18:AQ18,"")))/2)-(COUNTIF(F18:AQ18,"p")/2)-(COUNTIF(F18:AQ18,CONCATENATE("x","*"))/4)</f>
        <v/>
      </c>
      <c r="AW18" s="73">
        <f>IF($B18="","",VLOOKUP($B18,Medewerker!$C$8:$E$107,3,FALSE))</f>
        <v/>
      </c>
      <c r="AX18" s="403">
        <f>IFERROR(VLOOKUP($B18,Planning!$B$6:$AG$105,32,FALSE)*24,"")</f>
        <v/>
      </c>
      <c r="AY18" s="562" t="inlineStr">
        <is>
          <t>nd</t>
        </is>
      </c>
      <c r="AZ18" s="166" t="inlineStr">
        <is>
          <t>Navulling DV</t>
        </is>
      </c>
      <c r="BA18" s="111">
        <f>COUNTIF($F$13:$AQ$63,CONCATENATE(AY18,"*"))/2+COUNTIF($F$13:$AQ$63,CONCATENATE("x",AY18,"*"))/4</f>
        <v/>
      </c>
      <c r="BB18" s="838" t="n"/>
      <c r="BC18" s="31">
        <f>IF(Planning!B11="","",Planning!B11)</f>
        <v/>
      </c>
      <c r="BD18" s="105" t="n"/>
      <c r="BE18" s="885">
        <f>Planning!E11</f>
        <v/>
      </c>
      <c r="BF18" s="885">
        <f>Planning!F11</f>
        <v/>
      </c>
      <c r="BG18" s="886" t="n"/>
      <c r="BH18" s="105" t="n"/>
      <c r="BI18" s="885">
        <f>Planning!I11</f>
        <v/>
      </c>
      <c r="BJ18" s="885">
        <f>Planning!J11</f>
        <v/>
      </c>
      <c r="BK18" s="886" t="n"/>
      <c r="BL18" s="105" t="n"/>
      <c r="BM18" s="885">
        <f>Planning!M11</f>
        <v/>
      </c>
      <c r="BN18" s="885">
        <f>Planning!N11</f>
        <v/>
      </c>
      <c r="BO18" s="886" t="n"/>
      <c r="BP18" s="105" t="n"/>
      <c r="BQ18" s="885">
        <f>Planning!Q11</f>
        <v/>
      </c>
      <c r="BR18" s="885">
        <f>Planning!R11</f>
        <v/>
      </c>
      <c r="BS18" s="886" t="n"/>
      <c r="BT18" s="105" t="n"/>
      <c r="BU18" s="885">
        <f>Planning!U11</f>
        <v/>
      </c>
      <c r="BV18" s="885">
        <f>Planning!V11</f>
        <v/>
      </c>
      <c r="BW18" s="886" t="n"/>
      <c r="BX18" s="105" t="n"/>
      <c r="BY18" s="885">
        <f>Planning!Y11</f>
        <v/>
      </c>
      <c r="BZ18" s="885">
        <f>Planning!Z11</f>
        <v/>
      </c>
      <c r="CA18" s="886" t="n"/>
      <c r="CB18" s="105" t="n"/>
      <c r="CC18" s="885">
        <f>Planning!AC11</f>
        <v/>
      </c>
      <c r="CD18" s="885">
        <f>Planning!AD11</f>
        <v/>
      </c>
      <c r="CE18" s="886" t="n"/>
      <c r="CF18" s="105" t="n"/>
      <c r="CG18" s="887">
        <f>Planning!AG11</f>
        <v/>
      </c>
      <c r="CH18" s="105" t="n"/>
      <c r="CI18" s="252">
        <f>IF(BC18="","",Planning!AI11)</f>
        <v/>
      </c>
      <c r="CJ18" s="252">
        <f>IF(BC18="","",Planning!AJ11)</f>
        <v/>
      </c>
      <c r="CK18" s="252">
        <f>IF(BC18="","",Planning!AK11)</f>
        <v/>
      </c>
      <c r="CL18" s="252">
        <f>IF(BC18="","",Planning!AH11)</f>
        <v/>
      </c>
      <c r="CM18" s="21" t="n"/>
    </row>
    <row r="19" ht="12.75" customHeight="1">
      <c r="A19" s="161">
        <f>IFERROR(IF(VLOOKUP($B19,$BC$13:$CL$86,36,FALSE)&gt;5,0,IF(COUNTIF($B$13:$B$63,$B19)&gt;1,0,7)),7)+IF(B19&lt;&gt;0,0,IF(AV19&gt;0,0.000001,0))</f>
        <v/>
      </c>
      <c r="B19" s="52" t="inlineStr">
        <is>
          <t>Nataliia</t>
        </is>
      </c>
      <c r="C19" s="48">
        <f>IFERROR(IF($B19="","",VLOOKUP($B19,Medewerker!$C$8:$AI$107,33,FALSE)),"?")</f>
        <v/>
      </c>
      <c r="D19" s="879">
        <f t="array" ref="D19">IFERROR(IF(LEFT(INDEX($F19:$AQ19,1,SUM(SMALL(IF($F19:$AQ19&lt;&gt;"",COLUMN($F19:$AQ19)),1)-5)),1)="x",SUM(SMALL(IF($F19:$AQ19&lt;&gt;"",$F$11:$AQ$11),1)+"0:15"),SMALL(IF($F19:$AQ19&lt;&gt;"",$F$11:$AQ$11),1)),"")</f>
        <v/>
      </c>
      <c r="E19" s="879">
        <f t="array" ref="E19">IFERROR(IF(LEFT(INDEX($F19:$AQ19,1,SUM(LARGE(IF($F19:$AQ19&lt;&gt;"",COLUMN($F19:$AQ19)),1)-5)),1)="x",SUM(LARGE(IF($F19:$AQ19&lt;&gt;"",$F$11:$AQ$11+"0:30:00"),1)-"0:15"),LARGE(IF($F19:$AQ19&lt;&gt;"",$F$11:$AQ$11+"0:30:00"),1)),"")</f>
        <v/>
      </c>
      <c r="F19" s="40" t="n"/>
      <c r="G19" s="41" t="n"/>
      <c r="H19" s="40" t="inlineStr">
        <is>
          <t>km</t>
        </is>
      </c>
      <c r="I19" s="41" t="inlineStr">
        <is>
          <t>km</t>
        </is>
      </c>
      <c r="J19" s="40" t="inlineStr">
        <is>
          <t>km</t>
        </is>
      </c>
      <c r="K19" s="42" t="inlineStr">
        <is>
          <t>km</t>
        </is>
      </c>
      <c r="L19" s="43" t="inlineStr">
        <is>
          <t>km</t>
        </is>
      </c>
      <c r="M19" s="41" t="inlineStr">
        <is>
          <t>km</t>
        </is>
      </c>
      <c r="N19" s="40" t="inlineStr">
        <is>
          <t>km</t>
        </is>
      </c>
      <c r="O19" s="42" t="inlineStr">
        <is>
          <t>p</t>
        </is>
      </c>
      <c r="P19" s="43" t="inlineStr">
        <is>
          <t>km</t>
        </is>
      </c>
      <c r="Q19" s="41" t="inlineStr">
        <is>
          <t>km</t>
        </is>
      </c>
      <c r="R19" s="40" t="inlineStr">
        <is>
          <t>km</t>
        </is>
      </c>
      <c r="S19" s="42" t="inlineStr">
        <is>
          <t>km</t>
        </is>
      </c>
      <c r="T19" s="43" t="inlineStr">
        <is>
          <t>km</t>
        </is>
      </c>
      <c r="U19" s="41" t="inlineStr">
        <is>
          <t>km</t>
        </is>
      </c>
      <c r="V19" s="40" t="inlineStr">
        <is>
          <t>km</t>
        </is>
      </c>
      <c r="W19" s="42" t="n"/>
      <c r="X19" s="43" t="n"/>
      <c r="Y19" s="41" t="n"/>
      <c r="Z19" s="40" t="n"/>
      <c r="AA19" s="42" t="n"/>
      <c r="AB19" s="43" t="n"/>
      <c r="AC19" s="41" t="n"/>
      <c r="AD19" s="40" t="n"/>
      <c r="AE19" s="42" t="n"/>
      <c r="AF19" s="43" t="n"/>
      <c r="AG19" s="41" t="n"/>
      <c r="AH19" s="40" t="n"/>
      <c r="AI19" s="42" t="n"/>
      <c r="AJ19" s="43" t="n"/>
      <c r="AK19" s="41" t="n"/>
      <c r="AL19" s="40" t="n"/>
      <c r="AM19" s="41" t="n"/>
      <c r="AN19" s="645" t="n"/>
      <c r="AO19" s="42" t="n"/>
      <c r="AP19" s="40" t="n"/>
      <c r="AQ19" s="41" t="n"/>
      <c r="AR19" s="888">
        <f>IFERROR(IF(VLOOKUP($B19,Medewerker!$C$8:$I$107,7,FALSE)="",VLOOKUP($B19,Medewerker!$C$8:$I$107,5,FALSE),0),0)</f>
        <v/>
      </c>
      <c r="AS19" s="889">
        <f>IFERROR(IF(B19="",1,IF(VLOOKUP($B19,Medewerker!$C$8:$I$107,7,FALSE)="",VLOOKUP($B19,Medewerker!$C$8:$I$107,6,FALSE),0)),0)</f>
        <v/>
      </c>
      <c r="AT19" s="30" t="n"/>
      <c r="AU19" s="30">
        <f>(COUNTIF(F19:AQ19,"afw"))/2</f>
        <v/>
      </c>
      <c r="AV19" s="111">
        <f>((38-(COUNTIF(F19:AQ19,"")))/2)-(COUNTIF(F19:AQ19,"p")/2)-(COUNTIF(F19:AQ19,CONCATENATE("x","*"))/4)</f>
        <v/>
      </c>
      <c r="AW19" s="73">
        <f>IF($B19="","",VLOOKUP($B19,Medewerker!$C$8:$E$107,3,FALSE))</f>
        <v/>
      </c>
      <c r="AX19" s="403">
        <f>IFERROR(VLOOKUP($B19,Planning!$B$6:$AG$105,32,FALSE)*24,"")</f>
        <v/>
      </c>
      <c r="AY19" s="562" t="inlineStr">
        <is>
          <t>nv</t>
        </is>
      </c>
      <c r="AZ19" s="166" t="inlineStr">
        <is>
          <t>Navulling Vers</t>
        </is>
      </c>
      <c r="BA19" s="111">
        <f>COUNTIF($F$13:$AQ$63,CONCATENATE(AY19,"*"))/2+COUNTIF($F$13:$AQ$63,CONCATENATE("x",AY19,"*"))/4</f>
        <v/>
      </c>
      <c r="BB19" s="838" t="n"/>
      <c r="BC19" s="31">
        <f>IF(Planning!B12="","",Planning!B12)</f>
        <v/>
      </c>
      <c r="BD19" s="105" t="n"/>
      <c r="BE19" s="885">
        <f>Planning!E12</f>
        <v/>
      </c>
      <c r="BF19" s="885">
        <f>Planning!F12</f>
        <v/>
      </c>
      <c r="BG19" s="886" t="n"/>
      <c r="BH19" s="105" t="n"/>
      <c r="BI19" s="885">
        <f>Planning!I12</f>
        <v/>
      </c>
      <c r="BJ19" s="885">
        <f>Planning!J12</f>
        <v/>
      </c>
      <c r="BK19" s="886" t="n"/>
      <c r="BL19" s="105" t="n"/>
      <c r="BM19" s="885">
        <f>Planning!M12</f>
        <v/>
      </c>
      <c r="BN19" s="885">
        <f>Planning!N12</f>
        <v/>
      </c>
      <c r="BO19" s="886" t="n"/>
      <c r="BP19" s="105" t="n"/>
      <c r="BQ19" s="885">
        <f>Planning!Q12</f>
        <v/>
      </c>
      <c r="BR19" s="885">
        <f>Planning!R12</f>
        <v/>
      </c>
      <c r="BS19" s="886" t="n"/>
      <c r="BT19" s="105" t="n"/>
      <c r="BU19" s="885">
        <f>Planning!U12</f>
        <v/>
      </c>
      <c r="BV19" s="885">
        <f>Planning!V12</f>
        <v/>
      </c>
      <c r="BW19" s="886" t="n"/>
      <c r="BX19" s="105" t="n"/>
      <c r="BY19" s="885">
        <f>Planning!Y12</f>
        <v/>
      </c>
      <c r="BZ19" s="885">
        <f>Planning!Z12</f>
        <v/>
      </c>
      <c r="CA19" s="886" t="n"/>
      <c r="CB19" s="105" t="n"/>
      <c r="CC19" s="885">
        <f>Planning!AC12</f>
        <v/>
      </c>
      <c r="CD19" s="885">
        <f>Planning!AD12</f>
        <v/>
      </c>
      <c r="CE19" s="886" t="n"/>
      <c r="CF19" s="105" t="n"/>
      <c r="CG19" s="887">
        <f>Planning!AG12</f>
        <v/>
      </c>
      <c r="CH19" s="105" t="n"/>
      <c r="CI19" s="252">
        <f>IF(BC19="","",Planning!AI12)</f>
        <v/>
      </c>
      <c r="CJ19" s="252">
        <f>IF(BC19="","",Planning!AJ12)</f>
        <v/>
      </c>
      <c r="CK19" s="252">
        <f>IF(BC19="","",Planning!AK12)</f>
        <v/>
      </c>
      <c r="CL19" s="252">
        <f>IF(BC19="","",Planning!AH12)</f>
        <v/>
      </c>
      <c r="CM19" s="21" t="n"/>
    </row>
    <row r="20" ht="12.75" customHeight="1">
      <c r="A20" s="161">
        <f>IFERROR(IF(VLOOKUP($B20,$BC$13:$CL$86,36,FALSE)&gt;5,0,IF(COUNTIF($B$13:$B$63,$B20)&gt;1,0,8)),8)+IF(B20&lt;&gt;0,0,IF(AV20&gt;0,0.000001,0))</f>
        <v/>
      </c>
      <c r="B20" s="52" t="n"/>
      <c r="C20" s="48">
        <f>IFERROR(IF($B20="","",VLOOKUP($B20,Medewerker!$C$8:$AI$107,33,FALSE)),"?")</f>
        <v/>
      </c>
      <c r="D20" s="879">
        <f t="array" ref="D20">IFERROR(IF(LEFT(INDEX($F20:$AQ20,1,SUM(SMALL(IF($F20:$AQ20&lt;&gt;"",COLUMN($F20:$AQ20)),1)-5)),1)="x",SUM(SMALL(IF($F20:$AQ20&lt;&gt;"",$F$11:$AQ$11),1)+"0:15"),SMALL(IF($F20:$AQ20&lt;&gt;"",$F$11:$AQ$11),1)),"")</f>
        <v/>
      </c>
      <c r="E20" s="879">
        <f t="array" ref="E20">IFERROR(IF(LEFT(INDEX($F20:$AQ20,1,SUM(LARGE(IF($F20:$AQ20&lt;&gt;"",COLUMN($F20:$AQ20)),1)-5)),1)="x",SUM(LARGE(IF($F20:$AQ20&lt;&gt;"",$F$11:$AQ$11+"0:30:00"),1)-"0:15"),LARGE(IF($F20:$AQ20&lt;&gt;"",$F$11:$AQ$11+"0:30:00"),1)),"")</f>
        <v/>
      </c>
      <c r="F20" s="40" t="n"/>
      <c r="G20" s="41" t="n"/>
      <c r="H20" s="40" t="n"/>
      <c r="I20" s="41" t="n"/>
      <c r="J20" s="40" t="n"/>
      <c r="K20" s="42" t="n"/>
      <c r="L20" s="43" t="n"/>
      <c r="M20" s="41" t="n"/>
      <c r="N20" s="40" t="n"/>
      <c r="O20" s="42" t="n"/>
      <c r="P20" s="43" t="n"/>
      <c r="Q20" s="41" t="n"/>
      <c r="R20" s="40" t="n"/>
      <c r="S20" s="42" t="n"/>
      <c r="T20" s="43" t="n"/>
      <c r="U20" s="41" t="n"/>
      <c r="V20" s="40" t="n"/>
      <c r="W20" s="42" t="n"/>
      <c r="X20" s="43" t="n"/>
      <c r="Y20" s="41" t="n"/>
      <c r="Z20" s="40" t="n"/>
      <c r="AA20" s="42" t="n"/>
      <c r="AB20" s="43" t="n"/>
      <c r="AC20" s="41" t="n"/>
      <c r="AD20" s="40" t="n"/>
      <c r="AE20" s="42" t="n"/>
      <c r="AF20" s="43" t="n"/>
      <c r="AG20" s="41" t="n"/>
      <c r="AH20" s="40" t="n"/>
      <c r="AI20" s="42" t="n"/>
      <c r="AJ20" s="43" t="n"/>
      <c r="AK20" s="41" t="n"/>
      <c r="AL20" s="40" t="n"/>
      <c r="AM20" s="41" t="n"/>
      <c r="AN20" s="645" t="n"/>
      <c r="AO20" s="42" t="n"/>
      <c r="AP20" s="40" t="n"/>
      <c r="AQ20" s="41" t="n"/>
      <c r="AR20" s="888">
        <f>IFERROR(IF(VLOOKUP($B20,Medewerker!$C$8:$I$107,7,FALSE)="",VLOOKUP($B20,Medewerker!$C$8:$I$107,5,FALSE),0),0)</f>
        <v/>
      </c>
      <c r="AS20" s="889">
        <f>IFERROR(IF(B20="",1,IF(VLOOKUP($B20,Medewerker!$C$8:$I$107,7,FALSE)="",VLOOKUP($B20,Medewerker!$C$8:$I$107,6,FALSE),0)),0)</f>
        <v/>
      </c>
      <c r="AT20" s="30" t="n"/>
      <c r="AU20" s="30">
        <f>(COUNTIF(F20:AQ20,"afw"))/2</f>
        <v/>
      </c>
      <c r="AV20" s="111">
        <f>((38-(COUNTIF(F20:AQ20,"")))/2)-(COUNTIF(F20:AQ20,"p")/2)-(COUNTIF(F20:AQ20,CONCATENATE("x","*"))/4)</f>
        <v/>
      </c>
      <c r="AW20" s="73">
        <f>IF($B20="","",VLOOKUP($B20,Medewerker!$C$8:$E$107,3,FALSE))</f>
        <v/>
      </c>
      <c r="AX20" s="403">
        <f>IFERROR(VLOOKUP($B20,Planning!$B$6:$AG$105,32,FALSE)*24,"")</f>
        <v/>
      </c>
      <c r="AY20" s="562" t="inlineStr">
        <is>
          <t>rh</t>
        </is>
      </c>
      <c r="AZ20" s="166" t="inlineStr">
        <is>
          <t>Restant HB</t>
        </is>
      </c>
      <c r="BA20" s="111">
        <f>COUNTIF($F$13:$AQ$63,CONCATENATE(AY20,"*"))/2+COUNTIF($F$13:$AQ$63,CONCATENATE("x",AY20,"*"))/4</f>
        <v/>
      </c>
      <c r="BB20" s="838" t="n"/>
      <c r="BC20" s="31">
        <f>IF(Planning!B13="","",Planning!B13)</f>
        <v/>
      </c>
      <c r="BD20" s="105" t="n"/>
      <c r="BE20" s="885">
        <f>Planning!E13</f>
        <v/>
      </c>
      <c r="BF20" s="885">
        <f>Planning!F13</f>
        <v/>
      </c>
      <c r="BG20" s="886" t="n"/>
      <c r="BH20" s="105" t="n"/>
      <c r="BI20" s="885">
        <f>Planning!I13</f>
        <v/>
      </c>
      <c r="BJ20" s="885">
        <f>Planning!J13</f>
        <v/>
      </c>
      <c r="BK20" s="886" t="n"/>
      <c r="BL20" s="105" t="n"/>
      <c r="BM20" s="885">
        <f>Planning!M13</f>
        <v/>
      </c>
      <c r="BN20" s="885">
        <f>Planning!N13</f>
        <v/>
      </c>
      <c r="BO20" s="886" t="n"/>
      <c r="BP20" s="105" t="n"/>
      <c r="BQ20" s="885">
        <f>Planning!Q13</f>
        <v/>
      </c>
      <c r="BR20" s="885">
        <f>Planning!R13</f>
        <v/>
      </c>
      <c r="BS20" s="886" t="n"/>
      <c r="BT20" s="105" t="n"/>
      <c r="BU20" s="885">
        <f>Planning!U13</f>
        <v/>
      </c>
      <c r="BV20" s="885">
        <f>Planning!V13</f>
        <v/>
      </c>
      <c r="BW20" s="886" t="n"/>
      <c r="BX20" s="105" t="n"/>
      <c r="BY20" s="885">
        <f>Planning!Y13</f>
        <v/>
      </c>
      <c r="BZ20" s="885">
        <f>Planning!Z13</f>
        <v/>
      </c>
      <c r="CA20" s="886" t="n"/>
      <c r="CB20" s="105" t="n"/>
      <c r="CC20" s="885">
        <f>Planning!AC13</f>
        <v/>
      </c>
      <c r="CD20" s="885">
        <f>Planning!AD13</f>
        <v/>
      </c>
      <c r="CE20" s="886" t="n"/>
      <c r="CF20" s="105" t="n"/>
      <c r="CG20" s="887">
        <f>Planning!AG13</f>
        <v/>
      </c>
      <c r="CH20" s="105" t="n"/>
      <c r="CI20" s="252">
        <f>IF(BC20="","",Planning!AI13)</f>
        <v/>
      </c>
      <c r="CJ20" s="252">
        <f>IF(BC20="","",Planning!AJ13)</f>
        <v/>
      </c>
      <c r="CK20" s="252">
        <f>IF(BC20="","",Planning!AK13)</f>
        <v/>
      </c>
      <c r="CL20" s="252">
        <f>IF(BC20="","",Planning!AH13)</f>
        <v/>
      </c>
      <c r="CM20" s="21" t="n"/>
    </row>
    <row r="21" ht="12.75" customHeight="1">
      <c r="A21" s="161">
        <f>IFERROR(IF(VLOOKUP($B21,$BC$13:$CL$86,36,FALSE)&gt;5,0,IF(COUNTIF($B$13:$B$63,$B21)&gt;1,0,9)),9)+IF(B21&lt;&gt;0,0,IF(AV21&gt;0,0.000001,0))</f>
        <v/>
      </c>
      <c r="B21" s="52" t="inlineStr">
        <is>
          <t>Mina</t>
        </is>
      </c>
      <c r="C21" s="48">
        <f>IFERROR(IF($B21="","",VLOOKUP($B21,Medewerker!$C$8:$AI$107,33,FALSE)),"?")</f>
        <v/>
      </c>
      <c r="D21" s="879">
        <f t="array" ref="D21">IFERROR(IF(LEFT(INDEX($F21:$AQ21,1,SUM(SMALL(IF($F21:$AQ21&lt;&gt;"",COLUMN($F21:$AQ21)),1)-5)),1)="x",SUM(SMALL(IF($F21:$AQ21&lt;&gt;"",$F$11:$AQ$11),1)+"0:15"),SMALL(IF($F21:$AQ21&lt;&gt;"",$F$11:$AQ$11),1)),"")</f>
        <v/>
      </c>
      <c r="E21" s="879">
        <f t="array" ref="E21">IFERROR(IF(LEFT(INDEX($F21:$AQ21,1,SUM(LARGE(IF($F21:$AQ21&lt;&gt;"",COLUMN($F21:$AQ21)),1)-5)),1)="x",SUM(LARGE(IF($F21:$AQ21&lt;&gt;"",$F$11:$AQ$11+"0:30:00"),1)-"0:15"),LARGE(IF($F21:$AQ21&lt;&gt;"",$F$11:$AQ$11+"0:30:00"),1)),"")</f>
        <v/>
      </c>
      <c r="F21" s="40" t="n"/>
      <c r="G21" s="41" t="n"/>
      <c r="H21" s="40" t="n"/>
      <c r="I21" s="41" t="n"/>
      <c r="J21" s="40" t="n"/>
      <c r="K21" s="42" t="n"/>
      <c r="L21" s="43" t="inlineStr">
        <is>
          <t>vv</t>
        </is>
      </c>
      <c r="M21" s="41" t="inlineStr">
        <is>
          <t>vv</t>
        </is>
      </c>
      <c r="N21" s="40" t="inlineStr">
        <is>
          <t>vv</t>
        </is>
      </c>
      <c r="O21" s="42" t="inlineStr">
        <is>
          <t>vv</t>
        </is>
      </c>
      <c r="P21" s="43" t="inlineStr">
        <is>
          <t>hv</t>
        </is>
      </c>
      <c r="Q21" s="41" t="inlineStr">
        <is>
          <t>hv</t>
        </is>
      </c>
      <c r="R21" s="40" t="inlineStr">
        <is>
          <t>hv</t>
        </is>
      </c>
      <c r="S21" s="42" t="inlineStr">
        <is>
          <t>hv</t>
        </is>
      </c>
      <c r="T21" s="43" t="inlineStr">
        <is>
          <t>hv</t>
        </is>
      </c>
      <c r="U21" s="41" t="inlineStr">
        <is>
          <t>p</t>
        </is>
      </c>
      <c r="V21" s="40" t="inlineStr">
        <is>
          <t>hv</t>
        </is>
      </c>
      <c r="W21" s="42" t="inlineStr">
        <is>
          <t>hv</t>
        </is>
      </c>
      <c r="X21" s="43" t="inlineStr">
        <is>
          <t>hv</t>
        </is>
      </c>
      <c r="Y21" s="41" t="inlineStr">
        <is>
          <t>hv</t>
        </is>
      </c>
      <c r="Z21" s="40" t="inlineStr">
        <is>
          <t>hv</t>
        </is>
      </c>
      <c r="AA21" s="42" t="inlineStr">
        <is>
          <t>hv</t>
        </is>
      </c>
      <c r="AB21" s="42" t="n"/>
      <c r="AC21" s="42" t="n"/>
      <c r="AD21" s="40" t="n"/>
      <c r="AE21" s="42" t="n"/>
      <c r="AF21" s="43" t="n"/>
      <c r="AG21" s="41" t="n"/>
      <c r="AH21" s="40" t="n"/>
      <c r="AI21" s="42" t="n"/>
      <c r="AJ21" s="43" t="n"/>
      <c r="AK21" s="41" t="n"/>
      <c r="AL21" s="40" t="n"/>
      <c r="AM21" s="41" t="n"/>
      <c r="AN21" s="645" t="n"/>
      <c r="AO21" s="42" t="n"/>
      <c r="AP21" s="40" t="n"/>
      <c r="AQ21" s="41" t="n"/>
      <c r="AR21" s="888">
        <f>IFERROR(IF(VLOOKUP($B21,Medewerker!$C$8:$I$107,7,FALSE)="",VLOOKUP($B21,Medewerker!$C$8:$I$107,5,FALSE),0),0)</f>
        <v/>
      </c>
      <c r="AS21" s="889">
        <f>IFERROR(IF(B21="",1,IF(VLOOKUP($B21,Medewerker!$C$8:$I$107,7,FALSE)="",VLOOKUP($B21,Medewerker!$C$8:$I$107,6,FALSE),0)),0)</f>
        <v/>
      </c>
      <c r="AT21" s="30" t="n"/>
      <c r="AU21" s="30">
        <f>(COUNTIF(F21:AQ21,"afw"))/2</f>
        <v/>
      </c>
      <c r="AV21" s="111">
        <f>((38-(COUNTIF(F21:AQ21,"")))/2)-(COUNTIF(F21:AQ21,"p")/2)-(COUNTIF(F21:AQ21,CONCATENATE("x","*"))/4)</f>
        <v/>
      </c>
      <c r="AW21" s="73">
        <f>IF($B21="","",VLOOKUP($B21,Medewerker!$C$8:$E$107,3,FALSE))</f>
        <v/>
      </c>
      <c r="AX21" s="403">
        <f>IFERROR(VLOOKUP($B21,Planning!$B$6:$AG$105,32,FALSE)*24,"")</f>
        <v/>
      </c>
      <c r="AY21" s="562" t="inlineStr">
        <is>
          <t>rd</t>
        </is>
      </c>
      <c r="AZ21" s="166" t="inlineStr">
        <is>
          <t>Restant DV</t>
        </is>
      </c>
      <c r="BA21" s="111">
        <f>COUNTIF($F$13:$AQ$63,CONCATENATE(AY21,"*"))/2+COUNTIF($F$13:$AQ$63,CONCATENATE("x",AY21,"*"))/4</f>
        <v/>
      </c>
      <c r="BB21" s="838" t="n"/>
      <c r="BC21" s="31">
        <f>IF(Planning!B14="","",Planning!B14)</f>
        <v/>
      </c>
      <c r="BD21" s="105" t="n"/>
      <c r="BE21" s="885">
        <f>Planning!E14</f>
        <v/>
      </c>
      <c r="BF21" s="885">
        <f>Planning!F14</f>
        <v/>
      </c>
      <c r="BG21" s="886" t="n"/>
      <c r="BH21" s="105" t="n"/>
      <c r="BI21" s="885">
        <f>Planning!I14</f>
        <v/>
      </c>
      <c r="BJ21" s="885">
        <f>Planning!J14</f>
        <v/>
      </c>
      <c r="BK21" s="886" t="n"/>
      <c r="BL21" s="105" t="n"/>
      <c r="BM21" s="885">
        <f>Planning!M14</f>
        <v/>
      </c>
      <c r="BN21" s="885">
        <f>Planning!N14</f>
        <v/>
      </c>
      <c r="BO21" s="886" t="n"/>
      <c r="BP21" s="105" t="n"/>
      <c r="BQ21" s="885">
        <f>Planning!Q14</f>
        <v/>
      </c>
      <c r="BR21" s="885">
        <f>Planning!R14</f>
        <v/>
      </c>
      <c r="BS21" s="886" t="n"/>
      <c r="BT21" s="105" t="n"/>
      <c r="BU21" s="885">
        <f>Planning!U14</f>
        <v/>
      </c>
      <c r="BV21" s="885">
        <f>Planning!V14</f>
        <v/>
      </c>
      <c r="BW21" s="886" t="n"/>
      <c r="BX21" s="105" t="n"/>
      <c r="BY21" s="885">
        <f>Planning!Y14</f>
        <v/>
      </c>
      <c r="BZ21" s="885">
        <f>Planning!Z14</f>
        <v/>
      </c>
      <c r="CA21" s="886" t="n"/>
      <c r="CB21" s="105" t="n"/>
      <c r="CC21" s="885">
        <f>Planning!AC14</f>
        <v/>
      </c>
      <c r="CD21" s="885">
        <f>Planning!AD14</f>
        <v/>
      </c>
      <c r="CE21" s="886" t="n"/>
      <c r="CF21" s="105" t="n"/>
      <c r="CG21" s="887">
        <f>Planning!AG14</f>
        <v/>
      </c>
      <c r="CH21" s="105" t="n"/>
      <c r="CI21" s="252">
        <f>IF(BC21="","",Planning!AI14)</f>
        <v/>
      </c>
      <c r="CJ21" s="252">
        <f>IF(BC21="","",Planning!AJ14)</f>
        <v/>
      </c>
      <c r="CK21" s="252">
        <f>IF(BC21="","",Planning!AK14)</f>
        <v/>
      </c>
      <c r="CL21" s="252">
        <f>IF(BC21="","",Planning!AH14)</f>
        <v/>
      </c>
      <c r="CM21" s="34" t="n"/>
    </row>
    <row r="22" ht="12.75" customHeight="1">
      <c r="A22" s="161">
        <f>IFERROR(IF(VLOOKUP($B22,$BC$13:$CL$86,36,FALSE)&gt;5,0,IF(COUNTIF($B$13:$B$63,$B22)&gt;1,0,10)),10)+IF(B22&lt;&gt;0,0,IF(AV22&gt;0,0.000001,0))</f>
        <v/>
      </c>
      <c r="B22" s="126" t="inlineStr">
        <is>
          <t>Saida Hadouti</t>
        </is>
      </c>
      <c r="C22" s="48">
        <f>IFERROR(IF($B22="","",VLOOKUP($B22,Medewerker!$C$8:$AI$107,33,FALSE)),"?")</f>
        <v/>
      </c>
      <c r="D22" s="879">
        <f t="array" ref="D22">IFERROR(IF(LEFT(INDEX($F22:$AQ22,1,SUM(SMALL(IF($F22:$AQ22&lt;&gt;"",COLUMN($F22:$AQ22)),1)-5)),1)="x",SUM(SMALL(IF($F22:$AQ22&lt;&gt;"",$F$11:$AQ$11),1)+"0:15"),SMALL(IF($F22:$AQ22&lt;&gt;"",$F$11:$AQ$11),1)),"")</f>
        <v/>
      </c>
      <c r="E22" s="879">
        <f t="array" ref="E22">IFERROR(IF(LEFT(INDEX($F22:$AQ22,1,SUM(LARGE(IF($F22:$AQ22&lt;&gt;"",COLUMN($F22:$AQ22)),1)-5)),1)="x",SUM(LARGE(IF($F22:$AQ22&lt;&gt;"",$F$11:$AQ$11+"0:30:00"),1)-"0:15"),LARGE(IF($F22:$AQ22&lt;&gt;"",$F$11:$AQ$11+"0:30:00"),1)),"")</f>
        <v/>
      </c>
      <c r="F22" s="40" t="n"/>
      <c r="G22" s="41" t="n"/>
      <c r="H22" s="40" t="n"/>
      <c r="I22" s="41" t="n"/>
      <c r="J22" s="40" t="n"/>
      <c r="K22" s="42" t="n"/>
      <c r="L22" s="43" t="n"/>
      <c r="M22" s="41" t="n"/>
      <c r="N22" s="40" t="n"/>
      <c r="O22" s="42" t="n"/>
      <c r="P22" s="43" t="inlineStr">
        <is>
          <t>hv</t>
        </is>
      </c>
      <c r="Q22" s="41" t="inlineStr">
        <is>
          <t>hv</t>
        </is>
      </c>
      <c r="R22" s="40" t="inlineStr">
        <is>
          <t>hv</t>
        </is>
      </c>
      <c r="S22" s="42" t="inlineStr">
        <is>
          <t>hv</t>
        </is>
      </c>
      <c r="T22" s="43" t="inlineStr">
        <is>
          <t>hv</t>
        </is>
      </c>
      <c r="U22" s="41" t="inlineStr">
        <is>
          <t>hv</t>
        </is>
      </c>
      <c r="V22" s="40" t="inlineStr">
        <is>
          <t>hv</t>
        </is>
      </c>
      <c r="W22" s="42" t="inlineStr">
        <is>
          <t>hv</t>
        </is>
      </c>
      <c r="X22" s="43" t="inlineStr">
        <is>
          <t>hv</t>
        </is>
      </c>
      <c r="Y22" s="41" t="inlineStr">
        <is>
          <t>hv</t>
        </is>
      </c>
      <c r="Z22" s="40" t="n"/>
      <c r="AA22" s="42" t="n"/>
      <c r="AB22" s="43" t="n"/>
      <c r="AC22" s="41" t="n"/>
      <c r="AD22" s="40" t="n"/>
      <c r="AE22" s="42" t="n"/>
      <c r="AF22" s="43" t="n"/>
      <c r="AG22" s="41" t="n"/>
      <c r="AH22" s="40" t="n"/>
      <c r="AI22" s="42" t="n"/>
      <c r="AJ22" s="43" t="n"/>
      <c r="AK22" s="41" t="n"/>
      <c r="AL22" s="40" t="n"/>
      <c r="AM22" s="41" t="n"/>
      <c r="AN22" s="645" t="n"/>
      <c r="AO22" s="42" t="n"/>
      <c r="AP22" s="40" t="n"/>
      <c r="AQ22" s="41" t="n"/>
      <c r="AR22" s="888">
        <f>IFERROR(IF(VLOOKUP($B22,Medewerker!$C$8:$I$107,7,FALSE)="",VLOOKUP($B22,Medewerker!$C$8:$I$107,5,FALSE),0),0)</f>
        <v/>
      </c>
      <c r="AS22" s="889">
        <f>IFERROR(IF(B22="",1,IF(VLOOKUP($B22,Medewerker!$C$8:$I$107,7,FALSE)="",VLOOKUP($B22,Medewerker!$C$8:$I$107,6,FALSE),0)),0)</f>
        <v/>
      </c>
      <c r="AT22" s="30" t="n"/>
      <c r="AU22" s="30">
        <f>(COUNTIF(F22:AQ22,"afw"))/2</f>
        <v/>
      </c>
      <c r="AV22" s="111">
        <f>((38-(COUNTIF(F22:AQ22,"")))/2)-(COUNTIF(F22:AQ22,"p")/2)-(COUNTIF(F22:AQ22,CONCATENATE("x","*"))/4)</f>
        <v/>
      </c>
      <c r="AW22" s="73">
        <f>IF($B22="","",VLOOKUP($B22,Medewerker!$C$8:$E$107,3,FALSE))</f>
        <v/>
      </c>
      <c r="AX22" s="403">
        <f>IFERROR(VLOOKUP($B22,Planning!$B$6:$AG$105,32,FALSE)*24,"")</f>
        <v/>
      </c>
      <c r="AY22" s="562" t="inlineStr">
        <is>
          <t>rv</t>
        </is>
      </c>
      <c r="AZ22" s="166" t="inlineStr">
        <is>
          <t>Restant Vers</t>
        </is>
      </c>
      <c r="BA22" s="111">
        <f>COUNTIF($F$13:$AQ$63,CONCATENATE(AY22,"*"))/2+COUNTIF($F$13:$AQ$63,CONCATENATE("x",AY22,"*"))/4</f>
        <v/>
      </c>
      <c r="BB22" s="838" t="n"/>
      <c r="BC22" s="31">
        <f>IF(Planning!B15="","",Planning!B15)</f>
        <v/>
      </c>
      <c r="BD22" s="105" t="n"/>
      <c r="BE22" s="885">
        <f>Planning!E15</f>
        <v/>
      </c>
      <c r="BF22" s="885">
        <f>Planning!F15</f>
        <v/>
      </c>
      <c r="BG22" s="886" t="n"/>
      <c r="BH22" s="105" t="n"/>
      <c r="BI22" s="885">
        <f>Planning!I15</f>
        <v/>
      </c>
      <c r="BJ22" s="885">
        <f>Planning!J15</f>
        <v/>
      </c>
      <c r="BK22" s="886" t="n"/>
      <c r="BL22" s="105" t="n"/>
      <c r="BM22" s="885">
        <f>Planning!M15</f>
        <v/>
      </c>
      <c r="BN22" s="885">
        <f>Planning!N15</f>
        <v/>
      </c>
      <c r="BO22" s="886" t="n"/>
      <c r="BP22" s="105" t="n"/>
      <c r="BQ22" s="885">
        <f>Planning!Q15</f>
        <v/>
      </c>
      <c r="BR22" s="885">
        <f>Planning!R15</f>
        <v/>
      </c>
      <c r="BS22" s="886" t="n"/>
      <c r="BT22" s="105" t="n"/>
      <c r="BU22" s="885">
        <f>Planning!U15</f>
        <v/>
      </c>
      <c r="BV22" s="885">
        <f>Planning!V15</f>
        <v/>
      </c>
      <c r="BW22" s="886" t="n"/>
      <c r="BX22" s="105" t="n"/>
      <c r="BY22" s="885">
        <f>Planning!Y15</f>
        <v/>
      </c>
      <c r="BZ22" s="885">
        <f>Planning!Z15</f>
        <v/>
      </c>
      <c r="CA22" s="886" t="n"/>
      <c r="CB22" s="105" t="n"/>
      <c r="CC22" s="885">
        <f>Planning!AC15</f>
        <v/>
      </c>
      <c r="CD22" s="885">
        <f>Planning!AD15</f>
        <v/>
      </c>
      <c r="CE22" s="886" t="n"/>
      <c r="CF22" s="105" t="n"/>
      <c r="CG22" s="887">
        <f>Planning!AG15</f>
        <v/>
      </c>
      <c r="CH22" s="105" t="n"/>
      <c r="CI22" s="252">
        <f>IF(BC22="","",Planning!AI15)</f>
        <v/>
      </c>
      <c r="CJ22" s="252">
        <f>IF(BC22="","",Planning!AJ15)</f>
        <v/>
      </c>
      <c r="CK22" s="252">
        <f>IF(BC22="","",Planning!AK15)</f>
        <v/>
      </c>
      <c r="CL22" s="252">
        <f>IF(BC22="","",Planning!AH15)</f>
        <v/>
      </c>
      <c r="CM22" s="21" t="n"/>
    </row>
    <row r="23" ht="12.75" customHeight="1">
      <c r="A23" s="161">
        <f>IFERROR(IF(VLOOKUP($B23,$BC$13:$CL$86,36,FALSE)&gt;5,0,IF(COUNTIF($B$13:$B$63,$B23)&gt;1,0,11)),11)+IF(B23&lt;&gt;0,0,IF(AV23&gt;0,0.000001,0))</f>
        <v/>
      </c>
      <c r="B23" s="126" t="inlineStr">
        <is>
          <t>Snesjana</t>
        </is>
      </c>
      <c r="C23" s="48">
        <f>IFERROR(IF($B23="","",VLOOKUP($B23,Medewerker!$C$8:$AI$107,33,FALSE)),"?")</f>
        <v/>
      </c>
      <c r="D23" s="879">
        <f t="array" ref="D23">IFERROR(IF(LEFT(INDEX($F23:$AQ23,1,SUM(SMALL(IF($F23:$AQ23&lt;&gt;"",COLUMN($F23:$AQ23)),1)-5)),1)="x",SUM(SMALL(IF($F23:$AQ23&lt;&gt;"",$F$11:$AQ$11),1)+"0:15"),SMALL(IF($F23:$AQ23&lt;&gt;"",$F$11:$AQ$11),1)),"")</f>
        <v/>
      </c>
      <c r="E23" s="879">
        <f t="array" ref="E23">IFERROR(IF(LEFT(INDEX($F23:$AQ23,1,SUM(LARGE(IF($F23:$AQ23&lt;&gt;"",COLUMN($F23:$AQ23)),1)-5)),1)="x",SUM(LARGE(IF($F23:$AQ23&lt;&gt;"",$F$11:$AQ$11+"0:30:00"),1)-"0:15"),LARGE(IF($F23:$AQ23&lt;&gt;"",$F$11:$AQ$11+"0:30:00"),1)),"")</f>
        <v/>
      </c>
      <c r="F23" s="40" t="n"/>
      <c r="G23" s="41" t="n"/>
      <c r="H23" s="40" t="n"/>
      <c r="I23" s="41" t="n"/>
      <c r="J23" s="40" t="n"/>
      <c r="K23" s="42" t="n"/>
      <c r="L23" s="43" t="n"/>
      <c r="M23" s="41" t="n"/>
      <c r="N23" s="40" t="n"/>
      <c r="O23" s="42" t="n"/>
      <c r="P23" s="43" t="inlineStr">
        <is>
          <t>hv</t>
        </is>
      </c>
      <c r="Q23" s="41" t="inlineStr">
        <is>
          <t>hv</t>
        </is>
      </c>
      <c r="R23" s="40" t="inlineStr">
        <is>
          <t>hv</t>
        </is>
      </c>
      <c r="S23" s="42" t="inlineStr">
        <is>
          <t>hv</t>
        </is>
      </c>
      <c r="T23" s="43" t="inlineStr">
        <is>
          <t>hv</t>
        </is>
      </c>
      <c r="U23" s="41" t="inlineStr">
        <is>
          <t>hv</t>
        </is>
      </c>
      <c r="V23" s="40" t="inlineStr">
        <is>
          <t>hv</t>
        </is>
      </c>
      <c r="W23" s="42" t="inlineStr">
        <is>
          <t>hv</t>
        </is>
      </c>
      <c r="X23" s="43" t="inlineStr">
        <is>
          <t>hv</t>
        </is>
      </c>
      <c r="Y23" s="41" t="inlineStr">
        <is>
          <t>hv</t>
        </is>
      </c>
      <c r="Z23" s="40" t="n"/>
      <c r="AA23" s="42" t="n"/>
      <c r="AB23" s="43" t="n"/>
      <c r="AC23" s="41" t="n"/>
      <c r="AD23" s="40" t="n"/>
      <c r="AE23" s="42" t="n"/>
      <c r="AF23" s="43" t="n"/>
      <c r="AG23" s="41" t="n"/>
      <c r="AH23" s="40" t="n"/>
      <c r="AI23" s="42" t="n"/>
      <c r="AJ23" s="43" t="n"/>
      <c r="AK23" s="41" t="n"/>
      <c r="AL23" s="40" t="n"/>
      <c r="AM23" s="41" t="n"/>
      <c r="AN23" s="645" t="n"/>
      <c r="AO23" s="42" t="n"/>
      <c r="AP23" s="40" t="n"/>
      <c r="AQ23" s="41" t="n"/>
      <c r="AR23" s="888">
        <f>IFERROR(IF(VLOOKUP($B23,Medewerker!$C$8:$I$107,7,FALSE)="",VLOOKUP($B23,Medewerker!$C$8:$I$107,5,FALSE),0),0)</f>
        <v/>
      </c>
      <c r="AS23" s="889">
        <f>IFERROR(IF(B23="",1,IF(VLOOKUP($B23,Medewerker!$C$8:$I$107,7,FALSE)="",VLOOKUP($B23,Medewerker!$C$8:$I$107,6,FALSE),0)),0)</f>
        <v/>
      </c>
      <c r="AT23" s="30" t="n"/>
      <c r="AU23" s="30">
        <f>(COUNTIF(F23:AQ23,"afw"))/2</f>
        <v/>
      </c>
      <c r="AV23" s="111">
        <f>((38-(COUNTIF(F23:AQ23,"")))/2)-(COUNTIF(F23:AQ23,"p")/2)-(COUNTIF(F23:AQ23,CONCATENATE("x","*"))/4)</f>
        <v/>
      </c>
      <c r="AW23" s="73">
        <f>IF($B23="","",VLOOKUP($B23,Medewerker!$C$8:$E$107,3,FALSE))</f>
        <v/>
      </c>
      <c r="AX23" s="403">
        <f>IFERROR(VLOOKUP($B23,Planning!$B$6:$AG$105,32,FALSE)*24,"")</f>
        <v/>
      </c>
      <c r="AY23" s="882" t="inlineStr">
        <is>
          <t>Restant/Telproces</t>
        </is>
      </c>
      <c r="AZ23" s="883" t="n"/>
      <c r="BA23" s="884" t="n"/>
      <c r="BB23" s="838" t="n"/>
      <c r="BC23" s="31">
        <f>IF(Planning!B16="","",Planning!B16)</f>
        <v/>
      </c>
      <c r="BD23" s="105" t="n"/>
      <c r="BE23" s="885">
        <f>Planning!E16</f>
        <v/>
      </c>
      <c r="BF23" s="885">
        <f>Planning!F16</f>
        <v/>
      </c>
      <c r="BG23" s="886" t="n"/>
      <c r="BH23" s="105" t="n"/>
      <c r="BI23" s="885">
        <f>Planning!I16</f>
        <v/>
      </c>
      <c r="BJ23" s="885">
        <f>Planning!J16</f>
        <v/>
      </c>
      <c r="BK23" s="886" t="n"/>
      <c r="BL23" s="105" t="n"/>
      <c r="BM23" s="885">
        <f>Planning!M16</f>
        <v/>
      </c>
      <c r="BN23" s="885">
        <f>Planning!N16</f>
        <v/>
      </c>
      <c r="BO23" s="886" t="n"/>
      <c r="BP23" s="105" t="n"/>
      <c r="BQ23" s="885">
        <f>Planning!Q16</f>
        <v/>
      </c>
      <c r="BR23" s="885">
        <f>Planning!R16</f>
        <v/>
      </c>
      <c r="BS23" s="886" t="n"/>
      <c r="BT23" s="105" t="n"/>
      <c r="BU23" s="885">
        <f>Planning!U16</f>
        <v/>
      </c>
      <c r="BV23" s="885">
        <f>Planning!V16</f>
        <v/>
      </c>
      <c r="BW23" s="886" t="n"/>
      <c r="BX23" s="105" t="n"/>
      <c r="BY23" s="885">
        <f>Planning!Y16</f>
        <v/>
      </c>
      <c r="BZ23" s="885">
        <f>Planning!Z16</f>
        <v/>
      </c>
      <c r="CA23" s="886" t="n"/>
      <c r="CB23" s="105" t="n"/>
      <c r="CC23" s="885">
        <f>Planning!AC16</f>
        <v/>
      </c>
      <c r="CD23" s="885">
        <f>Planning!AD16</f>
        <v/>
      </c>
      <c r="CE23" s="886" t="n"/>
      <c r="CF23" s="105" t="n"/>
      <c r="CG23" s="887">
        <f>Planning!AG16</f>
        <v/>
      </c>
      <c r="CH23" s="105" t="n"/>
      <c r="CI23" s="252">
        <f>IF(BC23="","",Planning!AI16)</f>
        <v/>
      </c>
      <c r="CJ23" s="252">
        <f>IF(BC23="","",Planning!AJ16)</f>
        <v/>
      </c>
      <c r="CK23" s="252">
        <f>IF(BC23="","",Planning!AK16)</f>
        <v/>
      </c>
      <c r="CL23" s="252">
        <f>IF(BC23="","",Planning!AH16)</f>
        <v/>
      </c>
      <c r="CM23" s="21" t="n"/>
    </row>
    <row r="24" ht="12.75" customHeight="1">
      <c r="A24" s="161">
        <f>IFERROR(IF(VLOOKUP($B24,$BC$13:$CL$86,36,FALSE)&gt;5,0,IF(COUNTIF($B$13:$B$63,$B24)&gt;1,0,12)),12)+IF(B24&lt;&gt;0,0,IF(AV24&gt;0,0.000001,0))</f>
        <v/>
      </c>
      <c r="B24" s="126" t="inlineStr">
        <is>
          <t>Johny</t>
        </is>
      </c>
      <c r="C24" s="48">
        <f>IFERROR(IF($B24="","",VLOOKUP($B24,Medewerker!$C$8:$AI$107,33,FALSE)),"?")</f>
        <v/>
      </c>
      <c r="D24" s="879">
        <f t="array" ref="D24">IFERROR(IF(LEFT(INDEX($F24:$AQ24,1,SUM(SMALL(IF($F24:$AQ24&lt;&gt;"",COLUMN($F24:$AQ24)),1)-5)),1)="x",SUM(SMALL(IF($F24:$AQ24&lt;&gt;"",$F$11:$AQ$11),1)+"0:15"),SMALL(IF($F24:$AQ24&lt;&gt;"",$F$11:$AQ$11),1)),"")</f>
        <v/>
      </c>
      <c r="E24" s="879">
        <f t="array" ref="E24">IFERROR(IF(LEFT(INDEX($F24:$AQ24,1,SUM(LARGE(IF($F24:$AQ24&lt;&gt;"",COLUMN($F24:$AQ24)),1)-5)),1)="x",SUM(LARGE(IF($F24:$AQ24&lt;&gt;"",$F$11:$AQ$11+"0:30:00"),1)-"0:15"),LARGE(IF($F24:$AQ24&lt;&gt;"",$F$11:$AQ$11+"0:30:00"),1)),"")</f>
        <v/>
      </c>
      <c r="F24" s="40" t="n"/>
      <c r="G24" s="41" t="n"/>
      <c r="H24" s="40" t="n"/>
      <c r="I24" s="41" t="n"/>
      <c r="J24" s="40" t="n"/>
      <c r="K24" s="42" t="n"/>
      <c r="L24" s="43" t="n"/>
      <c r="M24" s="41" t="n"/>
      <c r="N24" s="40" t="n"/>
      <c r="O24" s="42" t="n"/>
      <c r="P24" s="43" t="inlineStr">
        <is>
          <t>hv</t>
        </is>
      </c>
      <c r="Q24" s="41" t="inlineStr">
        <is>
          <t>hv</t>
        </is>
      </c>
      <c r="R24" s="40" t="inlineStr">
        <is>
          <t>hv</t>
        </is>
      </c>
      <c r="S24" s="42" t="inlineStr">
        <is>
          <t>hv</t>
        </is>
      </c>
      <c r="T24" s="43" t="inlineStr">
        <is>
          <t>hv</t>
        </is>
      </c>
      <c r="U24" s="41" t="inlineStr">
        <is>
          <t>hv</t>
        </is>
      </c>
      <c r="V24" s="40" t="inlineStr">
        <is>
          <t>hv</t>
        </is>
      </c>
      <c r="W24" s="42" t="inlineStr">
        <is>
          <t>hv</t>
        </is>
      </c>
      <c r="X24" s="43" t="inlineStr">
        <is>
          <t>hv</t>
        </is>
      </c>
      <c r="Y24" s="41" t="inlineStr">
        <is>
          <t>hv</t>
        </is>
      </c>
      <c r="Z24" s="40" t="n"/>
      <c r="AA24" s="42" t="n"/>
      <c r="AB24" s="43" t="n"/>
      <c r="AC24" s="41" t="n"/>
      <c r="AD24" s="40" t="n"/>
      <c r="AE24" s="42" t="n"/>
      <c r="AF24" s="43" t="n"/>
      <c r="AG24" s="41" t="n"/>
      <c r="AH24" s="40" t="n"/>
      <c r="AI24" s="42" t="n"/>
      <c r="AJ24" s="43" t="n"/>
      <c r="AK24" s="41" t="n"/>
      <c r="AL24" s="40" t="n"/>
      <c r="AM24" s="41" t="n"/>
      <c r="AN24" s="645" t="n"/>
      <c r="AO24" s="42" t="n"/>
      <c r="AP24" s="40" t="n"/>
      <c r="AQ24" s="41" t="n"/>
      <c r="AR24" s="888">
        <f>IFERROR(IF(VLOOKUP($B24,Medewerker!$C$8:$I$107,7,FALSE)="",VLOOKUP($B24,Medewerker!$C$8:$I$107,5,FALSE),0),0)</f>
        <v/>
      </c>
      <c r="AS24" s="889">
        <f>IFERROR(IF(B24="",1,IF(VLOOKUP($B24,Medewerker!$C$8:$I$107,7,FALSE)="",VLOOKUP($B24,Medewerker!$C$8:$I$107,6,FALSE),0)),0)</f>
        <v/>
      </c>
      <c r="AT24" s="30" t="n"/>
      <c r="AU24" s="30">
        <f>(COUNTIF(F24:AQ24,"afw"))/2</f>
        <v/>
      </c>
      <c r="AV24" s="111">
        <f>((38-(COUNTIF(F24:AQ24,"")))/2)-(COUNTIF(F24:AQ24,"p")/2)-(COUNTIF(F24:AQ24,CONCATENATE("x","*"))/4)</f>
        <v/>
      </c>
      <c r="AW24" s="73">
        <f>IF($B24="","",VLOOKUP($B24,Medewerker!$C$8:$E$107,3,FALSE))</f>
        <v/>
      </c>
      <c r="AX24" s="403">
        <f>IFERROR(VLOOKUP($B24,Planning!$B$6:$AG$105,32,FALSE)*24,"")</f>
        <v/>
      </c>
      <c r="AY24" s="562" t="inlineStr">
        <is>
          <t>br</t>
        </is>
      </c>
      <c r="AZ24" s="166" t="inlineStr">
        <is>
          <t>Bepalen restant</t>
        </is>
      </c>
      <c r="BA24" s="111">
        <f>COUNTIF($F$13:$AQ$63,CONCATENATE(AY24,"*"))/2+COUNTIF($F$13:$AQ$63,CONCATENATE("x",AY24,"*"))/4</f>
        <v/>
      </c>
      <c r="BB24" s="838" t="n"/>
      <c r="BC24" s="31">
        <f>IF(Planning!B17="","",Planning!B17)</f>
        <v/>
      </c>
      <c r="BD24" s="105" t="n"/>
      <c r="BE24" s="885">
        <f>Planning!E17</f>
        <v/>
      </c>
      <c r="BF24" s="885">
        <f>Planning!F17</f>
        <v/>
      </c>
      <c r="BG24" s="886" t="n"/>
      <c r="BH24" s="105" t="n"/>
      <c r="BI24" s="885">
        <f>Planning!I17</f>
        <v/>
      </c>
      <c r="BJ24" s="885">
        <f>Planning!J17</f>
        <v/>
      </c>
      <c r="BK24" s="886" t="n"/>
      <c r="BL24" s="105" t="n"/>
      <c r="BM24" s="885">
        <f>Planning!M17</f>
        <v/>
      </c>
      <c r="BN24" s="885">
        <f>Planning!N17</f>
        <v/>
      </c>
      <c r="BO24" s="886" t="n"/>
      <c r="BP24" s="105" t="n"/>
      <c r="BQ24" s="885">
        <f>Planning!Q17</f>
        <v/>
      </c>
      <c r="BR24" s="885">
        <f>Planning!R17</f>
        <v/>
      </c>
      <c r="BS24" s="886" t="n"/>
      <c r="BT24" s="105" t="n"/>
      <c r="BU24" s="885">
        <f>Planning!U17</f>
        <v/>
      </c>
      <c r="BV24" s="885">
        <f>Planning!V17</f>
        <v/>
      </c>
      <c r="BW24" s="886" t="n"/>
      <c r="BX24" s="105" t="n"/>
      <c r="BY24" s="885">
        <f>Planning!Y17</f>
        <v/>
      </c>
      <c r="BZ24" s="885">
        <f>Planning!Z17</f>
        <v/>
      </c>
      <c r="CA24" s="886" t="n"/>
      <c r="CB24" s="105" t="n"/>
      <c r="CC24" s="885">
        <f>Planning!AC17</f>
        <v/>
      </c>
      <c r="CD24" s="885">
        <f>Planning!AD17</f>
        <v/>
      </c>
      <c r="CE24" s="886" t="n"/>
      <c r="CF24" s="105" t="n"/>
      <c r="CG24" s="887">
        <f>Planning!AG17</f>
        <v/>
      </c>
      <c r="CH24" s="105" t="n"/>
      <c r="CI24" s="252">
        <f>IF(BC24="","",Planning!AI17)</f>
        <v/>
      </c>
      <c r="CJ24" s="252">
        <f>IF(BC24="","",Planning!AJ17)</f>
        <v/>
      </c>
      <c r="CK24" s="252">
        <f>IF(BC24="","",Planning!AK17)</f>
        <v/>
      </c>
      <c r="CL24" s="252">
        <f>IF(BC24="","",Planning!AH17)</f>
        <v/>
      </c>
      <c r="CM24" s="21" t="n"/>
    </row>
    <row r="25" ht="12.75" customHeight="1">
      <c r="A25" s="161">
        <f>IFERROR(IF(VLOOKUP($B25,$BC$13:$CL$86,36,FALSE)&gt;5,0,IF(COUNTIF($B$13:$B$63,$B25)&gt;1,0,13)),13)+IF(B25&lt;&gt;0,0,IF(AV25&gt;0,0.000001,0))</f>
        <v/>
      </c>
      <c r="B25" s="129" t="n"/>
      <c r="C25" s="48">
        <f>IFERROR(IF($B25="","",VLOOKUP($B25,Medewerker!$C$8:$AI$107,33,FALSE)),"?")</f>
        <v/>
      </c>
      <c r="D25" s="879">
        <f t="array" ref="D25">IFERROR(IF(LEFT(INDEX($F25:$AQ25,1,SUM(SMALL(IF($F25:$AQ25&lt;&gt;"",COLUMN($F25:$AQ25)),1)-5)),1)="x",SUM(SMALL(IF($F25:$AQ25&lt;&gt;"",$F$11:$AQ$11),1)+"0:15"),SMALL(IF($F25:$AQ25&lt;&gt;"",$F$11:$AQ$11),1)),"")</f>
        <v/>
      </c>
      <c r="E25" s="879">
        <f t="array" ref="E25">IFERROR(IF(LEFT(INDEX($F25:$AQ25,1,SUM(LARGE(IF($F25:$AQ25&lt;&gt;"",COLUMN($F25:$AQ25)),1)-5)),1)="x",SUM(LARGE(IF($F25:$AQ25&lt;&gt;"",$F$11:$AQ$11+"0:30:00"),1)-"0:15"),LARGE(IF($F25:$AQ25&lt;&gt;"",$F$11:$AQ$11+"0:30:00"),1)),"")</f>
        <v/>
      </c>
      <c r="F25" s="40" t="n"/>
      <c r="G25" s="41" t="n"/>
      <c r="H25" s="40" t="n"/>
      <c r="I25" s="41" t="n"/>
      <c r="J25" s="40" t="n"/>
      <c r="K25" s="42" t="n"/>
      <c r="L25" s="43" t="n"/>
      <c r="M25" s="41" t="n"/>
      <c r="N25" s="40" t="n"/>
      <c r="O25" s="42" t="n"/>
      <c r="P25" s="43" t="n"/>
      <c r="Q25" s="41" t="n"/>
      <c r="R25" s="40" t="n"/>
      <c r="S25" s="42" t="n"/>
      <c r="T25" s="43" t="n"/>
      <c r="U25" s="41" t="n"/>
      <c r="V25" s="40" t="n"/>
      <c r="W25" s="42" t="n"/>
      <c r="X25" s="43" t="n"/>
      <c r="Y25" s="41" t="n"/>
      <c r="Z25" s="40" t="n"/>
      <c r="AA25" s="42" t="n"/>
      <c r="AB25" s="43" t="n"/>
      <c r="AC25" s="41" t="n"/>
      <c r="AD25" s="40" t="n"/>
      <c r="AE25" s="42" t="n"/>
      <c r="AF25" s="43" t="n"/>
      <c r="AG25" s="41" t="n"/>
      <c r="AH25" s="40" t="n"/>
      <c r="AI25" s="42" t="n"/>
      <c r="AJ25" s="43" t="n"/>
      <c r="AK25" s="41" t="n"/>
      <c r="AL25" s="40" t="n"/>
      <c r="AM25" s="41" t="n"/>
      <c r="AN25" s="645" t="n"/>
      <c r="AO25" s="42" t="n"/>
      <c r="AP25" s="40" t="n"/>
      <c r="AQ25" s="41" t="n"/>
      <c r="AR25" s="888">
        <f>IFERROR(IF(VLOOKUP($B25,Medewerker!$C$8:$I$107,7,FALSE)="",VLOOKUP($B25,Medewerker!$C$8:$I$107,5,FALSE),0),0)</f>
        <v/>
      </c>
      <c r="AS25" s="889">
        <f>IFERROR(IF(B25="",1,IF(VLOOKUP($B25,Medewerker!$C$8:$I$107,7,FALSE)="",VLOOKUP($B25,Medewerker!$C$8:$I$107,6,FALSE),0)),0)</f>
        <v/>
      </c>
      <c r="AT25" s="30" t="n"/>
      <c r="AU25" s="30">
        <f>(COUNTIF(F25:AQ25,"afw"))/2</f>
        <v/>
      </c>
      <c r="AV25" s="111">
        <f>((38-(COUNTIF(F25:AQ25,"")))/2)-(COUNTIF(F25:AQ25,"p")/2)-(COUNTIF(F25:AQ25,CONCATENATE("x","*"))/4)</f>
        <v/>
      </c>
      <c r="AW25" s="73">
        <f>IF($B25="","",VLOOKUP($B25,Medewerker!$C$8:$E$107,3,FALSE))</f>
        <v/>
      </c>
      <c r="AX25" s="403">
        <f>IFERROR(VLOOKUP($B25,Planning!$B$6:$AG$105,32,FALSE)*24,"")</f>
        <v/>
      </c>
      <c r="AY25" s="563" t="inlineStr">
        <is>
          <t>bl</t>
        </is>
      </c>
      <c r="AZ25" s="412" t="inlineStr">
        <is>
          <t>Bepalen langrestant</t>
        </is>
      </c>
      <c r="BA25" s="111">
        <f>COUNTIF($F$13:$AQ$63,CONCATENATE(AY25,"*"))/2+COUNTIF($F$13:$AQ$63,CONCATENATE("x",AY25,"*"))/4</f>
        <v/>
      </c>
      <c r="BB25" s="838" t="n"/>
      <c r="BC25" s="31">
        <f>IF(Planning!B18="","",Planning!B18)</f>
        <v/>
      </c>
      <c r="BD25" s="105" t="n"/>
      <c r="BE25" s="885">
        <f>Planning!E18</f>
        <v/>
      </c>
      <c r="BF25" s="885">
        <f>Planning!F18</f>
        <v/>
      </c>
      <c r="BG25" s="886" t="n"/>
      <c r="BH25" s="105" t="n"/>
      <c r="BI25" s="885">
        <f>Planning!I18</f>
        <v/>
      </c>
      <c r="BJ25" s="885">
        <f>Planning!J18</f>
        <v/>
      </c>
      <c r="BK25" s="886" t="n"/>
      <c r="BL25" s="105" t="n"/>
      <c r="BM25" s="885">
        <f>Planning!M18</f>
        <v/>
      </c>
      <c r="BN25" s="885">
        <f>Planning!N18</f>
        <v/>
      </c>
      <c r="BO25" s="886" t="n"/>
      <c r="BP25" s="105" t="n"/>
      <c r="BQ25" s="885">
        <f>Planning!Q18</f>
        <v/>
      </c>
      <c r="BR25" s="885">
        <f>Planning!R18</f>
        <v/>
      </c>
      <c r="BS25" s="886" t="n"/>
      <c r="BT25" s="105" t="n"/>
      <c r="BU25" s="885">
        <f>Planning!U18</f>
        <v/>
      </c>
      <c r="BV25" s="885">
        <f>Planning!V18</f>
        <v/>
      </c>
      <c r="BW25" s="886" t="n"/>
      <c r="BX25" s="105" t="n"/>
      <c r="BY25" s="885">
        <f>Planning!Y18</f>
        <v/>
      </c>
      <c r="BZ25" s="885">
        <f>Planning!Z18</f>
        <v/>
      </c>
      <c r="CA25" s="886" t="n"/>
      <c r="CB25" s="105" t="n"/>
      <c r="CC25" s="885">
        <f>Planning!AC18</f>
        <v/>
      </c>
      <c r="CD25" s="885">
        <f>Planning!AD18</f>
        <v/>
      </c>
      <c r="CE25" s="886" t="n"/>
      <c r="CF25" s="105" t="n"/>
      <c r="CG25" s="887">
        <f>Planning!AG18</f>
        <v/>
      </c>
      <c r="CH25" s="105" t="n"/>
      <c r="CI25" s="252">
        <f>IF(BC25="","",Planning!AI18)</f>
        <v/>
      </c>
      <c r="CJ25" s="252">
        <f>IF(BC25="","",Planning!AJ18)</f>
        <v/>
      </c>
      <c r="CK25" s="252">
        <f>IF(BC25="","",Planning!AK18)</f>
        <v/>
      </c>
      <c r="CL25" s="252">
        <f>IF(BC25="","",Planning!AH18)</f>
        <v/>
      </c>
      <c r="CM25" s="21" t="n"/>
    </row>
    <row r="26" ht="12.75" customHeight="1">
      <c r="A26" s="161">
        <f>IFERROR(IF(VLOOKUP($B26,$BC$13:$CL$86,36,FALSE)&gt;5,0,IF(COUNTIF($B$13:$B$63,$B26)&gt;1,0,14)),14)+IF(B26&lt;&gt;0,0,IF(AV26&gt;0,0.000001,0))</f>
        <v/>
      </c>
      <c r="B26" s="129" t="inlineStr">
        <is>
          <t>Tony Zogo</t>
        </is>
      </c>
      <c r="C26" s="48">
        <f>IFERROR(IF($B26="","",VLOOKUP($B26,Medewerker!$C$8:$AI$107,33,FALSE)),"?")</f>
        <v/>
      </c>
      <c r="D26" s="879">
        <f t="array" ref="D26">IFERROR(IF(LEFT(INDEX($F26:$AQ26,1,SUM(SMALL(IF($F26:$AQ26&lt;&gt;"",COLUMN($F26:$AQ26)),1)-5)),1)="x",SUM(SMALL(IF($F26:$AQ26&lt;&gt;"",$F$11:$AQ$11),1)+"0:15"),SMALL(IF($F26:$AQ26&lt;&gt;"",$F$11:$AQ$11),1)),"")</f>
        <v/>
      </c>
      <c r="E26" s="879">
        <f t="array" ref="E26">IFERROR(IF(LEFT(INDEX($F26:$AQ26,1,SUM(LARGE(IF($F26:$AQ26&lt;&gt;"",COLUMN($F26:$AQ26)),1)-5)),1)="x",SUM(LARGE(IF($F26:$AQ26&lt;&gt;"",$F$11:$AQ$11+"0:30:00"),1)-"0:15"),LARGE(IF($F26:$AQ26&lt;&gt;"",$F$11:$AQ$11+"0:30:00"),1)),"")</f>
        <v/>
      </c>
      <c r="F26" s="40" t="n"/>
      <c r="G26" s="41" t="n"/>
      <c r="H26" s="40" t="n"/>
      <c r="I26" s="41" t="n"/>
      <c r="J26" s="40" t="inlineStr">
        <is>
          <t>nh</t>
        </is>
      </c>
      <c r="K26" s="42" t="inlineStr">
        <is>
          <t>nh</t>
        </is>
      </c>
      <c r="L26" s="43" t="inlineStr">
        <is>
          <t>l</t>
        </is>
      </c>
      <c r="M26" s="41" t="inlineStr">
        <is>
          <t>sp</t>
        </is>
      </c>
      <c r="N26" s="40" t="inlineStr">
        <is>
          <t>sp</t>
        </is>
      </c>
      <c r="O26" s="42" t="inlineStr">
        <is>
          <t>sp</t>
        </is>
      </c>
      <c r="P26" s="43" t="inlineStr">
        <is>
          <t>sp</t>
        </is>
      </c>
      <c r="Q26" s="41" t="inlineStr">
        <is>
          <t>sp</t>
        </is>
      </c>
      <c r="R26" s="40" t="inlineStr">
        <is>
          <t>p</t>
        </is>
      </c>
      <c r="S26" s="42" t="inlineStr">
        <is>
          <t>hv</t>
        </is>
      </c>
      <c r="T26" s="43" t="inlineStr">
        <is>
          <t>hv</t>
        </is>
      </c>
      <c r="U26" s="41" t="inlineStr">
        <is>
          <t>hv</t>
        </is>
      </c>
      <c r="V26" s="40" t="inlineStr">
        <is>
          <t>hv</t>
        </is>
      </c>
      <c r="W26" s="42" t="n"/>
      <c r="X26" s="43" t="n"/>
      <c r="Y26" s="41" t="n"/>
      <c r="Z26" s="40" t="n"/>
      <c r="AA26" s="42" t="n"/>
      <c r="AB26" s="43" t="n"/>
      <c r="AC26" s="41" t="n"/>
      <c r="AD26" s="40" t="n"/>
      <c r="AE26" s="42" t="n"/>
      <c r="AF26" s="43" t="n"/>
      <c r="AG26" s="41" t="n"/>
      <c r="AH26" s="40" t="n"/>
      <c r="AI26" s="42" t="n"/>
      <c r="AJ26" s="43" t="n"/>
      <c r="AK26" s="41" t="n"/>
      <c r="AL26" s="40" t="n"/>
      <c r="AM26" s="41" t="n"/>
      <c r="AN26" s="645" t="n"/>
      <c r="AO26" s="42" t="n"/>
      <c r="AP26" s="40" t="n"/>
      <c r="AQ26" s="41" t="n"/>
      <c r="AR26" s="888">
        <f>IFERROR(IF(VLOOKUP($B26,Medewerker!$C$8:$I$107,7,FALSE)="",VLOOKUP($B26,Medewerker!$C$8:$I$107,5,FALSE),0),0)</f>
        <v/>
      </c>
      <c r="AS26" s="889">
        <f>IFERROR(IF(B26="",1,IF(VLOOKUP($B26,Medewerker!$C$8:$I$107,7,FALSE)="",VLOOKUP($B26,Medewerker!$C$8:$I$107,6,FALSE),0)),0)</f>
        <v/>
      </c>
      <c r="AT26" s="30" t="n"/>
      <c r="AU26" s="30">
        <f>(COUNTIF(F26:AQ26,"afw"))/2</f>
        <v/>
      </c>
      <c r="AV26" s="111">
        <f>((38-(COUNTIF(F26:AQ26,"")))/2)-(COUNTIF(F26:AQ26,"p")/2)-(COUNTIF(F26:AQ26,CONCATENATE("x","*"))/4)</f>
        <v/>
      </c>
      <c r="AW26" s="73">
        <f>IF($B26="","",VLOOKUP($B26,Medewerker!$C$8:$E$107,3,FALSE))</f>
        <v/>
      </c>
      <c r="AX26" s="403">
        <f>IFERROR(VLOOKUP($B26,Planning!$B$6:$AG$105,32,FALSE)*24,"")</f>
        <v/>
      </c>
      <c r="AY26" s="562" t="inlineStr">
        <is>
          <t>hl</t>
        </is>
      </c>
      <c r="AZ26" s="166" t="inlineStr">
        <is>
          <t>Hardlopers vullen</t>
        </is>
      </c>
      <c r="BA26" s="111">
        <f>COUNTIF($F$13:$AQ$63,CONCATENATE(AY26,"*"))/2+COUNTIF($F$13:$AQ$63,CONCATENATE("x",AY26,"*"))/4</f>
        <v/>
      </c>
      <c r="BB26" s="838" t="n"/>
      <c r="BC26" s="31">
        <f>IF(Planning!B19="","",Planning!B19)</f>
        <v/>
      </c>
      <c r="BD26" s="105" t="n"/>
      <c r="BE26" s="885">
        <f>Planning!E19</f>
        <v/>
      </c>
      <c r="BF26" s="885">
        <f>Planning!F19</f>
        <v/>
      </c>
      <c r="BG26" s="886" t="n"/>
      <c r="BH26" s="105" t="n"/>
      <c r="BI26" s="885">
        <f>Planning!I19</f>
        <v/>
      </c>
      <c r="BJ26" s="885">
        <f>Planning!J19</f>
        <v/>
      </c>
      <c r="BK26" s="886" t="n"/>
      <c r="BL26" s="105" t="n"/>
      <c r="BM26" s="885">
        <f>Planning!M19</f>
        <v/>
      </c>
      <c r="BN26" s="885">
        <f>Planning!N19</f>
        <v/>
      </c>
      <c r="BO26" s="886" t="n"/>
      <c r="BP26" s="105" t="n"/>
      <c r="BQ26" s="885">
        <f>Planning!Q19</f>
        <v/>
      </c>
      <c r="BR26" s="885">
        <f>Planning!R19</f>
        <v/>
      </c>
      <c r="BS26" s="886" t="n"/>
      <c r="BT26" s="105" t="n"/>
      <c r="BU26" s="885">
        <f>Planning!U19</f>
        <v/>
      </c>
      <c r="BV26" s="885">
        <f>Planning!V19</f>
        <v/>
      </c>
      <c r="BW26" s="886" t="n"/>
      <c r="BX26" s="105" t="n"/>
      <c r="BY26" s="885">
        <f>Planning!Y19</f>
        <v/>
      </c>
      <c r="BZ26" s="885">
        <f>Planning!Z19</f>
        <v/>
      </c>
      <c r="CA26" s="886" t="n"/>
      <c r="CB26" s="105" t="n"/>
      <c r="CC26" s="885">
        <f>Planning!AC19</f>
        <v/>
      </c>
      <c r="CD26" s="885">
        <f>Planning!AD19</f>
        <v/>
      </c>
      <c r="CE26" s="886" t="n"/>
      <c r="CF26" s="105" t="n"/>
      <c r="CG26" s="887">
        <f>Planning!AG19</f>
        <v/>
      </c>
      <c r="CH26" s="105" t="n"/>
      <c r="CI26" s="252">
        <f>IF(BC26="","",Planning!AI19)</f>
        <v/>
      </c>
      <c r="CJ26" s="252">
        <f>IF(BC26="","",Planning!AJ19)</f>
        <v/>
      </c>
      <c r="CK26" s="252">
        <f>IF(BC26="","",Planning!AK19)</f>
        <v/>
      </c>
      <c r="CL26" s="252">
        <f>IF(BC26="","",Planning!AH19)</f>
        <v/>
      </c>
      <c r="CM26" s="21" t="n"/>
    </row>
    <row r="27" ht="12.75" customHeight="1">
      <c r="A27" s="161">
        <f>IFERROR(IF(VLOOKUP($B27,$BC$13:$CL$86,36,FALSE)&gt;5,0,IF(COUNTIF($B$13:$B$63,$B27)&gt;1,0,15)),15)+IF(B27&lt;&gt;0,0,IF(AV27&gt;0,0.000001,0))</f>
        <v/>
      </c>
      <c r="B27" s="129" t="inlineStr">
        <is>
          <t>Mike Odafe</t>
        </is>
      </c>
      <c r="C27" s="48">
        <f>IFERROR(IF($B27="","",VLOOKUP($B27,Medewerker!$C$8:$AI$107,33,FALSE)),"?")</f>
        <v/>
      </c>
      <c r="D27" s="879">
        <f t="array" ref="D27">IFERROR(IF(LEFT(INDEX($F27:$AQ27,1,SUM(SMALL(IF($F27:$AQ27&lt;&gt;"",COLUMN($F27:$AQ27)),1)-5)),1)="x",SUM(SMALL(IF($F27:$AQ27&lt;&gt;"",$F$11:$AQ$11),1)+"0:15"),SMALL(IF($F27:$AQ27&lt;&gt;"",$F$11:$AQ$11),1)),"")</f>
        <v/>
      </c>
      <c r="E27" s="879">
        <f t="array" ref="E27">IFERROR(IF(LEFT(INDEX($F27:$AQ27,1,SUM(LARGE(IF($F27:$AQ27&lt;&gt;"",COLUMN($F27:$AQ27)),1)-5)),1)="x",SUM(LARGE(IF($F27:$AQ27&lt;&gt;"",$F$11:$AQ$11+"0:30:00"),1)-"0:15"),LARGE(IF($F27:$AQ27&lt;&gt;"",$F$11:$AQ$11+"0:30:00"),1)),"")</f>
        <v/>
      </c>
      <c r="F27" s="40" t="n"/>
      <c r="G27" s="41" t="n"/>
      <c r="H27" s="40" t="n"/>
      <c r="I27" s="41" t="n"/>
      <c r="J27" s="40" t="inlineStr">
        <is>
          <t>nh</t>
        </is>
      </c>
      <c r="K27" s="42" t="inlineStr">
        <is>
          <t>nh</t>
        </is>
      </c>
      <c r="L27" s="43" t="inlineStr">
        <is>
          <t>l</t>
        </is>
      </c>
      <c r="M27" s="41" t="inlineStr">
        <is>
          <t>hv</t>
        </is>
      </c>
      <c r="N27" s="40" t="inlineStr">
        <is>
          <t>hv</t>
        </is>
      </c>
      <c r="O27" s="42" t="inlineStr">
        <is>
          <t>hv</t>
        </is>
      </c>
      <c r="P27" s="43" t="inlineStr">
        <is>
          <t>hv</t>
        </is>
      </c>
      <c r="Q27" s="41" t="inlineStr">
        <is>
          <t>hv</t>
        </is>
      </c>
      <c r="R27" s="40" t="inlineStr">
        <is>
          <t>p</t>
        </is>
      </c>
      <c r="S27" s="42" t="inlineStr">
        <is>
          <t>hv</t>
        </is>
      </c>
      <c r="T27" s="43" t="inlineStr">
        <is>
          <t>hv</t>
        </is>
      </c>
      <c r="U27" s="41" t="inlineStr">
        <is>
          <t>hv</t>
        </is>
      </c>
      <c r="V27" s="40" t="inlineStr">
        <is>
          <t>hv</t>
        </is>
      </c>
      <c r="W27" s="42" t="inlineStr">
        <is>
          <t>hv</t>
        </is>
      </c>
      <c r="X27" s="43" t="inlineStr">
        <is>
          <t>hv</t>
        </is>
      </c>
      <c r="Y27" s="41" t="inlineStr">
        <is>
          <t>hv</t>
        </is>
      </c>
      <c r="Z27" s="40" t="n"/>
      <c r="AA27" s="42" t="n"/>
      <c r="AB27" s="43" t="n"/>
      <c r="AC27" s="41" t="n"/>
      <c r="AD27" s="40" t="n"/>
      <c r="AE27" s="42" t="n"/>
      <c r="AF27" s="43" t="n"/>
      <c r="AG27" s="41" t="n"/>
      <c r="AH27" s="40" t="n"/>
      <c r="AI27" s="42" t="n"/>
      <c r="AJ27" s="43" t="n"/>
      <c r="AK27" s="41" t="n"/>
      <c r="AL27" s="40" t="n"/>
      <c r="AM27" s="41" t="n"/>
      <c r="AN27" s="645" t="n"/>
      <c r="AO27" s="42" t="n"/>
      <c r="AP27" s="40" t="n"/>
      <c r="AQ27" s="41" t="n"/>
      <c r="AR27" s="888">
        <f>IFERROR(IF(VLOOKUP($B27,Medewerker!$C$8:$I$107,7,FALSE)="",VLOOKUP($B27,Medewerker!$C$8:$I$107,5,FALSE),0),0)</f>
        <v/>
      </c>
      <c r="AS27" s="889">
        <f>IFERROR(IF(B27="",1,IF(VLOOKUP($B27,Medewerker!$C$8:$I$107,7,FALSE)="",VLOOKUP($B27,Medewerker!$C$8:$I$107,6,FALSE),0)),0)</f>
        <v/>
      </c>
      <c r="AT27" s="30" t="n"/>
      <c r="AU27" s="30">
        <f>(COUNTIF(F27:AQ27,"afw"))/2</f>
        <v/>
      </c>
      <c r="AV27" s="111">
        <f>((38-(COUNTIF(F27:AQ27,"")))/2)-(COUNTIF(F27:AQ27,"p")/2)-(COUNTIF(F27:AQ27,CONCATENATE("x","*"))/4)</f>
        <v/>
      </c>
      <c r="AW27" s="73">
        <f>IF($B27="","",VLOOKUP($B27,Medewerker!$C$8:$E$107,3,FALSE))</f>
        <v/>
      </c>
      <c r="AX27" s="403">
        <f>IFERROR(VLOOKUP($B27,Planning!$B$6:$AG$105,32,FALSE)*24,"")</f>
        <v/>
      </c>
      <c r="AY27" s="563" t="inlineStr">
        <is>
          <t>lhb</t>
        </is>
      </c>
      <c r="AZ27" s="71" t="inlineStr">
        <is>
          <t>Neeverkoop HB</t>
        </is>
      </c>
      <c r="BA27" s="111">
        <f>COUNTIF($F$13:$AQ$63,CONCATENATE(AY27,"*"))/2+COUNTIF($F$13:$AQ$63,CONCATENATE("x",AY27,"*"))/4</f>
        <v/>
      </c>
      <c r="BB27" s="838" t="n"/>
      <c r="BC27" s="31">
        <f>IF(Planning!B20="","",Planning!B20)</f>
        <v/>
      </c>
      <c r="BD27" s="105" t="n"/>
      <c r="BE27" s="885">
        <f>Planning!E20</f>
        <v/>
      </c>
      <c r="BF27" s="885">
        <f>Planning!F20</f>
        <v/>
      </c>
      <c r="BG27" s="886" t="n"/>
      <c r="BH27" s="105" t="n"/>
      <c r="BI27" s="885">
        <f>Planning!I20</f>
        <v/>
      </c>
      <c r="BJ27" s="885">
        <f>Planning!J20</f>
        <v/>
      </c>
      <c r="BK27" s="886" t="n"/>
      <c r="BL27" s="105" t="n"/>
      <c r="BM27" s="885">
        <f>Planning!M20</f>
        <v/>
      </c>
      <c r="BN27" s="885">
        <f>Planning!N20</f>
        <v/>
      </c>
      <c r="BO27" s="886" t="n"/>
      <c r="BP27" s="105" t="n"/>
      <c r="BQ27" s="885">
        <f>Planning!Q20</f>
        <v/>
      </c>
      <c r="BR27" s="885">
        <f>Planning!R20</f>
        <v/>
      </c>
      <c r="BS27" s="886" t="n"/>
      <c r="BT27" s="105" t="n"/>
      <c r="BU27" s="885">
        <f>Planning!U20</f>
        <v/>
      </c>
      <c r="BV27" s="885">
        <f>Planning!V20</f>
        <v/>
      </c>
      <c r="BW27" s="886" t="n"/>
      <c r="BX27" s="105" t="n"/>
      <c r="BY27" s="885">
        <f>Planning!Y20</f>
        <v/>
      </c>
      <c r="BZ27" s="885">
        <f>Planning!Z20</f>
        <v/>
      </c>
      <c r="CA27" s="886" t="n"/>
      <c r="CB27" s="105" t="n"/>
      <c r="CC27" s="885">
        <f>Planning!AC20</f>
        <v/>
      </c>
      <c r="CD27" s="885">
        <f>Planning!AD20</f>
        <v/>
      </c>
      <c r="CE27" s="886" t="n"/>
      <c r="CF27" s="105" t="n"/>
      <c r="CG27" s="887">
        <f>Planning!AG20</f>
        <v/>
      </c>
      <c r="CH27" s="105" t="n"/>
      <c r="CI27" s="252">
        <f>IF(BC27="","",Planning!AI20)</f>
        <v/>
      </c>
      <c r="CJ27" s="252">
        <f>IF(BC27="","",Planning!AJ20)</f>
        <v/>
      </c>
      <c r="CK27" s="252">
        <f>IF(BC27="","",Planning!AK20)</f>
        <v/>
      </c>
      <c r="CL27" s="252">
        <f>IF(BC27="","",Planning!AH20)</f>
        <v/>
      </c>
      <c r="CM27" s="21" t="n"/>
    </row>
    <row r="28" ht="12.75" customHeight="1">
      <c r="A28" s="161">
        <f>IFERROR(IF(VLOOKUP($B28,$BC$13:$CL$86,36,FALSE)&gt;5,0,IF(COUNTIF($B$13:$B$63,$B28)&gt;1,0,16)),16)+IF(B28&lt;&gt;0,0,IF(AV28&gt;0,0.000001,0))</f>
        <v/>
      </c>
      <c r="B28" s="129" t="inlineStr">
        <is>
          <t>Rachid Ahrass</t>
        </is>
      </c>
      <c r="C28" s="48">
        <f>IFERROR(IF($B28="","",VLOOKUP($B28,Medewerker!$C$8:$AI$107,33,FALSE)),"?")</f>
        <v/>
      </c>
      <c r="D28" s="879">
        <f t="array" ref="D28">IFERROR(IF(LEFT(INDEX($F28:$AQ28,1,SUM(SMALL(IF($F28:$AQ28&lt;&gt;"",COLUMN($F28:$AQ28)),1)-5)),1)="x",SUM(SMALL(IF($F28:$AQ28&lt;&gt;"",$F$11:$AQ$11),1)+"0:15"),SMALL(IF($F28:$AQ28&lt;&gt;"",$F$11:$AQ$11),1)),"")</f>
        <v/>
      </c>
      <c r="E28" s="879">
        <f t="array" ref="E28">IFERROR(IF(LEFT(INDEX($F28:$AQ28,1,SUM(LARGE(IF($F28:$AQ28&lt;&gt;"",COLUMN($F28:$AQ28)),1)-5)),1)="x",SUM(LARGE(IF($F28:$AQ28&lt;&gt;"",$F$11:$AQ$11+"0:30:00"),1)-"0:15"),LARGE(IF($F28:$AQ28&lt;&gt;"",$F$11:$AQ$11+"0:30:00"),1)),"")</f>
        <v/>
      </c>
      <c r="F28" s="40" t="n"/>
      <c r="G28" s="41" t="n"/>
      <c r="H28" s="40" t="n"/>
      <c r="I28" s="41" t="n"/>
      <c r="J28" s="40" t="n"/>
      <c r="K28" s="42" t="n"/>
      <c r="L28" s="43" t="n"/>
      <c r="M28" s="41" t="n"/>
      <c r="N28" s="40" t="n"/>
      <c r="O28" s="42" t="n"/>
      <c r="P28" s="43" t="inlineStr">
        <is>
          <t>hv</t>
        </is>
      </c>
      <c r="Q28" s="43" t="inlineStr">
        <is>
          <t>hv</t>
        </is>
      </c>
      <c r="R28" s="43" t="inlineStr">
        <is>
          <t>hv</t>
        </is>
      </c>
      <c r="S28" s="43" t="inlineStr">
        <is>
          <t>hv</t>
        </is>
      </c>
      <c r="T28" s="43" t="inlineStr">
        <is>
          <t>hv</t>
        </is>
      </c>
      <c r="U28" s="43" t="inlineStr">
        <is>
          <t>hv</t>
        </is>
      </c>
      <c r="V28" s="43" t="inlineStr">
        <is>
          <t>p</t>
        </is>
      </c>
      <c r="W28" s="43" t="inlineStr">
        <is>
          <t>hv</t>
        </is>
      </c>
      <c r="X28" s="43" t="inlineStr">
        <is>
          <t>hv</t>
        </is>
      </c>
      <c r="Y28" s="43" t="inlineStr">
        <is>
          <t>hv</t>
        </is>
      </c>
      <c r="Z28" s="43" t="inlineStr">
        <is>
          <t>hv</t>
        </is>
      </c>
      <c r="AA28" s="43" t="inlineStr">
        <is>
          <t>hv</t>
        </is>
      </c>
      <c r="AB28" s="43" t="inlineStr">
        <is>
          <t>hv</t>
        </is>
      </c>
      <c r="AC28" s="43" t="inlineStr">
        <is>
          <t>hv</t>
        </is>
      </c>
      <c r="AD28" s="43" t="inlineStr">
        <is>
          <t>hv</t>
        </is>
      </c>
      <c r="AE28" s="42" t="inlineStr">
        <is>
          <t>hv</t>
        </is>
      </c>
      <c r="AF28" s="43" t="n"/>
      <c r="AG28" s="41" t="n"/>
      <c r="AH28" s="40" t="n"/>
      <c r="AI28" s="42" t="n"/>
      <c r="AJ28" s="43" t="n"/>
      <c r="AK28" s="41" t="n"/>
      <c r="AL28" s="40" t="n"/>
      <c r="AM28" s="41" t="n"/>
      <c r="AN28" s="645" t="n"/>
      <c r="AO28" s="42" t="n"/>
      <c r="AP28" s="40" t="n"/>
      <c r="AQ28" s="41" t="n"/>
      <c r="AR28" s="888">
        <f>IFERROR(IF(VLOOKUP($B28,Medewerker!$C$8:$I$107,7,FALSE)="",VLOOKUP($B28,Medewerker!$C$8:$I$107,5,FALSE),0),0)</f>
        <v/>
      </c>
      <c r="AS28" s="889">
        <f>IFERROR(IF(B28="",1,IF(VLOOKUP($B28,Medewerker!$C$8:$I$107,7,FALSE)="",VLOOKUP($B28,Medewerker!$C$8:$I$107,6,FALSE),0)),0)</f>
        <v/>
      </c>
      <c r="AT28" s="30" t="n"/>
      <c r="AU28" s="30">
        <f>(COUNTIF(F28:AQ28,"afw"))/2</f>
        <v/>
      </c>
      <c r="AV28" s="111">
        <f>((38-(COUNTIF(F28:AQ28,"")))/2)-(COUNTIF(F28:AQ28,"p")/2)-(COUNTIF(F28:AQ28,CONCATENATE("x","*"))/4)</f>
        <v/>
      </c>
      <c r="AW28" s="73">
        <f>IF($B28="","",VLOOKUP($B28,Medewerker!$C$8:$E$107,3,FALSE))</f>
        <v/>
      </c>
      <c r="AX28" s="403">
        <f>IFERROR(VLOOKUP($B28,Planning!$B$6:$AG$105,32,FALSE)*24,"")</f>
        <v/>
      </c>
      <c r="AY28" s="562" t="inlineStr">
        <is>
          <t>ldv</t>
        </is>
      </c>
      <c r="AZ28" s="166" t="inlineStr">
        <is>
          <t>Neeverkoop DV</t>
        </is>
      </c>
      <c r="BA28" s="111">
        <f>COUNTIF($F$13:$AQ$63,CONCATENATE(AY28,"*"))/2+COUNTIF($F$13:$AQ$63,CONCATENATE("x",AY28,"*"))/4</f>
        <v/>
      </c>
      <c r="BB28" s="838" t="n"/>
      <c r="BC28" s="31">
        <f>IF(Planning!B21="","",Planning!B21)</f>
        <v/>
      </c>
      <c r="BD28" s="105" t="n"/>
      <c r="BE28" s="885">
        <f>Planning!E21</f>
        <v/>
      </c>
      <c r="BF28" s="885">
        <f>Planning!F21</f>
        <v/>
      </c>
      <c r="BG28" s="886" t="n"/>
      <c r="BH28" s="105" t="n"/>
      <c r="BI28" s="885">
        <f>Planning!I21</f>
        <v/>
      </c>
      <c r="BJ28" s="885">
        <f>Planning!J21</f>
        <v/>
      </c>
      <c r="BK28" s="886" t="n"/>
      <c r="BL28" s="105" t="n"/>
      <c r="BM28" s="885">
        <f>Planning!M21</f>
        <v/>
      </c>
      <c r="BN28" s="885">
        <f>Planning!N21</f>
        <v/>
      </c>
      <c r="BO28" s="886" t="n"/>
      <c r="BP28" s="105" t="n"/>
      <c r="BQ28" s="885">
        <f>Planning!Q21</f>
        <v/>
      </c>
      <c r="BR28" s="885">
        <f>Planning!R21</f>
        <v/>
      </c>
      <c r="BS28" s="886" t="n"/>
      <c r="BT28" s="105" t="n"/>
      <c r="BU28" s="885">
        <f>Planning!U21</f>
        <v/>
      </c>
      <c r="BV28" s="885">
        <f>Planning!V21</f>
        <v/>
      </c>
      <c r="BW28" s="886" t="n"/>
      <c r="BX28" s="105" t="n"/>
      <c r="BY28" s="885">
        <f>Planning!Y21</f>
        <v/>
      </c>
      <c r="BZ28" s="885">
        <f>Planning!Z21</f>
        <v/>
      </c>
      <c r="CA28" s="886" t="n"/>
      <c r="CB28" s="105" t="n"/>
      <c r="CC28" s="885">
        <f>Planning!AC21</f>
        <v/>
      </c>
      <c r="CD28" s="885">
        <f>Planning!AD21</f>
        <v/>
      </c>
      <c r="CE28" s="886" t="n"/>
      <c r="CF28" s="105" t="n"/>
      <c r="CG28" s="887">
        <f>Planning!AG21</f>
        <v/>
      </c>
      <c r="CH28" s="105" t="n"/>
      <c r="CI28" s="252">
        <f>IF(BC28="","",Planning!AI21)</f>
        <v/>
      </c>
      <c r="CJ28" s="252">
        <f>IF(BC28="","",Planning!AJ21)</f>
        <v/>
      </c>
      <c r="CK28" s="252">
        <f>IF(BC28="","",Planning!AK21)</f>
        <v/>
      </c>
      <c r="CL28" s="252">
        <f>IF(BC28="","",Planning!AH21)</f>
        <v/>
      </c>
      <c r="CM28" s="21" t="n"/>
    </row>
    <row r="29" ht="12.75" customHeight="1">
      <c r="A29" s="161">
        <f>IFERROR(IF(VLOOKUP($B29,$BC$13:$CL$86,36,FALSE)&gt;5,0,IF(COUNTIF($B$13:$B$63,$B29)&gt;1,0,17)),17)+IF(B29&lt;&gt;0,0,IF(AV29&gt;0,0.000001,0))</f>
        <v/>
      </c>
      <c r="B29" s="129" t="n"/>
      <c r="C29" s="127">
        <f>IFERROR(IF($B29="","",VLOOKUP($B29,Medewerker!$C$8:$AI$107,33,FALSE)),"?")</f>
        <v/>
      </c>
      <c r="D29" s="890">
        <f t="array" ref="D29">IFERROR(IF(LEFT(INDEX($F29:$AQ29,1,SUM(SMALL(IF($F29:$AQ29&lt;&gt;"",COLUMN($F29:$AQ29)),1)-5)),1)="x",SUM(SMALL(IF($F29:$AQ29&lt;&gt;"",$F$11:$AQ$11),1)+"0:15"),SMALL(IF($F29:$AQ29&lt;&gt;"",$F$11:$AQ$11),1)),"")</f>
        <v/>
      </c>
      <c r="E29" s="890">
        <f t="array" ref="E29">IFERROR(IF(LEFT(INDEX($F29:$AQ29,1,SUM(LARGE(IF($F29:$AQ29&lt;&gt;"",COLUMN($F29:$AQ29)),1)-5)),1)="x",SUM(LARGE(IF($F29:$AQ29&lt;&gt;"",$F$11:$AQ$11+"0:30:00"),1)-"0:15"),LARGE(IF($F29:$AQ29&lt;&gt;"",$F$11:$AQ$11+"0:30:00"),1)),"")</f>
        <v/>
      </c>
      <c r="F29" s="40" t="n"/>
      <c r="G29" s="41" t="n"/>
      <c r="H29" s="43" t="n"/>
      <c r="I29" s="42" t="n"/>
      <c r="J29" s="43" t="n"/>
      <c r="K29" s="41" t="n"/>
      <c r="L29" s="41" t="n"/>
      <c r="M29" s="41" t="n"/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0" t="n"/>
      <c r="Y29" s="42" t="n"/>
      <c r="Z29" s="43" t="n"/>
      <c r="AA29" s="41" t="n"/>
      <c r="AB29" s="40" t="n"/>
      <c r="AC29" s="42" t="n"/>
      <c r="AD29" s="43" t="n"/>
      <c r="AE29" s="41" t="n"/>
      <c r="AF29" s="40" t="n"/>
      <c r="AG29" s="42" t="n"/>
      <c r="AH29" s="43" t="n"/>
      <c r="AI29" s="41" t="n"/>
      <c r="AJ29" s="40" t="n"/>
      <c r="AK29" s="42" t="n"/>
      <c r="AL29" s="40" t="n"/>
      <c r="AM29" s="41" t="n"/>
      <c r="AN29" s="645" t="n"/>
      <c r="AO29" s="42" t="n"/>
      <c r="AP29" s="40" t="n"/>
      <c r="AQ29" s="41" t="n"/>
      <c r="AR29" s="888">
        <f>IFERROR(IF(VLOOKUP($B29,Medewerker!$C$8:$I$107,7,FALSE)="",VLOOKUP($B29,Medewerker!$C$8:$I$107,5,FALSE),0),0)</f>
        <v/>
      </c>
      <c r="AS29" s="889">
        <f>IFERROR(IF(B29="",1,IF(VLOOKUP($B29,Medewerker!$C$8:$I$107,7,FALSE)="",VLOOKUP($B29,Medewerker!$C$8:$I$107,6,FALSE),0)),0)</f>
        <v/>
      </c>
      <c r="AT29" s="30" t="n"/>
      <c r="AU29" s="30">
        <f>(COUNTIF(F29:AQ29,"afw"))/2</f>
        <v/>
      </c>
      <c r="AV29" s="111">
        <f>((38-(COUNTIF(F29:AQ29,"")))/2)-(COUNTIF(F29:AQ29,"p")/2)-(COUNTIF(F29:AQ29,CONCATENATE("x","*"))/4)</f>
        <v/>
      </c>
      <c r="AW29" s="73">
        <f>IF($B29="","",VLOOKUP($B29,Medewerker!$C$8:$E$107,3,FALSE))</f>
        <v/>
      </c>
      <c r="AX29" s="403">
        <f>IFERROR(VLOOKUP($B29,Planning!$B$6:$AG$105,32,FALSE)*24,"")</f>
        <v/>
      </c>
      <c r="AY29" s="563" t="inlineStr">
        <is>
          <t>lvv</t>
        </is>
      </c>
      <c r="AZ29" s="413" t="inlineStr">
        <is>
          <t>Neeverkoop Vers</t>
        </is>
      </c>
      <c r="BA29" s="111">
        <f>COUNTIF($F$13:$AQ$63,CONCATENATE(AY29,"*"))/2+COUNTIF($F$13:$AQ$63,CONCATENATE("x",AY29,"*"))/4</f>
        <v/>
      </c>
      <c r="BB29" s="838" t="n"/>
      <c r="BC29" s="31">
        <f>IF(Planning!B22="","",Planning!B22)</f>
        <v/>
      </c>
      <c r="BD29" s="105" t="n"/>
      <c r="BE29" s="885">
        <f>Planning!E22</f>
        <v/>
      </c>
      <c r="BF29" s="885">
        <f>Planning!F22</f>
        <v/>
      </c>
      <c r="BG29" s="886" t="n"/>
      <c r="BH29" s="105" t="n"/>
      <c r="BI29" s="885">
        <f>Planning!I22</f>
        <v/>
      </c>
      <c r="BJ29" s="885">
        <f>Planning!J22</f>
        <v/>
      </c>
      <c r="BK29" s="886" t="n"/>
      <c r="BL29" s="105" t="n"/>
      <c r="BM29" s="885">
        <f>Planning!M22</f>
        <v/>
      </c>
      <c r="BN29" s="885">
        <f>Planning!N22</f>
        <v/>
      </c>
      <c r="BO29" s="886" t="n"/>
      <c r="BP29" s="105" t="n"/>
      <c r="BQ29" s="885">
        <f>Planning!Q22</f>
        <v/>
      </c>
      <c r="BR29" s="885">
        <f>Planning!R22</f>
        <v/>
      </c>
      <c r="BS29" s="886" t="n"/>
      <c r="BT29" s="105" t="n"/>
      <c r="BU29" s="885">
        <f>Planning!U22</f>
        <v/>
      </c>
      <c r="BV29" s="885">
        <f>Planning!V22</f>
        <v/>
      </c>
      <c r="BW29" s="886" t="n"/>
      <c r="BX29" s="105" t="n"/>
      <c r="BY29" s="885">
        <f>Planning!Y22</f>
        <v/>
      </c>
      <c r="BZ29" s="885">
        <f>Planning!Z22</f>
        <v/>
      </c>
      <c r="CA29" s="886" t="n"/>
      <c r="CB29" s="105" t="n"/>
      <c r="CC29" s="885">
        <f>Planning!AC22</f>
        <v/>
      </c>
      <c r="CD29" s="885">
        <f>Planning!AD22</f>
        <v/>
      </c>
      <c r="CE29" s="886" t="n"/>
      <c r="CF29" s="105" t="n"/>
      <c r="CG29" s="887">
        <f>Planning!AG22</f>
        <v/>
      </c>
      <c r="CH29" s="105" t="n"/>
      <c r="CI29" s="252">
        <f>IF(BC29="","",Planning!AI22)</f>
        <v/>
      </c>
      <c r="CJ29" s="252">
        <f>IF(BC29="","",Planning!AJ22)</f>
        <v/>
      </c>
      <c r="CK29" s="252">
        <f>IF(BC29="","",Planning!AK22)</f>
        <v/>
      </c>
      <c r="CL29" s="252">
        <f>IF(BC29="","",Planning!AH22)</f>
        <v/>
      </c>
      <c r="CM29" s="21" t="n"/>
    </row>
    <row r="30" ht="12.75" customHeight="1">
      <c r="A30" s="161">
        <f>IFERROR(IF(VLOOKUP($B30,$BC$13:$CL$86,36,FALSE)&gt;5,0,IF(COUNTIF($B$13:$B$63,$B30)&gt;1,0,18)),18)+IF(B30&lt;&gt;0,0,IF(AV30&gt;0,0.000001,0))</f>
        <v/>
      </c>
      <c r="B30" s="129" t="inlineStr">
        <is>
          <t>Fatmir Bilalovski</t>
        </is>
      </c>
      <c r="C30" s="127">
        <f>IFERROR(IF($B30="","",VLOOKUP($B30,Medewerker!$C$8:$AI$107,33,FALSE)),"?")</f>
        <v/>
      </c>
      <c r="D30" s="890">
        <f t="array" ref="D30">IFERROR(IF(LEFT(INDEX($F30:$AQ30,1,SUM(SMALL(IF($F30:$AQ30&lt;&gt;"",COLUMN($F30:$AQ30)),1)-5)),1)="x",SUM(SMALL(IF($F30:$AQ30&lt;&gt;"",$F$11:$AQ$11),1)+"0:15"),SMALL(IF($F30:$AQ30&lt;&gt;"",$F$11:$AQ$11),1)),"")</f>
        <v/>
      </c>
      <c r="E30" s="890">
        <f t="array" ref="E30">IFERROR(IF(LEFT(INDEX($F30:$AQ30,1,SUM(LARGE(IF($F30:$AQ30&lt;&gt;"",COLUMN($F30:$AQ30)),1)-5)),1)="x",SUM(LARGE(IF($F30:$AQ30&lt;&gt;"",$F$11:$AQ$11+"0:30:00"),1)-"0:15"),LARGE(IF($F30:$AQ30&lt;&gt;"",$F$11:$AQ$11+"0:30:00"),1)),"")</f>
        <v/>
      </c>
      <c r="F30" s="40" t="n"/>
      <c r="G30" s="41" t="n"/>
      <c r="H30" s="43" t="n"/>
      <c r="I30" s="42" t="n"/>
      <c r="J30" s="43" t="n"/>
      <c r="K30" s="41" t="n"/>
      <c r="L30" s="40" t="inlineStr">
        <is>
          <t>rd</t>
        </is>
      </c>
      <c r="M30" s="42" t="inlineStr">
        <is>
          <t>rd</t>
        </is>
      </c>
      <c r="N30" s="43" t="inlineStr">
        <is>
          <t>rd</t>
        </is>
      </c>
      <c r="O30" s="41" t="inlineStr">
        <is>
          <t>rd</t>
        </is>
      </c>
      <c r="P30" s="40" t="inlineStr">
        <is>
          <t>rd</t>
        </is>
      </c>
      <c r="Q30" s="42" t="inlineStr">
        <is>
          <t>dv</t>
        </is>
      </c>
      <c r="R30" s="43" t="inlineStr">
        <is>
          <t>dv</t>
        </is>
      </c>
      <c r="S30" s="41" t="n"/>
      <c r="T30" s="40" t="n"/>
      <c r="U30" s="42" t="n"/>
      <c r="V30" s="43" t="n"/>
      <c r="W30" s="41" t="n"/>
      <c r="X30" s="40" t="n"/>
      <c r="Y30" s="42" t="n"/>
      <c r="Z30" s="43" t="n"/>
      <c r="AA30" s="41" t="n"/>
      <c r="AB30" s="40" t="n"/>
      <c r="AC30" s="42" t="n"/>
      <c r="AD30" s="43" t="n"/>
      <c r="AE30" s="41" t="n"/>
      <c r="AF30" s="40" t="n"/>
      <c r="AG30" s="42" t="n"/>
      <c r="AH30" s="43" t="n"/>
      <c r="AI30" s="41" t="n"/>
      <c r="AJ30" s="40" t="n"/>
      <c r="AK30" s="42" t="n"/>
      <c r="AL30" s="40" t="n"/>
      <c r="AM30" s="41" t="n"/>
      <c r="AN30" s="645" t="n"/>
      <c r="AO30" s="42" t="n"/>
      <c r="AP30" s="40" t="n"/>
      <c r="AQ30" s="41" t="n"/>
      <c r="AR30" s="888">
        <f>IFERROR(IF(VLOOKUP($B30,Medewerker!$C$8:$I$107,7,FALSE)="",VLOOKUP($B30,Medewerker!$C$8:$I$107,5,FALSE),0),0)</f>
        <v/>
      </c>
      <c r="AS30" s="889">
        <f>IFERROR(IF(B30="",1,IF(VLOOKUP($B30,Medewerker!$C$8:$I$107,7,FALSE)="",VLOOKUP($B30,Medewerker!$C$8:$I$107,6,FALSE),0)),0)</f>
        <v/>
      </c>
      <c r="AT30" s="30" t="n"/>
      <c r="AU30" s="30">
        <f>(COUNTIF(F30:AQ30,"afw"))/2</f>
        <v/>
      </c>
      <c r="AV30" s="111">
        <f>((38-(COUNTIF(F30:AQ30,"")))/2)-(COUNTIF(F30:AQ30,"p")/2)-(COUNTIF(F30:AQ30,CONCATENATE("x","*"))/4)</f>
        <v/>
      </c>
      <c r="AW30" s="73">
        <f>IF($B30="","",VLOOKUP($B30,Medewerker!$C$8:$E$107,3,FALSE))</f>
        <v/>
      </c>
      <c r="AX30" s="403">
        <f>IFERROR(VLOOKUP($B30,Planning!$B$6:$AG$105,32,FALSE)*24,"")</f>
        <v/>
      </c>
      <c r="AY30" s="564" t="inlineStr">
        <is>
          <t>vcr</t>
        </is>
      </c>
      <c r="AZ30" s="561" t="inlineStr">
        <is>
          <t>Risicoartikelen tellen</t>
        </is>
      </c>
      <c r="BA30" s="140">
        <f>COUNTIF($F$13:$AQ$63,CONCATENATE(AY30,"*"))/2+COUNTIF($F$13:$AQ$63,CONCATENATE("x",AY30,"*"))/4</f>
        <v/>
      </c>
      <c r="BB30" s="838" t="n"/>
      <c r="BC30" s="31">
        <f>IF(Planning!B23="","",Planning!B23)</f>
        <v/>
      </c>
      <c r="BD30" s="105" t="n"/>
      <c r="BE30" s="885">
        <f>Planning!E23</f>
        <v/>
      </c>
      <c r="BF30" s="885">
        <f>Planning!F23</f>
        <v/>
      </c>
      <c r="BG30" s="886" t="n"/>
      <c r="BH30" s="105" t="n"/>
      <c r="BI30" s="885">
        <f>Planning!I23</f>
        <v/>
      </c>
      <c r="BJ30" s="885">
        <f>Planning!J23</f>
        <v/>
      </c>
      <c r="BK30" s="886" t="n"/>
      <c r="BL30" s="105" t="n"/>
      <c r="BM30" s="885">
        <f>Planning!M23</f>
        <v/>
      </c>
      <c r="BN30" s="885">
        <f>Planning!N23</f>
        <v/>
      </c>
      <c r="BO30" s="886" t="n"/>
      <c r="BP30" s="105" t="n"/>
      <c r="BQ30" s="885">
        <f>Planning!Q23</f>
        <v/>
      </c>
      <c r="BR30" s="885">
        <f>Planning!R23</f>
        <v/>
      </c>
      <c r="BS30" s="886" t="n"/>
      <c r="BT30" s="105" t="n"/>
      <c r="BU30" s="885">
        <f>Planning!U23</f>
        <v/>
      </c>
      <c r="BV30" s="885">
        <f>Planning!V23</f>
        <v/>
      </c>
      <c r="BW30" s="886" t="n"/>
      <c r="BX30" s="105" t="n"/>
      <c r="BY30" s="885">
        <f>Planning!Y23</f>
        <v/>
      </c>
      <c r="BZ30" s="885">
        <f>Planning!Z23</f>
        <v/>
      </c>
      <c r="CA30" s="886" t="n"/>
      <c r="CB30" s="105" t="n"/>
      <c r="CC30" s="885">
        <f>Planning!AC23</f>
        <v/>
      </c>
      <c r="CD30" s="885">
        <f>Planning!AD23</f>
        <v/>
      </c>
      <c r="CE30" s="886" t="n"/>
      <c r="CF30" s="105" t="n"/>
      <c r="CG30" s="887">
        <f>Planning!AG23</f>
        <v/>
      </c>
      <c r="CH30" s="105" t="n"/>
      <c r="CI30" s="252">
        <f>IF(BC30="","",Planning!AI23)</f>
        <v/>
      </c>
      <c r="CJ30" s="252">
        <f>IF(BC30="","",Planning!AJ23)</f>
        <v/>
      </c>
      <c r="CK30" s="252">
        <f>IF(BC30="","",Planning!AK23)</f>
        <v/>
      </c>
      <c r="CL30" s="252">
        <f>IF(BC30="","",Planning!AH23)</f>
        <v/>
      </c>
      <c r="CM30" s="21" t="n"/>
    </row>
    <row r="31" ht="12.75" customHeight="1">
      <c r="A31" s="161">
        <f>IFERROR(IF(VLOOKUP($B31,$BC$13:$CL$86,36,FALSE)&gt;5,0,IF(COUNTIF($B$13:$B$63,$B31)&gt;1,0,19)),19)+IF(B31&lt;&gt;0,0,IF(AV31&gt;0,0.000001,0))</f>
        <v/>
      </c>
      <c r="B31" s="129" t="n"/>
      <c r="C31" s="127">
        <f>IFERROR(IF($B31="","",VLOOKUP($B31,Medewerker!$C$8:$AI$107,33,FALSE)),"?")</f>
        <v/>
      </c>
      <c r="D31" s="890">
        <f t="array" ref="D31">IFERROR(IF(LEFT(INDEX($F31:$AQ31,1,SUM(SMALL(IF($F31:$AQ31&lt;&gt;"",COLUMN($F31:$AQ31)),1)-5)),1)="x",SUM(SMALL(IF($F31:$AQ31&lt;&gt;"",$F$11:$AQ$11),1)+"0:15"),SMALL(IF($F31:$AQ31&lt;&gt;"",$F$11:$AQ$11),1)),"")</f>
        <v/>
      </c>
      <c r="E31" s="890">
        <f t="array" ref="E31">IFERROR(IF(LEFT(INDEX($F31:$AQ31,1,SUM(LARGE(IF($F31:$AQ31&lt;&gt;"",COLUMN($F31:$AQ31)),1)-5)),1)="x",SUM(LARGE(IF($F31:$AQ31&lt;&gt;"",$F$11:$AQ$11+"0:30:00"),1)-"0:15"),LARGE(IF($F31:$AQ31&lt;&gt;"",$F$11:$AQ$11+"0:30:00"),1)),"")</f>
        <v/>
      </c>
      <c r="F31" s="40" t="n"/>
      <c r="G31" s="41" t="n"/>
      <c r="H31" s="43" t="n"/>
      <c r="I31" s="42" t="n"/>
      <c r="J31" s="43" t="n"/>
      <c r="K31" s="41" t="n"/>
      <c r="L31" s="40" t="n"/>
      <c r="M31" s="42" t="n"/>
      <c r="N31" s="43" t="n"/>
      <c r="O31" s="41" t="n"/>
      <c r="P31" s="40" t="n"/>
      <c r="Q31" s="42" t="n"/>
      <c r="R31" s="43" t="n"/>
      <c r="S31" s="41" t="n"/>
      <c r="T31" s="40" t="n"/>
      <c r="U31" s="42" t="n"/>
      <c r="V31" s="43" t="n"/>
      <c r="W31" s="41" t="n"/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1" t="n"/>
      <c r="AN31" s="645" t="n"/>
      <c r="AO31" s="42" t="n"/>
      <c r="AP31" s="40" t="n"/>
      <c r="AQ31" s="41" t="n"/>
      <c r="AR31" s="888">
        <f>IFERROR(IF(VLOOKUP($B31,Medewerker!$C$8:$I$107,7,FALSE)="",VLOOKUP($B31,Medewerker!$C$8:$I$107,5,FALSE),0),0)</f>
        <v/>
      </c>
      <c r="AS31" s="889">
        <f>IFERROR(IF(B31="",1,IF(VLOOKUP($B31,Medewerker!$C$8:$I$107,7,FALSE)="",VLOOKUP($B31,Medewerker!$C$8:$I$107,6,FALSE),0)),0)</f>
        <v/>
      </c>
      <c r="AT31" s="30" t="n"/>
      <c r="AU31" s="30">
        <f>(COUNTIF(F31:AQ31,"afw"))/2</f>
        <v/>
      </c>
      <c r="AV31" s="111">
        <f>((38-(COUNTIF(F31:AQ31,"")))/2)-(COUNTIF(F31:AQ31,"p")/2)-(COUNTIF(F31:AQ31,CONCATENATE("x","*"))/4)</f>
        <v/>
      </c>
      <c r="AW31" s="73">
        <f>IF($B31="","",VLOOKUP($B31,Medewerker!$C$8:$E$107,3,FALSE))</f>
        <v/>
      </c>
      <c r="AX31" s="403">
        <f>IFERROR(VLOOKUP($B31,Planning!$B$6:$AG$105,32,FALSE)*24,"")</f>
        <v/>
      </c>
      <c r="AY31" s="882" t="inlineStr">
        <is>
          <t>Magazijn</t>
        </is>
      </c>
      <c r="AZ31" s="883" t="n"/>
      <c r="BA31" s="884" t="n"/>
      <c r="BB31" s="838" t="n"/>
      <c r="BC31" s="31">
        <f>IF(Planning!B24="","",Planning!B24)</f>
        <v/>
      </c>
      <c r="BD31" s="105" t="n"/>
      <c r="BE31" s="885">
        <f>Planning!E24</f>
        <v/>
      </c>
      <c r="BF31" s="885">
        <f>Planning!F24</f>
        <v/>
      </c>
      <c r="BG31" s="886" t="n"/>
      <c r="BH31" s="105" t="n"/>
      <c r="BI31" s="885">
        <f>Planning!I24</f>
        <v/>
      </c>
      <c r="BJ31" s="885">
        <f>Planning!J24</f>
        <v/>
      </c>
      <c r="BK31" s="886" t="n"/>
      <c r="BL31" s="105" t="n"/>
      <c r="BM31" s="885">
        <f>Planning!M24</f>
        <v/>
      </c>
      <c r="BN31" s="885">
        <f>Planning!N24</f>
        <v/>
      </c>
      <c r="BO31" s="886" t="n"/>
      <c r="BP31" s="105" t="n"/>
      <c r="BQ31" s="885">
        <f>Planning!Q24</f>
        <v/>
      </c>
      <c r="BR31" s="885">
        <f>Planning!R24</f>
        <v/>
      </c>
      <c r="BS31" s="886" t="n"/>
      <c r="BT31" s="105" t="n"/>
      <c r="BU31" s="885">
        <f>Planning!U24</f>
        <v/>
      </c>
      <c r="BV31" s="885">
        <f>Planning!V24</f>
        <v/>
      </c>
      <c r="BW31" s="886" t="n"/>
      <c r="BX31" s="105" t="n"/>
      <c r="BY31" s="885">
        <f>Planning!Y24</f>
        <v/>
      </c>
      <c r="BZ31" s="885">
        <f>Planning!Z24</f>
        <v/>
      </c>
      <c r="CA31" s="886" t="n"/>
      <c r="CB31" s="105" t="n"/>
      <c r="CC31" s="885">
        <f>Planning!AC24</f>
        <v/>
      </c>
      <c r="CD31" s="885">
        <f>Planning!AD24</f>
        <v/>
      </c>
      <c r="CE31" s="886" t="n"/>
      <c r="CF31" s="105" t="n"/>
      <c r="CG31" s="887">
        <f>Planning!AG24</f>
        <v/>
      </c>
      <c r="CH31" s="105" t="n"/>
      <c r="CI31" s="252">
        <f>IF(BC31="","",Planning!AI24)</f>
        <v/>
      </c>
      <c r="CJ31" s="252">
        <f>IF(BC31="","",Planning!AJ24)</f>
        <v/>
      </c>
      <c r="CK31" s="252">
        <f>IF(BC31="","",Planning!AK24)</f>
        <v/>
      </c>
      <c r="CL31" s="252">
        <f>IF(BC31="","",Planning!AH24)</f>
        <v/>
      </c>
      <c r="CM31" s="21" t="n"/>
    </row>
    <row r="32" ht="12.75" customHeight="1">
      <c r="A32" s="161">
        <f>IFERROR(IF(VLOOKUP($B32,$BC$13:$CL$86,36,FALSE)&gt;5,0,IF(COUNTIF($B$13:$B$63,$B32)&gt;1,0,20)),20)+IF(B32&lt;&gt;0,0,IF(AV32&gt;0,0.000001,0))</f>
        <v/>
      </c>
      <c r="B32" s="129" t="n"/>
      <c r="C32" s="48">
        <f>IFERROR(IF($B32="","",VLOOKUP($B32,Medewerker!$C$8:$AI$107,33,FALSE)),"?")</f>
        <v/>
      </c>
      <c r="D32" s="879">
        <f t="array" ref="D32">IFERROR(IF(LEFT(INDEX($F32:$AQ32,1,SUM(SMALL(IF($F32:$AQ32&lt;&gt;"",COLUMN($F32:$AQ32)),1)-5)),1)="x",SUM(SMALL(IF($F32:$AQ32&lt;&gt;"",$F$11:$AQ$11),1)+"0:15"),SMALL(IF($F32:$AQ32&lt;&gt;"",$F$11:$AQ$11),1)),"")</f>
        <v/>
      </c>
      <c r="E32" s="879">
        <f t="array" ref="E32">IFERROR(IF(LEFT(INDEX($F32:$AQ32,1,SUM(LARGE(IF($F32:$AQ32&lt;&gt;"",COLUMN($F32:$AQ32)),1)-5)),1)="x",SUM(LARGE(IF($F32:$AQ32&lt;&gt;"",$F$11:$AQ$11+"0:30:00"),1)-"0:15"),LARGE(IF($F32:$AQ32&lt;&gt;"",$F$11:$AQ$11+"0:30:00"),1)),"")</f>
        <v/>
      </c>
      <c r="F32" s="40" t="n"/>
      <c r="G32" s="41" t="n"/>
      <c r="H32" s="40" t="n"/>
      <c r="I32" s="41" t="n"/>
      <c r="J32" s="40" t="n"/>
      <c r="K32" s="42" t="n"/>
      <c r="L32" s="43" t="n"/>
      <c r="M32" s="41" t="n"/>
      <c r="N32" s="40" t="n"/>
      <c r="O32" s="42" t="n"/>
      <c r="P32" s="43" t="n"/>
      <c r="Q32" s="41" t="n"/>
      <c r="R32" s="40" t="n"/>
      <c r="S32" s="42" t="n"/>
      <c r="T32" s="43" t="n"/>
      <c r="U32" s="41" t="n"/>
      <c r="V32" s="40" t="n"/>
      <c r="W32" s="42" t="n"/>
      <c r="X32" s="43" t="n"/>
      <c r="Y32" s="41" t="n"/>
      <c r="Z32" s="40" t="n"/>
      <c r="AA32" s="42" t="n"/>
      <c r="AB32" s="43" t="n"/>
      <c r="AC32" s="41" t="n"/>
      <c r="AD32" s="40" t="n"/>
      <c r="AE32" s="42" t="n"/>
      <c r="AF32" s="43" t="n"/>
      <c r="AG32" s="41" t="n"/>
      <c r="AH32" s="40" t="n"/>
      <c r="AI32" s="42" t="n"/>
      <c r="AJ32" s="43" t="n"/>
      <c r="AK32" s="41" t="n"/>
      <c r="AL32" s="40" t="n"/>
      <c r="AM32" s="41" t="n"/>
      <c r="AN32" s="645" t="n"/>
      <c r="AO32" s="42" t="n"/>
      <c r="AP32" s="40" t="n"/>
      <c r="AQ32" s="41" t="n"/>
      <c r="AR32" s="888">
        <f>IFERROR(IF(VLOOKUP($B32,Medewerker!$C$8:$I$107,7,FALSE)="",VLOOKUP($B32,Medewerker!$C$8:$I$107,5,FALSE),0),0)</f>
        <v/>
      </c>
      <c r="AS32" s="889">
        <f>IFERROR(IF(B32="",1,IF(VLOOKUP($B32,Medewerker!$C$8:$I$107,7,FALSE)="",VLOOKUP($B32,Medewerker!$C$8:$I$107,6,FALSE),0)),0)</f>
        <v/>
      </c>
      <c r="AT32" s="30" t="n"/>
      <c r="AU32" s="30">
        <f>(COUNTIF(F32:AQ32,"afw"))/2</f>
        <v/>
      </c>
      <c r="AV32" s="111">
        <f>((38-(COUNTIF(F32:AQ32,"")))/2)-(COUNTIF(F32:AQ32,"p")/2)-(COUNTIF(F32:AQ32,CONCATENATE("x","*"))/4)</f>
        <v/>
      </c>
      <c r="AW32" s="73">
        <f>IF($B32="","",VLOOKUP($B32,Medewerker!$C$8:$E$107,3,FALSE))</f>
        <v/>
      </c>
      <c r="AX32" s="403">
        <f>IFERROR(VLOOKUP($B32,Planning!$B$6:$AG$105,32,FALSE)*24,"")</f>
        <v/>
      </c>
      <c r="AY32" s="407" t="inlineStr">
        <is>
          <t>l</t>
        </is>
      </c>
      <c r="AZ32" s="166" t="inlineStr">
        <is>
          <t>Lossen/Retouren</t>
        </is>
      </c>
      <c r="BA32" s="111">
        <f>COUNTIF($F$13:$AQ$63,CONCATENATE(AY32,"*"))/2+COUNTIF($F$13:$AQ$63,CONCATENATE("x",AY32,"*"))/4-SUM(BA27:BA29)</f>
        <v/>
      </c>
      <c r="BB32" s="838" t="n"/>
      <c r="BC32" s="31">
        <f>IF(Planning!B25="","",Planning!B25)</f>
        <v/>
      </c>
      <c r="BD32" s="105" t="n"/>
      <c r="BE32" s="885">
        <f>Planning!E25</f>
        <v/>
      </c>
      <c r="BF32" s="885">
        <f>Planning!F25</f>
        <v/>
      </c>
      <c r="BG32" s="886" t="n"/>
      <c r="BH32" s="105" t="n"/>
      <c r="BI32" s="885">
        <f>Planning!I25</f>
        <v/>
      </c>
      <c r="BJ32" s="885">
        <f>Planning!J25</f>
        <v/>
      </c>
      <c r="BK32" s="886" t="n"/>
      <c r="BL32" s="105" t="n"/>
      <c r="BM32" s="885">
        <f>Planning!M25</f>
        <v/>
      </c>
      <c r="BN32" s="885">
        <f>Planning!N25</f>
        <v/>
      </c>
      <c r="BO32" s="886" t="n"/>
      <c r="BP32" s="105" t="n"/>
      <c r="BQ32" s="885">
        <f>Planning!Q25</f>
        <v/>
      </c>
      <c r="BR32" s="885">
        <f>Planning!R25</f>
        <v/>
      </c>
      <c r="BS32" s="886" t="n"/>
      <c r="BT32" s="105" t="n"/>
      <c r="BU32" s="885">
        <f>Planning!U25</f>
        <v/>
      </c>
      <c r="BV32" s="885">
        <f>Planning!V25</f>
        <v/>
      </c>
      <c r="BW32" s="886" t="n"/>
      <c r="BX32" s="105" t="n"/>
      <c r="BY32" s="885">
        <f>Planning!Y25</f>
        <v/>
      </c>
      <c r="BZ32" s="885">
        <f>Planning!Z25</f>
        <v/>
      </c>
      <c r="CA32" s="886" t="n"/>
      <c r="CB32" s="105" t="n"/>
      <c r="CC32" s="885">
        <f>Planning!AC25</f>
        <v/>
      </c>
      <c r="CD32" s="885">
        <f>Planning!AD25</f>
        <v/>
      </c>
      <c r="CE32" s="886" t="n"/>
      <c r="CF32" s="105" t="n"/>
      <c r="CG32" s="887">
        <f>Planning!AG25</f>
        <v/>
      </c>
      <c r="CH32" s="105" t="n"/>
      <c r="CI32" s="252">
        <f>IF(BC32="","",Planning!AI25)</f>
        <v/>
      </c>
      <c r="CJ32" s="252">
        <f>IF(BC32="","",Planning!AJ25)</f>
        <v/>
      </c>
      <c r="CK32" s="252">
        <f>IF(BC32="","",Planning!AK25)</f>
        <v/>
      </c>
      <c r="CL32" s="252">
        <f>IF(BC32="","",Planning!AH25)</f>
        <v/>
      </c>
      <c r="CM32" s="21" t="n"/>
    </row>
    <row r="33" ht="12.75" customHeight="1">
      <c r="A33" s="161">
        <f>IFERROR(IF(VLOOKUP($B33,$BC$13:$CL$86,36,FALSE)&gt;5,0,IF(COUNTIF($B$13:$B$63,$B33)&gt;1,0,21)),21)+IF(B33&lt;&gt;0,0,IF(AV33&gt;0,0.000001,0))</f>
        <v/>
      </c>
      <c r="B33" s="129" t="inlineStr">
        <is>
          <t>Oemaima</t>
        </is>
      </c>
      <c r="C33" s="48">
        <f>IFERROR(IF($B33="","",VLOOKUP($B33,Medewerker!$C$8:$AI$107,33,FALSE)),"?")</f>
        <v/>
      </c>
      <c r="D33" s="879">
        <f t="array" ref="D33">IFERROR(IF(LEFT(INDEX($F33:$AQ33,1,SUM(SMALL(IF($F33:$AQ33&lt;&gt;"",COLUMN($F33:$AQ33)),1)-5)),1)="x",SUM(SMALL(IF($F33:$AQ33&lt;&gt;"",$F$11:$AQ$11),1)+"0:15"),SMALL(IF($F33:$AQ33&lt;&gt;"",$F$11:$AQ$11),1)),"")</f>
        <v/>
      </c>
      <c r="E33" s="879">
        <f t="array" ref="E33">IFERROR(IF(LEFT(INDEX($F33:$AQ33,1,SUM(LARGE(IF($F33:$AQ33&lt;&gt;"",COLUMN($F33:$AQ33)),1)-5)),1)="x",SUM(LARGE(IF($F33:$AQ33&lt;&gt;"",$F$11:$AQ$11+"0:30:00"),1)-"0:15"),LARGE(IF($F33:$AQ33&lt;&gt;"",$F$11:$AQ$11+"0:30:00"),1)),"")</f>
        <v/>
      </c>
      <c r="F33" s="40" t="n"/>
      <c r="G33" s="41" t="n"/>
      <c r="H33" s="40" t="n"/>
      <c r="I33" s="40" t="n"/>
      <c r="J33" s="43" t="inlineStr">
        <is>
          <t>vv</t>
        </is>
      </c>
      <c r="K33" s="41" t="inlineStr">
        <is>
          <t>vv</t>
        </is>
      </c>
      <c r="L33" s="40" t="inlineStr">
        <is>
          <t>vv</t>
        </is>
      </c>
      <c r="M33" s="42" t="inlineStr">
        <is>
          <t>vv</t>
        </is>
      </c>
      <c r="N33" s="43" t="inlineStr">
        <is>
          <t>vv</t>
        </is>
      </c>
      <c r="O33" s="41" t="inlineStr">
        <is>
          <t>vv</t>
        </is>
      </c>
      <c r="P33" s="40" t="inlineStr">
        <is>
          <t>vv</t>
        </is>
      </c>
      <c r="Q33" s="42" t="inlineStr">
        <is>
          <t>p</t>
        </is>
      </c>
      <c r="R33" s="43" t="inlineStr">
        <is>
          <t>vv</t>
        </is>
      </c>
      <c r="S33" s="41" t="inlineStr">
        <is>
          <t>vv</t>
        </is>
      </c>
      <c r="T33" s="40" t="inlineStr">
        <is>
          <t>vv</t>
        </is>
      </c>
      <c r="U33" s="42" t="inlineStr">
        <is>
          <t>vv</t>
        </is>
      </c>
      <c r="V33" s="43" t="inlineStr">
        <is>
          <t>vv</t>
        </is>
      </c>
      <c r="W33" s="41" t="n"/>
      <c r="X33" s="40" t="n"/>
      <c r="Y33" s="42" t="n"/>
      <c r="Z33" s="43" t="n"/>
      <c r="AA33" s="41" t="n"/>
      <c r="AB33" s="40" t="n"/>
      <c r="AC33" s="42" t="n"/>
      <c r="AD33" s="43" t="n"/>
      <c r="AE33" s="41" t="n"/>
      <c r="AF33" s="40" t="n"/>
      <c r="AG33" s="42" t="n"/>
      <c r="AH33" s="43" t="n"/>
      <c r="AI33" s="41" t="n"/>
      <c r="AJ33" s="40" t="n"/>
      <c r="AK33" s="42" t="n"/>
      <c r="AL33" s="43" t="n"/>
      <c r="AM33" s="41" t="n"/>
      <c r="AN33" s="645" t="n"/>
      <c r="AO33" s="42" t="n"/>
      <c r="AP33" s="40" t="n"/>
      <c r="AQ33" s="41" t="n"/>
      <c r="AR33" s="888">
        <f>IFERROR(IF(VLOOKUP($B33,Medewerker!$C$8:$I$107,7,FALSE)="",VLOOKUP($B33,Medewerker!$C$8:$I$107,5,FALSE),0),0)</f>
        <v/>
      </c>
      <c r="AS33" s="889">
        <f>IFERROR(IF(B33="",1,IF(VLOOKUP($B33,Medewerker!$C$8:$I$107,7,FALSE)="",VLOOKUP($B33,Medewerker!$C$8:$I$107,6,FALSE),0)),0)</f>
        <v/>
      </c>
      <c r="AT33" s="30" t="n"/>
      <c r="AU33" s="30">
        <f>(COUNTIF(F33:AQ33,"afw"))/2</f>
        <v/>
      </c>
      <c r="AV33" s="111">
        <f>((38-(COUNTIF(F33:AQ33,"")))/2)-(COUNTIF(F33:AQ33,"p")/2)-(COUNTIF(F33:AQ33,CONCATENATE("x","*"))/4)</f>
        <v/>
      </c>
      <c r="AW33" s="73">
        <f>IF($B33="","",VLOOKUP($B33,Medewerker!$C$8:$E$107,3,FALSE))</f>
        <v/>
      </c>
      <c r="AX33" s="403">
        <f>IFERROR(VLOOKUP($B33,Planning!$B$6:$AG$105,32,FALSE)*24,"")</f>
        <v/>
      </c>
      <c r="AY33" s="407" t="inlineStr">
        <is>
          <t>ma</t>
        </is>
      </c>
      <c r="AZ33" s="166" t="inlineStr">
        <is>
          <t>Magazijn</t>
        </is>
      </c>
      <c r="BA33" s="111">
        <f>COUNTIF($F$13:$AQ$63,CONCATENATE(AY33,"*"))/2+COUNTIF($F$13:$AQ$63,CONCATENATE("x",AY33,"*"))/4</f>
        <v/>
      </c>
      <c r="BB33" s="838" t="n"/>
      <c r="BC33" s="31">
        <f>IF(Planning!B26="","",Planning!B26)</f>
        <v/>
      </c>
      <c r="BD33" s="105" t="n"/>
      <c r="BE33" s="885">
        <f>Planning!E26</f>
        <v/>
      </c>
      <c r="BF33" s="885">
        <f>Planning!F26</f>
        <v/>
      </c>
      <c r="BG33" s="886" t="n"/>
      <c r="BH33" s="105" t="n"/>
      <c r="BI33" s="885">
        <f>Planning!I26</f>
        <v/>
      </c>
      <c r="BJ33" s="885">
        <f>Planning!J26</f>
        <v/>
      </c>
      <c r="BK33" s="886" t="n"/>
      <c r="BL33" s="105" t="n"/>
      <c r="BM33" s="885">
        <f>Planning!M26</f>
        <v/>
      </c>
      <c r="BN33" s="885">
        <f>Planning!N26</f>
        <v/>
      </c>
      <c r="BO33" s="886" t="n"/>
      <c r="BP33" s="105" t="n"/>
      <c r="BQ33" s="885">
        <f>Planning!Q26</f>
        <v/>
      </c>
      <c r="BR33" s="885">
        <f>Planning!R26</f>
        <v/>
      </c>
      <c r="BS33" s="886" t="n"/>
      <c r="BT33" s="105" t="n"/>
      <c r="BU33" s="885">
        <f>Planning!U26</f>
        <v/>
      </c>
      <c r="BV33" s="885">
        <f>Planning!V26</f>
        <v/>
      </c>
      <c r="BW33" s="886" t="n"/>
      <c r="BX33" s="105" t="n"/>
      <c r="BY33" s="885">
        <f>Planning!Y26</f>
        <v/>
      </c>
      <c r="BZ33" s="885">
        <f>Planning!Z26</f>
        <v/>
      </c>
      <c r="CA33" s="886" t="n"/>
      <c r="CB33" s="105" t="n"/>
      <c r="CC33" s="885">
        <f>Planning!AC26</f>
        <v/>
      </c>
      <c r="CD33" s="885">
        <f>Planning!AD26</f>
        <v/>
      </c>
      <c r="CE33" s="886" t="n"/>
      <c r="CF33" s="105" t="n"/>
      <c r="CG33" s="887">
        <f>Planning!AG26</f>
        <v/>
      </c>
      <c r="CH33" s="105" t="n"/>
      <c r="CI33" s="252">
        <f>IF(BC33="","",Planning!AI26)</f>
        <v/>
      </c>
      <c r="CJ33" s="252">
        <f>IF(BC33="","",Planning!AJ26)</f>
        <v/>
      </c>
      <c r="CK33" s="252">
        <f>IF(BC33="","",Planning!AK26)</f>
        <v/>
      </c>
      <c r="CL33" s="252">
        <f>IF(BC33="","",Planning!AH26)</f>
        <v/>
      </c>
      <c r="CM33" s="21" t="n"/>
    </row>
    <row r="34" ht="12.75" customHeight="1">
      <c r="A34" s="161">
        <f>IFERROR(IF(VLOOKUP($B34,$BC$13:$CL$86,36,FALSE)&gt;5,0,IF(COUNTIF($B$13:$B$63,$B34)&gt;1,0,22)),22)+IF(B34&lt;&gt;0,0,IF(AV34&gt;0,0.000001,0))</f>
        <v/>
      </c>
      <c r="B34" s="129" t="n"/>
      <c r="C34" s="48">
        <f>IFERROR(IF($B34="","",VLOOKUP($B34,Medewerker!$C$8:$AI$107,33,FALSE)),"?")</f>
        <v/>
      </c>
      <c r="D34" s="879">
        <f t="array" ref="D34">IFERROR(IF(LEFT(INDEX($F34:$AQ34,1,SUM(SMALL(IF($F34:$AQ34&lt;&gt;"",COLUMN($F34:$AQ34)),1)-5)),1)="x",SUM(SMALL(IF($F34:$AQ34&lt;&gt;"",$F$11:$AQ$11),1)+"0:15"),SMALL(IF($F34:$AQ34&lt;&gt;"",$F$11:$AQ$11),1)),"")</f>
        <v/>
      </c>
      <c r="E34" s="879">
        <f t="array" ref="E34">IFERROR(IF(LEFT(INDEX($F34:$AQ34,1,SUM(LARGE(IF($F34:$AQ34&lt;&gt;"",COLUMN($F34:$AQ34)),1)-5)),1)="x",SUM(LARGE(IF($F34:$AQ34&lt;&gt;"",$F$11:$AQ$11+"0:30:00"),1)-"0:15"),LARGE(IF($F34:$AQ34&lt;&gt;"",$F$11:$AQ$11+"0:30:00"),1)),"")</f>
        <v/>
      </c>
      <c r="F34" s="40" t="n"/>
      <c r="G34" s="41" t="n"/>
      <c r="H34" s="40" t="n"/>
      <c r="I34" s="40" t="n"/>
      <c r="J34" s="43" t="n"/>
      <c r="K34" s="41" t="n"/>
      <c r="L34" s="40" t="n"/>
      <c r="M34" s="42" t="n"/>
      <c r="N34" s="43" t="n"/>
      <c r="O34" s="41" t="n"/>
      <c r="P34" s="40" t="n"/>
      <c r="Q34" s="42" t="n"/>
      <c r="R34" s="43" t="n"/>
      <c r="S34" s="41" t="n"/>
      <c r="T34" s="40" t="n"/>
      <c r="U34" s="42" t="n"/>
      <c r="V34" s="43" t="n"/>
      <c r="W34" s="41" t="n"/>
      <c r="X34" s="40" t="n"/>
      <c r="Y34" s="42" t="n"/>
      <c r="Z34" s="43" t="n"/>
      <c r="AA34" s="41" t="n"/>
      <c r="AB34" s="40" t="n"/>
      <c r="AC34" s="42" t="n"/>
      <c r="AD34" s="43" t="n"/>
      <c r="AE34" s="41" t="n"/>
      <c r="AF34" s="40" t="n"/>
      <c r="AG34" s="42" t="n"/>
      <c r="AH34" s="43" t="n"/>
      <c r="AI34" s="41" t="n"/>
      <c r="AJ34" s="40" t="n"/>
      <c r="AK34" s="42" t="n"/>
      <c r="AL34" s="43" t="n"/>
      <c r="AM34" s="41" t="n"/>
      <c r="AN34" s="645" t="n"/>
      <c r="AO34" s="42" t="n"/>
      <c r="AP34" s="40" t="n"/>
      <c r="AQ34" s="41" t="n"/>
      <c r="AR34" s="888">
        <f>IFERROR(IF(VLOOKUP($B34,Medewerker!$C$8:$I$107,7,FALSE)="",VLOOKUP($B34,Medewerker!$C$8:$I$107,5,FALSE),0),0)</f>
        <v/>
      </c>
      <c r="AS34" s="889">
        <f>IFERROR(IF(B34="",1,IF(VLOOKUP($B34,Medewerker!$C$8:$I$107,7,FALSE)="",VLOOKUP($B34,Medewerker!$C$8:$I$107,6,FALSE),0)),0)</f>
        <v/>
      </c>
      <c r="AT34" s="30" t="n"/>
      <c r="AU34" s="30">
        <f>(COUNTIF(F34:AQ34,"afw"))/2</f>
        <v/>
      </c>
      <c r="AV34" s="111">
        <f>((38-(COUNTIF(F34:AQ34,"")))/2)-(COUNTIF(F34:AQ34,"p")/2)-(COUNTIF(F34:AQ34,CONCATENATE("x","*"))/4)</f>
        <v/>
      </c>
      <c r="AW34" s="73">
        <f>IF($B34="","",VLOOKUP($B34,Medewerker!$C$8:$E$107,3,FALSE))</f>
        <v/>
      </c>
      <c r="AX34" s="403">
        <f>IFERROR(VLOOKUP($B34,Planning!$B$6:$AG$105,32,FALSE)*24,"")</f>
        <v/>
      </c>
      <c r="AY34" s="407" t="inlineStr">
        <is>
          <t>sp</t>
        </is>
      </c>
      <c r="AZ34" s="166" t="inlineStr">
        <is>
          <t>Splitsen</t>
        </is>
      </c>
      <c r="BA34" s="111">
        <f>COUNTIF($F$13:$AQ$63,CONCATENATE(AY34,"*"))/2+COUNTIF($F$13:$AQ$63,CONCATENATE("x",AY34,"*"))/4</f>
        <v/>
      </c>
      <c r="BB34" s="838" t="n"/>
      <c r="BC34" s="31">
        <f>IF(Planning!B27="","",Planning!B27)</f>
        <v/>
      </c>
      <c r="BD34" s="105" t="n"/>
      <c r="BE34" s="885">
        <f>Planning!E27</f>
        <v/>
      </c>
      <c r="BF34" s="885">
        <f>Planning!F27</f>
        <v/>
      </c>
      <c r="BG34" s="886" t="n"/>
      <c r="BH34" s="105" t="n"/>
      <c r="BI34" s="885">
        <f>Planning!I27</f>
        <v/>
      </c>
      <c r="BJ34" s="885">
        <f>Planning!J27</f>
        <v/>
      </c>
      <c r="BK34" s="886" t="n"/>
      <c r="BL34" s="105" t="n"/>
      <c r="BM34" s="885">
        <f>Planning!M27</f>
        <v/>
      </c>
      <c r="BN34" s="885">
        <f>Planning!N27</f>
        <v/>
      </c>
      <c r="BO34" s="886" t="n"/>
      <c r="BP34" s="105" t="n"/>
      <c r="BQ34" s="885">
        <f>Planning!Q27</f>
        <v/>
      </c>
      <c r="BR34" s="885">
        <f>Planning!R27</f>
        <v/>
      </c>
      <c r="BS34" s="886" t="n"/>
      <c r="BT34" s="105" t="n"/>
      <c r="BU34" s="885">
        <f>Planning!U27</f>
        <v/>
      </c>
      <c r="BV34" s="885">
        <f>Planning!V27</f>
        <v/>
      </c>
      <c r="BW34" s="886" t="n"/>
      <c r="BX34" s="105" t="n"/>
      <c r="BY34" s="885">
        <f>Planning!Y27</f>
        <v/>
      </c>
      <c r="BZ34" s="885">
        <f>Planning!Z27</f>
        <v/>
      </c>
      <c r="CA34" s="886" t="n"/>
      <c r="CB34" s="105" t="n"/>
      <c r="CC34" s="885">
        <f>Planning!AC27</f>
        <v/>
      </c>
      <c r="CD34" s="885">
        <f>Planning!AD27</f>
        <v/>
      </c>
      <c r="CE34" s="886" t="n"/>
      <c r="CF34" s="105" t="n"/>
      <c r="CG34" s="887">
        <f>Planning!AG27</f>
        <v/>
      </c>
      <c r="CH34" s="105" t="n"/>
      <c r="CI34" s="252">
        <f>IF(BC34="","",Planning!AI27)</f>
        <v/>
      </c>
      <c r="CJ34" s="252">
        <f>IF(BC34="","",Planning!AJ27)</f>
        <v/>
      </c>
      <c r="CK34" s="252">
        <f>IF(BC34="","",Planning!AK27)</f>
        <v/>
      </c>
      <c r="CL34" s="252">
        <f>IF(BC34="","",Planning!AH27)</f>
        <v/>
      </c>
      <c r="CM34" s="21" t="n"/>
    </row>
    <row r="35" ht="12.75" customHeight="1">
      <c r="A35" s="161">
        <f>IFERROR(IF(VLOOKUP($B35,$BC$13:$CL$86,36,FALSE)&gt;5,0,IF(COUNTIF($B$13:$B$63,$B35)&gt;1,0,23)),23)+IF(B35&lt;&gt;0,0,IF(AV35&gt;0,0.000001,0))</f>
        <v/>
      </c>
      <c r="B35" s="129" t="inlineStr">
        <is>
          <t>Viktor Toth</t>
        </is>
      </c>
      <c r="C35" s="48">
        <f>IFERROR(IF($B35="","",VLOOKUP($B35,Medewerker!$C$8:$AI$107,33,FALSE)),"?")</f>
        <v/>
      </c>
      <c r="D35" s="879">
        <f t="array" ref="D35">IFERROR(IF(LEFT(INDEX($F35:$AQ35,1,SUM(SMALL(IF($F35:$AQ35&lt;&gt;"",COLUMN($F35:$AQ35)),1)-5)),1)="x",SUM(SMALL(IF($F35:$AQ35&lt;&gt;"",$F$11:$AQ$11),1)+"0:15"),SMALL(IF($F35:$AQ35&lt;&gt;"",$F$11:$AQ$11),1)),"")</f>
        <v/>
      </c>
      <c r="E35" s="879">
        <f t="array" ref="E35">IFERROR(IF(LEFT(INDEX($F35:$AQ35,1,SUM(LARGE(IF($F35:$AQ35&lt;&gt;"",COLUMN($F35:$AQ35)),1)-5)),1)="x",SUM(LARGE(IF($F35:$AQ35&lt;&gt;"",$F$11:$AQ$11+"0:30:00"),1)-"0:15"),LARGE(IF($F35:$AQ35&lt;&gt;"",$F$11:$AQ$11+"0:30:00"),1)),"")</f>
        <v/>
      </c>
      <c r="F35" s="40" t="n"/>
      <c r="G35" s="41" t="n"/>
      <c r="H35" s="40" t="n"/>
      <c r="I35" s="40" t="n"/>
      <c r="J35" s="43" t="n"/>
      <c r="K35" s="41" t="n"/>
      <c r="L35" s="40" t="n"/>
      <c r="M35" s="42" t="n"/>
      <c r="N35" s="43" t="n"/>
      <c r="O35" s="41" t="n"/>
      <c r="P35" s="40" t="n"/>
      <c r="Q35" s="42" t="n"/>
      <c r="R35" s="43" t="n"/>
      <c r="S35" s="41" t="n"/>
      <c r="T35" s="40" t="n"/>
      <c r="U35" s="42" t="n"/>
      <c r="V35" s="43" t="n"/>
      <c r="W35" s="41" t="n"/>
      <c r="X35" s="40" t="n"/>
      <c r="Y35" s="42" t="n"/>
      <c r="Z35" s="43" t="n"/>
      <c r="AA35" s="41" t="inlineStr">
        <is>
          <t>rv</t>
        </is>
      </c>
      <c r="AB35" s="40" t="inlineStr">
        <is>
          <t>rv</t>
        </is>
      </c>
      <c r="AC35" s="42" t="inlineStr">
        <is>
          <t>rv</t>
        </is>
      </c>
      <c r="AD35" s="43" t="inlineStr">
        <is>
          <t>rv</t>
        </is>
      </c>
      <c r="AE35" s="41" t="inlineStr">
        <is>
          <t>rv</t>
        </is>
      </c>
      <c r="AF35" s="40" t="inlineStr">
        <is>
          <t>rv</t>
        </is>
      </c>
      <c r="AG35" s="42" t="inlineStr">
        <is>
          <t>rv</t>
        </is>
      </c>
      <c r="AH35" s="43" t="inlineStr">
        <is>
          <t>rv</t>
        </is>
      </c>
      <c r="AI35" s="41" t="inlineStr">
        <is>
          <t>p</t>
        </is>
      </c>
      <c r="AJ35" s="40" t="inlineStr">
        <is>
          <t>l</t>
        </is>
      </c>
      <c r="AK35" s="42" t="inlineStr">
        <is>
          <t>sp</t>
        </is>
      </c>
      <c r="AL35" s="43" t="inlineStr">
        <is>
          <t>sp</t>
        </is>
      </c>
      <c r="AM35" s="41" t="inlineStr">
        <is>
          <t>rv</t>
        </is>
      </c>
      <c r="AN35" s="645" t="inlineStr">
        <is>
          <t>rv</t>
        </is>
      </c>
      <c r="AO35" s="42" t="inlineStr">
        <is>
          <t>rv</t>
        </is>
      </c>
      <c r="AP35" s="40" t="n"/>
      <c r="AQ35" s="41" t="n"/>
      <c r="AR35" s="888">
        <f>IFERROR(IF(VLOOKUP($B35,Medewerker!$C$8:$I$107,7,FALSE)="",VLOOKUP($B35,Medewerker!$C$8:$I$107,5,FALSE),0),0)</f>
        <v/>
      </c>
      <c r="AS35" s="889">
        <f>IFERROR(IF(B35="",1,IF(VLOOKUP($B35,Medewerker!$C$8:$I$107,7,FALSE)="",VLOOKUP($B35,Medewerker!$C$8:$I$107,6,FALSE),0)),0)</f>
        <v/>
      </c>
      <c r="AT35" s="30" t="n"/>
      <c r="AU35" s="30">
        <f>(COUNTIF(F35:AQ35,"afw"))/2</f>
        <v/>
      </c>
      <c r="AV35" s="111">
        <f>((38-(COUNTIF(F35:AQ35,"")))/2)-(COUNTIF(F35:AQ35,"p")/2)-(COUNTIF(F35:AQ35,CONCATENATE("x","*"))/4)</f>
        <v/>
      </c>
      <c r="AW35" s="73">
        <f>IF($B35="","",VLOOKUP($B35,Medewerker!$C$8:$E$107,3,FALSE))</f>
        <v/>
      </c>
      <c r="AX35" s="403">
        <f>IFERROR(VLOOKUP($B35,Planning!$B$6:$AG$105,32,FALSE)*24,"")</f>
        <v/>
      </c>
      <c r="AY35" s="882" t="inlineStr">
        <is>
          <t>Afprijzen</t>
        </is>
      </c>
      <c r="AZ35" s="883" t="n"/>
      <c r="BA35" s="884" t="n"/>
      <c r="BB35" s="838" t="n"/>
      <c r="BC35" s="31">
        <f>IF(Planning!B28="","",Planning!B28)</f>
        <v/>
      </c>
      <c r="BD35" s="105" t="n"/>
      <c r="BE35" s="885">
        <f>Planning!E28</f>
        <v/>
      </c>
      <c r="BF35" s="885">
        <f>Planning!F28</f>
        <v/>
      </c>
      <c r="BG35" s="886" t="n"/>
      <c r="BH35" s="105" t="n"/>
      <c r="BI35" s="885">
        <f>Planning!I28</f>
        <v/>
      </c>
      <c r="BJ35" s="885">
        <f>Planning!J28</f>
        <v/>
      </c>
      <c r="BK35" s="886" t="n"/>
      <c r="BL35" s="105" t="n"/>
      <c r="BM35" s="885">
        <f>Planning!M28</f>
        <v/>
      </c>
      <c r="BN35" s="885">
        <f>Planning!N28</f>
        <v/>
      </c>
      <c r="BO35" s="886" t="n"/>
      <c r="BP35" s="105" t="n"/>
      <c r="BQ35" s="885">
        <f>Planning!Q28</f>
        <v/>
      </c>
      <c r="BR35" s="885">
        <f>Planning!R28</f>
        <v/>
      </c>
      <c r="BS35" s="886" t="n"/>
      <c r="BT35" s="105" t="n"/>
      <c r="BU35" s="885">
        <f>Planning!U28</f>
        <v/>
      </c>
      <c r="BV35" s="885">
        <f>Planning!V28</f>
        <v/>
      </c>
      <c r="BW35" s="886" t="n"/>
      <c r="BX35" s="105" t="n"/>
      <c r="BY35" s="885">
        <f>Planning!Y28</f>
        <v/>
      </c>
      <c r="BZ35" s="885">
        <f>Planning!Z28</f>
        <v/>
      </c>
      <c r="CA35" s="886" t="n"/>
      <c r="CB35" s="105" t="n"/>
      <c r="CC35" s="885">
        <f>Planning!AC28</f>
        <v/>
      </c>
      <c r="CD35" s="885">
        <f>Planning!AD28</f>
        <v/>
      </c>
      <c r="CE35" s="886" t="n"/>
      <c r="CF35" s="105" t="n"/>
      <c r="CG35" s="887">
        <f>Planning!AG28</f>
        <v/>
      </c>
      <c r="CH35" s="105" t="n"/>
      <c r="CI35" s="252">
        <f>IF(BC35="","",Planning!AI28)</f>
        <v/>
      </c>
      <c r="CJ35" s="252">
        <f>IF(BC35="","",Planning!AJ28)</f>
        <v/>
      </c>
      <c r="CK35" s="252">
        <f>IF(BC35="","",Planning!AK28)</f>
        <v/>
      </c>
      <c r="CL35" s="252">
        <f>IF(BC35="","",Planning!AH28)</f>
        <v/>
      </c>
      <c r="CM35" s="21" t="n"/>
    </row>
    <row r="36" ht="12.75" customHeight="1">
      <c r="A36" s="161">
        <f>IFERROR(IF(VLOOKUP($B36,$BC$13:$CL$86,36,FALSE)&gt;5,0,IF(COUNTIF($B$13:$B$63,$B36)&gt;1,0,24)),24)+IF(B36&lt;&gt;0,0,IF(AV36&gt;0,0.000001,0))</f>
        <v/>
      </c>
      <c r="B36" s="129" t="inlineStr">
        <is>
          <t>Sevgyul</t>
        </is>
      </c>
      <c r="C36" s="48">
        <f>IFERROR(IF($B36="","",VLOOKUP($B36,Medewerker!$C$8:$AI$107,33,FALSE)),"?")</f>
        <v/>
      </c>
      <c r="D36" s="879">
        <f t="array" ref="D36">IFERROR(IF(LEFT(INDEX($F36:$AQ36,1,SUM(SMALL(IF($F36:$AQ36&lt;&gt;"",COLUMN($F36:$AQ36)),1)-5)),1)="x",SUM(SMALL(IF($F36:$AQ36&lt;&gt;"",$F$11:$AQ$11),1)+"0:15"),SMALL(IF($F36:$AQ36&lt;&gt;"",$F$11:$AQ$11),1)),"")</f>
        <v/>
      </c>
      <c r="E36" s="879">
        <f t="array" ref="E36">IFERROR(IF(LEFT(INDEX($F36:$AQ36,1,SUM(LARGE(IF($F36:$AQ36&lt;&gt;"",COLUMN($F36:$AQ36)),1)-5)),1)="x",SUM(LARGE(IF($F36:$AQ36&lt;&gt;"",$F$11:$AQ$11+"0:30:00"),1)-"0:15"),LARGE(IF($F36:$AQ36&lt;&gt;"",$F$11:$AQ$11+"0:30:00"),1)),"")</f>
        <v/>
      </c>
      <c r="F36" s="43" t="n"/>
      <c r="G36" s="42" t="n"/>
      <c r="H36" s="43" t="n"/>
      <c r="I36" s="43" t="n"/>
      <c r="J36" s="43" t="n"/>
      <c r="K36" s="41" t="n"/>
      <c r="L36" s="40" t="n"/>
      <c r="M36" s="42" t="n"/>
      <c r="N36" s="43" t="n"/>
      <c r="O36" s="41" t="n"/>
      <c r="P36" s="40" t="n"/>
      <c r="Q36" s="42" t="n"/>
      <c r="R36" s="43" t="n"/>
      <c r="S36" s="41" t="n"/>
      <c r="T36" s="40" t="n"/>
      <c r="U36" s="42" t="n"/>
      <c r="V36" s="43" t="n"/>
      <c r="W36" s="41" t="n"/>
      <c r="X36" s="40" t="n"/>
      <c r="Y36" s="42" t="n"/>
      <c r="Z36" s="43" t="n"/>
      <c r="AA36" s="42" t="n"/>
      <c r="AB36" s="43" t="n"/>
      <c r="AC36" s="42" t="n"/>
      <c r="AD36" s="43" t="n"/>
      <c r="AE36" s="42" t="n"/>
      <c r="AF36" s="43" t="inlineStr">
        <is>
          <t>rv</t>
        </is>
      </c>
      <c r="AG36" s="42" t="inlineStr">
        <is>
          <t>rv</t>
        </is>
      </c>
      <c r="AH36" s="43" t="inlineStr">
        <is>
          <t>rv</t>
        </is>
      </c>
      <c r="AI36" s="41" t="inlineStr">
        <is>
          <t>vv</t>
        </is>
      </c>
      <c r="AJ36" s="40" t="inlineStr">
        <is>
          <t>l</t>
        </is>
      </c>
      <c r="AK36" s="42" t="inlineStr">
        <is>
          <t>sp</t>
        </is>
      </c>
      <c r="AL36" s="43" t="inlineStr">
        <is>
          <t>sp</t>
        </is>
      </c>
      <c r="AM36" s="41" t="inlineStr">
        <is>
          <t>rv</t>
        </is>
      </c>
      <c r="AN36" s="645" t="inlineStr">
        <is>
          <t>rv</t>
        </is>
      </c>
      <c r="AO36" s="42" t="inlineStr">
        <is>
          <t>rv</t>
        </is>
      </c>
      <c r="AP36" s="43" t="n"/>
      <c r="AQ36" s="42" t="n"/>
      <c r="AR36" s="888">
        <f>IFERROR(IF(VLOOKUP($B36,Medewerker!$C$8:$I$107,7,FALSE)="",VLOOKUP($B36,Medewerker!$C$8:$I$107,5,FALSE),0),0)</f>
        <v/>
      </c>
      <c r="AS36" s="888">
        <f>IFERROR(IF(B36="",1,IF(VLOOKUP($B36,Medewerker!$C$8:$I$107,7,FALSE)="",VLOOKUP($B36,Medewerker!$C$8:$I$107,6,FALSE),0)),0)</f>
        <v/>
      </c>
      <c r="AT36" s="45" t="n"/>
      <c r="AU36" s="46">
        <f>(COUNTIF(F36:AQ36,"afw"))/2</f>
        <v/>
      </c>
      <c r="AV36" s="111">
        <f>((38-(COUNTIF(F36:AQ36,"")))/2)-(COUNTIF(F36:AQ36,"p")/2)-(COUNTIF(F36:AQ36,CONCATENATE("x","*"))/4)</f>
        <v/>
      </c>
      <c r="AW36" s="73">
        <f>IF($B36="","",VLOOKUP($B36,Medewerker!$C$8:$E$107,3,FALSE))</f>
        <v/>
      </c>
      <c r="AX36" s="403">
        <f>IFERROR(VLOOKUP($B36,Planning!$B$6:$AG$105,32,FALSE)*24,"")</f>
        <v/>
      </c>
      <c r="AY36" s="559" t="inlineStr">
        <is>
          <t>afp</t>
        </is>
      </c>
      <c r="AZ36" s="71" t="inlineStr">
        <is>
          <t>Afprijzen</t>
        </is>
      </c>
      <c r="BA36" s="111">
        <f>COUNTIF($F$13:$AQ$63,CONCATENATE(AY36,"*"))/2+COUNTIF($F$13:$AQ$63,CONCATENATE("x",AY36,"*"))/4</f>
        <v/>
      </c>
      <c r="BB36" s="838" t="n"/>
      <c r="BC36" s="31">
        <f>IF(Planning!B29="","",Planning!B29)</f>
        <v/>
      </c>
      <c r="BD36" s="105" t="n"/>
      <c r="BE36" s="885">
        <f>Planning!E29</f>
        <v/>
      </c>
      <c r="BF36" s="885">
        <f>Planning!F29</f>
        <v/>
      </c>
      <c r="BG36" s="886" t="n"/>
      <c r="BH36" s="105" t="n"/>
      <c r="BI36" s="885">
        <f>Planning!I29</f>
        <v/>
      </c>
      <c r="BJ36" s="885">
        <f>Planning!J29</f>
        <v/>
      </c>
      <c r="BK36" s="886" t="n"/>
      <c r="BL36" s="105" t="n"/>
      <c r="BM36" s="885">
        <f>Planning!M29</f>
        <v/>
      </c>
      <c r="BN36" s="885">
        <f>Planning!N29</f>
        <v/>
      </c>
      <c r="BO36" s="886" t="n"/>
      <c r="BP36" s="105" t="n"/>
      <c r="BQ36" s="885">
        <f>Planning!Q29</f>
        <v/>
      </c>
      <c r="BR36" s="885">
        <f>Planning!R29</f>
        <v/>
      </c>
      <c r="BS36" s="886" t="n"/>
      <c r="BT36" s="105" t="n"/>
      <c r="BU36" s="885">
        <f>Planning!U29</f>
        <v/>
      </c>
      <c r="BV36" s="885">
        <f>Planning!V29</f>
        <v/>
      </c>
      <c r="BW36" s="886" t="n"/>
      <c r="BX36" s="105" t="n"/>
      <c r="BY36" s="885">
        <f>Planning!Y29</f>
        <v/>
      </c>
      <c r="BZ36" s="885">
        <f>Planning!Z29</f>
        <v/>
      </c>
      <c r="CA36" s="886" t="n"/>
      <c r="CB36" s="105" t="n"/>
      <c r="CC36" s="885">
        <f>Planning!AC29</f>
        <v/>
      </c>
      <c r="CD36" s="885">
        <f>Planning!AD29</f>
        <v/>
      </c>
      <c r="CE36" s="886" t="n"/>
      <c r="CF36" s="105" t="n"/>
      <c r="CG36" s="887">
        <f>Planning!AG29</f>
        <v/>
      </c>
      <c r="CH36" s="105" t="n"/>
      <c r="CI36" s="252">
        <f>IF(BC36="","",Planning!AI29)</f>
        <v/>
      </c>
      <c r="CJ36" s="252">
        <f>IF(BC36="","",Planning!AJ29)</f>
        <v/>
      </c>
      <c r="CK36" s="252">
        <f>IF(BC36="","",Planning!AK29)</f>
        <v/>
      </c>
      <c r="CL36" s="252">
        <f>IF(BC36="","",Planning!AH29)</f>
        <v/>
      </c>
      <c r="CM36" s="21" t="n"/>
    </row>
    <row r="37" ht="12.75" customHeight="1">
      <c r="A37" s="161">
        <f>IFERROR(IF(VLOOKUP($B37,$BC$13:$CL$86,36,FALSE)&gt;5,0,IF(COUNTIF($B$13:$B$63,$B37)&gt;1,0,25)),25)+IF(B37&lt;&gt;0,0,IF(AV37&gt;0,0.000001,0))</f>
        <v/>
      </c>
      <c r="B37" s="129" t="inlineStr">
        <is>
          <t>Yasmina ibrahimin</t>
        </is>
      </c>
      <c r="C37" s="48">
        <f>IFERROR(IF($B37="","",VLOOKUP($B37,Medewerker!$C$8:$AI$107,33,FALSE)),"?")</f>
        <v/>
      </c>
      <c r="D37" s="879">
        <f t="array" ref="D37">IFERROR(IF(LEFT(INDEX($F37:$AQ37,1,SUM(SMALL(IF($F37:$AQ37&lt;&gt;"",COLUMN($F37:$AQ37)),1)-5)),1)="x",SUM(SMALL(IF($F37:$AQ37&lt;&gt;"",$F$11:$AQ$11),1)+"0:15"),SMALL(IF($F37:$AQ37&lt;&gt;"",$F$11:$AQ$11),1)),"")</f>
        <v/>
      </c>
      <c r="E37" s="879">
        <f t="array" ref="E37">IFERROR(IF(LEFT(INDEX($F37:$AQ37,1,SUM(LARGE(IF($F37:$AQ37&lt;&gt;"",COLUMN($F37:$AQ37)),1)-5)),1)="x",SUM(LARGE(IF($F37:$AQ37&lt;&gt;"",$F$11:$AQ$11+"0:30:00"),1)-"0:15"),LARGE(IF($F37:$AQ37&lt;&gt;"",$F$11:$AQ$11+"0:30:00"),1)),"")</f>
        <v/>
      </c>
      <c r="F37" s="43" t="n"/>
      <c r="G37" s="42" t="n"/>
      <c r="H37" s="43" t="n"/>
      <c r="I37" s="43" t="n"/>
      <c r="J37" s="43" t="n"/>
      <c r="K37" s="41" t="n"/>
      <c r="L37" s="40" t="n"/>
      <c r="M37" s="42" t="n"/>
      <c r="N37" s="43" t="n"/>
      <c r="O37" s="41" t="n"/>
      <c r="P37" s="40" t="n"/>
      <c r="Q37" s="42" t="n"/>
      <c r="R37" s="43" t="n"/>
      <c r="S37" s="41" t="n"/>
      <c r="T37" s="40" t="n"/>
      <c r="U37" s="42" t="n"/>
      <c r="V37" s="43" t="n"/>
      <c r="W37" s="41" t="n"/>
      <c r="X37" s="40" t="n"/>
      <c r="Y37" s="42" t="n"/>
      <c r="Z37" s="43" t="n"/>
      <c r="AA37" s="41" t="n"/>
      <c r="AB37" s="40" t="n"/>
      <c r="AC37" s="42" t="n"/>
      <c r="AD37" s="43" t="n"/>
      <c r="AE37" s="41" t="n"/>
      <c r="AF37" s="40" t="n"/>
      <c r="AG37" s="42" t="inlineStr">
        <is>
          <t>rv</t>
        </is>
      </c>
      <c r="AH37" s="43" t="inlineStr">
        <is>
          <t>rv</t>
        </is>
      </c>
      <c r="AI37" s="41" t="inlineStr">
        <is>
          <t>vv</t>
        </is>
      </c>
      <c r="AJ37" s="40" t="inlineStr">
        <is>
          <t>vv</t>
        </is>
      </c>
      <c r="AK37" s="42" t="inlineStr">
        <is>
          <t>vv</t>
        </is>
      </c>
      <c r="AL37" s="43" t="inlineStr">
        <is>
          <t>vv</t>
        </is>
      </c>
      <c r="AM37" s="41" t="inlineStr">
        <is>
          <t>vv</t>
        </is>
      </c>
      <c r="AN37" s="645" t="inlineStr">
        <is>
          <t>vv</t>
        </is>
      </c>
      <c r="AO37" s="42" t="inlineStr">
        <is>
          <t>vv</t>
        </is>
      </c>
      <c r="AP37" s="43" t="n"/>
      <c r="AQ37" s="42" t="n"/>
      <c r="AR37" s="888">
        <f>IFERROR(IF(VLOOKUP($B37,Medewerker!$C$8:$I$107,7,FALSE)="",VLOOKUP($B37,Medewerker!$C$8:$I$107,5,FALSE),0),0)</f>
        <v/>
      </c>
      <c r="AS37" s="888">
        <f>IFERROR(IF(B37="",1,IF(VLOOKUP($B37,Medewerker!$C$8:$I$107,7,FALSE)="",VLOOKUP($B37,Medewerker!$C$8:$I$107,6,FALSE),0)),0)</f>
        <v/>
      </c>
      <c r="AT37" s="45" t="n"/>
      <c r="AU37" s="46">
        <f>(COUNTIF(F37:AQ37,"afw"))/2</f>
        <v/>
      </c>
      <c r="AV37" s="111">
        <f>((38-(COUNTIF(F37:AQ37,"")))/2)-(COUNTIF(F37:AQ37,"p")/2)-(COUNTIF(F37:AQ37,CONCATENATE("x","*"))/4)</f>
        <v/>
      </c>
      <c r="AW37" s="73">
        <f>IF($B37="","",VLOOKUP($B37,Medewerker!$C$8:$E$107,3,FALSE))</f>
        <v/>
      </c>
      <c r="AX37" s="403">
        <f>IFERROR(VLOOKUP($B37,Planning!$B$6:$AG$105,32,FALSE)*24,"")</f>
        <v/>
      </c>
      <c r="AY37" s="560" t="inlineStr">
        <is>
          <t>cb</t>
        </is>
      </c>
      <c r="AZ37" s="166" t="inlineStr">
        <is>
          <t>Codeboek</t>
        </is>
      </c>
      <c r="BA37" s="111">
        <f>COUNTIF($F$13:$AQ$63,CONCATENATE(AY37,"*"))/2+COUNTIF($F$13:$AQ$63,CONCATENATE("x",AY37,"*"))/4</f>
        <v/>
      </c>
      <c r="BB37" s="838" t="n"/>
      <c r="BC37" s="31">
        <f>IF(Planning!B30="","",Planning!B30)</f>
        <v/>
      </c>
      <c r="BD37" s="105" t="n"/>
      <c r="BE37" s="885">
        <f>Planning!E30</f>
        <v/>
      </c>
      <c r="BF37" s="885">
        <f>Planning!F30</f>
        <v/>
      </c>
      <c r="BG37" s="886" t="n"/>
      <c r="BH37" s="105" t="n"/>
      <c r="BI37" s="885">
        <f>Planning!I30</f>
        <v/>
      </c>
      <c r="BJ37" s="885">
        <f>Planning!J30</f>
        <v/>
      </c>
      <c r="BK37" s="886" t="n"/>
      <c r="BL37" s="105" t="n"/>
      <c r="BM37" s="885">
        <f>Planning!M30</f>
        <v/>
      </c>
      <c r="BN37" s="885">
        <f>Planning!N30</f>
        <v/>
      </c>
      <c r="BO37" s="886" t="n"/>
      <c r="BP37" s="105" t="n"/>
      <c r="BQ37" s="885">
        <f>Planning!Q30</f>
        <v/>
      </c>
      <c r="BR37" s="885">
        <f>Planning!R30</f>
        <v/>
      </c>
      <c r="BS37" s="886" t="n"/>
      <c r="BT37" s="105" t="n"/>
      <c r="BU37" s="885">
        <f>Planning!U30</f>
        <v/>
      </c>
      <c r="BV37" s="885">
        <f>Planning!V30</f>
        <v/>
      </c>
      <c r="BW37" s="886" t="n"/>
      <c r="BX37" s="105" t="n"/>
      <c r="BY37" s="885">
        <f>Planning!Y30</f>
        <v/>
      </c>
      <c r="BZ37" s="885">
        <f>Planning!Z30</f>
        <v/>
      </c>
      <c r="CA37" s="886" t="n"/>
      <c r="CB37" s="105" t="n"/>
      <c r="CC37" s="885">
        <f>Planning!AC30</f>
        <v/>
      </c>
      <c r="CD37" s="885">
        <f>Planning!AD30</f>
        <v/>
      </c>
      <c r="CE37" s="886" t="n"/>
      <c r="CF37" s="105" t="n"/>
      <c r="CG37" s="887">
        <f>Planning!AG30</f>
        <v/>
      </c>
      <c r="CH37" s="105" t="n"/>
      <c r="CI37" s="252">
        <f>IF(BC37="","",Planning!AI30)</f>
        <v/>
      </c>
      <c r="CJ37" s="252">
        <f>IF(BC37="","",Planning!AJ30)</f>
        <v/>
      </c>
      <c r="CK37" s="252">
        <f>IF(BC37="","",Planning!AK30)</f>
        <v/>
      </c>
      <c r="CL37" s="252">
        <f>IF(BC37="","",Planning!AH30)</f>
        <v/>
      </c>
      <c r="CM37" s="21" t="n"/>
    </row>
    <row r="38" ht="12.75" customHeight="1">
      <c r="A38" s="161">
        <f>IFERROR(IF(VLOOKUP($B38,$BC$13:$CL$86,36,FALSE)&gt;5,0,IF(COUNTIF($B$13:$B$63,$B38)&gt;1,0,26)),26)+IF(B38&lt;&gt;0,0,IF(AV38&gt;0,0.000001,0))</f>
        <v/>
      </c>
      <c r="B38" s="129" t="inlineStr">
        <is>
          <t>Umer</t>
        </is>
      </c>
      <c r="C38" s="48">
        <f>IFERROR(IF($B38="","",VLOOKUP($B38,Medewerker!$C$8:$AI$107,33,FALSE)),"?")</f>
        <v/>
      </c>
      <c r="D38" s="879">
        <f t="array" ref="D38">IFERROR(IF(LEFT(INDEX($F38:$AQ38,1,SUM(SMALL(IF($F38:$AQ38&lt;&gt;"",COLUMN($F38:$AQ38)),1)-5)),1)="x",SUM(SMALL(IF($F38:$AQ38&lt;&gt;"",$F$11:$AQ$11),1)+"0:15"),SMALL(IF($F38:$AQ38&lt;&gt;"",$F$11:$AQ$11),1)),"")</f>
        <v/>
      </c>
      <c r="E38" s="879">
        <f t="array" ref="E38">IFERROR(IF(LEFT(INDEX($F38:$AQ38,1,SUM(LARGE(IF($F38:$AQ38&lt;&gt;"",COLUMN($F38:$AQ38)),1)-5)),1)="x",SUM(LARGE(IF($F38:$AQ38&lt;&gt;"",$F$11:$AQ$11+"0:30:00"),1)-"0:15"),LARGE(IF($F38:$AQ38&lt;&gt;"",$F$11:$AQ$11+"0:30:00"),1)),"")</f>
        <v/>
      </c>
      <c r="F38" s="43" t="n"/>
      <c r="G38" s="42" t="n"/>
      <c r="H38" s="43" t="n"/>
      <c r="I38" s="43" t="n"/>
      <c r="J38" s="43" t="n"/>
      <c r="K38" s="41" t="n"/>
      <c r="L38" s="40" t="n"/>
      <c r="M38" s="42" t="n"/>
      <c r="N38" s="43" t="n"/>
      <c r="O38" s="41" t="n"/>
      <c r="P38" s="40" t="n"/>
      <c r="Q38" s="42" t="n"/>
      <c r="R38" s="43" t="n"/>
      <c r="S38" s="41" t="n"/>
      <c r="T38" s="40" t="n"/>
      <c r="U38" s="42" t="n"/>
      <c r="V38" s="43" t="n"/>
      <c r="W38" s="41" t="n"/>
      <c r="X38" s="40" t="n"/>
      <c r="Y38" s="42" t="n"/>
      <c r="Z38" s="43" t="n"/>
      <c r="AA38" s="41" t="n"/>
      <c r="AB38" s="40" t="n"/>
      <c r="AC38" s="42" t="n"/>
      <c r="AD38" s="43" t="n"/>
      <c r="AE38" s="41" t="n"/>
      <c r="AF38" s="40" t="n"/>
      <c r="AG38" s="42" t="n"/>
      <c r="AH38" s="43" t="n"/>
      <c r="AI38" s="43" t="n"/>
      <c r="AJ38" s="40" t="inlineStr">
        <is>
          <t>vv</t>
        </is>
      </c>
      <c r="AK38" s="42" t="inlineStr">
        <is>
          <t>vv</t>
        </is>
      </c>
      <c r="AL38" s="43" t="inlineStr">
        <is>
          <t>vv</t>
        </is>
      </c>
      <c r="AM38" s="41" t="inlineStr">
        <is>
          <t>vv</t>
        </is>
      </c>
      <c r="AN38" s="645" t="inlineStr">
        <is>
          <t>vv</t>
        </is>
      </c>
      <c r="AO38" s="42" t="inlineStr">
        <is>
          <t>vv</t>
        </is>
      </c>
      <c r="AP38" s="43" t="n"/>
      <c r="AQ38" s="42" t="n"/>
      <c r="AR38" s="888">
        <f>IFERROR(IF(VLOOKUP($B38,Medewerker!$C$8:$I$107,7,FALSE)="",VLOOKUP($B38,Medewerker!$C$8:$I$107,5,FALSE),0),0)</f>
        <v/>
      </c>
      <c r="AS38" s="888">
        <f>IFERROR(IF(B38="",1,IF(VLOOKUP($B38,Medewerker!$C$8:$I$107,7,FALSE)="",VLOOKUP($B38,Medewerker!$C$8:$I$107,6,FALSE),0)),0)</f>
        <v/>
      </c>
      <c r="AT38" s="45" t="n"/>
      <c r="AU38" s="46">
        <f>(COUNTIF(F38:AQ38,"afw"))/2</f>
        <v/>
      </c>
      <c r="AV38" s="111">
        <f>((38-(COUNTIF(F38:AQ38,"")))/2)-(COUNTIF(F38:AQ38,"p")/2)-(COUNTIF(F38:AQ38,CONCATENATE("x","*"))/4)</f>
        <v/>
      </c>
      <c r="AW38" s="73">
        <f>IF($B38="","",VLOOKUP($B38,Medewerker!$C$8:$E$107,3,FALSE))</f>
        <v/>
      </c>
      <c r="AX38" s="403">
        <f>IFERROR(VLOOKUP($B38,Planning!$B$6:$AG$105,32,FALSE)*24,"")</f>
        <v/>
      </c>
      <c r="AY38" s="560" t="inlineStr">
        <is>
          <t>nr</t>
        </is>
      </c>
      <c r="AZ38" s="166" t="inlineStr">
        <is>
          <t>Naloopronde</t>
        </is>
      </c>
      <c r="BA38" s="111">
        <f>COUNTIF($F$13:$AQ$63,CONCATENATE(AY38,"*"))/2+COUNTIF($F$13:$AQ$63,CONCATENATE("x",AY38,"*"))/4</f>
        <v/>
      </c>
      <c r="BB38" s="838" t="n"/>
      <c r="BC38" s="31">
        <f>IF(Planning!B31="","",Planning!B31)</f>
        <v/>
      </c>
      <c r="BD38" s="105" t="n"/>
      <c r="BE38" s="885">
        <f>Planning!E31</f>
        <v/>
      </c>
      <c r="BF38" s="885">
        <f>Planning!F31</f>
        <v/>
      </c>
      <c r="BG38" s="886" t="n"/>
      <c r="BH38" s="105" t="n"/>
      <c r="BI38" s="885">
        <f>Planning!I31</f>
        <v/>
      </c>
      <c r="BJ38" s="885">
        <f>Planning!J31</f>
        <v/>
      </c>
      <c r="BK38" s="886" t="n"/>
      <c r="BL38" s="105" t="n"/>
      <c r="BM38" s="885">
        <f>Planning!M31</f>
        <v/>
      </c>
      <c r="BN38" s="885">
        <f>Planning!N31</f>
        <v/>
      </c>
      <c r="BO38" s="886" t="n"/>
      <c r="BP38" s="105" t="n"/>
      <c r="BQ38" s="885">
        <f>Planning!Q31</f>
        <v/>
      </c>
      <c r="BR38" s="885">
        <f>Planning!R31</f>
        <v/>
      </c>
      <c r="BS38" s="886" t="n"/>
      <c r="BT38" s="105" t="n"/>
      <c r="BU38" s="885">
        <f>Planning!U31</f>
        <v/>
      </c>
      <c r="BV38" s="885">
        <f>Planning!V31</f>
        <v/>
      </c>
      <c r="BW38" s="886" t="n"/>
      <c r="BX38" s="105" t="n"/>
      <c r="BY38" s="885">
        <f>Planning!Y31</f>
        <v/>
      </c>
      <c r="BZ38" s="885">
        <f>Planning!Z31</f>
        <v/>
      </c>
      <c r="CA38" s="886" t="n"/>
      <c r="CB38" s="105" t="n"/>
      <c r="CC38" s="885">
        <f>Planning!AC31</f>
        <v/>
      </c>
      <c r="CD38" s="885">
        <f>Planning!AD31</f>
        <v/>
      </c>
      <c r="CE38" s="886" t="n"/>
      <c r="CF38" s="105" t="n"/>
      <c r="CG38" s="887">
        <f>Planning!AG31</f>
        <v/>
      </c>
      <c r="CH38" s="105" t="n"/>
      <c r="CI38" s="252">
        <f>IF(BC38="","",Planning!AI31)</f>
        <v/>
      </c>
      <c r="CJ38" s="252">
        <f>IF(BC38="","",Planning!AJ31)</f>
        <v/>
      </c>
      <c r="CK38" s="252">
        <f>IF(BC38="","",Planning!AK31)</f>
        <v/>
      </c>
      <c r="CL38" s="252">
        <f>IF(BC38="","",Planning!AH31)</f>
        <v/>
      </c>
      <c r="CM38" s="21" t="n"/>
    </row>
    <row r="39" ht="12.75" customHeight="1">
      <c r="A39" s="161">
        <f>IFERROR(IF(VLOOKUP($B39,$BC$13:$CL$86,36,FALSE)&gt;5,0,IF(COUNTIF($B$13:$B$63,$B39)&gt;1,0,27)),27)+IF(B39&lt;&gt;0,0,IF(AV39&gt;0,0.000001,0))</f>
        <v/>
      </c>
      <c r="B39" s="129" t="inlineStr">
        <is>
          <t>Muhammed Armani</t>
        </is>
      </c>
      <c r="C39" s="48">
        <f>IFERROR(IF($B39="","",VLOOKUP($B39,Medewerker!$C$8:$AI$107,33,FALSE)),"?")</f>
        <v/>
      </c>
      <c r="D39" s="879">
        <f t="array" ref="D39">IFERROR(IF(LEFT(INDEX($F39:$AQ39,1,SUM(SMALL(IF($F39:$AQ39&lt;&gt;"",COLUMN($F39:$AQ39)),1)-5)),1)="x",SUM(SMALL(IF($F39:$AQ39&lt;&gt;"",$F$11:$AQ$11),1)+"0:15"),SMALL(IF($F39:$AQ39&lt;&gt;"",$F$11:$AQ$11),1)),"")</f>
        <v/>
      </c>
      <c r="E39" s="879">
        <f t="array" ref="E39">IFERROR(IF(LEFT(INDEX($F39:$AQ39,1,SUM(LARGE(IF($F39:$AQ39&lt;&gt;"",COLUMN($F39:$AQ39)),1)-5)),1)="x",SUM(LARGE(IF($F39:$AQ39&lt;&gt;"",$F$11:$AQ$11+"0:30:00"),1)-"0:15"),LARGE(IF($F39:$AQ39&lt;&gt;"",$F$11:$AQ$11+"0:30:00"),1)),"")</f>
        <v/>
      </c>
      <c r="F39" s="43" t="n"/>
      <c r="G39" s="42" t="n"/>
      <c r="H39" s="43" t="n"/>
      <c r="I39" s="42" t="n"/>
      <c r="J39" s="43" t="n"/>
      <c r="K39" s="41" t="n"/>
      <c r="L39" s="40" t="n"/>
      <c r="M39" s="42" t="n"/>
      <c r="N39" s="43" t="n"/>
      <c r="O39" s="41" t="n"/>
      <c r="P39" s="40" t="n"/>
      <c r="Q39" s="42" t="n"/>
      <c r="R39" s="43" t="n"/>
      <c r="S39" s="41" t="n"/>
      <c r="T39" s="40" t="n"/>
      <c r="U39" s="42" t="n"/>
      <c r="V39" s="43" t="n"/>
      <c r="W39" s="41" t="n"/>
      <c r="X39" s="40" t="n"/>
      <c r="Y39" s="42" t="n"/>
      <c r="Z39" s="43" t="n"/>
      <c r="AA39" s="41" t="n"/>
      <c r="AB39" s="40" t="n"/>
      <c r="AC39" s="42" t="n"/>
      <c r="AD39" s="43" t="n"/>
      <c r="AE39" s="41" t="n"/>
      <c r="AF39" s="40" t="n"/>
      <c r="AG39" s="42" t="n"/>
      <c r="AH39" s="43" t="n"/>
      <c r="AI39" s="41" t="n"/>
      <c r="AJ39" s="40" t="inlineStr">
        <is>
          <t>vv</t>
        </is>
      </c>
      <c r="AK39" s="42" t="inlineStr">
        <is>
          <t>vv</t>
        </is>
      </c>
      <c r="AL39" s="43" t="inlineStr">
        <is>
          <t>vv</t>
        </is>
      </c>
      <c r="AM39" s="41" t="inlineStr">
        <is>
          <t>vv</t>
        </is>
      </c>
      <c r="AN39" s="645" t="inlineStr">
        <is>
          <t>vv</t>
        </is>
      </c>
      <c r="AO39" s="42" t="inlineStr">
        <is>
          <t>vv</t>
        </is>
      </c>
      <c r="AP39" s="43" t="n"/>
      <c r="AQ39" s="42" t="n"/>
      <c r="AR39" s="888">
        <f>IFERROR(IF(VLOOKUP($B39,Medewerker!$C$8:$I$107,7,FALSE)="",VLOOKUP($B39,Medewerker!$C$8:$I$107,5,FALSE),0),0)</f>
        <v/>
      </c>
      <c r="AS39" s="888">
        <f>IFERROR(IF(B39="",1,IF(VLOOKUP($B39,Medewerker!$C$8:$I$107,7,FALSE)="",VLOOKUP($B39,Medewerker!$C$8:$I$107,6,FALSE),0)),0)</f>
        <v/>
      </c>
      <c r="AT39" s="45" t="n"/>
      <c r="AU39" s="46">
        <f>(COUNTIF(F39:AQ39,"afw"))/2</f>
        <v/>
      </c>
      <c r="AV39" s="111">
        <f>((38-(COUNTIF(F39:AQ39,"")))/2)-(COUNTIF(F39:AQ39,"p")/2)-(COUNTIF(F39:AQ39,CONCATENATE("x","*"))/4)</f>
        <v/>
      </c>
      <c r="AW39" s="73">
        <f>IF($B39="","",VLOOKUP($B39,Medewerker!$C$8:$E$107,3,FALSE))</f>
        <v/>
      </c>
      <c r="AX39" s="403">
        <f>IFERROR(VLOOKUP($B39,Planning!$B$6:$AG$105,32,FALSE)*24,"")</f>
        <v/>
      </c>
      <c r="AY39" s="560" t="inlineStr">
        <is>
          <t>us</t>
        </is>
      </c>
      <c r="AZ39" s="166" t="inlineStr">
        <is>
          <t>Vervallen artikelen</t>
        </is>
      </c>
      <c r="BA39" s="111">
        <f>COUNTIF($F$13:$AQ$63,CONCATENATE(AY39,"*"))/2+COUNTIF($F$13:$AQ$63,CONCATENATE("x",AY39,"*"))/4</f>
        <v/>
      </c>
      <c r="BB39" s="838" t="n"/>
      <c r="BC39" s="31">
        <f>IF(Planning!B32="","",Planning!B32)</f>
        <v/>
      </c>
      <c r="BD39" s="105" t="n"/>
      <c r="BE39" s="885">
        <f>Planning!E32</f>
        <v/>
      </c>
      <c r="BF39" s="885">
        <f>Planning!F32</f>
        <v/>
      </c>
      <c r="BG39" s="886" t="n"/>
      <c r="BH39" s="105" t="n"/>
      <c r="BI39" s="885">
        <f>Planning!I32</f>
        <v/>
      </c>
      <c r="BJ39" s="885">
        <f>Planning!J32</f>
        <v/>
      </c>
      <c r="BK39" s="886" t="n"/>
      <c r="BL39" s="105" t="n"/>
      <c r="BM39" s="885">
        <f>Planning!M32</f>
        <v/>
      </c>
      <c r="BN39" s="885">
        <f>Planning!N32</f>
        <v/>
      </c>
      <c r="BO39" s="886" t="n"/>
      <c r="BP39" s="105" t="n"/>
      <c r="BQ39" s="885">
        <f>Planning!Q32</f>
        <v/>
      </c>
      <c r="BR39" s="885">
        <f>Planning!R32</f>
        <v/>
      </c>
      <c r="BS39" s="886" t="n"/>
      <c r="BT39" s="105" t="n"/>
      <c r="BU39" s="885">
        <f>Planning!U32</f>
        <v/>
      </c>
      <c r="BV39" s="885">
        <f>Planning!V32</f>
        <v/>
      </c>
      <c r="BW39" s="886" t="n"/>
      <c r="BX39" s="105" t="n"/>
      <c r="BY39" s="885">
        <f>Planning!Y32</f>
        <v/>
      </c>
      <c r="BZ39" s="885">
        <f>Planning!Z32</f>
        <v/>
      </c>
      <c r="CA39" s="886" t="n"/>
      <c r="CB39" s="105" t="n"/>
      <c r="CC39" s="885">
        <f>Planning!AC32</f>
        <v/>
      </c>
      <c r="CD39" s="885">
        <f>Planning!AD32</f>
        <v/>
      </c>
      <c r="CE39" s="886" t="n"/>
      <c r="CF39" s="105" t="n"/>
      <c r="CG39" s="887">
        <f>Planning!AG32</f>
        <v/>
      </c>
      <c r="CH39" s="105" t="n"/>
      <c r="CI39" s="252">
        <f>IF(BC39="","",Planning!AI32)</f>
        <v/>
      </c>
      <c r="CJ39" s="252">
        <f>IF(BC39="","",Planning!AJ32)</f>
        <v/>
      </c>
      <c r="CK39" s="252">
        <f>IF(BC39="","",Planning!AK32)</f>
        <v/>
      </c>
      <c r="CL39" s="252">
        <f>IF(BC39="","",Planning!AH32)</f>
        <v/>
      </c>
      <c r="CM39" s="21" t="n"/>
    </row>
    <row r="40" ht="12.75" customHeight="1">
      <c r="A40" s="161">
        <f>IFERROR(IF(VLOOKUP($B40,$BC$13:$CL$86,36,FALSE)&gt;5,0,IF(COUNTIF($B$13:$B$63,$B40)&gt;1,0,28)),28)+IF(B40&lt;&gt;0,0,IF(AV40&gt;0,0.000001,0))</f>
        <v/>
      </c>
      <c r="B40" s="129" t="inlineStr">
        <is>
          <t>Alaa</t>
        </is>
      </c>
      <c r="C40" s="48">
        <f>IFERROR(IF($B40="","",VLOOKUP($B40,Medewerker!$C$8:$AI$107,33,FALSE)),"?")</f>
        <v/>
      </c>
      <c r="D40" s="879">
        <f t="array" ref="D40">IFERROR(IF(LEFT(INDEX($F40:$AQ40,1,SUM(SMALL(IF($F40:$AQ40&lt;&gt;"",COLUMN($F40:$AQ40)),1)-5)),1)="x",SUM(SMALL(IF($F40:$AQ40&lt;&gt;"",$F$11:$AQ$11),1)+"0:15"),SMALL(IF($F40:$AQ40&lt;&gt;"",$F$11:$AQ$11),1)),"")</f>
        <v/>
      </c>
      <c r="E40" s="879">
        <f t="array" ref="E40">IFERROR(IF(LEFT(INDEX($F40:$AQ40,1,SUM(LARGE(IF($F40:$AQ40&lt;&gt;"",COLUMN($F40:$AQ40)),1)-5)),1)="x",SUM(LARGE(IF($F40:$AQ40&lt;&gt;"",$F$11:$AQ$11+"0:30:00"),1)-"0:15"),LARGE(IF($F40:$AQ40&lt;&gt;"",$F$11:$AQ$11+"0:30:00"),1)),"")</f>
        <v/>
      </c>
      <c r="F40" s="43" t="n"/>
      <c r="G40" s="42" t="n"/>
      <c r="H40" s="43" t="n"/>
      <c r="I40" s="42" t="n"/>
      <c r="J40" s="43" t="n"/>
      <c r="K40" s="41" t="n"/>
      <c r="L40" s="40" t="n"/>
      <c r="M40" s="42" t="n"/>
      <c r="N40" s="43" t="n"/>
      <c r="O40" s="41" t="n"/>
      <c r="P40" s="40" t="n"/>
      <c r="Q40" s="42" t="n"/>
      <c r="R40" s="43" t="n"/>
      <c r="S40" s="41" t="n"/>
      <c r="T40" s="40" t="n"/>
      <c r="U40" s="42" t="n"/>
      <c r="V40" s="43" t="n"/>
      <c r="W40" s="41" t="n"/>
      <c r="X40" s="40" t="n"/>
      <c r="Y40" s="42" t="n"/>
      <c r="Z40" s="43" t="n"/>
      <c r="AA40" s="41" t="n"/>
      <c r="AB40" s="40" t="n"/>
      <c r="AC40" s="42" t="n"/>
      <c r="AD40" s="43" t="n"/>
      <c r="AE40" s="41" t="n"/>
      <c r="AF40" s="40" t="n"/>
      <c r="AG40" s="42" t="n"/>
      <c r="AH40" s="43" t="n"/>
      <c r="AI40" s="41" t="inlineStr">
        <is>
          <t>vv</t>
        </is>
      </c>
      <c r="AJ40" s="40" t="inlineStr">
        <is>
          <t>vv</t>
        </is>
      </c>
      <c r="AK40" s="42" t="inlineStr">
        <is>
          <t>vv</t>
        </is>
      </c>
      <c r="AL40" s="43" t="inlineStr">
        <is>
          <t>vv</t>
        </is>
      </c>
      <c r="AM40" s="41" t="inlineStr">
        <is>
          <t>vv</t>
        </is>
      </c>
      <c r="AN40" s="645" t="inlineStr">
        <is>
          <t>vv</t>
        </is>
      </c>
      <c r="AO40" s="42" t="inlineStr">
        <is>
          <t>vv</t>
        </is>
      </c>
      <c r="AP40" s="43" t="n"/>
      <c r="AQ40" s="42" t="n"/>
      <c r="AR40" s="888">
        <f>IFERROR(IF(VLOOKUP($B40,Medewerker!$C$8:$I$107,7,FALSE)="",VLOOKUP($B40,Medewerker!$C$8:$I$107,5,FALSE),0),0)</f>
        <v/>
      </c>
      <c r="AS40" s="888">
        <f>IFERROR(IF(B40="",1,IF(VLOOKUP($B40,Medewerker!$C$8:$I$107,7,FALSE)="",VLOOKUP($B40,Medewerker!$C$8:$I$107,6,FALSE),0)),0)</f>
        <v/>
      </c>
      <c r="AT40" s="45" t="n"/>
      <c r="AU40" s="46">
        <f>(COUNTIF(F40:AQ40,"afw"))/2</f>
        <v/>
      </c>
      <c r="AV40" s="111">
        <f>((38-(COUNTIF(F40:AQ40,"")))/2)-(COUNTIF(F40:AQ40,"p")/2)-(COUNTIF(F40:AQ40,CONCATENATE("x","*"))/4)</f>
        <v/>
      </c>
      <c r="AW40" s="73">
        <f>IF($B40="","",VLOOKUP($B40,Medewerker!$C$8:$E$107,3,FALSE))</f>
        <v/>
      </c>
      <c r="AX40" s="403">
        <f>IFERROR(VLOOKUP($B40,Planning!$B$6:$AG$105,32,FALSE)*24,"")</f>
        <v/>
      </c>
      <c r="AY40" s="559" t="inlineStr">
        <is>
          <t>ver</t>
        </is>
      </c>
      <c r="AZ40" s="414" t="inlineStr">
        <is>
          <t>Vernietigen/Reststoffen</t>
        </is>
      </c>
      <c r="BA40" s="111">
        <f>COUNTIF($F$13:$AQ$63,CONCATENATE(AY40,"*"))/2+COUNTIF($F$13:$AQ$63,CONCATENATE("x",AY40,"*"))/4</f>
        <v/>
      </c>
      <c r="BB40" s="838" t="n"/>
      <c r="BC40" s="31">
        <f>IF(Planning!B33="","",Planning!B33)</f>
        <v/>
      </c>
      <c r="BD40" s="105" t="n"/>
      <c r="BE40" s="885">
        <f>Planning!E33</f>
        <v/>
      </c>
      <c r="BF40" s="885">
        <f>Planning!F33</f>
        <v/>
      </c>
      <c r="BG40" s="886" t="n"/>
      <c r="BH40" s="105" t="n"/>
      <c r="BI40" s="885">
        <f>Planning!I33</f>
        <v/>
      </c>
      <c r="BJ40" s="885">
        <f>Planning!J33</f>
        <v/>
      </c>
      <c r="BK40" s="886" t="n"/>
      <c r="BL40" s="105" t="n"/>
      <c r="BM40" s="885">
        <f>Planning!M33</f>
        <v/>
      </c>
      <c r="BN40" s="885">
        <f>Planning!N33</f>
        <v/>
      </c>
      <c r="BO40" s="886" t="n"/>
      <c r="BP40" s="105" t="n"/>
      <c r="BQ40" s="885">
        <f>Planning!Q33</f>
        <v/>
      </c>
      <c r="BR40" s="885">
        <f>Planning!R33</f>
        <v/>
      </c>
      <c r="BS40" s="886" t="n"/>
      <c r="BT40" s="105" t="n"/>
      <c r="BU40" s="885">
        <f>Planning!U33</f>
        <v/>
      </c>
      <c r="BV40" s="885">
        <f>Planning!V33</f>
        <v/>
      </c>
      <c r="BW40" s="886" t="n"/>
      <c r="BX40" s="105" t="n"/>
      <c r="BY40" s="885">
        <f>Planning!Y33</f>
        <v/>
      </c>
      <c r="BZ40" s="885">
        <f>Planning!Z33</f>
        <v/>
      </c>
      <c r="CA40" s="886" t="n"/>
      <c r="CB40" s="105" t="n"/>
      <c r="CC40" s="885">
        <f>Planning!AC33</f>
        <v/>
      </c>
      <c r="CD40" s="885">
        <f>Planning!AD33</f>
        <v/>
      </c>
      <c r="CE40" s="886" t="n"/>
      <c r="CF40" s="105" t="n"/>
      <c r="CG40" s="887">
        <f>Planning!AG33</f>
        <v/>
      </c>
      <c r="CH40" s="105" t="n"/>
      <c r="CI40" s="252">
        <f>IF(BC40="","",Planning!AI33)</f>
        <v/>
      </c>
      <c r="CJ40" s="252">
        <f>IF(BC40="","",Planning!AJ33)</f>
        <v/>
      </c>
      <c r="CK40" s="252">
        <f>IF(BC40="","",Planning!AK33)</f>
        <v/>
      </c>
      <c r="CL40" s="252">
        <f>IF(BC40="","",Planning!AH33)</f>
        <v/>
      </c>
      <c r="CM40" s="21" t="n"/>
    </row>
    <row r="41" ht="12.75" customHeight="1">
      <c r="A41" s="161">
        <f>IFERROR(IF(VLOOKUP($B41,$BC$13:$CL$86,36,FALSE)&gt;5,0,IF(COUNTIF($B$13:$B$63,$B41)&gt;1,0,29)),29)+IF(B41&lt;&gt;0,0,IF(AV41&gt;0,0.000001,0))</f>
        <v/>
      </c>
      <c r="B41" s="129" t="n"/>
      <c r="C41" s="48">
        <f>IFERROR(IF($B41="","",VLOOKUP($B41,Medewerker!$C$8:$AI$107,33,FALSE)),"?")</f>
        <v/>
      </c>
      <c r="D41" s="879">
        <f t="array" ref="D41">IFERROR(IF(LEFT(INDEX($F41:$AQ41,1,SUM(SMALL(IF($F41:$AQ41&lt;&gt;"",COLUMN($F41:$AQ41)),1)-5)),1)="x",SUM(SMALL(IF($F41:$AQ41&lt;&gt;"",$F$11:$AQ$11),1)+"0:15"),SMALL(IF($F41:$AQ41&lt;&gt;"",$F$11:$AQ$11),1)),"")</f>
        <v/>
      </c>
      <c r="E41" s="879">
        <f t="array" ref="E41">IFERROR(IF(LEFT(INDEX($F41:$AQ41,1,SUM(LARGE(IF($F41:$AQ41&lt;&gt;"",COLUMN($F41:$AQ41)),1)-5)),1)="x",SUM(LARGE(IF($F41:$AQ41&lt;&gt;"",$F$11:$AQ$11+"0:30:00"),1)-"0:15"),LARGE(IF($F41:$AQ41&lt;&gt;"",$F$11:$AQ$11+"0:30:00"),1)),"")</f>
        <v/>
      </c>
      <c r="F41" s="43" t="n"/>
      <c r="G41" s="42" t="n"/>
      <c r="H41" s="43" t="n"/>
      <c r="I41" s="42" t="n"/>
      <c r="J41" s="43" t="n"/>
      <c r="K41" s="41" t="n"/>
      <c r="L41" s="40" t="n"/>
      <c r="M41" s="42" t="n"/>
      <c r="N41" s="43" t="n"/>
      <c r="O41" s="41" t="n"/>
      <c r="P41" s="40" t="n"/>
      <c r="Q41" s="42" t="n"/>
      <c r="R41" s="43" t="n"/>
      <c r="S41" s="41" t="n"/>
      <c r="T41" s="40" t="n"/>
      <c r="U41" s="42" t="n"/>
      <c r="V41" s="43" t="n"/>
      <c r="W41" s="41" t="n"/>
      <c r="X41" s="40" t="n"/>
      <c r="Y41" s="42" t="n"/>
      <c r="Z41" s="43" t="n"/>
      <c r="AA41" s="41" t="n"/>
      <c r="AB41" s="40" t="n"/>
      <c r="AC41" s="42" t="n"/>
      <c r="AD41" s="43" t="n"/>
      <c r="AE41" s="41" t="n"/>
      <c r="AF41" s="40" t="n"/>
      <c r="AG41" s="42" t="n"/>
      <c r="AH41" s="43" t="n"/>
      <c r="AI41" s="41" t="n"/>
      <c r="AJ41" s="40" t="n"/>
      <c r="AK41" s="42" t="n"/>
      <c r="AL41" s="43" t="n"/>
      <c r="AM41" s="41" t="n"/>
      <c r="AN41" s="645" t="n"/>
      <c r="AO41" s="42" t="n"/>
      <c r="AP41" s="43" t="n"/>
      <c r="AQ41" s="42" t="n"/>
      <c r="AR41" s="888">
        <f>IFERROR(IF(VLOOKUP($B41,Medewerker!$C$8:$I$107,7,FALSE)="",VLOOKUP($B41,Medewerker!$C$8:$I$107,5,FALSE),0),0)</f>
        <v/>
      </c>
      <c r="AS41" s="888">
        <f>IFERROR(IF(B41="",1,IF(VLOOKUP($B41,Medewerker!$C$8:$I$107,7,FALSE)="",VLOOKUP($B41,Medewerker!$C$8:$I$107,6,FALSE),0)),0)</f>
        <v/>
      </c>
      <c r="AT41" s="45" t="n"/>
      <c r="AU41" s="46">
        <f>(COUNTIF(F41:AQ41,"afw"))/2</f>
        <v/>
      </c>
      <c r="AV41" s="111">
        <f>((38-(COUNTIF(F41:AQ41,"")))/2)-(COUNTIF(F41:AQ41,"p")/2)-(COUNTIF(F41:AQ41,CONCATENATE("x","*"))/4)</f>
        <v/>
      </c>
      <c r="AW41" s="73">
        <f>IF($B41="","",VLOOKUP($B41,Medewerker!$C$8:$E$107,3,FALSE))</f>
        <v/>
      </c>
      <c r="AX41" s="403">
        <f>IFERROR(VLOOKUP($B41,Planning!$B$6:$AG$105,32,FALSE)*24,"")</f>
        <v/>
      </c>
      <c r="AY41" s="891" t="inlineStr">
        <is>
          <t>Promo/Presentatie</t>
        </is>
      </c>
      <c r="AZ41" s="883" t="n"/>
      <c r="BA41" s="884" t="n"/>
      <c r="BB41" s="838" t="n"/>
      <c r="BC41" s="31">
        <f>IF(Planning!B34="","",Planning!B34)</f>
        <v/>
      </c>
      <c r="BD41" s="105" t="n"/>
      <c r="BE41" s="885">
        <f>Planning!E34</f>
        <v/>
      </c>
      <c r="BF41" s="885">
        <f>Planning!F34</f>
        <v/>
      </c>
      <c r="BG41" s="886" t="n"/>
      <c r="BH41" s="105" t="n"/>
      <c r="BI41" s="885">
        <f>Planning!I34</f>
        <v/>
      </c>
      <c r="BJ41" s="885">
        <f>Planning!J34</f>
        <v/>
      </c>
      <c r="BK41" s="886" t="n"/>
      <c r="BL41" s="105" t="n"/>
      <c r="BM41" s="885">
        <f>Planning!M34</f>
        <v/>
      </c>
      <c r="BN41" s="885">
        <f>Planning!N34</f>
        <v/>
      </c>
      <c r="BO41" s="886" t="n"/>
      <c r="BP41" s="105" t="n"/>
      <c r="BQ41" s="885">
        <f>Planning!Q34</f>
        <v/>
      </c>
      <c r="BR41" s="885">
        <f>Planning!R34</f>
        <v/>
      </c>
      <c r="BS41" s="886" t="n"/>
      <c r="BT41" s="105" t="n"/>
      <c r="BU41" s="885">
        <f>Planning!U34</f>
        <v/>
      </c>
      <c r="BV41" s="885">
        <f>Planning!V34</f>
        <v/>
      </c>
      <c r="BW41" s="886" t="n"/>
      <c r="BX41" s="105" t="n"/>
      <c r="BY41" s="885">
        <f>Planning!Y34</f>
        <v/>
      </c>
      <c r="BZ41" s="885">
        <f>Planning!Z34</f>
        <v/>
      </c>
      <c r="CA41" s="886" t="n"/>
      <c r="CB41" s="105" t="n"/>
      <c r="CC41" s="885">
        <f>Planning!AC34</f>
        <v/>
      </c>
      <c r="CD41" s="885">
        <f>Planning!AD34</f>
        <v/>
      </c>
      <c r="CE41" s="886" t="n"/>
      <c r="CF41" s="105" t="n"/>
      <c r="CG41" s="887">
        <f>Planning!AG34</f>
        <v/>
      </c>
      <c r="CH41" s="105" t="n"/>
      <c r="CI41" s="252">
        <f>IF(BC41="","",Planning!AI34)</f>
        <v/>
      </c>
      <c r="CJ41" s="252">
        <f>IF(BC41="","",Planning!AJ34)</f>
        <v/>
      </c>
      <c r="CK41" s="252">
        <f>IF(BC41="","",Planning!AK34)</f>
        <v/>
      </c>
      <c r="CL41" s="252">
        <f>IF(BC41="","",Planning!AH34)</f>
        <v/>
      </c>
      <c r="CM41" s="21" t="n"/>
    </row>
    <row r="42" ht="12.75" customHeight="1">
      <c r="A42" s="161">
        <f>IFERROR(IF(VLOOKUP($B42,$BC$13:$CL$86,36,FALSE)&gt;5,0,IF(COUNTIF($B$13:$B$63,$B42)&gt;1,0,30)),30)+IF(B42&lt;&gt;0,0,IF(AV42&gt;0,0.000001,0))</f>
        <v/>
      </c>
      <c r="B42" s="129" t="inlineStr">
        <is>
          <t>Sam Viravouth</t>
        </is>
      </c>
      <c r="C42" s="48">
        <f>IFERROR(IF($B42="","",VLOOKUP($B42,Medewerker!$C$8:$AI$107,33,FALSE)),"?")</f>
        <v/>
      </c>
      <c r="D42" s="879">
        <f t="array" ref="D42">IFERROR(IF(LEFT(INDEX($F42:$AQ42,1,SUM(SMALL(IF($F42:$AQ42&lt;&gt;"",COLUMN($F42:$AQ42)),1)-5)),1)="x",SUM(SMALL(IF($F42:$AQ42&lt;&gt;"",$F$11:$AQ$11),1)+"0:15"),SMALL(IF($F42:$AQ42&lt;&gt;"",$F$11:$AQ$11),1)),"")</f>
        <v/>
      </c>
      <c r="E42" s="879">
        <f t="array" ref="E42">IFERROR(IF(LEFT(INDEX($F42:$AQ42,1,SUM(LARGE(IF($F42:$AQ42&lt;&gt;"",COLUMN($F42:$AQ42)),1)-5)),1)="x",SUM(LARGE(IF($F42:$AQ42&lt;&gt;"",$F$11:$AQ$11+"0:30:00"),1)-"0:15"),LARGE(IF($F42:$AQ42&lt;&gt;"",$F$11:$AQ$11+"0:30:00"),1)),"")</f>
        <v/>
      </c>
      <c r="F42" s="43" t="n"/>
      <c r="G42" s="42" t="n"/>
      <c r="H42" s="43" t="n"/>
      <c r="I42" s="42" t="n"/>
      <c r="J42" s="43" t="n"/>
      <c r="K42" s="41" t="n"/>
      <c r="L42" s="40" t="n"/>
      <c r="M42" s="42" t="n"/>
      <c r="N42" s="43" t="n"/>
      <c r="O42" s="41" t="n"/>
      <c r="P42" s="41" t="n"/>
      <c r="Q42" s="41" t="n"/>
      <c r="R42" s="41" t="n"/>
      <c r="S42" s="41" t="n"/>
      <c r="T42" s="41" t="n"/>
      <c r="U42" s="41" t="n"/>
      <c r="V42" s="41" t="inlineStr">
        <is>
          <t>ov</t>
        </is>
      </c>
      <c r="W42" s="41" t="inlineStr">
        <is>
          <t>ov</t>
        </is>
      </c>
      <c r="X42" s="41" t="inlineStr">
        <is>
          <t>ov</t>
        </is>
      </c>
      <c r="Y42" s="41" t="inlineStr">
        <is>
          <t>ov</t>
        </is>
      </c>
      <c r="Z42" s="41" t="inlineStr">
        <is>
          <t>ov</t>
        </is>
      </c>
      <c r="AA42" s="41" t="inlineStr">
        <is>
          <t>ov</t>
        </is>
      </c>
      <c r="AB42" s="41" t="inlineStr">
        <is>
          <t>ov</t>
        </is>
      </c>
      <c r="AC42" s="41" t="inlineStr">
        <is>
          <t>ov</t>
        </is>
      </c>
      <c r="AD42" s="41" t="inlineStr">
        <is>
          <t>p</t>
        </is>
      </c>
      <c r="AE42" s="41" t="inlineStr">
        <is>
          <t>ov</t>
        </is>
      </c>
      <c r="AF42" s="41" t="inlineStr">
        <is>
          <t>ov</t>
        </is>
      </c>
      <c r="AG42" s="41" t="inlineStr">
        <is>
          <t>ov</t>
        </is>
      </c>
      <c r="AH42" s="41" t="inlineStr">
        <is>
          <t>ov</t>
        </is>
      </c>
      <c r="AI42" s="41" t="inlineStr">
        <is>
          <t>vv</t>
        </is>
      </c>
      <c r="AJ42" s="41" t="inlineStr">
        <is>
          <t>vv</t>
        </is>
      </c>
      <c r="AK42" s="41" t="inlineStr">
        <is>
          <t>vv</t>
        </is>
      </c>
      <c r="AL42" s="41" t="inlineStr">
        <is>
          <t>vv</t>
        </is>
      </c>
      <c r="AM42" s="41" t="inlineStr">
        <is>
          <t>vv</t>
        </is>
      </c>
      <c r="AN42" s="41" t="inlineStr">
        <is>
          <t>vv</t>
        </is>
      </c>
      <c r="AO42" s="41" t="inlineStr">
        <is>
          <t>vv</t>
        </is>
      </c>
      <c r="AP42" s="43" t="n"/>
      <c r="AQ42" s="42" t="n"/>
      <c r="AR42" s="888">
        <f>IFERROR(IF(VLOOKUP($B42,Medewerker!$C$8:$I$107,7,FALSE)="",VLOOKUP($B42,Medewerker!$C$8:$I$107,5,FALSE),0),0)</f>
        <v/>
      </c>
      <c r="AS42" s="888">
        <f>IFERROR(IF(B42="",1,IF(VLOOKUP($B42,Medewerker!$C$8:$I$107,7,FALSE)="",VLOOKUP($B42,Medewerker!$C$8:$I$107,6,FALSE),0)),0)</f>
        <v/>
      </c>
      <c r="AT42" s="45" t="n"/>
      <c r="AU42" s="46">
        <f>(COUNTIF(F42:AQ42,"afw"))/2</f>
        <v/>
      </c>
      <c r="AV42" s="111">
        <f>((38-(COUNTIF(F42:AQ42,"")))/2)-(COUNTIF(F42:AQ42,"p")/2)-(COUNTIF(F42:AQ42,CONCATENATE("x","*"))/4)</f>
        <v/>
      </c>
      <c r="AW42" s="73">
        <f>IF($B42="","",VLOOKUP($B42,Medewerker!$C$8:$E$107,3,FALSE))</f>
        <v/>
      </c>
      <c r="AX42" s="403">
        <f>IFERROR(VLOOKUP($B42,Planning!$B$6:$AG$105,32,FALSE)*24,"")</f>
        <v/>
      </c>
      <c r="AY42" s="559" t="inlineStr">
        <is>
          <t>act</t>
        </is>
      </c>
      <c r="AZ42" s="71" t="inlineStr">
        <is>
          <t>Actieopbouw</t>
        </is>
      </c>
      <c r="BA42" s="111">
        <f>COUNTIF($F$13:$AQ$63,CONCATENATE(AY42,"*"))/2+COUNTIF($F$13:$AQ$63,CONCATENATE("x",AY42,"*"))/4</f>
        <v/>
      </c>
      <c r="BB42" s="838" t="n"/>
      <c r="BC42" s="31">
        <f>IF(Planning!B35="","",Planning!B35)</f>
        <v/>
      </c>
      <c r="BD42" s="105" t="n"/>
      <c r="BE42" s="885">
        <f>Planning!E35</f>
        <v/>
      </c>
      <c r="BF42" s="885">
        <f>Planning!F35</f>
        <v/>
      </c>
      <c r="BG42" s="886" t="n"/>
      <c r="BH42" s="105" t="n"/>
      <c r="BI42" s="885">
        <f>Planning!I35</f>
        <v/>
      </c>
      <c r="BJ42" s="885">
        <f>Planning!J35</f>
        <v/>
      </c>
      <c r="BK42" s="886" t="n"/>
      <c r="BL42" s="105" t="n"/>
      <c r="BM42" s="885">
        <f>Planning!M35</f>
        <v/>
      </c>
      <c r="BN42" s="885">
        <f>Planning!N35</f>
        <v/>
      </c>
      <c r="BO42" s="886" t="n"/>
      <c r="BP42" s="105" t="n"/>
      <c r="BQ42" s="885">
        <f>Planning!Q35</f>
        <v/>
      </c>
      <c r="BR42" s="885">
        <f>Planning!R35</f>
        <v/>
      </c>
      <c r="BS42" s="886" t="n"/>
      <c r="BT42" s="105" t="n"/>
      <c r="BU42" s="885">
        <f>Planning!U35</f>
        <v/>
      </c>
      <c r="BV42" s="885">
        <f>Planning!V35</f>
        <v/>
      </c>
      <c r="BW42" s="886" t="n"/>
      <c r="BX42" s="105" t="n"/>
      <c r="BY42" s="885">
        <f>Planning!Y35</f>
        <v/>
      </c>
      <c r="BZ42" s="885">
        <f>Planning!Z35</f>
        <v/>
      </c>
      <c r="CA42" s="886" t="n"/>
      <c r="CB42" s="105" t="n"/>
      <c r="CC42" s="885">
        <f>Planning!AC35</f>
        <v/>
      </c>
      <c r="CD42" s="885">
        <f>Planning!AD35</f>
        <v/>
      </c>
      <c r="CE42" s="886" t="n"/>
      <c r="CF42" s="105" t="n"/>
      <c r="CG42" s="887">
        <f>Planning!AG35</f>
        <v/>
      </c>
      <c r="CH42" s="105" t="n"/>
      <c r="CI42" s="252">
        <f>IF(BC42="","",Planning!AI35)</f>
        <v/>
      </c>
      <c r="CJ42" s="252">
        <f>IF(BC42="","",Planning!AJ35)</f>
        <v/>
      </c>
      <c r="CK42" s="252">
        <f>IF(BC42="","",Planning!AK35)</f>
        <v/>
      </c>
      <c r="CL42" s="252">
        <f>IF(BC42="","",Planning!AH35)</f>
        <v/>
      </c>
      <c r="CM42" s="21" t="n"/>
    </row>
    <row r="43" ht="12.75" customHeight="1">
      <c r="A43" s="161">
        <f>IFERROR(IF(VLOOKUP($B43,$BC$13:$CL$86,36,FALSE)&gt;5,0,IF(COUNTIF($B$13:$B$63,$B43)&gt;1,0,31)),31)+IF(B43&lt;&gt;0,0,IF(AV43&gt;0,0.000001,0))</f>
        <v/>
      </c>
      <c r="B43" s="129" t="n"/>
      <c r="C43" s="48">
        <f>IFERROR(IF($B43="","",VLOOKUP($B43,Medewerker!$C$8:$AI$107,33,FALSE)),"?")</f>
        <v/>
      </c>
      <c r="D43" s="879">
        <f t="array" ref="D43">IFERROR(IF(LEFT(INDEX($F43:$AQ43,1,SUM(SMALL(IF($F43:$AQ43&lt;&gt;"",COLUMN($F43:$AQ43)),1)-5)),1)="x",SUM(SMALL(IF($F43:$AQ43&lt;&gt;"",$F$11:$AQ$11),1)+"0:15"),SMALL(IF($F43:$AQ43&lt;&gt;"",$F$11:$AQ$11),1)),"")</f>
        <v/>
      </c>
      <c r="E43" s="879">
        <f t="array" ref="E43">IFERROR(IF(LEFT(INDEX($F43:$AQ43,1,SUM(LARGE(IF($F43:$AQ43&lt;&gt;"",COLUMN($F43:$AQ43)),1)-5)),1)="x",SUM(LARGE(IF($F43:$AQ43&lt;&gt;"",$F$11:$AQ$11+"0:30:00"),1)-"0:15"),LARGE(IF($F43:$AQ43&lt;&gt;"",$F$11:$AQ$11+"0:30:00"),1)),"")</f>
        <v/>
      </c>
      <c r="F43" s="43" t="n"/>
      <c r="G43" s="42" t="n"/>
      <c r="H43" s="43" t="n"/>
      <c r="I43" s="42" t="n"/>
      <c r="J43" s="43" t="n"/>
      <c r="K43" s="41" t="n"/>
      <c r="L43" s="40" t="n"/>
      <c r="M43" s="42" t="n"/>
      <c r="N43" s="43" t="n"/>
      <c r="O43" s="41" t="n"/>
      <c r="P43" s="40" t="n"/>
      <c r="Q43" s="42" t="n"/>
      <c r="R43" s="43" t="n"/>
      <c r="S43" s="41" t="n"/>
      <c r="T43" s="40" t="n"/>
      <c r="U43" s="42" t="n"/>
      <c r="V43" s="43" t="n"/>
      <c r="W43" s="41" t="n"/>
      <c r="X43" s="40" t="n"/>
      <c r="Y43" s="42" t="n"/>
      <c r="Z43" s="43" t="n"/>
      <c r="AA43" s="41" t="n"/>
      <c r="AB43" s="40" t="n"/>
      <c r="AC43" s="42" t="n"/>
      <c r="AD43" s="43" t="n"/>
      <c r="AE43" s="41" t="n"/>
      <c r="AF43" s="40" t="n"/>
      <c r="AG43" s="42" t="n"/>
      <c r="AH43" s="43" t="n"/>
      <c r="AI43" s="43" t="n"/>
      <c r="AJ43" s="43" t="n"/>
      <c r="AK43" s="43" t="n"/>
      <c r="AL43" s="43" t="n"/>
      <c r="AM43" s="43" t="n"/>
      <c r="AN43" s="43" t="n"/>
      <c r="AO43" s="43" t="n"/>
      <c r="AP43" s="43" t="n"/>
      <c r="AQ43" s="42" t="n"/>
      <c r="AR43" s="888">
        <f>IFERROR(IF(VLOOKUP($B43,Medewerker!$C$8:$I$107,7,FALSE)="",VLOOKUP($B43,Medewerker!$C$8:$I$107,5,FALSE),0),0)</f>
        <v/>
      </c>
      <c r="AS43" s="888">
        <f>IFERROR(IF(B43="",1,IF(VLOOKUP($B43,Medewerker!$C$8:$I$107,7,FALSE)="",VLOOKUP($B43,Medewerker!$C$8:$I$107,6,FALSE),0)),0)</f>
        <v/>
      </c>
      <c r="AT43" s="45" t="n"/>
      <c r="AU43" s="46">
        <f>(COUNTIF(F43:AQ43,"afw"))/2</f>
        <v/>
      </c>
      <c r="AV43" s="111">
        <f>((38-(COUNTIF(F43:AQ43,"")))/2)-(COUNTIF(F43:AQ43,"p")/2)-(COUNTIF(F43:AQ43,CONCATENATE("x","*"))/4)</f>
        <v/>
      </c>
      <c r="AW43" s="73">
        <f>IF($B43="","",VLOOKUP($B43,Medewerker!$C$8:$E$107,3,FALSE))</f>
        <v/>
      </c>
      <c r="AX43" s="403">
        <f>IFERROR(VLOOKUP($B43,Planning!$B$6:$AG$105,32,FALSE)*24,"")</f>
        <v/>
      </c>
      <c r="AY43" s="559" t="inlineStr">
        <is>
          <t>com</t>
        </is>
      </c>
      <c r="AZ43" s="71" t="inlineStr">
        <is>
          <t>Comco sorteren</t>
        </is>
      </c>
      <c r="BA43" s="111">
        <f>COUNTIF($F$13:$AQ$63,CONCATENATE(AY43,"*"))/2+COUNTIF($F$13:$AQ$63,CONCATENATE("x",AY43,"*"))/4</f>
        <v/>
      </c>
      <c r="BB43" s="838" t="n"/>
      <c r="BC43" s="31">
        <f>IF(Planning!B36="","",Planning!B36)</f>
        <v/>
      </c>
      <c r="BD43" s="105" t="n"/>
      <c r="BE43" s="885">
        <f>Planning!E36</f>
        <v/>
      </c>
      <c r="BF43" s="885">
        <f>Planning!F36</f>
        <v/>
      </c>
      <c r="BG43" s="886" t="n"/>
      <c r="BH43" s="105" t="n"/>
      <c r="BI43" s="885">
        <f>Planning!I36</f>
        <v/>
      </c>
      <c r="BJ43" s="885">
        <f>Planning!J36</f>
        <v/>
      </c>
      <c r="BK43" s="886" t="n"/>
      <c r="BL43" s="105" t="n"/>
      <c r="BM43" s="885">
        <f>Planning!M36</f>
        <v/>
      </c>
      <c r="BN43" s="885">
        <f>Planning!N36</f>
        <v/>
      </c>
      <c r="BO43" s="886" t="n"/>
      <c r="BP43" s="105" t="n"/>
      <c r="BQ43" s="885">
        <f>Planning!Q36</f>
        <v/>
      </c>
      <c r="BR43" s="885">
        <f>Planning!R36</f>
        <v/>
      </c>
      <c r="BS43" s="886" t="n"/>
      <c r="BT43" s="105" t="n"/>
      <c r="BU43" s="885">
        <f>Planning!U36</f>
        <v/>
      </c>
      <c r="BV43" s="885">
        <f>Planning!V36</f>
        <v/>
      </c>
      <c r="BW43" s="886" t="n"/>
      <c r="BX43" s="105" t="n"/>
      <c r="BY43" s="885">
        <f>Planning!Y36</f>
        <v/>
      </c>
      <c r="BZ43" s="885">
        <f>Planning!Z36</f>
        <v/>
      </c>
      <c r="CA43" s="886" t="n"/>
      <c r="CB43" s="105" t="n"/>
      <c r="CC43" s="885">
        <f>Planning!AC36</f>
        <v/>
      </c>
      <c r="CD43" s="885">
        <f>Planning!AD36</f>
        <v/>
      </c>
      <c r="CE43" s="886" t="n"/>
      <c r="CF43" s="105" t="n"/>
      <c r="CG43" s="887">
        <f>Planning!AG36</f>
        <v/>
      </c>
      <c r="CH43" s="105" t="n"/>
      <c r="CI43" s="252">
        <f>IF(BC43="","",Planning!AI36)</f>
        <v/>
      </c>
      <c r="CJ43" s="252">
        <f>IF(BC43="","",Planning!AJ36)</f>
        <v/>
      </c>
      <c r="CK43" s="252">
        <f>IF(BC43="","",Planning!AK36)</f>
        <v/>
      </c>
      <c r="CL43" s="252">
        <f>IF(BC43="","",Planning!AH36)</f>
        <v/>
      </c>
      <c r="CM43" s="21" t="n"/>
    </row>
    <row r="44" ht="12.75" customHeight="1">
      <c r="A44" s="161">
        <f>IFERROR(IF(VLOOKUP($B44,$BC$13:$CL$86,36,FALSE)&gt;5,0,IF(COUNTIF($B$13:$B$63,$B44)&gt;1,0,32)),32)+IF(B44&lt;&gt;0,0,IF(AV44&gt;0,0.000001,0))</f>
        <v/>
      </c>
      <c r="B44" s="129" t="n"/>
      <c r="C44" s="48">
        <f>IFERROR(IF($B44="","",VLOOKUP($B44,Medewerker!$C$8:$AI$107,33,FALSE)),"?")</f>
        <v/>
      </c>
      <c r="D44" s="879">
        <f t="array" ref="D44">IFERROR(IF(LEFT(INDEX($F44:$AQ44,1,SUM(SMALL(IF($F44:$AQ44&lt;&gt;"",COLUMN($F44:$AQ44)),1)-5)),1)="x",SUM(SMALL(IF($F44:$AQ44&lt;&gt;"",$F$11:$AQ$11),1)+"0:15"),SMALL(IF($F44:$AQ44&lt;&gt;"",$F$11:$AQ$11),1)),"")</f>
        <v/>
      </c>
      <c r="E44" s="879">
        <f t="array" ref="E44">IFERROR(IF(LEFT(INDEX($F44:$AQ44,1,SUM(LARGE(IF($F44:$AQ44&lt;&gt;"",COLUMN($F44:$AQ44)),1)-5)),1)="x",SUM(LARGE(IF($F44:$AQ44&lt;&gt;"",$F$11:$AQ$11+"0:30:00"),1)-"0:15"),LARGE(IF($F44:$AQ44&lt;&gt;"",$F$11:$AQ$11+"0:30:00"),1)),"")</f>
        <v/>
      </c>
      <c r="F44" s="43" t="n"/>
      <c r="G44" s="42" t="n"/>
      <c r="H44" s="43" t="n"/>
      <c r="I44" s="42" t="n"/>
      <c r="J44" s="43" t="n"/>
      <c r="K44" s="41" t="n"/>
      <c r="L44" s="40" t="n"/>
      <c r="M44" s="42" t="n"/>
      <c r="N44" s="43" t="n"/>
      <c r="O44" s="41" t="n"/>
      <c r="P44" s="40" t="n"/>
      <c r="Q44" s="42" t="n"/>
      <c r="R44" s="43" t="n"/>
      <c r="S44" s="41" t="n"/>
      <c r="T44" s="40" t="n"/>
      <c r="U44" s="42" t="n"/>
      <c r="V44" s="43" t="n"/>
      <c r="W44" s="41" t="n"/>
      <c r="X44" s="40" t="n"/>
      <c r="Y44" s="42" t="n"/>
      <c r="Z44" s="43" t="n"/>
      <c r="AA44" s="41" t="n"/>
      <c r="AB44" s="40" t="n"/>
      <c r="AC44" s="42" t="n"/>
      <c r="AD44" s="43" t="n"/>
      <c r="AE44" s="41" t="n"/>
      <c r="AF44" s="40" t="n"/>
      <c r="AG44" s="42" t="n"/>
      <c r="AH44" s="43" t="n"/>
      <c r="AI44" s="43" t="n"/>
      <c r="AJ44" s="43" t="n"/>
      <c r="AK44" s="43" t="n"/>
      <c r="AL44" s="43" t="n"/>
      <c r="AM44" s="43" t="n"/>
      <c r="AN44" s="43" t="n"/>
      <c r="AO44" s="43" t="n"/>
      <c r="AP44" s="43" t="n"/>
      <c r="AQ44" s="42" t="n"/>
      <c r="AR44" s="888">
        <f>IFERROR(IF(VLOOKUP($B44,Medewerker!$C$8:$I$107,7,FALSE)="",VLOOKUP($B44,Medewerker!$C$8:$I$107,5,FALSE),0),0)</f>
        <v/>
      </c>
      <c r="AS44" s="888">
        <f>IFERROR(IF(B44="",1,IF(VLOOKUP($B44,Medewerker!$C$8:$I$107,7,FALSE)="",VLOOKUP($B44,Medewerker!$C$8:$I$107,6,FALSE),0)),0)</f>
        <v/>
      </c>
      <c r="AT44" s="45" t="n"/>
      <c r="AU44" s="46">
        <f>(COUNTIF(F44:AQ44,"afw"))/2</f>
        <v/>
      </c>
      <c r="AV44" s="111">
        <f>((38-(COUNTIF(F44:AQ44,"")))/2)-(COUNTIF(F44:AQ44,"p")/2)-(COUNTIF(F44:AQ44,CONCATENATE("x","*"))/4)</f>
        <v/>
      </c>
      <c r="AW44" s="73">
        <f>IF($B44="","",VLOOKUP($B44,Medewerker!$C$8:$E$107,3,FALSE))</f>
        <v/>
      </c>
      <c r="AX44" s="403">
        <f>IFERROR(VLOOKUP($B44,Planning!$B$6:$AG$105,32,FALSE)*24,"")</f>
        <v/>
      </c>
      <c r="AY44" s="558" t="inlineStr">
        <is>
          <t>pro</t>
        </is>
      </c>
      <c r="AZ44" s="71" t="inlineStr">
        <is>
          <t>Promotie</t>
        </is>
      </c>
      <c r="BA44" s="111">
        <f>COUNTIF($F$13:$AQ$63,CONCATENATE(AY44,"*"))/2+COUNTIF($F$13:$AQ$63,CONCATENATE("x",AY44,"*"))/4</f>
        <v/>
      </c>
      <c r="BB44" s="838" t="n"/>
      <c r="BC44" s="31">
        <f>IF(Planning!B37="","",Planning!B37)</f>
        <v/>
      </c>
      <c r="BD44" s="105" t="n"/>
      <c r="BE44" s="885">
        <f>Planning!E37</f>
        <v/>
      </c>
      <c r="BF44" s="885">
        <f>Planning!F37</f>
        <v/>
      </c>
      <c r="BG44" s="886" t="n"/>
      <c r="BH44" s="105" t="n"/>
      <c r="BI44" s="885">
        <f>Planning!I37</f>
        <v/>
      </c>
      <c r="BJ44" s="885">
        <f>Planning!J37</f>
        <v/>
      </c>
      <c r="BK44" s="886" t="n"/>
      <c r="BL44" s="105" t="n"/>
      <c r="BM44" s="885">
        <f>Planning!M37</f>
        <v/>
      </c>
      <c r="BN44" s="885">
        <f>Planning!N37</f>
        <v/>
      </c>
      <c r="BO44" s="886" t="n"/>
      <c r="BP44" s="105" t="n"/>
      <c r="BQ44" s="885">
        <f>Planning!Q37</f>
        <v/>
      </c>
      <c r="BR44" s="885">
        <f>Planning!R37</f>
        <v/>
      </c>
      <c r="BS44" s="886" t="n"/>
      <c r="BT44" s="105" t="n"/>
      <c r="BU44" s="885">
        <f>Planning!U37</f>
        <v/>
      </c>
      <c r="BV44" s="885">
        <f>Planning!V37</f>
        <v/>
      </c>
      <c r="BW44" s="886" t="n"/>
      <c r="BX44" s="105" t="n"/>
      <c r="BY44" s="885">
        <f>Planning!Y37</f>
        <v/>
      </c>
      <c r="BZ44" s="885">
        <f>Planning!Z37</f>
        <v/>
      </c>
      <c r="CA44" s="886" t="n"/>
      <c r="CB44" s="105" t="n"/>
      <c r="CC44" s="885">
        <f>Planning!AC37</f>
        <v/>
      </c>
      <c r="CD44" s="885">
        <f>Planning!AD37</f>
        <v/>
      </c>
      <c r="CE44" s="886" t="n"/>
      <c r="CF44" s="105" t="n"/>
      <c r="CG44" s="887">
        <f>Planning!AG37</f>
        <v/>
      </c>
      <c r="CH44" s="105" t="n"/>
      <c r="CI44" s="252">
        <f>IF(BC44="","",Planning!AI37)</f>
        <v/>
      </c>
      <c r="CJ44" s="252">
        <f>IF(BC44="","",Planning!AJ37)</f>
        <v/>
      </c>
      <c r="CK44" s="252">
        <f>IF(BC44="","",Planning!AK37)</f>
        <v/>
      </c>
      <c r="CL44" s="252">
        <f>IF(BC44="","",Planning!AH37)</f>
        <v/>
      </c>
      <c r="CM44" s="21" t="n"/>
    </row>
    <row r="45" ht="12.75" customHeight="1">
      <c r="A45" s="161">
        <f>IFERROR(IF(VLOOKUP($B45,$BC$13:$CL$86,36,FALSE)&gt;5,0,IF(COUNTIF($B$13:$B$63,$B45)&gt;1,0,33)),33)+IF(B45&lt;&gt;0,0,IF(AV45&gt;0,0.000001,0))</f>
        <v/>
      </c>
      <c r="B45" s="129" t="n"/>
      <c r="C45" s="48">
        <f>IFERROR(IF($B45="","",VLOOKUP($B45,Medewerker!$C$8:$AI$107,33,FALSE)),"?")</f>
        <v/>
      </c>
      <c r="D45" s="879">
        <f t="array" ref="D45">IFERROR(IF(LEFT(INDEX($F45:$AQ45,1,SUM(SMALL(IF($F45:$AQ45&lt;&gt;"",COLUMN($F45:$AQ45)),1)-5)),1)="x",SUM(SMALL(IF($F45:$AQ45&lt;&gt;"",$F$11:$AQ$11),1)+"0:15"),SMALL(IF($F45:$AQ45&lt;&gt;"",$F$11:$AQ$11),1)),"")</f>
        <v/>
      </c>
      <c r="E45" s="879">
        <f t="array" ref="E45">IFERROR(IF(LEFT(INDEX($F45:$AQ45,1,SUM(LARGE(IF($F45:$AQ45&lt;&gt;"",COLUMN($F45:$AQ45)),1)-5)),1)="x",SUM(LARGE(IF($F45:$AQ45&lt;&gt;"",$F$11:$AQ$11+"0:30:00"),1)-"0:15"),LARGE(IF($F45:$AQ45&lt;&gt;"",$F$11:$AQ$11+"0:30:00"),1)),"")</f>
        <v/>
      </c>
      <c r="F45" s="43" t="n"/>
      <c r="G45" s="42" t="n"/>
      <c r="H45" s="43" t="n"/>
      <c r="I45" s="42" t="n"/>
      <c r="J45" s="43" t="n"/>
      <c r="K45" s="41" t="n"/>
      <c r="L45" s="40" t="n"/>
      <c r="M45" s="42" t="n"/>
      <c r="N45" s="43" t="n"/>
      <c r="O45" s="41" t="n"/>
      <c r="P45" s="40" t="n"/>
      <c r="Q45" s="42" t="n"/>
      <c r="R45" s="43" t="n"/>
      <c r="S45" s="41" t="n"/>
      <c r="T45" s="40" t="n"/>
      <c r="U45" s="42" t="n"/>
      <c r="V45" s="43" t="n"/>
      <c r="W45" s="41" t="n"/>
      <c r="X45" s="40" t="n"/>
      <c r="Y45" s="42" t="n"/>
      <c r="Z45" s="43" t="n"/>
      <c r="AA45" s="41" t="n"/>
      <c r="AB45" s="40" t="n"/>
      <c r="AC45" s="42" t="n"/>
      <c r="AD45" s="43" t="n"/>
      <c r="AE45" s="41" t="n"/>
      <c r="AF45" s="40" t="n"/>
      <c r="AG45" s="42" t="n"/>
      <c r="AH45" s="43" t="n"/>
      <c r="AI45" s="43" t="n"/>
      <c r="AJ45" s="43" t="n"/>
      <c r="AK45" s="43" t="n"/>
      <c r="AL45" s="43" t="n"/>
      <c r="AM45" s="43" t="n"/>
      <c r="AN45" s="43" t="n"/>
      <c r="AO45" s="43" t="n"/>
      <c r="AP45" s="43" t="n"/>
      <c r="AQ45" s="42" t="n"/>
      <c r="AR45" s="888">
        <f>IFERROR(IF(VLOOKUP($B45,Medewerker!$C$8:$I$107,7,FALSE)="",VLOOKUP($B45,Medewerker!$C$8:$I$107,5,FALSE),0),0)</f>
        <v/>
      </c>
      <c r="AS45" s="888">
        <f>IFERROR(IF(B45="",1,IF(VLOOKUP($B45,Medewerker!$C$8:$I$107,7,FALSE)="",VLOOKUP($B45,Medewerker!$C$8:$I$107,6,FALSE),0)),0)</f>
        <v/>
      </c>
      <c r="AT45" s="45" t="n"/>
      <c r="AU45" s="46">
        <f>(COUNTIF(F45:AQ45,"afw"))/2</f>
        <v/>
      </c>
      <c r="AV45" s="111">
        <f>((38-(COUNTIF(F45:AQ45,"")))/2)-(COUNTIF(F45:AQ45,"p")/2)-(COUNTIF(F45:AQ45,CONCATENATE("x","*"))/4)</f>
        <v/>
      </c>
      <c r="AW45" s="73">
        <f>IF($B45="","",VLOOKUP($B45,Medewerker!$C$8:$E$107,3,FALSE))</f>
        <v/>
      </c>
      <c r="AX45" s="403">
        <f>IFERROR(VLOOKUP($B45,Planning!$B$6:$AG$105,32,FALSE)*24,"")</f>
        <v/>
      </c>
      <c r="AY45" s="558" t="inlineStr">
        <is>
          <t>pw</t>
        </is>
      </c>
      <c r="AZ45" s="71" t="inlineStr">
        <is>
          <t>Prijswijzigingen</t>
        </is>
      </c>
      <c r="BA45" s="111">
        <f>COUNTIF($F$13:$AQ$63,CONCATENATE(AY45,"*"))/2+COUNTIF($F$13:$AQ$63,CONCATENATE("x",AY45,"*"))/4</f>
        <v/>
      </c>
      <c r="BB45" s="838" t="n"/>
      <c r="BC45" s="31">
        <f>IF(Planning!B38="","",Planning!B38)</f>
        <v/>
      </c>
      <c r="BD45" s="105" t="n"/>
      <c r="BE45" s="885">
        <f>Planning!E38</f>
        <v/>
      </c>
      <c r="BF45" s="885">
        <f>Planning!F38</f>
        <v/>
      </c>
      <c r="BG45" s="886" t="n"/>
      <c r="BH45" s="105" t="n"/>
      <c r="BI45" s="885">
        <f>Planning!I38</f>
        <v/>
      </c>
      <c r="BJ45" s="885">
        <f>Planning!J38</f>
        <v/>
      </c>
      <c r="BK45" s="886" t="n"/>
      <c r="BL45" s="105" t="n"/>
      <c r="BM45" s="885">
        <f>Planning!M38</f>
        <v/>
      </c>
      <c r="BN45" s="885">
        <f>Planning!N38</f>
        <v/>
      </c>
      <c r="BO45" s="886" t="n"/>
      <c r="BP45" s="105" t="n"/>
      <c r="BQ45" s="885">
        <f>Planning!Q38</f>
        <v/>
      </c>
      <c r="BR45" s="885">
        <f>Planning!R38</f>
        <v/>
      </c>
      <c r="BS45" s="886" t="n"/>
      <c r="BT45" s="105" t="n"/>
      <c r="BU45" s="885">
        <f>Planning!U38</f>
        <v/>
      </c>
      <c r="BV45" s="885">
        <f>Planning!V38</f>
        <v/>
      </c>
      <c r="BW45" s="886" t="n"/>
      <c r="BX45" s="105" t="n"/>
      <c r="BY45" s="885">
        <f>Planning!Y38</f>
        <v/>
      </c>
      <c r="BZ45" s="885">
        <f>Planning!Z38</f>
        <v/>
      </c>
      <c r="CA45" s="886" t="n"/>
      <c r="CB45" s="105" t="n"/>
      <c r="CC45" s="885">
        <f>Planning!AC38</f>
        <v/>
      </c>
      <c r="CD45" s="885">
        <f>Planning!AD38</f>
        <v/>
      </c>
      <c r="CE45" s="886" t="n"/>
      <c r="CF45" s="105" t="n"/>
      <c r="CG45" s="887">
        <f>Planning!AG38</f>
        <v/>
      </c>
      <c r="CH45" s="105" t="n"/>
      <c r="CI45" s="252">
        <f>IF(BC45="","",Planning!AI38)</f>
        <v/>
      </c>
      <c r="CJ45" s="252">
        <f>IF(BC45="","",Planning!AJ38)</f>
        <v/>
      </c>
      <c r="CK45" s="252">
        <f>IF(BC45="","",Planning!AK38)</f>
        <v/>
      </c>
      <c r="CL45" s="252">
        <f>IF(BC45="","",Planning!AH38)</f>
        <v/>
      </c>
      <c r="CM45" s="21" t="n"/>
    </row>
    <row r="46" ht="12.75" customHeight="1">
      <c r="A46" s="161">
        <f>IFERROR(IF(VLOOKUP($B46,$BC$13:$CL$86,36,FALSE)&gt;5,0,IF(COUNTIF($B$13:$B$63,$B46)&gt;1,0,34)),34)+IF(B46&lt;&gt;0,0,IF(AV46&gt;0,0.000001,0))</f>
        <v/>
      </c>
      <c r="B46" s="129" t="n"/>
      <c r="C46" s="48">
        <f>IFERROR(IF($B46="","",VLOOKUP($B46,Medewerker!$C$8:$AI$107,33,FALSE)),"?")</f>
        <v/>
      </c>
      <c r="D46" s="879">
        <f t="array" ref="D46">IFERROR(IF(LEFT(INDEX($F46:$AQ46,1,SUM(SMALL(IF($F46:$AQ46&lt;&gt;"",COLUMN($F46:$AQ46)),1)-5)),1)="x",SUM(SMALL(IF($F46:$AQ46&lt;&gt;"",$F$11:$AQ$11),1)+"0:15"),SMALL(IF($F46:$AQ46&lt;&gt;"",$F$11:$AQ$11),1)),"")</f>
        <v/>
      </c>
      <c r="E46" s="879">
        <f t="array" ref="E46">IFERROR(IF(LEFT(INDEX($F46:$AQ46,1,SUM(LARGE(IF($F46:$AQ46&lt;&gt;"",COLUMN($F46:$AQ46)),1)-5)),1)="x",SUM(LARGE(IF($F46:$AQ46&lt;&gt;"",$F$11:$AQ$11+"0:30:00"),1)-"0:15"),LARGE(IF($F46:$AQ46&lt;&gt;"",$F$11:$AQ$11+"0:30:00"),1)),"")</f>
        <v/>
      </c>
      <c r="F46" s="43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40" t="n"/>
      <c r="AE46" s="40" t="n"/>
      <c r="AF46" s="40" t="n"/>
      <c r="AG46" s="42" t="n"/>
      <c r="AH46" s="43" t="n"/>
      <c r="AI46" s="41" t="n"/>
      <c r="AJ46" s="40" t="n"/>
      <c r="AK46" s="42" t="n"/>
      <c r="AL46" s="43" t="n"/>
      <c r="AM46" s="41" t="n"/>
      <c r="AN46" s="645" t="n"/>
      <c r="AO46" s="42" t="n"/>
      <c r="AP46" s="43" t="n"/>
      <c r="AQ46" s="42" t="n"/>
      <c r="AR46" s="888">
        <f>IFERROR(IF(VLOOKUP($B46,Medewerker!$C$8:$I$107,7,FALSE)="",VLOOKUP($B46,Medewerker!$C$8:$I$107,5,FALSE),0),0)</f>
        <v/>
      </c>
      <c r="AS46" s="888">
        <f>IFERROR(IF(B46="",1,IF(VLOOKUP($B46,Medewerker!$C$8:$I$107,7,FALSE)="",VLOOKUP($B46,Medewerker!$C$8:$I$107,6,FALSE),0)),0)</f>
        <v/>
      </c>
      <c r="AT46" s="45" t="n"/>
      <c r="AU46" s="46">
        <f>(COUNTIF(F46:AQ46,"afw"))/2</f>
        <v/>
      </c>
      <c r="AV46" s="111">
        <f>((38-(COUNTIF(F46:AQ46,"")))/2)-(COUNTIF(F46:AQ46,"p")/2)-(COUNTIF(F46:AQ46,CONCATENATE("x","*"))/4)</f>
        <v/>
      </c>
      <c r="AW46" s="73">
        <f>IF($B46="","",VLOOKUP($B46,Medewerker!$C$8:$E$107,3,FALSE))</f>
        <v/>
      </c>
      <c r="AX46" s="403">
        <f>IFERROR(VLOOKUP($B46,Planning!$B$6:$AG$105,32,FALSE)*24,"")</f>
        <v/>
      </c>
      <c r="AY46" s="558" t="inlineStr">
        <is>
          <t>wap</t>
        </is>
      </c>
      <c r="AZ46" s="71" t="inlineStr">
        <is>
          <t>WAP uitvoeren</t>
        </is>
      </c>
      <c r="BA46" s="111">
        <f>COUNTIF($F$13:$AQ$63,CONCATENATE(AY46,"*"))/2+COUNTIF($F$13:$AQ$63,CONCATENATE("x",AY46,"*"))/4</f>
        <v/>
      </c>
      <c r="BB46" s="838" t="n"/>
      <c r="BC46" s="31">
        <f>IF(Planning!B39="","",Planning!B39)</f>
        <v/>
      </c>
      <c r="BD46" s="105" t="n"/>
      <c r="BE46" s="885">
        <f>Planning!E39</f>
        <v/>
      </c>
      <c r="BF46" s="885">
        <f>Planning!F39</f>
        <v/>
      </c>
      <c r="BG46" s="886" t="n"/>
      <c r="BH46" s="105" t="n"/>
      <c r="BI46" s="885">
        <f>Planning!I39</f>
        <v/>
      </c>
      <c r="BJ46" s="885">
        <f>Planning!J39</f>
        <v/>
      </c>
      <c r="BK46" s="886" t="n"/>
      <c r="BL46" s="105" t="n"/>
      <c r="BM46" s="885">
        <f>Planning!M39</f>
        <v/>
      </c>
      <c r="BN46" s="885">
        <f>Planning!N39</f>
        <v/>
      </c>
      <c r="BO46" s="886" t="n"/>
      <c r="BP46" s="105" t="n"/>
      <c r="BQ46" s="885">
        <f>Planning!Q39</f>
        <v/>
      </c>
      <c r="BR46" s="885">
        <f>Planning!R39</f>
        <v/>
      </c>
      <c r="BS46" s="886" t="n"/>
      <c r="BT46" s="105" t="n"/>
      <c r="BU46" s="885">
        <f>Planning!U39</f>
        <v/>
      </c>
      <c r="BV46" s="885">
        <f>Planning!V39</f>
        <v/>
      </c>
      <c r="BW46" s="886" t="n"/>
      <c r="BX46" s="105" t="n"/>
      <c r="BY46" s="885">
        <f>Planning!Y39</f>
        <v/>
      </c>
      <c r="BZ46" s="885">
        <f>Planning!Z39</f>
        <v/>
      </c>
      <c r="CA46" s="886" t="n"/>
      <c r="CB46" s="105" t="n"/>
      <c r="CC46" s="885">
        <f>Planning!AC39</f>
        <v/>
      </c>
      <c r="CD46" s="885">
        <f>Planning!AD39</f>
        <v/>
      </c>
      <c r="CE46" s="886" t="n"/>
      <c r="CF46" s="105" t="n"/>
      <c r="CG46" s="887">
        <f>Planning!AG39</f>
        <v/>
      </c>
      <c r="CH46" s="105" t="n"/>
      <c r="CI46" s="252">
        <f>IF(BC46="","",Planning!AI39)</f>
        <v/>
      </c>
      <c r="CJ46" s="252">
        <f>IF(BC46="","",Planning!AJ39)</f>
        <v/>
      </c>
      <c r="CK46" s="252">
        <f>IF(BC46="","",Planning!AK39)</f>
        <v/>
      </c>
      <c r="CL46" s="252">
        <f>IF(BC46="","",Planning!AH39)</f>
        <v/>
      </c>
      <c r="CM46" s="21" t="n"/>
    </row>
    <row r="47" ht="12.75" customHeight="1">
      <c r="A47" s="161">
        <f>IFERROR(IF(VLOOKUP($B47,$BC$13:$CL$86,36,FALSE)&gt;5,0,IF(COUNTIF($B$13:$B$63,$B47)&gt;1,0,35)),35)+IF(B47&lt;&gt;0,0,IF(AV47&gt;0,0.000001,0))</f>
        <v/>
      </c>
      <c r="B47" s="129" t="n"/>
      <c r="C47" s="48">
        <f>IFERROR(IF($B47="","",VLOOKUP($B47,Medewerker!$C$8:$AI$107,33,FALSE)),"?")</f>
        <v/>
      </c>
      <c r="D47" s="879">
        <f t="array" ref="D47">IFERROR(IF(LEFT(INDEX($F47:$AQ47,1,SUM(SMALL(IF($F47:$AQ47&lt;&gt;"",COLUMN($F47:$AQ47)),1)-5)),1)="x",SUM(SMALL(IF($F47:$AQ47&lt;&gt;"",$F$11:$AQ$11),1)+"0:15"),SMALL(IF($F47:$AQ47&lt;&gt;"",$F$11:$AQ$11),1)),"")</f>
        <v/>
      </c>
      <c r="E47" s="879">
        <f t="array" ref="E47">IFERROR(IF(LEFT(INDEX($F47:$AQ47,1,SUM(LARGE(IF($F47:$AQ47&lt;&gt;"",COLUMN($F47:$AQ47)),1)-5)),1)="x",SUM(LARGE(IF($F47:$AQ47&lt;&gt;"",$F$11:$AQ$11+"0:30:00"),1)-"0:15"),LARGE(IF($F47:$AQ47&lt;&gt;"",$F$11:$AQ$11+"0:30:00"),1)),"")</f>
        <v/>
      </c>
      <c r="F47" s="43" t="n"/>
      <c r="G47" s="42" t="n"/>
      <c r="H47" s="43" t="n"/>
      <c r="I47" s="42" t="n"/>
      <c r="J47" s="43" t="n"/>
      <c r="K47" s="41" t="n"/>
      <c r="L47" s="40" t="n"/>
      <c r="M47" s="42" t="n"/>
      <c r="N47" s="43" t="n"/>
      <c r="O47" s="41" t="n"/>
      <c r="P47" s="40" t="n"/>
      <c r="Q47" s="42" t="n"/>
      <c r="R47" s="43" t="n"/>
      <c r="S47" s="41" t="n"/>
      <c r="T47" s="40" t="n"/>
      <c r="U47" s="42" t="n"/>
      <c r="V47" s="43" t="n"/>
      <c r="W47" s="41" t="n"/>
      <c r="X47" s="40" t="n"/>
      <c r="Y47" s="42" t="n"/>
      <c r="Z47" s="43" t="n"/>
      <c r="AA47" s="41" t="n"/>
      <c r="AB47" s="40" t="n"/>
      <c r="AC47" s="42" t="n"/>
      <c r="AD47" s="43" t="n"/>
      <c r="AE47" s="41" t="n"/>
      <c r="AF47" s="40" t="n"/>
      <c r="AG47" s="42" t="n"/>
      <c r="AH47" s="43" t="n"/>
      <c r="AI47" s="41" t="n"/>
      <c r="AJ47" s="40" t="n"/>
      <c r="AK47" s="42" t="n"/>
      <c r="AL47" s="43" t="n"/>
      <c r="AM47" s="41" t="n"/>
      <c r="AN47" s="645" t="n"/>
      <c r="AO47" s="42" t="n"/>
      <c r="AP47" s="43" t="n"/>
      <c r="AQ47" s="42" t="n"/>
      <c r="AR47" s="888">
        <f>IFERROR(IF(VLOOKUP($B47,Medewerker!$C$8:$I$107,7,FALSE)="",VLOOKUP($B47,Medewerker!$C$8:$I$107,5,FALSE),0),0)</f>
        <v/>
      </c>
      <c r="AS47" s="888">
        <f>IFERROR(IF(B47="",1,IF(VLOOKUP($B47,Medewerker!$C$8:$I$107,7,FALSE)="",VLOOKUP($B47,Medewerker!$C$8:$I$107,6,FALSE),0)),0)</f>
        <v/>
      </c>
      <c r="AT47" s="45" t="n"/>
      <c r="AU47" s="46">
        <f>(COUNTIF(F47:AQ47,"afw"))/2</f>
        <v/>
      </c>
      <c r="AV47" s="111">
        <f>((38-(COUNTIF(F47:AQ47,"")))/2)-(COUNTIF(F47:AQ47,"p")/2)-(COUNTIF(F47:AQ47,CONCATENATE("x","*"))/4)</f>
        <v/>
      </c>
      <c r="AW47" s="73">
        <f>IF($B47="","",VLOOKUP($B47,Medewerker!$C$8:$E$107,3,FALSE))</f>
        <v/>
      </c>
      <c r="AX47" s="403">
        <f>IFERROR(VLOOKUP($B47,Planning!$B$6:$AG$105,32,FALSE)*24,"")</f>
        <v/>
      </c>
      <c r="AY47" s="891" t="inlineStr">
        <is>
          <t>Overig</t>
        </is>
      </c>
      <c r="AZ47" s="883" t="n"/>
      <c r="BA47" s="884" t="n"/>
      <c r="BB47" s="838" t="n"/>
      <c r="BC47" s="31">
        <f>IF(Planning!B40="","",Planning!B40)</f>
        <v/>
      </c>
      <c r="BD47" s="105" t="n"/>
      <c r="BE47" s="885">
        <f>Planning!E40</f>
        <v/>
      </c>
      <c r="BF47" s="885">
        <f>Planning!F40</f>
        <v/>
      </c>
      <c r="BG47" s="886" t="n"/>
      <c r="BH47" s="105" t="n"/>
      <c r="BI47" s="885">
        <f>Planning!I40</f>
        <v/>
      </c>
      <c r="BJ47" s="885">
        <f>Planning!J40</f>
        <v/>
      </c>
      <c r="BK47" s="886" t="n"/>
      <c r="BL47" s="105" t="n"/>
      <c r="BM47" s="885">
        <f>Planning!M40</f>
        <v/>
      </c>
      <c r="BN47" s="885">
        <f>Planning!N40</f>
        <v/>
      </c>
      <c r="BO47" s="886" t="n"/>
      <c r="BP47" s="105" t="n"/>
      <c r="BQ47" s="885">
        <f>Planning!Q40</f>
        <v/>
      </c>
      <c r="BR47" s="885">
        <f>Planning!R40</f>
        <v/>
      </c>
      <c r="BS47" s="886" t="n"/>
      <c r="BT47" s="105" t="n"/>
      <c r="BU47" s="885">
        <f>Planning!U40</f>
        <v/>
      </c>
      <c r="BV47" s="885">
        <f>Planning!V40</f>
        <v/>
      </c>
      <c r="BW47" s="886" t="n"/>
      <c r="BX47" s="105" t="n"/>
      <c r="BY47" s="885">
        <f>Planning!Y40</f>
        <v/>
      </c>
      <c r="BZ47" s="885">
        <f>Planning!Z40</f>
        <v/>
      </c>
      <c r="CA47" s="886" t="n"/>
      <c r="CB47" s="105" t="n"/>
      <c r="CC47" s="885">
        <f>Planning!AC40</f>
        <v/>
      </c>
      <c r="CD47" s="885">
        <f>Planning!AD40</f>
        <v/>
      </c>
      <c r="CE47" s="886" t="n"/>
      <c r="CF47" s="105" t="n"/>
      <c r="CG47" s="887">
        <f>Planning!AG40</f>
        <v/>
      </c>
      <c r="CH47" s="105" t="n"/>
      <c r="CI47" s="252">
        <f>IF(BC47="","",Planning!AI40)</f>
        <v/>
      </c>
      <c r="CJ47" s="252">
        <f>IF(BC47="","",Planning!AJ40)</f>
        <v/>
      </c>
      <c r="CK47" s="252">
        <f>IF(BC47="","",Planning!AK40)</f>
        <v/>
      </c>
      <c r="CL47" s="252">
        <f>IF(BC47="","",Planning!AH40)</f>
        <v/>
      </c>
      <c r="CM47" s="21" t="n"/>
    </row>
    <row r="48" ht="12.75" customHeight="1">
      <c r="A48" s="161">
        <f>IFERROR(IF(VLOOKUP($B48,$BC$13:$CL$86,36,FALSE)&gt;5,0,IF(COUNTIF($B$13:$B$63,$B48)&gt;1,0,36)),36)+IF(B48&lt;&gt;0,0,IF(AV48&gt;0,0.000001,0))</f>
        <v/>
      </c>
      <c r="B48" s="129" t="n"/>
      <c r="C48" s="48">
        <f>IFERROR(IF($B48="","",VLOOKUP($B48,Medewerker!$C$8:$AI$107,33,FALSE)),"?")</f>
        <v/>
      </c>
      <c r="D48" s="879">
        <f t="array" ref="D48">IFERROR(IF(LEFT(INDEX($F48:$AQ48,1,SUM(SMALL(IF($F48:$AQ48&lt;&gt;"",COLUMN($F48:$AQ48)),1)-5)),1)="x",SUM(SMALL(IF($F48:$AQ48&lt;&gt;"",$F$11:$AQ$11),1)+"0:15"),SMALL(IF($F48:$AQ48&lt;&gt;"",$F$11:$AQ$11),1)),"")</f>
        <v/>
      </c>
      <c r="E48" s="879">
        <f t="array" ref="E48">IFERROR(IF(LEFT(INDEX($F48:$AQ48,1,SUM(LARGE(IF($F48:$AQ48&lt;&gt;"",COLUMN($F48:$AQ48)),1)-5)),1)="x",SUM(LARGE(IF($F48:$AQ48&lt;&gt;"",$F$11:$AQ$11+"0:30:00"),1)-"0:15"),LARGE(IF($F48:$AQ48&lt;&gt;"",$F$11:$AQ$11+"0:30:00"),1)),"")</f>
        <v/>
      </c>
      <c r="F48" s="43" t="n"/>
      <c r="G48" s="42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  <c r="AA48" s="43" t="n"/>
      <c r="AB48" s="43" t="n"/>
      <c r="AC48" s="43" t="n"/>
      <c r="AD48" s="43" t="n"/>
      <c r="AE48" s="43" t="n"/>
      <c r="AF48" s="43" t="n"/>
      <c r="AG48" s="43" t="n"/>
      <c r="AH48" s="43" t="n"/>
      <c r="AI48" s="43" t="n"/>
      <c r="AJ48" s="43" t="n"/>
      <c r="AK48" s="43" t="n"/>
      <c r="AL48" s="43" t="n"/>
      <c r="AM48" s="43" t="n"/>
      <c r="AN48" s="43" t="n"/>
      <c r="AO48" s="43" t="n"/>
      <c r="AP48" s="43" t="n"/>
      <c r="AQ48" s="42" t="n"/>
      <c r="AR48" s="888">
        <f>IFERROR(IF(VLOOKUP($B48,Medewerker!$C$8:$I$107,7,FALSE)="",VLOOKUP($B48,Medewerker!$C$8:$I$107,5,FALSE),0),0)</f>
        <v/>
      </c>
      <c r="AS48" s="888">
        <f>IFERROR(IF(B48="",1,IF(VLOOKUP($B48,Medewerker!$C$8:$I$107,7,FALSE)="",VLOOKUP($B48,Medewerker!$C$8:$I$107,6,FALSE),0)),0)</f>
        <v/>
      </c>
      <c r="AT48" s="45" t="n"/>
      <c r="AU48" s="46">
        <f>(COUNTIF(F48:AQ48,"afw"))/2</f>
        <v/>
      </c>
      <c r="AV48" s="111">
        <f>((38-(COUNTIF(F48:AQ48,"")))/2)-(COUNTIF(F48:AQ48,"p")/2)-(COUNTIF(F48:AQ48,CONCATENATE("x","*"))/4)</f>
        <v/>
      </c>
      <c r="AW48" s="73">
        <f>IF($B48="","",VLOOKUP($B48,Medewerker!$C$8:$E$107,3,FALSE))</f>
        <v/>
      </c>
      <c r="AX48" s="403">
        <f>IFERROR(VLOOKUP($B48,Planning!$B$6:$AG$105,32,FALSE)*24,"")</f>
        <v/>
      </c>
      <c r="AY48" s="837" t="inlineStr">
        <is>
          <t>km</t>
        </is>
      </c>
      <c r="AZ48" s="414" t="inlineStr">
        <is>
          <t>Kwaliteitsmedewerker</t>
        </is>
      </c>
      <c r="BA48" s="111">
        <f>COUNTIF($F$13:$AQ$63,CONCATENATE(AY48,"*"))/2+COUNTIF($F$13:$AQ$63,CONCATENATE("x",AY48,"*"))/4</f>
        <v/>
      </c>
      <c r="BB48" s="838" t="n"/>
      <c r="BC48" s="31">
        <f>IF(Planning!B41="","",Planning!B41)</f>
        <v/>
      </c>
      <c r="BD48" s="105" t="n"/>
      <c r="BE48" s="885">
        <f>Planning!E41</f>
        <v/>
      </c>
      <c r="BF48" s="885">
        <f>Planning!F41</f>
        <v/>
      </c>
      <c r="BG48" s="886" t="n"/>
      <c r="BH48" s="105" t="n"/>
      <c r="BI48" s="885">
        <f>Planning!I41</f>
        <v/>
      </c>
      <c r="BJ48" s="885">
        <f>Planning!J41</f>
        <v/>
      </c>
      <c r="BK48" s="886" t="n"/>
      <c r="BL48" s="105" t="n"/>
      <c r="BM48" s="885">
        <f>Planning!M41</f>
        <v/>
      </c>
      <c r="BN48" s="885">
        <f>Planning!N41</f>
        <v/>
      </c>
      <c r="BO48" s="886" t="n"/>
      <c r="BP48" s="105" t="n"/>
      <c r="BQ48" s="885">
        <f>Planning!Q41</f>
        <v/>
      </c>
      <c r="BR48" s="885">
        <f>Planning!R41</f>
        <v/>
      </c>
      <c r="BS48" s="886" t="n"/>
      <c r="BT48" s="105" t="n"/>
      <c r="BU48" s="885">
        <f>Planning!U41</f>
        <v/>
      </c>
      <c r="BV48" s="885">
        <f>Planning!V41</f>
        <v/>
      </c>
      <c r="BW48" s="886" t="n"/>
      <c r="BX48" s="105" t="n"/>
      <c r="BY48" s="885">
        <f>Planning!Y41</f>
        <v/>
      </c>
      <c r="BZ48" s="885">
        <f>Planning!Z41</f>
        <v/>
      </c>
      <c r="CA48" s="886" t="n"/>
      <c r="CB48" s="105" t="n"/>
      <c r="CC48" s="885">
        <f>Planning!AC41</f>
        <v/>
      </c>
      <c r="CD48" s="885">
        <f>Planning!AD41</f>
        <v/>
      </c>
      <c r="CE48" s="886" t="n"/>
      <c r="CF48" s="105" t="n"/>
      <c r="CG48" s="887">
        <f>Planning!AG41</f>
        <v/>
      </c>
      <c r="CH48" s="105" t="n"/>
      <c r="CI48" s="252">
        <f>IF(BC48="","",Planning!AI41)</f>
        <v/>
      </c>
      <c r="CJ48" s="252">
        <f>IF(BC48="","",Planning!AJ41)</f>
        <v/>
      </c>
      <c r="CK48" s="252">
        <f>IF(BC48="","",Planning!AK41)</f>
        <v/>
      </c>
      <c r="CL48" s="252">
        <f>IF(BC48="","",Planning!AH41)</f>
        <v/>
      </c>
      <c r="CM48" s="21" t="n"/>
    </row>
    <row r="49" ht="12.75" customHeight="1">
      <c r="A49" s="161">
        <f>IFERROR(IF(VLOOKUP($B49,$BC$13:$CL$86,36,FALSE)&gt;5,0,IF(COUNTIF($B$13:$B$63,$B49)&gt;1,0,37)),37)+IF(B49&lt;&gt;0,0,IF(AV49&gt;0,0.000001,0))</f>
        <v/>
      </c>
      <c r="B49" s="129" t="n"/>
      <c r="C49" s="48">
        <f>IFERROR(IF($B49="","",VLOOKUP($B49,Medewerker!$C$8:$AI$107,33,FALSE)),"?")</f>
        <v/>
      </c>
      <c r="D49" s="879">
        <f t="array" ref="D49">IFERROR(IF(LEFT(INDEX($F49:$AQ49,1,SUM(SMALL(IF($F49:$AQ49&lt;&gt;"",COLUMN($F49:$AQ49)),1)-5)),1)="x",SUM(SMALL(IF($F49:$AQ49&lt;&gt;"",$F$11:$AQ$11),1)+"0:15"),SMALL(IF($F49:$AQ49&lt;&gt;"",$F$11:$AQ$11),1)),"")</f>
        <v/>
      </c>
      <c r="E49" s="879">
        <f t="array" ref="E49">IFERROR(IF(LEFT(INDEX($F49:$AQ49,1,SUM(LARGE(IF($F49:$AQ49&lt;&gt;"",COLUMN($F49:$AQ49)),1)-5)),1)="x",SUM(LARGE(IF($F49:$AQ49&lt;&gt;"",$F$11:$AQ$11+"0:30:00"),1)-"0:15"),LARGE(IF($F49:$AQ49&lt;&gt;"",$F$11:$AQ$11+"0:30:00"),1)),"")</f>
        <v/>
      </c>
      <c r="F49" s="43" t="n"/>
      <c r="G49" s="42" t="n"/>
      <c r="H49" s="43" t="n"/>
      <c r="I49" s="42" t="n"/>
      <c r="J49" s="43" t="n"/>
      <c r="K49" s="42" t="n"/>
      <c r="L49" s="43" t="n"/>
      <c r="M49" s="42" t="n"/>
      <c r="N49" s="43" t="n"/>
      <c r="O49" s="42" t="n"/>
      <c r="P49" s="43" t="n"/>
      <c r="Q49" s="42" t="n"/>
      <c r="R49" s="43" t="n"/>
      <c r="S49" s="42" t="n"/>
      <c r="T49" s="43" t="n"/>
      <c r="U49" s="42" t="n"/>
      <c r="V49" s="43" t="n"/>
      <c r="W49" s="42" t="n"/>
      <c r="X49" s="43" t="n"/>
      <c r="Y49" s="42" t="n"/>
      <c r="Z49" s="43" t="n"/>
      <c r="AA49" s="42" t="n"/>
      <c r="AB49" s="43" t="n"/>
      <c r="AC49" s="42" t="n"/>
      <c r="AD49" s="43" t="n"/>
      <c r="AE49" s="42" t="n"/>
      <c r="AF49" s="43" t="n"/>
      <c r="AG49" s="42" t="n"/>
      <c r="AH49" s="43" t="n"/>
      <c r="AI49" s="42" t="n"/>
      <c r="AJ49" s="43" t="n"/>
      <c r="AK49" s="42" t="n"/>
      <c r="AL49" s="43" t="n"/>
      <c r="AM49" s="42" t="n"/>
      <c r="AN49" s="43" t="n"/>
      <c r="AO49" s="42" t="n"/>
      <c r="AP49" s="43" t="n"/>
      <c r="AQ49" s="42" t="n"/>
      <c r="AR49" s="888">
        <f>IFERROR(IF(VLOOKUP($B49,Medewerker!$C$8:$I$107,7,FALSE)="",VLOOKUP($B49,Medewerker!$C$8:$I$107,5,FALSE),0),0)</f>
        <v/>
      </c>
      <c r="AS49" s="888">
        <f>IFERROR(IF(B49="",1,IF(VLOOKUP($B49,Medewerker!$C$8:$I$107,7,FALSE)="",VLOOKUP($B49,Medewerker!$C$8:$I$107,6,FALSE),0)),0)</f>
        <v/>
      </c>
      <c r="AT49" s="45" t="n"/>
      <c r="AU49" s="46">
        <f>(COUNTIF(F49:AQ49,"afw"))/2</f>
        <v/>
      </c>
      <c r="AV49" s="111">
        <f>((38-(COUNTIF(F49:AQ49,"")))/2)-(COUNTIF(F49:AQ49,"p")/2)-(COUNTIF(F49:AQ49,CONCATENATE("x","*"))/4)</f>
        <v/>
      </c>
      <c r="AW49" s="73">
        <f>IF($B49="","",VLOOKUP($B49,Medewerker!$C$8:$E$107,3,FALSE))</f>
        <v/>
      </c>
      <c r="AX49" s="403">
        <f>IFERROR(VLOOKUP($B49,Planning!$B$6:$AG$105,32,FALSE)*24,"")</f>
        <v/>
      </c>
      <c r="AY49" s="837" t="inlineStr">
        <is>
          <t>mt</t>
        </is>
      </c>
      <c r="AZ49" s="413" t="inlineStr">
        <is>
          <t>MT of CKW-overleg</t>
        </is>
      </c>
      <c r="BA49" s="111">
        <f>COUNTIF($F$13:$AQ$63,CONCATENATE(AY49,"*"))/2+COUNTIF($F$13:$AQ$63,CONCATENATE("x",AY49,"*"))/4</f>
        <v/>
      </c>
      <c r="BB49" s="838" t="n"/>
      <c r="BC49" s="31">
        <f>IF(Planning!B42="","",Planning!B42)</f>
        <v/>
      </c>
      <c r="BD49" s="105" t="n"/>
      <c r="BE49" s="885">
        <f>Planning!E42</f>
        <v/>
      </c>
      <c r="BF49" s="885">
        <f>Planning!F42</f>
        <v/>
      </c>
      <c r="BG49" s="886" t="n"/>
      <c r="BH49" s="105" t="n"/>
      <c r="BI49" s="885">
        <f>Planning!I42</f>
        <v/>
      </c>
      <c r="BJ49" s="885">
        <f>Planning!J42</f>
        <v/>
      </c>
      <c r="BK49" s="886" t="n"/>
      <c r="BL49" s="105" t="n"/>
      <c r="BM49" s="885">
        <f>Planning!M42</f>
        <v/>
      </c>
      <c r="BN49" s="885">
        <f>Planning!N42</f>
        <v/>
      </c>
      <c r="BO49" s="886" t="n"/>
      <c r="BP49" s="105" t="n"/>
      <c r="BQ49" s="885">
        <f>Planning!Q42</f>
        <v/>
      </c>
      <c r="BR49" s="885">
        <f>Planning!R42</f>
        <v/>
      </c>
      <c r="BS49" s="886" t="n"/>
      <c r="BT49" s="105" t="n"/>
      <c r="BU49" s="885">
        <f>Planning!U42</f>
        <v/>
      </c>
      <c r="BV49" s="885">
        <f>Planning!V42</f>
        <v/>
      </c>
      <c r="BW49" s="886" t="n"/>
      <c r="BX49" s="105" t="n"/>
      <c r="BY49" s="885">
        <f>Planning!Y42</f>
        <v/>
      </c>
      <c r="BZ49" s="885">
        <f>Planning!Z42</f>
        <v/>
      </c>
      <c r="CA49" s="886" t="n"/>
      <c r="CB49" s="105" t="n"/>
      <c r="CC49" s="885">
        <f>Planning!AC42</f>
        <v/>
      </c>
      <c r="CD49" s="885">
        <f>Planning!AD42</f>
        <v/>
      </c>
      <c r="CE49" s="886" t="n"/>
      <c r="CF49" s="105" t="n"/>
      <c r="CG49" s="887">
        <f>Planning!AG42</f>
        <v/>
      </c>
      <c r="CH49" s="105" t="n"/>
      <c r="CI49" s="252">
        <f>IF(BC49="","",Planning!AI42)</f>
        <v/>
      </c>
      <c r="CJ49" s="252">
        <f>IF(BC49="","",Planning!AJ42)</f>
        <v/>
      </c>
      <c r="CK49" s="252">
        <f>IF(BC49="","",Planning!AK42)</f>
        <v/>
      </c>
      <c r="CL49" s="252">
        <f>IF(BC49="","",Planning!AH42)</f>
        <v/>
      </c>
      <c r="CM49" s="21" t="n"/>
    </row>
    <row r="50" ht="12.75" customHeight="1">
      <c r="A50" s="161">
        <f>IFERROR(IF(VLOOKUP($B50,$BC$13:$CL$86,36,FALSE)&gt;5,0,IF(COUNTIF($B$13:$B$63,$B50)&gt;1,0,38)),38)+IF(B50&lt;&gt;0,0,IF(AV50&gt;0,0.000001,0))</f>
        <v/>
      </c>
      <c r="B50" s="129" t="n"/>
      <c r="C50" s="48">
        <f>IFERROR(IF($B50="","",VLOOKUP($B50,Medewerker!$C$8:$AI$107,33,FALSE)),"?")</f>
        <v/>
      </c>
      <c r="D50" s="879">
        <f t="array" ref="D50">IFERROR(IF(LEFT(INDEX($F50:$AQ50,1,SUM(SMALL(IF($F50:$AQ50&lt;&gt;"",COLUMN($F50:$AQ50)),1)-5)),1)="x",SUM(SMALL(IF($F50:$AQ50&lt;&gt;"",$F$11:$AQ$11),1)+"0:15"),SMALL(IF($F50:$AQ50&lt;&gt;"",$F$11:$AQ$11),1)),"")</f>
        <v/>
      </c>
      <c r="E50" s="879">
        <f t="array" ref="E50">IFERROR(IF(LEFT(INDEX($F50:$AQ50,1,SUM(LARGE(IF($F50:$AQ50&lt;&gt;"",COLUMN($F50:$AQ50)),1)-5)),1)="x",SUM(LARGE(IF($F50:$AQ50&lt;&gt;"",$F$11:$AQ$11+"0:30:00"),1)-"0:15"),LARGE(IF($F50:$AQ50&lt;&gt;"",$F$11:$AQ$11+"0:30:00"),1)),"")</f>
        <v/>
      </c>
      <c r="F50" s="43" t="n"/>
      <c r="G50" s="42" t="n"/>
      <c r="H50" s="43" t="n"/>
      <c r="I50" s="42" t="n"/>
      <c r="J50" s="43" t="n"/>
      <c r="K50" s="42" t="n"/>
      <c r="L50" s="43" t="n"/>
      <c r="M50" s="42" t="n"/>
      <c r="N50" s="43" t="n"/>
      <c r="O50" s="42" t="n"/>
      <c r="P50" s="43" t="n"/>
      <c r="Q50" s="42" t="n"/>
      <c r="R50" s="43" t="n"/>
      <c r="S50" s="42" t="n"/>
      <c r="T50" s="43" t="n"/>
      <c r="U50" s="42" t="n"/>
      <c r="V50" s="43" t="n"/>
      <c r="W50" s="42" t="n"/>
      <c r="X50" s="43" t="n"/>
      <c r="Y50" s="42" t="n"/>
      <c r="Z50" s="43" t="n"/>
      <c r="AA50" s="42" t="n"/>
      <c r="AB50" s="43" t="n"/>
      <c r="AC50" s="42" t="n"/>
      <c r="AD50" s="43" t="n"/>
      <c r="AE50" s="42" t="n"/>
      <c r="AF50" s="43" t="n"/>
      <c r="AG50" s="42" t="n"/>
      <c r="AH50" s="43" t="n"/>
      <c r="AI50" s="42" t="n"/>
      <c r="AJ50" s="43" t="n"/>
      <c r="AK50" s="42" t="n"/>
      <c r="AL50" s="43" t="n"/>
      <c r="AM50" s="42" t="n"/>
      <c r="AN50" s="43" t="n"/>
      <c r="AO50" s="42" t="n"/>
      <c r="AP50" s="43" t="n"/>
      <c r="AQ50" s="42" t="n"/>
      <c r="AR50" s="888">
        <f>IFERROR(IF(VLOOKUP($B50,Medewerker!$C$8:$I$107,7,FALSE)="",VLOOKUP($B50,Medewerker!$C$8:$I$107,5,FALSE),0),0)</f>
        <v/>
      </c>
      <c r="AS50" s="888">
        <f>IFERROR(IF(B50="",1,IF(VLOOKUP($B50,Medewerker!$C$8:$I$107,7,FALSE)="",VLOOKUP($B50,Medewerker!$C$8:$I$107,6,FALSE),0)),0)</f>
        <v/>
      </c>
      <c r="AT50" s="45" t="n"/>
      <c r="AU50" s="46">
        <f>(COUNTIF(F50:AQ50,"afw"))/2</f>
        <v/>
      </c>
      <c r="AV50" s="111">
        <f>((38-(COUNTIF(F50:AQ50,"")))/2)-(COUNTIF(F50:AQ50,"p")/2)-(COUNTIF(F50:AQ50,CONCATENATE("x","*"))/4)</f>
        <v/>
      </c>
      <c r="AW50" s="73">
        <f>IF($B50="","",VLOOKUP($B50,Medewerker!$C$8:$E$107,3,FALSE))</f>
        <v/>
      </c>
      <c r="AX50" s="403">
        <f>IFERROR(VLOOKUP($B50,Planning!$B$6:$AG$105,32,FALSE)*24,"")</f>
        <v/>
      </c>
      <c r="AY50" s="837" t="inlineStr">
        <is>
          <t>ov</t>
        </is>
      </c>
      <c r="AZ50" s="71" t="inlineStr">
        <is>
          <t>Overig</t>
        </is>
      </c>
      <c r="BA50" s="111">
        <f>COUNTIF($F$13:$AQ$63,CONCATENATE(AY50,"*"))/2+COUNTIF($F$13:$AQ$63,CONCATENATE("x",AY50,"*"))/4</f>
        <v/>
      </c>
      <c r="BB50" s="838" t="n"/>
      <c r="BC50" s="31">
        <f>IF(Planning!B43="","",Planning!B43)</f>
        <v/>
      </c>
      <c r="BD50" s="105" t="n"/>
      <c r="BE50" s="885">
        <f>Planning!E43</f>
        <v/>
      </c>
      <c r="BF50" s="885">
        <f>Planning!F43</f>
        <v/>
      </c>
      <c r="BG50" s="886" t="n"/>
      <c r="BH50" s="105" t="n"/>
      <c r="BI50" s="885">
        <f>Planning!I43</f>
        <v/>
      </c>
      <c r="BJ50" s="885">
        <f>Planning!J43</f>
        <v/>
      </c>
      <c r="BK50" s="886" t="n"/>
      <c r="BL50" s="105" t="n"/>
      <c r="BM50" s="885">
        <f>Planning!M43</f>
        <v/>
      </c>
      <c r="BN50" s="885">
        <f>Planning!N43</f>
        <v/>
      </c>
      <c r="BO50" s="886" t="n"/>
      <c r="BP50" s="105" t="n"/>
      <c r="BQ50" s="885">
        <f>Planning!Q43</f>
        <v/>
      </c>
      <c r="BR50" s="885">
        <f>Planning!R43</f>
        <v/>
      </c>
      <c r="BS50" s="886" t="n"/>
      <c r="BT50" s="105" t="n"/>
      <c r="BU50" s="885">
        <f>Planning!U43</f>
        <v/>
      </c>
      <c r="BV50" s="885">
        <f>Planning!V43</f>
        <v/>
      </c>
      <c r="BW50" s="886" t="n"/>
      <c r="BX50" s="105" t="n"/>
      <c r="BY50" s="885">
        <f>Planning!Y43</f>
        <v/>
      </c>
      <c r="BZ50" s="885">
        <f>Planning!Z43</f>
        <v/>
      </c>
      <c r="CA50" s="886" t="n"/>
      <c r="CB50" s="105" t="n"/>
      <c r="CC50" s="885">
        <f>Planning!AC43</f>
        <v/>
      </c>
      <c r="CD50" s="885">
        <f>Planning!AD43</f>
        <v/>
      </c>
      <c r="CE50" s="886" t="n"/>
      <c r="CF50" s="105" t="n"/>
      <c r="CG50" s="887">
        <f>Planning!AG43</f>
        <v/>
      </c>
      <c r="CH50" s="105" t="n"/>
      <c r="CI50" s="252">
        <f>IF(BC50="","",Planning!AI43)</f>
        <v/>
      </c>
      <c r="CJ50" s="252">
        <f>IF(BC50="","",Planning!AJ43)</f>
        <v/>
      </c>
      <c r="CK50" s="252">
        <f>IF(BC50="","",Planning!AK43)</f>
        <v/>
      </c>
      <c r="CL50" s="252">
        <f>IF(BC50="","",Planning!AH43)</f>
        <v/>
      </c>
      <c r="CM50" s="21" t="n"/>
    </row>
    <row r="51" ht="12.75" customHeight="1">
      <c r="A51" s="161">
        <f>IFERROR(IF(VLOOKUP($B51,$BC$13:$CL$86,36,FALSE)&gt;5,0,IF(COUNTIF($B$13:$B$63,$B51)&gt;1,0,39)),39)+IF(B51&lt;&gt;0,0,IF(AV51&gt;0,0.000001,0))</f>
        <v/>
      </c>
      <c r="B51" s="129" t="n"/>
      <c r="C51" s="48">
        <f>IFERROR(IF($B51="","",VLOOKUP($B51,Medewerker!$C$8:$AI$107,33,FALSE)),"?")</f>
        <v/>
      </c>
      <c r="D51" s="879">
        <f t="array" ref="D51">IFERROR(IF(LEFT(INDEX($F51:$AQ51,1,SUM(SMALL(IF($F51:$AQ51&lt;&gt;"",COLUMN($F51:$AQ51)),1)-5)),1)="x",SUM(SMALL(IF($F51:$AQ51&lt;&gt;"",$F$11:$AQ$11),1)+"0:15"),SMALL(IF($F51:$AQ51&lt;&gt;"",$F$11:$AQ$11),1)),"")</f>
        <v/>
      </c>
      <c r="E51" s="879">
        <f t="array" ref="E51">IFERROR(IF(LEFT(INDEX($F51:$AQ51,1,SUM(LARGE(IF($F51:$AQ51&lt;&gt;"",COLUMN($F51:$AQ51)),1)-5)),1)="x",SUM(LARGE(IF($F51:$AQ51&lt;&gt;"",$F$11:$AQ$11+"0:30:00"),1)-"0:15"),LARGE(IF($F51:$AQ51&lt;&gt;"",$F$11:$AQ$11+"0:30:00"),1)),"")</f>
        <v/>
      </c>
      <c r="F51" s="43" t="n"/>
      <c r="G51" s="42" t="n"/>
      <c r="H51" s="43" t="n"/>
      <c r="I51" s="42" t="n"/>
      <c r="J51" s="43" t="n"/>
      <c r="K51" s="42" t="n"/>
      <c r="L51" s="43" t="n"/>
      <c r="M51" s="42" t="n"/>
      <c r="N51" s="43" t="n"/>
      <c r="O51" s="42" t="n"/>
      <c r="P51" s="43" t="n"/>
      <c r="Q51" s="42" t="n"/>
      <c r="R51" s="43" t="n"/>
      <c r="S51" s="42" t="n"/>
      <c r="T51" s="43" t="n"/>
      <c r="U51" s="42" t="n"/>
      <c r="V51" s="43" t="n"/>
      <c r="W51" s="42" t="n"/>
      <c r="X51" s="43" t="n"/>
      <c r="Y51" s="42" t="n"/>
      <c r="Z51" s="43" t="n"/>
      <c r="AA51" s="42" t="n"/>
      <c r="AB51" s="43" t="n"/>
      <c r="AC51" s="42" t="n"/>
      <c r="AD51" s="43" t="n"/>
      <c r="AE51" s="42" t="n"/>
      <c r="AF51" s="43" t="n"/>
      <c r="AG51" s="42" t="n"/>
      <c r="AH51" s="43" t="n"/>
      <c r="AI51" s="42" t="n"/>
      <c r="AJ51" s="43" t="n"/>
      <c r="AK51" s="42" t="n"/>
      <c r="AL51" s="43" t="n"/>
      <c r="AM51" s="42" t="n"/>
      <c r="AN51" s="43" t="n"/>
      <c r="AO51" s="42" t="n"/>
      <c r="AP51" s="43" t="n"/>
      <c r="AQ51" s="42" t="n"/>
      <c r="AR51" s="888">
        <f>IFERROR(IF(VLOOKUP($B51,Medewerker!$C$8:$I$107,7,FALSE)="",VLOOKUP($B51,Medewerker!$C$8:$I$107,5,FALSE),0),0)</f>
        <v/>
      </c>
      <c r="AS51" s="888">
        <f>IFERROR(IF(B51="",1,IF(VLOOKUP($B51,Medewerker!$C$8:$I$107,7,FALSE)="",VLOOKUP($B51,Medewerker!$C$8:$I$107,6,FALSE),0)),0)</f>
        <v/>
      </c>
      <c r="AT51" s="45" t="n"/>
      <c r="AU51" s="46">
        <f>(COUNTIF(F51:AQ51,"afw"))/2</f>
        <v/>
      </c>
      <c r="AV51" s="111">
        <f>((38-(COUNTIF(F51:AQ51,"")))/2)-(COUNTIF(F51:AQ51,"p")/2)-(COUNTIF(F51:AQ51,CONCATENATE("x","*"))/4)</f>
        <v/>
      </c>
      <c r="AW51" s="73">
        <f>IF($B51="","",VLOOKUP($B51,Medewerker!$C$8:$E$107,3,FALSE))</f>
        <v/>
      </c>
      <c r="AX51" s="403">
        <f>IFERROR(VLOOKUP($B51,Planning!$B$6:$AG$105,32,FALSE)*24,"")</f>
        <v/>
      </c>
      <c r="AY51" s="837" t="inlineStr">
        <is>
          <t>prt</t>
        </is>
      </c>
      <c r="AZ51" s="71" t="inlineStr">
        <is>
          <t>Protime</t>
        </is>
      </c>
      <c r="BA51" s="111">
        <f>COUNTIF($F$13:$AQ$63,CONCATENATE(AY51,"*"))/2+COUNTIF($F$13:$AQ$63,CONCATENATE("x",AY51,"*"))/4</f>
        <v/>
      </c>
      <c r="BB51" s="838" t="n"/>
      <c r="BC51" s="31">
        <f>IF(Planning!B44="","",Planning!B44)</f>
        <v/>
      </c>
      <c r="BD51" s="105" t="n"/>
      <c r="BE51" s="885">
        <f>Planning!E44</f>
        <v/>
      </c>
      <c r="BF51" s="885">
        <f>Planning!F44</f>
        <v/>
      </c>
      <c r="BG51" s="886" t="n"/>
      <c r="BH51" s="105" t="n"/>
      <c r="BI51" s="885">
        <f>Planning!I44</f>
        <v/>
      </c>
      <c r="BJ51" s="885">
        <f>Planning!J44</f>
        <v/>
      </c>
      <c r="BK51" s="886" t="n"/>
      <c r="BL51" s="105" t="n"/>
      <c r="BM51" s="885">
        <f>Planning!M44</f>
        <v/>
      </c>
      <c r="BN51" s="885">
        <f>Planning!N44</f>
        <v/>
      </c>
      <c r="BO51" s="886" t="n"/>
      <c r="BP51" s="105" t="n"/>
      <c r="BQ51" s="885">
        <f>Planning!Q44</f>
        <v/>
      </c>
      <c r="BR51" s="885">
        <f>Planning!R44</f>
        <v/>
      </c>
      <c r="BS51" s="886" t="n"/>
      <c r="BT51" s="105" t="n"/>
      <c r="BU51" s="885">
        <f>Planning!U44</f>
        <v/>
      </c>
      <c r="BV51" s="885">
        <f>Planning!V44</f>
        <v/>
      </c>
      <c r="BW51" s="886" t="n"/>
      <c r="BX51" s="105" t="n"/>
      <c r="BY51" s="885">
        <f>Planning!Y44</f>
        <v/>
      </c>
      <c r="BZ51" s="885">
        <f>Planning!Z44</f>
        <v/>
      </c>
      <c r="CA51" s="886" t="n"/>
      <c r="CB51" s="105" t="n"/>
      <c r="CC51" s="885">
        <f>Planning!AC44</f>
        <v/>
      </c>
      <c r="CD51" s="885">
        <f>Planning!AD44</f>
        <v/>
      </c>
      <c r="CE51" s="886" t="n"/>
      <c r="CF51" s="105" t="n"/>
      <c r="CG51" s="887">
        <f>Planning!AG44</f>
        <v/>
      </c>
      <c r="CH51" s="105" t="n"/>
      <c r="CI51" s="252">
        <f>IF(BC51="","",Planning!AI44)</f>
        <v/>
      </c>
      <c r="CJ51" s="252">
        <f>IF(BC51="","",Planning!AJ44)</f>
        <v/>
      </c>
      <c r="CK51" s="252">
        <f>IF(BC51="","",Planning!AK44)</f>
        <v/>
      </c>
      <c r="CL51" s="252">
        <f>IF(BC51="","",Planning!AH44)</f>
        <v/>
      </c>
      <c r="CM51" s="21" t="n"/>
    </row>
    <row r="52" ht="12.75" customHeight="1">
      <c r="A52" s="161">
        <f>IFERROR(IF(VLOOKUP($B52,$BC$13:$CL$86,36,FALSE)&gt;5,0,IF(COUNTIF($B$13:$B$63,$B52)&gt;1,0,40)),40)+IF(B52&lt;&gt;0,0,IF(AV52&gt;0,0.000001,0))</f>
        <v/>
      </c>
      <c r="B52" s="129" t="n"/>
      <c r="C52" s="48">
        <f>IFERROR(IF($B52="","",VLOOKUP($B52,Medewerker!$C$8:$AI$107,33,FALSE)),"?")</f>
        <v/>
      </c>
      <c r="D52" s="879">
        <f t="array" ref="D52">IFERROR(IF(LEFT(INDEX($F52:$AQ52,1,SUM(SMALL(IF($F52:$AQ52&lt;&gt;"",COLUMN($F52:$AQ52)),1)-5)),1)="x",SUM(SMALL(IF($F52:$AQ52&lt;&gt;"",$F$11:$AQ$11),1)+"0:15"),SMALL(IF($F52:$AQ52&lt;&gt;"",$F$11:$AQ$11),1)),"")</f>
        <v/>
      </c>
      <c r="E52" s="879">
        <f t="array" ref="E52">IFERROR(IF(LEFT(INDEX($F52:$AQ52,1,SUM(LARGE(IF($F52:$AQ52&lt;&gt;"",COLUMN($F52:$AQ52)),1)-5)),1)="x",SUM(LARGE(IF($F52:$AQ52&lt;&gt;"",$F$11:$AQ$11+"0:30:00"),1)-"0:15"),LARGE(IF($F52:$AQ52&lt;&gt;"",$F$11:$AQ$11+"0:30:00"),1)),"")</f>
        <v/>
      </c>
      <c r="F52" s="43" t="n"/>
      <c r="G52" s="42" t="n"/>
      <c r="H52" s="43" t="n"/>
      <c r="I52" s="42" t="n"/>
      <c r="J52" s="43" t="n"/>
      <c r="K52" s="42" t="n"/>
      <c r="L52" s="43" t="n"/>
      <c r="M52" s="42" t="n"/>
      <c r="N52" s="43" t="n"/>
      <c r="O52" s="42" t="n"/>
      <c r="P52" s="43" t="n"/>
      <c r="Q52" s="42" t="n"/>
      <c r="R52" s="43" t="n"/>
      <c r="S52" s="42" t="n"/>
      <c r="T52" s="43" t="n"/>
      <c r="U52" s="42" t="n"/>
      <c r="V52" s="43" t="n"/>
      <c r="W52" s="42" t="n"/>
      <c r="X52" s="43" t="n"/>
      <c r="Y52" s="42" t="n"/>
      <c r="Z52" s="43" t="n"/>
      <c r="AA52" s="42" t="n"/>
      <c r="AB52" s="43" t="n"/>
      <c r="AC52" s="42" t="n"/>
      <c r="AD52" s="43" t="n"/>
      <c r="AE52" s="42" t="n"/>
      <c r="AF52" s="43" t="n"/>
      <c r="AG52" s="42" t="n"/>
      <c r="AH52" s="43" t="n"/>
      <c r="AI52" s="42" t="n"/>
      <c r="AJ52" s="43" t="n"/>
      <c r="AK52" s="42" t="n"/>
      <c r="AL52" s="43" t="n"/>
      <c r="AM52" s="42" t="n"/>
      <c r="AN52" s="43" t="n"/>
      <c r="AO52" s="42" t="n"/>
      <c r="AP52" s="43" t="n"/>
      <c r="AQ52" s="42" t="n"/>
      <c r="AR52" s="888">
        <f>IFERROR(IF(VLOOKUP($B52,Medewerker!$C$8:$I$107,7,FALSE)="",VLOOKUP($B52,Medewerker!$C$8:$I$107,5,FALSE),0),0)</f>
        <v/>
      </c>
      <c r="AS52" s="888">
        <f>IFERROR(IF(B52="",1,IF(VLOOKUP($B52,Medewerker!$C$8:$I$107,7,FALSE)="",VLOOKUP($B52,Medewerker!$C$8:$I$107,6,FALSE),0)),0)</f>
        <v/>
      </c>
      <c r="AT52" s="45" t="n"/>
      <c r="AU52" s="46">
        <f>(COUNTIF(F52:AQ52,"afw"))/2</f>
        <v/>
      </c>
      <c r="AV52" s="111">
        <f>((38-(COUNTIF(F52:AQ52,"")))/2)-(COUNTIF(F52:AQ52,"p")/2)-(COUNTIF(F52:AQ52,CONCATENATE("x","*"))/4)</f>
        <v/>
      </c>
      <c r="AW52" s="73">
        <f>IF($B52="","",VLOOKUP($B52,Medewerker!$C$8:$E$107,3,FALSE))</f>
        <v/>
      </c>
      <c r="AX52" s="403">
        <f>IFERROR(VLOOKUP($B52,Planning!$B$6:$AG$105,32,FALSE)*24,"")</f>
        <v/>
      </c>
      <c r="AY52" s="837" t="inlineStr">
        <is>
          <t>sl</t>
        </is>
      </c>
      <c r="AZ52" s="71" t="inlineStr">
        <is>
          <t>Shift leiden</t>
        </is>
      </c>
      <c r="BA52" s="111">
        <f>COUNTIF($F$13:$AQ$63,CONCATENATE(AY52,"*"))/2+COUNTIF($F$13:$AQ$63,CONCATENATE("x",AY52,"*"))/4</f>
        <v/>
      </c>
      <c r="BB52" s="838" t="n"/>
      <c r="BC52" s="31">
        <f>IF(Planning!B45="","",Planning!B45)</f>
        <v/>
      </c>
      <c r="BD52" s="105" t="n"/>
      <c r="BE52" s="885">
        <f>Planning!E45</f>
        <v/>
      </c>
      <c r="BF52" s="885">
        <f>Planning!F45</f>
        <v/>
      </c>
      <c r="BG52" s="886" t="n"/>
      <c r="BH52" s="105" t="n"/>
      <c r="BI52" s="885">
        <f>Planning!I45</f>
        <v/>
      </c>
      <c r="BJ52" s="885">
        <f>Planning!J45</f>
        <v/>
      </c>
      <c r="BK52" s="886" t="n"/>
      <c r="BL52" s="105" t="n"/>
      <c r="BM52" s="885">
        <f>Planning!M45</f>
        <v/>
      </c>
      <c r="BN52" s="885">
        <f>Planning!N45</f>
        <v/>
      </c>
      <c r="BO52" s="886" t="n"/>
      <c r="BP52" s="105" t="n"/>
      <c r="BQ52" s="885">
        <f>Planning!Q45</f>
        <v/>
      </c>
      <c r="BR52" s="885">
        <f>Planning!R45</f>
        <v/>
      </c>
      <c r="BS52" s="886" t="n"/>
      <c r="BT52" s="105" t="n"/>
      <c r="BU52" s="885">
        <f>Planning!U45</f>
        <v/>
      </c>
      <c r="BV52" s="885">
        <f>Planning!V45</f>
        <v/>
      </c>
      <c r="BW52" s="886" t="n"/>
      <c r="BX52" s="105" t="n"/>
      <c r="BY52" s="885">
        <f>Planning!Y45</f>
        <v/>
      </c>
      <c r="BZ52" s="885">
        <f>Planning!Z45</f>
        <v/>
      </c>
      <c r="CA52" s="886" t="n"/>
      <c r="CB52" s="105" t="n"/>
      <c r="CC52" s="885">
        <f>Planning!AC45</f>
        <v/>
      </c>
      <c r="CD52" s="885">
        <f>Planning!AD45</f>
        <v/>
      </c>
      <c r="CE52" s="886" t="n"/>
      <c r="CF52" s="105" t="n"/>
      <c r="CG52" s="887">
        <f>Planning!AG45</f>
        <v/>
      </c>
      <c r="CH52" s="105" t="n"/>
      <c r="CI52" s="252">
        <f>IF(BC52="","",Planning!AI45)</f>
        <v/>
      </c>
      <c r="CJ52" s="252">
        <f>IF(BC52="","",Planning!AJ45)</f>
        <v/>
      </c>
      <c r="CK52" s="252">
        <f>IF(BC52="","",Planning!AK45)</f>
        <v/>
      </c>
      <c r="CL52" s="252">
        <f>IF(BC52="","",Planning!AH45)</f>
        <v/>
      </c>
      <c r="CM52" s="21" t="n"/>
    </row>
    <row r="53" ht="12.75" customHeight="1">
      <c r="A53" s="161">
        <f>IFERROR(IF(VLOOKUP($B53,$BC$13:$CL$86,36,FALSE)&gt;5,0,IF(COUNTIF($B$13:$B$63,$B53)&gt;1,0,41)),41)+IF(B53&lt;&gt;0,0,IF(AV53&gt;0,0.000001,0))</f>
        <v/>
      </c>
      <c r="B53" s="129" t="n"/>
      <c r="C53" s="48">
        <f>IFERROR(IF($B53="","",VLOOKUP($B53,Medewerker!$C$8:$AI$107,33,FALSE)),"?")</f>
        <v/>
      </c>
      <c r="D53" s="879">
        <f t="array" ref="D53">IFERROR(IF(LEFT(INDEX($F53:$AQ53,1,SUM(SMALL(IF($F53:$AQ53&lt;&gt;"",COLUMN($F53:$AQ53)),1)-5)),1)="x",SUM(SMALL(IF($F53:$AQ53&lt;&gt;"",$F$11:$AQ$11),1)+"0:15"),SMALL(IF($F53:$AQ53&lt;&gt;"",$F$11:$AQ$11),1)),"")</f>
        <v/>
      </c>
      <c r="E53" s="879">
        <f t="array" ref="E53">IFERROR(IF(LEFT(INDEX($F53:$AQ53,1,SUM(LARGE(IF($F53:$AQ53&lt;&gt;"",COLUMN($F53:$AQ53)),1)-5)),1)="x",SUM(LARGE(IF($F53:$AQ53&lt;&gt;"",$F$11:$AQ$11+"0:30:00"),1)-"0:15"),LARGE(IF($F53:$AQ53&lt;&gt;"",$F$11:$AQ$11+"0:30:00"),1)),"")</f>
        <v/>
      </c>
      <c r="F53" s="43" t="n"/>
      <c r="G53" s="42" t="n"/>
      <c r="H53" s="43" t="n"/>
      <c r="I53" s="42" t="n"/>
      <c r="J53" s="43" t="n"/>
      <c r="K53" s="42" t="n"/>
      <c r="L53" s="43" t="n"/>
      <c r="M53" s="42" t="n"/>
      <c r="N53" s="43" t="n"/>
      <c r="O53" s="42" t="n"/>
      <c r="P53" s="43" t="n"/>
      <c r="Q53" s="42" t="n"/>
      <c r="R53" s="43" t="n"/>
      <c r="S53" s="42" t="n"/>
      <c r="T53" s="43" t="n"/>
      <c r="U53" s="42" t="n"/>
      <c r="V53" s="43" t="n"/>
      <c r="W53" s="42" t="n"/>
      <c r="X53" s="43" t="n"/>
      <c r="Y53" s="42" t="n"/>
      <c r="Z53" s="43" t="n"/>
      <c r="AA53" s="42" t="n"/>
      <c r="AB53" s="43" t="n"/>
      <c r="AC53" s="42" t="n"/>
      <c r="AD53" s="43" t="n"/>
      <c r="AE53" s="42" t="n"/>
      <c r="AF53" s="43" t="n"/>
      <c r="AG53" s="42" t="n"/>
      <c r="AH53" s="43" t="n"/>
      <c r="AI53" s="42" t="n"/>
      <c r="AJ53" s="43" t="n"/>
      <c r="AK53" s="42" t="n"/>
      <c r="AL53" s="43" t="n"/>
      <c r="AM53" s="42" t="n"/>
      <c r="AN53" s="43" t="n"/>
      <c r="AO53" s="42" t="n"/>
      <c r="AP53" s="43" t="n"/>
      <c r="AQ53" s="42" t="n"/>
      <c r="AR53" s="888">
        <f>IFERROR(IF(VLOOKUP($B53,Medewerker!$C$8:$I$107,7,FALSE)="",VLOOKUP($B53,Medewerker!$C$8:$I$107,5,FALSE),0),0)</f>
        <v/>
      </c>
      <c r="AS53" s="888">
        <f>IFERROR(IF(B53="",1,IF(VLOOKUP($B53,Medewerker!$C$8:$I$107,7,FALSE)="",VLOOKUP($B53,Medewerker!$C$8:$I$107,6,FALSE),0)),0)</f>
        <v/>
      </c>
      <c r="AT53" s="45" t="n"/>
      <c r="AU53" s="46">
        <f>(COUNTIF(F53:AQ53,"afw"))/2</f>
        <v/>
      </c>
      <c r="AV53" s="111">
        <f>((38-(COUNTIF(F53:AQ53,"")))/2)-(COUNTIF(F53:AQ53,"p")/2)-(COUNTIF(F53:AQ53,CONCATENATE("x","*"))/4)</f>
        <v/>
      </c>
      <c r="AW53" s="73">
        <f>IF($B53="","",VLOOKUP($B53,Medewerker!$C$8:$E$107,3,FALSE))</f>
        <v/>
      </c>
      <c r="AX53" s="403">
        <f>IFERROR(VLOOKUP($B53,Planning!$B$6:$AG$105,32,FALSE)*24,"")</f>
        <v/>
      </c>
      <c r="AY53" s="837" t="inlineStr">
        <is>
          <t>vp</t>
        </is>
      </c>
      <c r="AZ53" s="71" t="inlineStr">
        <is>
          <t>Vulshiftplanning</t>
        </is>
      </c>
      <c r="BA53" s="111">
        <f>COUNTIF($F$13:$AQ$63,CONCATENATE(AY53,"*"))/2+COUNTIF($F$13:$AQ$63,CONCATENATE("x",AY53,"*"))/4</f>
        <v/>
      </c>
      <c r="BB53" s="838" t="n"/>
      <c r="BC53" s="31">
        <f>IF(Planning!B46="","",Planning!B46)</f>
        <v/>
      </c>
      <c r="BD53" s="105" t="n"/>
      <c r="BE53" s="885">
        <f>Planning!E46</f>
        <v/>
      </c>
      <c r="BF53" s="885">
        <f>Planning!F46</f>
        <v/>
      </c>
      <c r="BG53" s="886" t="n"/>
      <c r="BH53" s="105" t="n"/>
      <c r="BI53" s="885">
        <f>Planning!I46</f>
        <v/>
      </c>
      <c r="BJ53" s="885">
        <f>Planning!J46</f>
        <v/>
      </c>
      <c r="BK53" s="886" t="n"/>
      <c r="BL53" s="105" t="n"/>
      <c r="BM53" s="885">
        <f>Planning!M46</f>
        <v/>
      </c>
      <c r="BN53" s="885">
        <f>Planning!N46</f>
        <v/>
      </c>
      <c r="BO53" s="886" t="n"/>
      <c r="BP53" s="105" t="n"/>
      <c r="BQ53" s="885">
        <f>Planning!Q46</f>
        <v/>
      </c>
      <c r="BR53" s="885">
        <f>Planning!R46</f>
        <v/>
      </c>
      <c r="BS53" s="886" t="n"/>
      <c r="BT53" s="105" t="n"/>
      <c r="BU53" s="885">
        <f>Planning!U46</f>
        <v/>
      </c>
      <c r="BV53" s="885">
        <f>Planning!V46</f>
        <v/>
      </c>
      <c r="BW53" s="886" t="n"/>
      <c r="BX53" s="105" t="n"/>
      <c r="BY53" s="885">
        <f>Planning!Y46</f>
        <v/>
      </c>
      <c r="BZ53" s="885">
        <f>Planning!Z46</f>
        <v/>
      </c>
      <c r="CA53" s="886" t="n"/>
      <c r="CB53" s="105" t="n"/>
      <c r="CC53" s="885">
        <f>Planning!AC46</f>
        <v/>
      </c>
      <c r="CD53" s="885">
        <f>Planning!AD46</f>
        <v/>
      </c>
      <c r="CE53" s="886" t="n"/>
      <c r="CF53" s="105" t="n"/>
      <c r="CG53" s="887">
        <f>Planning!AG46</f>
        <v/>
      </c>
      <c r="CH53" s="105" t="n"/>
      <c r="CI53" s="252">
        <f>IF(BC53="","",Planning!AI46)</f>
        <v/>
      </c>
      <c r="CJ53" s="252">
        <f>IF(BC53="","",Planning!AJ46)</f>
        <v/>
      </c>
      <c r="CK53" s="252">
        <f>IF(BC53="","",Planning!AK46)</f>
        <v/>
      </c>
      <c r="CL53" s="252">
        <f>IF(BC53="","",Planning!AH46)</f>
        <v/>
      </c>
      <c r="CM53" s="21" t="n"/>
    </row>
    <row r="54" ht="12.75" customHeight="1">
      <c r="A54" s="161">
        <f>IFERROR(IF(VLOOKUP($B54,$BC$13:$CL$86,36,FALSE)&gt;5,0,IF(COUNTIF($B$13:$B$63,$B54)&gt;1,0,42)),42)+IF(B54&lt;&gt;0,0,IF(AV54&gt;0,0.000001,0))</f>
        <v/>
      </c>
      <c r="B54" s="129" t="n"/>
      <c r="C54" s="48">
        <f>IFERROR(IF($B54="","",VLOOKUP($B54,Medewerker!$C$8:$AI$107,33,FALSE)),"?")</f>
        <v/>
      </c>
      <c r="D54" s="879">
        <f t="array" ref="D54">IFERROR(IF(LEFT(INDEX($F54:$AQ54,1,SUM(SMALL(IF($F54:$AQ54&lt;&gt;"",COLUMN($F54:$AQ54)),1)-5)),1)="x",SUM(SMALL(IF($F54:$AQ54&lt;&gt;"",$F$11:$AQ$11),1)+"0:15"),SMALL(IF($F54:$AQ54&lt;&gt;"",$F$11:$AQ$11),1)),"")</f>
        <v/>
      </c>
      <c r="E54" s="879">
        <f t="array" ref="E54">IFERROR(IF(LEFT(INDEX($F54:$AQ54,1,SUM(LARGE(IF($F54:$AQ54&lt;&gt;"",COLUMN($F54:$AQ54)),1)-5)),1)="x",SUM(LARGE(IF($F54:$AQ54&lt;&gt;"",$F$11:$AQ$11+"0:30:00"),1)-"0:15"),LARGE(IF($F54:$AQ54&lt;&gt;"",$F$11:$AQ$11+"0:30:00"),1)),"")</f>
        <v/>
      </c>
      <c r="F54" s="43" t="n"/>
      <c r="G54" s="42" t="n"/>
      <c r="H54" s="43" t="n"/>
      <c r="I54" s="42" t="n"/>
      <c r="J54" s="43" t="n"/>
      <c r="K54" s="42" t="n"/>
      <c r="L54" s="43" t="n"/>
      <c r="M54" s="42" t="n"/>
      <c r="N54" s="43" t="n"/>
      <c r="O54" s="42" t="n"/>
      <c r="P54" s="43" t="n"/>
      <c r="Q54" s="42" t="n"/>
      <c r="R54" s="43" t="n"/>
      <c r="S54" s="42" t="n"/>
      <c r="T54" s="43" t="n"/>
      <c r="U54" s="42" t="n"/>
      <c r="V54" s="43" t="n"/>
      <c r="W54" s="42" t="n"/>
      <c r="X54" s="43" t="n"/>
      <c r="Y54" s="42" t="n"/>
      <c r="Z54" s="43" t="n"/>
      <c r="AA54" s="42" t="n"/>
      <c r="AB54" s="43" t="n"/>
      <c r="AC54" s="42" t="n"/>
      <c r="AD54" s="43" t="n"/>
      <c r="AE54" s="42" t="n"/>
      <c r="AF54" s="43" t="n"/>
      <c r="AG54" s="42" t="n"/>
      <c r="AH54" s="43" t="n"/>
      <c r="AI54" s="42" t="n"/>
      <c r="AJ54" s="43" t="n"/>
      <c r="AK54" s="42" t="n"/>
      <c r="AL54" s="43" t="n"/>
      <c r="AM54" s="42" t="n"/>
      <c r="AN54" s="43" t="n"/>
      <c r="AO54" s="42" t="n"/>
      <c r="AP54" s="43" t="n"/>
      <c r="AQ54" s="42" t="n"/>
      <c r="AR54" s="888">
        <f>IFERROR(IF(VLOOKUP($B54,Medewerker!$C$8:$I$107,7,FALSE)="",VLOOKUP($B54,Medewerker!$C$8:$I$107,5,FALSE),0),0)</f>
        <v/>
      </c>
      <c r="AS54" s="888">
        <f>IFERROR(IF(B54="",1,IF(VLOOKUP($B54,Medewerker!$C$8:$I$107,7,FALSE)="",VLOOKUP($B54,Medewerker!$C$8:$I$107,6,FALSE),0)),0)</f>
        <v/>
      </c>
      <c r="AT54" s="45" t="n"/>
      <c r="AU54" s="46">
        <f>(COUNTIF(F54:AQ54,"afw"))/2</f>
        <v/>
      </c>
      <c r="AV54" s="111">
        <f>((38-(COUNTIF(F54:AQ54,"")))/2)-(COUNTIF(F54:AQ54,"p")/2)-(COUNTIF(F54:AQ54,CONCATENATE("x","*"))/4)</f>
        <v/>
      </c>
      <c r="AW54" s="73">
        <f>IF($B54="","",VLOOKUP($B54,Medewerker!$C$8:$E$107,3,FALSE))</f>
        <v/>
      </c>
      <c r="AX54" s="403">
        <f>IFERROR(VLOOKUP($B54,Planning!$B$6:$AG$105,32,FALSE)*24,"")</f>
        <v/>
      </c>
      <c r="AY54" s="837" t="inlineStr">
        <is>
          <t>wh</t>
        </is>
      </c>
      <c r="AZ54" s="413" t="inlineStr">
        <is>
          <t>Winkelwagens halen</t>
        </is>
      </c>
      <c r="BA54" s="111">
        <f>COUNTIF($F$13:$AQ$63,CONCATENATE(AY54,"*"))/2+COUNTIF($F$13:$AQ$63,CONCATENATE("x",AY54,"*"))/4</f>
        <v/>
      </c>
      <c r="BB54" s="838" t="n"/>
      <c r="BC54" s="31">
        <f>IF(Planning!B47="","",Planning!B47)</f>
        <v/>
      </c>
      <c r="BD54" s="105" t="n"/>
      <c r="BE54" s="885">
        <f>Planning!E47</f>
        <v/>
      </c>
      <c r="BF54" s="885">
        <f>Planning!F47</f>
        <v/>
      </c>
      <c r="BG54" s="886" t="n"/>
      <c r="BH54" s="105" t="n"/>
      <c r="BI54" s="885">
        <f>Planning!I47</f>
        <v/>
      </c>
      <c r="BJ54" s="885">
        <f>Planning!J47</f>
        <v/>
      </c>
      <c r="BK54" s="886" t="n"/>
      <c r="BL54" s="105" t="n"/>
      <c r="BM54" s="885">
        <f>Planning!M47</f>
        <v/>
      </c>
      <c r="BN54" s="885">
        <f>Planning!N47</f>
        <v/>
      </c>
      <c r="BO54" s="886" t="n"/>
      <c r="BP54" s="105" t="n"/>
      <c r="BQ54" s="885">
        <f>Planning!Q47</f>
        <v/>
      </c>
      <c r="BR54" s="885">
        <f>Planning!R47</f>
        <v/>
      </c>
      <c r="BS54" s="886" t="n"/>
      <c r="BT54" s="105" t="n"/>
      <c r="BU54" s="885">
        <f>Planning!U47</f>
        <v/>
      </c>
      <c r="BV54" s="885">
        <f>Planning!V47</f>
        <v/>
      </c>
      <c r="BW54" s="886" t="n"/>
      <c r="BX54" s="105" t="n"/>
      <c r="BY54" s="885">
        <f>Planning!Y47</f>
        <v/>
      </c>
      <c r="BZ54" s="885">
        <f>Planning!Z47</f>
        <v/>
      </c>
      <c r="CA54" s="886" t="n"/>
      <c r="CB54" s="105" t="n"/>
      <c r="CC54" s="885">
        <f>Planning!AC47</f>
        <v/>
      </c>
      <c r="CD54" s="885">
        <f>Planning!AD47</f>
        <v/>
      </c>
      <c r="CE54" s="886" t="n"/>
      <c r="CF54" s="105" t="n"/>
      <c r="CG54" s="887">
        <f>Planning!AG47</f>
        <v/>
      </c>
      <c r="CH54" s="105" t="n"/>
      <c r="CI54" s="252">
        <f>IF(BC54="","",Planning!AI47)</f>
        <v/>
      </c>
      <c r="CJ54" s="252">
        <f>IF(BC54="","",Planning!AJ47)</f>
        <v/>
      </c>
      <c r="CK54" s="252">
        <f>IF(BC54="","",Planning!AK47)</f>
        <v/>
      </c>
      <c r="CL54" s="252">
        <f>IF(BC54="","",Planning!AH47)</f>
        <v/>
      </c>
      <c r="CM54" s="21" t="n"/>
    </row>
    <row r="55" ht="12.75" customHeight="1">
      <c r="A55" s="161">
        <f>IFERROR(IF(VLOOKUP($B55,$BC$13:$CL$86,36,FALSE)&gt;5,0,IF(COUNTIF($B$13:$B$63,$B55)&gt;1,0,43)),43)+IF(B55&lt;&gt;0,0,IF(AV55&gt;0,0.000001,0))</f>
        <v/>
      </c>
      <c r="B55" s="129" t="n"/>
      <c r="C55" s="48">
        <f>IFERROR(IF($B55="","",VLOOKUP($B55,Medewerker!$C$8:$AI$107,33,FALSE)),"?")</f>
        <v/>
      </c>
      <c r="D55" s="879">
        <f t="array" ref="D55">IFERROR(IF(LEFT(INDEX($F55:$AQ55,1,SUM(SMALL(IF($F55:$AQ55&lt;&gt;"",COLUMN($F55:$AQ55)),1)-5)),1)="x",SUM(SMALL(IF($F55:$AQ55&lt;&gt;"",$F$11:$AQ$11),1)+"0:15"),SMALL(IF($F55:$AQ55&lt;&gt;"",$F$11:$AQ$11),1)),"")</f>
        <v/>
      </c>
      <c r="E55" s="879">
        <f t="array" ref="E55">IFERROR(IF(LEFT(INDEX($F55:$AQ55,1,SUM(LARGE(IF($F55:$AQ55&lt;&gt;"",COLUMN($F55:$AQ55)),1)-5)),1)="x",SUM(LARGE(IF($F55:$AQ55&lt;&gt;"",$F$11:$AQ$11+"0:30:00"),1)-"0:15"),LARGE(IF($F55:$AQ55&lt;&gt;"",$F$11:$AQ$11+"0:30:00"),1)),"")</f>
        <v/>
      </c>
      <c r="F55" s="43" t="n"/>
      <c r="G55" s="42" t="n"/>
      <c r="H55" s="43" t="n"/>
      <c r="I55" s="42" t="n"/>
      <c r="J55" s="43" t="n"/>
      <c r="K55" s="42" t="n"/>
      <c r="L55" s="43" t="n"/>
      <c r="M55" s="42" t="n"/>
      <c r="N55" s="43" t="n"/>
      <c r="O55" s="42" t="n"/>
      <c r="P55" s="43" t="n"/>
      <c r="Q55" s="42" t="n"/>
      <c r="R55" s="43" t="n"/>
      <c r="S55" s="42" t="n"/>
      <c r="T55" s="43" t="n"/>
      <c r="U55" s="42" t="n"/>
      <c r="V55" s="43" t="n"/>
      <c r="W55" s="42" t="n"/>
      <c r="X55" s="43" t="n"/>
      <c r="Y55" s="42" t="n"/>
      <c r="Z55" s="43" t="n"/>
      <c r="AA55" s="42" t="n"/>
      <c r="AB55" s="43" t="n"/>
      <c r="AC55" s="42" t="n"/>
      <c r="AD55" s="43" t="n"/>
      <c r="AE55" s="42" t="n"/>
      <c r="AF55" s="43" t="n"/>
      <c r="AG55" s="42" t="n"/>
      <c r="AH55" s="43" t="n"/>
      <c r="AI55" s="42" t="n"/>
      <c r="AJ55" s="43" t="n"/>
      <c r="AK55" s="42" t="n"/>
      <c r="AL55" s="43" t="n"/>
      <c r="AM55" s="42" t="n"/>
      <c r="AN55" s="43" t="n"/>
      <c r="AO55" s="42" t="n"/>
      <c r="AP55" s="43" t="n"/>
      <c r="AQ55" s="42" t="n"/>
      <c r="AR55" s="888">
        <f>IFERROR(IF(VLOOKUP($B55,Medewerker!$C$8:$I$107,7,FALSE)="",VLOOKUP($B55,Medewerker!$C$8:$I$107,5,FALSE),0),0)</f>
        <v/>
      </c>
      <c r="AS55" s="888">
        <f>IFERROR(IF(B55="",1,IF(VLOOKUP($B55,Medewerker!$C$8:$I$107,7,FALSE)="",VLOOKUP($B55,Medewerker!$C$8:$I$107,6,FALSE),0)),0)</f>
        <v/>
      </c>
      <c r="AT55" s="45" t="n"/>
      <c r="AU55" s="46">
        <f>(COUNTIF(F55:AQ55,"afw"))/2</f>
        <v/>
      </c>
      <c r="AV55" s="111">
        <f>((38-(COUNTIF(F55:AQ55,"")))/2)-(COUNTIF(F55:AQ55,"p")/2)-(COUNTIF(F55:AQ55,CONCATENATE("x","*"))/4)</f>
        <v/>
      </c>
      <c r="AW55" s="73">
        <f>IF($B55="","",VLOOKUP($B55,Medewerker!$C$8:$E$107,3,FALSE))</f>
        <v/>
      </c>
      <c r="AX55" s="403">
        <f>IFERROR(VLOOKUP($B55,Planning!$B$6:$AG$105,32,FALSE)*24,"")</f>
        <v/>
      </c>
      <c r="AY55" s="837" t="inlineStr">
        <is>
          <t>wp</t>
        </is>
      </c>
      <c r="AZ55" s="71" t="inlineStr">
        <is>
          <t>Weekplanning</t>
        </is>
      </c>
      <c r="BA55" s="111">
        <f>COUNTIF($F$13:$AQ$63,CONCATENATE(AY55,"*"))/2+COUNTIF($F$13:$AQ$63,CONCATENATE("x",AY55,"*"))/4</f>
        <v/>
      </c>
      <c r="BB55" s="838" t="n"/>
      <c r="BC55" s="31">
        <f>IF(Planning!B48="","",Planning!B48)</f>
        <v/>
      </c>
      <c r="BD55" s="105" t="n"/>
      <c r="BE55" s="885">
        <f>Planning!E48</f>
        <v/>
      </c>
      <c r="BF55" s="885">
        <f>Planning!F48</f>
        <v/>
      </c>
      <c r="BG55" s="886" t="n"/>
      <c r="BH55" s="105" t="n"/>
      <c r="BI55" s="885">
        <f>Planning!I48</f>
        <v/>
      </c>
      <c r="BJ55" s="885">
        <f>Planning!J48</f>
        <v/>
      </c>
      <c r="BK55" s="886" t="n"/>
      <c r="BL55" s="105" t="n"/>
      <c r="BM55" s="885">
        <f>Planning!M48</f>
        <v/>
      </c>
      <c r="BN55" s="885">
        <f>Planning!N48</f>
        <v/>
      </c>
      <c r="BO55" s="886" t="n"/>
      <c r="BP55" s="105" t="n"/>
      <c r="BQ55" s="885">
        <f>Planning!Q48</f>
        <v/>
      </c>
      <c r="BR55" s="885">
        <f>Planning!R48</f>
        <v/>
      </c>
      <c r="BS55" s="886" t="n"/>
      <c r="BT55" s="105" t="n"/>
      <c r="BU55" s="885">
        <f>Planning!U48</f>
        <v/>
      </c>
      <c r="BV55" s="885">
        <f>Planning!V48</f>
        <v/>
      </c>
      <c r="BW55" s="886" t="n"/>
      <c r="BX55" s="105" t="n"/>
      <c r="BY55" s="885">
        <f>Planning!Y48</f>
        <v/>
      </c>
      <c r="BZ55" s="885">
        <f>Planning!Z48</f>
        <v/>
      </c>
      <c r="CA55" s="886" t="n"/>
      <c r="CB55" s="105" t="n"/>
      <c r="CC55" s="885">
        <f>Planning!AC48</f>
        <v/>
      </c>
      <c r="CD55" s="885">
        <f>Planning!AD48</f>
        <v/>
      </c>
      <c r="CE55" s="886" t="n"/>
      <c r="CF55" s="105" t="n"/>
      <c r="CG55" s="887">
        <f>Planning!AG48</f>
        <v/>
      </c>
      <c r="CH55" s="105" t="n"/>
      <c r="CI55" s="252">
        <f>IF(BC55="","",Planning!AI48)</f>
        <v/>
      </c>
      <c r="CJ55" s="252">
        <f>IF(BC55="","",Planning!AJ48)</f>
        <v/>
      </c>
      <c r="CK55" s="252">
        <f>IF(BC55="","",Planning!AK48)</f>
        <v/>
      </c>
      <c r="CL55" s="252">
        <f>IF(BC55="","",Planning!AH48)</f>
        <v/>
      </c>
      <c r="CM55" s="21" t="n"/>
    </row>
    <row r="56" ht="12.75" customHeight="1">
      <c r="A56" s="161">
        <f>IFERROR(IF(VLOOKUP($B56,$BC$13:$CL$86,36,FALSE)&gt;5,0,IF(COUNTIF($B$13:$B$63,$B56)&gt;1,0,44)),44)+IF(B56&lt;&gt;0,0,IF(AV56&gt;0,0.000001,0))</f>
        <v/>
      </c>
      <c r="B56" s="129" t="n"/>
      <c r="C56" s="48">
        <f>IFERROR(IF($B56="","",VLOOKUP($B56,Medewerker!$C$8:$AI$107,33,FALSE)),"?")</f>
        <v/>
      </c>
      <c r="D56" s="879">
        <f t="array" ref="D56">IFERROR(IF(LEFT(INDEX($F56:$AQ56,1,SUM(SMALL(IF($F56:$AQ56&lt;&gt;"",COLUMN($F56:$AQ56)),1)-5)),1)="x",SUM(SMALL(IF($F56:$AQ56&lt;&gt;"",$F$11:$AQ$11),1)+"0:15"),SMALL(IF($F56:$AQ56&lt;&gt;"",$F$11:$AQ$11),1)),"")</f>
        <v/>
      </c>
      <c r="E56" s="879">
        <f t="array" ref="E56">IFERROR(IF(LEFT(INDEX($F56:$AQ56,1,SUM(LARGE(IF($F56:$AQ56&lt;&gt;"",COLUMN($F56:$AQ56)),1)-5)),1)="x",SUM(LARGE(IF($F56:$AQ56&lt;&gt;"",$F$11:$AQ$11+"0:30:00"),1)-"0:15"),LARGE(IF($F56:$AQ56&lt;&gt;"",$F$11:$AQ$11+"0:30:00"),1)),"")</f>
        <v/>
      </c>
      <c r="F56" s="43" t="n"/>
      <c r="G56" s="42" t="n"/>
      <c r="H56" s="43" t="n"/>
      <c r="I56" s="42" t="n"/>
      <c r="J56" s="43" t="n"/>
      <c r="K56" s="42" t="n"/>
      <c r="L56" s="43" t="n"/>
      <c r="M56" s="42" t="n"/>
      <c r="N56" s="43" t="n"/>
      <c r="O56" s="42" t="n"/>
      <c r="P56" s="43" t="n"/>
      <c r="Q56" s="42" t="n"/>
      <c r="R56" s="43" t="n"/>
      <c r="S56" s="42" t="n"/>
      <c r="T56" s="43" t="n"/>
      <c r="U56" s="42" t="n"/>
      <c r="V56" s="43" t="n"/>
      <c r="W56" s="42" t="n"/>
      <c r="X56" s="43" t="n"/>
      <c r="Y56" s="42" t="n"/>
      <c r="Z56" s="43" t="n"/>
      <c r="AA56" s="42" t="n"/>
      <c r="AB56" s="43" t="n"/>
      <c r="AC56" s="42" t="n"/>
      <c r="AD56" s="43" t="n"/>
      <c r="AE56" s="42" t="n"/>
      <c r="AF56" s="43" t="n"/>
      <c r="AG56" s="42" t="n"/>
      <c r="AH56" s="43" t="n"/>
      <c r="AI56" s="42" t="n"/>
      <c r="AJ56" s="43" t="n"/>
      <c r="AK56" s="42" t="n"/>
      <c r="AL56" s="43" t="n"/>
      <c r="AM56" s="42" t="n"/>
      <c r="AN56" s="43" t="n"/>
      <c r="AO56" s="42" t="n"/>
      <c r="AP56" s="43" t="n"/>
      <c r="AQ56" s="42" t="n"/>
      <c r="AR56" s="888">
        <f>IFERROR(IF(VLOOKUP($B56,Medewerker!$C$8:$I$107,7,FALSE)="",VLOOKUP($B56,Medewerker!$C$8:$I$107,5,FALSE),0),0)</f>
        <v/>
      </c>
      <c r="AS56" s="888">
        <f>IFERROR(IF(B56="",1,IF(VLOOKUP($B56,Medewerker!$C$8:$I$107,7,FALSE)="",VLOOKUP($B56,Medewerker!$C$8:$I$107,6,FALSE),0)),0)</f>
        <v/>
      </c>
      <c r="AT56" s="45" t="n"/>
      <c r="AU56" s="46">
        <f>(COUNTIF(F56:AQ56,"afw"))/2</f>
        <v/>
      </c>
      <c r="AV56" s="111">
        <f>((38-(COUNTIF(F56:AQ56,"")))/2)-(COUNTIF(F56:AQ56,"p")/2)-(COUNTIF(F56:AQ56,CONCATENATE("x","*"))/4)</f>
        <v/>
      </c>
      <c r="AW56" s="73">
        <f>IF($B56="","",VLOOKUP($B56,Medewerker!$C$8:$E$107,3,FALSE))</f>
        <v/>
      </c>
      <c r="AX56" s="403">
        <f>IFERROR(VLOOKUP($B56,Planning!$B$6:$AG$105,32,FALSE)*24,"")</f>
        <v/>
      </c>
      <c r="AY56" s="558" t="inlineStr">
        <is>
          <t>wv</t>
        </is>
      </c>
      <c r="AZ56" s="71" t="inlineStr">
        <is>
          <t>Winkelverzorging</t>
        </is>
      </c>
      <c r="BA56" s="111">
        <f>COUNTIF($F$13:$AQ$63,CONCATENATE(AY56,"*"))/2+COUNTIF($F$13:$AQ$63,CONCATENATE("x",AY56,"*"))/4</f>
        <v/>
      </c>
      <c r="BB56" s="838" t="n"/>
      <c r="BC56" s="31">
        <f>IF(Planning!B49="","",Planning!B49)</f>
        <v/>
      </c>
      <c r="BD56" s="105" t="n"/>
      <c r="BE56" s="885">
        <f>Planning!E49</f>
        <v/>
      </c>
      <c r="BF56" s="885">
        <f>Planning!F49</f>
        <v/>
      </c>
      <c r="BG56" s="886" t="n"/>
      <c r="BH56" s="105" t="n"/>
      <c r="BI56" s="885">
        <f>Planning!I49</f>
        <v/>
      </c>
      <c r="BJ56" s="885">
        <f>Planning!J49</f>
        <v/>
      </c>
      <c r="BK56" s="886" t="n"/>
      <c r="BL56" s="105" t="n"/>
      <c r="BM56" s="885">
        <f>Planning!M49</f>
        <v/>
      </c>
      <c r="BN56" s="885">
        <f>Planning!N49</f>
        <v/>
      </c>
      <c r="BO56" s="886" t="n"/>
      <c r="BP56" s="105" t="n"/>
      <c r="BQ56" s="885">
        <f>Planning!Q49</f>
        <v/>
      </c>
      <c r="BR56" s="885">
        <f>Planning!R49</f>
        <v/>
      </c>
      <c r="BS56" s="886" t="n"/>
      <c r="BT56" s="105" t="n"/>
      <c r="BU56" s="885">
        <f>Planning!U49</f>
        <v/>
      </c>
      <c r="BV56" s="885">
        <f>Planning!V49</f>
        <v/>
      </c>
      <c r="BW56" s="886" t="n"/>
      <c r="BX56" s="105" t="n"/>
      <c r="BY56" s="885">
        <f>Planning!Y49</f>
        <v/>
      </c>
      <c r="BZ56" s="885">
        <f>Planning!Z49</f>
        <v/>
      </c>
      <c r="CA56" s="886" t="n"/>
      <c r="CB56" s="105" t="n"/>
      <c r="CC56" s="885">
        <f>Planning!AC49</f>
        <v/>
      </c>
      <c r="CD56" s="885">
        <f>Planning!AD49</f>
        <v/>
      </c>
      <c r="CE56" s="886" t="n"/>
      <c r="CF56" s="105" t="n"/>
      <c r="CG56" s="887">
        <f>Planning!AG49</f>
        <v/>
      </c>
      <c r="CH56" s="105" t="n"/>
      <c r="CI56" s="252">
        <f>IF(BC56="","",Planning!AI49)</f>
        <v/>
      </c>
      <c r="CJ56" s="252">
        <f>IF(BC56="","",Planning!AJ49)</f>
        <v/>
      </c>
      <c r="CK56" s="252">
        <f>IF(BC56="","",Planning!AK49)</f>
        <v/>
      </c>
      <c r="CL56" s="252">
        <f>IF(BC56="","",Planning!AH49)</f>
        <v/>
      </c>
      <c r="CM56" s="21" t="n"/>
    </row>
    <row r="57" ht="12.75" customHeight="1">
      <c r="A57" s="161">
        <f>IFERROR(IF(VLOOKUP($B57,$BC$13:$CL$86,36,FALSE)&gt;5,0,IF(COUNTIF($B$13:$B$63,$B57)&gt;1,0,45)),45)+IF(B57&lt;&gt;0,0,IF(AV57&gt;0,0.000001,0))</f>
        <v/>
      </c>
      <c r="B57" s="129" t="n"/>
      <c r="C57" s="48">
        <f>IFERROR(IF($B57="","",VLOOKUP($B57,Medewerker!$C$8:$AI$107,33,FALSE)),"?")</f>
        <v/>
      </c>
      <c r="D57" s="879">
        <f t="array" ref="D57">IFERROR(IF(LEFT(INDEX($F57:$AQ57,1,SUM(SMALL(IF($F57:$AQ57&lt;&gt;"",COLUMN($F57:$AQ57)),1)-5)),1)="x",SUM(SMALL(IF($F57:$AQ57&lt;&gt;"",$F$11:$AQ$11),1)+"0:15"),SMALL(IF($F57:$AQ57&lt;&gt;"",$F$11:$AQ$11),1)),"")</f>
        <v/>
      </c>
      <c r="E57" s="879">
        <f t="array" ref="E57">IFERROR(IF(LEFT(INDEX($F57:$AQ57,1,SUM(LARGE(IF($F57:$AQ57&lt;&gt;"",COLUMN($F57:$AQ57)),1)-5)),1)="x",SUM(LARGE(IF($F57:$AQ57&lt;&gt;"",$F$11:$AQ$11+"0:30:00"),1)-"0:15"),LARGE(IF($F57:$AQ57&lt;&gt;"",$F$11:$AQ$11+"0:30:00"),1)),"")</f>
        <v/>
      </c>
      <c r="F57" s="43" t="n"/>
      <c r="G57" s="42" t="n"/>
      <c r="H57" s="43" t="n"/>
      <c r="I57" s="42" t="n"/>
      <c r="J57" s="43" t="n"/>
      <c r="K57" s="42" t="n"/>
      <c r="L57" s="43" t="n"/>
      <c r="M57" s="42" t="n"/>
      <c r="N57" s="43" t="n"/>
      <c r="O57" s="42" t="n"/>
      <c r="P57" s="43" t="n"/>
      <c r="Q57" s="42" t="n"/>
      <c r="R57" s="43" t="n"/>
      <c r="S57" s="42" t="n"/>
      <c r="T57" s="43" t="n"/>
      <c r="U57" s="42" t="n"/>
      <c r="V57" s="43" t="n"/>
      <c r="W57" s="42" t="n"/>
      <c r="X57" s="43" t="n"/>
      <c r="Y57" s="42" t="n"/>
      <c r="Z57" s="43" t="n"/>
      <c r="AA57" s="42" t="n"/>
      <c r="AB57" s="43" t="n"/>
      <c r="AC57" s="42" t="n"/>
      <c r="AD57" s="43" t="n"/>
      <c r="AE57" s="42" t="n"/>
      <c r="AF57" s="43" t="n"/>
      <c r="AG57" s="42" t="n"/>
      <c r="AH57" s="43" t="n"/>
      <c r="AI57" s="42" t="n"/>
      <c r="AJ57" s="43" t="n"/>
      <c r="AK57" s="42" t="n"/>
      <c r="AL57" s="43" t="n"/>
      <c r="AM57" s="42" t="n"/>
      <c r="AN57" s="43" t="n"/>
      <c r="AO57" s="42" t="n"/>
      <c r="AP57" s="43" t="n"/>
      <c r="AQ57" s="42" t="n"/>
      <c r="AR57" s="888">
        <f>IFERROR(IF(VLOOKUP($B57,Medewerker!$C$8:$I$107,7,FALSE)="",VLOOKUP($B57,Medewerker!$C$8:$I$107,5,FALSE),0),0)</f>
        <v/>
      </c>
      <c r="AS57" s="888">
        <f>IFERROR(IF(B57="",1,IF(VLOOKUP($B57,Medewerker!$C$8:$I$107,7,FALSE)="",VLOOKUP($B57,Medewerker!$C$8:$I$107,6,FALSE),0)),0)</f>
        <v/>
      </c>
      <c r="AT57" s="45" t="n"/>
      <c r="AU57" s="46">
        <f>(COUNTIF(F57:AQ57,"afw"))/2</f>
        <v/>
      </c>
      <c r="AV57" s="111">
        <f>((38-(COUNTIF(F57:AQ57,"")))/2)-(COUNTIF(F57:AQ57,"p")/2)-(COUNTIF(F57:AQ57,CONCATENATE("x","*"))/4)</f>
        <v/>
      </c>
      <c r="AW57" s="73">
        <f>IF($B57="","",VLOOKUP($B57,Medewerker!$C$8:$E$107,3,FALSE))</f>
        <v/>
      </c>
      <c r="AX57" s="403">
        <f>IFERROR(VLOOKUP($B57,Planning!$B$6:$AG$105,32,FALSE)*24,"")</f>
        <v/>
      </c>
      <c r="AY57" s="837">
        <f>IF(Instellingen!I7="ja","pup","")</f>
        <v/>
      </c>
      <c r="AZ57" s="71">
        <f>IF(Instellingen!I7="ja","Pick-Up-Point","")</f>
        <v/>
      </c>
      <c r="BA57" s="111">
        <f>IF(Instellingen!I7="ja",COUNTIF($F$13:$AQ$63,CONCATENATE(AY57,"*"))/2+COUNTIF($F$13:$AQ$63,CONCATENATE("x",AY57,"*"))/4,"")</f>
        <v/>
      </c>
      <c r="BB57" s="838" t="n"/>
      <c r="BC57" s="31">
        <f>IF(Planning!B50="","",Planning!B50)</f>
        <v/>
      </c>
      <c r="BD57" s="105" t="n"/>
      <c r="BE57" s="885">
        <f>Planning!E50</f>
        <v/>
      </c>
      <c r="BF57" s="885">
        <f>Planning!F50</f>
        <v/>
      </c>
      <c r="BG57" s="886" t="n"/>
      <c r="BH57" s="105" t="n"/>
      <c r="BI57" s="885">
        <f>Planning!I50</f>
        <v/>
      </c>
      <c r="BJ57" s="885">
        <f>Planning!J50</f>
        <v/>
      </c>
      <c r="BK57" s="886" t="n"/>
      <c r="BL57" s="105" t="n"/>
      <c r="BM57" s="885">
        <f>Planning!M50</f>
        <v/>
      </c>
      <c r="BN57" s="885">
        <f>Planning!N50</f>
        <v/>
      </c>
      <c r="BO57" s="886" t="n"/>
      <c r="BP57" s="105" t="n"/>
      <c r="BQ57" s="885">
        <f>Planning!Q50</f>
        <v/>
      </c>
      <c r="BR57" s="885">
        <f>Planning!R50</f>
        <v/>
      </c>
      <c r="BS57" s="886" t="n"/>
      <c r="BT57" s="105" t="n"/>
      <c r="BU57" s="885">
        <f>Planning!U50</f>
        <v/>
      </c>
      <c r="BV57" s="885">
        <f>Planning!V50</f>
        <v/>
      </c>
      <c r="BW57" s="886" t="n"/>
      <c r="BX57" s="105" t="n"/>
      <c r="BY57" s="885">
        <f>Planning!Y50</f>
        <v/>
      </c>
      <c r="BZ57" s="885">
        <f>Planning!Z50</f>
        <v/>
      </c>
      <c r="CA57" s="886" t="n"/>
      <c r="CB57" s="105" t="n"/>
      <c r="CC57" s="885">
        <f>Planning!AC50</f>
        <v/>
      </c>
      <c r="CD57" s="885">
        <f>Planning!AD50</f>
        <v/>
      </c>
      <c r="CE57" s="886" t="n"/>
      <c r="CF57" s="105" t="n"/>
      <c r="CG57" s="887">
        <f>Planning!AG50</f>
        <v/>
      </c>
      <c r="CH57" s="105" t="n"/>
      <c r="CI57" s="252">
        <f>IF(BC57="","",Planning!AI50)</f>
        <v/>
      </c>
      <c r="CJ57" s="252">
        <f>IF(BC57="","",Planning!AJ50)</f>
        <v/>
      </c>
      <c r="CK57" s="252">
        <f>IF(BC57="","",Planning!AK50)</f>
        <v/>
      </c>
      <c r="CL57" s="252">
        <f>IF(BC57="","",Planning!AH50)</f>
        <v/>
      </c>
      <c r="CM57" s="21" t="n"/>
    </row>
    <row r="58" ht="12.75" customHeight="1">
      <c r="A58" s="161">
        <f>IFERROR(IF(VLOOKUP($B58,$BC$13:$CL$86,36,FALSE)&gt;5,0,IF(COUNTIF($B$13:$B$63,$B58)&gt;1,0,46)),46)+IF(B58&lt;&gt;0,0,IF(AV58&gt;0,0.000001,0))</f>
        <v/>
      </c>
      <c r="B58" s="129" t="n"/>
      <c r="C58" s="48">
        <f>IFERROR(IF($B58="","",VLOOKUP($B58,Medewerker!$C$8:$AI$107,33,FALSE)),"?")</f>
        <v/>
      </c>
      <c r="D58" s="879">
        <f t="array" ref="D58">IFERROR(IF(LEFT(INDEX($F58:$AQ58,1,SUM(SMALL(IF($F58:$AQ58&lt;&gt;"",COLUMN($F58:$AQ58)),1)-5)),1)="x",SUM(SMALL(IF($F58:$AQ58&lt;&gt;"",$F$11:$AQ$11),1)+"0:15"),SMALL(IF($F58:$AQ58&lt;&gt;"",$F$11:$AQ$11),1)),"")</f>
        <v/>
      </c>
      <c r="E58" s="879">
        <f t="array" ref="E58">IFERROR(IF(LEFT(INDEX($F58:$AQ58,1,SUM(LARGE(IF($F58:$AQ58&lt;&gt;"",COLUMN($F58:$AQ58)),1)-5)),1)="x",SUM(LARGE(IF($F58:$AQ58&lt;&gt;"",$F$11:$AQ$11+"0:30:00"),1)-"0:15"),LARGE(IF($F58:$AQ58&lt;&gt;"",$F$11:$AQ$11+"0:30:00"),1)),"")</f>
        <v/>
      </c>
      <c r="F58" s="43" t="n"/>
      <c r="G58" s="42" t="n"/>
      <c r="H58" s="43" t="n"/>
      <c r="I58" s="42" t="n"/>
      <c r="J58" s="43" t="n"/>
      <c r="K58" s="41" t="n"/>
      <c r="L58" s="40" t="n"/>
      <c r="M58" s="42" t="n"/>
      <c r="N58" s="43" t="n"/>
      <c r="O58" s="41" t="n"/>
      <c r="P58" s="40" t="n"/>
      <c r="Q58" s="42" t="n"/>
      <c r="R58" s="43" t="n"/>
      <c r="S58" s="41" t="n"/>
      <c r="T58" s="40" t="n"/>
      <c r="U58" s="42" t="n"/>
      <c r="V58" s="43" t="n"/>
      <c r="W58" s="41" t="n"/>
      <c r="X58" s="40" t="n"/>
      <c r="Y58" s="42" t="n"/>
      <c r="Z58" s="43" t="n"/>
      <c r="AA58" s="41" t="n"/>
      <c r="AB58" s="40" t="n"/>
      <c r="AC58" s="42" t="n"/>
      <c r="AD58" s="43" t="n"/>
      <c r="AE58" s="41" t="n"/>
      <c r="AF58" s="40" t="n"/>
      <c r="AG58" s="42" t="n"/>
      <c r="AH58" s="43" t="n"/>
      <c r="AI58" s="43" t="n"/>
      <c r="AJ58" s="43" t="n"/>
      <c r="AK58" s="43" t="n"/>
      <c r="AL58" s="43" t="n"/>
      <c r="AM58" s="43" t="n"/>
      <c r="AN58" s="43" t="n"/>
      <c r="AO58" s="43" t="n"/>
      <c r="AP58" s="43" t="n"/>
      <c r="AQ58" s="42" t="n"/>
      <c r="AR58" s="888">
        <f>IFERROR(IF(VLOOKUP($B58,Medewerker!$C$8:$I$107,7,FALSE)="",VLOOKUP($B58,Medewerker!$C$8:$I$107,5,FALSE),0),0)</f>
        <v/>
      </c>
      <c r="AS58" s="888">
        <f>IFERROR(IF(B58="",1,IF(VLOOKUP($B58,Medewerker!$C$8:$I$107,7,FALSE)="",VLOOKUP($B58,Medewerker!$C$8:$I$107,6,FALSE),0)),0)</f>
        <v/>
      </c>
      <c r="AT58" s="45" t="n"/>
      <c r="AU58" s="46">
        <f>(COUNTIF(F58:AQ58,"afw"))/2</f>
        <v/>
      </c>
      <c r="AV58" s="111">
        <f>((38-(COUNTIF(F58:AQ58,"")))/2)-(COUNTIF(F58:AQ58,"p")/2)-(COUNTIF(F58:AQ58,CONCATENATE("x","*"))/4)</f>
        <v/>
      </c>
      <c r="AW58" s="73">
        <f>IF($B58="","",VLOOKUP($B58,Medewerker!$C$8:$E$107,3,FALSE))</f>
        <v/>
      </c>
      <c r="AX58" s="403">
        <f>IFERROR(VLOOKUP($B58,Planning!$B$6:$AG$105,32,FALSE)*24,"")</f>
        <v/>
      </c>
      <c r="AY58" s="527" t="n"/>
      <c r="AZ58" s="528" t="n"/>
      <c r="BA58" s="526">
        <f>IFERROR(IF(AY58="","",(COUNTIF($F$13:$AQ$63,CONCATENATE(AY58,"*"))/2+COUNTIF($F$13:$AQ$63,CONCATENATE("x",AY58,"*"))/4)),"")</f>
        <v/>
      </c>
      <c r="BB58" s="838" t="n"/>
      <c r="BC58" s="31">
        <f>IF(Planning!B51="","",Planning!B51)</f>
        <v/>
      </c>
      <c r="BD58" s="105" t="n"/>
      <c r="BE58" s="885">
        <f>Planning!E51</f>
        <v/>
      </c>
      <c r="BF58" s="885">
        <f>Planning!F51</f>
        <v/>
      </c>
      <c r="BG58" s="886" t="n"/>
      <c r="BH58" s="105" t="n"/>
      <c r="BI58" s="885">
        <f>Planning!I51</f>
        <v/>
      </c>
      <c r="BJ58" s="885">
        <f>Planning!J51</f>
        <v/>
      </c>
      <c r="BK58" s="886" t="n"/>
      <c r="BL58" s="105" t="n"/>
      <c r="BM58" s="885">
        <f>Planning!M51</f>
        <v/>
      </c>
      <c r="BN58" s="885">
        <f>Planning!N51</f>
        <v/>
      </c>
      <c r="BO58" s="886" t="n"/>
      <c r="BP58" s="105" t="n"/>
      <c r="BQ58" s="885">
        <f>Planning!Q51</f>
        <v/>
      </c>
      <c r="BR58" s="885">
        <f>Planning!R51</f>
        <v/>
      </c>
      <c r="BS58" s="886" t="n"/>
      <c r="BT58" s="105" t="n"/>
      <c r="BU58" s="885">
        <f>Planning!U51</f>
        <v/>
      </c>
      <c r="BV58" s="885">
        <f>Planning!V51</f>
        <v/>
      </c>
      <c r="BW58" s="886" t="n"/>
      <c r="BX58" s="105" t="n"/>
      <c r="BY58" s="885">
        <f>Planning!Y51</f>
        <v/>
      </c>
      <c r="BZ58" s="885">
        <f>Planning!Z51</f>
        <v/>
      </c>
      <c r="CA58" s="886" t="n"/>
      <c r="CB58" s="105" t="n"/>
      <c r="CC58" s="885">
        <f>Planning!AC51</f>
        <v/>
      </c>
      <c r="CD58" s="885">
        <f>Planning!AD51</f>
        <v/>
      </c>
      <c r="CE58" s="886" t="n"/>
      <c r="CF58" s="105" t="n"/>
      <c r="CG58" s="887">
        <f>Planning!AG51</f>
        <v/>
      </c>
      <c r="CH58" s="105" t="n"/>
      <c r="CI58" s="252">
        <f>IF(BC58="","",Planning!AI51)</f>
        <v/>
      </c>
      <c r="CJ58" s="252">
        <f>IF(BC58="","",Planning!AJ51)</f>
        <v/>
      </c>
      <c r="CK58" s="252">
        <f>IF(BC58="","",Planning!AK51)</f>
        <v/>
      </c>
      <c r="CL58" s="252">
        <f>IF(BC58="","",Planning!AH51)</f>
        <v/>
      </c>
      <c r="CM58" s="21" t="n"/>
    </row>
    <row r="59" ht="12.75" customHeight="1">
      <c r="A59" s="161">
        <f>IFERROR(IF(VLOOKUP($B59,$BC$13:$CL$86,36,FALSE)&gt;5,0,IF(COUNTIF($B$13:$B$63,$B59)&gt;1,0,47)),47)+IF(B59&lt;&gt;0,0,IF(AV59&gt;0,0.000001,0))</f>
        <v/>
      </c>
      <c r="B59" s="129" t="n"/>
      <c r="C59" s="48">
        <f>IFERROR(IF($B59="","",VLOOKUP($B59,Medewerker!$C$8:$AI$107,33,FALSE)),"?")</f>
        <v/>
      </c>
      <c r="D59" s="879">
        <f t="array" ref="D59">IFERROR(IF(LEFT(INDEX($F59:$AQ59,1,SUM(SMALL(IF($F59:$AQ59&lt;&gt;"",COLUMN($F59:$AQ59)),1)-5)),1)="x",SUM(SMALL(IF($F59:$AQ59&lt;&gt;"",$F$11:$AQ$11),1)+"0:15"),SMALL(IF($F59:$AQ59&lt;&gt;"",$F$11:$AQ$11),1)),"")</f>
        <v/>
      </c>
      <c r="E59" s="879">
        <f t="array" ref="E59">IFERROR(IF(LEFT(INDEX($F59:$AQ59,1,SUM(LARGE(IF($F59:$AQ59&lt;&gt;"",COLUMN($F59:$AQ59)),1)-5)),1)="x",SUM(LARGE(IF($F59:$AQ59&lt;&gt;"",$F$11:$AQ$11+"0:30:00"),1)-"0:15"),LARGE(IF($F59:$AQ59&lt;&gt;"",$F$11:$AQ$11+"0:30:00"),1)),"")</f>
        <v/>
      </c>
      <c r="F59" s="43" t="n"/>
      <c r="G59" s="42" t="n"/>
      <c r="H59" s="43" t="n"/>
      <c r="I59" s="42" t="n"/>
      <c r="J59" s="43" t="n"/>
      <c r="K59" s="41" t="n"/>
      <c r="L59" s="40" t="n"/>
      <c r="M59" s="42" t="n"/>
      <c r="N59" s="43" t="n"/>
      <c r="O59" s="41" t="n"/>
      <c r="P59" s="40" t="n"/>
      <c r="Q59" s="42" t="n"/>
      <c r="R59" s="43" t="n"/>
      <c r="S59" s="41" t="n"/>
      <c r="T59" s="40" t="n"/>
      <c r="U59" s="42" t="n"/>
      <c r="V59" s="43" t="n"/>
      <c r="W59" s="41" t="n"/>
      <c r="X59" s="40" t="n"/>
      <c r="Y59" s="42" t="n"/>
      <c r="Z59" s="43" t="n"/>
      <c r="AA59" s="41" t="n"/>
      <c r="AB59" s="40" t="n"/>
      <c r="AC59" s="42" t="n"/>
      <c r="AD59" s="43" t="n"/>
      <c r="AE59" s="41" t="n"/>
      <c r="AF59" s="40" t="n"/>
      <c r="AG59" s="42" t="n"/>
      <c r="AH59" s="43" t="n"/>
      <c r="AI59" s="43" t="n"/>
      <c r="AJ59" s="43" t="n"/>
      <c r="AK59" s="43" t="n"/>
      <c r="AL59" s="43" t="n"/>
      <c r="AM59" s="43" t="n"/>
      <c r="AN59" s="43" t="n"/>
      <c r="AO59" s="43" t="n"/>
      <c r="AP59" s="43" t="n"/>
      <c r="AQ59" s="42" t="n"/>
      <c r="AR59" s="888">
        <f>IFERROR(IF(VLOOKUP($B59,Medewerker!$C$8:$I$107,7,FALSE)="",VLOOKUP($B59,Medewerker!$C$8:$I$107,5,FALSE),0),0)</f>
        <v/>
      </c>
      <c r="AS59" s="888">
        <f>IFERROR(IF(B59="",1,IF(VLOOKUP($B59,Medewerker!$C$8:$I$107,7,FALSE)="",VLOOKUP($B59,Medewerker!$C$8:$I$107,6,FALSE),0)),0)</f>
        <v/>
      </c>
      <c r="AT59" s="45" t="n"/>
      <c r="AU59" s="46">
        <f>(COUNTIF(F59:AQ59,"afw"))/2</f>
        <v/>
      </c>
      <c r="AV59" s="111">
        <f>((38-(COUNTIF(F59:AQ59,"")))/2)-(COUNTIF(F59:AQ59,"p")/2)-(COUNTIF(F59:AQ59,CONCATENATE("x","*"))/4)</f>
        <v/>
      </c>
      <c r="AW59" s="73">
        <f>IF($B59="","",VLOOKUP($B59,Medewerker!$C$8:$E$107,3,FALSE))</f>
        <v/>
      </c>
      <c r="AX59" s="403">
        <f>IFERROR(VLOOKUP($B59,Planning!$B$6:$AG$105,32,FALSE)*24,"")</f>
        <v/>
      </c>
      <c r="AY59" s="527" t="n"/>
      <c r="AZ59" s="528" t="n"/>
      <c r="BA59" s="526">
        <f>IFERROR(IF(AY59="","",(COUNTIF($F$13:$AQ$63,CONCATENATE(AY59,"*"))/2+COUNTIF($F$13:$AQ$63,CONCATENATE("x",AY59,"*"))/4)),"")</f>
        <v/>
      </c>
      <c r="BB59" s="838" t="n"/>
      <c r="BC59" s="31">
        <f>IF(Planning!B52="","",Planning!B52)</f>
        <v/>
      </c>
      <c r="BD59" s="105" t="n"/>
      <c r="BE59" s="885">
        <f>Planning!E52</f>
        <v/>
      </c>
      <c r="BF59" s="885">
        <f>Planning!F52</f>
        <v/>
      </c>
      <c r="BG59" s="886" t="n"/>
      <c r="BH59" s="105" t="n"/>
      <c r="BI59" s="885">
        <f>Planning!I52</f>
        <v/>
      </c>
      <c r="BJ59" s="885">
        <f>Planning!J52</f>
        <v/>
      </c>
      <c r="BK59" s="886" t="n"/>
      <c r="BL59" s="105" t="n"/>
      <c r="BM59" s="885">
        <f>Planning!M52</f>
        <v/>
      </c>
      <c r="BN59" s="885">
        <f>Planning!N52</f>
        <v/>
      </c>
      <c r="BO59" s="886" t="n"/>
      <c r="BP59" s="105" t="n"/>
      <c r="BQ59" s="885">
        <f>Planning!Q52</f>
        <v/>
      </c>
      <c r="BR59" s="885">
        <f>Planning!R52</f>
        <v/>
      </c>
      <c r="BS59" s="886" t="n"/>
      <c r="BT59" s="105" t="n"/>
      <c r="BU59" s="885">
        <f>Planning!U52</f>
        <v/>
      </c>
      <c r="BV59" s="885">
        <f>Planning!V52</f>
        <v/>
      </c>
      <c r="BW59" s="886" t="n"/>
      <c r="BX59" s="105" t="n"/>
      <c r="BY59" s="885">
        <f>Planning!Y52</f>
        <v/>
      </c>
      <c r="BZ59" s="885">
        <f>Planning!Z52</f>
        <v/>
      </c>
      <c r="CA59" s="886" t="n"/>
      <c r="CB59" s="105" t="n"/>
      <c r="CC59" s="885">
        <f>Planning!AC52</f>
        <v/>
      </c>
      <c r="CD59" s="885">
        <f>Planning!AD52</f>
        <v/>
      </c>
      <c r="CE59" s="886" t="n"/>
      <c r="CF59" s="105" t="n"/>
      <c r="CG59" s="887">
        <f>Planning!AG52</f>
        <v/>
      </c>
      <c r="CH59" s="105" t="n"/>
      <c r="CI59" s="252">
        <f>IF(BC59="","",Planning!AI52)</f>
        <v/>
      </c>
      <c r="CJ59" s="252">
        <f>IF(BC59="","",Planning!AJ52)</f>
        <v/>
      </c>
      <c r="CK59" s="252">
        <f>IF(BC59="","",Planning!AK52)</f>
        <v/>
      </c>
      <c r="CL59" s="252">
        <f>IF(BC59="","",Planning!AH52)</f>
        <v/>
      </c>
      <c r="CM59" s="21" t="n"/>
    </row>
    <row r="60" ht="12.75" customHeight="1">
      <c r="A60" s="161">
        <f>IFERROR(IF(VLOOKUP($B60,$BC$13:$CL$86,36,FALSE)&gt;5,0,IF(COUNTIF($B$13:$B$63,$B60)&gt;1,0,48)),48)+IF(B60&lt;&gt;0,0,IF(AV60&gt;0,0.000001,0))</f>
        <v/>
      </c>
      <c r="B60" s="129" t="n"/>
      <c r="C60" s="48">
        <f>IFERROR(IF($B60="","",VLOOKUP($B60,Medewerker!$C$8:$AI$107,33,FALSE)),"?")</f>
        <v/>
      </c>
      <c r="D60" s="879">
        <f t="array" ref="D60">IFERROR(IF(LEFT(INDEX($F60:$AQ60,1,SUM(SMALL(IF($F60:$AQ60&lt;&gt;"",COLUMN($F60:$AQ60)),1)-5)),1)="x",SUM(SMALL(IF($F60:$AQ60&lt;&gt;"",$F$11:$AQ$11),1)+"0:15"),SMALL(IF($F60:$AQ60&lt;&gt;"",$F$11:$AQ$11),1)),"")</f>
        <v/>
      </c>
      <c r="E60" s="879">
        <f t="array" ref="E60">IFERROR(IF(LEFT(INDEX($F60:$AQ60,1,SUM(LARGE(IF($F60:$AQ60&lt;&gt;"",COLUMN($F60:$AQ60)),1)-5)),1)="x",SUM(LARGE(IF($F60:$AQ60&lt;&gt;"",$F$11:$AQ$11+"0:30:00"),1)-"0:15"),LARGE(IF($F60:$AQ60&lt;&gt;"",$F$11:$AQ$11+"0:30:00"),1)),"")</f>
        <v/>
      </c>
      <c r="F60" s="43" t="n"/>
      <c r="G60" s="42" t="n"/>
      <c r="H60" s="43" t="n"/>
      <c r="I60" s="42" t="n"/>
      <c r="J60" s="43" t="n"/>
      <c r="K60" s="41" t="n"/>
      <c r="L60" s="40" t="n"/>
      <c r="M60" s="42" t="n"/>
      <c r="N60" s="43" t="n"/>
      <c r="O60" s="41" t="n"/>
      <c r="P60" s="40" t="n"/>
      <c r="Q60" s="42" t="n"/>
      <c r="R60" s="43" t="n"/>
      <c r="S60" s="41" t="n"/>
      <c r="T60" s="40" t="n"/>
      <c r="U60" s="42" t="n"/>
      <c r="V60" s="43" t="n"/>
      <c r="W60" s="41" t="n"/>
      <c r="X60" s="40" t="n"/>
      <c r="Y60" s="42" t="n"/>
      <c r="Z60" s="43" t="n"/>
      <c r="AA60" s="41" t="n"/>
      <c r="AB60" s="40" t="n"/>
      <c r="AC60" s="42" t="n"/>
      <c r="AD60" s="43" t="n"/>
      <c r="AE60" s="41" t="n"/>
      <c r="AF60" s="40" t="n"/>
      <c r="AG60" s="42" t="n"/>
      <c r="AH60" s="43" t="n"/>
      <c r="AI60" s="41" t="n"/>
      <c r="AJ60" s="40" t="n"/>
      <c r="AK60" s="42" t="n"/>
      <c r="AL60" s="43" t="n"/>
      <c r="AM60" s="41" t="n"/>
      <c r="AN60" s="645" t="n"/>
      <c r="AO60" s="42" t="n"/>
      <c r="AP60" s="43" t="n"/>
      <c r="AQ60" s="42" t="n"/>
      <c r="AR60" s="888">
        <f>IFERROR(IF(VLOOKUP($B60,Medewerker!$C$8:$I$107,7,FALSE)="",VLOOKUP($B60,Medewerker!$C$8:$I$107,5,FALSE),0),0)</f>
        <v/>
      </c>
      <c r="AS60" s="888">
        <f>IFERROR(IF(B60="",1,IF(VLOOKUP($B60,Medewerker!$C$8:$I$107,7,FALSE)="",VLOOKUP($B60,Medewerker!$C$8:$I$107,6,FALSE),0)),0)</f>
        <v/>
      </c>
      <c r="AT60" s="45" t="n"/>
      <c r="AU60" s="46">
        <f>(COUNTIF(F60:AQ60,"afw"))/2</f>
        <v/>
      </c>
      <c r="AV60" s="111">
        <f>((38-(COUNTIF(F60:AQ60,"")))/2)-(COUNTIF(F60:AQ60,"p")/2)-(COUNTIF(F60:AQ60,CONCATENATE("x","*"))/4)</f>
        <v/>
      </c>
      <c r="AW60" s="73">
        <f>IF($B60="","",VLOOKUP($B60,Medewerker!$C$8:$E$107,3,FALSE))</f>
        <v/>
      </c>
      <c r="AX60" s="403">
        <f>IFERROR(VLOOKUP($B60,Planning!$B$6:$AG$105,32,FALSE)*24,"")</f>
        <v/>
      </c>
      <c r="AY60" s="527" t="n"/>
      <c r="AZ60" s="528" t="n"/>
      <c r="BA60" s="526">
        <f>IFERROR(IF(AY60="","",(COUNTIF($F$13:$AQ$63,CONCATENATE(AY60,"*"))/2+COUNTIF($F$13:$AQ$63,CONCATENATE("x",AY60,"*"))/4)),"")</f>
        <v/>
      </c>
      <c r="BB60" s="838" t="n"/>
      <c r="BC60" s="31">
        <f>IF(Planning!B53="","",Planning!B53)</f>
        <v/>
      </c>
      <c r="BD60" s="105" t="n"/>
      <c r="BE60" s="885">
        <f>Planning!E53</f>
        <v/>
      </c>
      <c r="BF60" s="885">
        <f>Planning!F53</f>
        <v/>
      </c>
      <c r="BG60" s="886" t="n"/>
      <c r="BH60" s="105" t="n"/>
      <c r="BI60" s="885">
        <f>Planning!I53</f>
        <v/>
      </c>
      <c r="BJ60" s="885">
        <f>Planning!J53</f>
        <v/>
      </c>
      <c r="BK60" s="886" t="n"/>
      <c r="BL60" s="105" t="n"/>
      <c r="BM60" s="885">
        <f>Planning!M53</f>
        <v/>
      </c>
      <c r="BN60" s="885">
        <f>Planning!N53</f>
        <v/>
      </c>
      <c r="BO60" s="886" t="n"/>
      <c r="BP60" s="105" t="n"/>
      <c r="BQ60" s="885">
        <f>Planning!Q53</f>
        <v/>
      </c>
      <c r="BR60" s="885">
        <f>Planning!R53</f>
        <v/>
      </c>
      <c r="BS60" s="886" t="n"/>
      <c r="BT60" s="105" t="n"/>
      <c r="BU60" s="885">
        <f>Planning!U53</f>
        <v/>
      </c>
      <c r="BV60" s="885">
        <f>Planning!V53</f>
        <v/>
      </c>
      <c r="BW60" s="886" t="n"/>
      <c r="BX60" s="105" t="n"/>
      <c r="BY60" s="885">
        <f>Planning!Y53</f>
        <v/>
      </c>
      <c r="BZ60" s="885">
        <f>Planning!Z53</f>
        <v/>
      </c>
      <c r="CA60" s="886" t="n"/>
      <c r="CB60" s="105" t="n"/>
      <c r="CC60" s="885">
        <f>Planning!AC53</f>
        <v/>
      </c>
      <c r="CD60" s="885">
        <f>Planning!AD53</f>
        <v/>
      </c>
      <c r="CE60" s="886" t="n"/>
      <c r="CF60" s="105" t="n"/>
      <c r="CG60" s="887">
        <f>Planning!AG53</f>
        <v/>
      </c>
      <c r="CH60" s="105" t="n"/>
      <c r="CI60" s="252">
        <f>IF(BC60="","",Planning!AI53)</f>
        <v/>
      </c>
      <c r="CJ60" s="252">
        <f>IF(BC60="","",Planning!AJ53)</f>
        <v/>
      </c>
      <c r="CK60" s="252">
        <f>IF(BC60="","",Planning!AK53)</f>
        <v/>
      </c>
      <c r="CL60" s="252">
        <f>IF(BC60="","",Planning!AH53)</f>
        <v/>
      </c>
      <c r="CM60" s="21" t="n"/>
    </row>
    <row r="61" ht="12.75" customHeight="1">
      <c r="A61" s="161">
        <f>IFERROR(IF(VLOOKUP($B61,$BC$13:$CL$86,36,FALSE)&gt;5,0,IF(COUNTIF($B$13:$B$63,$B61)&gt;1,0,49)),49)+IF(B61&lt;&gt;0,0,IF(AV61&gt;0,0.000001,0))</f>
        <v/>
      </c>
      <c r="B61" s="129" t="n"/>
      <c r="C61" s="48">
        <f>IFERROR(IF($B61="","",VLOOKUP($B61,Medewerker!$C$8:$AI$107,33,FALSE)),"?")</f>
        <v/>
      </c>
      <c r="D61" s="879">
        <f t="array" ref="D61">IFERROR(IF(LEFT(INDEX($F61:$AQ61,1,SUM(SMALL(IF($F61:$AQ61&lt;&gt;"",COLUMN($F61:$AQ61)),1)-5)),1)="x",SUM(SMALL(IF($F61:$AQ61&lt;&gt;"",$F$11:$AQ$11),1)+"0:15"),SMALL(IF($F61:$AQ61&lt;&gt;"",$F$11:$AQ$11),1)),"")</f>
        <v/>
      </c>
      <c r="E61" s="879">
        <f t="array" ref="E61">IFERROR(IF(LEFT(INDEX($F61:$AQ61,1,SUM(LARGE(IF($F61:$AQ61&lt;&gt;"",COLUMN($F61:$AQ61)),1)-5)),1)="x",SUM(LARGE(IF($F61:$AQ61&lt;&gt;"",$F$11:$AQ$11+"0:30:00"),1)-"0:15"),LARGE(IF($F61:$AQ61&lt;&gt;"",$F$11:$AQ$11+"0:30:00"),1)),"")</f>
        <v/>
      </c>
      <c r="F61" s="43" t="n"/>
      <c r="G61" s="42" t="n"/>
      <c r="H61" s="43" t="n"/>
      <c r="I61" s="42" t="n"/>
      <c r="J61" s="43" t="n"/>
      <c r="K61" s="41" t="n"/>
      <c r="L61" s="40" t="n"/>
      <c r="M61" s="42" t="n"/>
      <c r="N61" s="43" t="n"/>
      <c r="O61" s="41" t="n"/>
      <c r="P61" s="40" t="n"/>
      <c r="Q61" s="42" t="n"/>
      <c r="R61" s="43" t="n"/>
      <c r="S61" s="41" t="n"/>
      <c r="T61" s="40" t="n"/>
      <c r="U61" s="42" t="n"/>
      <c r="V61" s="43" t="n"/>
      <c r="W61" s="41" t="n"/>
      <c r="X61" s="40" t="n"/>
      <c r="Y61" s="42" t="n"/>
      <c r="Z61" s="43" t="n"/>
      <c r="AA61" s="41" t="n"/>
      <c r="AB61" s="40" t="n"/>
      <c r="AC61" s="42" t="n"/>
      <c r="AD61" s="43" t="n"/>
      <c r="AE61" s="41" t="n"/>
      <c r="AF61" s="40" t="n"/>
      <c r="AG61" s="42" t="n"/>
      <c r="AH61" s="43" t="n"/>
      <c r="AI61" s="41" t="n"/>
      <c r="AJ61" s="40" t="n"/>
      <c r="AK61" s="42" t="n"/>
      <c r="AL61" s="520" t="n"/>
      <c r="AM61" s="518" t="n"/>
      <c r="AN61" s="521" t="n"/>
      <c r="AO61" s="519" t="n"/>
      <c r="AP61" s="520" t="n"/>
      <c r="AQ61" s="519" t="n"/>
      <c r="AR61" s="888">
        <f>IFERROR(IF(VLOOKUP($B61,Medewerker!$C$8:$I$107,7,FALSE)="",VLOOKUP($B61,Medewerker!$C$8:$I$107,5,FALSE),0),0)</f>
        <v/>
      </c>
      <c r="AS61" s="888">
        <f>IFERROR(IF(B61="",1,IF(VLOOKUP($B61,Medewerker!$C$8:$I$107,7,FALSE)="",VLOOKUP($B61,Medewerker!$C$8:$I$107,6,FALSE),0)),0)</f>
        <v/>
      </c>
      <c r="AT61" s="45" t="n"/>
      <c r="AU61" s="46">
        <f>(COUNTIF(F61:AQ61,"afw"))/2</f>
        <v/>
      </c>
      <c r="AV61" s="111">
        <f>((38-(COUNTIF(F61:AQ61,"")))/2)-(COUNTIF(F61:AQ61,"p")/2)-(COUNTIF(F61:AQ61,CONCATENATE("x","*"))/4)</f>
        <v/>
      </c>
      <c r="AW61" s="73">
        <f>IF($B61="","",VLOOKUP($B61,Medewerker!$C$8:$E$107,3,FALSE))</f>
        <v/>
      </c>
      <c r="AX61" s="403">
        <f>IFERROR(VLOOKUP($B61,Planning!$B$6:$AG$105,32,FALSE)*24,"")</f>
        <v/>
      </c>
      <c r="AY61" s="892" t="inlineStr">
        <is>
          <t>Taken zonder legenda</t>
        </is>
      </c>
      <c r="AZ61" s="893" t="n"/>
      <c r="BA61" s="565">
        <f>$BA$65</f>
        <v/>
      </c>
      <c r="BB61" s="838" t="n"/>
      <c r="BC61" s="31">
        <f>IF(Planning!B54="","",Planning!B54)</f>
        <v/>
      </c>
      <c r="BD61" s="105" t="n"/>
      <c r="BE61" s="885">
        <f>Planning!E54</f>
        <v/>
      </c>
      <c r="BF61" s="885">
        <f>Planning!F54</f>
        <v/>
      </c>
      <c r="BG61" s="886" t="n"/>
      <c r="BH61" s="105" t="n"/>
      <c r="BI61" s="885">
        <f>Planning!I54</f>
        <v/>
      </c>
      <c r="BJ61" s="885">
        <f>Planning!J54</f>
        <v/>
      </c>
      <c r="BK61" s="886" t="n"/>
      <c r="BL61" s="105" t="n"/>
      <c r="BM61" s="885">
        <f>Planning!M54</f>
        <v/>
      </c>
      <c r="BN61" s="885">
        <f>Planning!N54</f>
        <v/>
      </c>
      <c r="BO61" s="886" t="n"/>
      <c r="BP61" s="105" t="n"/>
      <c r="BQ61" s="885">
        <f>Planning!Q54</f>
        <v/>
      </c>
      <c r="BR61" s="885">
        <f>Planning!R54</f>
        <v/>
      </c>
      <c r="BS61" s="886" t="n"/>
      <c r="BT61" s="105" t="n"/>
      <c r="BU61" s="885">
        <f>Planning!U54</f>
        <v/>
      </c>
      <c r="BV61" s="885">
        <f>Planning!V54</f>
        <v/>
      </c>
      <c r="BW61" s="886" t="n"/>
      <c r="BX61" s="105" t="n"/>
      <c r="BY61" s="885">
        <f>Planning!Y54</f>
        <v/>
      </c>
      <c r="BZ61" s="885">
        <f>Planning!Z54</f>
        <v/>
      </c>
      <c r="CA61" s="886" t="n"/>
      <c r="CB61" s="105" t="n"/>
      <c r="CC61" s="885">
        <f>Planning!AC54</f>
        <v/>
      </c>
      <c r="CD61" s="885">
        <f>Planning!AD54</f>
        <v/>
      </c>
      <c r="CE61" s="886" t="n"/>
      <c r="CF61" s="105" t="n"/>
      <c r="CG61" s="887">
        <f>Planning!AG54</f>
        <v/>
      </c>
      <c r="CH61" s="105" t="n"/>
      <c r="CI61" s="252">
        <f>IF(BC61="","",Planning!AI54)</f>
        <v/>
      </c>
      <c r="CJ61" s="252">
        <f>IF(BC61="","",Planning!AJ54)</f>
        <v/>
      </c>
      <c r="CK61" s="252">
        <f>IF(BC61="","",Planning!AK54)</f>
        <v/>
      </c>
      <c r="CL61" s="252">
        <f>IF(BC61="","",Planning!AH54)</f>
        <v/>
      </c>
      <c r="CM61" s="21" t="n"/>
    </row>
    <row r="62" ht="12.75" customHeight="1">
      <c r="A62" s="161">
        <f>IFERROR(IF(VLOOKUP($B62,$BC$13:$CL$86,36,FALSE)&gt;5,0,IF(COUNTIF($B$13:$B$63,$B62)&gt;1,0,50)),50)+IF(B62&lt;&gt;0,0,IF(AV62&gt;0,0.000001,0))</f>
        <v/>
      </c>
      <c r="B62" s="129" t="n"/>
      <c r="C62" s="48">
        <f>IFERROR(IF($B62="","",VLOOKUP($B62,Medewerker!$C$8:$AI$107,33,FALSE)),"?")</f>
        <v/>
      </c>
      <c r="D62" s="879">
        <f t="array" ref="D62">IFERROR(IF(LEFT(INDEX($F62:$AQ62,1,SUM(SMALL(IF($F62:$AQ62&lt;&gt;"",COLUMN($F62:$AQ62)),1)-5)),1)="x",SUM(SMALL(IF($F62:$AQ62&lt;&gt;"",$F$11:$AQ$11),1)+"0:15"),SMALL(IF($F62:$AQ62&lt;&gt;"",$F$11:$AQ$11),1)),"")</f>
        <v/>
      </c>
      <c r="E62" s="879">
        <f t="array" ref="E62">IFERROR(IF(LEFT(INDEX($F62:$AQ62,1,SUM(LARGE(IF($F62:$AQ62&lt;&gt;"",COLUMN($F62:$AQ62)),1)-5)),1)="x",SUM(LARGE(IF($F62:$AQ62&lt;&gt;"",$F$11:$AQ$11+"0:30:00"),1)-"0:15"),LARGE(IF($F62:$AQ62&lt;&gt;"",$F$11:$AQ$11+"0:30:00"),1)),"")</f>
        <v/>
      </c>
      <c r="F62" s="43" t="n"/>
      <c r="G62" s="42" t="n"/>
      <c r="H62" s="43" t="n"/>
      <c r="I62" s="42" t="n"/>
      <c r="J62" s="43" t="n"/>
      <c r="K62" s="41" t="n"/>
      <c r="L62" s="40" t="n"/>
      <c r="M62" s="42" t="n"/>
      <c r="N62" s="43" t="n"/>
      <c r="O62" s="41" t="n"/>
      <c r="P62" s="40" t="n"/>
      <c r="Q62" s="42" t="n"/>
      <c r="R62" s="43" t="n"/>
      <c r="S62" s="41" t="n"/>
      <c r="T62" s="40" t="n"/>
      <c r="U62" s="42" t="n"/>
      <c r="V62" s="43" t="n"/>
      <c r="W62" s="41" t="n"/>
      <c r="X62" s="40" t="n"/>
      <c r="Y62" s="42" t="n"/>
      <c r="Z62" s="43" t="n"/>
      <c r="AA62" s="41" t="n"/>
      <c r="AB62" s="40" t="n"/>
      <c r="AC62" s="42" t="n"/>
      <c r="AD62" s="43" t="n"/>
      <c r="AE62" s="41" t="n"/>
      <c r="AF62" s="40" t="n"/>
      <c r="AG62" s="42" t="n"/>
      <c r="AH62" s="43" t="n"/>
      <c r="AI62" s="41" t="n"/>
      <c r="AJ62" s="40" t="n"/>
      <c r="AK62" s="42" t="n"/>
      <c r="AL62" s="520" t="n"/>
      <c r="AM62" s="518" t="n"/>
      <c r="AN62" s="521" t="n"/>
      <c r="AO62" s="519" t="n"/>
      <c r="AP62" s="520" t="n"/>
      <c r="AQ62" s="519" t="n"/>
      <c r="AR62" s="888">
        <f>IFERROR(IF(VLOOKUP($B62,Medewerker!$C$8:$I$107,7,FALSE)="",VLOOKUP($B62,Medewerker!$C$8:$I$107,5,FALSE),0),0)</f>
        <v/>
      </c>
      <c r="AS62" s="888">
        <f>IFERROR(IF(B62="",1,IF(VLOOKUP($B62,Medewerker!$C$8:$I$107,7,FALSE)="",VLOOKUP($B62,Medewerker!$C$8:$I$107,6,FALSE),0)),0)</f>
        <v/>
      </c>
      <c r="AT62" s="45" t="n"/>
      <c r="AU62" s="46">
        <f>(COUNTIF(F62:AQ62,"afw"))/2</f>
        <v/>
      </c>
      <c r="AV62" s="111">
        <f>((38-(COUNTIF(F62:AQ62,"")))/2)-(COUNTIF(F62:AQ62,"p")/2)-(COUNTIF(F62:AQ62,CONCATENATE("x","*"))/4)</f>
        <v/>
      </c>
      <c r="AW62" s="73">
        <f>IF($B62="","",VLOOKUP($B62,Medewerker!$C$8:$E$107,3,FALSE))</f>
        <v/>
      </c>
      <c r="AX62" s="403">
        <f>IFERROR(VLOOKUP($B62,Planning!$B$6:$AG$105,32,FALSE)*24,"")</f>
        <v/>
      </c>
      <c r="AY62" s="409" t="inlineStr">
        <is>
          <t>p</t>
        </is>
      </c>
      <c r="AZ62" s="167" t="inlineStr">
        <is>
          <t>Pauze (onbetaald)</t>
        </is>
      </c>
      <c r="BA62" s="410">
        <f>MAX((COUNTIF($F$13:$AQ$63,CONCATENATE(AY62,"*"))/2+COUNTIF($F$13:$AQ$63,CONCATENATE("x",AY62,"*"))/4)-SUM(BA57,BA51,BA45,BA44),0)</f>
        <v/>
      </c>
      <c r="BB62" s="838" t="n"/>
      <c r="BC62" s="31">
        <f>IF(Planning!B55="","",Planning!B55)</f>
        <v/>
      </c>
      <c r="BD62" s="105" t="n"/>
      <c r="BE62" s="885">
        <f>Planning!E55</f>
        <v/>
      </c>
      <c r="BF62" s="885">
        <f>Planning!F55</f>
        <v/>
      </c>
      <c r="BG62" s="886" t="n"/>
      <c r="BH62" s="105" t="n"/>
      <c r="BI62" s="885">
        <f>Planning!I55</f>
        <v/>
      </c>
      <c r="BJ62" s="885">
        <f>Planning!J55</f>
        <v/>
      </c>
      <c r="BK62" s="886" t="n"/>
      <c r="BL62" s="105" t="n"/>
      <c r="BM62" s="885">
        <f>Planning!M55</f>
        <v/>
      </c>
      <c r="BN62" s="885">
        <f>Planning!N55</f>
        <v/>
      </c>
      <c r="BO62" s="886" t="n"/>
      <c r="BP62" s="105" t="n"/>
      <c r="BQ62" s="885">
        <f>Planning!Q55</f>
        <v/>
      </c>
      <c r="BR62" s="885">
        <f>Planning!R55</f>
        <v/>
      </c>
      <c r="BS62" s="886" t="n"/>
      <c r="BT62" s="105" t="n"/>
      <c r="BU62" s="885">
        <f>Planning!U55</f>
        <v/>
      </c>
      <c r="BV62" s="885">
        <f>Planning!V55</f>
        <v/>
      </c>
      <c r="BW62" s="886" t="n"/>
      <c r="BX62" s="105" t="n"/>
      <c r="BY62" s="885">
        <f>Planning!Y55</f>
        <v/>
      </c>
      <c r="BZ62" s="885">
        <f>Planning!Z55</f>
        <v/>
      </c>
      <c r="CA62" s="886" t="n"/>
      <c r="CB62" s="105" t="n"/>
      <c r="CC62" s="885">
        <f>Planning!AC55</f>
        <v/>
      </c>
      <c r="CD62" s="885">
        <f>Planning!AD55</f>
        <v/>
      </c>
      <c r="CE62" s="886" t="n"/>
      <c r="CF62" s="105" t="n"/>
      <c r="CG62" s="887">
        <f>Planning!AG55</f>
        <v/>
      </c>
      <c r="CH62" s="105" t="n"/>
      <c r="CI62" s="252">
        <f>IF(BC62="","",Planning!AI55)</f>
        <v/>
      </c>
      <c r="CJ62" s="252">
        <f>IF(BC62="","",Planning!AJ55)</f>
        <v/>
      </c>
      <c r="CK62" s="252">
        <f>IF(BC62="","",Planning!AK55)</f>
        <v/>
      </c>
      <c r="CL62" s="252">
        <f>IF(BC62="","",Planning!AH55)</f>
        <v/>
      </c>
      <c r="CM62" s="21" t="n"/>
    </row>
    <row r="63" ht="12.75" customHeight="1">
      <c r="A63" s="161">
        <f>IFERROR(IF(VLOOKUP($B63,$BC$13:$CL$86,36,FALSE)&gt;5,0,IF(COUNTIF($B$13:$B$63,$B63)&gt;1,0,51)),51)+IF(B63&lt;&gt;0,0,IF(AV63&gt;0,0.000001,0))</f>
        <v/>
      </c>
      <c r="B63" s="130" t="n"/>
      <c r="C63" s="131">
        <f>IFERROR(IF($B63="","",VLOOKUP($B63,Medewerker!$C$8:$AI$107,33,FALSE)),"?")</f>
        <v/>
      </c>
      <c r="D63" s="894">
        <f t="array" ref="D63">IFERROR(IF(LEFT(INDEX($F63:$AQ63,1,SUM(SMALL(IF($F63:$AQ63&lt;&gt;"",COLUMN($F63:$AQ63)),1)-5)),1)="x",SUM(SMALL(IF($F63:$AQ63&lt;&gt;"",$F$11:$AQ$11),1)+"0:15"),SMALL(IF($F63:$AQ63&lt;&gt;"",$F$11:$AQ$11),1)),"")</f>
        <v/>
      </c>
      <c r="E63" s="894">
        <f t="array" ref="E63">IFERROR(IF(LEFT(INDEX($F63:$AQ63,1,SUM(LARGE(IF($F63:$AQ63&lt;&gt;"",COLUMN($F63:$AQ63)),1)-5)),1)="x",SUM(LARGE(IF($F63:$AQ63&lt;&gt;"",$F$11:$AQ$11+"0:30:00"),1)-"0:15"),LARGE(IF($F63:$AQ63&lt;&gt;"",$F$11:$AQ$11+"0:30:00"),1)),"")</f>
        <v/>
      </c>
      <c r="F63" s="133" t="n"/>
      <c r="G63" s="134" t="n"/>
      <c r="H63" s="133" t="n"/>
      <c r="I63" s="134" t="n"/>
      <c r="J63" s="133" t="n"/>
      <c r="K63" s="135" t="n"/>
      <c r="L63" s="136" t="n"/>
      <c r="M63" s="134" t="n"/>
      <c r="N63" s="133" t="n"/>
      <c r="O63" s="135" t="n"/>
      <c r="P63" s="136" t="n"/>
      <c r="Q63" s="134" t="n"/>
      <c r="R63" s="133" t="n"/>
      <c r="S63" s="135" t="n"/>
      <c r="T63" s="136" t="n"/>
      <c r="U63" s="134" t="n"/>
      <c r="V63" s="133" t="n"/>
      <c r="W63" s="135" t="n"/>
      <c r="X63" s="136" t="n"/>
      <c r="Y63" s="134" t="n"/>
      <c r="Z63" s="133" t="n"/>
      <c r="AA63" s="135" t="n"/>
      <c r="AB63" s="136" t="n"/>
      <c r="AC63" s="134" t="n"/>
      <c r="AD63" s="133" t="n"/>
      <c r="AE63" s="135" t="n"/>
      <c r="AF63" s="136" t="n"/>
      <c r="AG63" s="134" t="n"/>
      <c r="AH63" s="133" t="n"/>
      <c r="AI63" s="135" t="n"/>
      <c r="AJ63" s="136" t="n"/>
      <c r="AK63" s="134" t="n"/>
      <c r="AL63" s="522" t="n"/>
      <c r="AM63" s="524" t="n"/>
      <c r="AN63" s="525" t="n"/>
      <c r="AO63" s="523" t="n"/>
      <c r="AP63" s="522" t="n"/>
      <c r="AQ63" s="523" t="n"/>
      <c r="AR63" s="895">
        <f>IFERROR(IF(VLOOKUP($B63,Medewerker!$C$8:$I$107,7,FALSE)="",VLOOKUP($B63,Medewerker!$C$8:$I$107,5,FALSE),0),0)</f>
        <v/>
      </c>
      <c r="AS63" s="895">
        <f>IFERROR(IF(B63="",1,IF(VLOOKUP($B63,Medewerker!$C$8:$I$107,7,FALSE)="",VLOOKUP($B63,Medewerker!$C$8:$I$107,6,FALSE),0)),0)</f>
        <v/>
      </c>
      <c r="AT63" s="138" t="n"/>
      <c r="AU63" s="139">
        <f>(COUNTIF(F63:AQ63,"afw"))/2</f>
        <v/>
      </c>
      <c r="AV63" s="140">
        <f>((38-(COUNTIF(F63:AQ63,"")))/2)-(COUNTIF(F63:AQ63,"p")/2)-(COUNTIF(F63:AQ63,CONCATENATE("x","*"))/4)</f>
        <v/>
      </c>
      <c r="AW63" s="402">
        <f>IF($B63="","",VLOOKUP($B63,Medewerker!$C$8:$E$107,3,FALSE))</f>
        <v/>
      </c>
      <c r="AX63" s="405">
        <f>IFERROR(VLOOKUP($B63,Planning!$B$6:$AG$105,32,FALSE)*24,"")</f>
        <v/>
      </c>
      <c r="AY63" s="462" t="inlineStr">
        <is>
          <t>afw</t>
        </is>
      </c>
      <c r="AZ63" s="463" t="inlineStr">
        <is>
          <t>Afwezig / ziek</t>
        </is>
      </c>
      <c r="BA63" s="464">
        <f>SUM(AU13:AU63)</f>
        <v/>
      </c>
      <c r="BB63" s="838" t="n"/>
      <c r="BC63" s="31">
        <f>IF(Planning!B56="","",Planning!B56)</f>
        <v/>
      </c>
      <c r="BD63" s="105" t="n"/>
      <c r="BE63" s="885">
        <f>Planning!E56</f>
        <v/>
      </c>
      <c r="BF63" s="885">
        <f>Planning!F56</f>
        <v/>
      </c>
      <c r="BG63" s="886" t="n"/>
      <c r="BH63" s="105" t="n"/>
      <c r="BI63" s="885">
        <f>Planning!I56</f>
        <v/>
      </c>
      <c r="BJ63" s="885">
        <f>Planning!J56</f>
        <v/>
      </c>
      <c r="BK63" s="886" t="n"/>
      <c r="BL63" s="105" t="n"/>
      <c r="BM63" s="885">
        <f>Planning!M56</f>
        <v/>
      </c>
      <c r="BN63" s="885">
        <f>Planning!N56</f>
        <v/>
      </c>
      <c r="BO63" s="886" t="n"/>
      <c r="BP63" s="105" t="n"/>
      <c r="BQ63" s="885">
        <f>Planning!Q56</f>
        <v/>
      </c>
      <c r="BR63" s="885">
        <f>Planning!R56</f>
        <v/>
      </c>
      <c r="BS63" s="886" t="n"/>
      <c r="BT63" s="105" t="n"/>
      <c r="BU63" s="885">
        <f>Planning!U56</f>
        <v/>
      </c>
      <c r="BV63" s="885">
        <f>Planning!V56</f>
        <v/>
      </c>
      <c r="BW63" s="886" t="n"/>
      <c r="BX63" s="105" t="n"/>
      <c r="BY63" s="885">
        <f>Planning!Y56</f>
        <v/>
      </c>
      <c r="BZ63" s="885">
        <f>Planning!Z56</f>
        <v/>
      </c>
      <c r="CA63" s="886" t="n"/>
      <c r="CB63" s="105" t="n"/>
      <c r="CC63" s="885">
        <f>Planning!AC56</f>
        <v/>
      </c>
      <c r="CD63" s="885">
        <f>Planning!AD56</f>
        <v/>
      </c>
      <c r="CE63" s="886" t="n"/>
      <c r="CF63" s="105" t="n"/>
      <c r="CG63" s="887">
        <f>Planning!AG56</f>
        <v/>
      </c>
      <c r="CH63" s="105" t="n"/>
      <c r="CI63" s="252">
        <f>IF(BC63="","",Planning!AI56)</f>
        <v/>
      </c>
      <c r="CJ63" s="252">
        <f>IF(BC63="","",Planning!AJ56)</f>
        <v/>
      </c>
      <c r="CK63" s="252">
        <f>IF(BC63="","",Planning!AK56)</f>
        <v/>
      </c>
      <c r="CL63" s="252">
        <f>IF(BC63="","",Planning!AH56)</f>
        <v/>
      </c>
      <c r="CM63" s="21" t="n"/>
    </row>
    <row r="64" ht="13.5" customHeight="1">
      <c r="A64" s="401" t="n"/>
      <c r="B64" s="108" t="n"/>
      <c r="C64" s="109" t="n"/>
      <c r="D64" s="109" t="n"/>
      <c r="E64" s="109" t="n"/>
      <c r="F64" s="109" t="n"/>
      <c r="G64" s="109" t="n"/>
      <c r="H64" s="260" t="n"/>
      <c r="I64" s="260" t="n"/>
      <c r="J64" s="261" t="n"/>
      <c r="K64" s="261" t="n"/>
      <c r="L64" s="261" t="n"/>
      <c r="M64" s="261" t="n"/>
      <c r="N64" s="261" t="n"/>
      <c r="O64" s="261" t="n"/>
      <c r="P64" s="261" t="n"/>
      <c r="Q64" s="261" t="n"/>
      <c r="R64" s="261" t="n"/>
      <c r="S64" s="261" t="n"/>
      <c r="T64" s="261" t="n"/>
      <c r="U64" s="262" t="n"/>
      <c r="V64" s="261" t="n"/>
      <c r="W64" s="261" t="n"/>
      <c r="X64" s="261" t="n"/>
      <c r="Y64" s="261" t="n"/>
      <c r="Z64" s="261" t="n"/>
      <c r="AA64" s="261" t="n"/>
      <c r="AB64" s="261" t="n"/>
      <c r="AC64" s="261" t="n"/>
      <c r="AD64" s="261" t="n"/>
      <c r="AE64" s="261" t="n"/>
      <c r="AF64" s="261" t="n"/>
      <c r="AG64" s="261" t="n"/>
      <c r="AH64" s="262" t="n"/>
      <c r="AI64" s="262" t="n"/>
      <c r="AJ64" s="262" t="n"/>
      <c r="AK64" s="262" t="n"/>
      <c r="AL64" s="47" t="n"/>
      <c r="AM64" s="47" t="n"/>
      <c r="AN64" s="47" t="n"/>
      <c r="AO64" s="47" t="n"/>
      <c r="AP64" s="47" t="n"/>
      <c r="AQ64" s="47" t="n"/>
      <c r="AR64" s="47" t="n"/>
      <c r="AS64" s="47" t="n"/>
      <c r="AT64" s="47" t="n"/>
      <c r="AU64" s="47" t="n"/>
      <c r="AV64" s="117" t="n"/>
      <c r="AW64" s="503" t="n"/>
      <c r="AX64" s="503" t="n"/>
      <c r="AY64" s="502" t="n"/>
      <c r="AZ64" s="512" t="n"/>
      <c r="BC64" s="31">
        <f>IF(Planning!B57="","",Planning!B57)</f>
        <v/>
      </c>
      <c r="BD64" s="105" t="n"/>
      <c r="BE64" s="885">
        <f>Planning!E57</f>
        <v/>
      </c>
      <c r="BF64" s="885">
        <f>Planning!F57</f>
        <v/>
      </c>
      <c r="BG64" s="886" t="n"/>
      <c r="BH64" s="105" t="n"/>
      <c r="BI64" s="885">
        <f>Planning!I57</f>
        <v/>
      </c>
      <c r="BJ64" s="885">
        <f>Planning!J57</f>
        <v/>
      </c>
      <c r="BK64" s="886" t="n"/>
      <c r="BL64" s="105" t="n"/>
      <c r="BM64" s="885">
        <f>Planning!M57</f>
        <v/>
      </c>
      <c r="BN64" s="885">
        <f>Planning!N57</f>
        <v/>
      </c>
      <c r="BO64" s="886" t="n"/>
      <c r="BP64" s="105" t="n"/>
      <c r="BQ64" s="885">
        <f>Planning!Q57</f>
        <v/>
      </c>
      <c r="BR64" s="885">
        <f>Planning!R57</f>
        <v/>
      </c>
      <c r="BS64" s="886" t="n"/>
      <c r="BT64" s="105" t="n"/>
      <c r="BU64" s="885">
        <f>Planning!U57</f>
        <v/>
      </c>
      <c r="BV64" s="885">
        <f>Planning!V57</f>
        <v/>
      </c>
      <c r="BW64" s="886" t="n"/>
      <c r="BX64" s="105" t="n"/>
      <c r="BY64" s="885">
        <f>Planning!Y57</f>
        <v/>
      </c>
      <c r="BZ64" s="885">
        <f>Planning!Z57</f>
        <v/>
      </c>
      <c r="CA64" s="886" t="n"/>
      <c r="CB64" s="105" t="n"/>
      <c r="CC64" s="885">
        <f>Planning!AC57</f>
        <v/>
      </c>
      <c r="CD64" s="885">
        <f>Planning!AD57</f>
        <v/>
      </c>
      <c r="CE64" s="886" t="n"/>
      <c r="CF64" s="105" t="n"/>
      <c r="CG64" s="887">
        <f>Planning!AG57</f>
        <v/>
      </c>
      <c r="CH64" s="105" t="n"/>
      <c r="CI64" s="252">
        <f>IF(BC64="","",Planning!AI57)</f>
        <v/>
      </c>
      <c r="CJ64" s="252">
        <f>IF(BC64="","",Planning!AJ57)</f>
        <v/>
      </c>
      <c r="CK64" s="252">
        <f>IF(BC64="","",Planning!AK57)</f>
        <v/>
      </c>
      <c r="CL64" s="252">
        <f>IF(BC64="","",Planning!AH57)</f>
        <v/>
      </c>
      <c r="CM64" s="21" t="n"/>
    </row>
    <row r="65" ht="13.5" customHeight="1">
      <c r="A65" s="162" t="n"/>
      <c r="B65" s="896" t="inlineStr">
        <is>
          <t>Spoorboekje</t>
        </is>
      </c>
      <c r="C65" s="897" t="n"/>
      <c r="D65" s="862" t="n"/>
      <c r="E65" s="109" t="n"/>
      <c r="F65" s="109" t="n"/>
      <c r="G65" s="109" t="n"/>
      <c r="H65" s="898" t="inlineStr">
        <is>
          <t>Legenda</t>
        </is>
      </c>
      <c r="I65" s="897" t="n"/>
      <c r="J65" s="897" t="n"/>
      <c r="K65" s="897" t="n"/>
      <c r="L65" s="897" t="n"/>
      <c r="M65" s="897" t="n"/>
      <c r="N65" s="897" t="n"/>
      <c r="O65" s="897" t="n"/>
      <c r="P65" s="897" t="n"/>
      <c r="Q65" s="897" t="n"/>
      <c r="R65" s="897" t="n"/>
      <c r="S65" s="897" t="n"/>
      <c r="T65" s="897" t="n"/>
      <c r="U65" s="897" t="n"/>
      <c r="V65" s="897" t="n"/>
      <c r="W65" s="897" t="n"/>
      <c r="X65" s="897" t="n"/>
      <c r="Y65" s="897" t="n"/>
      <c r="Z65" s="897" t="n"/>
      <c r="AA65" s="897" t="n"/>
      <c r="AB65" s="897" t="n"/>
      <c r="AC65" s="897" t="n"/>
      <c r="AD65" s="897" t="n"/>
      <c r="AE65" s="897" t="n"/>
      <c r="AF65" s="897" t="n"/>
      <c r="AG65" s="897" t="n"/>
      <c r="AH65" s="897" t="n"/>
      <c r="AI65" s="897" t="n"/>
      <c r="AJ65" s="897" t="n"/>
      <c r="AK65" s="862" t="n"/>
      <c r="AL65" s="47" t="n"/>
      <c r="AM65" s="47" t="n"/>
      <c r="AN65" s="47" t="n"/>
      <c r="AO65" s="47" t="n"/>
      <c r="AP65" s="47" t="n"/>
      <c r="AQ65" s="501" t="n"/>
      <c r="AR65" s="501" t="n"/>
      <c r="AS65" s="501" t="n"/>
      <c r="AT65" s="501" t="n"/>
      <c r="AU65" s="501" t="n"/>
      <c r="AV65" s="507">
        <f>SUM(AV13:AV63)-BA63</f>
        <v/>
      </c>
      <c r="AW65" s="502" t="n"/>
      <c r="AX65" s="503" t="n"/>
      <c r="AY65" s="502" t="n"/>
      <c r="AZ65" s="512" t="n"/>
      <c r="BA65" s="511">
        <f>AV65-SUM(BA14:BA22,BA24:BA30,BA32:BA34,BA36:BA40,BA42:BA46,BA48:BA60)</f>
        <v/>
      </c>
      <c r="BC65" s="31">
        <f>IF(Planning!B58="","",Planning!B58)</f>
        <v/>
      </c>
      <c r="BD65" s="105" t="n"/>
      <c r="BE65" s="885">
        <f>Planning!E58</f>
        <v/>
      </c>
      <c r="BF65" s="885">
        <f>Planning!F58</f>
        <v/>
      </c>
      <c r="BG65" s="886" t="n"/>
      <c r="BH65" s="105" t="n"/>
      <c r="BI65" s="885">
        <f>Planning!I58</f>
        <v/>
      </c>
      <c r="BJ65" s="885">
        <f>Planning!J58</f>
        <v/>
      </c>
      <c r="BK65" s="886" t="n"/>
      <c r="BL65" s="105" t="n"/>
      <c r="BM65" s="885">
        <f>Planning!M58</f>
        <v/>
      </c>
      <c r="BN65" s="885">
        <f>Planning!N58</f>
        <v/>
      </c>
      <c r="BO65" s="886" t="n"/>
      <c r="BP65" s="105" t="n"/>
      <c r="BQ65" s="885">
        <f>Planning!Q58</f>
        <v/>
      </c>
      <c r="BR65" s="885">
        <f>Planning!R58</f>
        <v/>
      </c>
      <c r="BS65" s="886" t="n"/>
      <c r="BT65" s="105" t="n"/>
      <c r="BU65" s="885">
        <f>Planning!U58</f>
        <v/>
      </c>
      <c r="BV65" s="885">
        <f>Planning!V58</f>
        <v/>
      </c>
      <c r="BW65" s="886" t="n"/>
      <c r="BX65" s="105" t="n"/>
      <c r="BY65" s="885">
        <f>Planning!Y58</f>
        <v/>
      </c>
      <c r="BZ65" s="885">
        <f>Planning!Z58</f>
        <v/>
      </c>
      <c r="CA65" s="886" t="n"/>
      <c r="CB65" s="105" t="n"/>
      <c r="CC65" s="885">
        <f>Planning!AC58</f>
        <v/>
      </c>
      <c r="CD65" s="885">
        <f>Planning!AD58</f>
        <v/>
      </c>
      <c r="CE65" s="886" t="n"/>
      <c r="CF65" s="105" t="n"/>
      <c r="CG65" s="887">
        <f>Planning!AG58</f>
        <v/>
      </c>
      <c r="CH65" s="105" t="n"/>
      <c r="CI65" s="252">
        <f>IF(BC65="","",Planning!AI58)</f>
        <v/>
      </c>
      <c r="CJ65" s="252">
        <f>IF(BC65="","",Planning!AJ58)</f>
        <v/>
      </c>
      <c r="CK65" s="252">
        <f>IF(BC65="","",Planning!AK58)</f>
        <v/>
      </c>
      <c r="CL65" s="252">
        <f>IF(BC65="","",Planning!AH58)</f>
        <v/>
      </c>
      <c r="CM65" s="21" t="n"/>
    </row>
    <row r="66" ht="13.5" customHeight="1">
      <c r="A66" s="162" t="n"/>
      <c r="B66" s="442">
        <f>IFERROR(IF(COUNTIF(Instellingen!$M$30:$M$37,"")&gt;7,"",VLOOKUP(SMALL(Instellingen!$M$30:$M$37,1),Instellingen!$M$30:$T$37,8,FALSE)),"")</f>
        <v/>
      </c>
      <c r="C66" s="899">
        <f>IFERROR(IF(B66="","",VLOOKUP(B66,Instellingen!$B$30:$F$37,5,FALSE)),"")</f>
        <v/>
      </c>
      <c r="D66" s="862" t="n"/>
      <c r="E66" s="109" t="n"/>
      <c r="F66" s="109" t="n"/>
      <c r="G66" s="109" t="n"/>
      <c r="H66" s="900" t="inlineStr">
        <is>
          <t>Vullen</t>
        </is>
      </c>
      <c r="I66" s="883" t="n"/>
      <c r="J66" s="883" t="n"/>
      <c r="K66" s="883" t="n"/>
      <c r="L66" s="883" t="n"/>
      <c r="M66" s="883" t="n"/>
      <c r="N66" s="883" t="n"/>
      <c r="O66" s="883" t="n"/>
      <c r="P66" s="883" t="n"/>
      <c r="Q66" s="884" t="n"/>
      <c r="R66" s="673" t="inlineStr">
        <is>
          <t>vcr - Risicoartikelen tellen</t>
        </is>
      </c>
      <c r="S66" s="264" t="n"/>
      <c r="T66" s="264" t="n"/>
      <c r="U66" s="264" t="n"/>
      <c r="V66" s="264" t="n"/>
      <c r="W66" s="264" t="n"/>
      <c r="X66" s="264" t="n"/>
      <c r="Y66" s="264" t="n"/>
      <c r="Z66" s="901">
        <f>BA30</f>
        <v/>
      </c>
      <c r="AA66" s="866" t="n"/>
      <c r="AB66" s="900" t="inlineStr">
        <is>
          <t>Overig</t>
        </is>
      </c>
      <c r="AC66" s="883" t="n"/>
      <c r="AD66" s="883" t="n"/>
      <c r="AE66" s="883" t="n"/>
      <c r="AF66" s="883" t="n"/>
      <c r="AG66" s="883" t="n"/>
      <c r="AH66" s="883" t="n"/>
      <c r="AI66" s="883" t="n"/>
      <c r="AJ66" s="883" t="n"/>
      <c r="AK66" s="884" t="n"/>
      <c r="AL66" s="47" t="n"/>
      <c r="AM66" s="47" t="n"/>
      <c r="AN66" s="47" t="n"/>
      <c r="AO66" s="47" t="n"/>
      <c r="AP66" s="47" t="n"/>
      <c r="AQ66" s="501" t="n"/>
      <c r="AR66" s="501" t="n"/>
      <c r="AS66" s="501" t="n"/>
      <c r="AT66" s="501" t="n"/>
      <c r="AU66" s="501" t="n"/>
      <c r="AV66" s="514" t="n"/>
      <c r="AW66" s="502" t="n"/>
      <c r="AX66" s="503" t="n"/>
      <c r="AY66" s="502" t="n"/>
      <c r="AZ66" s="512" t="n"/>
      <c r="BA66" s="263" t="n"/>
      <c r="BC66" s="31">
        <f>IF(Planning!B59="","",Planning!B59)</f>
        <v/>
      </c>
      <c r="BD66" s="105" t="n"/>
      <c r="BE66" s="885">
        <f>Planning!E59</f>
        <v/>
      </c>
      <c r="BF66" s="885">
        <f>Planning!F59</f>
        <v/>
      </c>
      <c r="BG66" s="886" t="n"/>
      <c r="BH66" s="105" t="n"/>
      <c r="BI66" s="885">
        <f>Planning!I59</f>
        <v/>
      </c>
      <c r="BJ66" s="885">
        <f>Planning!J59</f>
        <v/>
      </c>
      <c r="BK66" s="886" t="n"/>
      <c r="BL66" s="105" t="n"/>
      <c r="BM66" s="885">
        <f>Planning!M59</f>
        <v/>
      </c>
      <c r="BN66" s="885">
        <f>Planning!N59</f>
        <v/>
      </c>
      <c r="BO66" s="886" t="n"/>
      <c r="BP66" s="105" t="n"/>
      <c r="BQ66" s="885">
        <f>Planning!Q59</f>
        <v/>
      </c>
      <c r="BR66" s="885">
        <f>Planning!R59</f>
        <v/>
      </c>
      <c r="BS66" s="886" t="n"/>
      <c r="BT66" s="105" t="n"/>
      <c r="BU66" s="885">
        <f>Planning!U59</f>
        <v/>
      </c>
      <c r="BV66" s="885">
        <f>Planning!V59</f>
        <v/>
      </c>
      <c r="BW66" s="886" t="n"/>
      <c r="BX66" s="105" t="n"/>
      <c r="BY66" s="885">
        <f>Planning!Y59</f>
        <v/>
      </c>
      <c r="BZ66" s="885">
        <f>Planning!Z59</f>
        <v/>
      </c>
      <c r="CA66" s="886" t="n"/>
      <c r="CB66" s="105" t="n"/>
      <c r="CC66" s="885">
        <f>Planning!AC59</f>
        <v/>
      </c>
      <c r="CD66" s="885">
        <f>Planning!AD59</f>
        <v/>
      </c>
      <c r="CE66" s="886" t="n"/>
      <c r="CF66" s="105" t="n"/>
      <c r="CG66" s="887">
        <f>Planning!AG59</f>
        <v/>
      </c>
      <c r="CH66" s="105" t="n"/>
      <c r="CI66" s="252">
        <f>IF(BC66="","",Planning!AI59)</f>
        <v/>
      </c>
      <c r="CJ66" s="252">
        <f>IF(BC66="","",Planning!AJ59)</f>
        <v/>
      </c>
      <c r="CK66" s="252">
        <f>IF(BC66="","",Planning!AK59)</f>
        <v/>
      </c>
      <c r="CL66" s="252">
        <f>IF(BC66="","",Planning!AH59)</f>
        <v/>
      </c>
      <c r="CM66" s="21" t="n"/>
    </row>
    <row r="67" ht="13.5" customHeight="1">
      <c r="A67" s="162" t="n"/>
      <c r="B67" s="440">
        <f>IFERROR(IF(COUNTIF(Instellingen!$M$30:$M$37,"")&gt;6,"",VLOOKUP(SMALL(Instellingen!$M$30:$M$37,2),Instellingen!$M$30:$T$37,8,FALSE)),"")</f>
        <v/>
      </c>
      <c r="C67" s="902">
        <f>IFERROR(IF(B67="","",VLOOKUP(B67,Instellingen!$B$30:$F$37,5,FALSE)),"")</f>
        <v/>
      </c>
      <c r="D67" s="866" t="n"/>
      <c r="E67" s="109" t="n"/>
      <c r="F67" s="109" t="n"/>
      <c r="G67" s="109" t="n"/>
      <c r="H67" s="673" t="inlineStr">
        <is>
          <t>hv - Houdbaar vullen</t>
        </is>
      </c>
      <c r="I67" s="264" t="n"/>
      <c r="J67" s="264" t="n"/>
      <c r="K67" s="264" t="n"/>
      <c r="L67" s="264" t="n"/>
      <c r="M67" s="264" t="n"/>
      <c r="N67" s="264" t="n"/>
      <c r="O67" s="264" t="n"/>
      <c r="P67" s="901">
        <f>BA14</f>
        <v/>
      </c>
      <c r="Q67" s="866" t="n"/>
      <c r="R67" s="687" t="inlineStr">
        <is>
          <t>Magazijn</t>
        </is>
      </c>
      <c r="S67" s="883" t="n"/>
      <c r="T67" s="883" t="n"/>
      <c r="U67" s="883" t="n"/>
      <c r="V67" s="883" t="n"/>
      <c r="W67" s="883" t="n"/>
      <c r="X67" s="883" t="n"/>
      <c r="Y67" s="883" t="n"/>
      <c r="Z67" s="883" t="n"/>
      <c r="AA67" s="883" t="n"/>
      <c r="AB67" s="903" t="inlineStr">
        <is>
          <t>km - Kwaliteitsmedewerker</t>
        </is>
      </c>
      <c r="AC67" s="897" t="n"/>
      <c r="AD67" s="897" t="n"/>
      <c r="AE67" s="897" t="n"/>
      <c r="AF67" s="897" t="n"/>
      <c r="AG67" s="897" t="n"/>
      <c r="AH67" s="897" t="n"/>
      <c r="AI67" s="862" t="n"/>
      <c r="AJ67" s="904">
        <f>BA48</f>
        <v/>
      </c>
      <c r="AK67" s="866" t="n"/>
      <c r="AL67" s="47" t="n"/>
      <c r="AM67" s="47" t="n"/>
      <c r="AN67" s="47" t="n"/>
      <c r="AO67" s="47" t="n"/>
      <c r="AP67" s="47" t="n"/>
      <c r="AQ67" s="501" t="n"/>
      <c r="AR67" s="501" t="n"/>
      <c r="AS67" s="501" t="n"/>
      <c r="AT67" s="501" t="n"/>
      <c r="AU67" s="501" t="n"/>
      <c r="AV67" s="504" t="n"/>
      <c r="AW67" s="502" t="n"/>
      <c r="AX67" s="503" t="n"/>
      <c r="AY67" s="502" t="n"/>
      <c r="AZ67" s="512" t="n"/>
      <c r="BA67" s="263" t="n"/>
      <c r="BC67" s="31">
        <f>IF(Planning!B60="","",Planning!B60)</f>
        <v/>
      </c>
      <c r="BD67" s="105" t="n"/>
      <c r="BE67" s="885">
        <f>Planning!E60</f>
        <v/>
      </c>
      <c r="BF67" s="885">
        <f>Planning!F60</f>
        <v/>
      </c>
      <c r="BG67" s="886" t="n"/>
      <c r="BH67" s="105" t="n"/>
      <c r="BI67" s="885">
        <f>Planning!I60</f>
        <v/>
      </c>
      <c r="BJ67" s="885">
        <f>Planning!J60</f>
        <v/>
      </c>
      <c r="BK67" s="886" t="n"/>
      <c r="BL67" s="105" t="n"/>
      <c r="BM67" s="885">
        <f>Planning!M60</f>
        <v/>
      </c>
      <c r="BN67" s="885">
        <f>Planning!N60</f>
        <v/>
      </c>
      <c r="BO67" s="886" t="n"/>
      <c r="BP67" s="105" t="n"/>
      <c r="BQ67" s="885">
        <f>Planning!Q60</f>
        <v/>
      </c>
      <c r="BR67" s="885">
        <f>Planning!R60</f>
        <v/>
      </c>
      <c r="BS67" s="886" t="n"/>
      <c r="BT67" s="105" t="n"/>
      <c r="BU67" s="885">
        <f>Planning!U60</f>
        <v/>
      </c>
      <c r="BV67" s="885">
        <f>Planning!V60</f>
        <v/>
      </c>
      <c r="BW67" s="886" t="n"/>
      <c r="BX67" s="105" t="n"/>
      <c r="BY67" s="885">
        <f>Planning!Y60</f>
        <v/>
      </c>
      <c r="BZ67" s="885">
        <f>Planning!Z60</f>
        <v/>
      </c>
      <c r="CA67" s="886" t="n"/>
      <c r="CB67" s="105" t="n"/>
      <c r="CC67" s="885">
        <f>Planning!AC60</f>
        <v/>
      </c>
      <c r="CD67" s="885">
        <f>Planning!AD60</f>
        <v/>
      </c>
      <c r="CE67" s="886" t="n"/>
      <c r="CF67" s="105" t="n"/>
      <c r="CG67" s="887">
        <f>Planning!AG60</f>
        <v/>
      </c>
      <c r="CH67" s="105" t="n"/>
      <c r="CI67" s="252">
        <f>IF(BC67="","",Planning!AI60)</f>
        <v/>
      </c>
      <c r="CJ67" s="252">
        <f>IF(BC67="","",Planning!AJ60)</f>
        <v/>
      </c>
      <c r="CK67" s="252">
        <f>IF(BC67="","",Planning!AK60)</f>
        <v/>
      </c>
      <c r="CL67" s="252">
        <f>IF(BC67="","",Planning!AH60)</f>
        <v/>
      </c>
      <c r="CM67" s="21" t="n"/>
    </row>
    <row r="68" ht="13.5" customHeight="1">
      <c r="A68" s="159" t="n"/>
      <c r="B68" s="440">
        <f>IFERROR(IF(COUNTIF(Instellingen!$M$30:$M$37,"")&gt;5,"",VLOOKUP(SMALL(Instellingen!$M$30:$M$37,3),Instellingen!$M$30:$T$37,8,FALSE)),"")</f>
        <v/>
      </c>
      <c r="C68" s="902">
        <f>IFERROR(IF(B68="","",VLOOKUP(B68,Instellingen!$B$30:$F$37,5,FALSE)),"")</f>
        <v/>
      </c>
      <c r="D68" s="866" t="n"/>
      <c r="E68" s="109" t="n"/>
      <c r="F68" s="109" t="n"/>
      <c r="G68" s="109" t="n"/>
      <c r="H68" s="673" t="inlineStr">
        <is>
          <t>dv - Diepvries vullen</t>
        </is>
      </c>
      <c r="I68" s="264" t="n"/>
      <c r="J68" s="264" t="n"/>
      <c r="K68" s="264" t="n"/>
      <c r="L68" s="264" t="n"/>
      <c r="M68" s="264" t="n"/>
      <c r="N68" s="264" t="n"/>
      <c r="O68" s="264" t="n"/>
      <c r="P68" s="901">
        <f>BA15</f>
        <v/>
      </c>
      <c r="Q68" s="866" t="n"/>
      <c r="R68" s="673" t="inlineStr">
        <is>
          <t>l - Lossen/Retouren</t>
        </is>
      </c>
      <c r="S68" s="264" t="n"/>
      <c r="T68" s="264" t="n"/>
      <c r="U68" s="264" t="n"/>
      <c r="V68" s="264" t="n"/>
      <c r="W68" s="264" t="n"/>
      <c r="X68" s="264" t="n"/>
      <c r="Y68" s="264" t="n"/>
      <c r="Z68" s="675">
        <f>BA32</f>
        <v/>
      </c>
      <c r="AA68" s="264" t="n"/>
      <c r="AB68" s="905" t="inlineStr">
        <is>
          <t>mt - MT of CKW-overleg</t>
        </is>
      </c>
      <c r="AC68" s="264" t="n"/>
      <c r="AD68" s="264" t="n"/>
      <c r="AE68" s="264" t="n"/>
      <c r="AF68" s="264" t="n"/>
      <c r="AG68" s="264" t="n"/>
      <c r="AH68" s="264" t="n"/>
      <c r="AI68" s="866" t="n"/>
      <c r="AJ68" s="904">
        <f>BA49</f>
        <v/>
      </c>
      <c r="AK68" s="866" t="n"/>
      <c r="AL68" s="47" t="n"/>
      <c r="AM68" s="47" t="n"/>
      <c r="AN68" s="47" t="n"/>
      <c r="AO68" s="47" t="n"/>
      <c r="AP68" s="47" t="n"/>
      <c r="AQ68" s="501" t="n"/>
      <c r="AR68" s="501" t="n"/>
      <c r="AS68" s="501" t="n"/>
      <c r="AT68" s="501" t="n"/>
      <c r="AU68" s="501" t="n"/>
      <c r="AV68" s="504" t="n"/>
      <c r="AW68" s="502" t="n"/>
      <c r="AX68" s="503" t="n"/>
      <c r="AY68" s="502" t="n"/>
      <c r="AZ68" s="512" t="n"/>
      <c r="BA68" s="263" t="n"/>
      <c r="BC68" s="31">
        <f>IF(Planning!B61="","",Planning!B61)</f>
        <v/>
      </c>
      <c r="BD68" s="105" t="n"/>
      <c r="BE68" s="885">
        <f>Planning!E61</f>
        <v/>
      </c>
      <c r="BF68" s="885">
        <f>Planning!F61</f>
        <v/>
      </c>
      <c r="BG68" s="886" t="n"/>
      <c r="BH68" s="105" t="n"/>
      <c r="BI68" s="885">
        <f>Planning!I61</f>
        <v/>
      </c>
      <c r="BJ68" s="885">
        <f>Planning!J61</f>
        <v/>
      </c>
      <c r="BK68" s="886" t="n"/>
      <c r="BL68" s="105" t="n"/>
      <c r="BM68" s="885">
        <f>Planning!M61</f>
        <v/>
      </c>
      <c r="BN68" s="885">
        <f>Planning!N61</f>
        <v/>
      </c>
      <c r="BO68" s="886" t="n"/>
      <c r="BP68" s="105" t="n"/>
      <c r="BQ68" s="885">
        <f>Planning!Q61</f>
        <v/>
      </c>
      <c r="BR68" s="885">
        <f>Planning!R61</f>
        <v/>
      </c>
      <c r="BS68" s="886" t="n"/>
      <c r="BT68" s="105" t="n"/>
      <c r="BU68" s="885">
        <f>Planning!U61</f>
        <v/>
      </c>
      <c r="BV68" s="885">
        <f>Planning!V61</f>
        <v/>
      </c>
      <c r="BW68" s="886" t="n"/>
      <c r="BX68" s="105" t="n"/>
      <c r="BY68" s="885">
        <f>Planning!Y61</f>
        <v/>
      </c>
      <c r="BZ68" s="885">
        <f>Planning!Z61</f>
        <v/>
      </c>
      <c r="CA68" s="886" t="n"/>
      <c r="CB68" s="105" t="n"/>
      <c r="CC68" s="885">
        <f>Planning!AC61</f>
        <v/>
      </c>
      <c r="CD68" s="885">
        <f>Planning!AD61</f>
        <v/>
      </c>
      <c r="CE68" s="886" t="n"/>
      <c r="CF68" s="105" t="n"/>
      <c r="CG68" s="887">
        <f>Planning!AG61</f>
        <v/>
      </c>
      <c r="CH68" s="105" t="n"/>
      <c r="CI68" s="252">
        <f>IF(BC68="","",Planning!AI61)</f>
        <v/>
      </c>
      <c r="CJ68" s="252">
        <f>IF(BC68="","",Planning!AJ61)</f>
        <v/>
      </c>
      <c r="CK68" s="252">
        <f>IF(BC68="","",Planning!AK61)</f>
        <v/>
      </c>
      <c r="CL68" s="252">
        <f>IF(BC68="","",Planning!AH61)</f>
        <v/>
      </c>
      <c r="CM68" s="21" t="n"/>
    </row>
    <row r="69" ht="13.5" customHeight="1">
      <c r="A69" s="159" t="n"/>
      <c r="B69" s="440">
        <f>IFERROR(IF(COUNTIF(Instellingen!$M$30:$M$37,"")&gt;4,"",VLOOKUP(SMALL(Instellingen!$M$30:$M$37,4),Instellingen!$M$30:$T$37,8,FALSE)),"")</f>
        <v/>
      </c>
      <c r="C69" s="902">
        <f>IFERROR(IF(B69="","",VLOOKUP(B69,Instellingen!$B$30:$F$37,5,FALSE)),"")</f>
        <v/>
      </c>
      <c r="D69" s="866" t="n"/>
      <c r="E69" s="109" t="n"/>
      <c r="F69" s="109" t="n"/>
      <c r="G69" s="109" t="n"/>
      <c r="H69" s="673" t="inlineStr">
        <is>
          <t>vv - Vers vullen</t>
        </is>
      </c>
      <c r="I69" s="264" t="n"/>
      <c r="J69" s="264" t="n"/>
      <c r="K69" s="264" t="n"/>
      <c r="L69" s="264" t="n"/>
      <c r="M69" s="264" t="n"/>
      <c r="N69" s="264" t="n"/>
      <c r="O69" s="264" t="n"/>
      <c r="P69" s="901">
        <f>BA16</f>
        <v/>
      </c>
      <c r="Q69" s="866" t="n"/>
      <c r="R69" s="673" t="inlineStr">
        <is>
          <t>ma - Magazijn</t>
        </is>
      </c>
      <c r="S69" s="264" t="n"/>
      <c r="T69" s="264" t="n"/>
      <c r="U69" s="264" t="n"/>
      <c r="V69" s="264" t="n"/>
      <c r="W69" s="264" t="n"/>
      <c r="X69" s="264" t="n"/>
      <c r="Y69" s="264" t="n"/>
      <c r="Z69" s="675">
        <f>BA33</f>
        <v/>
      </c>
      <c r="AA69" s="264" t="n"/>
      <c r="AB69" s="905" t="inlineStr">
        <is>
          <t>ov - Overig</t>
        </is>
      </c>
      <c r="AC69" s="264" t="n"/>
      <c r="AD69" s="264" t="n"/>
      <c r="AE69" s="264" t="n"/>
      <c r="AF69" s="264" t="n"/>
      <c r="AG69" s="264" t="n"/>
      <c r="AH69" s="264" t="n"/>
      <c r="AI69" s="866" t="n"/>
      <c r="AJ69" s="904">
        <f>BA50</f>
        <v/>
      </c>
      <c r="AK69" s="866" t="n"/>
      <c r="AL69" s="47" t="n"/>
      <c r="AM69" s="47" t="n"/>
      <c r="AN69" s="47" t="n"/>
      <c r="AO69" s="47" t="n"/>
      <c r="AP69" s="47" t="n"/>
      <c r="AQ69" s="501" t="n"/>
      <c r="AR69" s="501" t="n"/>
      <c r="AS69" s="501" t="n"/>
      <c r="AT69" s="501" t="n"/>
      <c r="AU69" s="501" t="n"/>
      <c r="AV69" s="504" t="n"/>
      <c r="AW69" s="502" t="n"/>
      <c r="AX69" s="505" t="n"/>
      <c r="AY69" s="263" t="n"/>
      <c r="AZ69" s="513" t="n"/>
      <c r="BA69" s="263" t="n"/>
      <c r="BC69" s="31">
        <f>IF(Planning!B62="","",Planning!B62)</f>
        <v/>
      </c>
      <c r="BD69" s="105" t="n"/>
      <c r="BE69" s="885">
        <f>Planning!E62</f>
        <v/>
      </c>
      <c r="BF69" s="885">
        <f>Planning!F62</f>
        <v/>
      </c>
      <c r="BG69" s="886" t="n"/>
      <c r="BH69" s="105" t="n"/>
      <c r="BI69" s="885">
        <f>Planning!I62</f>
        <v/>
      </c>
      <c r="BJ69" s="885">
        <f>Planning!J62</f>
        <v/>
      </c>
      <c r="BK69" s="886" t="n"/>
      <c r="BL69" s="105" t="n"/>
      <c r="BM69" s="885">
        <f>Planning!M62</f>
        <v/>
      </c>
      <c r="BN69" s="885">
        <f>Planning!N62</f>
        <v/>
      </c>
      <c r="BO69" s="886" t="n"/>
      <c r="BP69" s="105" t="n"/>
      <c r="BQ69" s="885">
        <f>Planning!Q62</f>
        <v/>
      </c>
      <c r="BR69" s="885">
        <f>Planning!R62</f>
        <v/>
      </c>
      <c r="BS69" s="886" t="n"/>
      <c r="BT69" s="105" t="n"/>
      <c r="BU69" s="885">
        <f>Planning!U62</f>
        <v/>
      </c>
      <c r="BV69" s="885">
        <f>Planning!V62</f>
        <v/>
      </c>
      <c r="BW69" s="886" t="n"/>
      <c r="BX69" s="105" t="n"/>
      <c r="BY69" s="885">
        <f>Planning!Y62</f>
        <v/>
      </c>
      <c r="BZ69" s="885">
        <f>Planning!Z62</f>
        <v/>
      </c>
      <c r="CA69" s="886" t="n"/>
      <c r="CB69" s="105" t="n"/>
      <c r="CC69" s="885">
        <f>Planning!AC62</f>
        <v/>
      </c>
      <c r="CD69" s="885">
        <f>Planning!AD62</f>
        <v/>
      </c>
      <c r="CE69" s="886" t="n"/>
      <c r="CF69" s="105" t="n"/>
      <c r="CG69" s="887">
        <f>Planning!AG62</f>
        <v/>
      </c>
      <c r="CH69" s="105" t="n"/>
      <c r="CI69" s="252">
        <f>IF(BC69="","",Planning!AI62)</f>
        <v/>
      </c>
      <c r="CJ69" s="252">
        <f>IF(BC69="","",Planning!AJ62)</f>
        <v/>
      </c>
      <c r="CK69" s="252">
        <f>IF(BC69="","",Planning!AK62)</f>
        <v/>
      </c>
      <c r="CL69" s="252">
        <f>IF(BC69="","",Planning!AH62)</f>
        <v/>
      </c>
      <c r="CM69" s="21" t="n"/>
    </row>
    <row r="70" ht="13.5" customHeight="1">
      <c r="A70" s="159" t="n"/>
      <c r="B70" s="440">
        <f>IFERROR(IF(COUNTIF(Instellingen!$M$30:$M$37,"")&gt;3,"",VLOOKUP(SMALL(Instellingen!$M$30:$M$37,5),Instellingen!$M$30:$T$37,8,FALSE)),"")</f>
        <v/>
      </c>
      <c r="C70" s="902">
        <f>IFERROR(IF(B70="","",VLOOKUP(B70,Instellingen!$B$30:$F$37,5,FALSE)),"")</f>
        <v/>
      </c>
      <c r="D70" s="866" t="n"/>
      <c r="E70" s="109" t="n"/>
      <c r="F70" s="109" t="n"/>
      <c r="G70" s="109" t="n"/>
      <c r="H70" s="673" t="inlineStr">
        <is>
          <t>nh - Navulling HB</t>
        </is>
      </c>
      <c r="I70" s="264" t="n"/>
      <c r="J70" s="264" t="n"/>
      <c r="K70" s="264" t="n"/>
      <c r="L70" s="264" t="n"/>
      <c r="M70" s="264" t="n"/>
      <c r="N70" s="264" t="n"/>
      <c r="O70" s="264" t="n"/>
      <c r="P70" s="901">
        <f>BA17</f>
        <v/>
      </c>
      <c r="Q70" s="866" t="n"/>
      <c r="R70" s="661" t="inlineStr">
        <is>
          <t>sp - Splitsen</t>
        </is>
      </c>
      <c r="S70" s="906" t="n"/>
      <c r="T70" s="906" t="n"/>
      <c r="U70" s="906" t="n"/>
      <c r="V70" s="906" t="n"/>
      <c r="W70" s="906" t="n"/>
      <c r="X70" s="906" t="n"/>
      <c r="Y70" s="906" t="n"/>
      <c r="Z70" s="675">
        <f>BA34</f>
        <v/>
      </c>
      <c r="AA70" s="264" t="n"/>
      <c r="AB70" s="905" t="inlineStr">
        <is>
          <t>prt - Protime</t>
        </is>
      </c>
      <c r="AC70" s="264" t="n"/>
      <c r="AD70" s="264" t="n"/>
      <c r="AE70" s="264" t="n"/>
      <c r="AF70" s="264" t="n"/>
      <c r="AG70" s="264" t="n"/>
      <c r="AH70" s="264" t="n"/>
      <c r="AI70" s="866" t="n"/>
      <c r="AJ70" s="904">
        <f>BA51</f>
        <v/>
      </c>
      <c r="AK70" s="866" t="n"/>
      <c r="AL70" s="47" t="n"/>
      <c r="AM70" s="47" t="n"/>
      <c r="AN70" s="47" t="n"/>
      <c r="AO70" s="47" t="n"/>
      <c r="AP70" s="47" t="n"/>
      <c r="AQ70" s="501" t="n"/>
      <c r="AR70" s="501" t="n"/>
      <c r="AS70" s="501" t="n"/>
      <c r="AT70" s="501" t="n"/>
      <c r="AU70" s="501" t="n"/>
      <c r="AV70" s="504" t="n"/>
      <c r="AW70" s="502" t="n"/>
      <c r="AX70" s="505" t="n"/>
      <c r="AY70" s="263" t="n"/>
      <c r="AZ70" s="513" t="n"/>
      <c r="BA70" s="263" t="n"/>
      <c r="BC70" s="31">
        <f>IF(Planning!B63="","",Planning!B63)</f>
        <v/>
      </c>
      <c r="BD70" s="105" t="n"/>
      <c r="BE70" s="885">
        <f>Planning!E63</f>
        <v/>
      </c>
      <c r="BF70" s="885">
        <f>Planning!F63</f>
        <v/>
      </c>
      <c r="BG70" s="886" t="n"/>
      <c r="BH70" s="105" t="n"/>
      <c r="BI70" s="885">
        <f>Planning!I63</f>
        <v/>
      </c>
      <c r="BJ70" s="885">
        <f>Planning!J63</f>
        <v/>
      </c>
      <c r="BK70" s="886" t="n"/>
      <c r="BL70" s="105" t="n"/>
      <c r="BM70" s="885">
        <f>Planning!M63</f>
        <v/>
      </c>
      <c r="BN70" s="885">
        <f>Planning!N63</f>
        <v/>
      </c>
      <c r="BO70" s="886" t="n"/>
      <c r="BP70" s="105" t="n"/>
      <c r="BQ70" s="885">
        <f>Planning!Q63</f>
        <v/>
      </c>
      <c r="BR70" s="885">
        <f>Planning!R63</f>
        <v/>
      </c>
      <c r="BS70" s="886" t="n"/>
      <c r="BT70" s="105" t="n"/>
      <c r="BU70" s="885">
        <f>Planning!U63</f>
        <v/>
      </c>
      <c r="BV70" s="885">
        <f>Planning!V63</f>
        <v/>
      </c>
      <c r="BW70" s="886" t="n"/>
      <c r="BX70" s="105" t="n"/>
      <c r="BY70" s="885">
        <f>Planning!Y63</f>
        <v/>
      </c>
      <c r="BZ70" s="885">
        <f>Planning!Z63</f>
        <v/>
      </c>
      <c r="CA70" s="886" t="n"/>
      <c r="CB70" s="105" t="n"/>
      <c r="CC70" s="885">
        <f>Planning!AC63</f>
        <v/>
      </c>
      <c r="CD70" s="885">
        <f>Planning!AD63</f>
        <v/>
      </c>
      <c r="CE70" s="886" t="n"/>
      <c r="CF70" s="105" t="n"/>
      <c r="CG70" s="887">
        <f>Planning!AG63</f>
        <v/>
      </c>
      <c r="CH70" s="105" t="n"/>
      <c r="CI70" s="252">
        <f>IF(BC70="","",Planning!AI63)</f>
        <v/>
      </c>
      <c r="CJ70" s="252">
        <f>IF(BC70="","",Planning!AJ63)</f>
        <v/>
      </c>
      <c r="CK70" s="252">
        <f>IF(BC70="","",Planning!AK63)</f>
        <v/>
      </c>
      <c r="CL70" s="252">
        <f>IF(BC70="","",Planning!AH63)</f>
        <v/>
      </c>
      <c r="CM70" s="21" t="n"/>
    </row>
    <row r="71" ht="13.5" customHeight="1">
      <c r="A71" s="159" t="n"/>
      <c r="B71" s="251">
        <f>IFERROR(IF(COUNTIF(Instellingen!$M$30:$M$37,"")&gt;2,"",VLOOKUP(SMALL(Instellingen!$M$30:$M$37,6),Instellingen!$M$30:$T$37,8,FALSE)),"")</f>
        <v/>
      </c>
      <c r="C71" s="902">
        <f>IFERROR(IF(B71="","",VLOOKUP(B71,Instellingen!$B$30:$F$37,5,FALSE)),"")</f>
        <v/>
      </c>
      <c r="D71" s="866" t="n"/>
      <c r="E71" s="109" t="n"/>
      <c r="F71" s="109" t="n"/>
      <c r="G71" s="109" t="n"/>
      <c r="H71" s="673" t="inlineStr">
        <is>
          <t>nd - Navulling DV</t>
        </is>
      </c>
      <c r="I71" s="264" t="n"/>
      <c r="J71" s="264" t="n"/>
      <c r="K71" s="264" t="n"/>
      <c r="L71" s="264" t="n"/>
      <c r="M71" s="264" t="n"/>
      <c r="N71" s="264" t="n"/>
      <c r="O71" s="264" t="n"/>
      <c r="P71" s="901">
        <f>BA18</f>
        <v/>
      </c>
      <c r="Q71" s="866" t="n"/>
      <c r="R71" s="687" t="inlineStr">
        <is>
          <t>Afprijzen</t>
        </is>
      </c>
      <c r="S71" s="883" t="n"/>
      <c r="T71" s="883" t="n"/>
      <c r="U71" s="883" t="n"/>
      <c r="V71" s="883" t="n"/>
      <c r="W71" s="883" t="n"/>
      <c r="X71" s="883" t="n"/>
      <c r="Y71" s="883" t="n"/>
      <c r="Z71" s="883" t="n"/>
      <c r="AA71" s="883" t="n"/>
      <c r="AB71" s="907" t="inlineStr">
        <is>
          <t>sl - Shift leiden</t>
        </is>
      </c>
      <c r="AC71" s="264" t="n"/>
      <c r="AD71" s="264" t="n"/>
      <c r="AE71" s="264" t="n"/>
      <c r="AF71" s="264" t="n"/>
      <c r="AG71" s="264" t="n"/>
      <c r="AH71" s="264" t="n"/>
      <c r="AI71" s="866" t="n"/>
      <c r="AJ71" s="904">
        <f>BA52</f>
        <v/>
      </c>
      <c r="AK71" s="866" t="n"/>
      <c r="AL71" s="47" t="n"/>
      <c r="AM71" s="47" t="n"/>
      <c r="AN71" s="47" t="n"/>
      <c r="AO71" s="47" t="n"/>
      <c r="AP71" s="47" t="n"/>
      <c r="AQ71" s="501" t="n"/>
      <c r="AR71" s="501" t="n"/>
      <c r="AS71" s="501" t="n"/>
      <c r="AT71" s="501" t="n"/>
      <c r="AU71" s="501" t="n"/>
      <c r="AV71" s="504" t="n"/>
      <c r="AW71" s="502" t="n"/>
      <c r="AX71" s="505" t="n"/>
      <c r="AY71" s="263" t="n"/>
      <c r="AZ71" s="513" t="n"/>
      <c r="BA71" s="263" t="n"/>
      <c r="BC71" s="31">
        <f>IF(Planning!B64="","",Planning!B64)</f>
        <v/>
      </c>
      <c r="BD71" s="105" t="n"/>
      <c r="BE71" s="885">
        <f>Planning!E64</f>
        <v/>
      </c>
      <c r="BF71" s="885">
        <f>Planning!F64</f>
        <v/>
      </c>
      <c r="BG71" s="886" t="n"/>
      <c r="BH71" s="105" t="n"/>
      <c r="BI71" s="885">
        <f>Planning!I64</f>
        <v/>
      </c>
      <c r="BJ71" s="885">
        <f>Planning!J64</f>
        <v/>
      </c>
      <c r="BK71" s="886" t="n"/>
      <c r="BL71" s="105" t="n"/>
      <c r="BM71" s="885">
        <f>Planning!M64</f>
        <v/>
      </c>
      <c r="BN71" s="885">
        <f>Planning!N64</f>
        <v/>
      </c>
      <c r="BO71" s="886" t="n"/>
      <c r="BP71" s="105" t="n"/>
      <c r="BQ71" s="885">
        <f>Planning!Q64</f>
        <v/>
      </c>
      <c r="BR71" s="885">
        <f>Planning!R64</f>
        <v/>
      </c>
      <c r="BS71" s="886" t="n"/>
      <c r="BT71" s="105" t="n"/>
      <c r="BU71" s="885">
        <f>Planning!U64</f>
        <v/>
      </c>
      <c r="BV71" s="885">
        <f>Planning!V64</f>
        <v/>
      </c>
      <c r="BW71" s="886" t="n"/>
      <c r="BX71" s="105" t="n"/>
      <c r="BY71" s="885">
        <f>Planning!Y64</f>
        <v/>
      </c>
      <c r="BZ71" s="885">
        <f>Planning!Z64</f>
        <v/>
      </c>
      <c r="CA71" s="886" t="n"/>
      <c r="CB71" s="105" t="n"/>
      <c r="CC71" s="885">
        <f>Planning!AC64</f>
        <v/>
      </c>
      <c r="CD71" s="885">
        <f>Planning!AD64</f>
        <v/>
      </c>
      <c r="CE71" s="886" t="n"/>
      <c r="CF71" s="105" t="n"/>
      <c r="CG71" s="887">
        <f>Planning!AG64</f>
        <v/>
      </c>
      <c r="CH71" s="105" t="n"/>
      <c r="CI71" s="252">
        <f>IF(BC71="","",Planning!AI64)</f>
        <v/>
      </c>
      <c r="CJ71" s="252">
        <f>IF(BC71="","",Planning!AJ64)</f>
        <v/>
      </c>
      <c r="CK71" s="252">
        <f>IF(BC71="","",Planning!AK64)</f>
        <v/>
      </c>
      <c r="CL71" s="252">
        <f>IF(BC71="","",Planning!AH64)</f>
        <v/>
      </c>
      <c r="CM71" s="21" t="n"/>
    </row>
    <row r="72" ht="13.5" customHeight="1">
      <c r="A72" s="159" t="n"/>
      <c r="B72" s="441">
        <f>IFERROR(IF(COUNTIF(Instellingen!$M$30:$M$37,"")&gt;1,"",VLOOKUP(SMALL(Instellingen!$M$30:$M$37,7),Instellingen!$M$30:$T$37,8,FALSE)),"")</f>
        <v/>
      </c>
      <c r="C72" s="908">
        <f>IFERROR(IF(B72="","",VLOOKUP(B72,Instellingen!$B$30:$F$37,5,FALSE)),"")</f>
        <v/>
      </c>
      <c r="D72" s="869" t="n"/>
      <c r="E72" s="109" t="n"/>
      <c r="F72" s="109" t="n"/>
      <c r="G72" s="109" t="n"/>
      <c r="H72" s="673" t="inlineStr">
        <is>
          <t>nv - Navulling Vers</t>
        </is>
      </c>
      <c r="I72" s="264" t="n"/>
      <c r="J72" s="264" t="n"/>
      <c r="K72" s="264" t="n"/>
      <c r="L72" s="264" t="n"/>
      <c r="M72" s="264" t="n"/>
      <c r="N72" s="264" t="n"/>
      <c r="O72" s="264" t="n"/>
      <c r="P72" s="901">
        <f>BA19</f>
        <v/>
      </c>
      <c r="Q72" s="866" t="n"/>
      <c r="R72" s="673" t="inlineStr">
        <is>
          <t>afp - Afprijzen</t>
        </is>
      </c>
      <c r="S72" s="264" t="n"/>
      <c r="T72" s="264" t="n"/>
      <c r="U72" s="264" t="n"/>
      <c r="V72" s="264" t="n"/>
      <c r="W72" s="264" t="n"/>
      <c r="X72" s="264" t="n"/>
      <c r="Y72" s="264" t="n"/>
      <c r="Z72" s="675">
        <f>BA36</f>
        <v/>
      </c>
      <c r="AA72" s="264" t="n"/>
      <c r="AB72" s="905" t="inlineStr">
        <is>
          <t>vp - Vulshiftplanning</t>
        </is>
      </c>
      <c r="AC72" s="264" t="n"/>
      <c r="AD72" s="264" t="n"/>
      <c r="AE72" s="264" t="n"/>
      <c r="AF72" s="264" t="n"/>
      <c r="AG72" s="264" t="n"/>
      <c r="AH72" s="264" t="n"/>
      <c r="AI72" s="866" t="n"/>
      <c r="AJ72" s="904">
        <f>BA53</f>
        <v/>
      </c>
      <c r="AK72" s="866" t="n"/>
      <c r="AL72" s="47" t="n"/>
      <c r="AM72" s="47" t="n"/>
      <c r="AN72" s="47" t="n"/>
      <c r="AO72" s="47" t="n"/>
      <c r="AP72" s="47" t="n"/>
      <c r="AQ72" s="501" t="n"/>
      <c r="AR72" s="501" t="n"/>
      <c r="AS72" s="501" t="n"/>
      <c r="AT72" s="501" t="n"/>
      <c r="AU72" s="501" t="n"/>
      <c r="AV72" s="504" t="n"/>
      <c r="AW72" s="502" t="n"/>
      <c r="AX72" s="505" t="n"/>
      <c r="AY72" s="263" t="n"/>
      <c r="AZ72" s="513" t="n"/>
      <c r="BA72" s="263" t="n"/>
      <c r="BC72" s="31">
        <f>IF(Planning!B65="","",Planning!B65)</f>
        <v/>
      </c>
      <c r="BD72" s="105" t="n"/>
      <c r="BE72" s="885">
        <f>Planning!E65</f>
        <v/>
      </c>
      <c r="BF72" s="885">
        <f>Planning!F65</f>
        <v/>
      </c>
      <c r="BG72" s="886" t="n"/>
      <c r="BH72" s="105" t="n"/>
      <c r="BI72" s="885">
        <f>Planning!I65</f>
        <v/>
      </c>
      <c r="BJ72" s="885">
        <f>Planning!J65</f>
        <v/>
      </c>
      <c r="BK72" s="886" t="n"/>
      <c r="BL72" s="105" t="n"/>
      <c r="BM72" s="885">
        <f>Planning!M65</f>
        <v/>
      </c>
      <c r="BN72" s="885">
        <f>Planning!N65</f>
        <v/>
      </c>
      <c r="BO72" s="886" t="n"/>
      <c r="BP72" s="105" t="n"/>
      <c r="BQ72" s="885">
        <f>Planning!Q65</f>
        <v/>
      </c>
      <c r="BR72" s="885">
        <f>Planning!R65</f>
        <v/>
      </c>
      <c r="BS72" s="886" t="n"/>
      <c r="BT72" s="105" t="n"/>
      <c r="BU72" s="885">
        <f>Planning!U65</f>
        <v/>
      </c>
      <c r="BV72" s="885">
        <f>Planning!V65</f>
        <v/>
      </c>
      <c r="BW72" s="886" t="n"/>
      <c r="BX72" s="105" t="n"/>
      <c r="BY72" s="885">
        <f>Planning!Y65</f>
        <v/>
      </c>
      <c r="BZ72" s="885">
        <f>Planning!Z65</f>
        <v/>
      </c>
      <c r="CA72" s="886" t="n"/>
      <c r="CB72" s="105" t="n"/>
      <c r="CC72" s="885">
        <f>Planning!AC65</f>
        <v/>
      </c>
      <c r="CD72" s="885">
        <f>Planning!AD65</f>
        <v/>
      </c>
      <c r="CE72" s="886" t="n"/>
      <c r="CF72" s="105" t="n"/>
      <c r="CG72" s="887">
        <f>Planning!AG65</f>
        <v/>
      </c>
      <c r="CH72" s="105" t="n"/>
      <c r="CI72" s="252">
        <f>IF(BC72="","",Planning!AI65)</f>
        <v/>
      </c>
      <c r="CJ72" s="252">
        <f>IF(BC72="","",Planning!AJ65)</f>
        <v/>
      </c>
      <c r="CK72" s="252">
        <f>IF(BC72="","",Planning!AK65)</f>
        <v/>
      </c>
      <c r="CL72" s="252">
        <f>IF(BC72="","",Planning!AH65)</f>
        <v/>
      </c>
      <c r="CM72" s="21" t="n"/>
    </row>
    <row r="73" ht="13.5" customHeight="1">
      <c r="A73" s="159" t="n"/>
      <c r="B73" s="109" t="n"/>
      <c r="C73" s="109" t="n"/>
      <c r="D73" s="109" t="n"/>
      <c r="E73" s="109" t="n"/>
      <c r="F73" s="109" t="n"/>
      <c r="G73" s="109" t="n"/>
      <c r="H73" s="673" t="inlineStr">
        <is>
          <t>rh - Restant HB</t>
        </is>
      </c>
      <c r="I73" s="264" t="n"/>
      <c r="J73" s="264" t="n"/>
      <c r="K73" s="264" t="n"/>
      <c r="L73" s="264" t="n"/>
      <c r="M73" s="264" t="n"/>
      <c r="N73" s="264" t="n"/>
      <c r="O73" s="264" t="n"/>
      <c r="P73" s="901">
        <f>BA20</f>
        <v/>
      </c>
      <c r="Q73" s="866" t="n"/>
      <c r="R73" s="673" t="inlineStr">
        <is>
          <t>cb - Codeboek</t>
        </is>
      </c>
      <c r="S73" s="264" t="n"/>
      <c r="T73" s="264" t="n"/>
      <c r="U73" s="264" t="n"/>
      <c r="V73" s="264" t="n"/>
      <c r="W73" s="264" t="n"/>
      <c r="X73" s="264" t="n"/>
      <c r="Y73" s="264" t="n"/>
      <c r="Z73" s="675">
        <f>BA37</f>
        <v/>
      </c>
      <c r="AA73" s="264" t="n"/>
      <c r="AB73" s="905" t="inlineStr">
        <is>
          <t>wh - Winkelwagens halen</t>
        </is>
      </c>
      <c r="AC73" s="264" t="n"/>
      <c r="AD73" s="264" t="n"/>
      <c r="AE73" s="264" t="n"/>
      <c r="AF73" s="264" t="n"/>
      <c r="AG73" s="264" t="n"/>
      <c r="AH73" s="264" t="n"/>
      <c r="AI73" s="866" t="n"/>
      <c r="AJ73" s="901">
        <f>BA54</f>
        <v/>
      </c>
      <c r="AK73" s="866" t="n"/>
      <c r="AL73" s="47" t="n"/>
      <c r="AM73" s="47" t="n"/>
      <c r="AN73" s="47" t="n"/>
      <c r="AO73" s="47" t="n"/>
      <c r="AP73" s="47" t="n"/>
      <c r="AQ73" s="501" t="n"/>
      <c r="AR73" s="501" t="n"/>
      <c r="AS73" s="501" t="n"/>
      <c r="AT73" s="501" t="n"/>
      <c r="AU73" s="501" t="n"/>
      <c r="AV73" s="504" t="n"/>
      <c r="AW73" s="502" t="n"/>
      <c r="AX73" s="505" t="n"/>
      <c r="AY73" s="506" t="n"/>
      <c r="AZ73" s="501" t="n"/>
      <c r="BA73" s="263" t="n"/>
      <c r="BC73" s="31">
        <f>IF(Planning!B66="","",Planning!B66)</f>
        <v/>
      </c>
      <c r="BD73" s="105" t="n"/>
      <c r="BE73" s="885">
        <f>Planning!E66</f>
        <v/>
      </c>
      <c r="BF73" s="885">
        <f>Planning!F66</f>
        <v/>
      </c>
      <c r="BG73" s="886" t="n"/>
      <c r="BH73" s="105" t="n"/>
      <c r="BI73" s="885">
        <f>Planning!I66</f>
        <v/>
      </c>
      <c r="BJ73" s="885">
        <f>Planning!J66</f>
        <v/>
      </c>
      <c r="BK73" s="886" t="n"/>
      <c r="BL73" s="105" t="n"/>
      <c r="BM73" s="885">
        <f>Planning!M66</f>
        <v/>
      </c>
      <c r="BN73" s="885">
        <f>Planning!N66</f>
        <v/>
      </c>
      <c r="BO73" s="886" t="n"/>
      <c r="BP73" s="105" t="n"/>
      <c r="BQ73" s="885">
        <f>Planning!Q66</f>
        <v/>
      </c>
      <c r="BR73" s="885">
        <f>Planning!R66</f>
        <v/>
      </c>
      <c r="BS73" s="886" t="n"/>
      <c r="BT73" s="105" t="n"/>
      <c r="BU73" s="885">
        <f>Planning!U66</f>
        <v/>
      </c>
      <c r="BV73" s="885">
        <f>Planning!V66</f>
        <v/>
      </c>
      <c r="BW73" s="886" t="n"/>
      <c r="BX73" s="105" t="n"/>
      <c r="BY73" s="885">
        <f>Planning!Y66</f>
        <v/>
      </c>
      <c r="BZ73" s="885">
        <f>Planning!Z66</f>
        <v/>
      </c>
      <c r="CA73" s="886" t="n"/>
      <c r="CB73" s="105" t="n"/>
      <c r="CC73" s="885">
        <f>Planning!AC66</f>
        <v/>
      </c>
      <c r="CD73" s="885">
        <f>Planning!AD66</f>
        <v/>
      </c>
      <c r="CE73" s="886" t="n"/>
      <c r="CF73" s="105" t="n"/>
      <c r="CG73" s="887">
        <f>Planning!AG66</f>
        <v/>
      </c>
      <c r="CH73" s="105" t="n"/>
      <c r="CI73" s="252">
        <f>IF(BC73="","",Planning!AI66)</f>
        <v/>
      </c>
      <c r="CJ73" s="252">
        <f>IF(BC73="","",Planning!AJ66)</f>
        <v/>
      </c>
      <c r="CK73" s="252">
        <f>IF(BC73="","",Planning!AK66)</f>
        <v/>
      </c>
      <c r="CL73" s="252">
        <f>IF(BC73="","",Planning!AH66)</f>
        <v/>
      </c>
      <c r="CM73" s="21" t="n"/>
    </row>
    <row r="74" ht="13.5" customHeight="1">
      <c r="A74" s="159" t="n"/>
      <c r="B74" s="896" t="inlineStr">
        <is>
          <t>OBM's</t>
        </is>
      </c>
      <c r="C74" s="897" t="n"/>
      <c r="D74" s="862" t="n"/>
      <c r="E74" s="109" t="n"/>
      <c r="F74" s="109" t="n"/>
      <c r="G74" s="109" t="n"/>
      <c r="H74" s="673" t="inlineStr">
        <is>
          <t>rd - Restant DV</t>
        </is>
      </c>
      <c r="I74" s="264" t="n"/>
      <c r="J74" s="264" t="n"/>
      <c r="K74" s="264" t="n"/>
      <c r="L74" s="264" t="n"/>
      <c r="M74" s="264" t="n"/>
      <c r="N74" s="264" t="n"/>
      <c r="O74" s="264" t="n"/>
      <c r="P74" s="901">
        <f>BA21</f>
        <v/>
      </c>
      <c r="Q74" s="866" t="n"/>
      <c r="R74" s="673" t="inlineStr">
        <is>
          <t>nr - Naloopronde</t>
        </is>
      </c>
      <c r="S74" s="264" t="n"/>
      <c r="T74" s="264" t="n"/>
      <c r="U74" s="264" t="n"/>
      <c r="V74" s="264" t="n"/>
      <c r="W74" s="264" t="n"/>
      <c r="X74" s="264" t="n"/>
      <c r="Y74" s="264" t="n"/>
      <c r="Z74" s="675">
        <f>BA38</f>
        <v/>
      </c>
      <c r="AA74" s="264" t="n"/>
      <c r="AB74" s="905" t="inlineStr">
        <is>
          <t>wp - Weekplanning</t>
        </is>
      </c>
      <c r="AC74" s="264" t="n"/>
      <c r="AD74" s="264" t="n"/>
      <c r="AE74" s="264" t="n"/>
      <c r="AF74" s="264" t="n"/>
      <c r="AG74" s="264" t="n"/>
      <c r="AH74" s="264" t="n"/>
      <c r="AI74" s="866" t="n"/>
      <c r="AJ74" s="901">
        <f>BA55</f>
        <v/>
      </c>
      <c r="AK74" s="866" t="n"/>
      <c r="AL74" s="47" t="n"/>
      <c r="AM74" s="47" t="n"/>
      <c r="AN74" s="47" t="n"/>
      <c r="AO74" s="47" t="n"/>
      <c r="AP74" s="47" t="n"/>
      <c r="AQ74" s="501" t="n"/>
      <c r="AR74" s="501" t="n"/>
      <c r="AS74" s="501" t="n"/>
      <c r="AT74" s="501" t="n"/>
      <c r="AU74" s="501" t="n"/>
      <c r="AV74" s="504" t="n"/>
      <c r="AW74" s="502" t="n"/>
      <c r="AX74" s="505" t="n"/>
      <c r="AY74" s="263" t="n"/>
      <c r="AZ74" s="501" t="n"/>
      <c r="BA74" s="263" t="n"/>
      <c r="BC74" s="31">
        <f>IF(Planning!B67="","",Planning!B67)</f>
        <v/>
      </c>
      <c r="BD74" s="105" t="n"/>
      <c r="BE74" s="885">
        <f>Planning!E67</f>
        <v/>
      </c>
      <c r="BF74" s="885">
        <f>Planning!F67</f>
        <v/>
      </c>
      <c r="BG74" s="886" t="n"/>
      <c r="BH74" s="105" t="n"/>
      <c r="BI74" s="885">
        <f>Planning!I67</f>
        <v/>
      </c>
      <c r="BJ74" s="885">
        <f>Planning!J67</f>
        <v/>
      </c>
      <c r="BK74" s="886" t="n"/>
      <c r="BL74" s="105" t="n"/>
      <c r="BM74" s="885">
        <f>Planning!M67</f>
        <v/>
      </c>
      <c r="BN74" s="885">
        <f>Planning!N67</f>
        <v/>
      </c>
      <c r="BO74" s="886" t="n"/>
      <c r="BP74" s="105" t="n"/>
      <c r="BQ74" s="885">
        <f>Planning!Q67</f>
        <v/>
      </c>
      <c r="BR74" s="885">
        <f>Planning!R67</f>
        <v/>
      </c>
      <c r="BS74" s="886" t="n"/>
      <c r="BT74" s="105" t="n"/>
      <c r="BU74" s="885">
        <f>Planning!U67</f>
        <v/>
      </c>
      <c r="BV74" s="885">
        <f>Planning!V67</f>
        <v/>
      </c>
      <c r="BW74" s="886" t="n"/>
      <c r="BX74" s="105" t="n"/>
      <c r="BY74" s="885">
        <f>Planning!Y67</f>
        <v/>
      </c>
      <c r="BZ74" s="885">
        <f>Planning!Z67</f>
        <v/>
      </c>
      <c r="CA74" s="886" t="n"/>
      <c r="CB74" s="105" t="n"/>
      <c r="CC74" s="885">
        <f>Planning!AC67</f>
        <v/>
      </c>
      <c r="CD74" s="885">
        <f>Planning!AD67</f>
        <v/>
      </c>
      <c r="CE74" s="886" t="n"/>
      <c r="CF74" s="105" t="n"/>
      <c r="CG74" s="887">
        <f>Planning!AG67</f>
        <v/>
      </c>
      <c r="CH74" s="105" t="n"/>
      <c r="CI74" s="252">
        <f>IF(BC74="","",Planning!AI67)</f>
        <v/>
      </c>
      <c r="CJ74" s="252">
        <f>IF(BC74="","",Planning!AJ67)</f>
        <v/>
      </c>
      <c r="CK74" s="252">
        <f>IF(BC74="","",Planning!AK67)</f>
        <v/>
      </c>
      <c r="CL74" s="252">
        <f>IF(BC74="","",Planning!AH67)</f>
        <v/>
      </c>
      <c r="CM74" s="21" t="n"/>
    </row>
    <row r="75" ht="13.5" customHeight="1">
      <c r="A75" s="159" t="n"/>
      <c r="B75" s="442">
        <f>IFERROR(IF(COUNTIF(Instellingen!$M$40:$M$47,"")&gt;7,"",VLOOKUP(SMALL(Instellingen!$M$40:$M$47,1),Instellingen!$M$40:$T$47,8,FALSE)),"")</f>
        <v/>
      </c>
      <c r="C75" s="899">
        <f>IFERROR(IF(B75="","",VLOOKUP(B75,Instellingen!$B$40:$F$47,5,FALSE)),"")</f>
        <v/>
      </c>
      <c r="D75" s="862" t="n"/>
      <c r="E75" s="109" t="n"/>
      <c r="F75" s="109" t="n"/>
      <c r="G75" s="109" t="n"/>
      <c r="H75" s="673" t="inlineStr">
        <is>
          <t>rv - Restant Vers</t>
        </is>
      </c>
      <c r="I75" s="264" t="n"/>
      <c r="J75" s="264" t="n"/>
      <c r="K75" s="264" t="n"/>
      <c r="L75" s="264" t="n"/>
      <c r="M75" s="264" t="n"/>
      <c r="N75" s="264" t="n"/>
      <c r="O75" s="264" t="n"/>
      <c r="P75" s="901">
        <f>BA22</f>
        <v/>
      </c>
      <c r="Q75" s="866" t="n"/>
      <c r="R75" s="673" t="inlineStr">
        <is>
          <t>us - Vervallen artikelen</t>
        </is>
      </c>
      <c r="S75" s="264" t="n"/>
      <c r="T75" s="264" t="n"/>
      <c r="U75" s="264" t="n"/>
      <c r="V75" s="264" t="n"/>
      <c r="W75" s="264" t="n"/>
      <c r="X75" s="264" t="n"/>
      <c r="Y75" s="264" t="n"/>
      <c r="Z75" s="675">
        <f>BA39</f>
        <v/>
      </c>
      <c r="AA75" s="264" t="n"/>
      <c r="AB75" s="905" t="inlineStr">
        <is>
          <t>wv - Winkelverzorging</t>
        </is>
      </c>
      <c r="AC75" s="264" t="n"/>
      <c r="AD75" s="264" t="n"/>
      <c r="AE75" s="264" t="n"/>
      <c r="AF75" s="264" t="n"/>
      <c r="AG75" s="264" t="n"/>
      <c r="AH75" s="264" t="n"/>
      <c r="AI75" s="866" t="n"/>
      <c r="AJ75" s="901">
        <f>BA56</f>
        <v/>
      </c>
      <c r="AK75" s="866" t="n"/>
      <c r="AL75" s="47" t="n"/>
      <c r="AM75" s="47" t="n"/>
      <c r="AN75" s="47" t="n"/>
      <c r="AO75" s="47" t="n"/>
      <c r="AP75" s="47" t="n"/>
      <c r="AQ75" s="501" t="n"/>
      <c r="AR75" s="501" t="n"/>
      <c r="AS75" s="501" t="n"/>
      <c r="AT75" s="501" t="n"/>
      <c r="AU75" s="501" t="n"/>
      <c r="AV75" s="504" t="n"/>
      <c r="AW75" s="502" t="n"/>
      <c r="AX75" s="505" t="n"/>
      <c r="AY75" s="263" t="n"/>
      <c r="AZ75" s="501" t="n"/>
      <c r="BA75" s="263" t="n"/>
      <c r="BC75" s="31">
        <f>IF(Planning!B68="","",Planning!B68)</f>
        <v/>
      </c>
      <c r="BD75" s="105" t="n"/>
      <c r="BE75" s="885">
        <f>Planning!E68</f>
        <v/>
      </c>
      <c r="BF75" s="885">
        <f>Planning!F68</f>
        <v/>
      </c>
      <c r="BG75" s="886" t="n"/>
      <c r="BH75" s="105" t="n"/>
      <c r="BI75" s="885">
        <f>Planning!I68</f>
        <v/>
      </c>
      <c r="BJ75" s="885">
        <f>Planning!J68</f>
        <v/>
      </c>
      <c r="BK75" s="886" t="n"/>
      <c r="BL75" s="105" t="n"/>
      <c r="BM75" s="885">
        <f>Planning!M68</f>
        <v/>
      </c>
      <c r="BN75" s="885">
        <f>Planning!N68</f>
        <v/>
      </c>
      <c r="BO75" s="886" t="n"/>
      <c r="BP75" s="105" t="n"/>
      <c r="BQ75" s="885">
        <f>Planning!Q68</f>
        <v/>
      </c>
      <c r="BR75" s="885">
        <f>Planning!R68</f>
        <v/>
      </c>
      <c r="BS75" s="886" t="n"/>
      <c r="BT75" s="105" t="n"/>
      <c r="BU75" s="885">
        <f>Planning!U68</f>
        <v/>
      </c>
      <c r="BV75" s="885">
        <f>Planning!V68</f>
        <v/>
      </c>
      <c r="BW75" s="886" t="n"/>
      <c r="BX75" s="105" t="n"/>
      <c r="BY75" s="885">
        <f>Planning!Y68</f>
        <v/>
      </c>
      <c r="BZ75" s="885">
        <f>Planning!Z68</f>
        <v/>
      </c>
      <c r="CA75" s="886" t="n"/>
      <c r="CB75" s="105" t="n"/>
      <c r="CC75" s="885">
        <f>Planning!AC68</f>
        <v/>
      </c>
      <c r="CD75" s="885">
        <f>Planning!AD68</f>
        <v/>
      </c>
      <c r="CE75" s="886" t="n"/>
      <c r="CF75" s="105" t="n"/>
      <c r="CG75" s="887">
        <f>Planning!AG68</f>
        <v/>
      </c>
      <c r="CH75" s="105" t="n"/>
      <c r="CI75" s="252">
        <f>IF(BC75="","",Planning!AI68)</f>
        <v/>
      </c>
      <c r="CJ75" s="252">
        <f>IF(BC75="","",Planning!AJ68)</f>
        <v/>
      </c>
      <c r="CK75" s="252">
        <f>IF(BC75="","",Planning!AK68)</f>
        <v/>
      </c>
      <c r="CL75" s="252">
        <f>IF(BC75="","",Planning!AH68)</f>
        <v/>
      </c>
      <c r="CM75" s="21" t="n"/>
    </row>
    <row r="76" ht="13.5" customHeight="1">
      <c r="A76" s="159" t="n"/>
      <c r="B76" s="440">
        <f>IFERROR(IF(COUNTIF(Instellingen!$M$40:$M$47,"")&gt;6,"",VLOOKUP(SMALL(Instellingen!$M$40:$M$47,2),Instellingen!$M$40:$T$47,8,FALSE)),"")</f>
        <v/>
      </c>
      <c r="C76" s="902">
        <f>IFERROR(IF(B76="","",VLOOKUP(B76,Instellingen!$B$40:$F$47,5,FALSE)),"")</f>
        <v/>
      </c>
      <c r="D76" s="866" t="n"/>
      <c r="H76" s="900" t="inlineStr">
        <is>
          <t>Restant/Telproces</t>
        </is>
      </c>
      <c r="I76" s="883" t="n"/>
      <c r="J76" s="883" t="n"/>
      <c r="K76" s="883" t="n"/>
      <c r="L76" s="883" t="n"/>
      <c r="M76" s="883" t="n"/>
      <c r="N76" s="883" t="n"/>
      <c r="O76" s="883" t="n"/>
      <c r="P76" s="883" t="n"/>
      <c r="Q76" s="884" t="n"/>
      <c r="R76" s="673" t="inlineStr">
        <is>
          <t>ver - Vernietigen/Reststoffen</t>
        </is>
      </c>
      <c r="S76" s="264" t="n"/>
      <c r="T76" s="264" t="n"/>
      <c r="U76" s="264" t="n"/>
      <c r="V76" s="264" t="n"/>
      <c r="W76" s="264" t="n"/>
      <c r="X76" s="264" t="n"/>
      <c r="Y76" s="264" t="n"/>
      <c r="Z76" s="675">
        <f>BA40</f>
        <v/>
      </c>
      <c r="AA76" s="264" t="n"/>
      <c r="AB76" s="907">
        <f>IF(Instellingen!I7="ja","pup - Pick-Up-Point","")</f>
        <v/>
      </c>
      <c r="AC76" s="264" t="n"/>
      <c r="AD76" s="264" t="n"/>
      <c r="AE76" s="264" t="n"/>
      <c r="AF76" s="264" t="n"/>
      <c r="AG76" s="264" t="n"/>
      <c r="AH76" s="264" t="n"/>
      <c r="AI76" s="866" t="n"/>
      <c r="AJ76" s="901">
        <f>IF(Instellingen!I7="ja",BA57,"")</f>
        <v/>
      </c>
      <c r="AK76" s="866" t="n"/>
      <c r="AL76" s="47" t="n"/>
      <c r="AM76" s="47" t="n"/>
      <c r="AN76" s="47" t="n"/>
      <c r="AO76" s="47" t="n"/>
      <c r="AP76" s="47" t="n"/>
      <c r="AQ76" s="501" t="n"/>
      <c r="AR76" s="501" t="n"/>
      <c r="AS76" s="501" t="n"/>
      <c r="AT76" s="501" t="n"/>
      <c r="AU76" s="501" t="n"/>
      <c r="AV76" s="504" t="n"/>
      <c r="AW76" s="502" t="n"/>
      <c r="AX76" s="505" t="n"/>
      <c r="AY76" s="263" t="n"/>
      <c r="AZ76" s="501" t="n"/>
      <c r="BA76" s="263" t="n"/>
      <c r="BC76" s="31">
        <f>IF(Planning!B69="","",Planning!B69)</f>
        <v/>
      </c>
      <c r="BD76" s="105" t="n"/>
      <c r="BE76" s="885">
        <f>Planning!E69</f>
        <v/>
      </c>
      <c r="BF76" s="885">
        <f>Planning!F69</f>
        <v/>
      </c>
      <c r="BG76" s="886" t="n"/>
      <c r="BH76" s="105" t="n"/>
      <c r="BI76" s="885">
        <f>Planning!I69</f>
        <v/>
      </c>
      <c r="BJ76" s="885">
        <f>Planning!J69</f>
        <v/>
      </c>
      <c r="BK76" s="886" t="n"/>
      <c r="BL76" s="105" t="n"/>
      <c r="BM76" s="885">
        <f>Planning!M69</f>
        <v/>
      </c>
      <c r="BN76" s="885">
        <f>Planning!N69</f>
        <v/>
      </c>
      <c r="BO76" s="886" t="n"/>
      <c r="BP76" s="105" t="n"/>
      <c r="BQ76" s="885">
        <f>Planning!Q69</f>
        <v/>
      </c>
      <c r="BR76" s="885">
        <f>Planning!R69</f>
        <v/>
      </c>
      <c r="BS76" s="886" t="n"/>
      <c r="BT76" s="105" t="n"/>
      <c r="BU76" s="885">
        <f>Planning!U69</f>
        <v/>
      </c>
      <c r="BV76" s="885">
        <f>Planning!V69</f>
        <v/>
      </c>
      <c r="BW76" s="886" t="n"/>
      <c r="BX76" s="105" t="n"/>
      <c r="BY76" s="885">
        <f>Planning!Y69</f>
        <v/>
      </c>
      <c r="BZ76" s="885">
        <f>Planning!Z69</f>
        <v/>
      </c>
      <c r="CA76" s="886" t="n"/>
      <c r="CB76" s="105" t="n"/>
      <c r="CC76" s="885">
        <f>Planning!AC69</f>
        <v/>
      </c>
      <c r="CD76" s="885">
        <f>Planning!AD69</f>
        <v/>
      </c>
      <c r="CE76" s="886" t="n"/>
      <c r="CF76" s="105" t="n"/>
      <c r="CG76" s="887">
        <f>Planning!AG69</f>
        <v/>
      </c>
      <c r="CH76" s="105" t="n"/>
      <c r="CI76" s="252">
        <f>IF(BC76="","",Planning!AI69)</f>
        <v/>
      </c>
      <c r="CJ76" s="252">
        <f>IF(BC76="","",Planning!AJ69)</f>
        <v/>
      </c>
      <c r="CK76" s="252">
        <f>IF(BC76="","",Planning!AK69)</f>
        <v/>
      </c>
      <c r="CL76" s="252">
        <f>IF(BC76="","",Planning!AH69)</f>
        <v/>
      </c>
      <c r="CM76" s="21" t="n"/>
    </row>
    <row r="77" ht="13.5" customHeight="1">
      <c r="A77" s="159" t="n"/>
      <c r="B77" s="440">
        <f>IFERROR(IF(COUNTIF(Instellingen!$M$40:$M$47,"")&gt;5,"",VLOOKUP(SMALL(Instellingen!$M$40:$M$47,3),Instellingen!$M$40:$T$47,8,FALSE)),"")</f>
        <v/>
      </c>
      <c r="C77" s="902">
        <f>IFERROR(IF(B77="","",VLOOKUP(B77,Instellingen!$B$40:$F$47,5,FALSE)),"")</f>
        <v/>
      </c>
      <c r="D77" s="866" t="n"/>
      <c r="H77" s="673" t="inlineStr">
        <is>
          <t>br - Bepalen restant</t>
        </is>
      </c>
      <c r="I77" s="264" t="n"/>
      <c r="J77" s="264" t="n"/>
      <c r="K77" s="264" t="n"/>
      <c r="L77" s="264" t="n"/>
      <c r="M77" s="264" t="n"/>
      <c r="N77" s="264" t="n"/>
      <c r="O77" s="264" t="n"/>
      <c r="P77" s="901">
        <f>BA24</f>
        <v/>
      </c>
      <c r="Q77" s="866" t="n"/>
      <c r="R77" s="687" t="inlineStr">
        <is>
          <t>Promo/Presentatie</t>
        </is>
      </c>
      <c r="S77" s="883" t="n"/>
      <c r="T77" s="883" t="n"/>
      <c r="U77" s="883" t="n"/>
      <c r="V77" s="883" t="n"/>
      <c r="W77" s="883" t="n"/>
      <c r="X77" s="883" t="n"/>
      <c r="Y77" s="883" t="n"/>
      <c r="Z77" s="883" t="n"/>
      <c r="AA77" s="883" t="n"/>
      <c r="AB77" s="907">
        <f>IF(AY58="","",CONCATENATE(AY58," - ",AZ58))</f>
        <v/>
      </c>
      <c r="AC77" s="264" t="n"/>
      <c r="AD77" s="264" t="n"/>
      <c r="AE77" s="264" t="n"/>
      <c r="AF77" s="264" t="n"/>
      <c r="AG77" s="264" t="n"/>
      <c r="AH77" s="264" t="n"/>
      <c r="AI77" s="866" t="n"/>
      <c r="AJ77" s="901">
        <f>IF(AY58="","",BA58)</f>
        <v/>
      </c>
      <c r="AK77" s="866" t="n"/>
      <c r="AL77" s="47" t="n"/>
      <c r="AM77" s="47" t="n"/>
      <c r="AN77" s="47" t="n"/>
      <c r="AO77" s="47" t="n"/>
      <c r="AP77" s="47" t="n"/>
      <c r="AQ77" s="47" t="n"/>
      <c r="AR77" s="47" t="n"/>
      <c r="AS77" s="47" t="n"/>
      <c r="AT77" s="47" t="n"/>
      <c r="AU77" s="47" t="n"/>
      <c r="AV77" s="118" t="n"/>
      <c r="AW77" s="310" t="n"/>
      <c r="AX77" s="36" t="n"/>
      <c r="AY77" s="64" t="n"/>
      <c r="AZ77" s="838" t="n"/>
      <c r="BC77" s="31">
        <f>IF(Planning!B70="","",Planning!B70)</f>
        <v/>
      </c>
      <c r="BD77" s="105" t="n"/>
      <c r="BE77" s="885">
        <f>Planning!E70</f>
        <v/>
      </c>
      <c r="BF77" s="885">
        <f>Planning!F70</f>
        <v/>
      </c>
      <c r="BG77" s="886" t="n"/>
      <c r="BH77" s="105" t="n"/>
      <c r="BI77" s="885">
        <f>Planning!I70</f>
        <v/>
      </c>
      <c r="BJ77" s="885">
        <f>Planning!J70</f>
        <v/>
      </c>
      <c r="BK77" s="886" t="n"/>
      <c r="BL77" s="105" t="n"/>
      <c r="BM77" s="885">
        <f>Planning!M70</f>
        <v/>
      </c>
      <c r="BN77" s="885">
        <f>Planning!N70</f>
        <v/>
      </c>
      <c r="BO77" s="886" t="n"/>
      <c r="BP77" s="105" t="n"/>
      <c r="BQ77" s="885">
        <f>Planning!Q70</f>
        <v/>
      </c>
      <c r="BR77" s="885">
        <f>Planning!R70</f>
        <v/>
      </c>
      <c r="BS77" s="886" t="n"/>
      <c r="BT77" s="105" t="n"/>
      <c r="BU77" s="885">
        <f>Planning!U70</f>
        <v/>
      </c>
      <c r="BV77" s="885">
        <f>Planning!V70</f>
        <v/>
      </c>
      <c r="BW77" s="886" t="n"/>
      <c r="BX77" s="105" t="n"/>
      <c r="BY77" s="885">
        <f>Planning!Y70</f>
        <v/>
      </c>
      <c r="BZ77" s="885">
        <f>Planning!Z70</f>
        <v/>
      </c>
      <c r="CA77" s="886" t="n"/>
      <c r="CB77" s="105" t="n"/>
      <c r="CC77" s="885">
        <f>Planning!AC70</f>
        <v/>
      </c>
      <c r="CD77" s="885">
        <f>Planning!AD70</f>
        <v/>
      </c>
      <c r="CE77" s="886" t="n"/>
      <c r="CF77" s="105" t="n"/>
      <c r="CG77" s="887">
        <f>Planning!AG70</f>
        <v/>
      </c>
      <c r="CH77" s="105" t="n"/>
      <c r="CI77" s="252">
        <f>IF(BC77="","",Planning!AI70)</f>
        <v/>
      </c>
      <c r="CJ77" s="252">
        <f>IF(BC77="","",Planning!AJ70)</f>
        <v/>
      </c>
      <c r="CK77" s="252">
        <f>IF(BC77="","",Planning!AK70)</f>
        <v/>
      </c>
      <c r="CL77" s="252">
        <f>IF(BC77="","",Planning!AH70)</f>
        <v/>
      </c>
      <c r="CM77" s="21" t="n"/>
    </row>
    <row r="78" ht="13.5" customHeight="1">
      <c r="A78" s="159" t="n"/>
      <c r="B78" s="440">
        <f>IFERROR(IF(COUNTIF(Instellingen!$M$40:$M$47,"")&gt;4,"",VLOOKUP(SMALL(Instellingen!$M$40:$M$47,4),Instellingen!$M$40:$T$47,8,FALSE)),"")</f>
        <v/>
      </c>
      <c r="C78" s="902">
        <f>IFERROR(IF(B78="","",VLOOKUP(B78,Instellingen!$B$40:$F$47,5,FALSE)),"")</f>
        <v/>
      </c>
      <c r="D78" s="866" t="n"/>
      <c r="H78" s="673" t="inlineStr">
        <is>
          <t>bl - Bepalen langrestant</t>
        </is>
      </c>
      <c r="I78" s="264" t="n"/>
      <c r="J78" s="264" t="n"/>
      <c r="K78" s="264" t="n"/>
      <c r="L78" s="264" t="n"/>
      <c r="M78" s="264" t="n"/>
      <c r="N78" s="264" t="n"/>
      <c r="O78" s="264" t="n"/>
      <c r="P78" s="901">
        <f>BA25</f>
        <v/>
      </c>
      <c r="Q78" s="866" t="n"/>
      <c r="R78" s="673" t="inlineStr">
        <is>
          <t>act - Actieopbouw</t>
        </is>
      </c>
      <c r="S78" s="264" t="n"/>
      <c r="T78" s="264" t="n"/>
      <c r="U78" s="264" t="n"/>
      <c r="V78" s="264" t="n"/>
      <c r="W78" s="264" t="n"/>
      <c r="X78" s="264" t="n"/>
      <c r="Y78" s="264" t="n"/>
      <c r="Z78" s="675">
        <f>BA42</f>
        <v/>
      </c>
      <c r="AA78" s="264" t="n"/>
      <c r="AB78" s="907">
        <f>IF(AY59="","",CONCATENATE(AY59," - ",AZ59))</f>
        <v/>
      </c>
      <c r="AC78" s="264" t="n"/>
      <c r="AD78" s="264" t="n"/>
      <c r="AE78" s="264" t="n"/>
      <c r="AF78" s="264" t="n"/>
      <c r="AG78" s="264" t="n"/>
      <c r="AH78" s="264" t="n"/>
      <c r="AI78" s="866" t="n"/>
      <c r="AJ78" s="901">
        <f>IF(AY59="","",BA59)</f>
        <v/>
      </c>
      <c r="AK78" s="866" t="n"/>
      <c r="AL78" s="47" t="n"/>
      <c r="AM78" s="47" t="n"/>
      <c r="AN78" s="47" t="n"/>
      <c r="AO78" s="47" t="n"/>
      <c r="AP78" s="47" t="n"/>
      <c r="AQ78" s="47" t="n"/>
      <c r="AR78" s="47" t="n"/>
      <c r="AS78" s="47" t="n"/>
      <c r="AT78" s="47" t="n"/>
      <c r="AU78" s="47" t="n"/>
      <c r="AV78" s="118" t="n"/>
      <c r="AW78" s="310" t="n"/>
      <c r="AX78" s="36" t="n"/>
      <c r="AY78" s="64" t="n"/>
      <c r="AZ78" s="838" t="n"/>
      <c r="BC78" s="31">
        <f>IF(Planning!B71="","",Planning!B71)</f>
        <v/>
      </c>
      <c r="BD78" s="105" t="n"/>
      <c r="BE78" s="885">
        <f>Planning!E71</f>
        <v/>
      </c>
      <c r="BF78" s="885">
        <f>Planning!F71</f>
        <v/>
      </c>
      <c r="BG78" s="886" t="n"/>
      <c r="BH78" s="105" t="n"/>
      <c r="BI78" s="885">
        <f>Planning!I71</f>
        <v/>
      </c>
      <c r="BJ78" s="885">
        <f>Planning!J71</f>
        <v/>
      </c>
      <c r="BK78" s="886" t="n"/>
      <c r="BL78" s="105" t="n"/>
      <c r="BM78" s="885">
        <f>Planning!M71</f>
        <v/>
      </c>
      <c r="BN78" s="885">
        <f>Planning!N71</f>
        <v/>
      </c>
      <c r="BO78" s="886" t="n"/>
      <c r="BP78" s="105" t="n"/>
      <c r="BQ78" s="885">
        <f>Planning!Q71</f>
        <v/>
      </c>
      <c r="BR78" s="885">
        <f>Planning!R71</f>
        <v/>
      </c>
      <c r="BS78" s="886" t="n"/>
      <c r="BT78" s="105" t="n"/>
      <c r="BU78" s="885">
        <f>Planning!U71</f>
        <v/>
      </c>
      <c r="BV78" s="885">
        <f>Planning!V71</f>
        <v/>
      </c>
      <c r="BW78" s="886" t="n"/>
      <c r="BX78" s="105" t="n"/>
      <c r="BY78" s="885">
        <f>Planning!Y71</f>
        <v/>
      </c>
      <c r="BZ78" s="885">
        <f>Planning!Z71</f>
        <v/>
      </c>
      <c r="CA78" s="886" t="n"/>
      <c r="CB78" s="105" t="n"/>
      <c r="CC78" s="885">
        <f>Planning!AC71</f>
        <v/>
      </c>
      <c r="CD78" s="885">
        <f>Planning!AD71</f>
        <v/>
      </c>
      <c r="CE78" s="886" t="n"/>
      <c r="CF78" s="105" t="n"/>
      <c r="CG78" s="887">
        <f>Planning!AG71</f>
        <v/>
      </c>
      <c r="CH78" s="105" t="n"/>
      <c r="CI78" s="252">
        <f>IF(BC78="","",Planning!AI71)</f>
        <v/>
      </c>
      <c r="CJ78" s="252">
        <f>IF(BC78="","",Planning!AJ71)</f>
        <v/>
      </c>
      <c r="CK78" s="252">
        <f>IF(BC78="","",Planning!AK71)</f>
        <v/>
      </c>
      <c r="CL78" s="252">
        <f>IF(BC78="","",Planning!AH71)</f>
        <v/>
      </c>
      <c r="CM78" s="21" t="n"/>
    </row>
    <row r="79" ht="13.5" customHeight="1">
      <c r="A79" s="159" t="n"/>
      <c r="B79" s="440">
        <f>IFERROR(IF(COUNTIF(Instellingen!$M$40:$M$47,"")&gt;3,"",VLOOKUP(SMALL(Instellingen!$M$40:$M$47,5),Instellingen!$M$40:$T$47,8,FALSE)),"")</f>
        <v/>
      </c>
      <c r="C79" s="902">
        <f>IFERROR(IF(B79="","",VLOOKUP(B79,Instellingen!$B$40:$F$47,5,FALSE)),"")</f>
        <v/>
      </c>
      <c r="D79" s="866" t="n"/>
      <c r="H79" s="673" t="inlineStr">
        <is>
          <t>hl - Hardlopers vullen</t>
        </is>
      </c>
      <c r="I79" s="264" t="n"/>
      <c r="J79" s="264" t="n"/>
      <c r="K79" s="264" t="n"/>
      <c r="L79" s="264" t="n"/>
      <c r="M79" s="264" t="n"/>
      <c r="N79" s="264" t="n"/>
      <c r="O79" s="264" t="n"/>
      <c r="P79" s="901">
        <f>BA26</f>
        <v/>
      </c>
      <c r="Q79" s="866" t="n"/>
      <c r="R79" s="673" t="inlineStr">
        <is>
          <t>com - Comco sorteren</t>
        </is>
      </c>
      <c r="S79" s="264" t="n"/>
      <c r="T79" s="264" t="n"/>
      <c r="U79" s="264" t="n"/>
      <c r="V79" s="264" t="n"/>
      <c r="W79" s="264" t="n"/>
      <c r="X79" s="264" t="n"/>
      <c r="Y79" s="264" t="n"/>
      <c r="Z79" s="675">
        <f>BA43</f>
        <v/>
      </c>
      <c r="AA79" s="264" t="n"/>
      <c r="AB79" s="907">
        <f>IF(AY60="","",CONCATENATE(AY60," - ",AZ60))</f>
        <v/>
      </c>
      <c r="AC79" s="264" t="n"/>
      <c r="AD79" s="264" t="n"/>
      <c r="AE79" s="264" t="n"/>
      <c r="AF79" s="264" t="n"/>
      <c r="AG79" s="264" t="n"/>
      <c r="AH79" s="264" t="n"/>
      <c r="AI79" s="866" t="n"/>
      <c r="AJ79" s="901">
        <f>IF(AY60="","",BA60)</f>
        <v/>
      </c>
      <c r="AK79" s="866" t="n"/>
      <c r="AL79" s="47" t="n"/>
      <c r="AM79" s="47" t="n"/>
      <c r="AN79" s="47" t="n"/>
      <c r="AO79" s="47" t="n"/>
      <c r="AP79" s="47" t="n"/>
      <c r="AQ79" s="47" t="n"/>
      <c r="AR79" s="47" t="n"/>
      <c r="AS79" s="47" t="n"/>
      <c r="AT79" s="47" t="n"/>
      <c r="AU79" s="47" t="n"/>
      <c r="AV79" s="118" t="n"/>
      <c r="AW79" s="310" t="n"/>
      <c r="AX79" s="36" t="n"/>
      <c r="AY79" s="64" t="n"/>
      <c r="AZ79" s="838" t="n"/>
      <c r="BC79" s="31">
        <f>IF(Planning!B72="","",Planning!B72)</f>
        <v/>
      </c>
      <c r="BD79" s="105" t="n"/>
      <c r="BE79" s="885">
        <f>Planning!E72</f>
        <v/>
      </c>
      <c r="BF79" s="885">
        <f>Planning!F72</f>
        <v/>
      </c>
      <c r="BG79" s="886" t="n"/>
      <c r="BH79" s="105" t="n"/>
      <c r="BI79" s="885">
        <f>Planning!I72</f>
        <v/>
      </c>
      <c r="BJ79" s="885">
        <f>Planning!J72</f>
        <v/>
      </c>
      <c r="BK79" s="886" t="n"/>
      <c r="BL79" s="105" t="n"/>
      <c r="BM79" s="885">
        <f>Planning!M72</f>
        <v/>
      </c>
      <c r="BN79" s="885">
        <f>Planning!N72</f>
        <v/>
      </c>
      <c r="BO79" s="886" t="n"/>
      <c r="BP79" s="105" t="n"/>
      <c r="BQ79" s="885">
        <f>Planning!Q72</f>
        <v/>
      </c>
      <c r="BR79" s="885">
        <f>Planning!R72</f>
        <v/>
      </c>
      <c r="BS79" s="886" t="n"/>
      <c r="BT79" s="105" t="n"/>
      <c r="BU79" s="885">
        <f>Planning!U72</f>
        <v/>
      </c>
      <c r="BV79" s="885">
        <f>Planning!V72</f>
        <v/>
      </c>
      <c r="BW79" s="886" t="n"/>
      <c r="BX79" s="105" t="n"/>
      <c r="BY79" s="885">
        <f>Planning!Y72</f>
        <v/>
      </c>
      <c r="BZ79" s="885">
        <f>Planning!Z72</f>
        <v/>
      </c>
      <c r="CA79" s="886" t="n"/>
      <c r="CB79" s="105" t="n"/>
      <c r="CC79" s="885">
        <f>Planning!AC72</f>
        <v/>
      </c>
      <c r="CD79" s="885">
        <f>Planning!AD72</f>
        <v/>
      </c>
      <c r="CE79" s="886" t="n"/>
      <c r="CF79" s="105" t="n"/>
      <c r="CG79" s="887">
        <f>Planning!AG72</f>
        <v/>
      </c>
      <c r="CH79" s="105" t="n"/>
      <c r="CI79" s="252">
        <f>IF(BC79="","",Planning!AI72)</f>
        <v/>
      </c>
      <c r="CJ79" s="252">
        <f>IF(BC79="","",Planning!AJ72)</f>
        <v/>
      </c>
      <c r="CK79" s="252">
        <f>IF(BC79="","",Planning!AK72)</f>
        <v/>
      </c>
      <c r="CL79" s="252">
        <f>IF(BC79="","",Planning!AH72)</f>
        <v/>
      </c>
      <c r="CM79" s="21" t="n"/>
    </row>
    <row r="80" ht="13.5" customHeight="1">
      <c r="A80" s="159" t="n"/>
      <c r="B80" s="251">
        <f>IFERROR(IF(COUNTIF(Instellingen!$M$40:$M$47,"")&gt;2,"",VLOOKUP(SMALL(Instellingen!$M$40:$M$47,6),Instellingen!$M$40:$T$47,8,FALSE)),"")</f>
        <v/>
      </c>
      <c r="C80" s="902">
        <f>IFERROR(IF(B80="","",VLOOKUP(B80,Instellingen!$B$40:$F$47,5,FALSE)),"")</f>
        <v/>
      </c>
      <c r="D80" s="866" t="n"/>
      <c r="H80" s="673" t="inlineStr">
        <is>
          <t>lhb - Neeverkoop HB</t>
        </is>
      </c>
      <c r="I80" s="264" t="n"/>
      <c r="J80" s="264" t="n"/>
      <c r="K80" s="264" t="n"/>
      <c r="L80" s="264" t="n"/>
      <c r="M80" s="264" t="n"/>
      <c r="N80" s="264" t="n"/>
      <c r="O80" s="264" t="n"/>
      <c r="P80" s="901">
        <f>BA27</f>
        <v/>
      </c>
      <c r="Q80" s="866" t="n"/>
      <c r="R80" s="673" t="inlineStr">
        <is>
          <t>pro - Promotie</t>
        </is>
      </c>
      <c r="S80" s="264" t="n"/>
      <c r="T80" s="264" t="n"/>
      <c r="U80" s="264" t="n"/>
      <c r="V80" s="264" t="n"/>
      <c r="W80" s="264" t="n"/>
      <c r="X80" s="264" t="n"/>
      <c r="Y80" s="264" t="n"/>
      <c r="Z80" s="675">
        <f>BA44</f>
        <v/>
      </c>
      <c r="AA80" s="264" t="n"/>
      <c r="AB80" s="909">
        <f>IF(BA61=0,"","Taken zonder legenda")</f>
        <v/>
      </c>
      <c r="AC80" s="264" t="n"/>
      <c r="AD80" s="264" t="n"/>
      <c r="AE80" s="264" t="n"/>
      <c r="AF80" s="264" t="n"/>
      <c r="AG80" s="264" t="n"/>
      <c r="AH80" s="264" t="n"/>
      <c r="AI80" s="866" t="n"/>
      <c r="AJ80" s="910">
        <f>IF(BA61=0,"",BA61)</f>
        <v/>
      </c>
      <c r="AK80" s="866" t="n"/>
      <c r="AL80" s="47" t="n"/>
      <c r="AM80" s="47" t="n"/>
      <c r="AN80" s="47" t="n"/>
      <c r="AO80" s="47" t="n"/>
      <c r="AP80" s="47" t="n"/>
      <c r="AQ80" s="47" t="n"/>
      <c r="AR80" s="47" t="n"/>
      <c r="AS80" s="47" t="n"/>
      <c r="AT80" s="47" t="n"/>
      <c r="AU80" s="47" t="n"/>
      <c r="AV80" s="118" t="n"/>
      <c r="AW80" s="310" t="n"/>
      <c r="AX80" s="36" t="n"/>
      <c r="AY80" s="64" t="n"/>
      <c r="AZ80" s="838" t="n"/>
      <c r="BC80" s="31">
        <f>IF(Planning!B73="","",Planning!B73)</f>
        <v/>
      </c>
      <c r="BD80" s="105" t="n"/>
      <c r="BE80" s="885">
        <f>Planning!E73</f>
        <v/>
      </c>
      <c r="BF80" s="885">
        <f>Planning!F73</f>
        <v/>
      </c>
      <c r="BG80" s="886" t="n"/>
      <c r="BH80" s="105" t="n"/>
      <c r="BI80" s="885">
        <f>Planning!I73</f>
        <v/>
      </c>
      <c r="BJ80" s="885">
        <f>Planning!J73</f>
        <v/>
      </c>
      <c r="BK80" s="886" t="n"/>
      <c r="BL80" s="105" t="n"/>
      <c r="BM80" s="885">
        <f>Planning!M73</f>
        <v/>
      </c>
      <c r="BN80" s="885">
        <f>Planning!N73</f>
        <v/>
      </c>
      <c r="BO80" s="886" t="n"/>
      <c r="BP80" s="105" t="n"/>
      <c r="BQ80" s="885">
        <f>Planning!Q73</f>
        <v/>
      </c>
      <c r="BR80" s="885">
        <f>Planning!R73</f>
        <v/>
      </c>
      <c r="BS80" s="886" t="n"/>
      <c r="BT80" s="105" t="n"/>
      <c r="BU80" s="885">
        <f>Planning!U73</f>
        <v/>
      </c>
      <c r="BV80" s="885">
        <f>Planning!V73</f>
        <v/>
      </c>
      <c r="BW80" s="886" t="n"/>
      <c r="BX80" s="105" t="n"/>
      <c r="BY80" s="885">
        <f>Planning!Y73</f>
        <v/>
      </c>
      <c r="BZ80" s="885">
        <f>Planning!Z73</f>
        <v/>
      </c>
      <c r="CA80" s="886" t="n"/>
      <c r="CB80" s="105" t="n"/>
      <c r="CC80" s="885">
        <f>Planning!AC73</f>
        <v/>
      </c>
      <c r="CD80" s="885">
        <f>Planning!AD73</f>
        <v/>
      </c>
      <c r="CE80" s="886" t="n"/>
      <c r="CF80" s="105" t="n"/>
      <c r="CG80" s="887">
        <f>Planning!AG73</f>
        <v/>
      </c>
      <c r="CH80" s="105" t="n"/>
      <c r="CI80" s="252">
        <f>IF(BC80="","",Planning!AI73)</f>
        <v/>
      </c>
      <c r="CJ80" s="252">
        <f>IF(BC80="","",Planning!AJ73)</f>
        <v/>
      </c>
      <c r="CK80" s="252">
        <f>IF(BC80="","",Planning!AK73)</f>
        <v/>
      </c>
      <c r="CL80" s="252">
        <f>IF(BC80="","",Planning!AH73)</f>
        <v/>
      </c>
      <c r="CM80" s="21" t="n"/>
    </row>
    <row r="81" ht="13.5" customHeight="1">
      <c r="A81" s="159" t="n"/>
      <c r="B81" s="440">
        <f>IFERROR(IF(COUNTIF(Instellingen!$M$40:$M$47,"")&gt;1,"",VLOOKUP(SMALL(Instellingen!$M$40:$M$47,7),Instellingen!$M$40:$T$47,8,FALSE)),"")</f>
        <v/>
      </c>
      <c r="C81" s="902">
        <f>IFERROR(IF(B81="","",VLOOKUP(B81,Instellingen!$B$40:$F$47,5,FALSE)),"")</f>
        <v/>
      </c>
      <c r="D81" s="866" t="n"/>
      <c r="H81" s="673" t="inlineStr">
        <is>
          <t>ldv - Neeverkoop DV</t>
        </is>
      </c>
      <c r="I81" s="264" t="n"/>
      <c r="J81" s="264" t="n"/>
      <c r="K81" s="264" t="n"/>
      <c r="L81" s="264" t="n"/>
      <c r="M81" s="264" t="n"/>
      <c r="N81" s="264" t="n"/>
      <c r="O81" s="264" t="n"/>
      <c r="P81" s="901">
        <f>BA28</f>
        <v/>
      </c>
      <c r="Q81" s="866" t="n"/>
      <c r="R81" s="673" t="inlineStr">
        <is>
          <t>pw - Prijswijzigingen</t>
        </is>
      </c>
      <c r="S81" s="264" t="n"/>
      <c r="T81" s="264" t="n"/>
      <c r="U81" s="264" t="n"/>
      <c r="V81" s="264" t="n"/>
      <c r="W81" s="264" t="n"/>
      <c r="X81" s="264" t="n"/>
      <c r="Y81" s="264" t="n"/>
      <c r="Z81" s="675">
        <f>BA45</f>
        <v/>
      </c>
      <c r="AA81" s="264" t="n"/>
      <c r="AB81" s="911" t="inlineStr">
        <is>
          <t>p - Pauze (onbetaald)</t>
        </is>
      </c>
      <c r="AC81" s="264" t="n"/>
      <c r="AD81" s="264" t="n"/>
      <c r="AE81" s="264" t="n"/>
      <c r="AF81" s="264" t="n"/>
      <c r="AG81" s="264" t="n"/>
      <c r="AH81" s="264" t="n"/>
      <c r="AI81" s="866" t="n"/>
      <c r="AJ81" s="912">
        <f>BA62</f>
        <v/>
      </c>
      <c r="AK81" s="866" t="n"/>
      <c r="AL81" s="47" t="n"/>
      <c r="AM81" s="47" t="n"/>
      <c r="AN81" s="47" t="n"/>
      <c r="AO81" s="47" t="n"/>
      <c r="AP81" s="47" t="n"/>
      <c r="AQ81" s="47" t="n"/>
      <c r="AR81" s="47" t="n"/>
      <c r="AS81" s="47" t="n"/>
      <c r="AT81" s="47" t="n"/>
      <c r="AU81" s="47" t="n"/>
      <c r="AV81" s="118" t="n"/>
      <c r="AW81" s="310" t="n"/>
      <c r="AX81" s="36" t="n"/>
      <c r="AY81" s="64" t="n"/>
      <c r="AZ81" s="838" t="n"/>
      <c r="BC81" s="31">
        <f>IF(Planning!B74="","",Planning!B74)</f>
        <v/>
      </c>
      <c r="BD81" s="105" t="n"/>
      <c r="BE81" s="885">
        <f>Planning!E74</f>
        <v/>
      </c>
      <c r="BF81" s="885">
        <f>Planning!F74</f>
        <v/>
      </c>
      <c r="BG81" s="886" t="n"/>
      <c r="BH81" s="105" t="n"/>
      <c r="BI81" s="885">
        <f>Planning!I74</f>
        <v/>
      </c>
      <c r="BJ81" s="885">
        <f>Planning!J74</f>
        <v/>
      </c>
      <c r="BK81" s="886" t="n"/>
      <c r="BL81" s="105" t="n"/>
      <c r="BM81" s="885">
        <f>Planning!M74</f>
        <v/>
      </c>
      <c r="BN81" s="885">
        <f>Planning!N74</f>
        <v/>
      </c>
      <c r="BO81" s="886" t="n"/>
      <c r="BP81" s="105" t="n"/>
      <c r="BQ81" s="885">
        <f>Planning!Q74</f>
        <v/>
      </c>
      <c r="BR81" s="885">
        <f>Planning!R74</f>
        <v/>
      </c>
      <c r="BS81" s="886" t="n"/>
      <c r="BT81" s="105" t="n"/>
      <c r="BU81" s="885">
        <f>Planning!U74</f>
        <v/>
      </c>
      <c r="BV81" s="885">
        <f>Planning!V74</f>
        <v/>
      </c>
      <c r="BW81" s="886" t="n"/>
      <c r="BX81" s="105" t="n"/>
      <c r="BY81" s="885">
        <f>Planning!Y74</f>
        <v/>
      </c>
      <c r="BZ81" s="885">
        <f>Planning!Z74</f>
        <v/>
      </c>
      <c r="CA81" s="886" t="n"/>
      <c r="CB81" s="105" t="n"/>
      <c r="CC81" s="885">
        <f>Planning!AC74</f>
        <v/>
      </c>
      <c r="CD81" s="885">
        <f>Planning!AD74</f>
        <v/>
      </c>
      <c r="CE81" s="886" t="n"/>
      <c r="CF81" s="105" t="n"/>
      <c r="CG81" s="887">
        <f>Planning!AG74</f>
        <v/>
      </c>
      <c r="CH81" s="105" t="n"/>
      <c r="CI81" s="252">
        <f>IF(BC81="","",Planning!AI74)</f>
        <v/>
      </c>
      <c r="CJ81" s="252">
        <f>IF(BC81="","",Planning!AJ74)</f>
        <v/>
      </c>
      <c r="CK81" s="252">
        <f>IF(BC81="","",Planning!AK74)</f>
        <v/>
      </c>
      <c r="CL81" s="252">
        <f>IF(BC81="","",Planning!AH74)</f>
        <v/>
      </c>
      <c r="CM81" s="21" t="n"/>
    </row>
    <row r="82" ht="13.5" customHeight="1">
      <c r="A82" s="159" t="n"/>
      <c r="B82" s="441">
        <f>IFERROR(IF(COUNTIF(Instellingen!$M$40:$M$47,"")&gt;0,"",VLOOKUP(SMALL(Instellingen!$M$40:$M$47,8),Instellingen!$M$40:$T$47,8,FALSE)),"")</f>
        <v/>
      </c>
      <c r="C82" s="908">
        <f>IFERROR(IF(B82="","",VLOOKUP(B82,Instellingen!$B$40:$F$47,5,FALSE)),"")</f>
        <v/>
      </c>
      <c r="D82" s="869" t="n"/>
      <c r="H82" s="661" t="inlineStr">
        <is>
          <t>lvv - Neeverkoop Vers</t>
        </is>
      </c>
      <c r="I82" s="906" t="n"/>
      <c r="J82" s="906" t="n"/>
      <c r="K82" s="906" t="n"/>
      <c r="L82" s="906" t="n"/>
      <c r="M82" s="906" t="n"/>
      <c r="N82" s="906" t="n"/>
      <c r="O82" s="906" t="n"/>
      <c r="P82" s="913">
        <f>BA29</f>
        <v/>
      </c>
      <c r="Q82" s="869" t="n"/>
      <c r="R82" s="661" t="inlineStr">
        <is>
          <t>wap - WAP uitvoeren</t>
        </is>
      </c>
      <c r="S82" s="906" t="n"/>
      <c r="T82" s="906" t="n"/>
      <c r="U82" s="906" t="n"/>
      <c r="V82" s="906" t="n"/>
      <c r="W82" s="906" t="n"/>
      <c r="X82" s="906" t="n"/>
      <c r="Y82" s="906" t="n"/>
      <c r="Z82" s="663">
        <f>BA46</f>
        <v/>
      </c>
      <c r="AA82" s="906" t="n"/>
      <c r="AB82" s="914" t="inlineStr">
        <is>
          <t>afw - Afwezig / ziek</t>
        </is>
      </c>
      <c r="AC82" s="906" t="n"/>
      <c r="AD82" s="906" t="n"/>
      <c r="AE82" s="906" t="n"/>
      <c r="AF82" s="906" t="n"/>
      <c r="AG82" s="906" t="n"/>
      <c r="AH82" s="906" t="n"/>
      <c r="AI82" s="869" t="n"/>
      <c r="AJ82" s="915">
        <f>BA63</f>
        <v/>
      </c>
      <c r="AK82" s="869" t="n"/>
      <c r="AL82" s="47" t="n"/>
      <c r="AM82" s="47" t="n"/>
      <c r="AN82" s="47" t="n"/>
      <c r="AO82" s="47" t="n"/>
      <c r="AP82" s="47" t="n"/>
      <c r="AQ82" s="47" t="n"/>
      <c r="AR82" s="47" t="n"/>
      <c r="AS82" s="47" t="n"/>
      <c r="AT82" s="47" t="n"/>
      <c r="AU82" s="47" t="n"/>
      <c r="AV82" s="118" t="n"/>
      <c r="AW82" s="310" t="n"/>
      <c r="AX82" s="36" t="n"/>
      <c r="AY82" s="64" t="n"/>
      <c r="AZ82" s="838" t="n"/>
      <c r="BC82" s="31">
        <f>IF(Planning!B75="","",Planning!B75)</f>
        <v/>
      </c>
      <c r="BD82" s="105" t="n"/>
      <c r="BE82" s="885">
        <f>Planning!E75</f>
        <v/>
      </c>
      <c r="BF82" s="885">
        <f>Planning!F75</f>
        <v/>
      </c>
      <c r="BG82" s="886" t="n"/>
      <c r="BH82" s="105" t="n"/>
      <c r="BI82" s="885">
        <f>Planning!I75</f>
        <v/>
      </c>
      <c r="BJ82" s="885">
        <f>Planning!J75</f>
        <v/>
      </c>
      <c r="BK82" s="886" t="n"/>
      <c r="BL82" s="105" t="n"/>
      <c r="BM82" s="885">
        <f>Planning!M75</f>
        <v/>
      </c>
      <c r="BN82" s="885">
        <f>Planning!N75</f>
        <v/>
      </c>
      <c r="BO82" s="886" t="n"/>
      <c r="BP82" s="105" t="n"/>
      <c r="BQ82" s="885">
        <f>Planning!Q75</f>
        <v/>
      </c>
      <c r="BR82" s="885">
        <f>Planning!R75</f>
        <v/>
      </c>
      <c r="BS82" s="886" t="n"/>
      <c r="BT82" s="105" t="n"/>
      <c r="BU82" s="885">
        <f>Planning!U75</f>
        <v/>
      </c>
      <c r="BV82" s="885">
        <f>Planning!V75</f>
        <v/>
      </c>
      <c r="BW82" s="886" t="n"/>
      <c r="BX82" s="105" t="n"/>
      <c r="BY82" s="885">
        <f>Planning!Y75</f>
        <v/>
      </c>
      <c r="BZ82" s="885">
        <f>Planning!Z75</f>
        <v/>
      </c>
      <c r="CA82" s="886" t="n"/>
      <c r="CB82" s="105" t="n"/>
      <c r="CC82" s="885">
        <f>Planning!AC75</f>
        <v/>
      </c>
      <c r="CD82" s="885">
        <f>Planning!AD75</f>
        <v/>
      </c>
      <c r="CE82" s="886" t="n"/>
      <c r="CF82" s="105" t="n"/>
      <c r="CG82" s="887">
        <f>Planning!AG75</f>
        <v/>
      </c>
      <c r="CH82" s="105" t="n"/>
      <c r="CI82" s="252">
        <f>IF(BC82="","",Planning!AI75)</f>
        <v/>
      </c>
      <c r="CJ82" s="252">
        <f>IF(BC82="","",Planning!AJ75)</f>
        <v/>
      </c>
      <c r="CK82" s="252">
        <f>IF(BC82="","",Planning!AK75)</f>
        <v/>
      </c>
      <c r="CL82" s="252">
        <f>IF(BC82="","",Planning!AH75)</f>
        <v/>
      </c>
      <c r="CM82" s="21" t="n"/>
    </row>
    <row r="83" ht="6" customHeight="1">
      <c r="A83" s="159" t="n"/>
      <c r="P83" s="310" t="n"/>
      <c r="Q83" s="310" t="n"/>
      <c r="W83" s="110" t="n"/>
      <c r="X83" s="109" t="n"/>
      <c r="Y83" s="109" t="n"/>
      <c r="Z83" s="109" t="n"/>
      <c r="AA83" s="109" t="n"/>
      <c r="AB83" s="109" t="n"/>
      <c r="AC83" s="109" t="n"/>
      <c r="AD83" s="109" t="n"/>
      <c r="AE83" s="109" t="n"/>
      <c r="AF83" s="109" t="n"/>
      <c r="AG83" s="109" t="n"/>
      <c r="AH83" s="47" t="n"/>
      <c r="AI83" s="47" t="n"/>
      <c r="AJ83" s="47" t="n"/>
      <c r="AK83" s="47" t="n"/>
      <c r="AL83" s="47" t="n"/>
      <c r="AM83" s="47" t="n"/>
      <c r="AN83" s="47" t="n"/>
      <c r="AO83" s="47" t="n"/>
      <c r="AP83" s="47" t="n"/>
      <c r="AQ83" s="47" t="n"/>
      <c r="AR83" s="47" t="n"/>
      <c r="AS83" s="47" t="n"/>
      <c r="AT83" s="47" t="n"/>
      <c r="AU83" s="47" t="n"/>
      <c r="AV83" s="118" t="n"/>
      <c r="AW83" s="310" t="n"/>
      <c r="AX83" s="36" t="n"/>
      <c r="AY83" s="64" t="n"/>
      <c r="AZ83" s="838" t="n"/>
      <c r="CM83" s="21" t="n"/>
    </row>
    <row r="84" ht="13.5" customHeight="1">
      <c r="A84" s="159" t="n"/>
      <c r="B84" s="916" t="inlineStr">
        <is>
          <t>Opmerkingen</t>
        </is>
      </c>
      <c r="C84" s="883" t="n"/>
      <c r="D84" s="883" t="n"/>
      <c r="E84" s="883" t="n"/>
      <c r="F84" s="883" t="n"/>
      <c r="G84" s="883" t="n"/>
      <c r="H84" s="883" t="n"/>
      <c r="I84" s="883" t="n"/>
      <c r="J84" s="883" t="n"/>
      <c r="K84" s="883" t="n"/>
      <c r="L84" s="883" t="n"/>
      <c r="M84" s="883" t="n"/>
      <c r="N84" s="883" t="n"/>
      <c r="O84" s="883" t="n"/>
      <c r="P84" s="883" t="n"/>
      <c r="Q84" s="883" t="n"/>
      <c r="R84" s="883" t="n"/>
      <c r="S84" s="883" t="n"/>
      <c r="T84" s="883" t="n"/>
      <c r="U84" s="883" t="n"/>
      <c r="V84" s="883" t="n"/>
      <c r="W84" s="883" t="n"/>
      <c r="X84" s="883" t="n"/>
      <c r="Y84" s="883" t="n"/>
      <c r="Z84" s="883" t="n"/>
      <c r="AA84" s="883" t="n"/>
      <c r="AB84" s="883" t="n"/>
      <c r="AC84" s="883" t="n"/>
      <c r="AD84" s="883" t="n"/>
      <c r="AE84" s="883" t="n"/>
      <c r="AF84" s="883" t="n"/>
      <c r="AG84" s="883" t="n"/>
      <c r="AH84" s="883" t="n"/>
      <c r="AI84" s="883" t="n"/>
      <c r="AJ84" s="883" t="n"/>
      <c r="AK84" s="884" t="n"/>
      <c r="AL84" s="47" t="n"/>
      <c r="AM84" s="47" t="n"/>
      <c r="AN84" s="47" t="n"/>
      <c r="AO84" s="47" t="n"/>
      <c r="AP84" s="47" t="n"/>
      <c r="AQ84" s="47" t="n"/>
      <c r="AR84" s="47" t="n"/>
      <c r="AS84" s="47" t="n"/>
      <c r="AT84" s="47" t="n"/>
      <c r="AU84" s="47" t="n"/>
      <c r="AV84" s="118" t="n"/>
      <c r="AW84" s="310" t="n"/>
      <c r="AX84" s="36" t="n"/>
      <c r="AY84" s="64" t="n"/>
      <c r="AZ84" s="838" t="n"/>
      <c r="CM84" s="21" t="n"/>
    </row>
    <row r="85" ht="13.5" customHeight="1">
      <c r="A85" s="159" t="n"/>
      <c r="B85" s="917" t="n"/>
      <c r="C85" s="918" t="n"/>
      <c r="D85" s="918" t="n"/>
      <c r="E85" s="918" t="n"/>
      <c r="F85" s="918" t="n"/>
      <c r="G85" s="918" t="n"/>
      <c r="H85" s="918" t="n"/>
      <c r="I85" s="918" t="n"/>
      <c r="J85" s="918" t="n"/>
      <c r="K85" s="918" t="n"/>
      <c r="L85" s="918" t="n"/>
      <c r="M85" s="918" t="n"/>
      <c r="N85" s="918" t="n"/>
      <c r="O85" s="918" t="n"/>
      <c r="P85" s="918" t="n"/>
      <c r="Q85" s="918" t="n"/>
      <c r="R85" s="918" t="n"/>
      <c r="S85" s="918" t="n"/>
      <c r="T85" s="918" t="n"/>
      <c r="U85" s="918" t="n"/>
      <c r="V85" s="918" t="n"/>
      <c r="W85" s="918" t="n"/>
      <c r="X85" s="918" t="n"/>
      <c r="Y85" s="918" t="n"/>
      <c r="Z85" s="918" t="n"/>
      <c r="AA85" s="918" t="n"/>
      <c r="AB85" s="918" t="n"/>
      <c r="AC85" s="918" t="n"/>
      <c r="AD85" s="918" t="n"/>
      <c r="AE85" s="918" t="n"/>
      <c r="AF85" s="918" t="n"/>
      <c r="AG85" s="918" t="n"/>
      <c r="AH85" s="918" t="n"/>
      <c r="AI85" s="918" t="n"/>
      <c r="AJ85" s="918" t="n"/>
      <c r="AK85" s="919" t="n"/>
      <c r="AL85" s="47" t="n"/>
      <c r="AM85" s="47" t="n"/>
      <c r="AN85" s="47" t="n"/>
      <c r="AO85" s="47" t="n"/>
      <c r="AP85" s="47" t="n"/>
      <c r="AQ85" s="47" t="n"/>
      <c r="AR85" s="47" t="n"/>
      <c r="AS85" s="47" t="n"/>
      <c r="AT85" s="47" t="n"/>
      <c r="AU85" s="47" t="n"/>
      <c r="AV85" s="118" t="n"/>
      <c r="AW85" s="310" t="n"/>
      <c r="AX85" s="36" t="n"/>
      <c r="AY85" s="64" t="n"/>
      <c r="AZ85" s="838" t="n"/>
      <c r="CM85" s="21" t="n"/>
    </row>
    <row r="86" ht="13.5" customHeight="1">
      <c r="A86" s="159" t="n"/>
      <c r="B86" s="920" t="n"/>
      <c r="C86" s="921" t="n"/>
      <c r="D86" s="921" t="n"/>
      <c r="E86" s="921" t="n"/>
      <c r="F86" s="921" t="n"/>
      <c r="G86" s="921" t="n"/>
      <c r="H86" s="921" t="n"/>
      <c r="I86" s="921" t="n"/>
      <c r="J86" s="921" t="n"/>
      <c r="K86" s="921" t="n"/>
      <c r="L86" s="921" t="n"/>
      <c r="M86" s="921" t="n"/>
      <c r="N86" s="921" t="n"/>
      <c r="O86" s="921" t="n"/>
      <c r="P86" s="921" t="n"/>
      <c r="Q86" s="921" t="n"/>
      <c r="R86" s="921" t="n"/>
      <c r="S86" s="921" t="n"/>
      <c r="T86" s="921" t="n"/>
      <c r="U86" s="921" t="n"/>
      <c r="V86" s="921" t="n"/>
      <c r="W86" s="921" t="n"/>
      <c r="X86" s="921" t="n"/>
      <c r="Y86" s="921" t="n"/>
      <c r="Z86" s="921" t="n"/>
      <c r="AA86" s="921" t="n"/>
      <c r="AB86" s="921" t="n"/>
      <c r="AC86" s="921" t="n"/>
      <c r="AD86" s="921" t="n"/>
      <c r="AE86" s="921" t="n"/>
      <c r="AF86" s="921" t="n"/>
      <c r="AG86" s="921" t="n"/>
      <c r="AH86" s="921" t="n"/>
      <c r="AI86" s="921" t="n"/>
      <c r="AJ86" s="921" t="n"/>
      <c r="AK86" s="922" t="n"/>
      <c r="AL86" s="47" t="n"/>
      <c r="AM86" s="47" t="n"/>
      <c r="AN86" s="47" t="n"/>
      <c r="AO86" s="47" t="n"/>
      <c r="AP86" s="47" t="n"/>
      <c r="AQ86" s="47" t="n"/>
      <c r="AR86" s="47" t="n"/>
      <c r="AS86" s="47" t="n"/>
      <c r="AT86" s="47" t="n"/>
      <c r="AU86" s="47" t="n"/>
      <c r="AV86" s="118" t="n"/>
      <c r="AW86" s="310" t="n"/>
      <c r="AX86" s="36" t="n"/>
      <c r="AY86" s="64" t="n"/>
      <c r="AZ86" s="838" t="n"/>
      <c r="CM86" s="21" t="n"/>
    </row>
    <row r="87" ht="6" customHeight="1">
      <c r="A87" s="163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 t="n"/>
      <c r="P87" s="119" t="n"/>
      <c r="Q87" s="119" t="n"/>
      <c r="R87" s="119" t="n"/>
      <c r="S87" s="119" t="n"/>
      <c r="T87" s="119" t="n"/>
      <c r="U87" s="120" t="n"/>
      <c r="V87" s="121" t="n"/>
      <c r="W87" s="121" t="n"/>
      <c r="X87" s="121" t="n"/>
      <c r="Y87" s="121" t="n"/>
      <c r="Z87" s="121" t="n"/>
      <c r="AA87" s="121" t="n"/>
      <c r="AB87" s="121" t="n"/>
      <c r="AC87" s="121" t="n"/>
      <c r="AD87" s="121" t="n"/>
      <c r="AE87" s="121" t="n"/>
      <c r="AF87" s="121" t="n"/>
      <c r="AG87" s="121" t="n"/>
      <c r="AH87" s="121" t="n"/>
      <c r="AI87" s="121" t="n"/>
      <c r="AJ87" s="121" t="n"/>
      <c r="AK87" s="121" t="n"/>
      <c r="AL87" s="121" t="n"/>
      <c r="AM87" s="121" t="n"/>
      <c r="AN87" s="121" t="n"/>
      <c r="AO87" s="121" t="n"/>
      <c r="AP87" s="121" t="n"/>
      <c r="AQ87" s="121" t="n"/>
      <c r="AR87" s="121" t="n"/>
      <c r="AS87" s="121" t="n"/>
      <c r="AT87" s="121" t="n"/>
      <c r="AU87" s="121" t="n"/>
      <c r="AV87" s="923" t="n"/>
      <c r="AW87" s="310" t="n"/>
      <c r="AX87" s="36" t="n"/>
      <c r="AY87" s="64" t="n"/>
      <c r="AZ87" s="838" t="n"/>
      <c r="CM87" s="21" t="n"/>
    </row>
  </sheetData>
  <mergeCells count="192">
    <mergeCell ref="H66:Q66"/>
    <mergeCell ref="AY61:AZ61"/>
    <mergeCell ref="N2:P2"/>
    <mergeCell ref="AC5:AE5"/>
    <mergeCell ref="H78:O78"/>
    <mergeCell ref="Q4:S4"/>
    <mergeCell ref="BM12:BN12"/>
    <mergeCell ref="Z76:AA76"/>
    <mergeCell ref="AB80:AI80"/>
    <mergeCell ref="Z3:AB3"/>
    <mergeCell ref="AC4:AE4"/>
    <mergeCell ref="R79:Y79"/>
    <mergeCell ref="C79:D79"/>
    <mergeCell ref="P69:Q69"/>
    <mergeCell ref="Z66:AA66"/>
    <mergeCell ref="T2:V2"/>
    <mergeCell ref="AB79:AI79"/>
    <mergeCell ref="Z75:AA75"/>
    <mergeCell ref="L12:M12"/>
    <mergeCell ref="AF5:AH5"/>
    <mergeCell ref="N12:O12"/>
    <mergeCell ref="AF2:AH2"/>
    <mergeCell ref="Z5:AB5"/>
    <mergeCell ref="AJ67:AK67"/>
    <mergeCell ref="H73:O73"/>
    <mergeCell ref="AB72:AI72"/>
    <mergeCell ref="P80:Q80"/>
    <mergeCell ref="AB81:AI81"/>
    <mergeCell ref="H70:O70"/>
    <mergeCell ref="R74:Y74"/>
    <mergeCell ref="W2:Y2"/>
    <mergeCell ref="R12:S12"/>
    <mergeCell ref="AJ69:AK69"/>
    <mergeCell ref="T12:U12"/>
    <mergeCell ref="P70:Q70"/>
    <mergeCell ref="AB71:AI71"/>
    <mergeCell ref="AL12:AM12"/>
    <mergeCell ref="AJ78:AK78"/>
    <mergeCell ref="AN12:AO12"/>
    <mergeCell ref="AF12:AG12"/>
    <mergeCell ref="C76:D76"/>
    <mergeCell ref="R76:Y76"/>
    <mergeCell ref="AF3:AH3"/>
    <mergeCell ref="K3:M3"/>
    <mergeCell ref="N4:P4"/>
    <mergeCell ref="AJ80:AK80"/>
    <mergeCell ref="R66:Y66"/>
    <mergeCell ref="C67:D67"/>
    <mergeCell ref="K5:M5"/>
    <mergeCell ref="H77:O77"/>
    <mergeCell ref="T4:V4"/>
    <mergeCell ref="R68:Y68"/>
    <mergeCell ref="Z80:AA80"/>
    <mergeCell ref="AF4:AH4"/>
    <mergeCell ref="P79:Q79"/>
    <mergeCell ref="C69:D69"/>
    <mergeCell ref="P73:Q73"/>
    <mergeCell ref="Q5:S5"/>
    <mergeCell ref="AJ81:AK81"/>
    <mergeCell ref="BI12:BJ12"/>
    <mergeCell ref="H67:O67"/>
    <mergeCell ref="AB66:AK66"/>
    <mergeCell ref="AJ71:AK71"/>
    <mergeCell ref="BU12:BV12"/>
    <mergeCell ref="AX6:BA9"/>
    <mergeCell ref="AI4:AK4"/>
    <mergeCell ref="R77:AA77"/>
    <mergeCell ref="Z2:AB2"/>
    <mergeCell ref="R78:Y78"/>
    <mergeCell ref="AJ73:AK73"/>
    <mergeCell ref="AB75:AI75"/>
    <mergeCell ref="BY12:BZ12"/>
    <mergeCell ref="AJ82:AK82"/>
    <mergeCell ref="B74:D74"/>
    <mergeCell ref="B85:AK86"/>
    <mergeCell ref="R80:Y80"/>
    <mergeCell ref="AX10:BA10"/>
    <mergeCell ref="AY31:BA31"/>
    <mergeCell ref="H79:O79"/>
    <mergeCell ref="P77:Q77"/>
    <mergeCell ref="Z12:AA12"/>
    <mergeCell ref="Z68:AA68"/>
    <mergeCell ref="R70:Y70"/>
    <mergeCell ref="AB12:AC12"/>
    <mergeCell ref="K4:M4"/>
    <mergeCell ref="AJ68:AK68"/>
    <mergeCell ref="AB70:AI70"/>
    <mergeCell ref="H72:O72"/>
    <mergeCell ref="C71:D71"/>
    <mergeCell ref="H81:O81"/>
    <mergeCell ref="T3:V3"/>
    <mergeCell ref="W4:Y4"/>
    <mergeCell ref="H12:I12"/>
    <mergeCell ref="P78:Q78"/>
    <mergeCell ref="Z69:AA69"/>
    <mergeCell ref="J12:K12"/>
    <mergeCell ref="T5:V5"/>
    <mergeCell ref="AR11:AS11"/>
    <mergeCell ref="Z78:AA78"/>
    <mergeCell ref="C82:D82"/>
    <mergeCell ref="AY23:BA23"/>
    <mergeCell ref="H71:O71"/>
    <mergeCell ref="C66:D66"/>
    <mergeCell ref="P71:Q71"/>
    <mergeCell ref="AY13:BA13"/>
    <mergeCell ref="C77:D77"/>
    <mergeCell ref="AH12:AI12"/>
    <mergeCell ref="AJ12:AK12"/>
    <mergeCell ref="C68:D68"/>
    <mergeCell ref="AB74:AI74"/>
    <mergeCell ref="H82:O82"/>
    <mergeCell ref="W3:Y3"/>
    <mergeCell ref="AJ70:AK70"/>
    <mergeCell ref="AB76:AI76"/>
    <mergeCell ref="AY35:BA35"/>
    <mergeCell ref="H76:Q76"/>
    <mergeCell ref="R69:Y69"/>
    <mergeCell ref="Z81:AA81"/>
    <mergeCell ref="C75:D75"/>
    <mergeCell ref="B65:D65"/>
    <mergeCell ref="AI3:AK3"/>
    <mergeCell ref="C80:D80"/>
    <mergeCell ref="P67:Q67"/>
    <mergeCell ref="R67:AA67"/>
    <mergeCell ref="B84:AK84"/>
    <mergeCell ref="A1:J3"/>
    <mergeCell ref="BE12:BF12"/>
    <mergeCell ref="AB77:AI77"/>
    <mergeCell ref="Z73:AA73"/>
    <mergeCell ref="AJ77:AK77"/>
    <mergeCell ref="AI5:AK5"/>
    <mergeCell ref="P82:Q82"/>
    <mergeCell ref="Z82:AA82"/>
    <mergeCell ref="BQ12:BR12"/>
    <mergeCell ref="AB67:AI67"/>
    <mergeCell ref="C70:D70"/>
    <mergeCell ref="P75:Q75"/>
    <mergeCell ref="AJ74:AK74"/>
    <mergeCell ref="H80:O80"/>
    <mergeCell ref="R72:Y72"/>
    <mergeCell ref="P12:Q12"/>
    <mergeCell ref="P68:Q68"/>
    <mergeCell ref="AB69:AI69"/>
    <mergeCell ref="R81:Y81"/>
    <mergeCell ref="AJ76:AK76"/>
    <mergeCell ref="AB78:AI78"/>
    <mergeCell ref="AY41:BA41"/>
    <mergeCell ref="AY47:BA47"/>
    <mergeCell ref="N3:P3"/>
    <mergeCell ref="AD12:AE12"/>
    <mergeCell ref="AJ75:AK75"/>
    <mergeCell ref="V12:W12"/>
    <mergeCell ref="X12:Y12"/>
    <mergeCell ref="AP12:AQ12"/>
    <mergeCell ref="R73:Y73"/>
    <mergeCell ref="R82:Y82"/>
    <mergeCell ref="N5:P5"/>
    <mergeCell ref="AB73:AI73"/>
    <mergeCell ref="Z70:AA70"/>
    <mergeCell ref="R71:AA71"/>
    <mergeCell ref="K2:M2"/>
    <mergeCell ref="F12:G12"/>
    <mergeCell ref="P72:Q72"/>
    <mergeCell ref="H74:O74"/>
    <mergeCell ref="H68:O68"/>
    <mergeCell ref="P81:Q81"/>
    <mergeCell ref="Z72:AA72"/>
    <mergeCell ref="AJ72:AK72"/>
    <mergeCell ref="Z4:AB4"/>
    <mergeCell ref="Q2:S2"/>
    <mergeCell ref="AI2:AK2"/>
    <mergeCell ref="H65:AK65"/>
    <mergeCell ref="AC2:AE2"/>
    <mergeCell ref="AY3:AZ4"/>
    <mergeCell ref="H69:O69"/>
    <mergeCell ref="AB82:AI82"/>
    <mergeCell ref="AY2:AZ2"/>
    <mergeCell ref="A4:J5"/>
    <mergeCell ref="Z79:AA79"/>
    <mergeCell ref="H75:O75"/>
    <mergeCell ref="R75:Y75"/>
    <mergeCell ref="Q3:S3"/>
    <mergeCell ref="AJ79:AK79"/>
    <mergeCell ref="C72:D72"/>
    <mergeCell ref="CC12:CD12"/>
    <mergeCell ref="W5:Y5"/>
    <mergeCell ref="C81:D81"/>
    <mergeCell ref="AB68:AI68"/>
    <mergeCell ref="AC3:AE3"/>
    <mergeCell ref="P74:Q74"/>
    <mergeCell ref="C78:D78"/>
    <mergeCell ref="Z74:AA74"/>
  </mergeCells>
  <conditionalFormatting sqref="A13:A63">
    <cfRule type="cellIs" priority="52" operator="equal" dxfId="50">
      <formula>0</formula>
    </cfRule>
  </conditionalFormatting>
  <conditionalFormatting sqref="D13:D63">
    <cfRule type="expression" priority="19" dxfId="48">
      <formula>IF(D13&lt;AR13,TRUE,FALSE)</formula>
    </cfRule>
    <cfRule type="expression" priority="20" dxfId="48">
      <formula>IF(D13&gt;AS13,TRUE,FALSE)</formula>
    </cfRule>
  </conditionalFormatting>
  <conditionalFormatting sqref="D13:E63">
    <cfRule type="containsBlanks" priority="16" dxfId="47">
      <formula>LEN(TRIM(D13))=0</formula>
    </cfRule>
  </conditionalFormatting>
  <conditionalFormatting sqref="E13:E63">
    <cfRule type="expression" priority="17" dxfId="28">
      <formula>IF(E13&gt;AS13,TRUE,FALSE)</formula>
    </cfRule>
    <cfRule type="expression" priority="18" dxfId="28">
      <formula>IF(E13&lt;AR13,TRUE,FALSE)</formula>
    </cfRule>
  </conditionalFormatting>
  <conditionalFormatting sqref="F13:AQ63">
    <cfRule type="cellIs" priority="14" operator="equal" dxfId="44">
      <formula>"p"</formula>
    </cfRule>
    <cfRule type="cellIs" priority="15" operator="equal" dxfId="43">
      <formula>"afw"</formula>
    </cfRule>
  </conditionalFormatting>
  <conditionalFormatting sqref="N5:AK5">
    <cfRule type="cellIs" priority="37" operator="lessThan" dxfId="18">
      <formula>0</formula>
    </cfRule>
  </conditionalFormatting>
  <conditionalFormatting sqref="AX6:BA9">
    <cfRule type="notContainsBlanks" priority="49" dxfId="41">
      <formula>LEN(TRIM(AX6))&gt;0</formula>
    </cfRule>
  </conditionalFormatting>
  <conditionalFormatting sqref="AY2:AZ4">
    <cfRule type="expression" priority="50" dxfId="28">
      <formula>IF($AY$3="nee",TRUE,FALSE)</formula>
    </cfRule>
  </conditionalFormatting>
  <conditionalFormatting sqref="AY58:BA58">
    <cfRule type="expression" priority="3" dxfId="18">
      <formula>IF(LEFT($AY$58,1)="l",TRUE,IF(LEFT($AY$58,1)="p",TRUE,FALSE))</formula>
    </cfRule>
  </conditionalFormatting>
  <conditionalFormatting sqref="AY59:BA59">
    <cfRule type="expression" priority="2" dxfId="18">
      <formula>IF(LEFT($AY$59,1)="l",TRUE,IF(LEFT($AY$59,1)="p",TRUE,FALSE))</formula>
    </cfRule>
  </conditionalFormatting>
  <conditionalFormatting sqref="AY60:BA60">
    <cfRule type="expression" priority="1" dxfId="18">
      <formula>IF(LEFT($AY$60,1)="l",TRUE,IF(LEFT($AY$60,1)="p",TRUE,FALSE))</formula>
    </cfRule>
  </conditionalFormatting>
  <conditionalFormatting sqref="AY61:BA61">
    <cfRule type="expression" priority="4" dxfId="6">
      <formula>IF($BA$61=0,TRUE,FALSE)</formula>
    </cfRule>
  </conditionalFormatting>
  <conditionalFormatting sqref="CI13:CI86">
    <cfRule type="cellIs" priority="21" operator="notBetween" dxfId="36">
      <formula>-3</formula>
      <formula>3</formula>
    </cfRule>
  </conditionalFormatting>
  <conditionalFormatting sqref="CJ13:CK86">
    <cfRule type="containsText" priority="22" operator="containsText" dxfId="36" text="nee">
      <formula>NOT(ISERROR(SEARCH("nee",CJ13)))</formula>
    </cfRule>
  </conditionalFormatting>
  <conditionalFormatting sqref="CL13:CL86">
    <cfRule type="cellIs" priority="23" operator="greaterThan" dxfId="36">
      <formula>5</formula>
    </cfRule>
  </conditionalFormatting>
  <dataValidations count="2">
    <dataValidation sqref="B29:B63" showDropDown="0" showInputMessage="0" showErrorMessage="1" allowBlank="1" type="list">
      <formula1>namenlijst</formula1>
    </dataValidation>
    <dataValidation sqref="B14:B28" showDropDown="0" showInputMessage="1" showErrorMessage="1" allowBlank="1" prompt=" - " type="list">
      <formula1>namenlijst</formula1>
    </dataValidation>
  </dataValidations>
  <pageMargins left="0.7" right="0.7" top="0.75" bottom="0.75" header="0.3" footer="0.3"/>
  <pageSetup orientation="portrait" paperSize="9" scale="32" fitToHeight="0"/>
</worksheet>
</file>

<file path=xl/worksheets/sheet5.xml><?xml version="1.0" encoding="utf-8"?>
<worksheet xmlns="http://schemas.openxmlformats.org/spreadsheetml/2006/main">
  <sheetPr codeName="Sheet5">
    <tabColor rgb="FF1696D0"/>
    <outlinePr summaryBelow="0" summaryRight="0"/>
    <pageSetUpPr fitToPage="1"/>
  </sheetPr>
  <dimension ref="A1:CM87"/>
  <sheetViews>
    <sheetView showGridLines="0" showRowColHeaders="0" topLeftCell="A9" zoomScaleNormal="100" workbookViewId="0">
      <selection activeCell="B38" sqref="B38"/>
    </sheetView>
  </sheetViews>
  <sheetFormatPr baseColWidth="8" defaultColWidth="17.28515625" defaultRowHeight="15" customHeight="1"/>
  <cols>
    <col width="1.7109375" customWidth="1" style="164" min="1" max="1"/>
    <col width="21.7109375" customWidth="1" style="264" min="2" max="2"/>
    <col width="5.85546875" customWidth="1" style="264" min="3" max="3"/>
    <col width="4.7109375" customWidth="1" style="264" min="4" max="5"/>
    <col width="2.7109375" customWidth="1" style="264" min="6" max="41"/>
    <col width="2.42578125" customWidth="1" style="264" min="42" max="42"/>
    <col width="2.7109375" customWidth="1" style="264" min="43" max="43"/>
    <col hidden="1" width="5.42578125" customWidth="1" style="264" min="44" max="47"/>
    <col width="4.7109375" customWidth="1" style="264" min="48" max="48"/>
    <col width="5" customWidth="1" style="264" min="49" max="50"/>
    <col width="4.140625" customWidth="1" style="264" min="51" max="51"/>
    <col width="12.5703125" customWidth="1" style="264" min="52" max="52"/>
    <col width="5.42578125" customWidth="1" style="264" min="53" max="53"/>
    <col width="2.85546875" customWidth="1" style="264" min="54" max="54"/>
    <col width="18.85546875" customWidth="1" style="264" min="55" max="55"/>
    <col width="0.42578125" customWidth="1" style="264" min="56" max="56"/>
    <col width="4.7109375" customWidth="1" style="264" min="57" max="58"/>
    <col hidden="1" width="3.28515625" customWidth="1" style="264" min="59" max="59"/>
    <col width="0.42578125" customWidth="1" style="264" min="60" max="60"/>
    <col width="4.7109375" customWidth="1" style="264" min="61" max="62"/>
    <col hidden="1" width="3.28515625" customWidth="1" style="264" min="63" max="63"/>
    <col width="0.42578125" customWidth="1" style="264" min="64" max="64"/>
    <col width="4.7109375" customWidth="1" style="264" min="65" max="66"/>
    <col hidden="1" width="3.28515625" customWidth="1" style="264" min="67" max="67"/>
    <col width="0.42578125" customWidth="1" style="264" min="68" max="68"/>
    <col width="4.7109375" customWidth="1" style="264" min="69" max="70"/>
    <col hidden="1" width="3.28515625" customWidth="1" style="264" min="71" max="71"/>
    <col width="0.42578125" customWidth="1" style="264" min="72" max="72"/>
    <col width="4.7109375" customWidth="1" style="264" min="73" max="74"/>
    <col hidden="1" width="3.28515625" customWidth="1" style="264" min="75" max="75"/>
    <col width="0.42578125" customWidth="1" style="264" min="76" max="76"/>
    <col width="4.7109375" customWidth="1" style="264" min="77" max="78"/>
    <col hidden="1" width="3.28515625" customWidth="1" style="264" min="79" max="79"/>
    <col width="0.42578125" customWidth="1" style="264" min="80" max="80"/>
    <col width="4.7109375" customWidth="1" style="264" min="81" max="82"/>
    <col hidden="1" width="3.28515625" customWidth="1" style="264" min="83" max="83"/>
    <col width="0.42578125" customWidth="1" style="264" min="84" max="84"/>
    <col width="5.7109375" customWidth="1" style="264" min="85" max="85"/>
    <col width="0.42578125" customWidth="1" style="264" min="86" max="86"/>
    <col width="3.85546875" customWidth="1" style="264" min="87" max="90"/>
    <col width="0.85546875" customWidth="1" style="264" min="91" max="91"/>
    <col width="17.28515625" customWidth="1" style="264" min="92" max="16384"/>
  </cols>
  <sheetData>
    <row r="1" ht="6" customHeight="1" thickBot="1">
      <c r="A1" s="720">
        <f>CONCATENATE("Planning week ",IF(Access!C4="B","BASIS",IF(Access!C4="","BASIS",WEEKNUM(Access!C4,21))))</f>
        <v/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  <c r="AR1" s="112" t="n"/>
      <c r="AS1" s="112" t="n"/>
      <c r="AT1" s="112" t="n"/>
      <c r="AU1" s="112" t="n"/>
      <c r="AV1" s="113" t="n"/>
    </row>
    <row r="2" ht="14.1" customHeight="1">
      <c r="A2" s="858" t="n"/>
      <c r="B2" s="264" t="n"/>
      <c r="C2" s="264" t="n"/>
      <c r="D2" s="264" t="n"/>
      <c r="E2" s="264" t="n"/>
      <c r="F2" s="264" t="n"/>
      <c r="G2" s="264" t="n"/>
      <c r="H2" s="264" t="n"/>
      <c r="I2" s="264" t="n"/>
      <c r="J2" s="264" t="n"/>
      <c r="K2" s="724" t="n"/>
      <c r="L2" s="859" t="n"/>
      <c r="M2" s="860" t="n"/>
      <c r="N2" s="725" t="inlineStr">
        <is>
          <t>Maandag</t>
        </is>
      </c>
      <c r="O2" s="859" t="n"/>
      <c r="P2" s="860" t="n"/>
      <c r="Q2" s="725" t="inlineStr">
        <is>
          <t>Dinsdag</t>
        </is>
      </c>
      <c r="R2" s="859" t="n"/>
      <c r="S2" s="860" t="n"/>
      <c r="T2" s="725" t="inlineStr">
        <is>
          <t>Woensdag</t>
        </is>
      </c>
      <c r="U2" s="859" t="n"/>
      <c r="V2" s="860" t="n"/>
      <c r="W2" s="725" t="inlineStr">
        <is>
          <t>Donderdag</t>
        </is>
      </c>
      <c r="X2" s="859" t="n"/>
      <c r="Y2" s="860" t="n"/>
      <c r="Z2" s="725" t="inlineStr">
        <is>
          <t>Vrijdag</t>
        </is>
      </c>
      <c r="AA2" s="859" t="n"/>
      <c r="AB2" s="860" t="n"/>
      <c r="AC2" s="725" t="inlineStr">
        <is>
          <t>Zaterdag</t>
        </is>
      </c>
      <c r="AD2" s="859" t="n"/>
      <c r="AE2" s="860" t="n"/>
      <c r="AF2" s="725" t="inlineStr">
        <is>
          <t>Zondag</t>
        </is>
      </c>
      <c r="AG2" s="859" t="n"/>
      <c r="AH2" s="860" t="n"/>
      <c r="AI2" s="740" t="inlineStr">
        <is>
          <t>Totaal</t>
        </is>
      </c>
      <c r="AJ2" s="859" t="n"/>
      <c r="AK2" s="860" t="n"/>
      <c r="AL2" s="258" t="n"/>
      <c r="AM2" s="259" t="n"/>
      <c r="AN2" s="259" t="n"/>
      <c r="AO2" s="259" t="n"/>
      <c r="AP2" s="259" t="n"/>
      <c r="AQ2" s="259" t="n"/>
      <c r="AR2" s="259" t="n"/>
      <c r="AS2" s="259" t="n"/>
      <c r="AT2" s="259" t="n"/>
      <c r="AU2" s="259" t="n"/>
      <c r="AV2" s="114" t="n"/>
      <c r="AW2" s="106" t="n"/>
      <c r="AX2" s="838" t="n"/>
      <c r="AY2" s="861" t="inlineStr">
        <is>
          <t>Planning OK?</t>
        </is>
      </c>
      <c r="AZ2" s="862" t="n"/>
      <c r="BA2" s="19" t="n"/>
      <c r="BB2" s="838" t="n"/>
      <c r="BC2" s="20" t="n"/>
      <c r="BD2" s="20" t="n"/>
      <c r="BE2" s="20" t="n"/>
      <c r="BF2" s="20" t="n"/>
      <c r="BG2" s="20" t="n"/>
      <c r="BH2" s="20" t="n"/>
      <c r="BI2" s="20" t="n"/>
      <c r="BJ2" s="20" t="n"/>
      <c r="BK2" s="20" t="n"/>
      <c r="BL2" s="20" t="n"/>
      <c r="BM2" s="20" t="n"/>
      <c r="BN2" s="20" t="n"/>
      <c r="BO2" s="20" t="n"/>
      <c r="BP2" s="20" t="n"/>
      <c r="BQ2" s="20" t="n"/>
      <c r="BR2" s="20" t="n"/>
      <c r="BS2" s="20" t="n"/>
      <c r="BT2" s="20" t="n"/>
      <c r="BU2" s="20" t="n"/>
      <c r="BV2" s="20" t="n"/>
      <c r="BW2" s="20" t="n"/>
      <c r="BX2" s="20" t="n"/>
      <c r="BY2" s="20" t="n"/>
      <c r="BZ2" s="20" t="n"/>
      <c r="CA2" s="20" t="n"/>
      <c r="CB2" s="20" t="n"/>
      <c r="CC2" s="20" t="n"/>
      <c r="CD2" s="20" t="n"/>
      <c r="CE2" s="20" t="n"/>
      <c r="CF2" s="20" t="n"/>
      <c r="CG2" s="20" t="n"/>
      <c r="CH2" s="20" t="n"/>
      <c r="CI2" s="20" t="n"/>
      <c r="CJ2" s="20" t="n"/>
      <c r="CK2" s="20" t="n"/>
      <c r="CL2" s="20" t="n"/>
      <c r="CM2" s="20" t="n"/>
    </row>
    <row r="3" ht="14.1" customHeight="1">
      <c r="A3" s="858" t="n"/>
      <c r="B3" s="264" t="n"/>
      <c r="C3" s="264" t="n"/>
      <c r="D3" s="264" t="n"/>
      <c r="E3" s="264" t="n"/>
      <c r="F3" s="264" t="n"/>
      <c r="G3" s="264" t="n"/>
      <c r="H3" s="264" t="n"/>
      <c r="I3" s="264" t="n"/>
      <c r="J3" s="264" t="n"/>
      <c r="K3" s="728" t="inlineStr">
        <is>
          <t>Gepland</t>
        </is>
      </c>
      <c r="L3" s="863" t="n"/>
      <c r="M3" s="864" t="n"/>
      <c r="N3" s="731">
        <f>Ma!AV65</f>
        <v/>
      </c>
      <c r="O3" s="863" t="n"/>
      <c r="P3" s="864" t="n"/>
      <c r="Q3" s="730">
        <f>Di!AV65</f>
        <v/>
      </c>
      <c r="R3" s="863" t="n"/>
      <c r="S3" s="864" t="n"/>
      <c r="T3" s="749">
        <f>Wo!AV65</f>
        <v/>
      </c>
      <c r="U3" s="863" t="n"/>
      <c r="V3" s="864" t="n"/>
      <c r="W3" s="731">
        <f>Do!AV65</f>
        <v/>
      </c>
      <c r="X3" s="863" t="n"/>
      <c r="Y3" s="864" t="n"/>
      <c r="Z3" s="731">
        <f>Vr!AV65</f>
        <v/>
      </c>
      <c r="AA3" s="863" t="n"/>
      <c r="AB3" s="864" t="n"/>
      <c r="AC3" s="731">
        <f>Za!AV65</f>
        <v/>
      </c>
      <c r="AD3" s="863" t="n"/>
      <c r="AE3" s="864" t="n"/>
      <c r="AF3" s="731">
        <f>Zo!AV65</f>
        <v/>
      </c>
      <c r="AG3" s="863" t="n"/>
      <c r="AH3" s="864" t="n"/>
      <c r="AI3" s="713">
        <f>SUM(N3:AH3)</f>
        <v/>
      </c>
      <c r="AJ3" s="863" t="n"/>
      <c r="AK3" s="864" t="n"/>
      <c r="AL3" s="96" t="n"/>
      <c r="AM3" s="96" t="n"/>
      <c r="AN3" s="96" t="n"/>
      <c r="AO3" s="96" t="n"/>
      <c r="AP3" s="96" t="n"/>
      <c r="AQ3" s="96" t="n"/>
      <c r="AR3" s="96" t="n"/>
      <c r="AS3" s="96" t="n"/>
      <c r="AT3" s="96" t="n"/>
      <c r="AU3" s="96" t="n"/>
      <c r="AV3" s="114" t="n"/>
      <c r="AW3" s="106" t="n"/>
      <c r="AX3" s="838" t="n"/>
      <c r="AY3" s="865">
        <f>IF(SUM(A13:A63)=1326,"JA","NEE")</f>
        <v/>
      </c>
      <c r="AZ3" s="866" t="n"/>
      <c r="BA3" s="19" t="n"/>
      <c r="BB3" s="838" t="n"/>
      <c r="BC3" s="20" t="n"/>
      <c r="BD3" s="20" t="n"/>
      <c r="BE3" s="20" t="n"/>
      <c r="BF3" s="20" t="n"/>
      <c r="BG3" s="20" t="n"/>
      <c r="BH3" s="20" t="n"/>
      <c r="BI3" s="20" t="n"/>
      <c r="BJ3" s="20" t="n"/>
      <c r="BK3" s="20" t="n"/>
      <c r="BL3" s="20" t="n"/>
      <c r="BM3" s="20" t="n"/>
      <c r="BN3" s="20" t="n"/>
      <c r="BO3" s="20" t="n"/>
      <c r="BP3" s="20" t="n"/>
      <c r="BQ3" s="20" t="n"/>
      <c r="BR3" s="20" t="n"/>
      <c r="BS3" s="20" t="n"/>
      <c r="BT3" s="20" t="n"/>
      <c r="BU3" s="20" t="n"/>
      <c r="BV3" s="20" t="n"/>
      <c r="BW3" s="20" t="n"/>
      <c r="BX3" s="20" t="n"/>
      <c r="BY3" s="20" t="n"/>
      <c r="BZ3" s="20" t="n"/>
      <c r="CA3" s="20" t="n"/>
      <c r="CB3" s="20" t="n"/>
      <c r="CC3" s="20" t="n"/>
      <c r="CD3" s="20" t="n"/>
      <c r="CE3" s="20" t="n"/>
      <c r="CF3" s="20" t="n"/>
      <c r="CG3" s="20" t="n"/>
      <c r="CH3" s="20" t="n"/>
      <c r="CI3" s="20" t="n"/>
      <c r="CJ3" s="20" t="n"/>
      <c r="CK3" s="20" t="n"/>
      <c r="CL3" s="20" t="n"/>
      <c r="CM3" s="20" t="n"/>
    </row>
    <row r="4" ht="14.1" customHeight="1">
      <c r="A4" s="867">
        <f>CONCATENATE("dinsdag ",IF(Access!C4="","",TEXT(Access!C4+1,"D-M-JJJJ")))</f>
        <v/>
      </c>
      <c r="B4" s="264" t="n"/>
      <c r="C4" s="264" t="n"/>
      <c r="D4" s="264" t="n"/>
      <c r="E4" s="264" t="n"/>
      <c r="F4" s="264" t="n"/>
      <c r="G4" s="264" t="n"/>
      <c r="H4" s="264" t="n"/>
      <c r="I4" s="264" t="n"/>
      <c r="J4" s="264" t="n"/>
      <c r="K4" s="728" t="inlineStr">
        <is>
          <t>Norm</t>
        </is>
      </c>
      <c r="L4" s="863" t="n"/>
      <c r="M4" s="864" t="n"/>
      <c r="N4" s="731">
        <f>Instellingen!F23</f>
        <v/>
      </c>
      <c r="O4" s="863" t="n"/>
      <c r="P4" s="864" t="n"/>
      <c r="Q4" s="730">
        <f>Instellingen!G23</f>
        <v/>
      </c>
      <c r="R4" s="863" t="n"/>
      <c r="S4" s="864" t="n"/>
      <c r="T4" s="749">
        <f>Instellingen!H23</f>
        <v/>
      </c>
      <c r="U4" s="863" t="n"/>
      <c r="V4" s="864" t="n"/>
      <c r="W4" s="731">
        <f>Instellingen!I23</f>
        <v/>
      </c>
      <c r="X4" s="863" t="n"/>
      <c r="Y4" s="864" t="n"/>
      <c r="Z4" s="731">
        <f>Instellingen!J23</f>
        <v/>
      </c>
      <c r="AA4" s="863" t="n"/>
      <c r="AB4" s="864" t="n"/>
      <c r="AC4" s="731">
        <f>Instellingen!K23</f>
        <v/>
      </c>
      <c r="AD4" s="863" t="n"/>
      <c r="AE4" s="864" t="n"/>
      <c r="AF4" s="731">
        <f>Instellingen!L23</f>
        <v/>
      </c>
      <c r="AG4" s="863" t="n"/>
      <c r="AH4" s="864" t="n"/>
      <c r="AI4" s="713">
        <f>Begroting!N71</f>
        <v/>
      </c>
      <c r="AJ4" s="863" t="n"/>
      <c r="AK4" s="864" t="n"/>
      <c r="AL4" s="96" t="n"/>
      <c r="AM4" s="96" t="n"/>
      <c r="AN4" s="96" t="n"/>
      <c r="AO4" s="96" t="n"/>
      <c r="AP4" s="96" t="n"/>
      <c r="AQ4" s="96" t="n"/>
      <c r="AR4" s="96" t="n"/>
      <c r="AS4" s="96" t="n"/>
      <c r="AT4" s="96" t="n"/>
      <c r="AU4" s="96" t="n"/>
      <c r="AV4" s="114" t="n"/>
      <c r="AW4" s="106" t="n"/>
      <c r="AX4" s="838" t="n"/>
      <c r="AY4" s="868" t="n"/>
      <c r="AZ4" s="869" t="n"/>
      <c r="BA4" s="19" t="n"/>
      <c r="BB4" s="838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20" t="n"/>
      <c r="BU4" s="20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  <c r="CE4" s="20" t="n"/>
      <c r="CF4" s="20" t="n"/>
      <c r="CG4" s="20" t="n"/>
      <c r="CH4" s="20" t="n"/>
      <c r="CI4" s="20" t="n"/>
      <c r="CJ4" s="20" t="n"/>
      <c r="CK4" s="20" t="n"/>
      <c r="CL4" s="20" t="n"/>
      <c r="CM4" s="20" t="n"/>
    </row>
    <row r="5" ht="14.1" customHeight="1" thickBot="1">
      <c r="A5" s="858" t="n"/>
      <c r="B5" s="264" t="n"/>
      <c r="C5" s="264" t="n"/>
      <c r="D5" s="264" t="n"/>
      <c r="E5" s="264" t="n"/>
      <c r="F5" s="264" t="n"/>
      <c r="G5" s="264" t="n"/>
      <c r="H5" s="264" t="n"/>
      <c r="I5" s="264" t="n"/>
      <c r="J5" s="264" t="n"/>
      <c r="K5" s="732" t="inlineStr">
        <is>
          <t>Verschil</t>
        </is>
      </c>
      <c r="L5" s="870" t="n"/>
      <c r="M5" s="871" t="n"/>
      <c r="N5" s="735">
        <f>N4-N3</f>
        <v/>
      </c>
      <c r="O5" s="870" t="n"/>
      <c r="P5" s="871" t="n"/>
      <c r="Q5" s="734">
        <f>Q4-Q3</f>
        <v/>
      </c>
      <c r="R5" s="870" t="n"/>
      <c r="S5" s="871" t="n"/>
      <c r="T5" s="750">
        <f>T4-T3</f>
        <v/>
      </c>
      <c r="U5" s="870" t="n"/>
      <c r="V5" s="871" t="n"/>
      <c r="W5" s="735">
        <f>W4-W3</f>
        <v/>
      </c>
      <c r="X5" s="870" t="n"/>
      <c r="Y5" s="871" t="n"/>
      <c r="Z5" s="735">
        <f>Z4-Z3</f>
        <v/>
      </c>
      <c r="AA5" s="870" t="n"/>
      <c r="AB5" s="871" t="n"/>
      <c r="AC5" s="735">
        <f>AC4-AC3</f>
        <v/>
      </c>
      <c r="AD5" s="870" t="n"/>
      <c r="AE5" s="871" t="n"/>
      <c r="AF5" s="735">
        <f>AF4-AF3</f>
        <v/>
      </c>
      <c r="AG5" s="870" t="n"/>
      <c r="AH5" s="871" t="n"/>
      <c r="AI5" s="742">
        <f>AI4-AI3</f>
        <v/>
      </c>
      <c r="AJ5" s="870" t="n"/>
      <c r="AK5" s="871" t="n"/>
      <c r="AL5" s="96" t="n"/>
      <c r="AM5" s="96" t="n"/>
      <c r="AN5" s="96" t="n"/>
      <c r="AO5" s="96" t="n"/>
      <c r="AP5" s="96" t="n"/>
      <c r="AQ5" s="96" t="n"/>
      <c r="AR5" s="96" t="n"/>
      <c r="AS5" s="96" t="n"/>
      <c r="AT5" s="96" t="n"/>
      <c r="AU5" s="96" t="n"/>
      <c r="AV5" s="114" t="n"/>
      <c r="AW5" s="123" t="n"/>
      <c r="AX5" s="125" t="n"/>
      <c r="AY5" s="125" t="n"/>
      <c r="AZ5" s="125" t="n"/>
      <c r="BA5" s="125" t="n"/>
      <c r="BB5" s="124" t="n"/>
      <c r="BC5" s="838" t="n"/>
      <c r="BD5" s="838" t="n"/>
      <c r="BE5" s="838" t="n"/>
      <c r="BF5" s="838" t="n"/>
      <c r="BG5" s="838" t="n"/>
      <c r="BH5" s="838" t="n"/>
      <c r="BI5" s="838" t="n"/>
      <c r="BJ5" s="838" t="n"/>
      <c r="BK5" s="838" t="n"/>
      <c r="BL5" s="838" t="n"/>
      <c r="BM5" s="838" t="n"/>
      <c r="BN5" s="838" t="n"/>
      <c r="BO5" s="838" t="n"/>
      <c r="BP5" s="838" t="n"/>
      <c r="BQ5" s="21" t="n"/>
      <c r="BR5" s="21" t="n"/>
      <c r="BS5" s="21" t="n"/>
      <c r="BT5" s="21" t="n"/>
      <c r="BU5" s="21" t="n"/>
      <c r="BV5" s="21" t="n"/>
      <c r="BW5" s="21" t="n"/>
      <c r="BX5" s="21" t="n"/>
      <c r="BY5" s="21" t="n"/>
      <c r="BZ5" s="21" t="n"/>
      <c r="CA5" s="21" t="n"/>
      <c r="CB5" s="21" t="n"/>
      <c r="CC5" s="21" t="n"/>
      <c r="CD5" s="21" t="n"/>
      <c r="CE5" s="21" t="n"/>
      <c r="CF5" s="21" t="n"/>
      <c r="CG5" s="21" t="n"/>
      <c r="CH5" s="21" t="n"/>
      <c r="CI5" s="21" t="n"/>
      <c r="CJ5" s="21" t="n"/>
      <c r="CK5" s="21" t="n"/>
      <c r="CL5" s="21" t="n"/>
      <c r="CM5" s="21" t="n"/>
    </row>
    <row r="6" ht="5.1" customHeight="1">
      <c r="A6" s="165" t="n"/>
      <c r="B6" s="96" t="n"/>
      <c r="C6" s="96" t="n"/>
      <c r="D6" s="96" t="n"/>
      <c r="E6" s="96" t="n"/>
      <c r="F6" s="96" t="n"/>
      <c r="G6" s="96" t="n"/>
      <c r="H6" s="96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  <c r="AA6" s="96" t="n"/>
      <c r="AB6" s="96" t="n"/>
      <c r="AC6" s="96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6" t="n"/>
      <c r="AM6" s="96" t="n"/>
      <c r="AN6" s="96" t="n"/>
      <c r="AO6" s="96" t="n"/>
      <c r="AP6" s="96" t="n"/>
      <c r="AQ6" s="96" t="n"/>
      <c r="AR6" s="96" t="n"/>
      <c r="AS6" s="96" t="n"/>
      <c r="AT6" s="96" t="n"/>
      <c r="AU6" s="96" t="n"/>
      <c r="AV6" s="114" t="n"/>
      <c r="AW6" s="123" t="n"/>
      <c r="AX6" s="744">
        <f>IFERROR(VLOOKUP(Access!C4+1,'Instellingen HIDE'!H:I,2,FALSE),"")</f>
        <v/>
      </c>
      <c r="AY6" s="264" t="n"/>
      <c r="AZ6" s="264" t="n"/>
      <c r="BA6" s="264" t="n"/>
      <c r="BB6" s="124" t="n"/>
      <c r="BC6" s="838" t="n"/>
      <c r="BD6" s="838" t="n"/>
      <c r="BE6" s="838" t="n"/>
      <c r="BF6" s="838" t="n"/>
      <c r="BG6" s="838" t="n"/>
      <c r="BH6" s="838" t="n"/>
      <c r="BI6" s="838" t="n"/>
      <c r="BJ6" s="838" t="n"/>
      <c r="BK6" s="838" t="n"/>
      <c r="BL6" s="838" t="n"/>
      <c r="BM6" s="838" t="n"/>
      <c r="BN6" s="838" t="n"/>
      <c r="BO6" s="838" t="n"/>
      <c r="BP6" s="838" t="n"/>
      <c r="BQ6" s="21" t="n"/>
      <c r="BR6" s="21" t="n"/>
      <c r="BS6" s="21" t="n"/>
      <c r="BT6" s="21" t="n"/>
      <c r="BU6" s="21" t="n"/>
      <c r="BV6" s="21" t="n"/>
      <c r="BW6" s="21" t="n"/>
      <c r="BX6" s="21" t="n"/>
      <c r="BY6" s="21" t="n"/>
      <c r="BZ6" s="21" t="n"/>
      <c r="CA6" s="21" t="n"/>
      <c r="CB6" s="21" t="n"/>
      <c r="CC6" s="21" t="n"/>
      <c r="CD6" s="21" t="n"/>
      <c r="CE6" s="21" t="n"/>
      <c r="CF6" s="21" t="n"/>
      <c r="CG6" s="21" t="n"/>
      <c r="CH6" s="21" t="n"/>
      <c r="CI6" s="21" t="n"/>
      <c r="CJ6" s="21" t="n"/>
      <c r="CK6" s="21" t="n"/>
      <c r="CL6" s="21" t="n"/>
      <c r="CM6" s="21" t="n"/>
    </row>
    <row r="7" ht="3" customHeight="1">
      <c r="A7" s="604" t="n"/>
      <c r="B7" s="605" t="n"/>
      <c r="C7" s="605" t="n"/>
      <c r="D7" s="605" t="n"/>
      <c r="E7" s="605" t="n"/>
      <c r="F7" s="605" t="n"/>
      <c r="G7" s="605" t="n"/>
      <c r="H7" s="605" t="n"/>
      <c r="I7" s="605" t="n"/>
      <c r="J7" s="605" t="n"/>
      <c r="K7" s="605" t="n"/>
      <c r="L7" s="605" t="n"/>
      <c r="M7" s="605" t="n"/>
      <c r="N7" s="605" t="n"/>
      <c r="O7" s="605" t="n"/>
      <c r="P7" s="605" t="n"/>
      <c r="Q7" s="605" t="n"/>
      <c r="R7" s="605" t="n"/>
      <c r="S7" s="605" t="n"/>
      <c r="T7" s="605" t="n"/>
      <c r="U7" s="605" t="n"/>
      <c r="V7" s="605" t="n"/>
      <c r="W7" s="605" t="n"/>
      <c r="X7" s="605" t="n"/>
      <c r="Y7" s="605" t="n"/>
      <c r="Z7" s="605" t="n"/>
      <c r="AA7" s="605" t="n"/>
      <c r="AB7" s="605" t="n"/>
      <c r="AC7" s="605" t="n"/>
      <c r="AD7" s="605" t="n"/>
      <c r="AE7" s="605" t="n"/>
      <c r="AF7" s="605" t="n"/>
      <c r="AG7" s="605" t="n"/>
      <c r="AH7" s="605" t="n"/>
      <c r="AI7" s="605" t="n"/>
      <c r="AJ7" s="605" t="n"/>
      <c r="AK7" s="605" t="n"/>
      <c r="AL7" s="605" t="n"/>
      <c r="AM7" s="605" t="n"/>
      <c r="AN7" s="605" t="n"/>
      <c r="AO7" s="605" t="n"/>
      <c r="AP7" s="605" t="n"/>
      <c r="AQ7" s="605" t="n"/>
      <c r="AR7" s="605" t="n"/>
      <c r="AS7" s="605" t="n"/>
      <c r="AT7" s="605" t="n"/>
      <c r="AU7" s="605" t="n"/>
      <c r="AV7" s="605" t="n"/>
      <c r="AW7" s="124" t="n"/>
      <c r="AX7" s="264" t="n"/>
      <c r="AY7" s="264" t="n"/>
      <c r="AZ7" s="264" t="n"/>
      <c r="BA7" s="264" t="n"/>
      <c r="BB7" s="124" t="n"/>
      <c r="BC7" s="838" t="n"/>
      <c r="BD7" s="838" t="n"/>
      <c r="BE7" s="838" t="n"/>
      <c r="BF7" s="838" t="n"/>
      <c r="BG7" s="838" t="n"/>
      <c r="BH7" s="838" t="n"/>
      <c r="BI7" s="838" t="n"/>
      <c r="BJ7" s="838" t="n"/>
      <c r="BK7" s="838" t="n"/>
      <c r="BL7" s="838" t="n"/>
      <c r="BM7" s="838" t="n"/>
      <c r="BN7" s="838" t="n"/>
      <c r="BO7" s="838" t="n"/>
      <c r="BP7" s="838" t="n"/>
      <c r="BQ7" s="21" t="n"/>
      <c r="BR7" s="21" t="n"/>
      <c r="BS7" s="21" t="n"/>
      <c r="BT7" s="21" t="n"/>
      <c r="BU7" s="21" t="n"/>
      <c r="BV7" s="21" t="n"/>
      <c r="BW7" s="21" t="n"/>
      <c r="BX7" s="21" t="n"/>
      <c r="BY7" s="21" t="n"/>
      <c r="BZ7" s="21" t="n"/>
      <c r="CA7" s="21" t="n"/>
      <c r="CB7" s="21" t="n"/>
      <c r="CC7" s="21" t="n"/>
      <c r="CD7" s="21" t="n"/>
      <c r="CE7" s="21" t="n"/>
      <c r="CF7" s="21" t="n"/>
      <c r="CG7" s="21" t="n"/>
      <c r="CH7" s="21" t="n"/>
      <c r="CI7" s="21" t="n"/>
      <c r="CJ7" s="21" t="n"/>
      <c r="CK7" s="21" t="n"/>
      <c r="CL7" s="21" t="n"/>
      <c r="CM7" s="21" t="n"/>
    </row>
    <row r="8" ht="3" customHeight="1">
      <c r="A8" s="602" t="n"/>
      <c r="B8" s="603" t="n"/>
      <c r="C8" s="603" t="n"/>
      <c r="D8" s="603" t="n"/>
      <c r="E8" s="603" t="n"/>
      <c r="F8" s="603" t="n"/>
      <c r="G8" s="603" t="n"/>
      <c r="H8" s="603" t="n"/>
      <c r="I8" s="603" t="n"/>
      <c r="J8" s="603" t="n"/>
      <c r="K8" s="603" t="n"/>
      <c r="L8" s="603" t="n"/>
      <c r="M8" s="603" t="n"/>
      <c r="N8" s="603" t="n"/>
      <c r="O8" s="603" t="n"/>
      <c r="P8" s="603" t="n"/>
      <c r="Q8" s="603" t="n"/>
      <c r="R8" s="603" t="n"/>
      <c r="S8" s="603" t="n"/>
      <c r="T8" s="603" t="n"/>
      <c r="U8" s="603" t="n"/>
      <c r="V8" s="603" t="n"/>
      <c r="W8" s="603" t="n"/>
      <c r="X8" s="603" t="n"/>
      <c r="Y8" s="603" t="n"/>
      <c r="Z8" s="603" t="n"/>
      <c r="AA8" s="603" t="n"/>
      <c r="AB8" s="603" t="n"/>
      <c r="AC8" s="603" t="n"/>
      <c r="AD8" s="603" t="n"/>
      <c r="AE8" s="603" t="n"/>
      <c r="AF8" s="603" t="n"/>
      <c r="AG8" s="603" t="n"/>
      <c r="AH8" s="603" t="n"/>
      <c r="AI8" s="603" t="n"/>
      <c r="AJ8" s="603" t="n"/>
      <c r="AK8" s="603" t="n"/>
      <c r="AL8" s="603" t="n"/>
      <c r="AM8" s="603" t="n"/>
      <c r="AN8" s="603" t="n"/>
      <c r="AO8" s="603" t="n"/>
      <c r="AP8" s="603" t="n"/>
      <c r="AQ8" s="603" t="n"/>
      <c r="AR8" s="603" t="n"/>
      <c r="AS8" s="603" t="n"/>
      <c r="AT8" s="603" t="n"/>
      <c r="AU8" s="603" t="n"/>
      <c r="AV8" s="603" t="n"/>
      <c r="AW8" s="124" t="n"/>
      <c r="AX8" s="264" t="n"/>
      <c r="AY8" s="264" t="n"/>
      <c r="AZ8" s="264" t="n"/>
      <c r="BA8" s="264" t="n"/>
      <c r="BB8" s="124" t="n"/>
      <c r="BC8" s="838" t="n"/>
      <c r="BD8" s="838" t="n"/>
      <c r="BE8" s="838" t="n"/>
      <c r="BF8" s="838" t="n"/>
      <c r="BG8" s="838" t="n"/>
      <c r="BH8" s="838" t="n"/>
      <c r="BI8" s="838" t="n"/>
      <c r="BJ8" s="838" t="n"/>
      <c r="BK8" s="838" t="n"/>
      <c r="BL8" s="838" t="n"/>
      <c r="BM8" s="838" t="n"/>
      <c r="BN8" s="838" t="n"/>
      <c r="BO8" s="838" t="n"/>
      <c r="BP8" s="838" t="n"/>
      <c r="BQ8" s="21" t="n"/>
      <c r="BR8" s="21" t="n"/>
      <c r="BS8" s="21" t="n"/>
      <c r="BT8" s="21" t="n"/>
      <c r="BU8" s="21" t="n"/>
      <c r="BV8" s="21" t="n"/>
      <c r="BW8" s="21" t="n"/>
      <c r="BX8" s="21" t="n"/>
      <c r="BY8" s="21" t="n"/>
      <c r="BZ8" s="21" t="n"/>
      <c r="CA8" s="21" t="n"/>
      <c r="CB8" s="21" t="n"/>
      <c r="CC8" s="21" t="n"/>
      <c r="CD8" s="21" t="n"/>
      <c r="CE8" s="21" t="n"/>
      <c r="CF8" s="21" t="n"/>
      <c r="CG8" s="21" t="n"/>
      <c r="CH8" s="21" t="n"/>
      <c r="CI8" s="21" t="n"/>
      <c r="CJ8" s="21" t="n"/>
      <c r="CK8" s="21" t="n"/>
      <c r="CL8" s="21" t="n"/>
      <c r="CM8" s="21" t="n"/>
    </row>
    <row r="9" ht="12" customHeight="1">
      <c r="A9" s="159" t="n"/>
      <c r="B9" s="838">
        <f>CONCATENATE("AH ",VLOOKUP(Access!C3,'Instellingen HIDE'!A:B,2,FALSE),", ",VLOOKUP(Access!C3,'Instellingen HIDE'!A:C,3,FALSE),", ",VLOOKUP(Access!C3,'Instellingen HIDE'!A:D,4,FALSE)," ",VLOOKUP(Access!C3,'Instellingen HIDE'!A:E,5,FALSE),", (telefoon: ",VLOOKUP(Access!C3,'Instellingen HIDE'!A:F,6,FALSE),")")</f>
        <v/>
      </c>
      <c r="C9" s="838" t="n"/>
      <c r="D9" s="838" t="n"/>
      <c r="E9" s="838" t="n"/>
      <c r="F9" s="838" t="n"/>
      <c r="G9" s="838" t="n"/>
      <c r="H9" s="838" t="n"/>
      <c r="I9" s="838" t="n"/>
      <c r="J9" s="838" t="n"/>
      <c r="K9" s="838" t="n"/>
      <c r="L9" s="838" t="n"/>
      <c r="M9" s="838" t="n"/>
      <c r="N9" s="838" t="n"/>
      <c r="O9" s="838" t="n"/>
      <c r="P9" s="838" t="n"/>
      <c r="Q9" s="838" t="n"/>
      <c r="R9" s="838" t="n"/>
      <c r="S9" s="838" t="n"/>
      <c r="T9" s="838" t="n"/>
      <c r="U9" s="838" t="n"/>
      <c r="V9" s="838" t="n"/>
      <c r="W9" s="838" t="n"/>
      <c r="X9" s="838" t="n"/>
      <c r="Y9" s="838" t="n"/>
      <c r="Z9" s="838" t="n"/>
      <c r="AA9" s="838" t="n"/>
      <c r="AB9" s="838" t="n"/>
      <c r="AC9" s="838" t="n"/>
      <c r="AD9" s="838" t="n"/>
      <c r="AE9" s="838" t="n"/>
      <c r="AF9" s="838" t="n"/>
      <c r="AG9" s="838" t="n"/>
      <c r="AH9" s="838" t="n"/>
      <c r="AI9" s="838" t="n"/>
      <c r="AJ9" s="838" t="n"/>
      <c r="AK9" s="838" t="n"/>
      <c r="AL9" s="838" t="n"/>
      <c r="AM9" s="838" t="n"/>
      <c r="AN9" s="838" t="n"/>
      <c r="AO9" s="838" t="n"/>
      <c r="AP9" s="838" t="n"/>
      <c r="AQ9" s="838" t="n"/>
      <c r="AR9" s="838" t="n"/>
      <c r="AS9" s="838" t="n"/>
      <c r="AT9" s="838" t="n"/>
      <c r="AU9" s="838" t="n"/>
      <c r="AV9" s="115" t="inlineStr">
        <is>
          <t>DagritmeONLINE Versie  100.53</t>
        </is>
      </c>
      <c r="AW9" s="123" t="n"/>
      <c r="AX9" s="264" t="n"/>
      <c r="AY9" s="264" t="n"/>
      <c r="AZ9" s="264" t="n"/>
      <c r="BA9" s="264" t="n"/>
      <c r="BB9" s="124" t="n"/>
      <c r="BC9" s="838" t="n"/>
      <c r="BD9" s="838" t="n"/>
      <c r="BE9" s="838" t="n"/>
      <c r="BF9" s="838" t="n"/>
      <c r="BG9" s="838" t="n"/>
      <c r="BH9" s="838" t="n"/>
      <c r="BI9" s="838" t="n"/>
      <c r="BJ9" s="838" t="n"/>
      <c r="BK9" s="838" t="n"/>
      <c r="BL9" s="838" t="n"/>
      <c r="BM9" s="838" t="n"/>
      <c r="BN9" s="838" t="n"/>
      <c r="BO9" s="838" t="n"/>
      <c r="BP9" s="838" t="n"/>
      <c r="BQ9" s="21" t="n"/>
      <c r="BR9" s="21" t="n"/>
      <c r="BS9" s="21" t="n"/>
      <c r="BT9" s="21" t="n"/>
      <c r="BU9" s="21" t="n"/>
      <c r="BV9" s="21" t="n"/>
      <c r="BW9" s="21" t="n"/>
      <c r="BX9" s="21" t="n"/>
      <c r="BY9" s="21" t="n"/>
      <c r="BZ9" s="21" t="n"/>
      <c r="CA9" s="21" t="n"/>
      <c r="CB9" s="21" t="n"/>
      <c r="CC9" s="21" t="n"/>
      <c r="CD9" s="21" t="n"/>
      <c r="CE9" s="21" t="n"/>
      <c r="CF9" s="21" t="n"/>
      <c r="CG9" s="21" t="n"/>
      <c r="CH9" s="21" t="n"/>
      <c r="CI9" s="21" t="n"/>
      <c r="CJ9" s="21" t="n"/>
      <c r="CK9" s="21" t="n"/>
      <c r="CL9" s="21" t="n"/>
      <c r="CM9" s="21" t="n"/>
    </row>
    <row r="10" ht="6" customHeight="1">
      <c r="A10" s="160" t="n"/>
      <c r="B10" s="95" t="n"/>
      <c r="C10" s="95" t="n"/>
      <c r="D10" s="95" t="n"/>
      <c r="E10" s="95" t="n"/>
      <c r="F10" s="95" t="n"/>
      <c r="G10" s="95" t="n"/>
      <c r="H10" s="95" t="n"/>
      <c r="I10" s="95" t="n"/>
      <c r="J10" s="95" t="n"/>
      <c r="K10" s="95" t="n"/>
      <c r="L10" s="95" t="n"/>
      <c r="M10" s="95" t="n"/>
      <c r="N10" s="95" t="n"/>
      <c r="O10" s="95" t="n"/>
      <c r="P10" s="95" t="n"/>
      <c r="Q10" s="95" t="n"/>
      <c r="R10" s="95" t="n"/>
      <c r="S10" s="95" t="n"/>
      <c r="T10" s="95" t="n"/>
      <c r="U10" s="95" t="n"/>
      <c r="V10" s="95" t="n"/>
      <c r="W10" s="95" t="n"/>
      <c r="X10" s="95" t="n"/>
      <c r="Y10" s="95" t="n"/>
      <c r="Z10" s="95" t="n"/>
      <c r="AA10" s="95" t="n"/>
      <c r="AB10" s="95" t="n"/>
      <c r="AC10" s="95" t="n"/>
      <c r="AD10" s="95" t="n"/>
      <c r="AE10" s="95" t="n"/>
      <c r="AF10" s="95" t="n"/>
      <c r="AG10" s="95" t="n"/>
      <c r="AH10" s="95" t="n"/>
      <c r="AI10" s="95" t="n"/>
      <c r="AJ10" s="95" t="n"/>
      <c r="AK10" s="95" t="n"/>
      <c r="AL10" s="95" t="n"/>
      <c r="AM10" s="95" t="n"/>
      <c r="AN10" s="95" t="n"/>
      <c r="AO10" s="95" t="n"/>
      <c r="AP10" s="95" t="n"/>
      <c r="AQ10" s="95" t="n"/>
      <c r="AR10" s="95" t="n"/>
      <c r="AS10" s="95" t="n"/>
      <c r="AT10" s="95" t="n"/>
      <c r="AU10" s="95" t="n"/>
      <c r="AV10" s="114" t="n"/>
      <c r="AW10" s="106" t="n"/>
      <c r="AX10" s="745" t="n"/>
      <c r="AY10" s="264" t="n"/>
      <c r="AZ10" s="264" t="n"/>
      <c r="BA10" s="264" t="n"/>
      <c r="BB10" s="838" t="n"/>
      <c r="BC10" s="838" t="n"/>
      <c r="BD10" s="838" t="n"/>
      <c r="BE10" s="838" t="n"/>
      <c r="BF10" s="838" t="n"/>
      <c r="BG10" s="838" t="n"/>
      <c r="BH10" s="838" t="n"/>
      <c r="BI10" s="838" t="n"/>
      <c r="BJ10" s="838" t="n"/>
      <c r="BK10" s="838" t="n"/>
      <c r="BL10" s="838" t="n"/>
      <c r="BM10" s="838" t="n"/>
      <c r="BN10" s="838" t="n"/>
      <c r="BO10" s="838" t="n"/>
      <c r="BP10" s="838" t="n"/>
      <c r="BQ10" s="21" t="n"/>
      <c r="BR10" s="21" t="n"/>
      <c r="BS10" s="21" t="n"/>
      <c r="BT10" s="21" t="n"/>
      <c r="BU10" s="21" t="n"/>
      <c r="BV10" s="21" t="n"/>
      <c r="BW10" s="21" t="n"/>
      <c r="BX10" s="21" t="n"/>
      <c r="BY10" s="21" t="n"/>
      <c r="BZ10" s="21" t="n"/>
      <c r="CA10" s="21" t="n"/>
      <c r="CB10" s="21" t="n"/>
      <c r="CC10" s="21" t="n"/>
      <c r="CD10" s="21" t="n"/>
      <c r="CE10" s="21" t="n"/>
      <c r="CF10" s="21" t="n"/>
      <c r="CG10" s="21" t="n"/>
      <c r="CH10" s="21" t="n"/>
      <c r="CI10" s="21" t="n"/>
      <c r="CJ10" s="21" t="n"/>
      <c r="CK10" s="21" t="n"/>
      <c r="CL10" s="21" t="n"/>
      <c r="CM10" s="21" t="n"/>
    </row>
    <row r="11" hidden="1" ht="13.5" customHeight="1">
      <c r="A11" s="159" t="n"/>
      <c r="B11" s="838" t="n"/>
      <c r="C11" s="95" t="n"/>
      <c r="D11" s="95" t="n"/>
      <c r="E11" s="95" t="n"/>
      <c r="F11" s="23" t="n">
        <v>0.2083333333333333</v>
      </c>
      <c r="G11" s="24" t="n">
        <v>0.2291666666666667</v>
      </c>
      <c r="H11" s="24" t="n">
        <v>0.25</v>
      </c>
      <c r="I11" s="24" t="n">
        <v>0.2708333333333333</v>
      </c>
      <c r="J11" s="24" t="n">
        <v>0.2916666666666667</v>
      </c>
      <c r="K11" s="24" t="n">
        <v>0.3125</v>
      </c>
      <c r="L11" s="24" t="n">
        <v>0.3333333333333333</v>
      </c>
      <c r="M11" s="24" t="n">
        <v>0.3541666666666667</v>
      </c>
      <c r="N11" s="24" t="n">
        <v>0.375</v>
      </c>
      <c r="O11" s="24" t="n">
        <v>0.3958333333333333</v>
      </c>
      <c r="P11" s="24" t="n">
        <v>0.4166666666666667</v>
      </c>
      <c r="Q11" s="24" t="n">
        <v>0.4375</v>
      </c>
      <c r="R11" s="24" t="n">
        <v>0.4583333333333333</v>
      </c>
      <c r="S11" s="24" t="n">
        <v>0.4791666666666667</v>
      </c>
      <c r="T11" s="24" t="n">
        <v>0.5</v>
      </c>
      <c r="U11" s="24" t="n">
        <v>0.5208333333333334</v>
      </c>
      <c r="V11" s="24" t="n">
        <v>0.5416666666666666</v>
      </c>
      <c r="W11" s="24" t="n">
        <v>0.5625</v>
      </c>
      <c r="X11" s="24" t="n">
        <v>0.5833333333333334</v>
      </c>
      <c r="Y11" s="24" t="n">
        <v>0.6041666666666666</v>
      </c>
      <c r="Z11" s="24" t="n">
        <v>0.625</v>
      </c>
      <c r="AA11" s="24" t="n">
        <v>0.6458333333333334</v>
      </c>
      <c r="AB11" s="24" t="n">
        <v>0.6666666666666666</v>
      </c>
      <c r="AC11" s="24" t="n">
        <v>0.6875</v>
      </c>
      <c r="AD11" s="53" t="n">
        <v>0.7083333333333334</v>
      </c>
      <c r="AE11" s="53" t="n">
        <v>0.7291666666666666</v>
      </c>
      <c r="AF11" s="53" t="n">
        <v>0.75</v>
      </c>
      <c r="AG11" s="53" t="n">
        <v>0.7708333333333334</v>
      </c>
      <c r="AH11" s="53" t="n">
        <v>0.7916666666666666</v>
      </c>
      <c r="AI11" s="53" t="n">
        <v>0.8125</v>
      </c>
      <c r="AJ11" s="53" t="n">
        <v>0.8333333333333334</v>
      </c>
      <c r="AK11" s="53" t="n">
        <v>0.8541666666666666</v>
      </c>
      <c r="AL11" s="54" t="n">
        <v>0.875</v>
      </c>
      <c r="AM11" s="55" t="n">
        <v>0.8958333333333334</v>
      </c>
      <c r="AN11" s="25" t="n">
        <v>0.9166666666666666</v>
      </c>
      <c r="AO11" s="55" t="n">
        <v>0.9375</v>
      </c>
      <c r="AP11" s="26" t="n">
        <v>0.9583333333333334</v>
      </c>
      <c r="AQ11" s="27" t="n">
        <v>0.9791666666666666</v>
      </c>
      <c r="AR11" s="719" t="inlineStr">
        <is>
          <t>Beschikbaarheid</t>
        </is>
      </c>
      <c r="AS11" s="264" t="n"/>
      <c r="AT11" s="719" t="n"/>
      <c r="AU11" s="106" t="n"/>
      <c r="AV11" s="116" t="n"/>
      <c r="AW11" s="106" t="n"/>
      <c r="AX11" s="838" t="n"/>
      <c r="AY11" s="17" t="n"/>
      <c r="AZ11" s="18" t="n"/>
      <c r="BA11" s="19" t="n"/>
      <c r="BB11" s="838" t="n"/>
      <c r="BC11" s="838" t="n"/>
      <c r="BD11" s="838" t="n"/>
      <c r="BE11" s="838" t="n"/>
      <c r="BF11" s="838" t="n"/>
      <c r="BG11" s="838" t="n"/>
      <c r="BH11" s="838" t="n"/>
      <c r="BI11" s="838" t="n"/>
      <c r="BJ11" s="838" t="n"/>
      <c r="BK11" s="838" t="n"/>
      <c r="BL11" s="838" t="n"/>
      <c r="BM11" s="838" t="n"/>
      <c r="BN11" s="838" t="n"/>
      <c r="BO11" s="838" t="n"/>
      <c r="BP11" s="838" t="n"/>
      <c r="BQ11" s="21" t="n"/>
      <c r="BR11" s="21" t="n"/>
      <c r="BS11" s="21" t="n"/>
      <c r="BT11" s="21" t="n"/>
      <c r="BU11" s="21" t="n"/>
      <c r="BV11" s="21" t="n"/>
      <c r="BW11" s="21" t="n"/>
      <c r="BX11" s="21" t="n"/>
      <c r="BY11" s="21" t="n"/>
      <c r="BZ11" s="21" t="n"/>
      <c r="CA11" s="21" t="n"/>
      <c r="CB11" s="21" t="n"/>
      <c r="CC11" s="21" t="n"/>
      <c r="CD11" s="21" t="n"/>
      <c r="CE11" s="21" t="n"/>
      <c r="CF11" s="21" t="n"/>
      <c r="CG11" s="21" t="n"/>
      <c r="CH11" s="21" t="n"/>
      <c r="CI11" s="21" t="n"/>
      <c r="CJ11" s="21" t="n"/>
      <c r="CK11" s="21" t="n"/>
      <c r="CL11" s="21" t="n"/>
      <c r="CM11" s="21" t="n"/>
    </row>
    <row r="12" ht="12" customHeight="1">
      <c r="A12" s="160" t="n"/>
      <c r="B12" s="107" t="n"/>
      <c r="C12" s="97" t="inlineStr">
        <is>
          <t>Functie</t>
        </is>
      </c>
      <c r="D12" s="97" t="inlineStr">
        <is>
          <t>Begin</t>
        </is>
      </c>
      <c r="E12" s="97" t="inlineStr">
        <is>
          <t>Eind</t>
        </is>
      </c>
      <c r="F12" s="872" t="n">
        <v>0.2083333333333333</v>
      </c>
      <c r="G12" s="873" t="n"/>
      <c r="H12" s="874" t="n">
        <v>0.25</v>
      </c>
      <c r="I12" s="875" t="n"/>
      <c r="J12" s="874" t="n">
        <v>0.2916666666666667</v>
      </c>
      <c r="K12" s="875" t="n"/>
      <c r="L12" s="874" t="n">
        <v>0.3333333333333333</v>
      </c>
      <c r="M12" s="875" t="n"/>
      <c r="N12" s="874" t="n">
        <v>0.375</v>
      </c>
      <c r="O12" s="875" t="n"/>
      <c r="P12" s="874" t="n">
        <v>0.4166666666666667</v>
      </c>
      <c r="Q12" s="875" t="n"/>
      <c r="R12" s="874" t="n">
        <v>0.4583333333333333</v>
      </c>
      <c r="S12" s="875" t="n"/>
      <c r="T12" s="874" t="n">
        <v>0.5</v>
      </c>
      <c r="U12" s="875" t="n"/>
      <c r="V12" s="874" t="n">
        <v>0.5416666666666666</v>
      </c>
      <c r="W12" s="875" t="n"/>
      <c r="X12" s="874" t="n">
        <v>0.5833333333333334</v>
      </c>
      <c r="Y12" s="875" t="n"/>
      <c r="Z12" s="874" t="n">
        <v>0.625</v>
      </c>
      <c r="AA12" s="875" t="n"/>
      <c r="AB12" s="874" t="n">
        <v>0.6666666666666666</v>
      </c>
      <c r="AC12" s="875" t="n"/>
      <c r="AD12" s="874" t="n">
        <v>0.7083333333333334</v>
      </c>
      <c r="AE12" s="875" t="n"/>
      <c r="AF12" s="876" t="n">
        <v>0.75</v>
      </c>
      <c r="AG12" s="875" t="n"/>
      <c r="AH12" s="874" t="n">
        <v>0.7916666666666666</v>
      </c>
      <c r="AI12" s="875" t="n"/>
      <c r="AJ12" s="874" t="n">
        <v>0.8333333333333334</v>
      </c>
      <c r="AK12" s="875" t="n"/>
      <c r="AL12" s="872" t="n">
        <v>0.875</v>
      </c>
      <c r="AM12" s="873" t="n"/>
      <c r="AN12" s="872" t="n">
        <v>0.9166666666666666</v>
      </c>
      <c r="AO12" s="873" t="n"/>
      <c r="AP12" s="872" t="n">
        <v>0.9583333333333334</v>
      </c>
      <c r="AQ12" s="873" t="n"/>
      <c r="AR12" s="98" t="inlineStr">
        <is>
          <t>Begin</t>
        </is>
      </c>
      <c r="AS12" s="98" t="inlineStr">
        <is>
          <t>Eind</t>
        </is>
      </c>
      <c r="AT12" s="99" t="n"/>
      <c r="AU12" s="432" t="inlineStr">
        <is>
          <t>Afw</t>
        </is>
      </c>
      <c r="AV12" s="433" t="inlineStr">
        <is>
          <t>Uren</t>
        </is>
      </c>
      <c r="AW12" s="100" t="inlineStr">
        <is>
          <t>Cont</t>
        </is>
      </c>
      <c r="AX12" s="101" t="inlineStr">
        <is>
          <t>Week</t>
        </is>
      </c>
      <c r="AY12" s="17" t="n"/>
      <c r="AZ12" s="28" t="n"/>
      <c r="BA12" s="29">
        <f>IF(AY12&lt;99,IF(AY12=0,"",((COUNTIF($E$13:$AQ$61,AY12))/2)),IF(AY12=0,"",((COUNTIF($E$13:$AQ$61,CONCATENATE(AY12,"*")))/2)+(COUNTIF($E$13:$AQ$61,CONCATENATE("x",AY12,"*")))/4))</f>
        <v/>
      </c>
      <c r="BB12" s="838" t="n"/>
      <c r="BC12" s="102" t="inlineStr">
        <is>
          <t>Naam</t>
        </is>
      </c>
      <c r="BD12" s="103" t="n"/>
      <c r="BE12" s="877" t="inlineStr">
        <is>
          <t>Maandag</t>
        </is>
      </c>
      <c r="BF12" s="878" t="n"/>
      <c r="BG12" s="103" t="n"/>
      <c r="BH12" s="103" t="n"/>
      <c r="BI12" s="877" t="inlineStr">
        <is>
          <t>Dinsdag</t>
        </is>
      </c>
      <c r="BJ12" s="878" t="n"/>
      <c r="BK12" s="103" t="n"/>
      <c r="BL12" s="103" t="n"/>
      <c r="BM12" s="877" t="inlineStr">
        <is>
          <t>Woensdag</t>
        </is>
      </c>
      <c r="BN12" s="878" t="n"/>
      <c r="BO12" s="103" t="n"/>
      <c r="BP12" s="103" t="n"/>
      <c r="BQ12" s="877" t="inlineStr">
        <is>
          <t>Donderdag</t>
        </is>
      </c>
      <c r="BR12" s="878" t="n"/>
      <c r="BS12" s="103" t="n"/>
      <c r="BT12" s="103" t="n"/>
      <c r="BU12" s="877" t="inlineStr">
        <is>
          <t>Vrijdag</t>
        </is>
      </c>
      <c r="BV12" s="878" t="n"/>
      <c r="BW12" s="103" t="n"/>
      <c r="BX12" s="103" t="n"/>
      <c r="BY12" s="877" t="inlineStr">
        <is>
          <t>Zaterdag</t>
        </is>
      </c>
      <c r="BZ12" s="878" t="n"/>
      <c r="CA12" s="103" t="n"/>
      <c r="CB12" s="103" t="n"/>
      <c r="CC12" s="877" t="inlineStr">
        <is>
          <t>Zondag</t>
        </is>
      </c>
      <c r="CD12" s="878" t="n"/>
      <c r="CE12" s="103" t="n"/>
      <c r="CF12" s="103" t="n"/>
      <c r="CG12" s="103" t="n"/>
      <c r="CH12" s="103" t="n"/>
      <c r="CI12" s="250">
        <f>"+/-"</f>
        <v/>
      </c>
      <c r="CJ12" s="250">
        <f>CONCATENATE("&lt;",ROUNDUP(Instellingen!$I$8,0))</f>
        <v/>
      </c>
      <c r="CK12" s="250">
        <f>CONCATENATE("&lt;",ROUNDUP(Instellingen!$I$9,0))</f>
        <v/>
      </c>
      <c r="CL12" s="104" t="inlineStr">
        <is>
          <t>Dag</t>
        </is>
      </c>
      <c r="CM12" s="21" t="n"/>
    </row>
    <row r="13" ht="12.75" customHeight="1">
      <c r="A13" s="161">
        <f>IFERROR(IF(VLOOKUP($B13,$BC$13:$CL$86,36,FALSE)&gt;5,0,IF(COUNTIF($B$13:$B$63,$B13)&gt;1,0,1)),1)+IF(B13&lt;&gt;0,0,IF(AV13&gt;0,0.000001,0))</f>
        <v/>
      </c>
      <c r="B13" s="52" t="inlineStr">
        <is>
          <t>Jacco Maas</t>
        </is>
      </c>
      <c r="C13" s="48">
        <f>IFERROR(IF($B13="","",VLOOKUP($B13,Medewerker!$C$8:$AI$107,33,FALSE)),"?")</f>
        <v/>
      </c>
      <c r="D13" s="879">
        <f t="array" ref="D13">IFERROR(IF(LEFT(INDEX($F13:$AQ13,1,SUM(SMALL(IF($F13:$AQ13&lt;&gt;"",COLUMN($F13:$AQ13)),1)-5)),1)="x",SUM(SMALL(IF($F13:$AQ13&lt;&gt;"",$F$11:$AQ$11),1)+"0:15"),SMALL(IF($F13:$AQ13&lt;&gt;"",$F$11:$AQ$11),1)),"")</f>
        <v/>
      </c>
      <c r="E13" s="879">
        <f t="array" ref="E13">IFERROR(IF(LEFT(INDEX($F13:$AQ13,1,SUM(LARGE(IF($F13:$AQ13&lt;&gt;"",COLUMN($F13:$AQ13)),1)-5)),1)="x",SUM(LARGE(IF($F13:$AQ13&lt;&gt;"",$F$11:$AQ$11+"0:30:00"),1)-"0:15"),LARGE(IF($F13:$AQ13&lt;&gt;"",$F$11:$AQ$11+"0:30:00"),1)),"")</f>
        <v/>
      </c>
      <c r="F13" s="37" t="n"/>
      <c r="G13" s="38" t="n"/>
      <c r="H13" s="40" t="inlineStr">
        <is>
          <t>sl</t>
        </is>
      </c>
      <c r="I13" s="41" t="inlineStr">
        <is>
          <t>sl</t>
        </is>
      </c>
      <c r="J13" s="40" t="inlineStr">
        <is>
          <t>sl</t>
        </is>
      </c>
      <c r="K13" s="42" t="inlineStr">
        <is>
          <t>sl</t>
        </is>
      </c>
      <c r="L13" s="43" t="inlineStr">
        <is>
          <t>sl</t>
        </is>
      </c>
      <c r="M13" s="41" t="inlineStr">
        <is>
          <t>sl</t>
        </is>
      </c>
      <c r="N13" s="40" t="inlineStr">
        <is>
          <t>sl</t>
        </is>
      </c>
      <c r="O13" s="42" t="inlineStr">
        <is>
          <t>sl</t>
        </is>
      </c>
      <c r="P13" s="43" t="inlineStr">
        <is>
          <t>p</t>
        </is>
      </c>
      <c r="Q13" s="41" t="inlineStr">
        <is>
          <t>sl</t>
        </is>
      </c>
      <c r="R13" s="40" t="inlineStr">
        <is>
          <t>sl</t>
        </is>
      </c>
      <c r="S13" s="42" t="inlineStr">
        <is>
          <t>sl</t>
        </is>
      </c>
      <c r="T13" s="43" t="inlineStr">
        <is>
          <t>sl</t>
        </is>
      </c>
      <c r="U13" s="41" t="inlineStr">
        <is>
          <t>sl</t>
        </is>
      </c>
      <c r="V13" s="40" t="inlineStr">
        <is>
          <t>sl</t>
        </is>
      </c>
      <c r="W13" s="42" t="n"/>
      <c r="X13" s="43" t="n"/>
      <c r="Y13" s="41" t="n"/>
      <c r="Z13" s="40" t="n"/>
      <c r="AA13" s="42" t="n"/>
      <c r="AB13" s="43" t="n"/>
      <c r="AC13" s="41" t="n"/>
      <c r="AD13" s="40" t="n"/>
      <c r="AE13" s="42" t="n"/>
      <c r="AF13" s="43" t="n"/>
      <c r="AG13" s="41" t="n"/>
      <c r="AH13" s="40" t="n"/>
      <c r="AI13" s="42" t="n"/>
      <c r="AJ13" s="43" t="n"/>
      <c r="AK13" s="41" t="n"/>
      <c r="AL13" s="40" t="n"/>
      <c r="AM13" s="38" t="n"/>
      <c r="AN13" s="644" t="n"/>
      <c r="AO13" s="39" t="n"/>
      <c r="AP13" s="37" t="n"/>
      <c r="AQ13" s="38" t="n"/>
      <c r="AR13" s="880">
        <f>IFERROR(IF(VLOOKUP($B13,Medewerker!$C$8:$M$107,11,FALSE)="",VLOOKUP($B13,Medewerker!$C$8:$M$107,9,FALSE),0),0)</f>
        <v/>
      </c>
      <c r="AS13" s="881">
        <f>IFERROR(IF(B13="",1,IF(VLOOKUP($B13,Medewerker!$C$8:$M$107,11,FALSE)="",VLOOKUP($B13,Medewerker!$C$8:$M$107,10,FALSE),0)),0)</f>
        <v/>
      </c>
      <c r="AT13" s="49" t="n"/>
      <c r="AU13" s="49">
        <f>(COUNTIF(F13:AQ13,"afw"))/2</f>
        <v/>
      </c>
      <c r="AV13" s="111">
        <f>((38-(COUNTIF(F13:AQ13,"")))/2)-(COUNTIF(F13:AQ13,"p")/2)-(COUNTIF(F13:AQ13,CONCATENATE("x","*"))/4)</f>
        <v/>
      </c>
      <c r="AW13" s="70">
        <f>IF($B13="","",VLOOKUP($B13,Medewerker!$C$8:$E$107,3,FALSE))</f>
        <v/>
      </c>
      <c r="AX13" s="404">
        <f>IFERROR(VLOOKUP($B13,Planning!$B$6:$AG$105,32,FALSE)*24,"")</f>
        <v/>
      </c>
      <c r="AY13" s="882" t="inlineStr">
        <is>
          <t>Vullen</t>
        </is>
      </c>
      <c r="AZ13" s="883" t="n"/>
      <c r="BA13" s="884" t="n"/>
      <c r="BB13" s="838" t="n"/>
      <c r="BC13" s="31">
        <f>IF(Planning!B6="","",Planning!B6)</f>
        <v/>
      </c>
      <c r="BD13" s="105" t="n"/>
      <c r="BE13" s="885">
        <f>Planning!E6</f>
        <v/>
      </c>
      <c r="BF13" s="885">
        <f>Planning!F6</f>
        <v/>
      </c>
      <c r="BG13" s="886" t="n"/>
      <c r="BH13" s="105" t="n"/>
      <c r="BI13" s="885">
        <f>Planning!I6</f>
        <v/>
      </c>
      <c r="BJ13" s="885">
        <f>Planning!J6</f>
        <v/>
      </c>
      <c r="BK13" s="886" t="n"/>
      <c r="BL13" s="105" t="n"/>
      <c r="BM13" s="885">
        <f>Planning!M6</f>
        <v/>
      </c>
      <c r="BN13" s="885">
        <f>Planning!N6</f>
        <v/>
      </c>
      <c r="BO13" s="886" t="n"/>
      <c r="BP13" s="105" t="n"/>
      <c r="BQ13" s="885">
        <f>Planning!Q6</f>
        <v/>
      </c>
      <c r="BR13" s="885">
        <f>Planning!R6</f>
        <v/>
      </c>
      <c r="BS13" s="886" t="n"/>
      <c r="BT13" s="105" t="n"/>
      <c r="BU13" s="885">
        <f>Planning!U6</f>
        <v/>
      </c>
      <c r="BV13" s="885">
        <f>Planning!V6</f>
        <v/>
      </c>
      <c r="BW13" s="886" t="n"/>
      <c r="BX13" s="105" t="n"/>
      <c r="BY13" s="885">
        <f>Planning!Y6</f>
        <v/>
      </c>
      <c r="BZ13" s="885">
        <f>Planning!Z6</f>
        <v/>
      </c>
      <c r="CA13" s="886" t="n"/>
      <c r="CB13" s="105" t="n"/>
      <c r="CC13" s="885">
        <f>Planning!AC6</f>
        <v/>
      </c>
      <c r="CD13" s="885">
        <f>Planning!AD6</f>
        <v/>
      </c>
      <c r="CE13" s="886" t="n"/>
      <c r="CF13" s="105" t="n"/>
      <c r="CG13" s="887">
        <f>Planning!AG6</f>
        <v/>
      </c>
      <c r="CH13" s="105" t="n"/>
      <c r="CI13" s="252">
        <f>IF(BC13="","",Planning!AI6)</f>
        <v/>
      </c>
      <c r="CJ13" s="252">
        <f>IF(BC13="","",Planning!AJ6)</f>
        <v/>
      </c>
      <c r="CK13" s="252">
        <f>IF(BC13="","",Planning!AK6)</f>
        <v/>
      </c>
      <c r="CL13" s="252">
        <f>IF(BC13="","",Planning!AH6)</f>
        <v/>
      </c>
      <c r="CM13" s="21" t="n"/>
    </row>
    <row r="14" ht="12.75" customHeight="1">
      <c r="A14" s="161">
        <f>IFERROR(IF(VLOOKUP($B14,$BC$13:$CL$86,36,FALSE)&gt;5,0,IF(COUNTIF($B$13:$B$63,$B14)&gt;1,0,2)),2)+IF(B14&lt;&gt;0,0,IF(AV14&gt;0,0.000001,0))</f>
        <v/>
      </c>
      <c r="B14" s="52" t="inlineStr">
        <is>
          <t>Stefan</t>
        </is>
      </c>
      <c r="C14" s="48">
        <f>IFERROR(IF($B14="","",VLOOKUP($B14,Medewerker!$C$8:$AI$107,33,FALSE)),"?")</f>
        <v/>
      </c>
      <c r="D14" s="879">
        <f t="array" ref="D14">IFERROR(IF(LEFT(INDEX($F14:$AQ14,1,SUM(SMALL(IF($F14:$AQ14&lt;&gt;"",COLUMN($F14:$AQ14)),1)-5)),1)="x",SUM(SMALL(IF($F14:$AQ14&lt;&gt;"",$F$11:$AQ$11),1)+"0:15"),SMALL(IF($F14:$AQ14&lt;&gt;"",$F$11:$AQ$11),1)),"")</f>
        <v/>
      </c>
      <c r="E14" s="879">
        <f t="array" ref="E14">IFERROR(IF(LEFT(INDEX($F14:$AQ14,1,SUM(LARGE(IF($F14:$AQ14&lt;&gt;"",COLUMN($F14:$AQ14)),1)-5)),1)="x",SUM(LARGE(IF($F14:$AQ14&lt;&gt;"",$F$11:$AQ$11+"0:30:00"),1)-"0:15"),LARGE(IF($F14:$AQ14&lt;&gt;"",$F$11:$AQ$11+"0:30:00"),1)),"")</f>
        <v/>
      </c>
      <c r="F14" s="40" t="n"/>
      <c r="G14" s="41" t="n"/>
      <c r="H14" s="41" t="n"/>
      <c r="I14" s="41" t="n"/>
      <c r="J14" s="41" t="n"/>
      <c r="K14" s="41" t="n"/>
      <c r="L14" s="40" t="inlineStr">
        <is>
          <t>sl</t>
        </is>
      </c>
      <c r="M14" s="41" t="inlineStr">
        <is>
          <t>sl</t>
        </is>
      </c>
      <c r="N14" s="40" t="inlineStr">
        <is>
          <t>sl</t>
        </is>
      </c>
      <c r="O14" s="42" t="inlineStr">
        <is>
          <t>sl</t>
        </is>
      </c>
      <c r="P14" s="43" t="inlineStr">
        <is>
          <t>sl</t>
        </is>
      </c>
      <c r="Q14" s="41" t="inlineStr">
        <is>
          <t>sl</t>
        </is>
      </c>
      <c r="R14" s="40" t="inlineStr">
        <is>
          <t>sl</t>
        </is>
      </c>
      <c r="S14" s="42" t="inlineStr">
        <is>
          <t>sl</t>
        </is>
      </c>
      <c r="T14" s="43" t="inlineStr">
        <is>
          <t>p</t>
        </is>
      </c>
      <c r="U14" s="41" t="inlineStr">
        <is>
          <t>sl</t>
        </is>
      </c>
      <c r="V14" s="40" t="inlineStr">
        <is>
          <t>sl</t>
        </is>
      </c>
      <c r="W14" s="42" t="inlineStr">
        <is>
          <t>sl</t>
        </is>
      </c>
      <c r="X14" s="43" t="inlineStr">
        <is>
          <t>sl</t>
        </is>
      </c>
      <c r="Y14" s="41" t="inlineStr">
        <is>
          <t>sl</t>
        </is>
      </c>
      <c r="Z14" s="40" t="inlineStr">
        <is>
          <t>sl</t>
        </is>
      </c>
      <c r="AA14" s="42" t="n"/>
      <c r="AB14" s="43" t="n"/>
      <c r="AC14" s="41" t="n"/>
      <c r="AD14" s="40" t="n"/>
      <c r="AE14" s="42" t="n"/>
      <c r="AF14" s="43" t="n"/>
      <c r="AG14" s="41" t="n"/>
      <c r="AH14" s="40" t="n"/>
      <c r="AI14" s="42" t="n"/>
      <c r="AJ14" s="43" t="n"/>
      <c r="AK14" s="41" t="n"/>
      <c r="AL14" s="40" t="n"/>
      <c r="AM14" s="41" t="n"/>
      <c r="AN14" s="645" t="n"/>
      <c r="AO14" s="42" t="n"/>
      <c r="AP14" s="40" t="n"/>
      <c r="AQ14" s="41" t="n"/>
      <c r="AR14" s="888">
        <f>IFERROR(IF(VLOOKUP($B14,Medewerker!$C$8:$M$107,11,FALSE)="",VLOOKUP($B14,Medewerker!$C$8:$M$107,9,FALSE),0),0)</f>
        <v/>
      </c>
      <c r="AS14" s="889">
        <f>IFERROR(IF(B14="",1,IF(VLOOKUP($B14,Medewerker!$C$8:$M$107,11,FALSE)="",VLOOKUP($B14,Medewerker!$C$8:$M$107,10,FALSE),0)),0)</f>
        <v/>
      </c>
      <c r="AT14" s="30" t="n"/>
      <c r="AU14" s="30">
        <f>(COUNTIF(F14:AQ14,"afw"))/2</f>
        <v/>
      </c>
      <c r="AV14" s="111">
        <f>((38-(COUNTIF(F14:AQ14,"")))/2)-(COUNTIF(F14:AQ14,"p")/2)-(COUNTIF(F14:AQ14,CONCATENATE("x","*"))/4)</f>
        <v/>
      </c>
      <c r="AW14" s="73">
        <f>IF($B14="","",VLOOKUP($B14,Medewerker!$C$8:$E$107,3,FALSE))</f>
        <v/>
      </c>
      <c r="AX14" s="403">
        <f>IFERROR(VLOOKUP($B14,Planning!$B$6:$AG$105,32,FALSE)*24,"")</f>
        <v/>
      </c>
      <c r="AY14" s="406" t="inlineStr">
        <is>
          <t>hv</t>
        </is>
      </c>
      <c r="AZ14" s="166" t="inlineStr">
        <is>
          <t>Houdbaar vullen</t>
        </is>
      </c>
      <c r="BA14" s="111">
        <f>COUNTIF($F$13:$AQ$63,CONCATENATE(AY14,"*"))/2+COUNTIF($F$13:$AQ$63,CONCATENATE("x",AY14,"*"))/4</f>
        <v/>
      </c>
      <c r="BB14" s="838" t="n"/>
      <c r="BC14" s="31">
        <f>IF(Planning!B7="","",Planning!B7)</f>
        <v/>
      </c>
      <c r="BD14" s="105" t="n"/>
      <c r="BE14" s="885">
        <f>Planning!E7</f>
        <v/>
      </c>
      <c r="BF14" s="885">
        <f>Planning!F7</f>
        <v/>
      </c>
      <c r="BG14" s="886" t="n"/>
      <c r="BH14" s="105" t="n"/>
      <c r="BI14" s="885">
        <f>Planning!I7</f>
        <v/>
      </c>
      <c r="BJ14" s="885">
        <f>Planning!J7</f>
        <v/>
      </c>
      <c r="BK14" s="886" t="n"/>
      <c r="BL14" s="105" t="n"/>
      <c r="BM14" s="885">
        <f>Planning!M7</f>
        <v/>
      </c>
      <c r="BN14" s="885">
        <f>Planning!N7</f>
        <v/>
      </c>
      <c r="BO14" s="886" t="n"/>
      <c r="BP14" s="105" t="n"/>
      <c r="BQ14" s="885">
        <f>Planning!Q7</f>
        <v/>
      </c>
      <c r="BR14" s="885">
        <f>Planning!R7</f>
        <v/>
      </c>
      <c r="BS14" s="886" t="n"/>
      <c r="BT14" s="105" t="n"/>
      <c r="BU14" s="885">
        <f>Planning!U7</f>
        <v/>
      </c>
      <c r="BV14" s="885">
        <f>Planning!V7</f>
        <v/>
      </c>
      <c r="BW14" s="886" t="n"/>
      <c r="BX14" s="105" t="n"/>
      <c r="BY14" s="885">
        <f>Planning!Y7</f>
        <v/>
      </c>
      <c r="BZ14" s="885">
        <f>Planning!Z7</f>
        <v/>
      </c>
      <c r="CA14" s="886" t="n"/>
      <c r="CB14" s="105" t="n"/>
      <c r="CC14" s="885">
        <f>Planning!AC7</f>
        <v/>
      </c>
      <c r="CD14" s="885">
        <f>Planning!AD7</f>
        <v/>
      </c>
      <c r="CE14" s="886" t="n"/>
      <c r="CF14" s="105" t="n"/>
      <c r="CG14" s="887">
        <f>Planning!AG7</f>
        <v/>
      </c>
      <c r="CH14" s="105" t="n"/>
      <c r="CI14" s="252">
        <f>IF(BC14="","",Planning!AI7)</f>
        <v/>
      </c>
      <c r="CJ14" s="252">
        <f>IF(BC14="","",Planning!AJ7)</f>
        <v/>
      </c>
      <c r="CK14" s="252">
        <f>IF(BC14="","",Planning!AK7)</f>
        <v/>
      </c>
      <c r="CL14" s="252">
        <f>IF(BC14="","",Planning!AH7)</f>
        <v/>
      </c>
      <c r="CM14" s="21" t="n"/>
    </row>
    <row r="15" ht="12.75" customHeight="1">
      <c r="A15" s="161">
        <f>IFERROR(IF(VLOOKUP($B15,$BC$13:$CL$86,36,FALSE)&gt;5,0,IF(COUNTIF($B$13:$B$63,$B15)&gt;1,0,3)),3)+IF(B15&lt;&gt;0,0,IF(AV15&gt;0,0.000001,0))</f>
        <v/>
      </c>
      <c r="B15" s="52" t="inlineStr">
        <is>
          <t>Sam Viravouth</t>
        </is>
      </c>
      <c r="C15" s="48">
        <f>IFERROR(IF($B15="","",VLOOKUP($B15,Medewerker!$C$8:$AI$107,33,FALSE)),"?")</f>
        <v/>
      </c>
      <c r="D15" s="879">
        <f t="array" ref="D15">IFERROR(IF(LEFT(INDEX($F15:$AQ15,1,SUM(SMALL(IF($F15:$AQ15&lt;&gt;"",COLUMN($F15:$AQ15)),1)-5)),1)="x",SUM(SMALL(IF($F15:$AQ15&lt;&gt;"",$F$11:$AQ$11),1)+"0:15"),SMALL(IF($F15:$AQ15&lt;&gt;"",$F$11:$AQ$11),1)),"")</f>
        <v/>
      </c>
      <c r="E15" s="879">
        <f t="array" ref="E15">IFERROR(IF(LEFT(INDEX($F15:$AQ15,1,SUM(LARGE(IF($F15:$AQ15&lt;&gt;"",COLUMN($F15:$AQ15)),1)-5)),1)="x",SUM(LARGE(IF($F15:$AQ15&lt;&gt;"",$F$11:$AQ$11+"0:30:00"),1)-"0:15"),LARGE(IF($F15:$AQ15&lt;&gt;"",$F$11:$AQ$11+"0:30:00"),1)),"")</f>
        <v/>
      </c>
      <c r="F15" s="40" t="n"/>
      <c r="G15" s="41" t="n"/>
      <c r="H15" s="40" t="n"/>
      <c r="I15" s="41" t="n"/>
      <c r="J15" s="40" t="n"/>
      <c r="K15" s="42" t="n"/>
      <c r="L15" s="43" t="n"/>
      <c r="M15" s="41" t="n"/>
      <c r="N15" s="40" t="n"/>
      <c r="O15" s="42" t="n"/>
      <c r="P15" s="43" t="n"/>
      <c r="Q15" s="41" t="n"/>
      <c r="R15" s="40" t="n"/>
      <c r="S15" s="42" t="n"/>
      <c r="T15" s="43" t="n"/>
      <c r="U15" s="41" t="n"/>
      <c r="V15" s="40" t="inlineStr">
        <is>
          <t>sl</t>
        </is>
      </c>
      <c r="W15" s="42" t="inlineStr">
        <is>
          <t>sl</t>
        </is>
      </c>
      <c r="X15" s="43" t="inlineStr">
        <is>
          <t>sl</t>
        </is>
      </c>
      <c r="Y15" s="41" t="inlineStr">
        <is>
          <t>sl</t>
        </is>
      </c>
      <c r="Z15" s="40" t="inlineStr">
        <is>
          <t>sl</t>
        </is>
      </c>
      <c r="AA15" s="42" t="inlineStr">
        <is>
          <t>sl</t>
        </is>
      </c>
      <c r="AB15" s="43" t="inlineStr">
        <is>
          <t>sl</t>
        </is>
      </c>
      <c r="AC15" s="41" t="inlineStr">
        <is>
          <t>sl</t>
        </is>
      </c>
      <c r="AD15" s="40" t="inlineStr">
        <is>
          <t>p</t>
        </is>
      </c>
      <c r="AE15" s="42" t="inlineStr">
        <is>
          <t>sl</t>
        </is>
      </c>
      <c r="AF15" s="43" t="inlineStr">
        <is>
          <t>sl</t>
        </is>
      </c>
      <c r="AG15" s="41" t="inlineStr">
        <is>
          <t>sl</t>
        </is>
      </c>
      <c r="AH15" s="40" t="inlineStr">
        <is>
          <t>sl</t>
        </is>
      </c>
      <c r="AI15" s="42" t="inlineStr">
        <is>
          <t>sl</t>
        </is>
      </c>
      <c r="AJ15" s="43" t="inlineStr">
        <is>
          <t>sl</t>
        </is>
      </c>
      <c r="AK15" s="41" t="inlineStr">
        <is>
          <t>sl</t>
        </is>
      </c>
      <c r="AL15" s="40" t="n"/>
      <c r="AM15" s="41" t="n"/>
      <c r="AN15" s="645" t="n"/>
      <c r="AO15" s="42" t="n"/>
      <c r="AP15" s="40" t="n"/>
      <c r="AQ15" s="41" t="n"/>
      <c r="AR15" s="888">
        <f>IFERROR(IF(VLOOKUP($B15,Medewerker!$C$8:$M$107,11,FALSE)="",VLOOKUP($B15,Medewerker!$C$8:$M$107,9,FALSE),0),0)</f>
        <v/>
      </c>
      <c r="AS15" s="889">
        <f>IFERROR(IF(B15="",1,IF(VLOOKUP($B15,Medewerker!$C$8:$M$107,11,FALSE)="",VLOOKUP($B15,Medewerker!$C$8:$M$107,10,FALSE),0)),0)</f>
        <v/>
      </c>
      <c r="AT15" s="30" t="n"/>
      <c r="AU15" s="30">
        <f>(COUNTIF(F15:AQ15,"afw"))/2</f>
        <v/>
      </c>
      <c r="AV15" s="111">
        <f>((38-(COUNTIF(F15:AQ15,"")))/2)-(COUNTIF(F15:AQ15,"p")/2)-(COUNTIF(F15:AQ15,CONCATENATE("x","*"))/4)</f>
        <v/>
      </c>
      <c r="AW15" s="73">
        <f>IF($B15="","",VLOOKUP($B15,Medewerker!$C$8:$E$107,3,FALSE))</f>
        <v/>
      </c>
      <c r="AX15" s="403">
        <f>IFERROR(VLOOKUP($B15,Planning!$B$6:$AG$105,32,FALSE)*24,"")</f>
        <v/>
      </c>
      <c r="AY15" s="406" t="inlineStr">
        <is>
          <t>dv</t>
        </is>
      </c>
      <c r="AZ15" s="166" t="inlineStr">
        <is>
          <t>Diepvries vullen</t>
        </is>
      </c>
      <c r="BA15" s="111">
        <f>COUNTIF($F$13:$AQ$63,CONCATENATE(AY15,"*"))/2+COUNTIF($F$13:$AQ$63,CONCATENATE("x",AY15,"*"))/4</f>
        <v/>
      </c>
      <c r="BB15" s="838" t="n"/>
      <c r="BC15" s="31">
        <f>IF(Planning!B8="","",Planning!B8)</f>
        <v/>
      </c>
      <c r="BD15" s="105" t="n"/>
      <c r="BE15" s="885">
        <f>Planning!E8</f>
        <v/>
      </c>
      <c r="BF15" s="885">
        <f>Planning!F8</f>
        <v/>
      </c>
      <c r="BG15" s="886" t="n"/>
      <c r="BH15" s="105" t="n"/>
      <c r="BI15" s="885">
        <f>Planning!I8</f>
        <v/>
      </c>
      <c r="BJ15" s="885">
        <f>Planning!J8</f>
        <v/>
      </c>
      <c r="BK15" s="886" t="n"/>
      <c r="BL15" s="105" t="n"/>
      <c r="BM15" s="885">
        <f>Planning!M8</f>
        <v/>
      </c>
      <c r="BN15" s="885">
        <f>Planning!N8</f>
        <v/>
      </c>
      <c r="BO15" s="886" t="n"/>
      <c r="BP15" s="105" t="n"/>
      <c r="BQ15" s="885">
        <f>Planning!Q8</f>
        <v/>
      </c>
      <c r="BR15" s="885">
        <f>Planning!R8</f>
        <v/>
      </c>
      <c r="BS15" s="886" t="n"/>
      <c r="BT15" s="105" t="n"/>
      <c r="BU15" s="885">
        <f>Planning!U8</f>
        <v/>
      </c>
      <c r="BV15" s="885">
        <f>Planning!V8</f>
        <v/>
      </c>
      <c r="BW15" s="886" t="n"/>
      <c r="BX15" s="105" t="n"/>
      <c r="BY15" s="885">
        <f>Planning!Y8</f>
        <v/>
      </c>
      <c r="BZ15" s="885">
        <f>Planning!Z8</f>
        <v/>
      </c>
      <c r="CA15" s="886" t="n"/>
      <c r="CB15" s="105" t="n"/>
      <c r="CC15" s="885">
        <f>Planning!AC8</f>
        <v/>
      </c>
      <c r="CD15" s="885">
        <f>Planning!AD8</f>
        <v/>
      </c>
      <c r="CE15" s="886" t="n"/>
      <c r="CF15" s="105" t="n"/>
      <c r="CG15" s="887">
        <f>Planning!AG8</f>
        <v/>
      </c>
      <c r="CH15" s="105" t="n"/>
      <c r="CI15" s="252">
        <f>IF(BC15="","",Planning!AI8)</f>
        <v/>
      </c>
      <c r="CJ15" s="252">
        <f>IF(BC15="","",Planning!AJ8)</f>
        <v/>
      </c>
      <c r="CK15" s="252">
        <f>IF(BC15="","",Planning!AK8)</f>
        <v/>
      </c>
      <c r="CL15" s="252">
        <f>IF(BC15="","",Planning!AH8)</f>
        <v/>
      </c>
      <c r="CM15" s="21" t="n"/>
    </row>
    <row r="16" ht="12.75" customHeight="1">
      <c r="A16" s="161">
        <f>IFERROR(IF(VLOOKUP($B16,$BC$13:$CL$86,36,FALSE)&gt;5,0,IF(COUNTIF($B$13:$B$63,$B16)&gt;1,0,4)),4)+IF(B16&lt;&gt;0,0,IF(AV16&gt;0,0.000001,0))</f>
        <v/>
      </c>
      <c r="B16" s="52" t="n"/>
      <c r="C16" s="48">
        <f>IFERROR(IF($B16="","",VLOOKUP($B16,Medewerker!$C$8:$AI$107,33,FALSE)),"?")</f>
        <v/>
      </c>
      <c r="D16" s="879">
        <f t="array" ref="D16">IFERROR(IF(LEFT(INDEX($F16:$AQ16,1,SUM(SMALL(IF($F16:$AQ16&lt;&gt;"",COLUMN($F16:$AQ16)),1)-5)),1)="x",SUM(SMALL(IF($F16:$AQ16&lt;&gt;"",$F$11:$AQ$11),1)+"0:15"),SMALL(IF($F16:$AQ16&lt;&gt;"",$F$11:$AQ$11),1)),"")</f>
        <v/>
      </c>
      <c r="E16" s="879">
        <f t="array" ref="E16">IFERROR(IF(LEFT(INDEX($F16:$AQ16,1,SUM(LARGE(IF($F16:$AQ16&lt;&gt;"",COLUMN($F16:$AQ16)),1)-5)),1)="x",SUM(LARGE(IF($F16:$AQ16&lt;&gt;"",$F$11:$AQ$11+"0:30:00"),1)-"0:15"),LARGE(IF($F16:$AQ16&lt;&gt;"",$F$11:$AQ$11+"0:30:00"),1)),"")</f>
        <v/>
      </c>
      <c r="F16" s="40" t="n"/>
      <c r="G16" s="41" t="n"/>
      <c r="H16" s="40" t="n"/>
      <c r="I16" s="41" t="n"/>
      <c r="J16" s="40" t="n"/>
      <c r="K16" s="42" t="n"/>
      <c r="L16" s="43" t="n"/>
      <c r="M16" s="41" t="n"/>
      <c r="N16" s="40" t="n"/>
      <c r="O16" s="42" t="n"/>
      <c r="P16" s="43" t="n"/>
      <c r="Q16" s="41" t="n"/>
      <c r="R16" s="40" t="n"/>
      <c r="S16" s="42" t="n"/>
      <c r="T16" s="43" t="n"/>
      <c r="U16" s="41" t="n"/>
      <c r="V16" s="40" t="n"/>
      <c r="W16" s="42" t="n"/>
      <c r="X16" s="43" t="n"/>
      <c r="Y16" s="41" t="n"/>
      <c r="Z16" s="40" t="n"/>
      <c r="AA16" s="42" t="n"/>
      <c r="AB16" s="43" t="n"/>
      <c r="AC16" s="41" t="n"/>
      <c r="AD16" s="40" t="n"/>
      <c r="AE16" s="42" t="n"/>
      <c r="AF16" s="43" t="n"/>
      <c r="AG16" s="41" t="n"/>
      <c r="AH16" s="40" t="n"/>
      <c r="AI16" s="42" t="n"/>
      <c r="AJ16" s="43" t="n"/>
      <c r="AK16" s="41" t="n"/>
      <c r="AL16" s="40" t="n"/>
      <c r="AM16" s="41" t="n"/>
      <c r="AN16" s="645" t="n"/>
      <c r="AO16" s="42" t="n"/>
      <c r="AP16" s="40" t="n"/>
      <c r="AQ16" s="41" t="n"/>
      <c r="AR16" s="888">
        <f>IFERROR(IF(VLOOKUP($B16,Medewerker!$C$8:$M$107,11,FALSE)="",VLOOKUP($B16,Medewerker!$C$8:$M$107,9,FALSE),0),0)</f>
        <v/>
      </c>
      <c r="AS16" s="889">
        <f>IFERROR(IF(B16="",1,IF(VLOOKUP($B16,Medewerker!$C$8:$M$107,11,FALSE)="",VLOOKUP($B16,Medewerker!$C$8:$M$107,10,FALSE),0)),0)</f>
        <v/>
      </c>
      <c r="AT16" s="30" t="n"/>
      <c r="AU16" s="30">
        <f>(COUNTIF(F16:AQ16,"afw"))/2</f>
        <v/>
      </c>
      <c r="AV16" s="111">
        <f>((38-(COUNTIF(F16:AQ16,"")))/2)-(COUNTIF(F16:AQ16,"p")/2)-(COUNTIF(F16:AQ16,CONCATENATE("x","*"))/4)</f>
        <v/>
      </c>
      <c r="AW16" s="73">
        <f>IF($B16="","",VLOOKUP($B16,Medewerker!$C$8:$E$107,3,FALSE))</f>
        <v/>
      </c>
      <c r="AX16" s="403">
        <f>IFERROR(VLOOKUP($B16,Planning!$B$6:$AG$105,32,FALSE)*24,"")</f>
        <v/>
      </c>
      <c r="AY16" s="406" t="inlineStr">
        <is>
          <t>vv</t>
        </is>
      </c>
      <c r="AZ16" s="166" t="inlineStr">
        <is>
          <t>Vers vullen</t>
        </is>
      </c>
      <c r="BA16" s="111">
        <f>COUNTIF($F$13:$AQ$63,CONCATENATE(AY16,"*"))/2+COUNTIF($F$13:$AQ$63,CONCATENATE("x",AY16,"*"))/4</f>
        <v/>
      </c>
      <c r="BB16" s="838" t="n"/>
      <c r="BC16" s="31">
        <f>IF(Planning!B9="","",Planning!B9)</f>
        <v/>
      </c>
      <c r="BD16" s="105" t="n"/>
      <c r="BE16" s="885">
        <f>Planning!E9</f>
        <v/>
      </c>
      <c r="BF16" s="885">
        <f>Planning!F9</f>
        <v/>
      </c>
      <c r="BG16" s="886" t="n"/>
      <c r="BH16" s="105" t="n"/>
      <c r="BI16" s="885">
        <f>Planning!I9</f>
        <v/>
      </c>
      <c r="BJ16" s="885">
        <f>Planning!J9</f>
        <v/>
      </c>
      <c r="BK16" s="886" t="n"/>
      <c r="BL16" s="105" t="n"/>
      <c r="BM16" s="885">
        <f>Planning!M9</f>
        <v/>
      </c>
      <c r="BN16" s="885">
        <f>Planning!N9</f>
        <v/>
      </c>
      <c r="BO16" s="886" t="n"/>
      <c r="BP16" s="105" t="n"/>
      <c r="BQ16" s="885">
        <f>Planning!Q9</f>
        <v/>
      </c>
      <c r="BR16" s="885">
        <f>Planning!R9</f>
        <v/>
      </c>
      <c r="BS16" s="886" t="n"/>
      <c r="BT16" s="105" t="n"/>
      <c r="BU16" s="885">
        <f>Planning!U9</f>
        <v/>
      </c>
      <c r="BV16" s="885">
        <f>Planning!V9</f>
        <v/>
      </c>
      <c r="BW16" s="886" t="n"/>
      <c r="BX16" s="105" t="n"/>
      <c r="BY16" s="885">
        <f>Planning!Y9</f>
        <v/>
      </c>
      <c r="BZ16" s="885">
        <f>Planning!Z9</f>
        <v/>
      </c>
      <c r="CA16" s="886" t="n"/>
      <c r="CB16" s="105" t="n"/>
      <c r="CC16" s="885">
        <f>Planning!AC9</f>
        <v/>
      </c>
      <c r="CD16" s="885">
        <f>Planning!AD9</f>
        <v/>
      </c>
      <c r="CE16" s="886" t="n"/>
      <c r="CF16" s="105" t="n"/>
      <c r="CG16" s="887">
        <f>Planning!AG9</f>
        <v/>
      </c>
      <c r="CH16" s="105" t="n"/>
      <c r="CI16" s="252">
        <f>IF(BC16="","",Planning!AI9)</f>
        <v/>
      </c>
      <c r="CJ16" s="252">
        <f>IF(BC16="","",Planning!AJ9)</f>
        <v/>
      </c>
      <c r="CK16" s="252">
        <f>IF(BC16="","",Planning!AK9)</f>
        <v/>
      </c>
      <c r="CL16" s="252">
        <f>IF(BC16="","",Planning!AH9)</f>
        <v/>
      </c>
      <c r="CM16" s="21" t="n"/>
    </row>
    <row r="17" ht="12.75" customHeight="1">
      <c r="A17" s="161">
        <f>IFERROR(IF(VLOOKUP($B17,$BC$13:$CL$86,36,FALSE)&gt;5,0,IF(COUNTIF($B$13:$B$63,$B17)&gt;1,0,5)),5)+IF(B17&lt;&gt;0,0,IF(AV17&gt;0,0.000001,0))</f>
        <v/>
      </c>
      <c r="B17" s="52" t="inlineStr">
        <is>
          <t>Nermeen Mamlouk</t>
        </is>
      </c>
      <c r="C17" s="48">
        <f>IFERROR(IF($B17="","",VLOOKUP($B17,Medewerker!$C$8:$AI$107,33,FALSE)),"?")</f>
        <v/>
      </c>
      <c r="D17" s="879">
        <f t="array" ref="D17">IFERROR(IF(LEFT(INDEX($F17:$AQ17,1,SUM(SMALL(IF($F17:$AQ17&lt;&gt;"",COLUMN($F17:$AQ17)),1)-5)),1)="x",SUM(SMALL(IF($F17:$AQ17&lt;&gt;"",$F$11:$AQ$11),1)+"0:15"),SMALL(IF($F17:$AQ17&lt;&gt;"",$F$11:$AQ$11),1)),"")</f>
        <v/>
      </c>
      <c r="E17" s="879">
        <f t="array" ref="E17">IFERROR(IF(LEFT(INDEX($F17:$AQ17,1,SUM(LARGE(IF($F17:$AQ17&lt;&gt;"",COLUMN($F17:$AQ17)),1)-5)),1)="x",SUM(LARGE(IF($F17:$AQ17&lt;&gt;"",$F$11:$AQ$11+"0:30:00"),1)-"0:15"),LARGE(IF($F17:$AQ17&lt;&gt;"",$F$11:$AQ$11+"0:30:00"),1)),"")</f>
        <v/>
      </c>
      <c r="F17" s="40" t="n"/>
      <c r="G17" s="41" t="n"/>
      <c r="H17" s="40" t="inlineStr">
        <is>
          <t>cb</t>
        </is>
      </c>
      <c r="I17" s="41" t="inlineStr">
        <is>
          <t>cb</t>
        </is>
      </c>
      <c r="J17" s="40" t="inlineStr">
        <is>
          <t>cb</t>
        </is>
      </c>
      <c r="K17" s="42" t="inlineStr">
        <is>
          <t>cb</t>
        </is>
      </c>
      <c r="L17" s="43" t="inlineStr">
        <is>
          <t>cb</t>
        </is>
      </c>
      <c r="M17" s="41" t="inlineStr">
        <is>
          <t>cb</t>
        </is>
      </c>
      <c r="N17" s="40" t="inlineStr">
        <is>
          <t>cb</t>
        </is>
      </c>
      <c r="O17" s="42" t="inlineStr">
        <is>
          <t>cb</t>
        </is>
      </c>
      <c r="P17" s="43" t="inlineStr">
        <is>
          <t>p</t>
        </is>
      </c>
      <c r="Q17" s="41" t="inlineStr">
        <is>
          <t>hv</t>
        </is>
      </c>
      <c r="R17" s="40" t="inlineStr">
        <is>
          <t>hv</t>
        </is>
      </c>
      <c r="S17" s="42" t="inlineStr">
        <is>
          <t>hv</t>
        </is>
      </c>
      <c r="T17" s="43" t="inlineStr">
        <is>
          <t>hv</t>
        </is>
      </c>
      <c r="U17" s="41" t="n"/>
      <c r="V17" s="40" t="n"/>
      <c r="W17" s="42" t="n"/>
      <c r="X17" s="43" t="n"/>
      <c r="Y17" s="41" t="n"/>
      <c r="Z17" s="40" t="n"/>
      <c r="AA17" s="42" t="n"/>
      <c r="AB17" s="43" t="n"/>
      <c r="AC17" s="41" t="n"/>
      <c r="AD17" s="40" t="n"/>
      <c r="AE17" s="42" t="n"/>
      <c r="AF17" s="43" t="n"/>
      <c r="AG17" s="41" t="n"/>
      <c r="AH17" s="40" t="n"/>
      <c r="AI17" s="42" t="n"/>
      <c r="AJ17" s="43" t="n"/>
      <c r="AK17" s="41" t="n"/>
      <c r="AL17" s="40" t="n"/>
      <c r="AM17" s="41" t="n"/>
      <c r="AN17" s="645" t="n"/>
      <c r="AO17" s="42" t="n"/>
      <c r="AP17" s="40" t="n"/>
      <c r="AQ17" s="41" t="n"/>
      <c r="AR17" s="888">
        <f>IFERROR(IF(VLOOKUP($B17,Medewerker!$C$8:$M$107,11,FALSE)="",VLOOKUP($B17,Medewerker!$C$8:$M$107,9,FALSE),0),0)</f>
        <v/>
      </c>
      <c r="AS17" s="889">
        <f>IFERROR(IF(B17="",1,IF(VLOOKUP($B17,Medewerker!$C$8:$M$107,11,FALSE)="",VLOOKUP($B17,Medewerker!$C$8:$M$107,10,FALSE),0)),0)</f>
        <v/>
      </c>
      <c r="AT17" s="30" t="n"/>
      <c r="AU17" s="30">
        <f>(COUNTIF(F17:AQ17,"afw"))/2</f>
        <v/>
      </c>
      <c r="AV17" s="111">
        <f>((38-(COUNTIF(F17:AQ17,"")))/2)-(COUNTIF(F17:AQ17,"p")/2)-(COUNTIF(F17:AQ17,CONCATENATE("x","*"))/4)</f>
        <v/>
      </c>
      <c r="AW17" s="73">
        <f>IF($B17="","",VLOOKUP($B17,Medewerker!$C$8:$E$107,3,FALSE))</f>
        <v/>
      </c>
      <c r="AX17" s="403">
        <f>IFERROR(VLOOKUP($B17,Planning!$B$6:$AG$105,32,FALSE)*24,"")</f>
        <v/>
      </c>
      <c r="AY17" s="406" t="inlineStr">
        <is>
          <t>nh</t>
        </is>
      </c>
      <c r="AZ17" s="166" t="inlineStr">
        <is>
          <t>Navulling HB</t>
        </is>
      </c>
      <c r="BA17" s="111">
        <f>COUNTIF($F$13:$AQ$63,CONCATENATE(AY17,"*"))/2+COUNTIF($F$13:$AQ$63,CONCATENATE("x",AY17,"*"))/4</f>
        <v/>
      </c>
      <c r="BB17" s="838" t="n"/>
      <c r="BC17" s="31">
        <f>IF(Planning!B10="","",Planning!B10)</f>
        <v/>
      </c>
      <c r="BD17" s="105" t="n"/>
      <c r="BE17" s="885">
        <f>Planning!E10</f>
        <v/>
      </c>
      <c r="BF17" s="885">
        <f>Planning!F10</f>
        <v/>
      </c>
      <c r="BG17" s="886" t="n"/>
      <c r="BH17" s="105" t="n"/>
      <c r="BI17" s="885">
        <f>Planning!I10</f>
        <v/>
      </c>
      <c r="BJ17" s="885">
        <f>Planning!J10</f>
        <v/>
      </c>
      <c r="BK17" s="886" t="n"/>
      <c r="BL17" s="105" t="n"/>
      <c r="BM17" s="885">
        <f>Planning!M10</f>
        <v/>
      </c>
      <c r="BN17" s="885">
        <f>Planning!N10</f>
        <v/>
      </c>
      <c r="BO17" s="886" t="n"/>
      <c r="BP17" s="105" t="n"/>
      <c r="BQ17" s="885">
        <f>Planning!Q10</f>
        <v/>
      </c>
      <c r="BR17" s="885">
        <f>Planning!R10</f>
        <v/>
      </c>
      <c r="BS17" s="886" t="n"/>
      <c r="BT17" s="105" t="n"/>
      <c r="BU17" s="885">
        <f>Planning!U10</f>
        <v/>
      </c>
      <c r="BV17" s="885">
        <f>Planning!V10</f>
        <v/>
      </c>
      <c r="BW17" s="886" t="n"/>
      <c r="BX17" s="105" t="n"/>
      <c r="BY17" s="885">
        <f>Planning!Y10</f>
        <v/>
      </c>
      <c r="BZ17" s="885">
        <f>Planning!Z10</f>
        <v/>
      </c>
      <c r="CA17" s="886" t="n"/>
      <c r="CB17" s="105" t="n"/>
      <c r="CC17" s="885">
        <f>Planning!AC10</f>
        <v/>
      </c>
      <c r="CD17" s="885">
        <f>Planning!AD10</f>
        <v/>
      </c>
      <c r="CE17" s="886" t="n"/>
      <c r="CF17" s="105" t="n"/>
      <c r="CG17" s="887">
        <f>Planning!AG10</f>
        <v/>
      </c>
      <c r="CH17" s="105" t="n"/>
      <c r="CI17" s="252">
        <f>IF(BC17="","",Planning!AI10)</f>
        <v/>
      </c>
      <c r="CJ17" s="252">
        <f>IF(BC17="","",Planning!AJ10)</f>
        <v/>
      </c>
      <c r="CK17" s="252">
        <f>IF(BC17="","",Planning!AK10)</f>
        <v/>
      </c>
      <c r="CL17" s="252">
        <f>IF(BC17="","",Planning!AH10)</f>
        <v/>
      </c>
      <c r="CM17" s="21" t="n"/>
    </row>
    <row r="18" ht="12.75" customHeight="1">
      <c r="A18" s="161">
        <f>IFERROR(IF(VLOOKUP($B18,$BC$13:$CL$86,36,FALSE)&gt;5,0,IF(COUNTIF($B$13:$B$63,$B18)&gt;1,0,6)),6)+IF(B18&lt;&gt;0,0,IF(AV18&gt;0,0.000001,0))</f>
        <v/>
      </c>
      <c r="B18" s="52" t="n"/>
      <c r="C18" s="48">
        <f>IFERROR(IF($B18="","",VLOOKUP($B18,Medewerker!$C$8:$AI$107,33,FALSE)),"?")</f>
        <v/>
      </c>
      <c r="D18" s="879">
        <f t="array" ref="D18">IFERROR(IF(LEFT(INDEX($F18:$AQ18,1,SUM(SMALL(IF($F18:$AQ18&lt;&gt;"",COLUMN($F18:$AQ18)),1)-5)),1)="x",SUM(SMALL(IF($F18:$AQ18&lt;&gt;"",$F$11:$AQ$11),1)+"0:15"),SMALL(IF($F18:$AQ18&lt;&gt;"",$F$11:$AQ$11),1)),"")</f>
        <v/>
      </c>
      <c r="E18" s="879">
        <f t="array" ref="E18">IFERROR(IF(LEFT(INDEX($F18:$AQ18,1,SUM(LARGE(IF($F18:$AQ18&lt;&gt;"",COLUMN($F18:$AQ18)),1)-5)),1)="x",SUM(LARGE(IF($F18:$AQ18&lt;&gt;"",$F$11:$AQ$11+"0:30:00"),1)-"0:15"),LARGE(IF($F18:$AQ18&lt;&gt;"",$F$11:$AQ$11+"0:30:00"),1)),"")</f>
        <v/>
      </c>
      <c r="F18" s="40" t="n"/>
      <c r="G18" s="41" t="n"/>
      <c r="H18" s="40" t="n"/>
      <c r="I18" s="41" t="n"/>
      <c r="J18" s="40" t="n"/>
      <c r="K18" s="42" t="n"/>
      <c r="L18" s="43" t="n"/>
      <c r="M18" s="41" t="n"/>
      <c r="N18" s="40" t="n"/>
      <c r="O18" s="42" t="n"/>
      <c r="P18" s="43" t="n"/>
      <c r="Q18" s="41" t="n"/>
      <c r="R18" s="40" t="n"/>
      <c r="S18" s="42" t="n"/>
      <c r="T18" s="43" t="n"/>
      <c r="U18" s="41" t="n"/>
      <c r="V18" s="40" t="n"/>
      <c r="W18" s="42" t="n"/>
      <c r="X18" s="43" t="n"/>
      <c r="Y18" s="41" t="n"/>
      <c r="Z18" s="40" t="n"/>
      <c r="AA18" s="42" t="n"/>
      <c r="AB18" s="43" t="n"/>
      <c r="AC18" s="41" t="n"/>
      <c r="AD18" s="40" t="n"/>
      <c r="AE18" s="42" t="n"/>
      <c r="AF18" s="43" t="n"/>
      <c r="AG18" s="41" t="n"/>
      <c r="AH18" s="40" t="n"/>
      <c r="AI18" s="42" t="n"/>
      <c r="AJ18" s="43" t="n"/>
      <c r="AK18" s="41" t="n"/>
      <c r="AL18" s="40" t="n"/>
      <c r="AM18" s="41" t="n"/>
      <c r="AN18" s="645" t="n"/>
      <c r="AO18" s="42" t="n"/>
      <c r="AP18" s="40" t="n"/>
      <c r="AQ18" s="41" t="n"/>
      <c r="AR18" s="888">
        <f>IFERROR(IF(VLOOKUP($B18,Medewerker!$C$8:$M$107,11,FALSE)="",VLOOKUP($B18,Medewerker!$C$8:$M$107,9,FALSE),0),0)</f>
        <v/>
      </c>
      <c r="AS18" s="889">
        <f>IFERROR(IF(B18="",1,IF(VLOOKUP($B18,Medewerker!$C$8:$M$107,11,FALSE)="",VLOOKUP($B18,Medewerker!$C$8:$M$107,10,FALSE),0)),0)</f>
        <v/>
      </c>
      <c r="AT18" s="30" t="n"/>
      <c r="AU18" s="30">
        <f>(COUNTIF(F18:AQ18,"afw"))/2</f>
        <v/>
      </c>
      <c r="AV18" s="111">
        <f>((38-(COUNTIF(F18:AQ18,"")))/2)-(COUNTIF(F18:AQ18,"p")/2)-(COUNTIF(F18:AQ18,CONCATENATE("x","*"))/4)</f>
        <v/>
      </c>
      <c r="AW18" s="73">
        <f>IF($B18="","",VLOOKUP($B18,Medewerker!$C$8:$E$107,3,FALSE))</f>
        <v/>
      </c>
      <c r="AX18" s="403">
        <f>IFERROR(VLOOKUP($B18,Planning!$B$6:$AG$105,32,FALSE)*24,"")</f>
        <v/>
      </c>
      <c r="AY18" s="406" t="inlineStr">
        <is>
          <t>nd</t>
        </is>
      </c>
      <c r="AZ18" s="166" t="inlineStr">
        <is>
          <t>Navulling DV</t>
        </is>
      </c>
      <c r="BA18" s="111">
        <f>COUNTIF($F$13:$AQ$63,CONCATENATE(AY18,"*"))/2+COUNTIF($F$13:$AQ$63,CONCATENATE("x",AY18,"*"))/4</f>
        <v/>
      </c>
      <c r="BB18" s="838" t="n"/>
      <c r="BC18" s="31">
        <f>IF(Planning!B11="","",Planning!B11)</f>
        <v/>
      </c>
      <c r="BD18" s="105" t="n"/>
      <c r="BE18" s="885">
        <f>Planning!E11</f>
        <v/>
      </c>
      <c r="BF18" s="885">
        <f>Planning!F11</f>
        <v/>
      </c>
      <c r="BG18" s="886" t="n"/>
      <c r="BH18" s="105" t="n"/>
      <c r="BI18" s="885">
        <f>Planning!I11</f>
        <v/>
      </c>
      <c r="BJ18" s="885">
        <f>Planning!J11</f>
        <v/>
      </c>
      <c r="BK18" s="886" t="n"/>
      <c r="BL18" s="105" t="n"/>
      <c r="BM18" s="885">
        <f>Planning!M11</f>
        <v/>
      </c>
      <c r="BN18" s="885">
        <f>Planning!N11</f>
        <v/>
      </c>
      <c r="BO18" s="886" t="n"/>
      <c r="BP18" s="105" t="n"/>
      <c r="BQ18" s="885">
        <f>Planning!Q11</f>
        <v/>
      </c>
      <c r="BR18" s="885">
        <f>Planning!R11</f>
        <v/>
      </c>
      <c r="BS18" s="886" t="n"/>
      <c r="BT18" s="105" t="n"/>
      <c r="BU18" s="885">
        <f>Planning!U11</f>
        <v/>
      </c>
      <c r="BV18" s="885">
        <f>Planning!V11</f>
        <v/>
      </c>
      <c r="BW18" s="886" t="n"/>
      <c r="BX18" s="105" t="n"/>
      <c r="BY18" s="885">
        <f>Planning!Y11</f>
        <v/>
      </c>
      <c r="BZ18" s="885">
        <f>Planning!Z11</f>
        <v/>
      </c>
      <c r="CA18" s="886" t="n"/>
      <c r="CB18" s="105" t="n"/>
      <c r="CC18" s="885">
        <f>Planning!AC11</f>
        <v/>
      </c>
      <c r="CD18" s="885">
        <f>Planning!AD11</f>
        <v/>
      </c>
      <c r="CE18" s="886" t="n"/>
      <c r="CF18" s="105" t="n"/>
      <c r="CG18" s="887">
        <f>Planning!AG11</f>
        <v/>
      </c>
      <c r="CH18" s="105" t="n"/>
      <c r="CI18" s="252">
        <f>IF(BC18="","",Planning!AI11)</f>
        <v/>
      </c>
      <c r="CJ18" s="252">
        <f>IF(BC18="","",Planning!AJ11)</f>
        <v/>
      </c>
      <c r="CK18" s="252">
        <f>IF(BC18="","",Planning!AK11)</f>
        <v/>
      </c>
      <c r="CL18" s="252">
        <f>IF(BC18="","",Planning!AH11)</f>
        <v/>
      </c>
      <c r="CM18" s="21" t="n"/>
    </row>
    <row r="19" ht="12.75" customHeight="1">
      <c r="A19" s="161">
        <f>IFERROR(IF(VLOOKUP($B19,$BC$13:$CL$86,36,FALSE)&gt;5,0,IF(COUNTIF($B$13:$B$63,$B19)&gt;1,0,7)),7)+IF(B19&lt;&gt;0,0,IF(AV19&gt;0,0.000001,0))</f>
        <v/>
      </c>
      <c r="B19" s="52" t="inlineStr">
        <is>
          <t>Gretchen</t>
        </is>
      </c>
      <c r="C19" s="48">
        <f>IFERROR(IF($B19="","",VLOOKUP($B19,Medewerker!$C$8:$AI$107,33,FALSE)),"?")</f>
        <v/>
      </c>
      <c r="D19" s="879">
        <f t="array" ref="D19">IFERROR(IF(LEFT(INDEX($F19:$AQ19,1,SUM(SMALL(IF($F19:$AQ19&lt;&gt;"",COLUMN($F19:$AQ19)),1)-5)),1)="x",SUM(SMALL(IF($F19:$AQ19&lt;&gt;"",$F$11:$AQ$11),1)+"0:15"),SMALL(IF($F19:$AQ19&lt;&gt;"",$F$11:$AQ$11),1)),"")</f>
        <v/>
      </c>
      <c r="E19" s="879">
        <f t="array" ref="E19">IFERROR(IF(LEFT(INDEX($F19:$AQ19,1,SUM(LARGE(IF($F19:$AQ19&lt;&gt;"",COLUMN($F19:$AQ19)),1)-5)),1)="x",SUM(LARGE(IF($F19:$AQ19&lt;&gt;"",$F$11:$AQ$11+"0:30:00"),1)-"0:15"),LARGE(IF($F19:$AQ19&lt;&gt;"",$F$11:$AQ$11+"0:30:00"),1)),"")</f>
        <v/>
      </c>
      <c r="F19" s="40" t="n"/>
      <c r="G19" s="41" t="n"/>
      <c r="H19" s="40" t="inlineStr">
        <is>
          <t>km</t>
        </is>
      </c>
      <c r="I19" s="41" t="inlineStr">
        <is>
          <t>km</t>
        </is>
      </c>
      <c r="J19" s="40" t="inlineStr">
        <is>
          <t>km</t>
        </is>
      </c>
      <c r="K19" s="42" t="inlineStr">
        <is>
          <t>km</t>
        </is>
      </c>
      <c r="L19" s="43" t="inlineStr">
        <is>
          <t>km</t>
        </is>
      </c>
      <c r="M19" s="41" t="inlineStr">
        <is>
          <t>km</t>
        </is>
      </c>
      <c r="N19" s="40" t="inlineStr">
        <is>
          <t>km</t>
        </is>
      </c>
      <c r="O19" s="42" t="inlineStr">
        <is>
          <t>p</t>
        </is>
      </c>
      <c r="P19" s="43" t="inlineStr">
        <is>
          <t>km</t>
        </is>
      </c>
      <c r="Q19" s="41" t="inlineStr">
        <is>
          <t>km</t>
        </is>
      </c>
      <c r="R19" s="40" t="inlineStr">
        <is>
          <t>km</t>
        </is>
      </c>
      <c r="S19" s="42" t="inlineStr">
        <is>
          <t>km</t>
        </is>
      </c>
      <c r="T19" s="43" t="inlineStr">
        <is>
          <t>km</t>
        </is>
      </c>
      <c r="U19" s="41" t="inlineStr">
        <is>
          <t>km</t>
        </is>
      </c>
      <c r="V19" s="40" t="inlineStr">
        <is>
          <t>km</t>
        </is>
      </c>
      <c r="W19" s="42" t="n"/>
      <c r="X19" s="43" t="n"/>
      <c r="Y19" s="41" t="n"/>
      <c r="Z19" s="40" t="n"/>
      <c r="AA19" s="42" t="n"/>
      <c r="AB19" s="43" t="n"/>
      <c r="AC19" s="41" t="n"/>
      <c r="AD19" s="40" t="n"/>
      <c r="AE19" s="42" t="n"/>
      <c r="AF19" s="43" t="n"/>
      <c r="AG19" s="41" t="n"/>
      <c r="AH19" s="40" t="n"/>
      <c r="AI19" s="42" t="n"/>
      <c r="AJ19" s="43" t="n"/>
      <c r="AK19" s="41" t="n"/>
      <c r="AL19" s="40" t="n"/>
      <c r="AM19" s="41" t="n"/>
      <c r="AN19" s="645" t="n"/>
      <c r="AO19" s="42" t="n"/>
      <c r="AP19" s="40" t="n"/>
      <c r="AQ19" s="41" t="n"/>
      <c r="AR19" s="888">
        <f>IFERROR(IF(VLOOKUP($B19,Medewerker!$C$8:$M$107,11,FALSE)="",VLOOKUP($B19,Medewerker!$C$8:$M$107,9,FALSE),0),0)</f>
        <v/>
      </c>
      <c r="AS19" s="889">
        <f>IFERROR(IF(B19="",1,IF(VLOOKUP($B19,Medewerker!$C$8:$M$107,11,FALSE)="",VLOOKUP($B19,Medewerker!$C$8:$M$107,10,FALSE),0)),0)</f>
        <v/>
      </c>
      <c r="AT19" s="30" t="n"/>
      <c r="AU19" s="30">
        <f>(COUNTIF(F19:AQ19,"afw"))/2</f>
        <v/>
      </c>
      <c r="AV19" s="111">
        <f>((38-(COUNTIF(F19:AQ19,"")))/2)-(COUNTIF(F19:AQ19,"p")/2)-(COUNTIF(F19:AQ19,CONCATENATE("x","*"))/4)</f>
        <v/>
      </c>
      <c r="AW19" s="73">
        <f>IF($B19="","",VLOOKUP($B19,Medewerker!$C$8:$E$107,3,FALSE))</f>
        <v/>
      </c>
      <c r="AX19" s="403">
        <f>IFERROR(VLOOKUP($B19,Planning!$B$6:$AG$105,32,FALSE)*24,"")</f>
        <v/>
      </c>
      <c r="AY19" s="406" t="inlineStr">
        <is>
          <t>nv</t>
        </is>
      </c>
      <c r="AZ19" s="166" t="inlineStr">
        <is>
          <t>Navulling Vers</t>
        </is>
      </c>
      <c r="BA19" s="111">
        <f>COUNTIF($F$13:$AQ$63,CONCATENATE(AY19,"*"))/2+COUNTIF($F$13:$AQ$63,CONCATENATE("x",AY19,"*"))/4</f>
        <v/>
      </c>
      <c r="BB19" s="838" t="n"/>
      <c r="BC19" s="31">
        <f>IF(Planning!B12="","",Planning!B12)</f>
        <v/>
      </c>
      <c r="BD19" s="105" t="n"/>
      <c r="BE19" s="885">
        <f>Planning!E12</f>
        <v/>
      </c>
      <c r="BF19" s="885">
        <f>Planning!F12</f>
        <v/>
      </c>
      <c r="BG19" s="886" t="n"/>
      <c r="BH19" s="105" t="n"/>
      <c r="BI19" s="885">
        <f>Planning!I12</f>
        <v/>
      </c>
      <c r="BJ19" s="885">
        <f>Planning!J12</f>
        <v/>
      </c>
      <c r="BK19" s="886" t="n"/>
      <c r="BL19" s="105" t="n"/>
      <c r="BM19" s="885">
        <f>Planning!M12</f>
        <v/>
      </c>
      <c r="BN19" s="885">
        <f>Planning!N12</f>
        <v/>
      </c>
      <c r="BO19" s="886" t="n"/>
      <c r="BP19" s="105" t="n"/>
      <c r="BQ19" s="885">
        <f>Planning!Q12</f>
        <v/>
      </c>
      <c r="BR19" s="885">
        <f>Planning!R12</f>
        <v/>
      </c>
      <c r="BS19" s="886" t="n"/>
      <c r="BT19" s="105" t="n"/>
      <c r="BU19" s="885">
        <f>Planning!U12</f>
        <v/>
      </c>
      <c r="BV19" s="885">
        <f>Planning!V12</f>
        <v/>
      </c>
      <c r="BW19" s="886" t="n"/>
      <c r="BX19" s="105" t="n"/>
      <c r="BY19" s="885">
        <f>Planning!Y12</f>
        <v/>
      </c>
      <c r="BZ19" s="885">
        <f>Planning!Z12</f>
        <v/>
      </c>
      <c r="CA19" s="886" t="n"/>
      <c r="CB19" s="105" t="n"/>
      <c r="CC19" s="885">
        <f>Planning!AC12</f>
        <v/>
      </c>
      <c r="CD19" s="885">
        <f>Planning!AD12</f>
        <v/>
      </c>
      <c r="CE19" s="886" t="n"/>
      <c r="CF19" s="105" t="n"/>
      <c r="CG19" s="887">
        <f>Planning!AG12</f>
        <v/>
      </c>
      <c r="CH19" s="105" t="n"/>
      <c r="CI19" s="252">
        <f>IF(BC19="","",Planning!AI12)</f>
        <v/>
      </c>
      <c r="CJ19" s="252">
        <f>IF(BC19="","",Planning!AJ12)</f>
        <v/>
      </c>
      <c r="CK19" s="252">
        <f>IF(BC19="","",Planning!AK12)</f>
        <v/>
      </c>
      <c r="CL19" s="252">
        <f>IF(BC19="","",Planning!AH12)</f>
        <v/>
      </c>
      <c r="CM19" s="21" t="n"/>
    </row>
    <row r="20" ht="12.75" customHeight="1">
      <c r="A20" s="161">
        <f>IFERROR(IF(VLOOKUP($B20,$BC$13:$CL$86,36,FALSE)&gt;5,0,IF(COUNTIF($B$13:$B$63,$B20)&gt;1,0,8)),8)+IF(B20&lt;&gt;0,0,IF(AV20&gt;0,0.000001,0))</f>
        <v/>
      </c>
      <c r="B20" s="52" t="n"/>
      <c r="C20" s="48">
        <f>IFERROR(IF($B20="","",VLOOKUP($B20,Medewerker!$C$8:$AI$107,33,FALSE)),"?")</f>
        <v/>
      </c>
      <c r="D20" s="879">
        <f t="array" ref="D20">IFERROR(IF(LEFT(INDEX($F20:$AQ20,1,SUM(SMALL(IF($F20:$AQ20&lt;&gt;"",COLUMN($F20:$AQ20)),1)-5)),1)="x",SUM(SMALL(IF($F20:$AQ20&lt;&gt;"",$F$11:$AQ$11),1)+"0:15"),SMALL(IF($F20:$AQ20&lt;&gt;"",$F$11:$AQ$11),1)),"")</f>
        <v/>
      </c>
      <c r="E20" s="879">
        <f t="array" ref="E20">IFERROR(IF(LEFT(INDEX($F20:$AQ20,1,SUM(LARGE(IF($F20:$AQ20&lt;&gt;"",COLUMN($F20:$AQ20)),1)-5)),1)="x",SUM(LARGE(IF($F20:$AQ20&lt;&gt;"",$F$11:$AQ$11+"0:30:00"),1)-"0:15"),LARGE(IF($F20:$AQ20&lt;&gt;"",$F$11:$AQ$11+"0:30:00"),1)),"")</f>
        <v/>
      </c>
      <c r="F20" s="40" t="n"/>
      <c r="G20" s="41" t="n"/>
      <c r="H20" s="40" t="n"/>
      <c r="I20" s="41" t="n"/>
      <c r="J20" s="40" t="n"/>
      <c r="K20" s="42" t="n"/>
      <c r="L20" s="43" t="n"/>
      <c r="M20" s="41" t="n"/>
      <c r="N20" s="40" t="n"/>
      <c r="O20" s="42" t="n"/>
      <c r="P20" s="43" t="n"/>
      <c r="Q20" s="41" t="n"/>
      <c r="R20" s="40" t="n"/>
      <c r="S20" s="42" t="n"/>
      <c r="T20" s="43" t="n"/>
      <c r="U20" s="41" t="n"/>
      <c r="V20" s="40" t="n"/>
      <c r="W20" s="42" t="n"/>
      <c r="X20" s="43" t="n"/>
      <c r="Y20" s="41" t="n"/>
      <c r="Z20" s="40" t="n"/>
      <c r="AA20" s="42" t="n"/>
      <c r="AB20" s="43" t="n"/>
      <c r="AC20" s="41" t="n"/>
      <c r="AD20" s="40" t="n"/>
      <c r="AE20" s="42" t="n"/>
      <c r="AF20" s="43" t="n"/>
      <c r="AG20" s="41" t="n"/>
      <c r="AH20" s="40" t="n"/>
      <c r="AI20" s="42" t="n"/>
      <c r="AJ20" s="43" t="n"/>
      <c r="AK20" s="41" t="n"/>
      <c r="AL20" s="40" t="n"/>
      <c r="AM20" s="41" t="n"/>
      <c r="AN20" s="645" t="n"/>
      <c r="AO20" s="42" t="n"/>
      <c r="AP20" s="40" t="n"/>
      <c r="AQ20" s="41" t="n"/>
      <c r="AR20" s="888">
        <f>IFERROR(IF(VLOOKUP($B20,Medewerker!$C$8:$M$107,11,FALSE)="",VLOOKUP($B20,Medewerker!$C$8:$M$107,9,FALSE),0),0)</f>
        <v/>
      </c>
      <c r="AS20" s="889">
        <f>IFERROR(IF(B20="",1,IF(VLOOKUP($B20,Medewerker!$C$8:$M$107,11,FALSE)="",VLOOKUP($B20,Medewerker!$C$8:$M$107,10,FALSE),0)),0)</f>
        <v/>
      </c>
      <c r="AT20" s="30" t="n"/>
      <c r="AU20" s="30">
        <f>(COUNTIF(F20:AQ20,"afw"))/2</f>
        <v/>
      </c>
      <c r="AV20" s="111">
        <f>((38-(COUNTIF(F20:AQ20,"")))/2)-(COUNTIF(F20:AQ20,"p")/2)-(COUNTIF(F20:AQ20,CONCATENATE("x","*"))/4)</f>
        <v/>
      </c>
      <c r="AW20" s="73">
        <f>IF($B20="","",VLOOKUP($B20,Medewerker!$C$8:$E$107,3,FALSE))</f>
        <v/>
      </c>
      <c r="AX20" s="403">
        <f>IFERROR(VLOOKUP($B20,Planning!$B$6:$AG$105,32,FALSE)*24,"")</f>
        <v/>
      </c>
      <c r="AY20" s="406" t="inlineStr">
        <is>
          <t>rh</t>
        </is>
      </c>
      <c r="AZ20" s="166" t="inlineStr">
        <is>
          <t>Restant HB</t>
        </is>
      </c>
      <c r="BA20" s="111">
        <f>COUNTIF($F$13:$AQ$63,CONCATENATE(AY20,"*"))/2+COUNTIF($F$13:$AQ$63,CONCATENATE("x",AY20,"*"))/4</f>
        <v/>
      </c>
      <c r="BB20" s="838" t="n"/>
      <c r="BC20" s="31">
        <f>IF(Planning!B13="","",Planning!B13)</f>
        <v/>
      </c>
      <c r="BD20" s="105" t="n"/>
      <c r="BE20" s="885">
        <f>Planning!E13</f>
        <v/>
      </c>
      <c r="BF20" s="885">
        <f>Planning!F13</f>
        <v/>
      </c>
      <c r="BG20" s="886" t="n"/>
      <c r="BH20" s="105" t="n"/>
      <c r="BI20" s="885">
        <f>Planning!I13</f>
        <v/>
      </c>
      <c r="BJ20" s="885">
        <f>Planning!J13</f>
        <v/>
      </c>
      <c r="BK20" s="886" t="n"/>
      <c r="BL20" s="105" t="n"/>
      <c r="BM20" s="885">
        <f>Planning!M13</f>
        <v/>
      </c>
      <c r="BN20" s="885">
        <f>Planning!N13</f>
        <v/>
      </c>
      <c r="BO20" s="886" t="n"/>
      <c r="BP20" s="105" t="n"/>
      <c r="BQ20" s="885">
        <f>Planning!Q13</f>
        <v/>
      </c>
      <c r="BR20" s="885">
        <f>Planning!R13</f>
        <v/>
      </c>
      <c r="BS20" s="886" t="n"/>
      <c r="BT20" s="105" t="n"/>
      <c r="BU20" s="885">
        <f>Planning!U13</f>
        <v/>
      </c>
      <c r="BV20" s="885">
        <f>Planning!V13</f>
        <v/>
      </c>
      <c r="BW20" s="886" t="n"/>
      <c r="BX20" s="105" t="n"/>
      <c r="BY20" s="885">
        <f>Planning!Y13</f>
        <v/>
      </c>
      <c r="BZ20" s="885">
        <f>Planning!Z13</f>
        <v/>
      </c>
      <c r="CA20" s="886" t="n"/>
      <c r="CB20" s="105" t="n"/>
      <c r="CC20" s="885">
        <f>Planning!AC13</f>
        <v/>
      </c>
      <c r="CD20" s="885">
        <f>Planning!AD13</f>
        <v/>
      </c>
      <c r="CE20" s="886" t="n"/>
      <c r="CF20" s="105" t="n"/>
      <c r="CG20" s="887">
        <f>Planning!AG13</f>
        <v/>
      </c>
      <c r="CH20" s="105" t="n"/>
      <c r="CI20" s="252">
        <f>IF(BC20="","",Planning!AI13)</f>
        <v/>
      </c>
      <c r="CJ20" s="252">
        <f>IF(BC20="","",Planning!AJ13)</f>
        <v/>
      </c>
      <c r="CK20" s="252">
        <f>IF(BC20="","",Planning!AK13)</f>
        <v/>
      </c>
      <c r="CL20" s="252">
        <f>IF(BC20="","",Planning!AH13)</f>
        <v/>
      </c>
      <c r="CM20" s="21" t="n"/>
    </row>
    <row r="21" ht="12.75" customHeight="1">
      <c r="A21" s="161">
        <f>IFERROR(IF(VLOOKUP($B21,$BC$13:$CL$86,36,FALSE)&gt;5,0,IF(COUNTIF($B$13:$B$63,$B21)&gt;1,0,9)),9)+IF(B21&lt;&gt;0,0,IF(AV21&gt;0,0.000001,0))</f>
        <v/>
      </c>
      <c r="B21" s="52" t="inlineStr">
        <is>
          <t>Oemaima</t>
        </is>
      </c>
      <c r="C21" s="48">
        <f>IFERROR(IF($B21="","",VLOOKUP($B21,Medewerker!$C$8:$AI$107,33,FALSE)),"?")</f>
        <v/>
      </c>
      <c r="D21" s="879">
        <f t="array" ref="D21">IFERROR(IF(LEFT(INDEX($F21:$AQ21,1,SUM(SMALL(IF($F21:$AQ21&lt;&gt;"",COLUMN($F21:$AQ21)),1)-5)),1)="x",SUM(SMALL(IF($F21:$AQ21&lt;&gt;"",$F$11:$AQ$11),1)+"0:15"),SMALL(IF($F21:$AQ21&lt;&gt;"",$F$11:$AQ$11),1)),"")</f>
        <v/>
      </c>
      <c r="E21" s="879">
        <f t="array" ref="E21">IFERROR(IF(LEFT(INDEX($F21:$AQ21,1,SUM(LARGE(IF($F21:$AQ21&lt;&gt;"",COLUMN($F21:$AQ21)),1)-5)),1)="x",SUM(LARGE(IF($F21:$AQ21&lt;&gt;"",$F$11:$AQ$11+"0:30:00"),1)-"0:15"),LARGE(IF($F21:$AQ21&lt;&gt;"",$F$11:$AQ$11+"0:30:00"),1)),"")</f>
        <v/>
      </c>
      <c r="F21" s="40" t="n"/>
      <c r="G21" s="41" t="n"/>
      <c r="H21" s="40" t="n"/>
      <c r="I21" s="41" t="n"/>
      <c r="J21" s="40" t="n"/>
      <c r="K21" s="42" t="n"/>
      <c r="L21" s="42" t="n"/>
      <c r="M21" s="42" t="n"/>
      <c r="N21" s="42" t="n"/>
      <c r="O21" s="42" t="n"/>
      <c r="P21" s="43" t="inlineStr">
        <is>
          <t>hv</t>
        </is>
      </c>
      <c r="Q21" s="41" t="inlineStr">
        <is>
          <t>hv</t>
        </is>
      </c>
      <c r="R21" s="40" t="inlineStr">
        <is>
          <t>hv</t>
        </is>
      </c>
      <c r="S21" s="42" t="inlineStr">
        <is>
          <t>hv</t>
        </is>
      </c>
      <c r="T21" s="43" t="inlineStr">
        <is>
          <t>hv</t>
        </is>
      </c>
      <c r="U21" s="41" t="inlineStr">
        <is>
          <t>hv</t>
        </is>
      </c>
      <c r="V21" s="40" t="inlineStr">
        <is>
          <t>hv</t>
        </is>
      </c>
      <c r="W21" s="42" t="inlineStr">
        <is>
          <t>hv</t>
        </is>
      </c>
      <c r="X21" s="43" t="inlineStr">
        <is>
          <t>hv</t>
        </is>
      </c>
      <c r="Y21" s="41" t="inlineStr">
        <is>
          <t>hv</t>
        </is>
      </c>
      <c r="Z21" s="40" t="n"/>
      <c r="AA21" s="42" t="n"/>
      <c r="AB21" s="42" t="n"/>
      <c r="AC21" s="42" t="n"/>
      <c r="AD21" s="40" t="n"/>
      <c r="AE21" s="42" t="n"/>
      <c r="AF21" s="43" t="n"/>
      <c r="AG21" s="41" t="n"/>
      <c r="AH21" s="40" t="n"/>
      <c r="AI21" s="42" t="n"/>
      <c r="AJ21" s="43" t="n"/>
      <c r="AK21" s="41" t="n"/>
      <c r="AL21" s="40" t="n"/>
      <c r="AM21" s="41" t="n"/>
      <c r="AN21" s="645" t="n"/>
      <c r="AO21" s="42" t="n"/>
      <c r="AP21" s="40" t="n"/>
      <c r="AQ21" s="41" t="n"/>
      <c r="AR21" s="888">
        <f>IFERROR(IF(VLOOKUP($B21,Medewerker!$C$8:$M$107,11,FALSE)="",VLOOKUP($B21,Medewerker!$C$8:$M$107,9,FALSE),0),0)</f>
        <v/>
      </c>
      <c r="AS21" s="889">
        <f>IFERROR(IF(B21="",1,IF(VLOOKUP($B21,Medewerker!$C$8:$M$107,11,FALSE)="",VLOOKUP($B21,Medewerker!$C$8:$M$107,10,FALSE),0)),0)</f>
        <v/>
      </c>
      <c r="AT21" s="30" t="n"/>
      <c r="AU21" s="30">
        <f>(COUNTIF(F21:AQ21,"afw"))/2</f>
        <v/>
      </c>
      <c r="AV21" s="111">
        <f>((38-(COUNTIF(F21:AQ21,"")))/2)-(COUNTIF(F21:AQ21,"p")/2)-(COUNTIF(F21:AQ21,CONCATENATE("x","*"))/4)</f>
        <v/>
      </c>
      <c r="AW21" s="73">
        <f>IF($B21="","",VLOOKUP($B21,Medewerker!$C$8:$E$107,3,FALSE))</f>
        <v/>
      </c>
      <c r="AX21" s="403">
        <f>IFERROR(VLOOKUP($B21,Planning!$B$6:$AG$105,32,FALSE)*24,"")</f>
        <v/>
      </c>
      <c r="AY21" s="406" t="inlineStr">
        <is>
          <t>rd</t>
        </is>
      </c>
      <c r="AZ21" s="166" t="inlineStr">
        <is>
          <t>Restant DV</t>
        </is>
      </c>
      <c r="BA21" s="111">
        <f>COUNTIF($F$13:$AQ$63,CONCATENATE(AY21,"*"))/2+COUNTIF($F$13:$AQ$63,CONCATENATE("x",AY21,"*"))/4</f>
        <v/>
      </c>
      <c r="BB21" s="838" t="n"/>
      <c r="BC21" s="31">
        <f>IF(Planning!B14="","",Planning!B14)</f>
        <v/>
      </c>
      <c r="BD21" s="105" t="n"/>
      <c r="BE21" s="885">
        <f>Planning!E14</f>
        <v/>
      </c>
      <c r="BF21" s="885">
        <f>Planning!F14</f>
        <v/>
      </c>
      <c r="BG21" s="886" t="n"/>
      <c r="BH21" s="105" t="n"/>
      <c r="BI21" s="885">
        <f>Planning!I14</f>
        <v/>
      </c>
      <c r="BJ21" s="885">
        <f>Planning!J14</f>
        <v/>
      </c>
      <c r="BK21" s="886" t="n"/>
      <c r="BL21" s="105" t="n"/>
      <c r="BM21" s="885">
        <f>Planning!M14</f>
        <v/>
      </c>
      <c r="BN21" s="885">
        <f>Planning!N14</f>
        <v/>
      </c>
      <c r="BO21" s="886" t="n"/>
      <c r="BP21" s="105" t="n"/>
      <c r="BQ21" s="885">
        <f>Planning!Q14</f>
        <v/>
      </c>
      <c r="BR21" s="885">
        <f>Planning!R14</f>
        <v/>
      </c>
      <c r="BS21" s="886" t="n"/>
      <c r="BT21" s="105" t="n"/>
      <c r="BU21" s="885">
        <f>Planning!U14</f>
        <v/>
      </c>
      <c r="BV21" s="885">
        <f>Planning!V14</f>
        <v/>
      </c>
      <c r="BW21" s="886" t="n"/>
      <c r="BX21" s="105" t="n"/>
      <c r="BY21" s="885">
        <f>Planning!Y14</f>
        <v/>
      </c>
      <c r="BZ21" s="885">
        <f>Planning!Z14</f>
        <v/>
      </c>
      <c r="CA21" s="886" t="n"/>
      <c r="CB21" s="105" t="n"/>
      <c r="CC21" s="885">
        <f>Planning!AC14</f>
        <v/>
      </c>
      <c r="CD21" s="885">
        <f>Planning!AD14</f>
        <v/>
      </c>
      <c r="CE21" s="886" t="n"/>
      <c r="CF21" s="105" t="n"/>
      <c r="CG21" s="887">
        <f>Planning!AG14</f>
        <v/>
      </c>
      <c r="CH21" s="105" t="n"/>
      <c r="CI21" s="252">
        <f>IF(BC21="","",Planning!AI14)</f>
        <v/>
      </c>
      <c r="CJ21" s="252">
        <f>IF(BC21="","",Planning!AJ14)</f>
        <v/>
      </c>
      <c r="CK21" s="252">
        <f>IF(BC21="","",Planning!AK14)</f>
        <v/>
      </c>
      <c r="CL21" s="252">
        <f>IF(BC21="","",Planning!AH14)</f>
        <v/>
      </c>
      <c r="CM21" s="34" t="n"/>
    </row>
    <row r="22" ht="12.75" customHeight="1">
      <c r="A22" s="161">
        <f>IFERROR(IF(VLOOKUP($B22,$BC$13:$CL$86,36,FALSE)&gt;5,0,IF(COUNTIF($B$13:$B$63,$B22)&gt;1,0,10)),10)+IF(B22&lt;&gt;0,0,IF(AV22&gt;0,0.000001,0))</f>
        <v/>
      </c>
      <c r="B22" s="126" t="inlineStr">
        <is>
          <t>Saida Hadouti</t>
        </is>
      </c>
      <c r="C22" s="48">
        <f>IFERROR(IF($B22="","",VLOOKUP($B22,Medewerker!$C$8:$AI$107,33,FALSE)),"?")</f>
        <v/>
      </c>
      <c r="D22" s="879">
        <f t="array" ref="D22">IFERROR(IF(LEFT(INDEX($F22:$AQ22,1,SUM(SMALL(IF($F22:$AQ22&lt;&gt;"",COLUMN($F22:$AQ22)),1)-5)),1)="x",SUM(SMALL(IF($F22:$AQ22&lt;&gt;"",$F$11:$AQ$11),1)+"0:15"),SMALL(IF($F22:$AQ22&lt;&gt;"",$F$11:$AQ$11),1)),"")</f>
        <v/>
      </c>
      <c r="E22" s="879">
        <f t="array" ref="E22">IFERROR(IF(LEFT(INDEX($F22:$AQ22,1,SUM(LARGE(IF($F22:$AQ22&lt;&gt;"",COLUMN($F22:$AQ22)),1)-5)),1)="x",SUM(LARGE(IF($F22:$AQ22&lt;&gt;"",$F$11:$AQ$11+"0:30:00"),1)-"0:15"),LARGE(IF($F22:$AQ22&lt;&gt;"",$F$11:$AQ$11+"0:30:00"),1)),"")</f>
        <v/>
      </c>
      <c r="F22" s="40" t="n"/>
      <c r="G22" s="41" t="n"/>
      <c r="H22" s="40" t="n"/>
      <c r="I22" s="41" t="n"/>
      <c r="J22" s="40" t="n"/>
      <c r="K22" s="42" t="n"/>
      <c r="L22" s="43" t="n"/>
      <c r="M22" s="41" t="n"/>
      <c r="N22" s="40" t="n"/>
      <c r="O22" s="42" t="n"/>
      <c r="P22" s="43" t="inlineStr">
        <is>
          <t>hv</t>
        </is>
      </c>
      <c r="Q22" s="41" t="inlineStr">
        <is>
          <t>hv</t>
        </is>
      </c>
      <c r="R22" s="40" t="inlineStr">
        <is>
          <t>hv</t>
        </is>
      </c>
      <c r="S22" s="42" t="inlineStr">
        <is>
          <t>hv</t>
        </is>
      </c>
      <c r="T22" s="43" t="inlineStr">
        <is>
          <t>hv</t>
        </is>
      </c>
      <c r="U22" s="41" t="inlineStr">
        <is>
          <t>hv</t>
        </is>
      </c>
      <c r="V22" s="40" t="inlineStr">
        <is>
          <t>hv</t>
        </is>
      </c>
      <c r="W22" s="42" t="inlineStr">
        <is>
          <t>hv</t>
        </is>
      </c>
      <c r="X22" s="43" t="inlineStr">
        <is>
          <t>hv</t>
        </is>
      </c>
      <c r="Y22" s="41" t="inlineStr">
        <is>
          <t>hv</t>
        </is>
      </c>
      <c r="Z22" s="40" t="n"/>
      <c r="AA22" s="42" t="n"/>
      <c r="AB22" s="43" t="n"/>
      <c r="AC22" s="41" t="n"/>
      <c r="AD22" s="40" t="n"/>
      <c r="AE22" s="42" t="n"/>
      <c r="AF22" s="43" t="n"/>
      <c r="AG22" s="41" t="n"/>
      <c r="AH22" s="40" t="n"/>
      <c r="AI22" s="42" t="n"/>
      <c r="AJ22" s="43" t="n"/>
      <c r="AK22" s="41" t="n"/>
      <c r="AL22" s="40" t="n"/>
      <c r="AM22" s="41" t="n"/>
      <c r="AN22" s="645" t="n"/>
      <c r="AO22" s="42" t="n"/>
      <c r="AP22" s="40" t="n"/>
      <c r="AQ22" s="41" t="n"/>
      <c r="AR22" s="888">
        <f>IFERROR(IF(VLOOKUP($B22,Medewerker!$C$8:$M$107,11,FALSE)="",VLOOKUP($B22,Medewerker!$C$8:$M$107,9,FALSE),0),0)</f>
        <v/>
      </c>
      <c r="AS22" s="889">
        <f>IFERROR(IF(B22="",1,IF(VLOOKUP($B22,Medewerker!$C$8:$M$107,11,FALSE)="",VLOOKUP($B22,Medewerker!$C$8:$M$107,10,FALSE),0)),0)</f>
        <v/>
      </c>
      <c r="AT22" s="30" t="n"/>
      <c r="AU22" s="30">
        <f>(COUNTIF(F22:AQ22,"afw"))/2</f>
        <v/>
      </c>
      <c r="AV22" s="111">
        <f>((38-(COUNTIF(F22:AQ22,"")))/2)-(COUNTIF(F22:AQ22,"p")/2)-(COUNTIF(F22:AQ22,CONCATENATE("x","*"))/4)</f>
        <v/>
      </c>
      <c r="AW22" s="73">
        <f>IF($B22="","",VLOOKUP($B22,Medewerker!$C$8:$E$107,3,FALSE))</f>
        <v/>
      </c>
      <c r="AX22" s="403">
        <f>IFERROR(VLOOKUP($B22,Planning!$B$6:$AG$105,32,FALSE)*24,"")</f>
        <v/>
      </c>
      <c r="AY22" s="406" t="inlineStr">
        <is>
          <t>rv</t>
        </is>
      </c>
      <c r="AZ22" s="166" t="inlineStr">
        <is>
          <t>Restant Vers</t>
        </is>
      </c>
      <c r="BA22" s="111">
        <f>COUNTIF($F$13:$AQ$63,CONCATENATE(AY22,"*"))/2+COUNTIF($F$13:$AQ$63,CONCATENATE("x",AY22,"*"))/4</f>
        <v/>
      </c>
      <c r="BB22" s="838" t="n"/>
      <c r="BC22" s="31">
        <f>IF(Planning!B15="","",Planning!B15)</f>
        <v/>
      </c>
      <c r="BD22" s="105" t="n"/>
      <c r="BE22" s="885">
        <f>Planning!E15</f>
        <v/>
      </c>
      <c r="BF22" s="885">
        <f>Planning!F15</f>
        <v/>
      </c>
      <c r="BG22" s="886" t="n"/>
      <c r="BH22" s="105" t="n"/>
      <c r="BI22" s="885">
        <f>Planning!I15</f>
        <v/>
      </c>
      <c r="BJ22" s="885">
        <f>Planning!J15</f>
        <v/>
      </c>
      <c r="BK22" s="886" t="n"/>
      <c r="BL22" s="105" t="n"/>
      <c r="BM22" s="885">
        <f>Planning!M15</f>
        <v/>
      </c>
      <c r="BN22" s="885">
        <f>Planning!N15</f>
        <v/>
      </c>
      <c r="BO22" s="886" t="n"/>
      <c r="BP22" s="105" t="n"/>
      <c r="BQ22" s="885">
        <f>Planning!Q15</f>
        <v/>
      </c>
      <c r="BR22" s="885">
        <f>Planning!R15</f>
        <v/>
      </c>
      <c r="BS22" s="886" t="n"/>
      <c r="BT22" s="105" t="n"/>
      <c r="BU22" s="885">
        <f>Planning!U15</f>
        <v/>
      </c>
      <c r="BV22" s="885">
        <f>Planning!V15</f>
        <v/>
      </c>
      <c r="BW22" s="886" t="n"/>
      <c r="BX22" s="105" t="n"/>
      <c r="BY22" s="885">
        <f>Planning!Y15</f>
        <v/>
      </c>
      <c r="BZ22" s="885">
        <f>Planning!Z15</f>
        <v/>
      </c>
      <c r="CA22" s="886" t="n"/>
      <c r="CB22" s="105" t="n"/>
      <c r="CC22" s="885">
        <f>Planning!AC15</f>
        <v/>
      </c>
      <c r="CD22" s="885">
        <f>Planning!AD15</f>
        <v/>
      </c>
      <c r="CE22" s="886" t="n"/>
      <c r="CF22" s="105" t="n"/>
      <c r="CG22" s="887">
        <f>Planning!AG15</f>
        <v/>
      </c>
      <c r="CH22" s="105" t="n"/>
      <c r="CI22" s="252">
        <f>IF(BC22="","",Planning!AI15)</f>
        <v/>
      </c>
      <c r="CJ22" s="252">
        <f>IF(BC22="","",Planning!AJ15)</f>
        <v/>
      </c>
      <c r="CK22" s="252">
        <f>IF(BC22="","",Planning!AK15)</f>
        <v/>
      </c>
      <c r="CL22" s="252">
        <f>IF(BC22="","",Planning!AH15)</f>
        <v/>
      </c>
      <c r="CM22" s="21" t="n"/>
    </row>
    <row r="23" ht="12.75" customHeight="1">
      <c r="A23" s="161">
        <f>IFERROR(IF(VLOOKUP($B23,$BC$13:$CL$86,36,FALSE)&gt;5,0,IF(COUNTIF($B$13:$B$63,$B23)&gt;1,0,11)),11)+IF(B23&lt;&gt;0,0,IF(AV23&gt;0,0.000001,0))</f>
        <v/>
      </c>
      <c r="B23" s="126" t="inlineStr">
        <is>
          <t>Snesjana</t>
        </is>
      </c>
      <c r="C23" s="48">
        <f>IFERROR(IF($B23="","",VLOOKUP($B23,Medewerker!$C$8:$AI$107,33,FALSE)),"?")</f>
        <v/>
      </c>
      <c r="D23" s="879">
        <f t="array" ref="D23">IFERROR(IF(LEFT(INDEX($F23:$AQ23,1,SUM(SMALL(IF($F23:$AQ23&lt;&gt;"",COLUMN($F23:$AQ23)),1)-5)),1)="x",SUM(SMALL(IF($F23:$AQ23&lt;&gt;"",$F$11:$AQ$11),1)+"0:15"),SMALL(IF($F23:$AQ23&lt;&gt;"",$F$11:$AQ$11),1)),"")</f>
        <v/>
      </c>
      <c r="E23" s="879">
        <f t="array" ref="E23">IFERROR(IF(LEFT(INDEX($F23:$AQ23,1,SUM(LARGE(IF($F23:$AQ23&lt;&gt;"",COLUMN($F23:$AQ23)),1)-5)),1)="x",SUM(LARGE(IF($F23:$AQ23&lt;&gt;"",$F$11:$AQ$11+"0:30:00"),1)-"0:15"),LARGE(IF($F23:$AQ23&lt;&gt;"",$F$11:$AQ$11+"0:30:00"),1)),"")</f>
        <v/>
      </c>
      <c r="F23" s="40" t="n"/>
      <c r="G23" s="41" t="n"/>
      <c r="H23" s="40" t="n"/>
      <c r="I23" s="41" t="n"/>
      <c r="J23" s="40" t="n"/>
      <c r="K23" s="42" t="n"/>
      <c r="L23" s="43" t="n"/>
      <c r="M23" s="41" t="n"/>
      <c r="N23" s="40" t="n"/>
      <c r="O23" s="42" t="n"/>
      <c r="P23" s="43" t="inlineStr">
        <is>
          <t>hv</t>
        </is>
      </c>
      <c r="Q23" s="41" t="inlineStr">
        <is>
          <t>hv</t>
        </is>
      </c>
      <c r="R23" s="40" t="inlineStr">
        <is>
          <t>hv</t>
        </is>
      </c>
      <c r="S23" s="42" t="inlineStr">
        <is>
          <t>hv</t>
        </is>
      </c>
      <c r="T23" s="43" t="inlineStr">
        <is>
          <t>hv</t>
        </is>
      </c>
      <c r="U23" s="41" t="inlineStr">
        <is>
          <t>hv</t>
        </is>
      </c>
      <c r="V23" s="40" t="inlineStr">
        <is>
          <t>hv</t>
        </is>
      </c>
      <c r="W23" s="42" t="inlineStr">
        <is>
          <t>hv</t>
        </is>
      </c>
      <c r="X23" s="43" t="inlineStr">
        <is>
          <t>hv</t>
        </is>
      </c>
      <c r="Y23" s="41" t="inlineStr">
        <is>
          <t>hv</t>
        </is>
      </c>
      <c r="Z23" s="40" t="n"/>
      <c r="AA23" s="42" t="n"/>
      <c r="AB23" s="43" t="n"/>
      <c r="AC23" s="41" t="n"/>
      <c r="AD23" s="40" t="n"/>
      <c r="AE23" s="42" t="n"/>
      <c r="AF23" s="43" t="n"/>
      <c r="AG23" s="41" t="n"/>
      <c r="AH23" s="40" t="n"/>
      <c r="AI23" s="42" t="n"/>
      <c r="AJ23" s="43" t="n"/>
      <c r="AK23" s="41" t="n"/>
      <c r="AL23" s="40" t="n"/>
      <c r="AM23" s="41" t="n"/>
      <c r="AN23" s="645" t="n"/>
      <c r="AO23" s="42" t="n"/>
      <c r="AP23" s="40" t="n"/>
      <c r="AQ23" s="41" t="n"/>
      <c r="AR23" s="888">
        <f>IFERROR(IF(VLOOKUP($B23,Medewerker!$C$8:$M$107,11,FALSE)="",VLOOKUP($B23,Medewerker!$C$8:$M$107,9,FALSE),0),0)</f>
        <v/>
      </c>
      <c r="AS23" s="889">
        <f>IFERROR(IF(B23="",1,IF(VLOOKUP($B23,Medewerker!$C$8:$M$107,11,FALSE)="",VLOOKUP($B23,Medewerker!$C$8:$M$107,10,FALSE),0)),0)</f>
        <v/>
      </c>
      <c r="AT23" s="30" t="n"/>
      <c r="AU23" s="30">
        <f>(COUNTIF(F23:AQ23,"afw"))/2</f>
        <v/>
      </c>
      <c r="AV23" s="111">
        <f>((38-(COUNTIF(F23:AQ23,"")))/2)-(COUNTIF(F23:AQ23,"p")/2)-(COUNTIF(F23:AQ23,CONCATENATE("x","*"))/4)</f>
        <v/>
      </c>
      <c r="AW23" s="73">
        <f>IF($B23="","",VLOOKUP($B23,Medewerker!$C$8:$E$107,3,FALSE))</f>
        <v/>
      </c>
      <c r="AX23" s="403">
        <f>IFERROR(VLOOKUP($B23,Planning!$B$6:$AG$105,32,FALSE)*24,"")</f>
        <v/>
      </c>
      <c r="AY23" s="882" t="inlineStr">
        <is>
          <t>Restant/Telproces</t>
        </is>
      </c>
      <c r="AZ23" s="883" t="n"/>
      <c r="BA23" s="884" t="n"/>
      <c r="BB23" s="838" t="n"/>
      <c r="BC23" s="31">
        <f>IF(Planning!B16="","",Planning!B16)</f>
        <v/>
      </c>
      <c r="BD23" s="105" t="n"/>
      <c r="BE23" s="885">
        <f>Planning!E16</f>
        <v/>
      </c>
      <c r="BF23" s="885">
        <f>Planning!F16</f>
        <v/>
      </c>
      <c r="BG23" s="886" t="n"/>
      <c r="BH23" s="105" t="n"/>
      <c r="BI23" s="885">
        <f>Planning!I16</f>
        <v/>
      </c>
      <c r="BJ23" s="885">
        <f>Planning!J16</f>
        <v/>
      </c>
      <c r="BK23" s="886" t="n"/>
      <c r="BL23" s="105" t="n"/>
      <c r="BM23" s="885">
        <f>Planning!M16</f>
        <v/>
      </c>
      <c r="BN23" s="885">
        <f>Planning!N16</f>
        <v/>
      </c>
      <c r="BO23" s="886" t="n"/>
      <c r="BP23" s="105" t="n"/>
      <c r="BQ23" s="885">
        <f>Planning!Q16</f>
        <v/>
      </c>
      <c r="BR23" s="885">
        <f>Planning!R16</f>
        <v/>
      </c>
      <c r="BS23" s="886" t="n"/>
      <c r="BT23" s="105" t="n"/>
      <c r="BU23" s="885">
        <f>Planning!U16</f>
        <v/>
      </c>
      <c r="BV23" s="885">
        <f>Planning!V16</f>
        <v/>
      </c>
      <c r="BW23" s="886" t="n"/>
      <c r="BX23" s="105" t="n"/>
      <c r="BY23" s="885">
        <f>Planning!Y16</f>
        <v/>
      </c>
      <c r="BZ23" s="885">
        <f>Planning!Z16</f>
        <v/>
      </c>
      <c r="CA23" s="886" t="n"/>
      <c r="CB23" s="105" t="n"/>
      <c r="CC23" s="885">
        <f>Planning!AC16</f>
        <v/>
      </c>
      <c r="CD23" s="885">
        <f>Planning!AD16</f>
        <v/>
      </c>
      <c r="CE23" s="886" t="n"/>
      <c r="CF23" s="105" t="n"/>
      <c r="CG23" s="887">
        <f>Planning!AG16</f>
        <v/>
      </c>
      <c r="CH23" s="105" t="n"/>
      <c r="CI23" s="252">
        <f>IF(BC23="","",Planning!AI16)</f>
        <v/>
      </c>
      <c r="CJ23" s="252">
        <f>IF(BC23="","",Planning!AJ16)</f>
        <v/>
      </c>
      <c r="CK23" s="252">
        <f>IF(BC23="","",Planning!AK16)</f>
        <v/>
      </c>
      <c r="CL23" s="252">
        <f>IF(BC23="","",Planning!AH16)</f>
        <v/>
      </c>
      <c r="CM23" s="21" t="n"/>
    </row>
    <row r="24" ht="12.75" customHeight="1">
      <c r="A24" s="161">
        <f>IFERROR(IF(VLOOKUP($B24,$BC$13:$CL$86,36,FALSE)&gt;5,0,IF(COUNTIF($B$13:$B$63,$B24)&gt;1,0,12)),12)+IF(B24&lt;&gt;0,0,IF(AV24&gt;0,0.000001,0))</f>
        <v/>
      </c>
      <c r="B24" s="126" t="inlineStr">
        <is>
          <t>Yoselin</t>
        </is>
      </c>
      <c r="C24" s="48">
        <f>IFERROR(IF($B24="","",VLOOKUP($B24,Medewerker!$C$8:$AI$107,33,FALSE)),"?")</f>
        <v/>
      </c>
      <c r="D24" s="879">
        <f t="array" ref="D24">IFERROR(IF(LEFT(INDEX($F24:$AQ24,1,SUM(SMALL(IF($F24:$AQ24&lt;&gt;"",COLUMN($F24:$AQ24)),1)-5)),1)="x",SUM(SMALL(IF($F24:$AQ24&lt;&gt;"",$F$11:$AQ$11),1)+"0:15"),SMALL(IF($F24:$AQ24&lt;&gt;"",$F$11:$AQ$11),1)),"")</f>
        <v/>
      </c>
      <c r="E24" s="879">
        <f t="array" ref="E24">IFERROR(IF(LEFT(INDEX($F24:$AQ24,1,SUM(LARGE(IF($F24:$AQ24&lt;&gt;"",COLUMN($F24:$AQ24)),1)-5)),1)="x",SUM(LARGE(IF($F24:$AQ24&lt;&gt;"",$F$11:$AQ$11+"0:30:00"),1)-"0:15"),LARGE(IF($F24:$AQ24&lt;&gt;"",$F$11:$AQ$11+"0:30:00"),1)),"")</f>
        <v/>
      </c>
      <c r="F24" s="40" t="n"/>
      <c r="G24" s="41" t="n"/>
      <c r="H24" s="40" t="n"/>
      <c r="I24" s="41" t="n"/>
      <c r="J24" s="40" t="n"/>
      <c r="K24" s="42" t="n"/>
      <c r="L24" s="43" t="n"/>
      <c r="M24" s="41" t="n"/>
      <c r="N24" s="40" t="n"/>
      <c r="O24" s="42" t="n"/>
      <c r="P24" s="43" t="inlineStr">
        <is>
          <t>hv</t>
        </is>
      </c>
      <c r="Q24" s="41" t="inlineStr">
        <is>
          <t>hv</t>
        </is>
      </c>
      <c r="R24" s="40" t="inlineStr">
        <is>
          <t>hv</t>
        </is>
      </c>
      <c r="S24" s="42" t="inlineStr">
        <is>
          <t>hv</t>
        </is>
      </c>
      <c r="T24" s="43" t="inlineStr">
        <is>
          <t>hv</t>
        </is>
      </c>
      <c r="U24" s="41" t="inlineStr">
        <is>
          <t>hv</t>
        </is>
      </c>
      <c r="V24" s="40" t="inlineStr">
        <is>
          <t>hv</t>
        </is>
      </c>
      <c r="W24" s="42" t="inlineStr">
        <is>
          <t>hv</t>
        </is>
      </c>
      <c r="X24" s="43" t="inlineStr">
        <is>
          <t>hv</t>
        </is>
      </c>
      <c r="Y24" s="41" t="inlineStr">
        <is>
          <t>hv</t>
        </is>
      </c>
      <c r="Z24" s="40" t="n"/>
      <c r="AA24" s="42" t="n"/>
      <c r="AB24" s="43" t="n"/>
      <c r="AC24" s="41" t="n"/>
      <c r="AD24" s="40" t="n"/>
      <c r="AE24" s="42" t="n"/>
      <c r="AF24" s="43" t="n"/>
      <c r="AG24" s="41" t="n"/>
      <c r="AH24" s="40" t="n"/>
      <c r="AI24" s="42" t="n"/>
      <c r="AJ24" s="43" t="n"/>
      <c r="AK24" s="41" t="n"/>
      <c r="AL24" s="40" t="n"/>
      <c r="AM24" s="41" t="n"/>
      <c r="AN24" s="645" t="n"/>
      <c r="AO24" s="42" t="n"/>
      <c r="AP24" s="40" t="n"/>
      <c r="AQ24" s="41" t="n"/>
      <c r="AR24" s="888">
        <f>IFERROR(IF(VLOOKUP($B24,Medewerker!$C$8:$M$107,11,FALSE)="",VLOOKUP($B24,Medewerker!$C$8:$M$107,9,FALSE),0),0)</f>
        <v/>
      </c>
      <c r="AS24" s="889">
        <f>IFERROR(IF(B24="",1,IF(VLOOKUP($B24,Medewerker!$C$8:$M$107,11,FALSE)="",VLOOKUP($B24,Medewerker!$C$8:$M$107,10,FALSE),0)),0)</f>
        <v/>
      </c>
      <c r="AT24" s="30" t="n"/>
      <c r="AU24" s="30">
        <f>(COUNTIF(F24:AQ24,"afw"))/2</f>
        <v/>
      </c>
      <c r="AV24" s="111">
        <f>((38-(COUNTIF(F24:AQ24,"")))/2)-(COUNTIF(F24:AQ24,"p")/2)-(COUNTIF(F24:AQ24,CONCATENATE("x","*"))/4)</f>
        <v/>
      </c>
      <c r="AW24" s="73">
        <f>IF($B24="","",VLOOKUP($B24,Medewerker!$C$8:$E$107,3,FALSE))</f>
        <v/>
      </c>
      <c r="AX24" s="403">
        <f>IFERROR(VLOOKUP($B24,Planning!$B$6:$AG$105,32,FALSE)*24,"")</f>
        <v/>
      </c>
      <c r="AY24" s="562" t="inlineStr">
        <is>
          <t>br</t>
        </is>
      </c>
      <c r="AZ24" s="166" t="inlineStr">
        <is>
          <t>Bepalen restant</t>
        </is>
      </c>
      <c r="BA24" s="111">
        <f>COUNTIF($F$13:$AQ$63,CONCATENATE(AY24,"*"))/2+COUNTIF($F$13:$AQ$63,CONCATENATE("x",AY24,"*"))/4</f>
        <v/>
      </c>
      <c r="BB24" s="838" t="n"/>
      <c r="BC24" s="31">
        <f>IF(Planning!B17="","",Planning!B17)</f>
        <v/>
      </c>
      <c r="BD24" s="105" t="n"/>
      <c r="BE24" s="885">
        <f>Planning!E17</f>
        <v/>
      </c>
      <c r="BF24" s="885">
        <f>Planning!F17</f>
        <v/>
      </c>
      <c r="BG24" s="886" t="n"/>
      <c r="BH24" s="105" t="n"/>
      <c r="BI24" s="885">
        <f>Planning!I17</f>
        <v/>
      </c>
      <c r="BJ24" s="885">
        <f>Planning!J17</f>
        <v/>
      </c>
      <c r="BK24" s="886" t="n"/>
      <c r="BL24" s="105" t="n"/>
      <c r="BM24" s="885">
        <f>Planning!M17</f>
        <v/>
      </c>
      <c r="BN24" s="885">
        <f>Planning!N17</f>
        <v/>
      </c>
      <c r="BO24" s="886" t="n"/>
      <c r="BP24" s="105" t="n"/>
      <c r="BQ24" s="885">
        <f>Planning!Q17</f>
        <v/>
      </c>
      <c r="BR24" s="885">
        <f>Planning!R17</f>
        <v/>
      </c>
      <c r="BS24" s="886" t="n"/>
      <c r="BT24" s="105" t="n"/>
      <c r="BU24" s="885">
        <f>Planning!U17</f>
        <v/>
      </c>
      <c r="BV24" s="885">
        <f>Planning!V17</f>
        <v/>
      </c>
      <c r="BW24" s="886" t="n"/>
      <c r="BX24" s="105" t="n"/>
      <c r="BY24" s="885">
        <f>Planning!Y17</f>
        <v/>
      </c>
      <c r="BZ24" s="885">
        <f>Planning!Z17</f>
        <v/>
      </c>
      <c r="CA24" s="886" t="n"/>
      <c r="CB24" s="105" t="n"/>
      <c r="CC24" s="885">
        <f>Planning!AC17</f>
        <v/>
      </c>
      <c r="CD24" s="885">
        <f>Planning!AD17</f>
        <v/>
      </c>
      <c r="CE24" s="886" t="n"/>
      <c r="CF24" s="105" t="n"/>
      <c r="CG24" s="887">
        <f>Planning!AG17</f>
        <v/>
      </c>
      <c r="CH24" s="105" t="n"/>
      <c r="CI24" s="252">
        <f>IF(BC24="","",Planning!AI17)</f>
        <v/>
      </c>
      <c r="CJ24" s="252">
        <f>IF(BC24="","",Planning!AJ17)</f>
        <v/>
      </c>
      <c r="CK24" s="252">
        <f>IF(BC24="","",Planning!AK17)</f>
        <v/>
      </c>
      <c r="CL24" s="252">
        <f>IF(BC24="","",Planning!AH17)</f>
        <v/>
      </c>
      <c r="CM24" s="21" t="n"/>
    </row>
    <row r="25" ht="12.75" customHeight="1">
      <c r="A25" s="161">
        <f>IFERROR(IF(VLOOKUP($B25,$BC$13:$CL$86,36,FALSE)&gt;5,0,IF(COUNTIF($B$13:$B$63,$B25)&gt;1,0,13)),13)+IF(B25&lt;&gt;0,0,IF(AV25&gt;0,0.000001,0))</f>
        <v/>
      </c>
      <c r="B25" s="129" t="n"/>
      <c r="C25" s="48">
        <f>IFERROR(IF($B25="","",VLOOKUP($B25,Medewerker!$C$8:$AI$107,33,FALSE)),"?")</f>
        <v/>
      </c>
      <c r="D25" s="879">
        <f t="array" ref="D25">IFERROR(IF(LEFT(INDEX($F25:$AQ25,1,SUM(SMALL(IF($F25:$AQ25&lt;&gt;"",COLUMN($F25:$AQ25)),1)-5)),1)="x",SUM(SMALL(IF($F25:$AQ25&lt;&gt;"",$F$11:$AQ$11),1)+"0:15"),SMALL(IF($F25:$AQ25&lt;&gt;"",$F$11:$AQ$11),1)),"")</f>
        <v/>
      </c>
      <c r="E25" s="879">
        <f t="array" ref="E25">IFERROR(IF(LEFT(INDEX($F25:$AQ25,1,SUM(LARGE(IF($F25:$AQ25&lt;&gt;"",COLUMN($F25:$AQ25)),1)-5)),1)="x",SUM(LARGE(IF($F25:$AQ25&lt;&gt;"",$F$11:$AQ$11+"0:30:00"),1)-"0:15"),LARGE(IF($F25:$AQ25&lt;&gt;"",$F$11:$AQ$11+"0:30:00"),1)),"")</f>
        <v/>
      </c>
      <c r="F25" s="40" t="n"/>
      <c r="G25" s="41" t="n"/>
      <c r="H25" s="40" t="n"/>
      <c r="I25" s="41" t="n"/>
      <c r="J25" s="40" t="n"/>
      <c r="K25" s="42" t="n"/>
      <c r="L25" s="43" t="n"/>
      <c r="M25" s="41" t="n"/>
      <c r="N25" s="40" t="n"/>
      <c r="O25" s="42" t="n"/>
      <c r="P25" s="43" t="n"/>
      <c r="Q25" s="41" t="n"/>
      <c r="R25" s="40" t="n"/>
      <c r="S25" s="42" t="n"/>
      <c r="T25" s="43" t="n"/>
      <c r="U25" s="41" t="n"/>
      <c r="V25" s="40" t="n"/>
      <c r="W25" s="42" t="n"/>
      <c r="X25" s="43" t="n"/>
      <c r="Y25" s="41" t="n"/>
      <c r="Z25" s="40" t="n"/>
      <c r="AA25" s="42" t="n"/>
      <c r="AB25" s="43" t="n"/>
      <c r="AC25" s="41" t="n"/>
      <c r="AD25" s="40" t="n"/>
      <c r="AE25" s="42" t="n"/>
      <c r="AF25" s="43" t="n"/>
      <c r="AG25" s="41" t="n"/>
      <c r="AH25" s="40" t="n"/>
      <c r="AI25" s="42" t="n"/>
      <c r="AJ25" s="43" t="n"/>
      <c r="AK25" s="41" t="n"/>
      <c r="AL25" s="40" t="n"/>
      <c r="AM25" s="41" t="n"/>
      <c r="AN25" s="645" t="n"/>
      <c r="AO25" s="42" t="n"/>
      <c r="AP25" s="40" t="n"/>
      <c r="AQ25" s="41" t="n"/>
      <c r="AR25" s="888">
        <f>IFERROR(IF(VLOOKUP($B25,Medewerker!$C$8:$M$107,11,FALSE)="",VLOOKUP($B25,Medewerker!$C$8:$M$107,9,FALSE),0),0)</f>
        <v/>
      </c>
      <c r="AS25" s="889">
        <f>IFERROR(IF(B25="",1,IF(VLOOKUP($B25,Medewerker!$C$8:$M$107,11,FALSE)="",VLOOKUP($B25,Medewerker!$C$8:$M$107,10,FALSE),0)),0)</f>
        <v/>
      </c>
      <c r="AT25" s="30" t="n"/>
      <c r="AU25" s="30">
        <f>(COUNTIF(F25:AQ25,"afw"))/2</f>
        <v/>
      </c>
      <c r="AV25" s="111">
        <f>((38-(COUNTIF(F25:AQ25,"")))/2)-(COUNTIF(F25:AQ25,"p")/2)-(COUNTIF(F25:AQ25,CONCATENATE("x","*"))/4)</f>
        <v/>
      </c>
      <c r="AW25" s="73">
        <f>IF($B25="","",VLOOKUP($B25,Medewerker!$C$8:$E$107,3,FALSE))</f>
        <v/>
      </c>
      <c r="AX25" s="403">
        <f>IFERROR(VLOOKUP($B25,Planning!$B$6:$AG$105,32,FALSE)*24,"")</f>
        <v/>
      </c>
      <c r="AY25" s="563" t="inlineStr">
        <is>
          <t>bl</t>
        </is>
      </c>
      <c r="AZ25" s="412" t="inlineStr">
        <is>
          <t>Bepalen langrestant</t>
        </is>
      </c>
      <c r="BA25" s="111">
        <f>COUNTIF($F$13:$AQ$63,CONCATENATE(AY25,"*"))/2+COUNTIF($F$13:$AQ$63,CONCATENATE("x",AY25,"*"))/4</f>
        <v/>
      </c>
      <c r="BB25" s="838" t="n"/>
      <c r="BC25" s="31">
        <f>IF(Planning!B18="","",Planning!B18)</f>
        <v/>
      </c>
      <c r="BD25" s="105" t="n"/>
      <c r="BE25" s="885">
        <f>Planning!E18</f>
        <v/>
      </c>
      <c r="BF25" s="885">
        <f>Planning!F18</f>
        <v/>
      </c>
      <c r="BG25" s="886" t="n"/>
      <c r="BH25" s="105" t="n"/>
      <c r="BI25" s="885">
        <f>Planning!I18</f>
        <v/>
      </c>
      <c r="BJ25" s="885">
        <f>Planning!J18</f>
        <v/>
      </c>
      <c r="BK25" s="886" t="n"/>
      <c r="BL25" s="105" t="n"/>
      <c r="BM25" s="885">
        <f>Planning!M18</f>
        <v/>
      </c>
      <c r="BN25" s="885">
        <f>Planning!N18</f>
        <v/>
      </c>
      <c r="BO25" s="886" t="n"/>
      <c r="BP25" s="105" t="n"/>
      <c r="BQ25" s="885">
        <f>Planning!Q18</f>
        <v/>
      </c>
      <c r="BR25" s="885">
        <f>Planning!R18</f>
        <v/>
      </c>
      <c r="BS25" s="886" t="n"/>
      <c r="BT25" s="105" t="n"/>
      <c r="BU25" s="885">
        <f>Planning!U18</f>
        <v/>
      </c>
      <c r="BV25" s="885">
        <f>Planning!V18</f>
        <v/>
      </c>
      <c r="BW25" s="886" t="n"/>
      <c r="BX25" s="105" t="n"/>
      <c r="BY25" s="885">
        <f>Planning!Y18</f>
        <v/>
      </c>
      <c r="BZ25" s="885">
        <f>Planning!Z18</f>
        <v/>
      </c>
      <c r="CA25" s="886" t="n"/>
      <c r="CB25" s="105" t="n"/>
      <c r="CC25" s="885">
        <f>Planning!AC18</f>
        <v/>
      </c>
      <c r="CD25" s="885">
        <f>Planning!AD18</f>
        <v/>
      </c>
      <c r="CE25" s="886" t="n"/>
      <c r="CF25" s="105" t="n"/>
      <c r="CG25" s="887">
        <f>Planning!AG18</f>
        <v/>
      </c>
      <c r="CH25" s="105" t="n"/>
      <c r="CI25" s="252">
        <f>IF(BC25="","",Planning!AI18)</f>
        <v/>
      </c>
      <c r="CJ25" s="252">
        <f>IF(BC25="","",Planning!AJ18)</f>
        <v/>
      </c>
      <c r="CK25" s="252">
        <f>IF(BC25="","",Planning!AK18)</f>
        <v/>
      </c>
      <c r="CL25" s="252">
        <f>IF(BC25="","",Planning!AH18)</f>
        <v/>
      </c>
      <c r="CM25" s="21" t="n"/>
    </row>
    <row r="26" ht="12.75" customHeight="1">
      <c r="A26" s="161">
        <f>IFERROR(IF(VLOOKUP($B26,$BC$13:$CL$86,36,FALSE)&gt;5,0,IF(COUNTIF($B$13:$B$63,$B26)&gt;1,0,14)),14)+IF(B26&lt;&gt;0,0,IF(AV26&gt;0,0.000001,0))</f>
        <v/>
      </c>
      <c r="B26" s="129" t="inlineStr">
        <is>
          <t>Tony Zogo</t>
        </is>
      </c>
      <c r="C26" s="48">
        <f>IFERROR(IF($B26="","",VLOOKUP($B26,Medewerker!$C$8:$AI$107,33,FALSE)),"?")</f>
        <v/>
      </c>
      <c r="D26" s="879">
        <f t="array" ref="D26">IFERROR(IF(LEFT(INDEX($F26:$AQ26,1,SUM(SMALL(IF($F26:$AQ26&lt;&gt;"",COLUMN($F26:$AQ26)),1)-5)),1)="x",SUM(SMALL(IF($F26:$AQ26&lt;&gt;"",$F$11:$AQ$11),1)+"0:15"),SMALL(IF($F26:$AQ26&lt;&gt;"",$F$11:$AQ$11),1)),"")</f>
        <v/>
      </c>
      <c r="E26" s="879">
        <f t="array" ref="E26">IFERROR(IF(LEFT(INDEX($F26:$AQ26,1,SUM(LARGE(IF($F26:$AQ26&lt;&gt;"",COLUMN($F26:$AQ26)),1)-5)),1)="x",SUM(LARGE(IF($F26:$AQ26&lt;&gt;"",$F$11:$AQ$11+"0:30:00"),1)-"0:15"),LARGE(IF($F26:$AQ26&lt;&gt;"",$F$11:$AQ$11+"0:30:00"),1)),"")</f>
        <v/>
      </c>
      <c r="F26" s="40" t="n"/>
      <c r="G26" s="41" t="n"/>
      <c r="H26" s="40" t="n"/>
      <c r="I26" s="41" t="n"/>
      <c r="J26" s="40" t="inlineStr">
        <is>
          <t>nh</t>
        </is>
      </c>
      <c r="K26" s="42" t="inlineStr">
        <is>
          <t>nh</t>
        </is>
      </c>
      <c r="L26" s="43" t="inlineStr">
        <is>
          <t>l</t>
        </is>
      </c>
      <c r="M26" s="41" t="inlineStr">
        <is>
          <t>sp</t>
        </is>
      </c>
      <c r="N26" s="40" t="inlineStr">
        <is>
          <t>sp</t>
        </is>
      </c>
      <c r="O26" s="42" t="inlineStr">
        <is>
          <t>sp</t>
        </is>
      </c>
      <c r="P26" s="43" t="inlineStr">
        <is>
          <t>sp</t>
        </is>
      </c>
      <c r="Q26" s="41" t="inlineStr">
        <is>
          <t>sp</t>
        </is>
      </c>
      <c r="R26" s="40" t="inlineStr">
        <is>
          <t>p</t>
        </is>
      </c>
      <c r="S26" s="42" t="inlineStr">
        <is>
          <t>hv</t>
        </is>
      </c>
      <c r="T26" s="43" t="inlineStr">
        <is>
          <t>hv</t>
        </is>
      </c>
      <c r="U26" s="41" t="inlineStr">
        <is>
          <t>hv</t>
        </is>
      </c>
      <c r="V26" s="40" t="inlineStr">
        <is>
          <t>hv</t>
        </is>
      </c>
      <c r="W26" s="42" t="n"/>
      <c r="X26" s="43" t="n"/>
      <c r="Y26" s="41" t="n"/>
      <c r="Z26" s="40" t="n"/>
      <c r="AA26" s="42" t="n"/>
      <c r="AB26" s="43" t="n"/>
      <c r="AC26" s="41" t="n"/>
      <c r="AD26" s="40" t="n"/>
      <c r="AE26" s="42" t="n"/>
      <c r="AF26" s="43" t="n"/>
      <c r="AG26" s="41" t="n"/>
      <c r="AH26" s="40" t="n"/>
      <c r="AI26" s="42" t="n"/>
      <c r="AJ26" s="43" t="n"/>
      <c r="AK26" s="41" t="n"/>
      <c r="AL26" s="40" t="n"/>
      <c r="AM26" s="41" t="n"/>
      <c r="AN26" s="645" t="n"/>
      <c r="AO26" s="42" t="n"/>
      <c r="AP26" s="40" t="n"/>
      <c r="AQ26" s="41" t="n"/>
      <c r="AR26" s="888">
        <f>IFERROR(IF(VLOOKUP($B26,Medewerker!$C$8:$M$107,11,FALSE)="",VLOOKUP($B26,Medewerker!$C$8:$M$107,9,FALSE),0),0)</f>
        <v/>
      </c>
      <c r="AS26" s="889">
        <f>IFERROR(IF(B26="",1,IF(VLOOKUP($B26,Medewerker!$C$8:$M$107,11,FALSE)="",VLOOKUP($B26,Medewerker!$C$8:$M$107,10,FALSE),0)),0)</f>
        <v/>
      </c>
      <c r="AT26" s="30" t="n"/>
      <c r="AU26" s="30">
        <f>(COUNTIF(F26:AQ26,"afw"))/2</f>
        <v/>
      </c>
      <c r="AV26" s="111">
        <f>((38-(COUNTIF(F26:AQ26,"")))/2)-(COUNTIF(F26:AQ26,"p")/2)-(COUNTIF(F26:AQ26,CONCATENATE("x","*"))/4)</f>
        <v/>
      </c>
      <c r="AW26" s="73">
        <f>IF($B26="","",VLOOKUP($B26,Medewerker!$C$8:$E$107,3,FALSE))</f>
        <v/>
      </c>
      <c r="AX26" s="403">
        <f>IFERROR(VLOOKUP($B26,Planning!$B$6:$AG$105,32,FALSE)*24,"")</f>
        <v/>
      </c>
      <c r="AY26" s="562" t="inlineStr">
        <is>
          <t>hl</t>
        </is>
      </c>
      <c r="AZ26" s="166" t="inlineStr">
        <is>
          <t>Hardlopers vullen</t>
        </is>
      </c>
      <c r="BA26" s="111">
        <f>COUNTIF($F$13:$AQ$63,CONCATENATE(AY26,"*"))/2+COUNTIF($F$13:$AQ$63,CONCATENATE("x",AY26,"*"))/4</f>
        <v/>
      </c>
      <c r="BB26" s="838" t="n"/>
      <c r="BC26" s="31">
        <f>IF(Planning!B19="","",Planning!B19)</f>
        <v/>
      </c>
      <c r="BD26" s="105" t="n"/>
      <c r="BE26" s="885">
        <f>Planning!E19</f>
        <v/>
      </c>
      <c r="BF26" s="885">
        <f>Planning!F19</f>
        <v/>
      </c>
      <c r="BG26" s="886" t="n"/>
      <c r="BH26" s="105" t="n"/>
      <c r="BI26" s="885">
        <f>Planning!I19</f>
        <v/>
      </c>
      <c r="BJ26" s="885">
        <f>Planning!J19</f>
        <v/>
      </c>
      <c r="BK26" s="886" t="n"/>
      <c r="BL26" s="105" t="n"/>
      <c r="BM26" s="885">
        <f>Planning!M19</f>
        <v/>
      </c>
      <c r="BN26" s="885">
        <f>Planning!N19</f>
        <v/>
      </c>
      <c r="BO26" s="886" t="n"/>
      <c r="BP26" s="105" t="n"/>
      <c r="BQ26" s="885">
        <f>Planning!Q19</f>
        <v/>
      </c>
      <c r="BR26" s="885">
        <f>Planning!R19</f>
        <v/>
      </c>
      <c r="BS26" s="886" t="n"/>
      <c r="BT26" s="105" t="n"/>
      <c r="BU26" s="885">
        <f>Planning!U19</f>
        <v/>
      </c>
      <c r="BV26" s="885">
        <f>Planning!V19</f>
        <v/>
      </c>
      <c r="BW26" s="886" t="n"/>
      <c r="BX26" s="105" t="n"/>
      <c r="BY26" s="885">
        <f>Planning!Y19</f>
        <v/>
      </c>
      <c r="BZ26" s="885">
        <f>Planning!Z19</f>
        <v/>
      </c>
      <c r="CA26" s="886" t="n"/>
      <c r="CB26" s="105" t="n"/>
      <c r="CC26" s="885">
        <f>Planning!AC19</f>
        <v/>
      </c>
      <c r="CD26" s="885">
        <f>Planning!AD19</f>
        <v/>
      </c>
      <c r="CE26" s="886" t="n"/>
      <c r="CF26" s="105" t="n"/>
      <c r="CG26" s="887">
        <f>Planning!AG19</f>
        <v/>
      </c>
      <c r="CH26" s="105" t="n"/>
      <c r="CI26" s="252">
        <f>IF(BC26="","",Planning!AI19)</f>
        <v/>
      </c>
      <c r="CJ26" s="252">
        <f>IF(BC26="","",Planning!AJ19)</f>
        <v/>
      </c>
      <c r="CK26" s="252">
        <f>IF(BC26="","",Planning!AK19)</f>
        <v/>
      </c>
      <c r="CL26" s="252">
        <f>IF(BC26="","",Planning!AH19)</f>
        <v/>
      </c>
      <c r="CM26" s="21" t="n"/>
    </row>
    <row r="27" ht="12.75" customHeight="1">
      <c r="A27" s="161">
        <f>IFERROR(IF(VLOOKUP($B27,$BC$13:$CL$86,36,FALSE)&gt;5,0,IF(COUNTIF($B$13:$B$63,$B27)&gt;1,0,15)),15)+IF(B27&lt;&gt;0,0,IF(AV27&gt;0,0.000001,0))</f>
        <v/>
      </c>
      <c r="B27" s="129" t="inlineStr">
        <is>
          <t>Kamal</t>
        </is>
      </c>
      <c r="C27" s="48">
        <f>IFERROR(IF($B27="","",VLOOKUP($B27,Medewerker!$C$8:$AI$107,33,FALSE)),"?")</f>
        <v/>
      </c>
      <c r="D27" s="879">
        <f t="array" ref="D27">IFERROR(IF(LEFT(INDEX($F27:$AQ27,1,SUM(SMALL(IF($F27:$AQ27&lt;&gt;"",COLUMN($F27:$AQ27)),1)-5)),1)="x",SUM(SMALL(IF($F27:$AQ27&lt;&gt;"",$F$11:$AQ$11),1)+"0:15"),SMALL(IF($F27:$AQ27&lt;&gt;"",$F$11:$AQ$11),1)),"")</f>
        <v/>
      </c>
      <c r="E27" s="879">
        <f t="array" ref="E27">IFERROR(IF(LEFT(INDEX($F27:$AQ27,1,SUM(LARGE(IF($F27:$AQ27&lt;&gt;"",COLUMN($F27:$AQ27)),1)-5)),1)="x",SUM(LARGE(IF($F27:$AQ27&lt;&gt;"",$F$11:$AQ$11+"0:30:00"),1)-"0:15"),LARGE(IF($F27:$AQ27&lt;&gt;"",$F$11:$AQ$11+"0:30:00"),1)),"")</f>
        <v/>
      </c>
      <c r="F27" s="40" t="n"/>
      <c r="G27" s="41" t="n"/>
      <c r="H27" s="40" t="n"/>
      <c r="I27" s="41" t="n"/>
      <c r="J27" s="40" t="inlineStr">
        <is>
          <t>nh</t>
        </is>
      </c>
      <c r="K27" s="42" t="inlineStr">
        <is>
          <t>l</t>
        </is>
      </c>
      <c r="L27" s="43" t="inlineStr">
        <is>
          <t>l</t>
        </is>
      </c>
      <c r="M27" s="41" t="inlineStr">
        <is>
          <t>hv</t>
        </is>
      </c>
      <c r="N27" s="40" t="inlineStr">
        <is>
          <t>hv</t>
        </is>
      </c>
      <c r="O27" s="42" t="inlineStr">
        <is>
          <t>hv</t>
        </is>
      </c>
      <c r="P27" s="43" t="inlineStr">
        <is>
          <t>hv</t>
        </is>
      </c>
      <c r="Q27" s="41" t="inlineStr">
        <is>
          <t>hv</t>
        </is>
      </c>
      <c r="R27" s="40" t="inlineStr">
        <is>
          <t>p</t>
        </is>
      </c>
      <c r="S27" s="42" t="inlineStr">
        <is>
          <t>hv</t>
        </is>
      </c>
      <c r="T27" s="43" t="inlineStr">
        <is>
          <t>hv</t>
        </is>
      </c>
      <c r="U27" s="41" t="inlineStr">
        <is>
          <t>hv</t>
        </is>
      </c>
      <c r="V27" s="40" t="inlineStr">
        <is>
          <t>hv</t>
        </is>
      </c>
      <c r="W27" s="42" t="n"/>
      <c r="X27" s="43" t="n"/>
      <c r="Y27" s="41" t="n"/>
      <c r="Z27" s="40" t="n"/>
      <c r="AA27" s="42" t="n"/>
      <c r="AB27" s="43" t="n"/>
      <c r="AC27" s="41" t="n"/>
      <c r="AD27" s="40" t="n"/>
      <c r="AE27" s="42" t="n"/>
      <c r="AF27" s="43" t="n"/>
      <c r="AG27" s="41" t="n"/>
      <c r="AH27" s="40" t="n"/>
      <c r="AI27" s="42" t="n"/>
      <c r="AJ27" s="43" t="n"/>
      <c r="AK27" s="41" t="n"/>
      <c r="AL27" s="40" t="n"/>
      <c r="AM27" s="41" t="n"/>
      <c r="AN27" s="645" t="n"/>
      <c r="AO27" s="42" t="n"/>
      <c r="AP27" s="40" t="n"/>
      <c r="AQ27" s="41" t="n"/>
      <c r="AR27" s="888">
        <f>IFERROR(IF(VLOOKUP($B27,Medewerker!$C$8:$M$107,11,FALSE)="",VLOOKUP($B27,Medewerker!$C$8:$M$107,9,FALSE),0),0)</f>
        <v/>
      </c>
      <c r="AS27" s="889">
        <f>IFERROR(IF(B27="",1,IF(VLOOKUP($B27,Medewerker!$C$8:$M$107,11,FALSE)="",VLOOKUP($B27,Medewerker!$C$8:$M$107,10,FALSE),0)),0)</f>
        <v/>
      </c>
      <c r="AT27" s="30" t="n"/>
      <c r="AU27" s="30">
        <f>(COUNTIF(F27:AQ27,"afw"))/2</f>
        <v/>
      </c>
      <c r="AV27" s="111">
        <f>((38-(COUNTIF(F27:AQ27,"")))/2)-(COUNTIF(F27:AQ27,"p")/2)-(COUNTIF(F27:AQ27,CONCATENATE("x","*"))/4)</f>
        <v/>
      </c>
      <c r="AW27" s="73">
        <f>IF($B27="","",VLOOKUP($B27,Medewerker!$C$8:$E$107,3,FALSE))</f>
        <v/>
      </c>
      <c r="AX27" s="403">
        <f>IFERROR(VLOOKUP($B27,Planning!$B$6:$AG$105,32,FALSE)*24,"")</f>
        <v/>
      </c>
      <c r="AY27" s="563" t="inlineStr">
        <is>
          <t>lhb</t>
        </is>
      </c>
      <c r="AZ27" s="71" t="inlineStr">
        <is>
          <t>Neeverkoop HB</t>
        </is>
      </c>
      <c r="BA27" s="111">
        <f>COUNTIF($F$13:$AQ$63,CONCATENATE(AY27,"*"))/2+COUNTIF($F$13:$AQ$63,CONCATENATE("x",AY27,"*"))/4</f>
        <v/>
      </c>
      <c r="BB27" s="838" t="n"/>
      <c r="BC27" s="31">
        <f>IF(Planning!B20="","",Planning!B20)</f>
        <v/>
      </c>
      <c r="BD27" s="105" t="n"/>
      <c r="BE27" s="885">
        <f>Planning!E20</f>
        <v/>
      </c>
      <c r="BF27" s="885">
        <f>Planning!F20</f>
        <v/>
      </c>
      <c r="BG27" s="886" t="n"/>
      <c r="BH27" s="105" t="n"/>
      <c r="BI27" s="885">
        <f>Planning!I20</f>
        <v/>
      </c>
      <c r="BJ27" s="885">
        <f>Planning!J20</f>
        <v/>
      </c>
      <c r="BK27" s="886" t="n"/>
      <c r="BL27" s="105" t="n"/>
      <c r="BM27" s="885">
        <f>Planning!M20</f>
        <v/>
      </c>
      <c r="BN27" s="885">
        <f>Planning!N20</f>
        <v/>
      </c>
      <c r="BO27" s="886" t="n"/>
      <c r="BP27" s="105" t="n"/>
      <c r="BQ27" s="885">
        <f>Planning!Q20</f>
        <v/>
      </c>
      <c r="BR27" s="885">
        <f>Planning!R20</f>
        <v/>
      </c>
      <c r="BS27" s="886" t="n"/>
      <c r="BT27" s="105" t="n"/>
      <c r="BU27" s="885">
        <f>Planning!U20</f>
        <v/>
      </c>
      <c r="BV27" s="885">
        <f>Planning!V20</f>
        <v/>
      </c>
      <c r="BW27" s="886" t="n"/>
      <c r="BX27" s="105" t="n"/>
      <c r="BY27" s="885">
        <f>Planning!Y20</f>
        <v/>
      </c>
      <c r="BZ27" s="885">
        <f>Planning!Z20</f>
        <v/>
      </c>
      <c r="CA27" s="886" t="n"/>
      <c r="CB27" s="105" t="n"/>
      <c r="CC27" s="885">
        <f>Planning!AC20</f>
        <v/>
      </c>
      <c r="CD27" s="885">
        <f>Planning!AD20</f>
        <v/>
      </c>
      <c r="CE27" s="886" t="n"/>
      <c r="CF27" s="105" t="n"/>
      <c r="CG27" s="887">
        <f>Planning!AG20</f>
        <v/>
      </c>
      <c r="CH27" s="105" t="n"/>
      <c r="CI27" s="252">
        <f>IF(BC27="","",Planning!AI20)</f>
        <v/>
      </c>
      <c r="CJ27" s="252">
        <f>IF(BC27="","",Planning!AJ20)</f>
        <v/>
      </c>
      <c r="CK27" s="252">
        <f>IF(BC27="","",Planning!AK20)</f>
        <v/>
      </c>
      <c r="CL27" s="252">
        <f>IF(BC27="","",Planning!AH20)</f>
        <v/>
      </c>
      <c r="CM27" s="21" t="n"/>
    </row>
    <row r="28" ht="12.75" customHeight="1">
      <c r="A28" s="161">
        <f>IFERROR(IF(VLOOKUP($B28,$BC$13:$CL$86,36,FALSE)&gt;5,0,IF(COUNTIF($B$13:$B$63,$B28)&gt;1,0,16)),16)+IF(B28&lt;&gt;0,0,IF(AV28&gt;0,0.000001,0))</f>
        <v/>
      </c>
      <c r="B28" s="52" t="inlineStr">
        <is>
          <t>Rachid Ahrass</t>
        </is>
      </c>
      <c r="C28" s="48">
        <f>IFERROR(IF($B28="","",VLOOKUP($B28,Medewerker!$C$8:$AI$107,33,FALSE)),"?")</f>
        <v/>
      </c>
      <c r="D28" s="879">
        <f t="array" ref="D28">IFERROR(IF(LEFT(INDEX($F28:$AQ28,1,SUM(SMALL(IF($F28:$AQ28&lt;&gt;"",COLUMN($F28:$AQ28)),1)-5)),1)="x",SUM(SMALL(IF($F28:$AQ28&lt;&gt;"",$F$11:$AQ$11),1)+"0:15"),SMALL(IF($F28:$AQ28&lt;&gt;"",$F$11:$AQ$11),1)),"")</f>
        <v/>
      </c>
      <c r="E28" s="879">
        <f t="array" ref="E28">IFERROR(IF(LEFT(INDEX($F28:$AQ28,1,SUM(LARGE(IF($F28:$AQ28&lt;&gt;"",COLUMN($F28:$AQ28)),1)-5)),1)="x",SUM(LARGE(IF($F28:$AQ28&lt;&gt;"",$F$11:$AQ$11+"0:30:00"),1)-"0:15"),LARGE(IF($F28:$AQ28&lt;&gt;"",$F$11:$AQ$11+"0:30:00"),1)),"")</f>
        <v/>
      </c>
      <c r="F28" s="40" t="n"/>
      <c r="G28" s="41" t="n"/>
      <c r="H28" s="41" t="n"/>
      <c r="I28" s="41" t="n"/>
      <c r="J28" s="41" t="n"/>
      <c r="K28" s="41" t="n"/>
      <c r="L28" s="41" t="n"/>
      <c r="M28" s="41" t="n"/>
      <c r="N28" s="40" t="n"/>
      <c r="O28" s="42" t="n"/>
      <c r="P28" s="43" t="inlineStr">
        <is>
          <t>hv</t>
        </is>
      </c>
      <c r="Q28" s="43" t="inlineStr">
        <is>
          <t>hv</t>
        </is>
      </c>
      <c r="R28" s="43" t="inlineStr">
        <is>
          <t>hv</t>
        </is>
      </c>
      <c r="S28" s="43" t="inlineStr">
        <is>
          <t>hv</t>
        </is>
      </c>
      <c r="T28" s="43" t="inlineStr">
        <is>
          <t>hv</t>
        </is>
      </c>
      <c r="U28" s="43" t="inlineStr">
        <is>
          <t>hv</t>
        </is>
      </c>
      <c r="V28" s="43" t="inlineStr">
        <is>
          <t>hv</t>
        </is>
      </c>
      <c r="W28" s="43" t="inlineStr">
        <is>
          <t>p</t>
        </is>
      </c>
      <c r="X28" s="43" t="inlineStr">
        <is>
          <t>hv</t>
        </is>
      </c>
      <c r="Y28" s="43" t="inlineStr">
        <is>
          <t>hv</t>
        </is>
      </c>
      <c r="Z28" s="43" t="inlineStr">
        <is>
          <t>hv</t>
        </is>
      </c>
      <c r="AA28" s="43" t="inlineStr">
        <is>
          <t>hv</t>
        </is>
      </c>
      <c r="AB28" s="43" t="inlineStr">
        <is>
          <t>hv</t>
        </is>
      </c>
      <c r="AC28" s="43" t="inlineStr">
        <is>
          <t>hv</t>
        </is>
      </c>
      <c r="AD28" s="43" t="inlineStr">
        <is>
          <t>hv</t>
        </is>
      </c>
      <c r="AE28" s="43" t="inlineStr">
        <is>
          <t>hv</t>
        </is>
      </c>
      <c r="AF28" s="43" t="n"/>
      <c r="AG28" s="41" t="n"/>
      <c r="AH28" s="40" t="n"/>
      <c r="AI28" s="42" t="n"/>
      <c r="AJ28" s="43" t="n"/>
      <c r="AK28" s="41" t="n"/>
      <c r="AL28" s="40" t="n"/>
      <c r="AM28" s="41" t="n"/>
      <c r="AN28" s="645" t="n"/>
      <c r="AO28" s="42" t="n"/>
      <c r="AP28" s="40" t="n"/>
      <c r="AQ28" s="41" t="n"/>
      <c r="AR28" s="888">
        <f>IFERROR(IF(VLOOKUP($B28,Medewerker!$C$8:$M$107,11,FALSE)="",VLOOKUP($B28,Medewerker!$C$8:$M$107,9,FALSE),0),0)</f>
        <v/>
      </c>
      <c r="AS28" s="889">
        <f>IFERROR(IF(B28="",1,IF(VLOOKUP($B28,Medewerker!$C$8:$M$107,11,FALSE)="",VLOOKUP($B28,Medewerker!$C$8:$M$107,10,FALSE),0)),0)</f>
        <v/>
      </c>
      <c r="AT28" s="30" t="n"/>
      <c r="AU28" s="30">
        <f>(COUNTIF(F28:AQ28,"afw"))/2</f>
        <v/>
      </c>
      <c r="AV28" s="111">
        <f>((38-(COUNTIF(F28:AQ28,"")))/2)-(COUNTIF(F28:AQ28,"p")/2)-(COUNTIF(F28:AQ28,CONCATENATE("x","*"))/4)</f>
        <v/>
      </c>
      <c r="AW28" s="73">
        <f>IF($B28="","",VLOOKUP($B28,Medewerker!$C$8:$E$107,3,FALSE))</f>
        <v/>
      </c>
      <c r="AX28" s="403">
        <f>IFERROR(VLOOKUP($B28,Planning!$B$6:$AG$105,32,FALSE)*24,"")</f>
        <v/>
      </c>
      <c r="AY28" s="562" t="inlineStr">
        <is>
          <t>ldv</t>
        </is>
      </c>
      <c r="AZ28" s="166" t="inlineStr">
        <is>
          <t>Neeverkoop DV</t>
        </is>
      </c>
      <c r="BA28" s="111">
        <f>COUNTIF($F$13:$AQ$63,CONCATENATE(AY28,"*"))/2+COUNTIF($F$13:$AQ$63,CONCATENATE("x",AY28,"*"))/4</f>
        <v/>
      </c>
      <c r="BB28" s="838" t="n"/>
      <c r="BC28" s="31">
        <f>IF(Planning!B21="","",Planning!B21)</f>
        <v/>
      </c>
      <c r="BD28" s="105" t="n"/>
      <c r="BE28" s="885">
        <f>Planning!E21</f>
        <v/>
      </c>
      <c r="BF28" s="885">
        <f>Planning!F21</f>
        <v/>
      </c>
      <c r="BG28" s="886" t="n"/>
      <c r="BH28" s="105" t="n"/>
      <c r="BI28" s="885">
        <f>Planning!I21</f>
        <v/>
      </c>
      <c r="BJ28" s="885">
        <f>Planning!J21</f>
        <v/>
      </c>
      <c r="BK28" s="886" t="n"/>
      <c r="BL28" s="105" t="n"/>
      <c r="BM28" s="885">
        <f>Planning!M21</f>
        <v/>
      </c>
      <c r="BN28" s="885">
        <f>Planning!N21</f>
        <v/>
      </c>
      <c r="BO28" s="886" t="n"/>
      <c r="BP28" s="105" t="n"/>
      <c r="BQ28" s="885">
        <f>Planning!Q21</f>
        <v/>
      </c>
      <c r="BR28" s="885">
        <f>Planning!R21</f>
        <v/>
      </c>
      <c r="BS28" s="886" t="n"/>
      <c r="BT28" s="105" t="n"/>
      <c r="BU28" s="885">
        <f>Planning!U21</f>
        <v/>
      </c>
      <c r="BV28" s="885">
        <f>Planning!V21</f>
        <v/>
      </c>
      <c r="BW28" s="886" t="n"/>
      <c r="BX28" s="105" t="n"/>
      <c r="BY28" s="885">
        <f>Planning!Y21</f>
        <v/>
      </c>
      <c r="BZ28" s="885">
        <f>Planning!Z21</f>
        <v/>
      </c>
      <c r="CA28" s="886" t="n"/>
      <c r="CB28" s="105" t="n"/>
      <c r="CC28" s="885">
        <f>Planning!AC21</f>
        <v/>
      </c>
      <c r="CD28" s="885">
        <f>Planning!AD21</f>
        <v/>
      </c>
      <c r="CE28" s="886" t="n"/>
      <c r="CF28" s="105" t="n"/>
      <c r="CG28" s="887">
        <f>Planning!AG21</f>
        <v/>
      </c>
      <c r="CH28" s="105" t="n"/>
      <c r="CI28" s="252">
        <f>IF(BC28="","",Planning!AI21)</f>
        <v/>
      </c>
      <c r="CJ28" s="252">
        <f>IF(BC28="","",Planning!AJ21)</f>
        <v/>
      </c>
      <c r="CK28" s="252">
        <f>IF(BC28="","",Planning!AK21)</f>
        <v/>
      </c>
      <c r="CL28" s="252">
        <f>IF(BC28="","",Planning!AH21)</f>
        <v/>
      </c>
      <c r="CM28" s="21" t="n"/>
    </row>
    <row r="29" ht="12.75" customHeight="1">
      <c r="A29" s="161">
        <f>IFERROR(IF(VLOOKUP($B29,$BC$13:$CL$86,36,FALSE)&gt;5,0,IF(COUNTIF($B$13:$B$63,$B29)&gt;1,0,17)),17)+IF(B29&lt;&gt;0,0,IF(AV29&gt;0,0.000001,0))</f>
        <v/>
      </c>
      <c r="B29" s="126" t="n"/>
      <c r="C29" s="127">
        <f>IFERROR(IF($B29="","",VLOOKUP($B29,Medewerker!$C$8:$AI$107,33,FALSE)),"?")</f>
        <v/>
      </c>
      <c r="D29" s="890">
        <f t="array" ref="D29">IFERROR(IF(LEFT(INDEX($F29:$AQ29,1,SUM(SMALL(IF($F29:$AQ29&lt;&gt;"",COLUMN($F29:$AQ29)),1)-5)),1)="x",SUM(SMALL(IF($F29:$AQ29&lt;&gt;"",$F$11:$AQ$11),1)+"0:15"),SMALL(IF($F29:$AQ29&lt;&gt;"",$F$11:$AQ$11),1)),"")</f>
        <v/>
      </c>
      <c r="E29" s="890">
        <f t="array" ref="E29">IFERROR(IF(LEFT(INDEX($F29:$AQ29,1,SUM(LARGE(IF($F29:$AQ29&lt;&gt;"",COLUMN($F29:$AQ29)),1)-5)),1)="x",SUM(LARGE(IF($F29:$AQ29&lt;&gt;"",$F$11:$AQ$11+"0:30:00"),1)-"0:15"),LARGE(IF($F29:$AQ29&lt;&gt;"",$F$11:$AQ$11+"0:30:00"),1)),"")</f>
        <v/>
      </c>
      <c r="F29" s="40" t="n"/>
      <c r="G29" s="41" t="n"/>
      <c r="H29" s="41" t="n"/>
      <c r="I29" s="41" t="n"/>
      <c r="J29" s="41" t="n"/>
      <c r="K29" s="41" t="n"/>
      <c r="L29" s="41" t="n"/>
      <c r="M29" s="42" t="n"/>
      <c r="N29" s="43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40" t="n"/>
      <c r="AC29" s="42" t="n"/>
      <c r="AD29" s="43" t="n"/>
      <c r="AE29" s="41" t="n"/>
      <c r="AF29" s="40" t="n"/>
      <c r="AG29" s="42" t="n"/>
      <c r="AH29" s="43" t="n"/>
      <c r="AI29" s="41" t="n"/>
      <c r="AJ29" s="40" t="n"/>
      <c r="AK29" s="42" t="n"/>
      <c r="AL29" s="43" t="n"/>
      <c r="AM29" s="41" t="n"/>
      <c r="AN29" s="645" t="n"/>
      <c r="AO29" s="42" t="n"/>
      <c r="AP29" s="40" t="n"/>
      <c r="AQ29" s="41" t="n"/>
      <c r="AR29" s="888">
        <f>IFERROR(IF(VLOOKUP($B29,Medewerker!$C$8:$M$107,11,FALSE)="",VLOOKUP($B29,Medewerker!$C$8:$M$107,9,FALSE),0),0)</f>
        <v/>
      </c>
      <c r="AS29" s="889">
        <f>IFERROR(IF(B29="",1,IF(VLOOKUP($B29,Medewerker!$C$8:$M$107,11,FALSE)="",VLOOKUP($B29,Medewerker!$C$8:$M$107,10,FALSE),0)),0)</f>
        <v/>
      </c>
      <c r="AT29" s="30" t="n"/>
      <c r="AU29" s="30">
        <f>(COUNTIF(F29:AQ29,"afw"))/2</f>
        <v/>
      </c>
      <c r="AV29" s="111">
        <f>((38-(COUNTIF(F29:AQ29,"")))/2)-(COUNTIF(F29:AQ29,"p")/2)-(COUNTIF(F29:AQ29,CONCATENATE("x","*"))/4)</f>
        <v/>
      </c>
      <c r="AW29" s="73">
        <f>IF($B29="","",VLOOKUP($B29,Medewerker!$C$8:$E$107,3,FALSE))</f>
        <v/>
      </c>
      <c r="AX29" s="403">
        <f>IFERROR(VLOOKUP($B29,Planning!$B$6:$AG$105,32,FALSE)*24,"")</f>
        <v/>
      </c>
      <c r="AY29" s="563" t="inlineStr">
        <is>
          <t>lvv</t>
        </is>
      </c>
      <c r="AZ29" s="413" t="inlineStr">
        <is>
          <t>Neeverkoop Vers</t>
        </is>
      </c>
      <c r="BA29" s="111">
        <f>COUNTIF($F$13:$AQ$63,CONCATENATE(AY29,"*"))/2+COUNTIF($F$13:$AQ$63,CONCATENATE("x",AY29,"*"))/4</f>
        <v/>
      </c>
      <c r="BB29" s="838" t="n"/>
      <c r="BC29" s="31">
        <f>IF(Planning!B22="","",Planning!B22)</f>
        <v/>
      </c>
      <c r="BD29" s="105" t="n"/>
      <c r="BE29" s="885">
        <f>Planning!E22</f>
        <v/>
      </c>
      <c r="BF29" s="885">
        <f>Planning!F22</f>
        <v/>
      </c>
      <c r="BG29" s="886" t="n"/>
      <c r="BH29" s="105" t="n"/>
      <c r="BI29" s="885">
        <f>Planning!I22</f>
        <v/>
      </c>
      <c r="BJ29" s="885">
        <f>Planning!J22</f>
        <v/>
      </c>
      <c r="BK29" s="886" t="n"/>
      <c r="BL29" s="105" t="n"/>
      <c r="BM29" s="885">
        <f>Planning!M22</f>
        <v/>
      </c>
      <c r="BN29" s="885">
        <f>Planning!N22</f>
        <v/>
      </c>
      <c r="BO29" s="886" t="n"/>
      <c r="BP29" s="105" t="n"/>
      <c r="BQ29" s="885">
        <f>Planning!Q22</f>
        <v/>
      </c>
      <c r="BR29" s="885">
        <f>Planning!R22</f>
        <v/>
      </c>
      <c r="BS29" s="886" t="n"/>
      <c r="BT29" s="105" t="n"/>
      <c r="BU29" s="885">
        <f>Planning!U22</f>
        <v/>
      </c>
      <c r="BV29" s="885">
        <f>Planning!V22</f>
        <v/>
      </c>
      <c r="BW29" s="886" t="n"/>
      <c r="BX29" s="105" t="n"/>
      <c r="BY29" s="885">
        <f>Planning!Y22</f>
        <v/>
      </c>
      <c r="BZ29" s="885">
        <f>Planning!Z22</f>
        <v/>
      </c>
      <c r="CA29" s="886" t="n"/>
      <c r="CB29" s="105" t="n"/>
      <c r="CC29" s="885">
        <f>Planning!AC22</f>
        <v/>
      </c>
      <c r="CD29" s="885">
        <f>Planning!AD22</f>
        <v/>
      </c>
      <c r="CE29" s="886" t="n"/>
      <c r="CF29" s="105" t="n"/>
      <c r="CG29" s="887">
        <f>Planning!AG22</f>
        <v/>
      </c>
      <c r="CH29" s="105" t="n"/>
      <c r="CI29" s="252">
        <f>IF(BC29="","",Planning!AI22)</f>
        <v/>
      </c>
      <c r="CJ29" s="252">
        <f>IF(BC29="","",Planning!AJ22)</f>
        <v/>
      </c>
      <c r="CK29" s="252">
        <f>IF(BC29="","",Planning!AK22)</f>
        <v/>
      </c>
      <c r="CL29" s="252">
        <f>IF(BC29="","",Planning!AH22)</f>
        <v/>
      </c>
      <c r="CM29" s="21" t="n"/>
    </row>
    <row r="30" ht="12.75" customHeight="1">
      <c r="A30" s="161">
        <f>IFERROR(IF(VLOOKUP($B30,$BC$13:$CL$86,36,FALSE)&gt;5,0,IF(COUNTIF($B$13:$B$63,$B30)&gt;1,0,18)),18)+IF(B30&lt;&gt;0,0,IF(AV30&gt;0,0.000001,0))</f>
        <v/>
      </c>
      <c r="B30" s="126" t="inlineStr">
        <is>
          <t>Johny</t>
        </is>
      </c>
      <c r="C30" s="127">
        <f>IFERROR(IF($B30="","",VLOOKUP($B30,Medewerker!$C$8:$AI$107,33,FALSE)),"?")</f>
        <v/>
      </c>
      <c r="D30" s="890">
        <f t="array" ref="D30">IFERROR(IF(LEFT(INDEX($F30:$AQ30,1,SUM(SMALL(IF($F30:$AQ30&lt;&gt;"",COLUMN($F30:$AQ30)),1)-5)),1)="x",SUM(SMALL(IF($F30:$AQ30&lt;&gt;"",$F$11:$AQ$11),1)+"0:15"),SMALL(IF($F30:$AQ30&lt;&gt;"",$F$11:$AQ$11),1)),"")</f>
        <v/>
      </c>
      <c r="E30" s="890">
        <f t="array" ref="E30">IFERROR(IF(LEFT(INDEX($F30:$AQ30,1,SUM(LARGE(IF($F30:$AQ30&lt;&gt;"",COLUMN($F30:$AQ30)),1)-5)),1)="x",SUM(LARGE(IF($F30:$AQ30&lt;&gt;"",$F$11:$AQ$11+"0:30:00"),1)-"0:15"),LARGE(IF($F30:$AQ30&lt;&gt;"",$F$11:$AQ$11+"0:30:00"),1)),"")</f>
        <v/>
      </c>
      <c r="F30" s="40" t="n"/>
      <c r="G30" s="41" t="n"/>
      <c r="H30" s="41" t="n"/>
      <c r="I30" s="41" t="n"/>
      <c r="J30" s="41" t="n"/>
      <c r="K30" s="41" t="n"/>
      <c r="L30" s="41" t="n"/>
      <c r="M30" s="42" t="n"/>
      <c r="N30" s="43" t="n"/>
      <c r="O30" s="41" t="n"/>
      <c r="P30" s="40" t="inlineStr">
        <is>
          <t>rd</t>
        </is>
      </c>
      <c r="Q30" s="42" t="inlineStr">
        <is>
          <t>rd</t>
        </is>
      </c>
      <c r="R30" s="43" t="inlineStr">
        <is>
          <t>dv</t>
        </is>
      </c>
      <c r="S30" s="41" t="inlineStr">
        <is>
          <t>dv</t>
        </is>
      </c>
      <c r="T30" s="40" t="inlineStr">
        <is>
          <t>dv</t>
        </is>
      </c>
      <c r="U30" s="42" t="inlineStr">
        <is>
          <t>dv</t>
        </is>
      </c>
      <c r="V30" s="43" t="inlineStr">
        <is>
          <t>dv</t>
        </is>
      </c>
      <c r="W30" s="41" t="inlineStr">
        <is>
          <t>br</t>
        </is>
      </c>
      <c r="X30" s="40" t="inlineStr">
        <is>
          <t>br</t>
        </is>
      </c>
      <c r="Y30" s="42" t="inlineStr">
        <is>
          <t>br</t>
        </is>
      </c>
      <c r="Z30" s="43" t="n"/>
      <c r="AA30" s="41" t="n"/>
      <c r="AB30" s="40" t="n"/>
      <c r="AC30" s="42" t="n"/>
      <c r="AD30" s="43" t="n"/>
      <c r="AE30" s="41" t="n"/>
      <c r="AF30" s="40" t="n"/>
      <c r="AG30" s="42" t="n"/>
      <c r="AH30" s="43" t="n"/>
      <c r="AI30" s="41" t="n"/>
      <c r="AJ30" s="40" t="n"/>
      <c r="AK30" s="42" t="n"/>
      <c r="AL30" s="43" t="n"/>
      <c r="AM30" s="41" t="n"/>
      <c r="AN30" s="645" t="n"/>
      <c r="AO30" s="42" t="n"/>
      <c r="AP30" s="40" t="n"/>
      <c r="AQ30" s="41" t="n"/>
      <c r="AR30" s="888">
        <f>IFERROR(IF(VLOOKUP($B30,Medewerker!$C$8:$M$107,11,FALSE)="",VLOOKUP($B30,Medewerker!$C$8:$M$107,9,FALSE),0),0)</f>
        <v/>
      </c>
      <c r="AS30" s="889">
        <f>IFERROR(IF(B30="",1,IF(VLOOKUP($B30,Medewerker!$C$8:$M$107,11,FALSE)="",VLOOKUP($B30,Medewerker!$C$8:$M$107,10,FALSE),0)),0)</f>
        <v/>
      </c>
      <c r="AT30" s="30" t="n"/>
      <c r="AU30" s="30">
        <f>(COUNTIF(F30:AQ30,"afw"))/2</f>
        <v/>
      </c>
      <c r="AV30" s="111">
        <f>((38-(COUNTIF(F30:AQ30,"")))/2)-(COUNTIF(F30:AQ30,"p")/2)-(COUNTIF(F30:AQ30,CONCATENATE("x","*"))/4)</f>
        <v/>
      </c>
      <c r="AW30" s="73">
        <f>IF($B30="","",VLOOKUP($B30,Medewerker!$C$8:$E$107,3,FALSE))</f>
        <v/>
      </c>
      <c r="AX30" s="403">
        <f>IFERROR(VLOOKUP($B30,Planning!$B$6:$AG$105,32,FALSE)*24,"")</f>
        <v/>
      </c>
      <c r="AY30" s="564" t="inlineStr">
        <is>
          <t>vcr</t>
        </is>
      </c>
      <c r="AZ30" s="561" t="inlineStr">
        <is>
          <t>Risicoartikelen tellen</t>
        </is>
      </c>
      <c r="BA30" s="140">
        <f>COUNTIF($F$13:$AQ$63,CONCATENATE(AY30,"*"))/2+COUNTIF($F$13:$AQ$63,CONCATENATE("x",AY30,"*"))/4</f>
        <v/>
      </c>
      <c r="BB30" s="838" t="n"/>
      <c r="BC30" s="31">
        <f>IF(Planning!B23="","",Planning!B23)</f>
        <v/>
      </c>
      <c r="BD30" s="105" t="n"/>
      <c r="BE30" s="885">
        <f>Planning!E23</f>
        <v/>
      </c>
      <c r="BF30" s="885">
        <f>Planning!F23</f>
        <v/>
      </c>
      <c r="BG30" s="886" t="n"/>
      <c r="BH30" s="105" t="n"/>
      <c r="BI30" s="885">
        <f>Planning!I23</f>
        <v/>
      </c>
      <c r="BJ30" s="885">
        <f>Planning!J23</f>
        <v/>
      </c>
      <c r="BK30" s="886" t="n"/>
      <c r="BL30" s="105" t="n"/>
      <c r="BM30" s="885">
        <f>Planning!M23</f>
        <v/>
      </c>
      <c r="BN30" s="885">
        <f>Planning!N23</f>
        <v/>
      </c>
      <c r="BO30" s="886" t="n"/>
      <c r="BP30" s="105" t="n"/>
      <c r="BQ30" s="885">
        <f>Planning!Q23</f>
        <v/>
      </c>
      <c r="BR30" s="885">
        <f>Planning!R23</f>
        <v/>
      </c>
      <c r="BS30" s="886" t="n"/>
      <c r="BT30" s="105" t="n"/>
      <c r="BU30" s="885">
        <f>Planning!U23</f>
        <v/>
      </c>
      <c r="BV30" s="885">
        <f>Planning!V23</f>
        <v/>
      </c>
      <c r="BW30" s="886" t="n"/>
      <c r="BX30" s="105" t="n"/>
      <c r="BY30" s="885">
        <f>Planning!Y23</f>
        <v/>
      </c>
      <c r="BZ30" s="885">
        <f>Planning!Z23</f>
        <v/>
      </c>
      <c r="CA30" s="886" t="n"/>
      <c r="CB30" s="105" t="n"/>
      <c r="CC30" s="885">
        <f>Planning!AC23</f>
        <v/>
      </c>
      <c r="CD30" s="885">
        <f>Planning!AD23</f>
        <v/>
      </c>
      <c r="CE30" s="886" t="n"/>
      <c r="CF30" s="105" t="n"/>
      <c r="CG30" s="887">
        <f>Planning!AG23</f>
        <v/>
      </c>
      <c r="CH30" s="105" t="n"/>
      <c r="CI30" s="252">
        <f>IF(BC30="","",Planning!AI23)</f>
        <v/>
      </c>
      <c r="CJ30" s="252">
        <f>IF(BC30="","",Planning!AJ23)</f>
        <v/>
      </c>
      <c r="CK30" s="252">
        <f>IF(BC30="","",Planning!AK23)</f>
        <v/>
      </c>
      <c r="CL30" s="252">
        <f>IF(BC30="","",Planning!AH23)</f>
        <v/>
      </c>
      <c r="CM30" s="21" t="n"/>
    </row>
    <row r="31" ht="12.75" customHeight="1">
      <c r="A31" s="161">
        <f>IFERROR(IF(VLOOKUP($B31,$BC$13:$CL$86,36,FALSE)&gt;5,0,IF(COUNTIF($B$13:$B$63,$B31)&gt;1,0,19)),19)+IF(B31&lt;&gt;0,0,IF(AV31&gt;0,0.000001,0))</f>
        <v/>
      </c>
      <c r="B31" s="126" t="n"/>
      <c r="C31" s="127">
        <f>IFERROR(IF($B31="","",VLOOKUP($B31,Medewerker!$C$8:$AI$107,33,FALSE)),"?")</f>
        <v/>
      </c>
      <c r="D31" s="890">
        <f t="array" ref="D31">IFERROR(IF(LEFT(INDEX($F31:$AQ31,1,SUM(SMALL(IF($F31:$AQ31&lt;&gt;"",COLUMN($F31:$AQ31)),1)-5)),1)="x",SUM(SMALL(IF($F31:$AQ31&lt;&gt;"",$F$11:$AQ$11),1)+"0:15"),SMALL(IF($F31:$AQ31&lt;&gt;"",$F$11:$AQ$11),1)),"")</f>
        <v/>
      </c>
      <c r="E31" s="890">
        <f t="array" ref="E31">IFERROR(IF(LEFT(INDEX($F31:$AQ31,1,SUM(LARGE(IF($F31:$AQ31&lt;&gt;"",COLUMN($F31:$AQ31)),1)-5)),1)="x",SUM(LARGE(IF($F31:$AQ31&lt;&gt;"",$F$11:$AQ$11+"0:30:00"),1)-"0:15"),LARGE(IF($F31:$AQ31&lt;&gt;"",$F$11:$AQ$11+"0:30:00"),1)),"")</f>
        <v/>
      </c>
      <c r="F31" s="40" t="n"/>
      <c r="G31" s="41" t="n"/>
      <c r="H31" s="41" t="n"/>
      <c r="I31" s="41" t="n"/>
      <c r="J31" s="41" t="n"/>
      <c r="K31" s="41" t="n"/>
      <c r="L31" s="41" t="n"/>
      <c r="M31" s="42" t="n"/>
      <c r="N31" s="43" t="n"/>
      <c r="O31" s="41" t="n"/>
      <c r="P31" s="40" t="n"/>
      <c r="Q31" s="42" t="n"/>
      <c r="R31" s="43" t="n"/>
      <c r="S31" s="41" t="n"/>
      <c r="T31" s="40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42" t="n"/>
      <c r="AF31" s="42" t="n"/>
      <c r="AG31" s="42" t="n"/>
      <c r="AH31" s="42" t="n"/>
      <c r="AI31" s="42" t="n"/>
      <c r="AJ31" s="42" t="n"/>
      <c r="AK31" s="42" t="n"/>
      <c r="AL31" s="42" t="n"/>
      <c r="AM31" s="42" t="n"/>
      <c r="AN31" s="645" t="n"/>
      <c r="AO31" s="42" t="n"/>
      <c r="AP31" s="40" t="n"/>
      <c r="AQ31" s="41" t="n"/>
      <c r="AR31" s="888">
        <f>IFERROR(IF(VLOOKUP($B31,Medewerker!$C$8:$M$107,11,FALSE)="",VLOOKUP($B31,Medewerker!$C$8:$M$107,9,FALSE),0),0)</f>
        <v/>
      </c>
      <c r="AS31" s="889">
        <f>IFERROR(IF(B31="",1,IF(VLOOKUP($B31,Medewerker!$C$8:$M$107,11,FALSE)="",VLOOKUP($B31,Medewerker!$C$8:$M$107,10,FALSE),0)),0)</f>
        <v/>
      </c>
      <c r="AT31" s="30" t="n"/>
      <c r="AU31" s="30">
        <f>(COUNTIF(F31:AQ31,"afw"))/2</f>
        <v/>
      </c>
      <c r="AV31" s="111">
        <f>((38-(COUNTIF(F31:AQ31,"")))/2)-(COUNTIF(F31:AQ31,"p")/2)-(COUNTIF(F31:AQ31,CONCATENATE("x","*"))/4)</f>
        <v/>
      </c>
      <c r="AW31" s="73">
        <f>IF($B31="","",VLOOKUP($B31,Medewerker!$C$8:$E$107,3,FALSE))</f>
        <v/>
      </c>
      <c r="AX31" s="403">
        <f>IFERROR(VLOOKUP($B31,Planning!$B$6:$AG$105,32,FALSE)*24,"")</f>
        <v/>
      </c>
      <c r="AY31" s="882" t="inlineStr">
        <is>
          <t>Magazijn</t>
        </is>
      </c>
      <c r="AZ31" s="883" t="n"/>
      <c r="BA31" s="884" t="n"/>
      <c r="BB31" s="838" t="n"/>
      <c r="BC31" s="31">
        <f>IF(Planning!B24="","",Planning!B24)</f>
        <v/>
      </c>
      <c r="BD31" s="105" t="n"/>
      <c r="BE31" s="885">
        <f>Planning!E24</f>
        <v/>
      </c>
      <c r="BF31" s="885">
        <f>Planning!F24</f>
        <v/>
      </c>
      <c r="BG31" s="886" t="n"/>
      <c r="BH31" s="105" t="n"/>
      <c r="BI31" s="885">
        <f>Planning!I24</f>
        <v/>
      </c>
      <c r="BJ31" s="885">
        <f>Planning!J24</f>
        <v/>
      </c>
      <c r="BK31" s="886" t="n"/>
      <c r="BL31" s="105" t="n"/>
      <c r="BM31" s="885">
        <f>Planning!M24</f>
        <v/>
      </c>
      <c r="BN31" s="885">
        <f>Planning!N24</f>
        <v/>
      </c>
      <c r="BO31" s="886" t="n"/>
      <c r="BP31" s="105" t="n"/>
      <c r="BQ31" s="885">
        <f>Planning!Q24</f>
        <v/>
      </c>
      <c r="BR31" s="885">
        <f>Planning!R24</f>
        <v/>
      </c>
      <c r="BS31" s="886" t="n"/>
      <c r="BT31" s="105" t="n"/>
      <c r="BU31" s="885">
        <f>Planning!U24</f>
        <v/>
      </c>
      <c r="BV31" s="885">
        <f>Planning!V24</f>
        <v/>
      </c>
      <c r="BW31" s="886" t="n"/>
      <c r="BX31" s="105" t="n"/>
      <c r="BY31" s="885">
        <f>Planning!Y24</f>
        <v/>
      </c>
      <c r="BZ31" s="885">
        <f>Planning!Z24</f>
        <v/>
      </c>
      <c r="CA31" s="886" t="n"/>
      <c r="CB31" s="105" t="n"/>
      <c r="CC31" s="885">
        <f>Planning!AC24</f>
        <v/>
      </c>
      <c r="CD31" s="885">
        <f>Planning!AD24</f>
        <v/>
      </c>
      <c r="CE31" s="886" t="n"/>
      <c r="CF31" s="105" t="n"/>
      <c r="CG31" s="887">
        <f>Planning!AG24</f>
        <v/>
      </c>
      <c r="CH31" s="105" t="n"/>
      <c r="CI31" s="252">
        <f>IF(BC31="","",Planning!AI24)</f>
        <v/>
      </c>
      <c r="CJ31" s="252">
        <f>IF(BC31="","",Planning!AJ24)</f>
        <v/>
      </c>
      <c r="CK31" s="252">
        <f>IF(BC31="","",Planning!AK24)</f>
        <v/>
      </c>
      <c r="CL31" s="252">
        <f>IF(BC31="","",Planning!AH24)</f>
        <v/>
      </c>
      <c r="CM31" s="21" t="n"/>
    </row>
    <row r="32" ht="12.75" customHeight="1">
      <c r="A32" s="161">
        <f>IFERROR(IF(VLOOKUP($B32,$BC$13:$CL$86,36,FALSE)&gt;5,0,IF(COUNTIF($B$13:$B$63,$B32)&gt;1,0,20)),20)+IF(B32&lt;&gt;0,0,IF(AV32&gt;0,0.000001,0))</f>
        <v/>
      </c>
      <c r="B32" s="129" t="inlineStr">
        <is>
          <t>Milan Gebruers</t>
        </is>
      </c>
      <c r="C32" s="48">
        <f>IFERROR(IF($B32="","",VLOOKUP($B32,Medewerker!$C$8:$AI$107,33,FALSE)),"?")</f>
        <v/>
      </c>
      <c r="D32" s="879">
        <f t="array" ref="D32">IFERROR(IF(LEFT(INDEX($F32:$AQ32,1,SUM(SMALL(IF($F32:$AQ32&lt;&gt;"",COLUMN($F32:$AQ32)),1)-5)),1)="x",SUM(SMALL(IF($F32:$AQ32&lt;&gt;"",$F$11:$AQ$11),1)+"0:15"),SMALL(IF($F32:$AQ32&lt;&gt;"",$F$11:$AQ$11),1)),"")</f>
        <v/>
      </c>
      <c r="E32" s="879">
        <f t="array" ref="E32">IFERROR(IF(LEFT(INDEX($F32:$AQ32,1,SUM(LARGE(IF($F32:$AQ32&lt;&gt;"",COLUMN($F32:$AQ32)),1)-5)),1)="x",SUM(LARGE(IF($F32:$AQ32&lt;&gt;"",$F$11:$AQ$11+"0:30:00"),1)-"0:15"),LARGE(IF($F32:$AQ32&lt;&gt;"",$F$11:$AQ$11+"0:30:00"),1)),"")</f>
        <v/>
      </c>
      <c r="F32" s="40" t="n"/>
      <c r="G32" s="41" t="n"/>
      <c r="H32" s="41" t="n"/>
      <c r="I32" s="41" t="n"/>
      <c r="J32" s="41" t="n"/>
      <c r="K32" s="41" t="n"/>
      <c r="L32" s="41" t="n"/>
      <c r="M32" s="42" t="n"/>
      <c r="N32" s="43" t="n"/>
      <c r="O32" s="41" t="n"/>
      <c r="P32" s="40" t="n"/>
      <c r="Q32" s="42" t="n"/>
      <c r="R32" s="43" t="n"/>
      <c r="S32" s="41" t="n"/>
      <c r="T32" s="40" t="n"/>
      <c r="U32" s="42" t="n"/>
      <c r="V32" s="43" t="inlineStr">
        <is>
          <t>nh</t>
        </is>
      </c>
      <c r="W32" s="41" t="inlineStr">
        <is>
          <t>nh</t>
        </is>
      </c>
      <c r="X32" s="40" t="inlineStr">
        <is>
          <t>nh</t>
        </is>
      </c>
      <c r="Y32" s="42" t="inlineStr">
        <is>
          <t>nh</t>
        </is>
      </c>
      <c r="Z32" s="43" t="inlineStr">
        <is>
          <t>rv</t>
        </is>
      </c>
      <c r="AA32" s="41" t="inlineStr">
        <is>
          <t>rv</t>
        </is>
      </c>
      <c r="AB32" s="41" t="inlineStr">
        <is>
          <t>rv</t>
        </is>
      </c>
      <c r="AC32" s="41" t="inlineStr">
        <is>
          <t>rv</t>
        </is>
      </c>
      <c r="AD32" s="41" t="inlineStr">
        <is>
          <t>rv</t>
        </is>
      </c>
      <c r="AE32" s="41" t="inlineStr">
        <is>
          <t>rv</t>
        </is>
      </c>
      <c r="AF32" s="41" t="inlineStr">
        <is>
          <t>rv</t>
        </is>
      </c>
      <c r="AG32" s="42" t="inlineStr">
        <is>
          <t>p</t>
        </is>
      </c>
      <c r="AH32" s="43" t="inlineStr">
        <is>
          <t>nh</t>
        </is>
      </c>
      <c r="AI32" s="41" t="inlineStr">
        <is>
          <t>nh</t>
        </is>
      </c>
      <c r="AJ32" s="40" t="inlineStr">
        <is>
          <t>l</t>
        </is>
      </c>
      <c r="AK32" s="42" t="inlineStr">
        <is>
          <t>ma</t>
        </is>
      </c>
      <c r="AL32" s="43" t="n"/>
      <c r="AM32" s="41" t="n"/>
      <c r="AN32" s="645" t="n"/>
      <c r="AO32" s="42" t="n"/>
      <c r="AP32" s="40" t="n"/>
      <c r="AQ32" s="41" t="n"/>
      <c r="AR32" s="888">
        <f>IFERROR(IF(VLOOKUP($B32,Medewerker!$C$8:$M$107,11,FALSE)="",VLOOKUP($B32,Medewerker!$C$8:$M$107,9,FALSE),0),0)</f>
        <v/>
      </c>
      <c r="AS32" s="889">
        <f>IFERROR(IF(B32="",1,IF(VLOOKUP($B32,Medewerker!$C$8:$M$107,11,FALSE)="",VLOOKUP($B32,Medewerker!$C$8:$M$107,10,FALSE),0)),0)</f>
        <v/>
      </c>
      <c r="AT32" s="30" t="n"/>
      <c r="AU32" s="30">
        <f>(COUNTIF(F32:AQ32,"afw"))/2</f>
        <v/>
      </c>
      <c r="AV32" s="111">
        <f>((38-(COUNTIF(F32:AQ32,"")))/2)-(COUNTIF(F32:AQ32,"p")/2)-(COUNTIF(F32:AQ32,CONCATENATE("x","*"))/4)</f>
        <v/>
      </c>
      <c r="AW32" s="73">
        <f>IF($B32="","",VLOOKUP($B32,Medewerker!$C$8:$E$107,3,FALSE))</f>
        <v/>
      </c>
      <c r="AX32" s="403">
        <f>IFERROR(VLOOKUP($B32,Planning!$B$6:$AG$105,32,FALSE)*24,"")</f>
        <v/>
      </c>
      <c r="AY32" s="407" t="inlineStr">
        <is>
          <t>l</t>
        </is>
      </c>
      <c r="AZ32" s="166" t="inlineStr">
        <is>
          <t>Lossen/Retouren</t>
        </is>
      </c>
      <c r="BA32" s="111">
        <f>COUNTIF($F$13:$AQ$63,CONCATENATE(AY32,"*"))/2+COUNTIF($F$13:$AQ$63,CONCATENATE("x",AY32,"*"))/4-SUM(BA27:BA29)</f>
        <v/>
      </c>
      <c r="BB32" s="838" t="n"/>
      <c r="BC32" s="31">
        <f>IF(Planning!B25="","",Planning!B25)</f>
        <v/>
      </c>
      <c r="BD32" s="105" t="n"/>
      <c r="BE32" s="885">
        <f>Planning!E25</f>
        <v/>
      </c>
      <c r="BF32" s="885">
        <f>Planning!F25</f>
        <v/>
      </c>
      <c r="BG32" s="886" t="n"/>
      <c r="BH32" s="105" t="n"/>
      <c r="BI32" s="885">
        <f>Planning!I25</f>
        <v/>
      </c>
      <c r="BJ32" s="885">
        <f>Planning!J25</f>
        <v/>
      </c>
      <c r="BK32" s="886" t="n"/>
      <c r="BL32" s="105" t="n"/>
      <c r="BM32" s="885">
        <f>Planning!M25</f>
        <v/>
      </c>
      <c r="BN32" s="885">
        <f>Planning!N25</f>
        <v/>
      </c>
      <c r="BO32" s="886" t="n"/>
      <c r="BP32" s="105" t="n"/>
      <c r="BQ32" s="885">
        <f>Planning!Q25</f>
        <v/>
      </c>
      <c r="BR32" s="885">
        <f>Planning!R25</f>
        <v/>
      </c>
      <c r="BS32" s="886" t="n"/>
      <c r="BT32" s="105" t="n"/>
      <c r="BU32" s="885">
        <f>Planning!U25</f>
        <v/>
      </c>
      <c r="BV32" s="885">
        <f>Planning!V25</f>
        <v/>
      </c>
      <c r="BW32" s="886" t="n"/>
      <c r="BX32" s="105" t="n"/>
      <c r="BY32" s="885">
        <f>Planning!Y25</f>
        <v/>
      </c>
      <c r="BZ32" s="885">
        <f>Planning!Z25</f>
        <v/>
      </c>
      <c r="CA32" s="886" t="n"/>
      <c r="CB32" s="105" t="n"/>
      <c r="CC32" s="885">
        <f>Planning!AC25</f>
        <v/>
      </c>
      <c r="CD32" s="885">
        <f>Planning!AD25</f>
        <v/>
      </c>
      <c r="CE32" s="886" t="n"/>
      <c r="CF32" s="105" t="n"/>
      <c r="CG32" s="887">
        <f>Planning!AG25</f>
        <v/>
      </c>
      <c r="CH32" s="105" t="n"/>
      <c r="CI32" s="252">
        <f>IF(BC32="","",Planning!AI25)</f>
        <v/>
      </c>
      <c r="CJ32" s="252">
        <f>IF(BC32="","",Planning!AJ25)</f>
        <v/>
      </c>
      <c r="CK32" s="252">
        <f>IF(BC32="","",Planning!AK25)</f>
        <v/>
      </c>
      <c r="CL32" s="252">
        <f>IF(BC32="","",Planning!AH25)</f>
        <v/>
      </c>
      <c r="CM32" s="21" t="n"/>
    </row>
    <row r="33" ht="12.75" customHeight="1">
      <c r="A33" s="161">
        <f>IFERROR(IF(VLOOKUP($B33,$BC$13:$CL$86,36,FALSE)&gt;5,0,IF(COUNTIF($B$13:$B$63,$B33)&gt;1,0,21)),21)+IF(B33&lt;&gt;0,0,IF(AV33&gt;0,0.000001,0))</f>
        <v/>
      </c>
      <c r="B33" s="129" t="n"/>
      <c r="C33" s="48">
        <f>IFERROR(IF($B33="","",VLOOKUP($B33,Medewerker!$C$8:$AI$107,33,FALSE)),"?")</f>
        <v/>
      </c>
      <c r="D33" s="879">
        <f t="array" ref="D33">IFERROR(IF(LEFT(INDEX($F33:$AQ33,1,SUM(SMALL(IF($F33:$AQ33&lt;&gt;"",COLUMN($F33:$AQ33)),1)-5)),1)="x",SUM(SMALL(IF($F33:$AQ33&lt;&gt;"",$F$11:$AQ$11),1)+"0:15"),SMALL(IF($F33:$AQ33&lt;&gt;"",$F$11:$AQ$11),1)),"")</f>
        <v/>
      </c>
      <c r="E33" s="879">
        <f t="array" ref="E33">IFERROR(IF(LEFT(INDEX($F33:$AQ33,1,SUM(LARGE(IF($F33:$AQ33&lt;&gt;"",COLUMN($F33:$AQ33)),1)-5)),1)="x",SUM(LARGE(IF($F33:$AQ33&lt;&gt;"",$F$11:$AQ$11+"0:30:00"),1)-"0:15"),LARGE(IF($F33:$AQ33&lt;&gt;"",$F$11:$AQ$11+"0:30:00"),1)),"")</f>
        <v/>
      </c>
      <c r="F33" s="40" t="n"/>
      <c r="G33" s="41" t="n"/>
      <c r="H33" s="40" t="n"/>
      <c r="I33" s="40" t="n"/>
      <c r="J33" s="40" t="n"/>
      <c r="K33" s="42" t="n"/>
      <c r="L33" s="43" t="n"/>
      <c r="M33" s="41" t="n"/>
      <c r="N33" s="40" t="n"/>
      <c r="O33" s="42" t="n"/>
      <c r="P33" s="43" t="n"/>
      <c r="Q33" s="41" t="n"/>
      <c r="R33" s="40" t="n"/>
      <c r="S33" s="42" t="n"/>
      <c r="T33" s="43" t="n"/>
      <c r="U33" s="41" t="n"/>
      <c r="V33" s="40" t="n"/>
      <c r="W33" s="42" t="n"/>
      <c r="X33" s="43" t="n"/>
      <c r="Y33" s="41" t="n"/>
      <c r="Z33" s="40" t="n"/>
      <c r="AA33" s="42" t="n"/>
      <c r="AB33" s="43" t="n"/>
      <c r="AC33" s="41" t="n"/>
      <c r="AD33" s="40" t="n"/>
      <c r="AE33" s="42" t="n"/>
      <c r="AF33" s="43" t="n"/>
      <c r="AG33" s="41" t="n"/>
      <c r="AH33" s="40" t="n"/>
      <c r="AI33" s="42" t="n"/>
      <c r="AJ33" s="43" t="n"/>
      <c r="AK33" s="41" t="n"/>
      <c r="AL33" s="40" t="n"/>
      <c r="AM33" s="41" t="n"/>
      <c r="AN33" s="645" t="n"/>
      <c r="AO33" s="42" t="n"/>
      <c r="AP33" s="40" t="n"/>
      <c r="AQ33" s="41" t="n"/>
      <c r="AR33" s="888">
        <f>IFERROR(IF(VLOOKUP($B33,Medewerker!$C$8:$M$107,11,FALSE)="",VLOOKUP($B33,Medewerker!$C$8:$M$107,9,FALSE),0),0)</f>
        <v/>
      </c>
      <c r="AS33" s="889">
        <f>IFERROR(IF(B33="",1,IF(VLOOKUP($B33,Medewerker!$C$8:$M$107,11,FALSE)="",VLOOKUP($B33,Medewerker!$C$8:$M$107,10,FALSE),0)),0)</f>
        <v/>
      </c>
      <c r="AT33" s="30" t="n"/>
      <c r="AU33" s="30">
        <f>(COUNTIF(F33:AQ33,"afw"))/2</f>
        <v/>
      </c>
      <c r="AV33" s="111">
        <f>((38-(COUNTIF(F33:AQ33,"")))/2)-(COUNTIF(F33:AQ33,"p")/2)-(COUNTIF(F33:AQ33,CONCATENATE("x","*"))/4)</f>
        <v/>
      </c>
      <c r="AW33" s="73">
        <f>IF($B33="","",VLOOKUP($B33,Medewerker!$C$8:$E$107,3,FALSE))</f>
        <v/>
      </c>
      <c r="AX33" s="403">
        <f>IFERROR(VLOOKUP($B33,Planning!$B$6:$AG$105,32,FALSE)*24,"")</f>
        <v/>
      </c>
      <c r="AY33" s="407" t="inlineStr">
        <is>
          <t>ma</t>
        </is>
      </c>
      <c r="AZ33" s="166" t="inlineStr">
        <is>
          <t>Magazijn</t>
        </is>
      </c>
      <c r="BA33" s="111">
        <f>COUNTIF($F$13:$AQ$63,CONCATENATE(AY33,"*"))/2+COUNTIF($F$13:$AQ$63,CONCATENATE("x",AY33,"*"))/4</f>
        <v/>
      </c>
      <c r="BB33" s="838" t="n"/>
      <c r="BC33" s="31">
        <f>IF(Planning!B26="","",Planning!B26)</f>
        <v/>
      </c>
      <c r="BD33" s="105" t="n"/>
      <c r="BE33" s="885">
        <f>Planning!E26</f>
        <v/>
      </c>
      <c r="BF33" s="885">
        <f>Planning!F26</f>
        <v/>
      </c>
      <c r="BG33" s="886" t="n"/>
      <c r="BH33" s="105" t="n"/>
      <c r="BI33" s="885">
        <f>Planning!I26</f>
        <v/>
      </c>
      <c r="BJ33" s="885">
        <f>Planning!J26</f>
        <v/>
      </c>
      <c r="BK33" s="886" t="n"/>
      <c r="BL33" s="105" t="n"/>
      <c r="BM33" s="885">
        <f>Planning!M26</f>
        <v/>
      </c>
      <c r="BN33" s="885">
        <f>Planning!N26</f>
        <v/>
      </c>
      <c r="BO33" s="886" t="n"/>
      <c r="BP33" s="105" t="n"/>
      <c r="BQ33" s="885">
        <f>Planning!Q26</f>
        <v/>
      </c>
      <c r="BR33" s="885">
        <f>Planning!R26</f>
        <v/>
      </c>
      <c r="BS33" s="886" t="n"/>
      <c r="BT33" s="105" t="n"/>
      <c r="BU33" s="885">
        <f>Planning!U26</f>
        <v/>
      </c>
      <c r="BV33" s="885">
        <f>Planning!V26</f>
        <v/>
      </c>
      <c r="BW33" s="886" t="n"/>
      <c r="BX33" s="105" t="n"/>
      <c r="BY33" s="885">
        <f>Planning!Y26</f>
        <v/>
      </c>
      <c r="BZ33" s="885">
        <f>Planning!Z26</f>
        <v/>
      </c>
      <c r="CA33" s="886" t="n"/>
      <c r="CB33" s="105" t="n"/>
      <c r="CC33" s="885">
        <f>Planning!AC26</f>
        <v/>
      </c>
      <c r="CD33" s="885">
        <f>Planning!AD26</f>
        <v/>
      </c>
      <c r="CE33" s="886" t="n"/>
      <c r="CF33" s="105" t="n"/>
      <c r="CG33" s="887">
        <f>Planning!AG26</f>
        <v/>
      </c>
      <c r="CH33" s="105" t="n"/>
      <c r="CI33" s="252">
        <f>IF(BC33="","",Planning!AI26)</f>
        <v/>
      </c>
      <c r="CJ33" s="252">
        <f>IF(BC33="","",Planning!AJ26)</f>
        <v/>
      </c>
      <c r="CK33" s="252">
        <f>IF(BC33="","",Planning!AK26)</f>
        <v/>
      </c>
      <c r="CL33" s="252">
        <f>IF(BC33="","",Planning!AH26)</f>
        <v/>
      </c>
      <c r="CM33" s="21" t="n"/>
    </row>
    <row r="34" ht="12.75" customHeight="1">
      <c r="A34" s="161">
        <f>IFERROR(IF(VLOOKUP($B34,$BC$13:$CL$86,36,FALSE)&gt;5,0,IF(COUNTIF($B$13:$B$63,$B34)&gt;1,0,22)),22)+IF(B34&lt;&gt;0,0,IF(AV34&gt;0,0.000001,0))</f>
        <v/>
      </c>
      <c r="B34" s="129" t="inlineStr">
        <is>
          <t>Shana van Hooydonck</t>
        </is>
      </c>
      <c r="C34" s="48">
        <f>IFERROR(IF($B34="","",VLOOKUP($B34,Medewerker!$C$8:$AI$107,33,FALSE)),"?")</f>
        <v/>
      </c>
      <c r="D34" s="879">
        <f t="array" ref="D34">IFERROR(IF(LEFT(INDEX($F34:$AQ34,1,SUM(SMALL(IF($F34:$AQ34&lt;&gt;"",COLUMN($F34:$AQ34)),1)-5)),1)="x",SUM(SMALL(IF($F34:$AQ34&lt;&gt;"",$F$11:$AQ$11),1)+"0:15"),SMALL(IF($F34:$AQ34&lt;&gt;"",$F$11:$AQ$11),1)),"")</f>
        <v/>
      </c>
      <c r="E34" s="879">
        <f t="array" ref="E34">IFERROR(IF(LEFT(INDEX($F34:$AQ34,1,SUM(LARGE(IF($F34:$AQ34&lt;&gt;"",COLUMN($F34:$AQ34)),1)-5)),1)="x",SUM(LARGE(IF($F34:$AQ34&lt;&gt;"",$F$11:$AQ$11+"0:30:00"),1)-"0:15"),LARGE(IF($F34:$AQ34&lt;&gt;"",$F$11:$AQ$11+"0:30:00"),1)),"")</f>
        <v/>
      </c>
      <c r="F34" s="40" t="n"/>
      <c r="G34" s="41" t="n"/>
      <c r="H34" s="40" t="n"/>
      <c r="I34" s="40" t="n"/>
      <c r="J34" s="43" t="inlineStr">
        <is>
          <t>vv</t>
        </is>
      </c>
      <c r="K34" s="41" t="inlineStr">
        <is>
          <t>vv</t>
        </is>
      </c>
      <c r="L34" s="40" t="inlineStr">
        <is>
          <t>vv</t>
        </is>
      </c>
      <c r="M34" s="42" t="inlineStr">
        <is>
          <t>vv</t>
        </is>
      </c>
      <c r="N34" s="43" t="inlineStr">
        <is>
          <t>vv</t>
        </is>
      </c>
      <c r="O34" s="41" t="inlineStr">
        <is>
          <t>vv</t>
        </is>
      </c>
      <c r="P34" s="40" t="inlineStr">
        <is>
          <t>vv</t>
        </is>
      </c>
      <c r="Q34" s="42" t="inlineStr">
        <is>
          <t>p</t>
        </is>
      </c>
      <c r="R34" s="43" t="inlineStr">
        <is>
          <t>vv</t>
        </is>
      </c>
      <c r="S34" s="41" t="inlineStr">
        <is>
          <t>vv</t>
        </is>
      </c>
      <c r="T34" s="40" t="inlineStr">
        <is>
          <t>vv</t>
        </is>
      </c>
      <c r="U34" s="42" t="inlineStr">
        <is>
          <t>vv</t>
        </is>
      </c>
      <c r="V34" s="43" t="inlineStr">
        <is>
          <t>vv</t>
        </is>
      </c>
      <c r="W34" s="41" t="n"/>
      <c r="X34" s="40" t="n"/>
      <c r="Y34" s="42" t="n"/>
      <c r="Z34" s="43" t="n"/>
      <c r="AA34" s="41" t="n"/>
      <c r="AB34" s="40" t="n"/>
      <c r="AC34" s="42" t="n"/>
      <c r="AD34" s="43" t="n"/>
      <c r="AE34" s="41" t="n"/>
      <c r="AF34" s="40" t="n"/>
      <c r="AG34" s="42" t="n"/>
      <c r="AH34" s="43" t="n"/>
      <c r="AI34" s="41" t="n"/>
      <c r="AJ34" s="40" t="n"/>
      <c r="AK34" s="42" t="n"/>
      <c r="AL34" s="43" t="n"/>
      <c r="AM34" s="41" t="n"/>
      <c r="AN34" s="645" t="n"/>
      <c r="AO34" s="42" t="n"/>
      <c r="AP34" s="40" t="n"/>
      <c r="AQ34" s="41" t="n"/>
      <c r="AR34" s="888">
        <f>IFERROR(IF(VLOOKUP($B34,Medewerker!$C$8:$M$107,11,FALSE)="",VLOOKUP($B34,Medewerker!$C$8:$M$107,9,FALSE),0),0)</f>
        <v/>
      </c>
      <c r="AS34" s="889">
        <f>IFERROR(IF(B34="",1,IF(VLOOKUP($B34,Medewerker!$C$8:$M$107,11,FALSE)="",VLOOKUP($B34,Medewerker!$C$8:$M$107,10,FALSE),0)),0)</f>
        <v/>
      </c>
      <c r="AT34" s="30" t="n"/>
      <c r="AU34" s="30">
        <f>(COUNTIF(F34:AQ34,"afw"))/2</f>
        <v/>
      </c>
      <c r="AV34" s="111">
        <f>((38-(COUNTIF(F34:AQ34,"")))/2)-(COUNTIF(F34:AQ34,"p")/2)-(COUNTIF(F34:AQ34,CONCATENATE("x","*"))/4)</f>
        <v/>
      </c>
      <c r="AW34" s="73">
        <f>IF($B34="","",VLOOKUP($B34,Medewerker!$C$8:$E$107,3,FALSE))</f>
        <v/>
      </c>
      <c r="AX34" s="403">
        <f>IFERROR(VLOOKUP($B34,Planning!$B$6:$AG$105,32,FALSE)*24,"")</f>
        <v/>
      </c>
      <c r="AY34" s="407" t="inlineStr">
        <is>
          <t>sp</t>
        </is>
      </c>
      <c r="AZ34" s="166" t="inlineStr">
        <is>
          <t>Splitsen</t>
        </is>
      </c>
      <c r="BA34" s="111">
        <f>COUNTIF($F$13:$AQ$63,CONCATENATE(AY34,"*"))/2+COUNTIF($F$13:$AQ$63,CONCATENATE("x",AY34,"*"))/4</f>
        <v/>
      </c>
      <c r="BB34" s="838" t="n"/>
      <c r="BC34" s="31">
        <f>IF(Planning!B27="","",Planning!B27)</f>
        <v/>
      </c>
      <c r="BD34" s="105" t="n"/>
      <c r="BE34" s="885">
        <f>Planning!E27</f>
        <v/>
      </c>
      <c r="BF34" s="885">
        <f>Planning!F27</f>
        <v/>
      </c>
      <c r="BG34" s="886" t="n"/>
      <c r="BH34" s="105" t="n"/>
      <c r="BI34" s="885">
        <f>Planning!I27</f>
        <v/>
      </c>
      <c r="BJ34" s="885">
        <f>Planning!J27</f>
        <v/>
      </c>
      <c r="BK34" s="886" t="n"/>
      <c r="BL34" s="105" t="n"/>
      <c r="BM34" s="885">
        <f>Planning!M27</f>
        <v/>
      </c>
      <c r="BN34" s="885">
        <f>Planning!N27</f>
        <v/>
      </c>
      <c r="BO34" s="886" t="n"/>
      <c r="BP34" s="105" t="n"/>
      <c r="BQ34" s="885">
        <f>Planning!Q27</f>
        <v/>
      </c>
      <c r="BR34" s="885">
        <f>Planning!R27</f>
        <v/>
      </c>
      <c r="BS34" s="886" t="n"/>
      <c r="BT34" s="105" t="n"/>
      <c r="BU34" s="885">
        <f>Planning!U27</f>
        <v/>
      </c>
      <c r="BV34" s="885">
        <f>Planning!V27</f>
        <v/>
      </c>
      <c r="BW34" s="886" t="n"/>
      <c r="BX34" s="105" t="n"/>
      <c r="BY34" s="885">
        <f>Planning!Y27</f>
        <v/>
      </c>
      <c r="BZ34" s="885">
        <f>Planning!Z27</f>
        <v/>
      </c>
      <c r="CA34" s="886" t="n"/>
      <c r="CB34" s="105" t="n"/>
      <c r="CC34" s="885">
        <f>Planning!AC27</f>
        <v/>
      </c>
      <c r="CD34" s="885">
        <f>Planning!AD27</f>
        <v/>
      </c>
      <c r="CE34" s="886" t="n"/>
      <c r="CF34" s="105" t="n"/>
      <c r="CG34" s="887">
        <f>Planning!AG27</f>
        <v/>
      </c>
      <c r="CH34" s="105" t="n"/>
      <c r="CI34" s="252">
        <f>IF(BC34="","",Planning!AI27)</f>
        <v/>
      </c>
      <c r="CJ34" s="252">
        <f>IF(BC34="","",Planning!AJ27)</f>
        <v/>
      </c>
      <c r="CK34" s="252">
        <f>IF(BC34="","",Planning!AK27)</f>
        <v/>
      </c>
      <c r="CL34" s="252">
        <f>IF(BC34="","",Planning!AH27)</f>
        <v/>
      </c>
      <c r="CM34" s="21" t="n"/>
    </row>
    <row r="35" ht="12.75" customHeight="1">
      <c r="A35" s="161">
        <f>IFERROR(IF(VLOOKUP($B35,$BC$13:$CL$86,36,FALSE)&gt;5,0,IF(COUNTIF($B$13:$B$63,$B35)&gt;1,0,23)),23)+IF(B35&lt;&gt;0,0,IF(AV35&gt;0,0.000001,0))</f>
        <v/>
      </c>
      <c r="B35" s="129" t="n"/>
      <c r="C35" s="48">
        <f>IFERROR(IF($B35="","",VLOOKUP($B35,Medewerker!$C$8:$AI$107,33,FALSE)),"?")</f>
        <v/>
      </c>
      <c r="D35" s="879">
        <f t="array" ref="D35">IFERROR(IF(LEFT(INDEX($F35:$AQ35,1,SUM(SMALL(IF($F35:$AQ35&lt;&gt;"",COLUMN($F35:$AQ35)),1)-5)),1)="x",SUM(SMALL(IF($F35:$AQ35&lt;&gt;"",$F$11:$AQ$11),1)+"0:15"),SMALL(IF($F35:$AQ35&lt;&gt;"",$F$11:$AQ$11),1)),"")</f>
        <v/>
      </c>
      <c r="E35" s="879">
        <f t="array" ref="E35">IFERROR(IF(LEFT(INDEX($F35:$AQ35,1,SUM(LARGE(IF($F35:$AQ35&lt;&gt;"",COLUMN($F35:$AQ35)),1)-5)),1)="x",SUM(LARGE(IF($F35:$AQ35&lt;&gt;"",$F$11:$AQ$11+"0:30:00"),1)-"0:15"),LARGE(IF($F35:$AQ35&lt;&gt;"",$F$11:$AQ$11+"0:30:00"),1)),"")</f>
        <v/>
      </c>
      <c r="F35" s="40" t="n"/>
      <c r="G35" s="41" t="n"/>
      <c r="H35" s="40" t="n"/>
      <c r="I35" s="40" t="n"/>
      <c r="J35" s="43" t="n"/>
      <c r="K35" s="41" t="n"/>
      <c r="L35" s="40" t="n"/>
      <c r="M35" s="42" t="n"/>
      <c r="N35" s="43" t="n"/>
      <c r="O35" s="41" t="n"/>
      <c r="P35" s="40" t="n"/>
      <c r="Q35" s="42" t="n"/>
      <c r="R35" s="43" t="n"/>
      <c r="S35" s="41" t="n"/>
      <c r="T35" s="40" t="n"/>
      <c r="U35" s="42" t="n"/>
      <c r="V35" s="43" t="n"/>
      <c r="W35" s="41" t="n"/>
      <c r="X35" s="40" t="n"/>
      <c r="Y35" s="42" t="n"/>
      <c r="Z35" s="43" t="n"/>
      <c r="AA35" s="41" t="n"/>
      <c r="AB35" s="40" t="n"/>
      <c r="AC35" s="42" t="n"/>
      <c r="AD35" s="43" t="n"/>
      <c r="AE35" s="41" t="n"/>
      <c r="AF35" s="40" t="n"/>
      <c r="AG35" s="42" t="n"/>
      <c r="AH35" s="43" t="n"/>
      <c r="AI35" s="41" t="n"/>
      <c r="AJ35" s="40" t="n"/>
      <c r="AK35" s="42" t="n"/>
      <c r="AL35" s="43" t="n"/>
      <c r="AM35" s="41" t="n"/>
      <c r="AN35" s="645" t="n"/>
      <c r="AO35" s="42" t="n"/>
      <c r="AP35" s="40" t="n"/>
      <c r="AQ35" s="41" t="n"/>
      <c r="AR35" s="888">
        <f>IFERROR(IF(VLOOKUP($B35,Medewerker!$C$8:$M$107,11,FALSE)="",VLOOKUP($B35,Medewerker!$C$8:$M$107,9,FALSE),0),0)</f>
        <v/>
      </c>
      <c r="AS35" s="889">
        <f>IFERROR(IF(B35="",1,IF(VLOOKUP($B35,Medewerker!$C$8:$M$107,11,FALSE)="",VLOOKUP($B35,Medewerker!$C$8:$M$107,10,FALSE),0)),0)</f>
        <v/>
      </c>
      <c r="AT35" s="30" t="n"/>
      <c r="AU35" s="30">
        <f>(COUNTIF(F35:AQ35,"afw"))/2</f>
        <v/>
      </c>
      <c r="AV35" s="111">
        <f>((38-(COUNTIF(F35:AQ35,"")))/2)-(COUNTIF(F35:AQ35,"p")/2)-(COUNTIF(F35:AQ35,CONCATENATE("x","*"))/4)</f>
        <v/>
      </c>
      <c r="AW35" s="73">
        <f>IF($B35="","",VLOOKUP($B35,Medewerker!$C$8:$E$107,3,FALSE))</f>
        <v/>
      </c>
      <c r="AX35" s="403">
        <f>IFERROR(VLOOKUP($B35,Planning!$B$6:$AG$105,32,FALSE)*24,"")</f>
        <v/>
      </c>
      <c r="AY35" s="882" t="inlineStr">
        <is>
          <t>Afprijzen</t>
        </is>
      </c>
      <c r="AZ35" s="883" t="n"/>
      <c r="BA35" s="884" t="n"/>
      <c r="BB35" s="838" t="n"/>
      <c r="BC35" s="31">
        <f>IF(Planning!B28="","",Planning!B28)</f>
        <v/>
      </c>
      <c r="BD35" s="105" t="n"/>
      <c r="BE35" s="885">
        <f>Planning!E28</f>
        <v/>
      </c>
      <c r="BF35" s="885">
        <f>Planning!F28</f>
        <v/>
      </c>
      <c r="BG35" s="886" t="n"/>
      <c r="BH35" s="105" t="n"/>
      <c r="BI35" s="885">
        <f>Planning!I28</f>
        <v/>
      </c>
      <c r="BJ35" s="885">
        <f>Planning!J28</f>
        <v/>
      </c>
      <c r="BK35" s="886" t="n"/>
      <c r="BL35" s="105" t="n"/>
      <c r="BM35" s="885">
        <f>Planning!M28</f>
        <v/>
      </c>
      <c r="BN35" s="885">
        <f>Planning!N28</f>
        <v/>
      </c>
      <c r="BO35" s="886" t="n"/>
      <c r="BP35" s="105" t="n"/>
      <c r="BQ35" s="885">
        <f>Planning!Q28</f>
        <v/>
      </c>
      <c r="BR35" s="885">
        <f>Planning!R28</f>
        <v/>
      </c>
      <c r="BS35" s="886" t="n"/>
      <c r="BT35" s="105" t="n"/>
      <c r="BU35" s="885">
        <f>Planning!U28</f>
        <v/>
      </c>
      <c r="BV35" s="885">
        <f>Planning!V28</f>
        <v/>
      </c>
      <c r="BW35" s="886" t="n"/>
      <c r="BX35" s="105" t="n"/>
      <c r="BY35" s="885">
        <f>Planning!Y28</f>
        <v/>
      </c>
      <c r="BZ35" s="885">
        <f>Planning!Z28</f>
        <v/>
      </c>
      <c r="CA35" s="886" t="n"/>
      <c r="CB35" s="105" t="n"/>
      <c r="CC35" s="885">
        <f>Planning!AC28</f>
        <v/>
      </c>
      <c r="CD35" s="885">
        <f>Planning!AD28</f>
        <v/>
      </c>
      <c r="CE35" s="886" t="n"/>
      <c r="CF35" s="105" t="n"/>
      <c r="CG35" s="887">
        <f>Planning!AG28</f>
        <v/>
      </c>
      <c r="CH35" s="105" t="n"/>
      <c r="CI35" s="252">
        <f>IF(BC35="","",Planning!AI28)</f>
        <v/>
      </c>
      <c r="CJ35" s="252">
        <f>IF(BC35="","",Planning!AJ28)</f>
        <v/>
      </c>
      <c r="CK35" s="252">
        <f>IF(BC35="","",Planning!AK28)</f>
        <v/>
      </c>
      <c r="CL35" s="252">
        <f>IF(BC35="","",Planning!AH28)</f>
        <v/>
      </c>
      <c r="CM35" s="21" t="n"/>
    </row>
    <row r="36" ht="12.75" customHeight="1">
      <c r="A36" s="161">
        <f>IFERROR(IF(VLOOKUP($B36,$BC$13:$CL$86,36,FALSE)&gt;5,0,IF(COUNTIF($B$13:$B$63,$B36)&gt;1,0,24)),24)+IF(B36&lt;&gt;0,0,IF(AV36&gt;0,0.000001,0))</f>
        <v/>
      </c>
      <c r="B36" s="129" t="inlineStr">
        <is>
          <t>Viktor Toth</t>
        </is>
      </c>
      <c r="C36" s="48">
        <f>IFERROR(IF($B36="","",VLOOKUP($B36,Medewerker!$C$8:$AI$107,33,FALSE)),"?")</f>
        <v/>
      </c>
      <c r="D36" s="879">
        <f t="array" ref="D36">IFERROR(IF(LEFT(INDEX($F36:$AQ36,1,SUM(SMALL(IF($F36:$AQ36&lt;&gt;"",COLUMN($F36:$AQ36)),1)-5)),1)="x",SUM(SMALL(IF($F36:$AQ36&lt;&gt;"",$F$11:$AQ$11),1)+"0:15"),SMALL(IF($F36:$AQ36&lt;&gt;"",$F$11:$AQ$11),1)),"")</f>
        <v/>
      </c>
      <c r="E36" s="879">
        <f t="array" ref="E36">IFERROR(IF(LEFT(INDEX($F36:$AQ36,1,SUM(LARGE(IF($F36:$AQ36&lt;&gt;"",COLUMN($F36:$AQ36)),1)-5)),1)="x",SUM(LARGE(IF($F36:$AQ36&lt;&gt;"",$F$11:$AQ$11+"0:30:00"),1)-"0:15"),LARGE(IF($F36:$AQ36&lt;&gt;"",$F$11:$AQ$11+"0:30:00"),1)),"")</f>
        <v/>
      </c>
      <c r="F36" s="43" t="n"/>
      <c r="G36" s="42" t="n"/>
      <c r="H36" s="43" t="n"/>
      <c r="I36" s="43" t="n"/>
      <c r="J36" s="43" t="n"/>
      <c r="K36" s="41" t="n"/>
      <c r="L36" s="40" t="n"/>
      <c r="M36" s="42" t="n"/>
      <c r="N36" s="43" t="n"/>
      <c r="O36" s="41" t="n"/>
      <c r="P36" s="40" t="n"/>
      <c r="Q36" s="42" t="n"/>
      <c r="R36" s="43" t="n"/>
      <c r="S36" s="41" t="n"/>
      <c r="T36" s="40" t="n"/>
      <c r="U36" s="42" t="n"/>
      <c r="V36" s="43" t="n"/>
      <c r="W36" s="41" t="n"/>
      <c r="X36" s="40" t="n"/>
      <c r="Y36" s="42" t="n"/>
      <c r="Z36" s="43" t="n"/>
      <c r="AA36" s="41" t="inlineStr">
        <is>
          <t>rv</t>
        </is>
      </c>
      <c r="AB36" s="40" t="inlineStr">
        <is>
          <t>rv</t>
        </is>
      </c>
      <c r="AC36" s="42" t="inlineStr">
        <is>
          <t>rv</t>
        </is>
      </c>
      <c r="AD36" s="43" t="inlineStr">
        <is>
          <t>rv</t>
        </is>
      </c>
      <c r="AE36" s="41" t="inlineStr">
        <is>
          <t>rv</t>
        </is>
      </c>
      <c r="AF36" s="40" t="inlineStr">
        <is>
          <t>rv</t>
        </is>
      </c>
      <c r="AG36" s="42" t="inlineStr">
        <is>
          <t>rv</t>
        </is>
      </c>
      <c r="AH36" s="43" t="inlineStr">
        <is>
          <t>rv</t>
        </is>
      </c>
      <c r="AI36" s="41" t="inlineStr">
        <is>
          <t>p</t>
        </is>
      </c>
      <c r="AJ36" s="40" t="inlineStr">
        <is>
          <t>l</t>
        </is>
      </c>
      <c r="AK36" s="42" t="inlineStr">
        <is>
          <t>sp</t>
        </is>
      </c>
      <c r="AL36" s="43" t="inlineStr">
        <is>
          <t>sp</t>
        </is>
      </c>
      <c r="AM36" s="41" t="inlineStr">
        <is>
          <t>rv</t>
        </is>
      </c>
      <c r="AN36" s="645" t="inlineStr">
        <is>
          <t>rv</t>
        </is>
      </c>
      <c r="AO36" s="42" t="inlineStr">
        <is>
          <t>rv</t>
        </is>
      </c>
      <c r="AP36" s="43" t="n"/>
      <c r="AQ36" s="42" t="n"/>
      <c r="AR36" s="888">
        <f>IFERROR(IF(VLOOKUP($B36,Medewerker!$C$8:$M$107,11,FALSE)="",VLOOKUP($B36,Medewerker!$C$8:$M$107,9,FALSE),0),0)</f>
        <v/>
      </c>
      <c r="AS36" s="888">
        <f>IFERROR(IF(B36="",1,IF(VLOOKUP($B36,Medewerker!$C$8:$M$107,11,FALSE)="",VLOOKUP($B36,Medewerker!$C$8:$M$107,10,FALSE),0)),0)</f>
        <v/>
      </c>
      <c r="AT36" s="45" t="n"/>
      <c r="AU36" s="46">
        <f>(COUNTIF(F36:AQ36,"afw"))/2</f>
        <v/>
      </c>
      <c r="AV36" s="111">
        <f>((38-(COUNTIF(F36:AQ36,"")))/2)-(COUNTIF(F36:AQ36,"p")/2)-(COUNTIF(F36:AQ36,CONCATENATE("x","*"))/4)</f>
        <v/>
      </c>
      <c r="AW36" s="73">
        <f>IF($B36="","",VLOOKUP($B36,Medewerker!$C$8:$E$107,3,FALSE))</f>
        <v/>
      </c>
      <c r="AX36" s="403">
        <f>IFERROR(VLOOKUP($B36,Planning!$B$6:$AG$105,32,FALSE)*24,"")</f>
        <v/>
      </c>
      <c r="AY36" s="559" t="inlineStr">
        <is>
          <t>afp</t>
        </is>
      </c>
      <c r="AZ36" s="71" t="inlineStr">
        <is>
          <t>Afprijzen</t>
        </is>
      </c>
      <c r="BA36" s="111">
        <f>COUNTIF($F$13:$AQ$63,CONCATENATE(AY36,"*"))/2+COUNTIF($F$13:$AQ$63,CONCATENATE("x",AY36,"*"))/4</f>
        <v/>
      </c>
      <c r="BB36" s="838" t="n"/>
      <c r="BC36" s="31">
        <f>IF(Planning!B29="","",Planning!B29)</f>
        <v/>
      </c>
      <c r="BD36" s="105" t="n"/>
      <c r="BE36" s="885">
        <f>Planning!E29</f>
        <v/>
      </c>
      <c r="BF36" s="885">
        <f>Planning!F29</f>
        <v/>
      </c>
      <c r="BG36" s="886" t="n"/>
      <c r="BH36" s="105" t="n"/>
      <c r="BI36" s="885">
        <f>Planning!I29</f>
        <v/>
      </c>
      <c r="BJ36" s="885">
        <f>Planning!J29</f>
        <v/>
      </c>
      <c r="BK36" s="886" t="n"/>
      <c r="BL36" s="105" t="n"/>
      <c r="BM36" s="885">
        <f>Planning!M29</f>
        <v/>
      </c>
      <c r="BN36" s="885">
        <f>Planning!N29</f>
        <v/>
      </c>
      <c r="BO36" s="886" t="n"/>
      <c r="BP36" s="105" t="n"/>
      <c r="BQ36" s="885">
        <f>Planning!Q29</f>
        <v/>
      </c>
      <c r="BR36" s="885">
        <f>Planning!R29</f>
        <v/>
      </c>
      <c r="BS36" s="886" t="n"/>
      <c r="BT36" s="105" t="n"/>
      <c r="BU36" s="885">
        <f>Planning!U29</f>
        <v/>
      </c>
      <c r="BV36" s="885">
        <f>Planning!V29</f>
        <v/>
      </c>
      <c r="BW36" s="886" t="n"/>
      <c r="BX36" s="105" t="n"/>
      <c r="BY36" s="885">
        <f>Planning!Y29</f>
        <v/>
      </c>
      <c r="BZ36" s="885">
        <f>Planning!Z29</f>
        <v/>
      </c>
      <c r="CA36" s="886" t="n"/>
      <c r="CB36" s="105" t="n"/>
      <c r="CC36" s="885">
        <f>Planning!AC29</f>
        <v/>
      </c>
      <c r="CD36" s="885">
        <f>Planning!AD29</f>
        <v/>
      </c>
      <c r="CE36" s="886" t="n"/>
      <c r="CF36" s="105" t="n"/>
      <c r="CG36" s="887">
        <f>Planning!AG29</f>
        <v/>
      </c>
      <c r="CH36" s="105" t="n"/>
      <c r="CI36" s="252">
        <f>IF(BC36="","",Planning!AI29)</f>
        <v/>
      </c>
      <c r="CJ36" s="252">
        <f>IF(BC36="","",Planning!AJ29)</f>
        <v/>
      </c>
      <c r="CK36" s="252">
        <f>IF(BC36="","",Planning!AK29)</f>
        <v/>
      </c>
      <c r="CL36" s="252">
        <f>IF(BC36="","",Planning!AH29)</f>
        <v/>
      </c>
      <c r="CM36" s="21" t="n"/>
    </row>
    <row r="37" ht="12.75" customHeight="1">
      <c r="A37" s="161">
        <f>IFERROR(IF(VLOOKUP($B37,$BC$13:$CL$86,36,FALSE)&gt;5,0,IF(COUNTIF($B$13:$B$63,$B37)&gt;1,0,25)),25)+IF(B37&lt;&gt;0,0,IF(AV37&gt;0,0.000001,0))</f>
        <v/>
      </c>
      <c r="B37" s="129" t="inlineStr">
        <is>
          <t>Lucas</t>
        </is>
      </c>
      <c r="C37" s="48">
        <f>IFERROR(IF($B37="","",VLOOKUP($B37,Medewerker!$C$8:$AI$107,33,FALSE)),"?")</f>
        <v/>
      </c>
      <c r="D37" s="879">
        <f t="array" ref="D37">IFERROR(IF(LEFT(INDEX($F37:$AQ37,1,SUM(SMALL(IF($F37:$AQ37&lt;&gt;"",COLUMN($F37:$AQ37)),1)-5)),1)="x",SUM(SMALL(IF($F37:$AQ37&lt;&gt;"",$F$11:$AQ$11),1)+"0:15"),SMALL(IF($F37:$AQ37&lt;&gt;"",$F$11:$AQ$11),1)),"")</f>
        <v/>
      </c>
      <c r="E37" s="879">
        <f t="array" ref="E37">IFERROR(IF(LEFT(INDEX($F37:$AQ37,1,SUM(LARGE(IF($F37:$AQ37&lt;&gt;"",COLUMN($F37:$AQ37)),1)-5)),1)="x",SUM(LARGE(IF($F37:$AQ37&lt;&gt;"",$F$11:$AQ$11+"0:30:00"),1)-"0:15"),LARGE(IF($F37:$AQ37&lt;&gt;"",$F$11:$AQ$11+"0:30:00"),1)),"")</f>
        <v/>
      </c>
      <c r="F37" s="43" t="n"/>
      <c r="G37" s="42" t="n"/>
      <c r="H37" s="43" t="n"/>
      <c r="I37" s="43" t="n"/>
      <c r="J37" s="43" t="n"/>
      <c r="K37" s="41" t="n"/>
      <c r="L37" s="40" t="n"/>
      <c r="M37" s="42" t="n"/>
      <c r="N37" s="43" t="n"/>
      <c r="O37" s="41" t="n"/>
      <c r="P37" s="40" t="n"/>
      <c r="Q37" s="42" t="n"/>
      <c r="R37" s="43" t="n"/>
      <c r="S37" s="41" t="n"/>
      <c r="T37" s="40" t="n"/>
      <c r="U37" s="42" t="n"/>
      <c r="V37" s="43" t="n"/>
      <c r="W37" s="41" t="n"/>
      <c r="X37" s="40" t="n"/>
      <c r="Y37" s="42" t="n"/>
      <c r="Z37" s="43" t="n"/>
      <c r="AA37" s="43" t="n"/>
      <c r="AB37" s="43" t="n"/>
      <c r="AC37" s="43" t="n"/>
      <c r="AD37" s="43" t="n"/>
      <c r="AE37" s="43" t="n"/>
      <c r="AF37" s="43" t="n"/>
      <c r="AG37" s="43" t="n"/>
      <c r="AH37" s="43" t="n"/>
      <c r="AI37" s="41" t="inlineStr">
        <is>
          <t>vv</t>
        </is>
      </c>
      <c r="AJ37" s="40" t="inlineStr">
        <is>
          <t>l</t>
        </is>
      </c>
      <c r="AK37" s="42" t="inlineStr">
        <is>
          <t>sp</t>
        </is>
      </c>
      <c r="AL37" s="43" t="inlineStr">
        <is>
          <t>sp</t>
        </is>
      </c>
      <c r="AM37" s="41" t="inlineStr">
        <is>
          <t>rv</t>
        </is>
      </c>
      <c r="AN37" s="645" t="inlineStr">
        <is>
          <t>rv</t>
        </is>
      </c>
      <c r="AO37" s="42" t="inlineStr">
        <is>
          <t>rv</t>
        </is>
      </c>
      <c r="AP37" s="43" t="n"/>
      <c r="AQ37" s="42" t="n"/>
      <c r="AR37" s="888">
        <f>IFERROR(IF(VLOOKUP($B37,Medewerker!$C$8:$M$107,11,FALSE)="",VLOOKUP($B37,Medewerker!$C$8:$M$107,9,FALSE),0),0)</f>
        <v/>
      </c>
      <c r="AS37" s="888">
        <f>IFERROR(IF(B37="",1,IF(VLOOKUP($B37,Medewerker!$C$8:$M$107,11,FALSE)="",VLOOKUP($B37,Medewerker!$C$8:$M$107,10,FALSE),0)),0)</f>
        <v/>
      </c>
      <c r="AT37" s="45" t="n"/>
      <c r="AU37" s="46">
        <f>(COUNTIF(F37:AQ37,"afw"))/2</f>
        <v/>
      </c>
      <c r="AV37" s="111">
        <f>((38-(COUNTIF(F37:AQ37,"")))/2)-(COUNTIF(F37:AQ37,"p")/2)-(COUNTIF(F37:AQ37,CONCATENATE("x","*"))/4)</f>
        <v/>
      </c>
      <c r="AW37" s="73">
        <f>IF($B37="","",VLOOKUP($B37,Medewerker!$C$8:$E$107,3,FALSE))</f>
        <v/>
      </c>
      <c r="AX37" s="403">
        <f>IFERROR(VLOOKUP($B37,Planning!$B$6:$AG$105,32,FALSE)*24,"")</f>
        <v/>
      </c>
      <c r="AY37" s="560" t="inlineStr">
        <is>
          <t>cb</t>
        </is>
      </c>
      <c r="AZ37" s="166" t="inlineStr">
        <is>
          <t>Codeboek</t>
        </is>
      </c>
      <c r="BA37" s="111">
        <f>COUNTIF($F$13:$AQ$63,CONCATENATE(AY37,"*"))/2+COUNTIF($F$13:$AQ$63,CONCATENATE("x",AY37,"*"))/4</f>
        <v/>
      </c>
      <c r="BB37" s="838" t="n"/>
      <c r="BC37" s="31">
        <f>IF(Planning!B30="","",Planning!B30)</f>
        <v/>
      </c>
      <c r="BD37" s="105" t="n"/>
      <c r="BE37" s="885">
        <f>Planning!E30</f>
        <v/>
      </c>
      <c r="BF37" s="885">
        <f>Planning!F30</f>
        <v/>
      </c>
      <c r="BG37" s="886" t="n"/>
      <c r="BH37" s="105" t="n"/>
      <c r="BI37" s="885">
        <f>Planning!I30</f>
        <v/>
      </c>
      <c r="BJ37" s="885">
        <f>Planning!J30</f>
        <v/>
      </c>
      <c r="BK37" s="886" t="n"/>
      <c r="BL37" s="105" t="n"/>
      <c r="BM37" s="885">
        <f>Planning!M30</f>
        <v/>
      </c>
      <c r="BN37" s="885">
        <f>Planning!N30</f>
        <v/>
      </c>
      <c r="BO37" s="886" t="n"/>
      <c r="BP37" s="105" t="n"/>
      <c r="BQ37" s="885">
        <f>Planning!Q30</f>
        <v/>
      </c>
      <c r="BR37" s="885">
        <f>Planning!R30</f>
        <v/>
      </c>
      <c r="BS37" s="886" t="n"/>
      <c r="BT37" s="105" t="n"/>
      <c r="BU37" s="885">
        <f>Planning!U30</f>
        <v/>
      </c>
      <c r="BV37" s="885">
        <f>Planning!V30</f>
        <v/>
      </c>
      <c r="BW37" s="886" t="n"/>
      <c r="BX37" s="105" t="n"/>
      <c r="BY37" s="885">
        <f>Planning!Y30</f>
        <v/>
      </c>
      <c r="BZ37" s="885">
        <f>Planning!Z30</f>
        <v/>
      </c>
      <c r="CA37" s="886" t="n"/>
      <c r="CB37" s="105" t="n"/>
      <c r="CC37" s="885">
        <f>Planning!AC30</f>
        <v/>
      </c>
      <c r="CD37" s="885">
        <f>Planning!AD30</f>
        <v/>
      </c>
      <c r="CE37" s="886" t="n"/>
      <c r="CF37" s="105" t="n"/>
      <c r="CG37" s="887">
        <f>Planning!AG30</f>
        <v/>
      </c>
      <c r="CH37" s="105" t="n"/>
      <c r="CI37" s="252">
        <f>IF(BC37="","",Planning!AI30)</f>
        <v/>
      </c>
      <c r="CJ37" s="252">
        <f>IF(BC37="","",Planning!AJ30)</f>
        <v/>
      </c>
      <c r="CK37" s="252">
        <f>IF(BC37="","",Planning!AK30)</f>
        <v/>
      </c>
      <c r="CL37" s="252">
        <f>IF(BC37="","",Planning!AH30)</f>
        <v/>
      </c>
      <c r="CM37" s="21" t="n"/>
    </row>
    <row r="38" ht="12.75" customHeight="1">
      <c r="A38" s="161">
        <f>IFERROR(IF(VLOOKUP($B38,$BC$13:$CL$86,36,FALSE)&gt;5,0,IF(COUNTIF($B$13:$B$63,$B38)&gt;1,0,26)),26)+IF(B38&lt;&gt;0,0,IF(AV38&gt;0,0.000001,0))</f>
        <v/>
      </c>
      <c r="B38" s="129" t="inlineStr">
        <is>
          <t>Umer</t>
        </is>
      </c>
      <c r="C38" s="48">
        <f>IFERROR(IF($B38="","",VLOOKUP($B38,Medewerker!$C$8:$AI$107,33,FALSE)),"?")</f>
        <v/>
      </c>
      <c r="D38" s="879">
        <f t="array" ref="D38">IFERROR(IF(LEFT(INDEX($F38:$AQ38,1,SUM(SMALL(IF($F38:$AQ38&lt;&gt;"",COLUMN($F38:$AQ38)),1)-5)),1)="x",SUM(SMALL(IF($F38:$AQ38&lt;&gt;"",$F$11:$AQ$11),1)+"0:15"),SMALL(IF($F38:$AQ38&lt;&gt;"",$F$11:$AQ$11),1)),"")</f>
        <v/>
      </c>
      <c r="E38" s="879">
        <f t="array" ref="E38">IFERROR(IF(LEFT(INDEX($F38:$AQ38,1,SUM(LARGE(IF($F38:$AQ38&lt;&gt;"",COLUMN($F38:$AQ38)),1)-5)),1)="x",SUM(LARGE(IF($F38:$AQ38&lt;&gt;"",$F$11:$AQ$11+"0:30:00"),1)-"0:15"),LARGE(IF($F38:$AQ38&lt;&gt;"",$F$11:$AQ$11+"0:30:00"),1)),"")</f>
        <v/>
      </c>
      <c r="F38" s="43" t="n"/>
      <c r="G38" s="42" t="n"/>
      <c r="H38" s="43" t="n"/>
      <c r="I38" s="43" t="n"/>
      <c r="J38" s="43" t="n"/>
      <c r="K38" s="41" t="n"/>
      <c r="L38" s="40" t="n"/>
      <c r="M38" s="42" t="n"/>
      <c r="N38" s="43" t="n"/>
      <c r="O38" s="41" t="n"/>
      <c r="P38" s="40" t="n"/>
      <c r="Q38" s="42" t="n"/>
      <c r="R38" s="43" t="n"/>
      <c r="S38" s="41" t="n"/>
      <c r="T38" s="40" t="n"/>
      <c r="U38" s="42" t="n"/>
      <c r="V38" s="43" t="n"/>
      <c r="W38" s="41" t="n"/>
      <c r="X38" s="40" t="n"/>
      <c r="Y38" s="42" t="n"/>
      <c r="Z38" s="43" t="n"/>
      <c r="AA38" s="41" t="n"/>
      <c r="AB38" s="40" t="n"/>
      <c r="AC38" s="42" t="n"/>
      <c r="AD38" s="43" t="n"/>
      <c r="AE38" s="41" t="n"/>
      <c r="AF38" s="40" t="n"/>
      <c r="AG38" s="42" t="n"/>
      <c r="AH38" s="43" t="n"/>
      <c r="AI38" s="41" t="inlineStr">
        <is>
          <t>vv</t>
        </is>
      </c>
      <c r="AJ38" s="40" t="inlineStr">
        <is>
          <t>vv</t>
        </is>
      </c>
      <c r="AK38" s="42" t="inlineStr">
        <is>
          <t>vv</t>
        </is>
      </c>
      <c r="AL38" s="43" t="inlineStr">
        <is>
          <t>vv</t>
        </is>
      </c>
      <c r="AM38" s="41" t="inlineStr">
        <is>
          <t>vv</t>
        </is>
      </c>
      <c r="AN38" s="645" t="inlineStr">
        <is>
          <t>vv</t>
        </is>
      </c>
      <c r="AO38" s="42" t="inlineStr">
        <is>
          <t>vv</t>
        </is>
      </c>
      <c r="AP38" s="43" t="n"/>
      <c r="AQ38" s="42" t="n"/>
      <c r="AR38" s="888">
        <f>IFERROR(IF(VLOOKUP($B38,Medewerker!$C$8:$M$107,11,FALSE)="",VLOOKUP($B38,Medewerker!$C$8:$M$107,9,FALSE),0),0)</f>
        <v/>
      </c>
      <c r="AS38" s="888">
        <f>IFERROR(IF(B38="",1,IF(VLOOKUP($B38,Medewerker!$C$8:$M$107,11,FALSE)="",VLOOKUP($B38,Medewerker!$C$8:$M$107,10,FALSE),0)),0)</f>
        <v/>
      </c>
      <c r="AT38" s="45" t="n"/>
      <c r="AU38" s="46">
        <f>(COUNTIF(F38:AQ38,"afw"))/2</f>
        <v/>
      </c>
      <c r="AV38" s="111">
        <f>((38-(COUNTIF(F38:AQ38,"")))/2)-(COUNTIF(F38:AQ38,"p")/2)-(COUNTIF(F38:AQ38,CONCATENATE("x","*"))/4)</f>
        <v/>
      </c>
      <c r="AW38" s="73">
        <f>IF($B38="","",VLOOKUP($B38,Medewerker!$C$8:$E$107,3,FALSE))</f>
        <v/>
      </c>
      <c r="AX38" s="403">
        <f>IFERROR(VLOOKUP($B38,Planning!$B$6:$AG$105,32,FALSE)*24,"")</f>
        <v/>
      </c>
      <c r="AY38" s="560" t="inlineStr">
        <is>
          <t>nr</t>
        </is>
      </c>
      <c r="AZ38" s="166" t="inlineStr">
        <is>
          <t>Naloopronde</t>
        </is>
      </c>
      <c r="BA38" s="111">
        <f>COUNTIF($F$13:$AQ$63,CONCATENATE(AY38,"*"))/2+COUNTIF($F$13:$AQ$63,CONCATENATE("x",AY38,"*"))/4</f>
        <v/>
      </c>
      <c r="BB38" s="838" t="n"/>
      <c r="BC38" s="31">
        <f>IF(Planning!B31="","",Planning!B31)</f>
        <v/>
      </c>
      <c r="BD38" s="105" t="n"/>
      <c r="BE38" s="885">
        <f>Planning!E31</f>
        <v/>
      </c>
      <c r="BF38" s="885">
        <f>Planning!F31</f>
        <v/>
      </c>
      <c r="BG38" s="886" t="n"/>
      <c r="BH38" s="105" t="n"/>
      <c r="BI38" s="885">
        <f>Planning!I31</f>
        <v/>
      </c>
      <c r="BJ38" s="885">
        <f>Planning!J31</f>
        <v/>
      </c>
      <c r="BK38" s="886" t="n"/>
      <c r="BL38" s="105" t="n"/>
      <c r="BM38" s="885">
        <f>Planning!M31</f>
        <v/>
      </c>
      <c r="BN38" s="885">
        <f>Planning!N31</f>
        <v/>
      </c>
      <c r="BO38" s="886" t="n"/>
      <c r="BP38" s="105" t="n"/>
      <c r="BQ38" s="885">
        <f>Planning!Q31</f>
        <v/>
      </c>
      <c r="BR38" s="885">
        <f>Planning!R31</f>
        <v/>
      </c>
      <c r="BS38" s="886" t="n"/>
      <c r="BT38" s="105" t="n"/>
      <c r="BU38" s="885">
        <f>Planning!U31</f>
        <v/>
      </c>
      <c r="BV38" s="885">
        <f>Planning!V31</f>
        <v/>
      </c>
      <c r="BW38" s="886" t="n"/>
      <c r="BX38" s="105" t="n"/>
      <c r="BY38" s="885">
        <f>Planning!Y31</f>
        <v/>
      </c>
      <c r="BZ38" s="885">
        <f>Planning!Z31</f>
        <v/>
      </c>
      <c r="CA38" s="886" t="n"/>
      <c r="CB38" s="105" t="n"/>
      <c r="CC38" s="885">
        <f>Planning!AC31</f>
        <v/>
      </c>
      <c r="CD38" s="885">
        <f>Planning!AD31</f>
        <v/>
      </c>
      <c r="CE38" s="886" t="n"/>
      <c r="CF38" s="105" t="n"/>
      <c r="CG38" s="887">
        <f>Planning!AG31</f>
        <v/>
      </c>
      <c r="CH38" s="105" t="n"/>
      <c r="CI38" s="252">
        <f>IF(BC38="","",Planning!AI31)</f>
        <v/>
      </c>
      <c r="CJ38" s="252">
        <f>IF(BC38="","",Planning!AJ31)</f>
        <v/>
      </c>
      <c r="CK38" s="252">
        <f>IF(BC38="","",Planning!AK31)</f>
        <v/>
      </c>
      <c r="CL38" s="252">
        <f>IF(BC38="","",Planning!AH31)</f>
        <v/>
      </c>
      <c r="CM38" s="21" t="n"/>
    </row>
    <row r="39" ht="12.75" customHeight="1">
      <c r="A39" s="161">
        <f>IFERROR(IF(VLOOKUP($B39,$BC$13:$CL$86,36,FALSE)&gt;5,0,IF(COUNTIF($B$13:$B$63,$B39)&gt;1,0,27)),27)+IF(B39&lt;&gt;0,0,IF(AV39&gt;0,0.000001,0))</f>
        <v/>
      </c>
      <c r="B39" s="129" t="inlineStr">
        <is>
          <t>Sevgyul</t>
        </is>
      </c>
      <c r="C39" s="48">
        <f>IFERROR(IF($B39="","",VLOOKUP($B39,Medewerker!$C$8:$AI$107,33,FALSE)),"?")</f>
        <v/>
      </c>
      <c r="D39" s="879">
        <f t="array" ref="D39">IFERROR(IF(LEFT(INDEX($F39:$AQ39,1,SUM(SMALL(IF($F39:$AQ39&lt;&gt;"",COLUMN($F39:$AQ39)),1)-5)),1)="x",SUM(SMALL(IF($F39:$AQ39&lt;&gt;"",$F$11:$AQ$11),1)+"0:15"),SMALL(IF($F39:$AQ39&lt;&gt;"",$F$11:$AQ$11),1)),"")</f>
        <v/>
      </c>
      <c r="E39" s="879">
        <f t="array" ref="E39">IFERROR(IF(LEFT(INDEX($F39:$AQ39,1,SUM(LARGE(IF($F39:$AQ39&lt;&gt;"",COLUMN($F39:$AQ39)),1)-5)),1)="x",SUM(LARGE(IF($F39:$AQ39&lt;&gt;"",$F$11:$AQ$11+"0:30:00"),1)-"0:15"),LARGE(IF($F39:$AQ39&lt;&gt;"",$F$11:$AQ$11+"0:30:00"),1)),"")</f>
        <v/>
      </c>
      <c r="F39" s="43" t="n"/>
      <c r="G39" s="42" t="n"/>
      <c r="H39" s="43" t="n"/>
      <c r="I39" s="42" t="n"/>
      <c r="J39" s="43" t="n"/>
      <c r="K39" s="41" t="n"/>
      <c r="L39" s="40" t="n"/>
      <c r="M39" s="42" t="n"/>
      <c r="N39" s="43" t="n"/>
      <c r="O39" s="41" t="n"/>
      <c r="P39" s="40" t="n"/>
      <c r="Q39" s="42" t="n"/>
      <c r="R39" s="43" t="n"/>
      <c r="S39" s="41" t="n"/>
      <c r="T39" s="40" t="n"/>
      <c r="U39" s="42" t="n"/>
      <c r="V39" s="43" t="n"/>
      <c r="W39" s="41" t="n"/>
      <c r="X39" s="40" t="n"/>
      <c r="Y39" s="42" t="n"/>
      <c r="Z39" s="43" t="n"/>
      <c r="AA39" s="41" t="n"/>
      <c r="AB39" s="40" t="n"/>
      <c r="AC39" s="42" t="n"/>
      <c r="AD39" s="43" t="n"/>
      <c r="AE39" s="41" t="n"/>
      <c r="AF39" s="40" t="n"/>
      <c r="AG39" s="42" t="n"/>
      <c r="AH39" s="43" t="n"/>
      <c r="AI39" s="41" t="inlineStr">
        <is>
          <t>vv</t>
        </is>
      </c>
      <c r="AJ39" s="40" t="inlineStr">
        <is>
          <t>vv</t>
        </is>
      </c>
      <c r="AK39" s="42" t="inlineStr">
        <is>
          <t>vv</t>
        </is>
      </c>
      <c r="AL39" s="43" t="inlineStr">
        <is>
          <t>vv</t>
        </is>
      </c>
      <c r="AM39" s="41" t="inlineStr">
        <is>
          <t>vv</t>
        </is>
      </c>
      <c r="AN39" s="645" t="inlineStr">
        <is>
          <t>vv</t>
        </is>
      </c>
      <c r="AO39" s="42" t="inlineStr">
        <is>
          <t>vv</t>
        </is>
      </c>
      <c r="AP39" s="43" t="n"/>
      <c r="AQ39" s="42" t="n"/>
      <c r="AR39" s="888">
        <f>IFERROR(IF(VLOOKUP($B39,Medewerker!$C$8:$M$107,11,FALSE)="",VLOOKUP($B39,Medewerker!$C$8:$M$107,9,FALSE),0),0)</f>
        <v/>
      </c>
      <c r="AS39" s="888">
        <f>IFERROR(IF(B39="",1,IF(VLOOKUP($B39,Medewerker!$C$8:$M$107,11,FALSE)="",VLOOKUP($B39,Medewerker!$C$8:$M$107,10,FALSE),0)),0)</f>
        <v/>
      </c>
      <c r="AT39" s="45" t="n"/>
      <c r="AU39" s="46">
        <f>(COUNTIF(F39:AQ39,"afw"))/2</f>
        <v/>
      </c>
      <c r="AV39" s="111">
        <f>((38-(COUNTIF(F39:AQ39,"")))/2)-(COUNTIF(F39:AQ39,"p")/2)-(COUNTIF(F39:AQ39,CONCATENATE("x","*"))/4)</f>
        <v/>
      </c>
      <c r="AW39" s="73">
        <f>IF($B39="","",VLOOKUP($B39,Medewerker!$C$8:$E$107,3,FALSE))</f>
        <v/>
      </c>
      <c r="AX39" s="403">
        <f>IFERROR(VLOOKUP($B39,Planning!$B$6:$AG$105,32,FALSE)*24,"")</f>
        <v/>
      </c>
      <c r="AY39" s="560" t="inlineStr">
        <is>
          <t>us</t>
        </is>
      </c>
      <c r="AZ39" s="166" t="inlineStr">
        <is>
          <t>Vervallen artikelen</t>
        </is>
      </c>
      <c r="BA39" s="111">
        <f>COUNTIF($F$13:$AQ$63,CONCATENATE(AY39,"*"))/2+COUNTIF($F$13:$AQ$63,CONCATENATE("x",AY39,"*"))/4</f>
        <v/>
      </c>
      <c r="BB39" s="838" t="n"/>
      <c r="BC39" s="31">
        <f>IF(Planning!B32="","",Planning!B32)</f>
        <v/>
      </c>
      <c r="BD39" s="105" t="n"/>
      <c r="BE39" s="885">
        <f>Planning!E32</f>
        <v/>
      </c>
      <c r="BF39" s="885">
        <f>Planning!F32</f>
        <v/>
      </c>
      <c r="BG39" s="886" t="n"/>
      <c r="BH39" s="105" t="n"/>
      <c r="BI39" s="885">
        <f>Planning!I32</f>
        <v/>
      </c>
      <c r="BJ39" s="885">
        <f>Planning!J32</f>
        <v/>
      </c>
      <c r="BK39" s="886" t="n"/>
      <c r="BL39" s="105" t="n"/>
      <c r="BM39" s="885">
        <f>Planning!M32</f>
        <v/>
      </c>
      <c r="BN39" s="885">
        <f>Planning!N32</f>
        <v/>
      </c>
      <c r="BO39" s="886" t="n"/>
      <c r="BP39" s="105" t="n"/>
      <c r="BQ39" s="885">
        <f>Planning!Q32</f>
        <v/>
      </c>
      <c r="BR39" s="885">
        <f>Planning!R32</f>
        <v/>
      </c>
      <c r="BS39" s="886" t="n"/>
      <c r="BT39" s="105" t="n"/>
      <c r="BU39" s="885">
        <f>Planning!U32</f>
        <v/>
      </c>
      <c r="BV39" s="885">
        <f>Planning!V32</f>
        <v/>
      </c>
      <c r="BW39" s="886" t="n"/>
      <c r="BX39" s="105" t="n"/>
      <c r="BY39" s="885">
        <f>Planning!Y32</f>
        <v/>
      </c>
      <c r="BZ39" s="885">
        <f>Planning!Z32</f>
        <v/>
      </c>
      <c r="CA39" s="886" t="n"/>
      <c r="CB39" s="105" t="n"/>
      <c r="CC39" s="885">
        <f>Planning!AC32</f>
        <v/>
      </c>
      <c r="CD39" s="885">
        <f>Planning!AD32</f>
        <v/>
      </c>
      <c r="CE39" s="886" t="n"/>
      <c r="CF39" s="105" t="n"/>
      <c r="CG39" s="887">
        <f>Planning!AG32</f>
        <v/>
      </c>
      <c r="CH39" s="105" t="n"/>
      <c r="CI39" s="252">
        <f>IF(BC39="","",Planning!AI32)</f>
        <v/>
      </c>
      <c r="CJ39" s="252">
        <f>IF(BC39="","",Planning!AJ32)</f>
        <v/>
      </c>
      <c r="CK39" s="252">
        <f>IF(BC39="","",Planning!AK32)</f>
        <v/>
      </c>
      <c r="CL39" s="252">
        <f>IF(BC39="","",Planning!AH32)</f>
        <v/>
      </c>
      <c r="CM39" s="21" t="n"/>
    </row>
    <row r="40" ht="12.75" customHeight="1">
      <c r="A40" s="161">
        <f>IFERROR(IF(VLOOKUP($B40,$BC$13:$CL$86,36,FALSE)&gt;5,0,IF(COUNTIF($B$13:$B$63,$B40)&gt;1,0,28)),28)+IF(B40&lt;&gt;0,0,IF(AV40&gt;0,0.000001,0))</f>
        <v/>
      </c>
      <c r="B40" s="129" t="inlineStr">
        <is>
          <t>Mo Samar</t>
        </is>
      </c>
      <c r="C40" s="48">
        <f>IFERROR(IF($B40="","",VLOOKUP($B40,Medewerker!$C$8:$AI$107,33,FALSE)),"?")</f>
        <v/>
      </c>
      <c r="D40" s="879">
        <f t="array" ref="D40">IFERROR(IF(LEFT(INDEX($F40:$AQ40,1,SUM(SMALL(IF($F40:$AQ40&lt;&gt;"",COLUMN($F40:$AQ40)),1)-5)),1)="x",SUM(SMALL(IF($F40:$AQ40&lt;&gt;"",$F$11:$AQ$11),1)+"0:15"),SMALL(IF($F40:$AQ40&lt;&gt;"",$F$11:$AQ$11),1)),"")</f>
        <v/>
      </c>
      <c r="E40" s="879">
        <f t="array" ref="E40">IFERROR(IF(LEFT(INDEX($F40:$AQ40,1,SUM(LARGE(IF($F40:$AQ40&lt;&gt;"",COLUMN($F40:$AQ40)),1)-5)),1)="x",SUM(LARGE(IF($F40:$AQ40&lt;&gt;"",$F$11:$AQ$11+"0:30:00"),1)-"0:15"),LARGE(IF($F40:$AQ40&lt;&gt;"",$F$11:$AQ$11+"0:30:00"),1)),"")</f>
        <v/>
      </c>
      <c r="F40" s="43" t="n"/>
      <c r="G40" s="42" t="n"/>
      <c r="H40" s="43" t="n"/>
      <c r="I40" s="42" t="n"/>
      <c r="J40" s="43" t="n"/>
      <c r="K40" s="41" t="n"/>
      <c r="L40" s="40" t="n"/>
      <c r="M40" s="42" t="n"/>
      <c r="N40" s="43" t="n"/>
      <c r="O40" s="41" t="n"/>
      <c r="P40" s="40" t="n"/>
      <c r="Q40" s="42" t="n"/>
      <c r="R40" s="43" t="n"/>
      <c r="S40" s="41" t="n"/>
      <c r="T40" s="40" t="n"/>
      <c r="U40" s="42" t="n"/>
      <c r="V40" s="43" t="n"/>
      <c r="W40" s="41" t="n"/>
      <c r="X40" s="40" t="n"/>
      <c r="Y40" s="42" t="n"/>
      <c r="Z40" s="43" t="n"/>
      <c r="AA40" s="41" t="n"/>
      <c r="AB40" s="40" t="n"/>
      <c r="AC40" s="42" t="n"/>
      <c r="AD40" s="43" t="n"/>
      <c r="AE40" s="41" t="n"/>
      <c r="AF40" s="40" t="n"/>
      <c r="AG40" s="42" t="n"/>
      <c r="AH40" s="43" t="n"/>
      <c r="AI40" s="41" t="inlineStr">
        <is>
          <t>vv</t>
        </is>
      </c>
      <c r="AJ40" s="40" t="inlineStr">
        <is>
          <t>vv</t>
        </is>
      </c>
      <c r="AK40" s="42" t="inlineStr">
        <is>
          <t>vv</t>
        </is>
      </c>
      <c r="AL40" s="43" t="inlineStr">
        <is>
          <t>vv</t>
        </is>
      </c>
      <c r="AM40" s="41" t="inlineStr">
        <is>
          <t>vv</t>
        </is>
      </c>
      <c r="AN40" s="645" t="inlineStr">
        <is>
          <t>vv</t>
        </is>
      </c>
      <c r="AO40" s="42" t="inlineStr">
        <is>
          <t>vv</t>
        </is>
      </c>
      <c r="AP40" s="43" t="n"/>
      <c r="AQ40" s="42" t="n"/>
      <c r="AR40" s="888">
        <f>IFERROR(IF(VLOOKUP($B40,Medewerker!$C$8:$M$107,11,FALSE)="",VLOOKUP($B40,Medewerker!$C$8:$M$107,9,FALSE),0),0)</f>
        <v/>
      </c>
      <c r="AS40" s="888">
        <f>IFERROR(IF(B40="",1,IF(VLOOKUP($B40,Medewerker!$C$8:$M$107,11,FALSE)="",VLOOKUP($B40,Medewerker!$C$8:$M$107,10,FALSE),0)),0)</f>
        <v/>
      </c>
      <c r="AT40" s="45" t="n"/>
      <c r="AU40" s="46">
        <f>(COUNTIF(F40:AQ40,"afw"))/2</f>
        <v/>
      </c>
      <c r="AV40" s="111">
        <f>((38-(COUNTIF(F40:AQ40,"")))/2)-(COUNTIF(F40:AQ40,"p")/2)-(COUNTIF(F40:AQ40,CONCATENATE("x","*"))/4)</f>
        <v/>
      </c>
      <c r="AW40" s="73">
        <f>IF($B40="","",VLOOKUP($B40,Medewerker!$C$8:$E$107,3,FALSE))</f>
        <v/>
      </c>
      <c r="AX40" s="403">
        <f>IFERROR(VLOOKUP($B40,Planning!$B$6:$AG$105,32,FALSE)*24,"")</f>
        <v/>
      </c>
      <c r="AY40" s="559" t="inlineStr">
        <is>
          <t>ver</t>
        </is>
      </c>
      <c r="AZ40" s="414" t="inlineStr">
        <is>
          <t>Vernietigen/Reststoffen</t>
        </is>
      </c>
      <c r="BA40" s="111">
        <f>COUNTIF($F$13:$AQ$63,CONCATENATE(AY40,"*"))/2+COUNTIF($F$13:$AQ$63,CONCATENATE("x",AY40,"*"))/4</f>
        <v/>
      </c>
      <c r="BB40" s="838" t="n"/>
      <c r="BC40" s="31">
        <f>IF(Planning!B33="","",Planning!B33)</f>
        <v/>
      </c>
      <c r="BD40" s="105" t="n"/>
      <c r="BE40" s="885">
        <f>Planning!E33</f>
        <v/>
      </c>
      <c r="BF40" s="885">
        <f>Planning!F33</f>
        <v/>
      </c>
      <c r="BG40" s="886" t="n"/>
      <c r="BH40" s="105" t="n"/>
      <c r="BI40" s="885">
        <f>Planning!I33</f>
        <v/>
      </c>
      <c r="BJ40" s="885">
        <f>Planning!J33</f>
        <v/>
      </c>
      <c r="BK40" s="886" t="n"/>
      <c r="BL40" s="105" t="n"/>
      <c r="BM40" s="885">
        <f>Planning!M33</f>
        <v/>
      </c>
      <c r="BN40" s="885">
        <f>Planning!N33</f>
        <v/>
      </c>
      <c r="BO40" s="886" t="n"/>
      <c r="BP40" s="105" t="n"/>
      <c r="BQ40" s="885">
        <f>Planning!Q33</f>
        <v/>
      </c>
      <c r="BR40" s="885">
        <f>Planning!R33</f>
        <v/>
      </c>
      <c r="BS40" s="886" t="n"/>
      <c r="BT40" s="105" t="n"/>
      <c r="BU40" s="885">
        <f>Planning!U33</f>
        <v/>
      </c>
      <c r="BV40" s="885">
        <f>Planning!V33</f>
        <v/>
      </c>
      <c r="BW40" s="886" t="n"/>
      <c r="BX40" s="105" t="n"/>
      <c r="BY40" s="885">
        <f>Planning!Y33</f>
        <v/>
      </c>
      <c r="BZ40" s="885">
        <f>Planning!Z33</f>
        <v/>
      </c>
      <c r="CA40" s="886" t="n"/>
      <c r="CB40" s="105" t="n"/>
      <c r="CC40" s="885">
        <f>Planning!AC33</f>
        <v/>
      </c>
      <c r="CD40" s="885">
        <f>Planning!AD33</f>
        <v/>
      </c>
      <c r="CE40" s="886" t="n"/>
      <c r="CF40" s="105" t="n"/>
      <c r="CG40" s="887">
        <f>Planning!AG33</f>
        <v/>
      </c>
      <c r="CH40" s="105" t="n"/>
      <c r="CI40" s="252">
        <f>IF(BC40="","",Planning!AI33)</f>
        <v/>
      </c>
      <c r="CJ40" s="252">
        <f>IF(BC40="","",Planning!AJ33)</f>
        <v/>
      </c>
      <c r="CK40" s="252">
        <f>IF(BC40="","",Planning!AK33)</f>
        <v/>
      </c>
      <c r="CL40" s="252">
        <f>IF(BC40="","",Planning!AH33)</f>
        <v/>
      </c>
      <c r="CM40" s="21" t="n"/>
    </row>
    <row r="41" ht="12.75" customHeight="1">
      <c r="A41" s="161">
        <f>IFERROR(IF(VLOOKUP($B41,$BC$13:$CL$86,36,FALSE)&gt;5,0,IF(COUNTIF($B$13:$B$63,$B41)&gt;1,0,29)),29)+IF(B41&lt;&gt;0,0,IF(AV41&gt;0,0.000001,0))</f>
        <v/>
      </c>
      <c r="B41" s="129" t="n"/>
      <c r="C41" s="48">
        <f>IFERROR(IF($B41="","",VLOOKUP($B41,Medewerker!$C$8:$AI$107,33,FALSE)),"?")</f>
        <v/>
      </c>
      <c r="D41" s="879">
        <f t="array" ref="D41">IFERROR(IF(LEFT(INDEX($F41:$AQ41,1,SUM(SMALL(IF($F41:$AQ41&lt;&gt;"",COLUMN($F41:$AQ41)),1)-5)),1)="x",SUM(SMALL(IF($F41:$AQ41&lt;&gt;"",$F$11:$AQ$11),1)+"0:15"),SMALL(IF($F41:$AQ41&lt;&gt;"",$F$11:$AQ$11),1)),"")</f>
        <v/>
      </c>
      <c r="E41" s="879">
        <f t="array" ref="E41">IFERROR(IF(LEFT(INDEX($F41:$AQ41,1,SUM(LARGE(IF($F41:$AQ41&lt;&gt;"",COLUMN($F41:$AQ41)),1)-5)),1)="x",SUM(LARGE(IF($F41:$AQ41&lt;&gt;"",$F$11:$AQ$11+"0:30:00"),1)-"0:15"),LARGE(IF($F41:$AQ41&lt;&gt;"",$F$11:$AQ$11+"0:30:00"),1)),"")</f>
        <v/>
      </c>
      <c r="F41" s="43" t="n"/>
      <c r="G41" s="42" t="n"/>
      <c r="H41" s="43" t="n"/>
      <c r="I41" s="42" t="n"/>
      <c r="J41" s="43" t="n"/>
      <c r="K41" s="41" t="n"/>
      <c r="L41" s="40" t="n"/>
      <c r="M41" s="42" t="n"/>
      <c r="N41" s="43" t="n"/>
      <c r="O41" s="41" t="n"/>
      <c r="P41" s="40" t="n"/>
      <c r="Q41" s="42" t="n"/>
      <c r="R41" s="43" t="n"/>
      <c r="S41" s="41" t="n"/>
      <c r="T41" s="40" t="n"/>
      <c r="U41" s="42" t="n"/>
      <c r="V41" s="43" t="n"/>
      <c r="W41" s="41" t="n"/>
      <c r="X41" s="40" t="n"/>
      <c r="Y41" s="42" t="n"/>
      <c r="Z41" s="43" t="n"/>
      <c r="AA41" s="41" t="n"/>
      <c r="AB41" s="40" t="n"/>
      <c r="AC41" s="42" t="n"/>
      <c r="AD41" s="43" t="n"/>
      <c r="AE41" s="41" t="n"/>
      <c r="AF41" s="40" t="n"/>
      <c r="AG41" s="42" t="n"/>
      <c r="AH41" s="43" t="n"/>
      <c r="AI41" s="41" t="n"/>
      <c r="AJ41" s="41" t="n"/>
      <c r="AK41" s="41" t="n"/>
      <c r="AL41" s="41" t="n"/>
      <c r="AM41" s="41" t="n"/>
      <c r="AN41" s="41" t="n"/>
      <c r="AO41" s="41" t="n"/>
      <c r="AP41" s="41" t="n"/>
      <c r="AQ41" s="42" t="n"/>
      <c r="AR41" s="888">
        <f>IFERROR(IF(VLOOKUP($B41,Medewerker!$C$8:$M$107,11,FALSE)="",VLOOKUP($B41,Medewerker!$C$8:$M$107,9,FALSE),0),0)</f>
        <v/>
      </c>
      <c r="AS41" s="888">
        <f>IFERROR(IF(B41="",1,IF(VLOOKUP($B41,Medewerker!$C$8:$M$107,11,FALSE)="",VLOOKUP($B41,Medewerker!$C$8:$M$107,10,FALSE),0)),0)</f>
        <v/>
      </c>
      <c r="AT41" s="45" t="n"/>
      <c r="AU41" s="46">
        <f>(COUNTIF(F41:AQ41,"afw"))/2</f>
        <v/>
      </c>
      <c r="AV41" s="111">
        <f>((38-(COUNTIF(F41:AQ41,"")))/2)-(COUNTIF(F41:AQ41,"p")/2)-(COUNTIF(F41:AQ41,CONCATENATE("x","*"))/4)</f>
        <v/>
      </c>
      <c r="AW41" s="73">
        <f>IF($B41="","",VLOOKUP($B41,Medewerker!$C$8:$E$107,3,FALSE))</f>
        <v/>
      </c>
      <c r="AX41" s="403">
        <f>IFERROR(VLOOKUP($B41,Planning!$B$6:$AG$105,32,FALSE)*24,"")</f>
        <v/>
      </c>
      <c r="AY41" s="891" t="inlineStr">
        <is>
          <t>Promo/Presentatie</t>
        </is>
      </c>
      <c r="AZ41" s="883" t="n"/>
      <c r="BA41" s="884" t="n"/>
      <c r="BB41" s="838" t="n"/>
      <c r="BC41" s="31">
        <f>IF(Planning!B34="","",Planning!B34)</f>
        <v/>
      </c>
      <c r="BD41" s="105" t="n"/>
      <c r="BE41" s="885">
        <f>Planning!E34</f>
        <v/>
      </c>
      <c r="BF41" s="885">
        <f>Planning!F34</f>
        <v/>
      </c>
      <c r="BG41" s="886" t="n"/>
      <c r="BH41" s="105" t="n"/>
      <c r="BI41" s="885">
        <f>Planning!I34</f>
        <v/>
      </c>
      <c r="BJ41" s="885">
        <f>Planning!J34</f>
        <v/>
      </c>
      <c r="BK41" s="886" t="n"/>
      <c r="BL41" s="105" t="n"/>
      <c r="BM41" s="885">
        <f>Planning!M34</f>
        <v/>
      </c>
      <c r="BN41" s="885">
        <f>Planning!N34</f>
        <v/>
      </c>
      <c r="BO41" s="886" t="n"/>
      <c r="BP41" s="105" t="n"/>
      <c r="BQ41" s="885">
        <f>Planning!Q34</f>
        <v/>
      </c>
      <c r="BR41" s="885">
        <f>Planning!R34</f>
        <v/>
      </c>
      <c r="BS41" s="886" t="n"/>
      <c r="BT41" s="105" t="n"/>
      <c r="BU41" s="885">
        <f>Planning!U34</f>
        <v/>
      </c>
      <c r="BV41" s="885">
        <f>Planning!V34</f>
        <v/>
      </c>
      <c r="BW41" s="886" t="n"/>
      <c r="BX41" s="105" t="n"/>
      <c r="BY41" s="885">
        <f>Planning!Y34</f>
        <v/>
      </c>
      <c r="BZ41" s="885">
        <f>Planning!Z34</f>
        <v/>
      </c>
      <c r="CA41" s="886" t="n"/>
      <c r="CB41" s="105" t="n"/>
      <c r="CC41" s="885">
        <f>Planning!AC34</f>
        <v/>
      </c>
      <c r="CD41" s="885">
        <f>Planning!AD34</f>
        <v/>
      </c>
      <c r="CE41" s="886" t="n"/>
      <c r="CF41" s="105" t="n"/>
      <c r="CG41" s="887">
        <f>Planning!AG34</f>
        <v/>
      </c>
      <c r="CH41" s="105" t="n"/>
      <c r="CI41" s="252">
        <f>IF(BC41="","",Planning!AI34)</f>
        <v/>
      </c>
      <c r="CJ41" s="252">
        <f>IF(BC41="","",Planning!AJ34)</f>
        <v/>
      </c>
      <c r="CK41" s="252">
        <f>IF(BC41="","",Planning!AK34)</f>
        <v/>
      </c>
      <c r="CL41" s="252">
        <f>IF(BC41="","",Planning!AH34)</f>
        <v/>
      </c>
      <c r="CM41" s="21" t="n"/>
    </row>
    <row r="42" ht="12.75" customHeight="1">
      <c r="A42" s="161">
        <f>IFERROR(IF(VLOOKUP($B42,$BC$13:$CL$86,36,FALSE)&gt;5,0,IF(COUNTIF($B$13:$B$63,$B42)&gt;1,0,30)),30)+IF(B42&lt;&gt;0,0,IF(AV42&gt;0,0.000001,0))</f>
        <v/>
      </c>
      <c r="B42" s="129" t="inlineStr">
        <is>
          <t>Alaa</t>
        </is>
      </c>
      <c r="C42" s="48">
        <f>IFERROR(IF($B42="","",VLOOKUP($B42,Medewerker!$C$8:$AI$107,33,FALSE)),"?")</f>
        <v/>
      </c>
      <c r="D42" s="879">
        <f t="array" ref="D42">IFERROR(IF(LEFT(INDEX($F42:$AQ42,1,SUM(SMALL(IF($F42:$AQ42&lt;&gt;"",COLUMN($F42:$AQ42)),1)-5)),1)="x",SUM(SMALL(IF($F42:$AQ42&lt;&gt;"",$F$11:$AQ$11),1)+"0:15"),SMALL(IF($F42:$AQ42&lt;&gt;"",$F$11:$AQ$11),1)),"")</f>
        <v/>
      </c>
      <c r="E42" s="879">
        <f t="array" ref="E42">IFERROR(IF(LEFT(INDEX($F42:$AQ42,1,SUM(LARGE(IF($F42:$AQ42&lt;&gt;"",COLUMN($F42:$AQ42)),1)-5)),1)="x",SUM(LARGE(IF($F42:$AQ42&lt;&gt;"",$F$11:$AQ$11+"0:30:00"),1)-"0:15"),LARGE(IF($F42:$AQ42&lt;&gt;"",$F$11:$AQ$11+"0:30:00"),1)),"")</f>
        <v/>
      </c>
      <c r="F42" s="43" t="n"/>
      <c r="G42" s="42" t="n"/>
      <c r="H42" s="43" t="n"/>
      <c r="I42" s="42" t="n"/>
      <c r="J42" s="43" t="n"/>
      <c r="K42" s="41" t="n"/>
      <c r="L42" s="40" t="n"/>
      <c r="M42" s="42" t="n"/>
      <c r="N42" s="43" t="n"/>
      <c r="O42" s="41" t="n"/>
      <c r="P42" s="40" t="n"/>
      <c r="Q42" s="42" t="n"/>
      <c r="R42" s="43" t="n"/>
      <c r="S42" s="41" t="n"/>
      <c r="T42" s="40" t="n"/>
      <c r="U42" s="42" t="n"/>
      <c r="V42" s="43" t="n"/>
      <c r="W42" s="41" t="n"/>
      <c r="X42" s="40" t="n"/>
      <c r="Y42" s="42" t="n"/>
      <c r="Z42" s="43" t="n"/>
      <c r="AA42" s="41" t="n"/>
      <c r="AB42" s="40" t="n"/>
      <c r="AC42" s="42" t="n"/>
      <c r="AD42" s="43" t="n"/>
      <c r="AE42" s="41" t="n"/>
      <c r="AF42" s="40" t="n"/>
      <c r="AG42" s="42" t="n"/>
      <c r="AH42" s="43" t="n"/>
      <c r="AI42" s="41" t="inlineStr">
        <is>
          <t>wv</t>
        </is>
      </c>
      <c r="AJ42" s="41" t="inlineStr">
        <is>
          <t>wv</t>
        </is>
      </c>
      <c r="AK42" s="41" t="inlineStr">
        <is>
          <t>wv</t>
        </is>
      </c>
      <c r="AL42" s="41" t="inlineStr">
        <is>
          <t>wv</t>
        </is>
      </c>
      <c r="AM42" s="41" t="inlineStr">
        <is>
          <t>wv</t>
        </is>
      </c>
      <c r="AN42" s="41" t="inlineStr">
        <is>
          <t>wv</t>
        </is>
      </c>
      <c r="AO42" s="41" t="inlineStr">
        <is>
          <t>wv</t>
        </is>
      </c>
      <c r="AP42" s="41" t="n"/>
      <c r="AQ42" s="42" t="n"/>
      <c r="AR42" s="888">
        <f>IFERROR(IF(VLOOKUP($B42,Medewerker!$C$8:$M$107,11,FALSE)="",VLOOKUP($B42,Medewerker!$C$8:$M$107,9,FALSE),0),0)</f>
        <v/>
      </c>
      <c r="AS42" s="888">
        <f>IFERROR(IF(B42="",1,IF(VLOOKUP($B42,Medewerker!$C$8:$M$107,11,FALSE)="",VLOOKUP($B42,Medewerker!$C$8:$M$107,10,FALSE),0)),0)</f>
        <v/>
      </c>
      <c r="AT42" s="45" t="n"/>
      <c r="AU42" s="46">
        <f>(COUNTIF(F42:AQ42,"afw"))/2</f>
        <v/>
      </c>
      <c r="AV42" s="111">
        <f>((38-(COUNTIF(F42:AQ42,"")))/2)-(COUNTIF(F42:AQ42,"p")/2)-(COUNTIF(F42:AQ42,CONCATENATE("x","*"))/4)</f>
        <v/>
      </c>
      <c r="AW42" s="73">
        <f>IF($B42="","",VLOOKUP($B42,Medewerker!$C$8:$E$107,3,FALSE))</f>
        <v/>
      </c>
      <c r="AX42" s="403">
        <f>IFERROR(VLOOKUP($B42,Planning!$B$6:$AG$105,32,FALSE)*24,"")</f>
        <v/>
      </c>
      <c r="AY42" s="559" t="inlineStr">
        <is>
          <t>act</t>
        </is>
      </c>
      <c r="AZ42" s="71" t="inlineStr">
        <is>
          <t>Actieopbouw</t>
        </is>
      </c>
      <c r="BA42" s="111">
        <f>COUNTIF($F$13:$AQ$63,CONCATENATE(AY42,"*"))/2+COUNTIF($F$13:$AQ$63,CONCATENATE("x",AY42,"*"))/4</f>
        <v/>
      </c>
      <c r="BB42" s="838" t="n"/>
      <c r="BC42" s="31">
        <f>IF(Planning!B35="","",Planning!B35)</f>
        <v/>
      </c>
      <c r="BD42" s="105" t="n"/>
      <c r="BE42" s="885">
        <f>Planning!E35</f>
        <v/>
      </c>
      <c r="BF42" s="885">
        <f>Planning!F35</f>
        <v/>
      </c>
      <c r="BG42" s="886" t="n"/>
      <c r="BH42" s="105" t="n"/>
      <c r="BI42" s="885">
        <f>Planning!I35</f>
        <v/>
      </c>
      <c r="BJ42" s="885">
        <f>Planning!J35</f>
        <v/>
      </c>
      <c r="BK42" s="886" t="n"/>
      <c r="BL42" s="105" t="n"/>
      <c r="BM42" s="885">
        <f>Planning!M35</f>
        <v/>
      </c>
      <c r="BN42" s="885">
        <f>Planning!N35</f>
        <v/>
      </c>
      <c r="BO42" s="886" t="n"/>
      <c r="BP42" s="105" t="n"/>
      <c r="BQ42" s="885">
        <f>Planning!Q35</f>
        <v/>
      </c>
      <c r="BR42" s="885">
        <f>Planning!R35</f>
        <v/>
      </c>
      <c r="BS42" s="886" t="n"/>
      <c r="BT42" s="105" t="n"/>
      <c r="BU42" s="885">
        <f>Planning!U35</f>
        <v/>
      </c>
      <c r="BV42" s="885">
        <f>Planning!V35</f>
        <v/>
      </c>
      <c r="BW42" s="886" t="n"/>
      <c r="BX42" s="105" t="n"/>
      <c r="BY42" s="885">
        <f>Planning!Y35</f>
        <v/>
      </c>
      <c r="BZ42" s="885">
        <f>Planning!Z35</f>
        <v/>
      </c>
      <c r="CA42" s="886" t="n"/>
      <c r="CB42" s="105" t="n"/>
      <c r="CC42" s="885">
        <f>Planning!AC35</f>
        <v/>
      </c>
      <c r="CD42" s="885">
        <f>Planning!AD35</f>
        <v/>
      </c>
      <c r="CE42" s="886" t="n"/>
      <c r="CF42" s="105" t="n"/>
      <c r="CG42" s="887">
        <f>Planning!AG35</f>
        <v/>
      </c>
      <c r="CH42" s="105" t="n"/>
      <c r="CI42" s="252">
        <f>IF(BC42="","",Planning!AI35)</f>
        <v/>
      </c>
      <c r="CJ42" s="252">
        <f>IF(BC42="","",Planning!AJ35)</f>
        <v/>
      </c>
      <c r="CK42" s="252">
        <f>IF(BC42="","",Planning!AK35)</f>
        <v/>
      </c>
      <c r="CL42" s="252">
        <f>IF(BC42="","",Planning!AH35)</f>
        <v/>
      </c>
      <c r="CM42" s="21" t="n"/>
    </row>
    <row r="43" ht="12.75" customHeight="1">
      <c r="A43" s="161">
        <f>IFERROR(IF(VLOOKUP($B43,$BC$13:$CL$86,36,FALSE)&gt;5,0,IF(COUNTIF($B$13:$B$63,$B43)&gt;1,0,31)),31)+IF(B43&lt;&gt;0,0,IF(AV43&gt;0,0.000001,0))</f>
        <v/>
      </c>
      <c r="B43" s="129" t="inlineStr">
        <is>
          <t>Yasmina ibrahimin</t>
        </is>
      </c>
      <c r="C43" s="48">
        <f>IFERROR(IF($B43="","",VLOOKUP($B43,Medewerker!$C$8:$AI$107,33,FALSE)),"?")</f>
        <v/>
      </c>
      <c r="D43" s="879">
        <f t="array" ref="D43">IFERROR(IF(LEFT(INDEX($F43:$AQ43,1,SUM(SMALL(IF($F43:$AQ43&lt;&gt;"",COLUMN($F43:$AQ43)),1)-5)),1)="x",SUM(SMALL(IF($F43:$AQ43&lt;&gt;"",$F$11:$AQ$11),1)+"0:15"),SMALL(IF($F43:$AQ43&lt;&gt;"",$F$11:$AQ$11),1)),"")</f>
        <v/>
      </c>
      <c r="E43" s="879">
        <f t="array" ref="E43">IFERROR(IF(LEFT(INDEX($F43:$AQ43,1,SUM(LARGE(IF($F43:$AQ43&lt;&gt;"",COLUMN($F43:$AQ43)),1)-5)),1)="x",SUM(LARGE(IF($F43:$AQ43&lt;&gt;"",$F$11:$AQ$11+"0:30:00"),1)-"0:15"),LARGE(IF($F43:$AQ43&lt;&gt;"",$F$11:$AQ$11+"0:30:00"),1)),"")</f>
        <v/>
      </c>
      <c r="F43" s="43" t="n"/>
      <c r="G43" s="42" t="n"/>
      <c r="H43" s="43" t="n"/>
      <c r="I43" s="42" t="n"/>
      <c r="J43" s="43" t="n"/>
      <c r="K43" s="41" t="n"/>
      <c r="L43" s="40" t="n"/>
      <c r="M43" s="42" t="n"/>
      <c r="N43" s="43" t="n"/>
      <c r="O43" s="41" t="n"/>
      <c r="P43" s="40" t="n"/>
      <c r="Q43" s="42" t="n"/>
      <c r="R43" s="43" t="n"/>
      <c r="S43" s="41" t="n"/>
      <c r="T43" s="40" t="n"/>
      <c r="U43" s="42" t="n"/>
      <c r="V43" s="43" t="n"/>
      <c r="W43" s="41" t="n"/>
      <c r="X43" s="40" t="n"/>
      <c r="Y43" s="42" t="n"/>
      <c r="Z43" s="43" t="n"/>
      <c r="AA43" s="41" t="n"/>
      <c r="AB43" s="40" t="n"/>
      <c r="AC43" s="42" t="n"/>
      <c r="AD43" s="43" t="n"/>
      <c r="AE43" s="41" t="n"/>
      <c r="AF43" s="40" t="n"/>
      <c r="AG43" s="42" t="n"/>
      <c r="AH43" s="43" t="n"/>
      <c r="AI43" s="41" t="inlineStr">
        <is>
          <t>wv</t>
        </is>
      </c>
      <c r="AJ43" s="41" t="inlineStr">
        <is>
          <t>wv</t>
        </is>
      </c>
      <c r="AK43" s="41" t="inlineStr">
        <is>
          <t>wv</t>
        </is>
      </c>
      <c r="AL43" s="41" t="inlineStr">
        <is>
          <t>wv</t>
        </is>
      </c>
      <c r="AM43" s="41" t="inlineStr">
        <is>
          <t>wv</t>
        </is>
      </c>
      <c r="AN43" s="41" t="inlineStr">
        <is>
          <t>wv</t>
        </is>
      </c>
      <c r="AO43" s="41" t="inlineStr">
        <is>
          <t>wv</t>
        </is>
      </c>
      <c r="AP43" s="41" t="n"/>
      <c r="AQ43" s="42" t="n"/>
      <c r="AR43" s="888">
        <f>IFERROR(IF(VLOOKUP($B43,Medewerker!$C$8:$M$107,11,FALSE)="",VLOOKUP($B43,Medewerker!$C$8:$M$107,9,FALSE),0),0)</f>
        <v/>
      </c>
      <c r="AS43" s="888">
        <f>IFERROR(IF(B43="",1,IF(VLOOKUP($B43,Medewerker!$C$8:$M$107,11,FALSE)="",VLOOKUP($B43,Medewerker!$C$8:$M$107,10,FALSE),0)),0)</f>
        <v/>
      </c>
      <c r="AT43" s="45" t="n"/>
      <c r="AU43" s="46">
        <f>(COUNTIF(F43:AQ43,"afw"))/2</f>
        <v/>
      </c>
      <c r="AV43" s="111">
        <f>((38-(COUNTIF(F43:AQ43,"")))/2)-(COUNTIF(F43:AQ43,"p")/2)-(COUNTIF(F43:AQ43,CONCATENATE("x","*"))/4)</f>
        <v/>
      </c>
      <c r="AW43" s="73">
        <f>IF($B43="","",VLOOKUP($B43,Medewerker!$C$8:$E$107,3,FALSE))</f>
        <v/>
      </c>
      <c r="AX43" s="403">
        <f>IFERROR(VLOOKUP($B43,Planning!$B$6:$AG$105,32,FALSE)*24,"")</f>
        <v/>
      </c>
      <c r="AY43" s="559" t="inlineStr">
        <is>
          <t>com</t>
        </is>
      </c>
      <c r="AZ43" s="71" t="inlineStr">
        <is>
          <t>Comco sorteren</t>
        </is>
      </c>
      <c r="BA43" s="111">
        <f>COUNTIF($F$13:$AQ$63,CONCATENATE(AY43,"*"))/2+COUNTIF($F$13:$AQ$63,CONCATENATE("x",AY43,"*"))/4</f>
        <v/>
      </c>
      <c r="BB43" s="838" t="n"/>
      <c r="BC43" s="31">
        <f>IF(Planning!B36="","",Planning!B36)</f>
        <v/>
      </c>
      <c r="BD43" s="105" t="n"/>
      <c r="BE43" s="885">
        <f>Planning!E36</f>
        <v/>
      </c>
      <c r="BF43" s="885">
        <f>Planning!F36</f>
        <v/>
      </c>
      <c r="BG43" s="886" t="n"/>
      <c r="BH43" s="105" t="n"/>
      <c r="BI43" s="885">
        <f>Planning!I36</f>
        <v/>
      </c>
      <c r="BJ43" s="885">
        <f>Planning!J36</f>
        <v/>
      </c>
      <c r="BK43" s="886" t="n"/>
      <c r="BL43" s="105" t="n"/>
      <c r="BM43" s="885">
        <f>Planning!M36</f>
        <v/>
      </c>
      <c r="BN43" s="885">
        <f>Planning!N36</f>
        <v/>
      </c>
      <c r="BO43" s="886" t="n"/>
      <c r="BP43" s="105" t="n"/>
      <c r="BQ43" s="885">
        <f>Planning!Q36</f>
        <v/>
      </c>
      <c r="BR43" s="885">
        <f>Planning!R36</f>
        <v/>
      </c>
      <c r="BS43" s="886" t="n"/>
      <c r="BT43" s="105" t="n"/>
      <c r="BU43" s="885">
        <f>Planning!U36</f>
        <v/>
      </c>
      <c r="BV43" s="885">
        <f>Planning!V36</f>
        <v/>
      </c>
      <c r="BW43" s="886" t="n"/>
      <c r="BX43" s="105" t="n"/>
      <c r="BY43" s="885">
        <f>Planning!Y36</f>
        <v/>
      </c>
      <c r="BZ43" s="885">
        <f>Planning!Z36</f>
        <v/>
      </c>
      <c r="CA43" s="886" t="n"/>
      <c r="CB43" s="105" t="n"/>
      <c r="CC43" s="885">
        <f>Planning!AC36</f>
        <v/>
      </c>
      <c r="CD43" s="885">
        <f>Planning!AD36</f>
        <v/>
      </c>
      <c r="CE43" s="886" t="n"/>
      <c r="CF43" s="105" t="n"/>
      <c r="CG43" s="887">
        <f>Planning!AG36</f>
        <v/>
      </c>
      <c r="CH43" s="105" t="n"/>
      <c r="CI43" s="252">
        <f>IF(BC43="","",Planning!AI36)</f>
        <v/>
      </c>
      <c r="CJ43" s="252">
        <f>IF(BC43="","",Planning!AJ36)</f>
        <v/>
      </c>
      <c r="CK43" s="252">
        <f>IF(BC43="","",Planning!AK36)</f>
        <v/>
      </c>
      <c r="CL43" s="252">
        <f>IF(BC43="","",Planning!AH36)</f>
        <v/>
      </c>
      <c r="CM43" s="21" t="n"/>
    </row>
    <row r="44" ht="12.75" customHeight="1">
      <c r="A44" s="161">
        <f>IFERROR(IF(VLOOKUP($B44,$BC$13:$CL$86,36,FALSE)&gt;5,0,IF(COUNTIF($B$13:$B$63,$B44)&gt;1,0,32)),32)+IF(B44&lt;&gt;0,0,IF(AV44&gt;0,0.000001,0))</f>
        <v/>
      </c>
      <c r="B44" s="129" t="inlineStr">
        <is>
          <t>Asola</t>
        </is>
      </c>
      <c r="C44" s="48">
        <f>IFERROR(IF($B44="","",VLOOKUP($B44,Medewerker!$C$8:$AI$107,33,FALSE)),"?")</f>
        <v/>
      </c>
      <c r="D44" s="879">
        <f t="array" ref="D44">IFERROR(IF(LEFT(INDEX($F44:$AQ44,1,SUM(SMALL(IF($F44:$AQ44&lt;&gt;"",COLUMN($F44:$AQ44)),1)-5)),1)="x",SUM(SMALL(IF($F44:$AQ44&lt;&gt;"",$F$11:$AQ$11),1)+"0:15"),SMALL(IF($F44:$AQ44&lt;&gt;"",$F$11:$AQ$11),1)),"")</f>
        <v/>
      </c>
      <c r="E44" s="879">
        <f t="array" ref="E44">IFERROR(IF(LEFT(INDEX($F44:$AQ44,1,SUM(LARGE(IF($F44:$AQ44&lt;&gt;"",COLUMN($F44:$AQ44)),1)-5)),1)="x",SUM(LARGE(IF($F44:$AQ44&lt;&gt;"",$F$11:$AQ$11+"0:30:00"),1)-"0:15"),LARGE(IF($F44:$AQ44&lt;&gt;"",$F$11:$AQ$11+"0:30:00"),1)),"")</f>
        <v/>
      </c>
      <c r="F44" s="43" t="n"/>
      <c r="G44" s="42" t="n"/>
      <c r="H44" s="43" t="n"/>
      <c r="I44" s="42" t="n"/>
      <c r="J44" s="43" t="n"/>
      <c r="K44" s="41" t="n"/>
      <c r="L44" s="40" t="n"/>
      <c r="M44" s="42" t="n"/>
      <c r="N44" s="43" t="n"/>
      <c r="O44" s="41" t="n"/>
      <c r="P44" s="40" t="n"/>
      <c r="Q44" s="42" t="n"/>
      <c r="R44" s="43" t="n"/>
      <c r="S44" s="41" t="n"/>
      <c r="T44" s="40" t="n"/>
      <c r="U44" s="42" t="n"/>
      <c r="V44" s="43" t="n"/>
      <c r="W44" s="41" t="n"/>
      <c r="X44" s="40" t="n"/>
      <c r="Y44" s="42" t="n"/>
      <c r="Z44" s="43" t="n"/>
      <c r="AA44" s="41" t="n"/>
      <c r="AB44" s="40" t="n"/>
      <c r="AC44" s="42" t="n"/>
      <c r="AD44" s="43" t="n"/>
      <c r="AE44" s="41" t="n"/>
      <c r="AF44" s="40" t="n"/>
      <c r="AG44" s="42" t="n"/>
      <c r="AH44" s="43" t="n"/>
      <c r="AI44" s="41" t="inlineStr">
        <is>
          <t>wv</t>
        </is>
      </c>
      <c r="AJ44" s="41" t="inlineStr">
        <is>
          <t>wv</t>
        </is>
      </c>
      <c r="AK44" s="41" t="inlineStr">
        <is>
          <t>wv</t>
        </is>
      </c>
      <c r="AL44" s="41" t="inlineStr">
        <is>
          <t>wv</t>
        </is>
      </c>
      <c r="AM44" s="41" t="inlineStr">
        <is>
          <t>wv</t>
        </is>
      </c>
      <c r="AN44" s="41" t="inlineStr">
        <is>
          <t>wv</t>
        </is>
      </c>
      <c r="AO44" s="41" t="inlineStr">
        <is>
          <t>wv</t>
        </is>
      </c>
      <c r="AP44" s="41" t="n"/>
      <c r="AQ44" s="42" t="n"/>
      <c r="AR44" s="888">
        <f>IFERROR(IF(VLOOKUP($B44,Medewerker!$C$8:$M$107,11,FALSE)="",VLOOKUP($B44,Medewerker!$C$8:$M$107,9,FALSE),0),0)</f>
        <v/>
      </c>
      <c r="AS44" s="888">
        <f>IFERROR(IF(B44="",1,IF(VLOOKUP($B44,Medewerker!$C$8:$M$107,11,FALSE)="",VLOOKUP($B44,Medewerker!$C$8:$M$107,10,FALSE),0)),0)</f>
        <v/>
      </c>
      <c r="AT44" s="45" t="n"/>
      <c r="AU44" s="46">
        <f>(COUNTIF(F44:AQ44,"afw"))/2</f>
        <v/>
      </c>
      <c r="AV44" s="111">
        <f>((38-(COUNTIF(F44:AQ44,"")))/2)-(COUNTIF(F44:AQ44,"p")/2)-(COUNTIF(F44:AQ44,CONCATENATE("x","*"))/4)</f>
        <v/>
      </c>
      <c r="AW44" s="73">
        <f>IF($B44="","",VLOOKUP($B44,Medewerker!$C$8:$E$107,3,FALSE))</f>
        <v/>
      </c>
      <c r="AX44" s="403">
        <f>IFERROR(VLOOKUP($B44,Planning!$B$6:$AG$105,32,FALSE)*24,"")</f>
        <v/>
      </c>
      <c r="AY44" s="558" t="inlineStr">
        <is>
          <t>pro</t>
        </is>
      </c>
      <c r="AZ44" s="71" t="inlineStr">
        <is>
          <t>Promotie</t>
        </is>
      </c>
      <c r="BA44" s="111">
        <f>COUNTIF($F$13:$AQ$63,CONCATENATE(AY44,"*"))/2+COUNTIF($F$13:$AQ$63,CONCATENATE("x",AY44,"*"))/4</f>
        <v/>
      </c>
      <c r="BB44" s="838" t="n"/>
      <c r="BC44" s="31">
        <f>IF(Planning!B37="","",Planning!B37)</f>
        <v/>
      </c>
      <c r="BD44" s="105" t="n"/>
      <c r="BE44" s="885">
        <f>Planning!E37</f>
        <v/>
      </c>
      <c r="BF44" s="885">
        <f>Planning!F37</f>
        <v/>
      </c>
      <c r="BG44" s="886" t="n"/>
      <c r="BH44" s="105" t="n"/>
      <c r="BI44" s="885">
        <f>Planning!I37</f>
        <v/>
      </c>
      <c r="BJ44" s="885">
        <f>Planning!J37</f>
        <v/>
      </c>
      <c r="BK44" s="886" t="n"/>
      <c r="BL44" s="105" t="n"/>
      <c r="BM44" s="885">
        <f>Planning!M37</f>
        <v/>
      </c>
      <c r="BN44" s="885">
        <f>Planning!N37</f>
        <v/>
      </c>
      <c r="BO44" s="886" t="n"/>
      <c r="BP44" s="105" t="n"/>
      <c r="BQ44" s="885">
        <f>Planning!Q37</f>
        <v/>
      </c>
      <c r="BR44" s="885">
        <f>Planning!R37</f>
        <v/>
      </c>
      <c r="BS44" s="886" t="n"/>
      <c r="BT44" s="105" t="n"/>
      <c r="BU44" s="885">
        <f>Planning!U37</f>
        <v/>
      </c>
      <c r="BV44" s="885">
        <f>Planning!V37</f>
        <v/>
      </c>
      <c r="BW44" s="886" t="n"/>
      <c r="BX44" s="105" t="n"/>
      <c r="BY44" s="885">
        <f>Planning!Y37</f>
        <v/>
      </c>
      <c r="BZ44" s="885">
        <f>Planning!Z37</f>
        <v/>
      </c>
      <c r="CA44" s="886" t="n"/>
      <c r="CB44" s="105" t="n"/>
      <c r="CC44" s="885">
        <f>Planning!AC37</f>
        <v/>
      </c>
      <c r="CD44" s="885">
        <f>Planning!AD37</f>
        <v/>
      </c>
      <c r="CE44" s="886" t="n"/>
      <c r="CF44" s="105" t="n"/>
      <c r="CG44" s="887">
        <f>Planning!AG37</f>
        <v/>
      </c>
      <c r="CH44" s="105" t="n"/>
      <c r="CI44" s="252">
        <f>IF(BC44="","",Planning!AI37)</f>
        <v/>
      </c>
      <c r="CJ44" s="252">
        <f>IF(BC44="","",Planning!AJ37)</f>
        <v/>
      </c>
      <c r="CK44" s="252">
        <f>IF(BC44="","",Planning!AK37)</f>
        <v/>
      </c>
      <c r="CL44" s="252">
        <f>IF(BC44="","",Planning!AH37)</f>
        <v/>
      </c>
      <c r="CM44" s="21" t="n"/>
    </row>
    <row r="45" ht="12.75" customHeight="1">
      <c r="A45" s="161">
        <f>IFERROR(IF(VLOOKUP($B45,$BC$13:$CL$86,36,FALSE)&gt;5,0,IF(COUNTIF($B$13:$B$63,$B45)&gt;1,0,33)),33)+IF(B45&lt;&gt;0,0,IF(AV45&gt;0,0.000001,0))</f>
        <v/>
      </c>
      <c r="B45" s="129" t="n"/>
      <c r="C45" s="48">
        <f>IFERROR(IF($B45="","",VLOOKUP($B45,Medewerker!$C$8:$AI$107,33,FALSE)),"?")</f>
        <v/>
      </c>
      <c r="D45" s="879">
        <f t="array" ref="D45">IFERROR(IF(LEFT(INDEX($F45:$AQ45,1,SUM(SMALL(IF($F45:$AQ45&lt;&gt;"",COLUMN($F45:$AQ45)),1)-5)),1)="x",SUM(SMALL(IF($F45:$AQ45&lt;&gt;"",$F$11:$AQ$11),1)+"0:15"),SMALL(IF($F45:$AQ45&lt;&gt;"",$F$11:$AQ$11),1)),"")</f>
        <v/>
      </c>
      <c r="E45" s="879">
        <f t="array" ref="E45">IFERROR(IF(LEFT(INDEX($F45:$AQ45,1,SUM(LARGE(IF($F45:$AQ45&lt;&gt;"",COLUMN($F45:$AQ45)),1)-5)),1)="x",SUM(LARGE(IF($F45:$AQ45&lt;&gt;"",$F$11:$AQ$11+"0:30:00"),1)-"0:15"),LARGE(IF($F45:$AQ45&lt;&gt;"",$F$11:$AQ$11+"0:30:00"),1)),"")</f>
        <v/>
      </c>
      <c r="F45" s="43" t="n"/>
      <c r="G45" s="42" t="n"/>
      <c r="H45" s="43" t="n"/>
      <c r="I45" s="42" t="n"/>
      <c r="J45" s="43" t="n"/>
      <c r="K45" s="41" t="n"/>
      <c r="L45" s="40" t="n"/>
      <c r="M45" s="42" t="n"/>
      <c r="N45" s="43" t="n"/>
      <c r="O45" s="41" t="n"/>
      <c r="P45" s="40" t="n"/>
      <c r="Q45" s="42" t="n"/>
      <c r="R45" s="43" t="n"/>
      <c r="S45" s="41" t="n"/>
      <c r="T45" s="40" t="n"/>
      <c r="U45" s="42" t="n"/>
      <c r="V45" s="43" t="n"/>
      <c r="W45" s="41" t="n"/>
      <c r="X45" s="40" t="n"/>
      <c r="Y45" s="42" t="n"/>
      <c r="Z45" s="43" t="n"/>
      <c r="AA45" s="41" t="n"/>
      <c r="AB45" s="40" t="n"/>
      <c r="AC45" s="42" t="n"/>
      <c r="AD45" s="43" t="n"/>
      <c r="AE45" s="41" t="n"/>
      <c r="AF45" s="40" t="n"/>
      <c r="AG45" s="42" t="n"/>
      <c r="AH45" s="43" t="n"/>
      <c r="AI45" s="41" t="n"/>
      <c r="AJ45" s="40" t="n"/>
      <c r="AK45" s="42" t="n"/>
      <c r="AL45" s="43" t="n"/>
      <c r="AM45" s="41" t="n"/>
      <c r="AN45" s="645" t="n"/>
      <c r="AO45" s="42" t="n"/>
      <c r="AP45" s="43" t="n"/>
      <c r="AQ45" s="42" t="n"/>
      <c r="AR45" s="888">
        <f>IFERROR(IF(VLOOKUP($B45,Medewerker!$C$8:$M$107,11,FALSE)="",VLOOKUP($B45,Medewerker!$C$8:$M$107,9,FALSE),0),0)</f>
        <v/>
      </c>
      <c r="AS45" s="888">
        <f>IFERROR(IF(B45="",1,IF(VLOOKUP($B45,Medewerker!$C$8:$M$107,11,FALSE)="",VLOOKUP($B45,Medewerker!$C$8:$M$107,10,FALSE),0)),0)</f>
        <v/>
      </c>
      <c r="AT45" s="45" t="n"/>
      <c r="AU45" s="46">
        <f>(COUNTIF(F45:AQ45,"afw"))/2</f>
        <v/>
      </c>
      <c r="AV45" s="111">
        <f>((38-(COUNTIF(F45:AQ45,"")))/2)-(COUNTIF(F45:AQ45,"p")/2)-(COUNTIF(F45:AQ45,CONCATENATE("x","*"))/4)</f>
        <v/>
      </c>
      <c r="AW45" s="73">
        <f>IF($B45="","",VLOOKUP($B45,Medewerker!$C$8:$E$107,3,FALSE))</f>
        <v/>
      </c>
      <c r="AX45" s="403">
        <f>IFERROR(VLOOKUP($B45,Planning!$B$6:$AG$105,32,FALSE)*24,"")</f>
        <v/>
      </c>
      <c r="AY45" s="558" t="inlineStr">
        <is>
          <t>pw</t>
        </is>
      </c>
      <c r="AZ45" s="71" t="inlineStr">
        <is>
          <t>Prijswijzigingen</t>
        </is>
      </c>
      <c r="BA45" s="111">
        <f>COUNTIF($F$13:$AQ$63,CONCATENATE(AY45,"*"))/2+COUNTIF($F$13:$AQ$63,CONCATENATE("x",AY45,"*"))/4</f>
        <v/>
      </c>
      <c r="BB45" s="838" t="n"/>
      <c r="BC45" s="31">
        <f>IF(Planning!B38="","",Planning!B38)</f>
        <v/>
      </c>
      <c r="BD45" s="105" t="n"/>
      <c r="BE45" s="885">
        <f>Planning!E38</f>
        <v/>
      </c>
      <c r="BF45" s="885">
        <f>Planning!F38</f>
        <v/>
      </c>
      <c r="BG45" s="886" t="n"/>
      <c r="BH45" s="105" t="n"/>
      <c r="BI45" s="885">
        <f>Planning!I38</f>
        <v/>
      </c>
      <c r="BJ45" s="885">
        <f>Planning!J38</f>
        <v/>
      </c>
      <c r="BK45" s="886" t="n"/>
      <c r="BL45" s="105" t="n"/>
      <c r="BM45" s="885">
        <f>Planning!M38</f>
        <v/>
      </c>
      <c r="BN45" s="885">
        <f>Planning!N38</f>
        <v/>
      </c>
      <c r="BO45" s="886" t="n"/>
      <c r="BP45" s="105" t="n"/>
      <c r="BQ45" s="885">
        <f>Planning!Q38</f>
        <v/>
      </c>
      <c r="BR45" s="885">
        <f>Planning!R38</f>
        <v/>
      </c>
      <c r="BS45" s="886" t="n"/>
      <c r="BT45" s="105" t="n"/>
      <c r="BU45" s="885">
        <f>Planning!U38</f>
        <v/>
      </c>
      <c r="BV45" s="885">
        <f>Planning!V38</f>
        <v/>
      </c>
      <c r="BW45" s="886" t="n"/>
      <c r="BX45" s="105" t="n"/>
      <c r="BY45" s="885">
        <f>Planning!Y38</f>
        <v/>
      </c>
      <c r="BZ45" s="885">
        <f>Planning!Z38</f>
        <v/>
      </c>
      <c r="CA45" s="886" t="n"/>
      <c r="CB45" s="105" t="n"/>
      <c r="CC45" s="885">
        <f>Planning!AC38</f>
        <v/>
      </c>
      <c r="CD45" s="885">
        <f>Planning!AD38</f>
        <v/>
      </c>
      <c r="CE45" s="886" t="n"/>
      <c r="CF45" s="105" t="n"/>
      <c r="CG45" s="887">
        <f>Planning!AG38</f>
        <v/>
      </c>
      <c r="CH45" s="105" t="n"/>
      <c r="CI45" s="252">
        <f>IF(BC45="","",Planning!AI38)</f>
        <v/>
      </c>
      <c r="CJ45" s="252">
        <f>IF(BC45="","",Planning!AJ38)</f>
        <v/>
      </c>
      <c r="CK45" s="252">
        <f>IF(BC45="","",Planning!AK38)</f>
        <v/>
      </c>
      <c r="CL45" s="252">
        <f>IF(BC45="","",Planning!AH38)</f>
        <v/>
      </c>
      <c r="CM45" s="21" t="n"/>
    </row>
    <row r="46" ht="12.75" customHeight="1">
      <c r="A46" s="161">
        <f>IFERROR(IF(VLOOKUP($B46,$BC$13:$CL$86,36,FALSE)&gt;5,0,IF(COUNTIF($B$13:$B$63,$B46)&gt;1,0,34)),34)+IF(B46&lt;&gt;0,0,IF(AV46&gt;0,0.000001,0))</f>
        <v/>
      </c>
      <c r="B46" s="129" t="inlineStr">
        <is>
          <t>Ayoub</t>
        </is>
      </c>
      <c r="C46" s="48">
        <f>IFERROR(IF($B46="","",VLOOKUP($B46,Medewerker!$C$8:$AI$107,33,FALSE)),"?")</f>
        <v/>
      </c>
      <c r="D46" s="879">
        <f t="array" ref="D46">IFERROR(IF(LEFT(INDEX($F46:$AQ46,1,SUM(SMALL(IF($F46:$AQ46&lt;&gt;"",COLUMN($F46:$AQ46)),1)-5)),1)="x",SUM(SMALL(IF($F46:$AQ46&lt;&gt;"",$F$11:$AQ$11),1)+"0:15"),SMALL(IF($F46:$AQ46&lt;&gt;"",$F$11:$AQ$11),1)),"")</f>
        <v/>
      </c>
      <c r="E46" s="879">
        <f t="array" ref="E46">IFERROR(IF(LEFT(INDEX($F46:$AQ46,1,SUM(LARGE(IF($F46:$AQ46&lt;&gt;"",COLUMN($F46:$AQ46)),1)-5)),1)="x",SUM(LARGE(IF($F46:$AQ46&lt;&gt;"",$F$11:$AQ$11+"0:30:00"),1)-"0:15"),LARGE(IF($F46:$AQ46&lt;&gt;"",$F$11:$AQ$11+"0:30:00"),1)),"")</f>
        <v/>
      </c>
      <c r="F46" s="43" t="n"/>
      <c r="G46" s="42" t="n"/>
      <c r="H46" s="43" t="n"/>
      <c r="I46" s="42" t="n"/>
      <c r="J46" s="41" t="inlineStr">
        <is>
          <t>vv</t>
        </is>
      </c>
      <c r="K46" s="41" t="inlineStr">
        <is>
          <t>vv</t>
        </is>
      </c>
      <c r="L46" s="41" t="inlineStr">
        <is>
          <t>vv</t>
        </is>
      </c>
      <c r="M46" s="41" t="inlineStr">
        <is>
          <t>vv</t>
        </is>
      </c>
      <c r="N46" s="40" t="inlineStr">
        <is>
          <t>vv</t>
        </is>
      </c>
      <c r="O46" s="42" t="inlineStr">
        <is>
          <t>vv</t>
        </is>
      </c>
      <c r="P46" s="43" t="inlineStr">
        <is>
          <t>p</t>
        </is>
      </c>
      <c r="Q46" s="41" t="inlineStr">
        <is>
          <t>hv</t>
        </is>
      </c>
      <c r="R46" s="41" t="inlineStr">
        <is>
          <t>hv</t>
        </is>
      </c>
      <c r="S46" s="41" t="inlineStr">
        <is>
          <t>hv</t>
        </is>
      </c>
      <c r="T46" s="40" t="inlineStr">
        <is>
          <t>hv</t>
        </is>
      </c>
      <c r="U46" s="42" t="inlineStr">
        <is>
          <t>hv</t>
        </is>
      </c>
      <c r="V46" s="43" t="n"/>
      <c r="W46" s="41" t="n"/>
      <c r="X46" s="40" t="n"/>
      <c r="Y46" s="42" t="n"/>
      <c r="Z46" s="43" t="n"/>
      <c r="AA46" s="41" t="n"/>
      <c r="AB46" s="40" t="n"/>
      <c r="AC46" s="42" t="n"/>
      <c r="AD46" s="43" t="n"/>
      <c r="AE46" s="41" t="n"/>
      <c r="AF46" s="40" t="n"/>
      <c r="AG46" s="42" t="n"/>
      <c r="AH46" s="43" t="n"/>
      <c r="AI46" s="41" t="n"/>
      <c r="AJ46" s="40" t="n"/>
      <c r="AK46" s="42" t="n"/>
      <c r="AL46" s="43" t="n"/>
      <c r="AM46" s="41" t="n"/>
      <c r="AN46" s="645" t="n"/>
      <c r="AO46" s="42" t="n"/>
      <c r="AP46" s="43" t="n"/>
      <c r="AQ46" s="42" t="n"/>
      <c r="AR46" s="888">
        <f>IFERROR(IF(VLOOKUP($B46,Medewerker!$C$8:$M$107,11,FALSE)="",VLOOKUP($B46,Medewerker!$C$8:$M$107,9,FALSE),0),0)</f>
        <v/>
      </c>
      <c r="AS46" s="888">
        <f>IFERROR(IF(B46="",1,IF(VLOOKUP($B46,Medewerker!$C$8:$M$107,11,FALSE)="",VLOOKUP($B46,Medewerker!$C$8:$M$107,10,FALSE),0)),0)</f>
        <v/>
      </c>
      <c r="AT46" s="45" t="n"/>
      <c r="AU46" s="46">
        <f>(COUNTIF(F46:AQ46,"afw"))/2</f>
        <v/>
      </c>
      <c r="AV46" s="111">
        <f>((38-(COUNTIF(F46:AQ46,"")))/2)-(COUNTIF(F46:AQ46,"p")/2)-(COUNTIF(F46:AQ46,CONCATENATE("x","*"))/4)</f>
        <v/>
      </c>
      <c r="AW46" s="73">
        <f>IF($B46="","",VLOOKUP($B46,Medewerker!$C$8:$E$107,3,FALSE))</f>
        <v/>
      </c>
      <c r="AX46" s="403">
        <f>IFERROR(VLOOKUP($B46,Planning!$B$6:$AG$105,32,FALSE)*24,"")</f>
        <v/>
      </c>
      <c r="AY46" s="558" t="inlineStr">
        <is>
          <t>wap</t>
        </is>
      </c>
      <c r="AZ46" s="71" t="inlineStr">
        <is>
          <t>WAP uitvoeren</t>
        </is>
      </c>
      <c r="BA46" s="111">
        <f>COUNTIF($F$13:$AQ$63,CONCATENATE(AY46,"*"))/2+COUNTIF($F$13:$AQ$63,CONCATENATE("x",AY46,"*"))/4</f>
        <v/>
      </c>
      <c r="BB46" s="838" t="n"/>
      <c r="BC46" s="31">
        <f>IF(Planning!B39="","",Planning!B39)</f>
        <v/>
      </c>
      <c r="BD46" s="105" t="n"/>
      <c r="BE46" s="885">
        <f>Planning!E39</f>
        <v/>
      </c>
      <c r="BF46" s="885">
        <f>Planning!F39</f>
        <v/>
      </c>
      <c r="BG46" s="886" t="n"/>
      <c r="BH46" s="105" t="n"/>
      <c r="BI46" s="885">
        <f>Planning!I39</f>
        <v/>
      </c>
      <c r="BJ46" s="885">
        <f>Planning!J39</f>
        <v/>
      </c>
      <c r="BK46" s="886" t="n"/>
      <c r="BL46" s="105" t="n"/>
      <c r="BM46" s="885">
        <f>Planning!M39</f>
        <v/>
      </c>
      <c r="BN46" s="885">
        <f>Planning!N39</f>
        <v/>
      </c>
      <c r="BO46" s="886" t="n"/>
      <c r="BP46" s="105" t="n"/>
      <c r="BQ46" s="885">
        <f>Planning!Q39</f>
        <v/>
      </c>
      <c r="BR46" s="885">
        <f>Planning!R39</f>
        <v/>
      </c>
      <c r="BS46" s="886" t="n"/>
      <c r="BT46" s="105" t="n"/>
      <c r="BU46" s="885">
        <f>Planning!U39</f>
        <v/>
      </c>
      <c r="BV46" s="885">
        <f>Planning!V39</f>
        <v/>
      </c>
      <c r="BW46" s="886" t="n"/>
      <c r="BX46" s="105" t="n"/>
      <c r="BY46" s="885">
        <f>Planning!Y39</f>
        <v/>
      </c>
      <c r="BZ46" s="885">
        <f>Planning!Z39</f>
        <v/>
      </c>
      <c r="CA46" s="886" t="n"/>
      <c r="CB46" s="105" t="n"/>
      <c r="CC46" s="885">
        <f>Planning!AC39</f>
        <v/>
      </c>
      <c r="CD46" s="885">
        <f>Planning!AD39</f>
        <v/>
      </c>
      <c r="CE46" s="886" t="n"/>
      <c r="CF46" s="105" t="n"/>
      <c r="CG46" s="887">
        <f>Planning!AG39</f>
        <v/>
      </c>
      <c r="CH46" s="105" t="n"/>
      <c r="CI46" s="252">
        <f>IF(BC46="","",Planning!AI39)</f>
        <v/>
      </c>
      <c r="CJ46" s="252">
        <f>IF(BC46="","",Planning!AJ39)</f>
        <v/>
      </c>
      <c r="CK46" s="252">
        <f>IF(BC46="","",Planning!AK39)</f>
        <v/>
      </c>
      <c r="CL46" s="252">
        <f>IF(BC46="","",Planning!AH39)</f>
        <v/>
      </c>
      <c r="CM46" s="21" t="n"/>
    </row>
    <row r="47" ht="12.75" customHeight="1">
      <c r="A47" s="161">
        <f>IFERROR(IF(VLOOKUP($B47,$BC$13:$CL$86,36,FALSE)&gt;5,0,IF(COUNTIF($B$13:$B$63,$B47)&gt;1,0,35)),35)+IF(B47&lt;&gt;0,0,IF(AV47&gt;0,0.000001,0))</f>
        <v/>
      </c>
      <c r="B47" s="129" t="inlineStr">
        <is>
          <t>Rougia</t>
        </is>
      </c>
      <c r="C47" s="48">
        <f>IFERROR(IF($B47="","",VLOOKUP($B47,Medewerker!$C$8:$AI$107,33,FALSE)),"?")</f>
        <v/>
      </c>
      <c r="D47" s="879">
        <f t="array" ref="D47">IFERROR(IF(LEFT(INDEX($F47:$AQ47,1,SUM(SMALL(IF($F47:$AQ47&lt;&gt;"",COLUMN($F47:$AQ47)),1)-5)),1)="x",SUM(SMALL(IF($F47:$AQ47&lt;&gt;"",$F$11:$AQ$11),1)+"0:15"),SMALL(IF($F47:$AQ47&lt;&gt;"",$F$11:$AQ$11),1)),"")</f>
        <v/>
      </c>
      <c r="E47" s="879">
        <f t="array" ref="E47">IFERROR(IF(LEFT(INDEX($F47:$AQ47,1,SUM(LARGE(IF($F47:$AQ47&lt;&gt;"",COLUMN($F47:$AQ47)),1)-5)),1)="x",SUM(LARGE(IF($F47:$AQ47&lt;&gt;"",$F$11:$AQ$11+"0:30:00"),1)-"0:15"),LARGE(IF($F47:$AQ47&lt;&gt;"",$F$11:$AQ$11+"0:30:00"),1)),"")</f>
        <v/>
      </c>
      <c r="F47" s="43" t="n"/>
      <c r="G47" s="42" t="n"/>
      <c r="H47" s="43" t="n"/>
      <c r="I47" s="42" t="n"/>
      <c r="J47" s="41" t="inlineStr">
        <is>
          <t>vv</t>
        </is>
      </c>
      <c r="K47" s="41" t="inlineStr">
        <is>
          <t>vv</t>
        </is>
      </c>
      <c r="L47" s="41" t="inlineStr">
        <is>
          <t>vv</t>
        </is>
      </c>
      <c r="M47" s="41" t="inlineStr">
        <is>
          <t>vv</t>
        </is>
      </c>
      <c r="N47" s="40" t="inlineStr">
        <is>
          <t>vv</t>
        </is>
      </c>
      <c r="O47" s="42" t="inlineStr">
        <is>
          <t>vv</t>
        </is>
      </c>
      <c r="P47" s="43" t="inlineStr">
        <is>
          <t>vv</t>
        </is>
      </c>
      <c r="Q47" s="41" t="inlineStr">
        <is>
          <t>hv</t>
        </is>
      </c>
      <c r="R47" s="41" t="inlineStr">
        <is>
          <t>hv</t>
        </is>
      </c>
      <c r="S47" s="41" t="inlineStr">
        <is>
          <t>hv</t>
        </is>
      </c>
      <c r="T47" s="40" t="n"/>
      <c r="U47" s="42" t="n"/>
      <c r="V47" s="43" t="n"/>
      <c r="W47" s="41" t="n"/>
      <c r="X47" s="40" t="n"/>
      <c r="Y47" s="42" t="n"/>
      <c r="Z47" s="43" t="n"/>
      <c r="AA47" s="41" t="n"/>
      <c r="AB47" s="40" t="n"/>
      <c r="AC47" s="42" t="n"/>
      <c r="AD47" s="43" t="n"/>
      <c r="AE47" s="41" t="n"/>
      <c r="AF47" s="40" t="n"/>
      <c r="AG47" s="42" t="n"/>
      <c r="AH47" s="43" t="n"/>
      <c r="AI47" s="41" t="n"/>
      <c r="AJ47" s="40" t="n"/>
      <c r="AK47" s="42" t="n"/>
      <c r="AL47" s="43" t="n"/>
      <c r="AM47" s="41" t="n"/>
      <c r="AN47" s="645" t="n"/>
      <c r="AO47" s="42" t="n"/>
      <c r="AP47" s="43" t="n"/>
      <c r="AQ47" s="42" t="n"/>
      <c r="AR47" s="888">
        <f>IFERROR(IF(VLOOKUP($B47,Medewerker!$C$8:$M$107,11,FALSE)="",VLOOKUP($B47,Medewerker!$C$8:$M$107,9,FALSE),0),0)</f>
        <v/>
      </c>
      <c r="AS47" s="888">
        <f>IFERROR(IF(B47="",1,IF(VLOOKUP($B47,Medewerker!$C$8:$M$107,11,FALSE)="",VLOOKUP($B47,Medewerker!$C$8:$M$107,10,FALSE),0)),0)</f>
        <v/>
      </c>
      <c r="AT47" s="45" t="n"/>
      <c r="AU47" s="46">
        <f>(COUNTIF(F47:AQ47,"afw"))/2</f>
        <v/>
      </c>
      <c r="AV47" s="111">
        <f>((38-(COUNTIF(F47:AQ47,"")))/2)-(COUNTIF(F47:AQ47,"p")/2)-(COUNTIF(F47:AQ47,CONCATENATE("x","*"))/4)</f>
        <v/>
      </c>
      <c r="AW47" s="73">
        <f>IF($B47="","",VLOOKUP($B47,Medewerker!$C$8:$E$107,3,FALSE))</f>
        <v/>
      </c>
      <c r="AX47" s="403">
        <f>IFERROR(VLOOKUP($B47,Planning!$B$6:$AG$105,32,FALSE)*24,"")</f>
        <v/>
      </c>
      <c r="AY47" s="891" t="inlineStr">
        <is>
          <t>Overig</t>
        </is>
      </c>
      <c r="AZ47" s="883" t="n"/>
      <c r="BA47" s="884" t="n"/>
      <c r="BB47" s="838" t="n"/>
      <c r="BC47" s="31">
        <f>IF(Planning!B40="","",Planning!B40)</f>
        <v/>
      </c>
      <c r="BD47" s="105" t="n"/>
      <c r="BE47" s="885">
        <f>Planning!E40</f>
        <v/>
      </c>
      <c r="BF47" s="885">
        <f>Planning!F40</f>
        <v/>
      </c>
      <c r="BG47" s="886" t="n"/>
      <c r="BH47" s="105" t="n"/>
      <c r="BI47" s="885">
        <f>Planning!I40</f>
        <v/>
      </c>
      <c r="BJ47" s="885">
        <f>Planning!J40</f>
        <v/>
      </c>
      <c r="BK47" s="886" t="n"/>
      <c r="BL47" s="105" t="n"/>
      <c r="BM47" s="885">
        <f>Planning!M40</f>
        <v/>
      </c>
      <c r="BN47" s="885">
        <f>Planning!N40</f>
        <v/>
      </c>
      <c r="BO47" s="886" t="n"/>
      <c r="BP47" s="105" t="n"/>
      <c r="BQ47" s="885">
        <f>Planning!Q40</f>
        <v/>
      </c>
      <c r="BR47" s="885">
        <f>Planning!R40</f>
        <v/>
      </c>
      <c r="BS47" s="886" t="n"/>
      <c r="BT47" s="105" t="n"/>
      <c r="BU47" s="885">
        <f>Planning!U40</f>
        <v/>
      </c>
      <c r="BV47" s="885">
        <f>Planning!V40</f>
        <v/>
      </c>
      <c r="BW47" s="886" t="n"/>
      <c r="BX47" s="105" t="n"/>
      <c r="BY47" s="885">
        <f>Planning!Y40</f>
        <v/>
      </c>
      <c r="BZ47" s="885">
        <f>Planning!Z40</f>
        <v/>
      </c>
      <c r="CA47" s="886" t="n"/>
      <c r="CB47" s="105" t="n"/>
      <c r="CC47" s="885">
        <f>Planning!AC40</f>
        <v/>
      </c>
      <c r="CD47" s="885">
        <f>Planning!AD40</f>
        <v/>
      </c>
      <c r="CE47" s="886" t="n"/>
      <c r="CF47" s="105" t="n"/>
      <c r="CG47" s="887">
        <f>Planning!AG40</f>
        <v/>
      </c>
      <c r="CH47" s="105" t="n"/>
      <c r="CI47" s="252">
        <f>IF(BC47="","",Planning!AI40)</f>
        <v/>
      </c>
      <c r="CJ47" s="252">
        <f>IF(BC47="","",Planning!AJ40)</f>
        <v/>
      </c>
      <c r="CK47" s="252">
        <f>IF(BC47="","",Planning!AK40)</f>
        <v/>
      </c>
      <c r="CL47" s="252">
        <f>IF(BC47="","",Planning!AH40)</f>
        <v/>
      </c>
      <c r="CM47" s="21" t="n"/>
    </row>
    <row r="48" ht="12.75" customHeight="1">
      <c r="A48" s="161">
        <f>IFERROR(IF(VLOOKUP($B48,$BC$13:$CL$86,36,FALSE)&gt;5,0,IF(COUNTIF($B$13:$B$63,$B48)&gt;1,0,36)),36)+IF(B48&lt;&gt;0,0,IF(AV48&gt;0,0.000001,0))</f>
        <v/>
      </c>
      <c r="B48" s="129" t="inlineStr">
        <is>
          <t>Fatmir Bilalovski</t>
        </is>
      </c>
      <c r="C48" s="48">
        <f>IFERROR(IF($B48="","",VLOOKUP($B48,Medewerker!$C$8:$AI$107,33,FALSE)),"?")</f>
        <v/>
      </c>
      <c r="D48" s="879">
        <f t="array" ref="D48">IFERROR(IF(LEFT(INDEX($F48:$AQ48,1,SUM(SMALL(IF($F48:$AQ48&lt;&gt;"",COLUMN($F48:$AQ48)),1)-5)),1)="x",SUM(SMALL(IF($F48:$AQ48&lt;&gt;"",$F$11:$AQ$11),1)+"0:15"),SMALL(IF($F48:$AQ48&lt;&gt;"",$F$11:$AQ$11),1)),"")</f>
        <v/>
      </c>
      <c r="E48" s="879">
        <f t="array" ref="E48">IFERROR(IF(LEFT(INDEX($F48:$AQ48,1,SUM(LARGE(IF($F48:$AQ48&lt;&gt;"",COLUMN($F48:$AQ48)),1)-5)),1)="x",SUM(LARGE(IF($F48:$AQ48&lt;&gt;"",$F$11:$AQ$11+"0:30:00"),1)-"0:15"),LARGE(IF($F48:$AQ48&lt;&gt;"",$F$11:$AQ$11+"0:30:00"),1)),"")</f>
        <v/>
      </c>
      <c r="F48" s="43" t="n"/>
      <c r="G48" s="42" t="n"/>
      <c r="H48" s="43" t="n"/>
      <c r="I48" s="42" t="n"/>
      <c r="J48" s="43" t="n"/>
      <c r="K48" s="41" t="n"/>
      <c r="L48" s="41" t="inlineStr">
        <is>
          <t>vv</t>
        </is>
      </c>
      <c r="M48" s="41" t="inlineStr">
        <is>
          <t>vv</t>
        </is>
      </c>
      <c r="N48" s="40" t="inlineStr">
        <is>
          <t>vv</t>
        </is>
      </c>
      <c r="O48" s="42" t="inlineStr">
        <is>
          <t>vv</t>
        </is>
      </c>
      <c r="P48" s="43" t="inlineStr">
        <is>
          <t>vv</t>
        </is>
      </c>
      <c r="Q48" s="41" t="inlineStr">
        <is>
          <t>hv</t>
        </is>
      </c>
      <c r="R48" s="41" t="inlineStr">
        <is>
          <t>hv</t>
        </is>
      </c>
      <c r="S48" s="41" t="inlineStr">
        <is>
          <t>hv</t>
        </is>
      </c>
      <c r="T48" s="40" t="n"/>
      <c r="U48" s="42" t="n"/>
      <c r="V48" s="43" t="n"/>
      <c r="W48" s="41" t="n"/>
      <c r="X48" s="40" t="n"/>
      <c r="Y48" s="42" t="n"/>
      <c r="Z48" s="43" t="n"/>
      <c r="AA48" s="41" t="n"/>
      <c r="AB48" s="40" t="n"/>
      <c r="AC48" s="42" t="n"/>
      <c r="AD48" s="43" t="n"/>
      <c r="AE48" s="41" t="n"/>
      <c r="AF48" s="40" t="n"/>
      <c r="AG48" s="42" t="n"/>
      <c r="AH48" s="43" t="n"/>
      <c r="AI48" s="41" t="n"/>
      <c r="AJ48" s="40" t="n"/>
      <c r="AK48" s="42" t="n"/>
      <c r="AL48" s="43" t="n"/>
      <c r="AM48" s="41" t="n"/>
      <c r="AN48" s="645" t="n"/>
      <c r="AO48" s="42" t="n"/>
      <c r="AP48" s="43" t="n"/>
      <c r="AQ48" s="42" t="n"/>
      <c r="AR48" s="888">
        <f>IFERROR(IF(VLOOKUP($B48,Medewerker!$C$8:$M$107,11,FALSE)="",VLOOKUP($B48,Medewerker!$C$8:$M$107,9,FALSE),0),0)</f>
        <v/>
      </c>
      <c r="AS48" s="888">
        <f>IFERROR(IF(B48="",1,IF(VLOOKUP($B48,Medewerker!$C$8:$M$107,11,FALSE)="",VLOOKUP($B48,Medewerker!$C$8:$M$107,10,FALSE),0)),0)</f>
        <v/>
      </c>
      <c r="AT48" s="45" t="n"/>
      <c r="AU48" s="46">
        <f>(COUNTIF(F48:AQ48,"afw"))/2</f>
        <v/>
      </c>
      <c r="AV48" s="111">
        <f>((38-(COUNTIF(F48:AQ48,"")))/2)-(COUNTIF(F48:AQ48,"p")/2)-(COUNTIF(F48:AQ48,CONCATENATE("x","*"))/4)</f>
        <v/>
      </c>
      <c r="AW48" s="73">
        <f>IF($B48="","",VLOOKUP($B48,Medewerker!$C$8:$E$107,3,FALSE))</f>
        <v/>
      </c>
      <c r="AX48" s="403">
        <f>IFERROR(VLOOKUP($B48,Planning!$B$6:$AG$105,32,FALSE)*24,"")</f>
        <v/>
      </c>
      <c r="AY48" s="837" t="inlineStr">
        <is>
          <t>km</t>
        </is>
      </c>
      <c r="AZ48" s="414" t="inlineStr">
        <is>
          <t>Kwaliteitsmedewerker</t>
        </is>
      </c>
      <c r="BA48" s="111">
        <f>COUNTIF($F$13:$AQ$63,CONCATENATE(AY48,"*"))/2+COUNTIF($F$13:$AQ$63,CONCATENATE("x",AY48,"*"))/4</f>
        <v/>
      </c>
      <c r="BB48" s="838" t="n"/>
      <c r="BC48" s="31">
        <f>IF(Planning!B41="","",Planning!B41)</f>
        <v/>
      </c>
      <c r="BD48" s="105" t="n"/>
      <c r="BE48" s="885">
        <f>Planning!E41</f>
        <v/>
      </c>
      <c r="BF48" s="885">
        <f>Planning!F41</f>
        <v/>
      </c>
      <c r="BG48" s="886" t="n"/>
      <c r="BH48" s="105" t="n"/>
      <c r="BI48" s="885">
        <f>Planning!I41</f>
        <v/>
      </c>
      <c r="BJ48" s="885">
        <f>Planning!J41</f>
        <v/>
      </c>
      <c r="BK48" s="886" t="n"/>
      <c r="BL48" s="105" t="n"/>
      <c r="BM48" s="885">
        <f>Planning!M41</f>
        <v/>
      </c>
      <c r="BN48" s="885">
        <f>Planning!N41</f>
        <v/>
      </c>
      <c r="BO48" s="886" t="n"/>
      <c r="BP48" s="105" t="n"/>
      <c r="BQ48" s="885">
        <f>Planning!Q41</f>
        <v/>
      </c>
      <c r="BR48" s="885">
        <f>Planning!R41</f>
        <v/>
      </c>
      <c r="BS48" s="886" t="n"/>
      <c r="BT48" s="105" t="n"/>
      <c r="BU48" s="885">
        <f>Planning!U41</f>
        <v/>
      </c>
      <c r="BV48" s="885">
        <f>Planning!V41</f>
        <v/>
      </c>
      <c r="BW48" s="886" t="n"/>
      <c r="BX48" s="105" t="n"/>
      <c r="BY48" s="885">
        <f>Planning!Y41</f>
        <v/>
      </c>
      <c r="BZ48" s="885">
        <f>Planning!Z41</f>
        <v/>
      </c>
      <c r="CA48" s="886" t="n"/>
      <c r="CB48" s="105" t="n"/>
      <c r="CC48" s="885">
        <f>Planning!AC41</f>
        <v/>
      </c>
      <c r="CD48" s="885">
        <f>Planning!AD41</f>
        <v/>
      </c>
      <c r="CE48" s="886" t="n"/>
      <c r="CF48" s="105" t="n"/>
      <c r="CG48" s="887">
        <f>Planning!AG41</f>
        <v/>
      </c>
      <c r="CH48" s="105" t="n"/>
      <c r="CI48" s="252">
        <f>IF(BC48="","",Planning!AI41)</f>
        <v/>
      </c>
      <c r="CJ48" s="252">
        <f>IF(BC48="","",Planning!AJ41)</f>
        <v/>
      </c>
      <c r="CK48" s="252">
        <f>IF(BC48="","",Planning!AK41)</f>
        <v/>
      </c>
      <c r="CL48" s="252">
        <f>IF(BC48="","",Planning!AH41)</f>
        <v/>
      </c>
      <c r="CM48" s="21" t="n"/>
    </row>
    <row r="49" ht="12.75" customHeight="1">
      <c r="A49" s="161">
        <f>IFERROR(IF(VLOOKUP($B49,$BC$13:$CL$86,36,FALSE)&gt;5,0,IF(COUNTIF($B$13:$B$63,$B49)&gt;1,0,37)),37)+IF(B49&lt;&gt;0,0,IF(AV49&gt;0,0.000001,0))</f>
        <v/>
      </c>
      <c r="B49" s="129" t="n"/>
      <c r="C49" s="48">
        <f>IFERROR(IF($B49="","",VLOOKUP($B49,Medewerker!$C$8:$AI$107,33,FALSE)),"?")</f>
        <v/>
      </c>
      <c r="D49" s="879">
        <f t="array" ref="D49">IFERROR(IF(LEFT(INDEX($F49:$AQ49,1,SUM(SMALL(IF($F49:$AQ49&lt;&gt;"",COLUMN($F49:$AQ49)),1)-5)),1)="x",SUM(SMALL(IF($F49:$AQ49&lt;&gt;"",$F$11:$AQ$11),1)+"0:15"),SMALL(IF($F49:$AQ49&lt;&gt;"",$F$11:$AQ$11),1)),"")</f>
        <v/>
      </c>
      <c r="E49" s="879">
        <f t="array" ref="E49">IFERROR(IF(LEFT(INDEX($F49:$AQ49,1,SUM(LARGE(IF($F49:$AQ49&lt;&gt;"",COLUMN($F49:$AQ49)),1)-5)),1)="x",SUM(LARGE(IF($F49:$AQ49&lt;&gt;"",$F$11:$AQ$11+"0:30:00"),1)-"0:15"),LARGE(IF($F49:$AQ49&lt;&gt;"",$F$11:$AQ$11+"0:30:00"),1)),"")</f>
        <v/>
      </c>
      <c r="F49" s="43" t="n"/>
      <c r="G49" s="42" t="n"/>
      <c r="H49" s="43" t="n"/>
      <c r="I49" s="42" t="n"/>
      <c r="J49" s="43" t="n"/>
      <c r="K49" s="41" t="n"/>
      <c r="L49" s="40" t="n"/>
      <c r="M49" s="42" t="n"/>
      <c r="N49" s="43" t="n"/>
      <c r="O49" s="41" t="n"/>
      <c r="P49" s="40" t="n"/>
      <c r="Q49" s="42" t="n"/>
      <c r="R49" s="43" t="n"/>
      <c r="S49" s="41" t="n"/>
      <c r="T49" s="40" t="n"/>
      <c r="U49" s="42" t="n"/>
      <c r="V49" s="43" t="n"/>
      <c r="W49" s="41" t="n"/>
      <c r="X49" s="40" t="n"/>
      <c r="Y49" s="42" t="n"/>
      <c r="Z49" s="43" t="n"/>
      <c r="AA49" s="41" t="n"/>
      <c r="AB49" s="40" t="n"/>
      <c r="AC49" s="42" t="n"/>
      <c r="AD49" s="43" t="n"/>
      <c r="AE49" s="41" t="n"/>
      <c r="AF49" s="40" t="n"/>
      <c r="AG49" s="42" t="n"/>
      <c r="AH49" s="43" t="n"/>
      <c r="AI49" s="41" t="n"/>
      <c r="AJ49" s="40" t="n"/>
      <c r="AK49" s="42" t="n"/>
      <c r="AL49" s="43" t="n"/>
      <c r="AM49" s="41" t="n"/>
      <c r="AN49" s="645" t="n"/>
      <c r="AO49" s="42" t="n"/>
      <c r="AP49" s="43" t="n"/>
      <c r="AQ49" s="42" t="n"/>
      <c r="AR49" s="888">
        <f>IFERROR(IF(VLOOKUP($B49,Medewerker!$C$8:$M$107,11,FALSE)="",VLOOKUP($B49,Medewerker!$C$8:$M$107,9,FALSE),0),0)</f>
        <v/>
      </c>
      <c r="AS49" s="888">
        <f>IFERROR(IF(B49="",1,IF(VLOOKUP($B49,Medewerker!$C$8:$M$107,11,FALSE)="",VLOOKUP($B49,Medewerker!$C$8:$M$107,10,FALSE),0)),0)</f>
        <v/>
      </c>
      <c r="AT49" s="45" t="n"/>
      <c r="AU49" s="46">
        <f>(COUNTIF(F49:AQ49,"afw"))/2</f>
        <v/>
      </c>
      <c r="AV49" s="111">
        <f>((38-(COUNTIF(F49:AQ49,"")))/2)-(COUNTIF(F49:AQ49,"p")/2)-(COUNTIF(F49:AQ49,CONCATENATE("x","*"))/4)</f>
        <v/>
      </c>
      <c r="AW49" s="73">
        <f>IF($B49="","",VLOOKUP($B49,Medewerker!$C$8:$E$107,3,FALSE))</f>
        <v/>
      </c>
      <c r="AX49" s="403">
        <f>IFERROR(VLOOKUP($B49,Planning!$B$6:$AG$105,32,FALSE)*24,"")</f>
        <v/>
      </c>
      <c r="AY49" s="837" t="inlineStr">
        <is>
          <t>mt</t>
        </is>
      </c>
      <c r="AZ49" s="413" t="inlineStr">
        <is>
          <t>MT of CKW-overleg</t>
        </is>
      </c>
      <c r="BA49" s="111">
        <f>COUNTIF($F$13:$AQ$63,CONCATENATE(AY49,"*"))/2+COUNTIF($F$13:$AQ$63,CONCATENATE("x",AY49,"*"))/4</f>
        <v/>
      </c>
      <c r="BB49" s="838" t="n"/>
      <c r="BC49" s="31">
        <f>IF(Planning!B42="","",Planning!B42)</f>
        <v/>
      </c>
      <c r="BD49" s="105" t="n"/>
      <c r="BE49" s="885">
        <f>Planning!E42</f>
        <v/>
      </c>
      <c r="BF49" s="885">
        <f>Planning!F42</f>
        <v/>
      </c>
      <c r="BG49" s="886" t="n"/>
      <c r="BH49" s="105" t="n"/>
      <c r="BI49" s="885">
        <f>Planning!I42</f>
        <v/>
      </c>
      <c r="BJ49" s="885">
        <f>Planning!J42</f>
        <v/>
      </c>
      <c r="BK49" s="886" t="n"/>
      <c r="BL49" s="105" t="n"/>
      <c r="BM49" s="885">
        <f>Planning!M42</f>
        <v/>
      </c>
      <c r="BN49" s="885">
        <f>Planning!N42</f>
        <v/>
      </c>
      <c r="BO49" s="886" t="n"/>
      <c r="BP49" s="105" t="n"/>
      <c r="BQ49" s="885">
        <f>Planning!Q42</f>
        <v/>
      </c>
      <c r="BR49" s="885">
        <f>Planning!R42</f>
        <v/>
      </c>
      <c r="BS49" s="886" t="n"/>
      <c r="BT49" s="105" t="n"/>
      <c r="BU49" s="885">
        <f>Planning!U42</f>
        <v/>
      </c>
      <c r="BV49" s="885">
        <f>Planning!V42</f>
        <v/>
      </c>
      <c r="BW49" s="886" t="n"/>
      <c r="BX49" s="105" t="n"/>
      <c r="BY49" s="885">
        <f>Planning!Y42</f>
        <v/>
      </c>
      <c r="BZ49" s="885">
        <f>Planning!Z42</f>
        <v/>
      </c>
      <c r="CA49" s="886" t="n"/>
      <c r="CB49" s="105" t="n"/>
      <c r="CC49" s="885">
        <f>Planning!AC42</f>
        <v/>
      </c>
      <c r="CD49" s="885">
        <f>Planning!AD42</f>
        <v/>
      </c>
      <c r="CE49" s="886" t="n"/>
      <c r="CF49" s="105" t="n"/>
      <c r="CG49" s="887">
        <f>Planning!AG42</f>
        <v/>
      </c>
      <c r="CH49" s="105" t="n"/>
      <c r="CI49" s="252">
        <f>IF(BC49="","",Planning!AI42)</f>
        <v/>
      </c>
      <c r="CJ49" s="252">
        <f>IF(BC49="","",Planning!AJ42)</f>
        <v/>
      </c>
      <c r="CK49" s="252">
        <f>IF(BC49="","",Planning!AK42)</f>
        <v/>
      </c>
      <c r="CL49" s="252">
        <f>IF(BC49="","",Planning!AH42)</f>
        <v/>
      </c>
      <c r="CM49" s="21" t="n"/>
    </row>
    <row r="50" ht="12.75" customHeight="1">
      <c r="A50" s="161">
        <f>IFERROR(IF(VLOOKUP($B50,$BC$13:$CL$86,36,FALSE)&gt;5,0,IF(COUNTIF($B$13:$B$63,$B50)&gt;1,0,38)),38)+IF(B50&lt;&gt;0,0,IF(AV50&gt;0,0.000001,0))</f>
        <v/>
      </c>
      <c r="B50" s="129" t="n"/>
      <c r="C50" s="48">
        <f>IFERROR(IF($B50="","",VLOOKUP($B50,Medewerker!$C$8:$AI$107,33,FALSE)),"?")</f>
        <v/>
      </c>
      <c r="D50" s="879">
        <f t="array" ref="D50">IFERROR(IF(LEFT(INDEX($F50:$AQ50,1,SUM(SMALL(IF($F50:$AQ50&lt;&gt;"",COLUMN($F50:$AQ50)),1)-5)),1)="x",SUM(SMALL(IF($F50:$AQ50&lt;&gt;"",$F$11:$AQ$11),1)+"0:15"),SMALL(IF($F50:$AQ50&lt;&gt;"",$F$11:$AQ$11),1)),"")</f>
        <v/>
      </c>
      <c r="E50" s="879">
        <f t="array" ref="E50">IFERROR(IF(LEFT(INDEX($F50:$AQ50,1,SUM(LARGE(IF($F50:$AQ50&lt;&gt;"",COLUMN($F50:$AQ50)),1)-5)),1)="x",SUM(LARGE(IF($F50:$AQ50&lt;&gt;"",$F$11:$AQ$11+"0:30:00"),1)-"0:15"),LARGE(IF($F50:$AQ50&lt;&gt;"",$F$11:$AQ$11+"0:30:00"),1)),"")</f>
        <v/>
      </c>
      <c r="F50" s="43" t="n"/>
      <c r="G50" s="42" t="n"/>
      <c r="H50" s="43" t="n"/>
      <c r="I50" s="42" t="n"/>
      <c r="J50" s="43" t="n"/>
      <c r="K50" s="41" t="n"/>
      <c r="L50" s="40" t="n"/>
      <c r="M50" s="42" t="n"/>
      <c r="N50" s="43" t="n"/>
      <c r="O50" s="41" t="n"/>
      <c r="P50" s="40" t="n"/>
      <c r="Q50" s="42" t="n"/>
      <c r="R50" s="43" t="n"/>
      <c r="S50" s="41" t="n"/>
      <c r="T50" s="40" t="n"/>
      <c r="U50" s="42" t="n"/>
      <c r="V50" s="43" t="n"/>
      <c r="W50" s="41" t="n"/>
      <c r="X50" s="40" t="n"/>
      <c r="Y50" s="42" t="n"/>
      <c r="Z50" s="43" t="n"/>
      <c r="AA50" s="41" t="n"/>
      <c r="AB50" s="40" t="n"/>
      <c r="AC50" s="42" t="n"/>
      <c r="AD50" s="43" t="n"/>
      <c r="AE50" s="41" t="n"/>
      <c r="AF50" s="40" t="n"/>
      <c r="AG50" s="42" t="n"/>
      <c r="AH50" s="43" t="n"/>
      <c r="AI50" s="41" t="n"/>
      <c r="AJ50" s="40" t="n"/>
      <c r="AK50" s="42" t="n"/>
      <c r="AL50" s="43" t="n"/>
      <c r="AM50" s="41" t="n"/>
      <c r="AN50" s="645" t="n"/>
      <c r="AO50" s="42" t="n"/>
      <c r="AP50" s="43" t="n"/>
      <c r="AQ50" s="42" t="n"/>
      <c r="AR50" s="888">
        <f>IFERROR(IF(VLOOKUP($B50,Medewerker!$C$8:$M$107,11,FALSE)="",VLOOKUP($B50,Medewerker!$C$8:$M$107,9,FALSE),0),0)</f>
        <v/>
      </c>
      <c r="AS50" s="888">
        <f>IFERROR(IF(B50="",1,IF(VLOOKUP($B50,Medewerker!$C$8:$M$107,11,FALSE)="",VLOOKUP($B50,Medewerker!$C$8:$M$107,10,FALSE),0)),0)</f>
        <v/>
      </c>
      <c r="AT50" s="45" t="n"/>
      <c r="AU50" s="46">
        <f>(COUNTIF(F50:AQ50,"afw"))/2</f>
        <v/>
      </c>
      <c r="AV50" s="111">
        <f>((38-(COUNTIF(F50:AQ50,"")))/2)-(COUNTIF(F50:AQ50,"p")/2)-(COUNTIF(F50:AQ50,CONCATENATE("x","*"))/4)</f>
        <v/>
      </c>
      <c r="AW50" s="73">
        <f>IF($B50="","",VLOOKUP($B50,Medewerker!$C$8:$E$107,3,FALSE))</f>
        <v/>
      </c>
      <c r="AX50" s="403">
        <f>IFERROR(VLOOKUP($B50,Planning!$B$6:$AG$105,32,FALSE)*24,"")</f>
        <v/>
      </c>
      <c r="AY50" s="837" t="inlineStr">
        <is>
          <t>ov</t>
        </is>
      </c>
      <c r="AZ50" s="71" t="inlineStr">
        <is>
          <t>Overig</t>
        </is>
      </c>
      <c r="BA50" s="111">
        <f>COUNTIF($F$13:$AQ$63,CONCATENATE(AY50,"*"))/2+COUNTIF($F$13:$AQ$63,CONCATENATE("x",AY50,"*"))/4</f>
        <v/>
      </c>
      <c r="BB50" s="838" t="n"/>
      <c r="BC50" s="31">
        <f>IF(Planning!B43="","",Planning!B43)</f>
        <v/>
      </c>
      <c r="BD50" s="105" t="n"/>
      <c r="BE50" s="885">
        <f>Planning!E43</f>
        <v/>
      </c>
      <c r="BF50" s="885">
        <f>Planning!F43</f>
        <v/>
      </c>
      <c r="BG50" s="886" t="n"/>
      <c r="BH50" s="105" t="n"/>
      <c r="BI50" s="885">
        <f>Planning!I43</f>
        <v/>
      </c>
      <c r="BJ50" s="885">
        <f>Planning!J43</f>
        <v/>
      </c>
      <c r="BK50" s="886" t="n"/>
      <c r="BL50" s="105" t="n"/>
      <c r="BM50" s="885">
        <f>Planning!M43</f>
        <v/>
      </c>
      <c r="BN50" s="885">
        <f>Planning!N43</f>
        <v/>
      </c>
      <c r="BO50" s="886" t="n"/>
      <c r="BP50" s="105" t="n"/>
      <c r="BQ50" s="885">
        <f>Planning!Q43</f>
        <v/>
      </c>
      <c r="BR50" s="885">
        <f>Planning!R43</f>
        <v/>
      </c>
      <c r="BS50" s="886" t="n"/>
      <c r="BT50" s="105" t="n"/>
      <c r="BU50" s="885">
        <f>Planning!U43</f>
        <v/>
      </c>
      <c r="BV50" s="885">
        <f>Planning!V43</f>
        <v/>
      </c>
      <c r="BW50" s="886" t="n"/>
      <c r="BX50" s="105" t="n"/>
      <c r="BY50" s="885">
        <f>Planning!Y43</f>
        <v/>
      </c>
      <c r="BZ50" s="885">
        <f>Planning!Z43</f>
        <v/>
      </c>
      <c r="CA50" s="886" t="n"/>
      <c r="CB50" s="105" t="n"/>
      <c r="CC50" s="885">
        <f>Planning!AC43</f>
        <v/>
      </c>
      <c r="CD50" s="885">
        <f>Planning!AD43</f>
        <v/>
      </c>
      <c r="CE50" s="886" t="n"/>
      <c r="CF50" s="105" t="n"/>
      <c r="CG50" s="887">
        <f>Planning!AG43</f>
        <v/>
      </c>
      <c r="CH50" s="105" t="n"/>
      <c r="CI50" s="252">
        <f>IF(BC50="","",Planning!AI43)</f>
        <v/>
      </c>
      <c r="CJ50" s="252">
        <f>IF(BC50="","",Planning!AJ43)</f>
        <v/>
      </c>
      <c r="CK50" s="252">
        <f>IF(BC50="","",Planning!AK43)</f>
        <v/>
      </c>
      <c r="CL50" s="252">
        <f>IF(BC50="","",Planning!AH43)</f>
        <v/>
      </c>
      <c r="CM50" s="21" t="n"/>
    </row>
    <row r="51" ht="12.75" customHeight="1">
      <c r="A51" s="161">
        <f>IFERROR(IF(VLOOKUP($B51,$BC$13:$CL$86,36,FALSE)&gt;5,0,IF(COUNTIF($B$13:$B$63,$B51)&gt;1,0,39)),39)+IF(B51&lt;&gt;0,0,IF(AV51&gt;0,0.000001,0))</f>
        <v/>
      </c>
      <c r="B51" s="129" t="n"/>
      <c r="C51" s="48">
        <f>IFERROR(IF($B51="","",VLOOKUP($B51,Medewerker!$C$8:$AI$107,33,FALSE)),"?")</f>
        <v/>
      </c>
      <c r="D51" s="879">
        <f t="array" ref="D51">IFERROR(IF(LEFT(INDEX($F51:$AQ51,1,SUM(SMALL(IF($F51:$AQ51&lt;&gt;"",COLUMN($F51:$AQ51)),1)-5)),1)="x",SUM(SMALL(IF($F51:$AQ51&lt;&gt;"",$F$11:$AQ$11),1)+"0:15"),SMALL(IF($F51:$AQ51&lt;&gt;"",$F$11:$AQ$11),1)),"")</f>
        <v/>
      </c>
      <c r="E51" s="879">
        <f t="array" ref="E51">IFERROR(IF(LEFT(INDEX($F51:$AQ51,1,SUM(LARGE(IF($F51:$AQ51&lt;&gt;"",COLUMN($F51:$AQ51)),1)-5)),1)="x",SUM(LARGE(IF($F51:$AQ51&lt;&gt;"",$F$11:$AQ$11+"0:30:00"),1)-"0:15"),LARGE(IF($F51:$AQ51&lt;&gt;"",$F$11:$AQ$11+"0:30:00"),1)),"")</f>
        <v/>
      </c>
      <c r="F51" s="43" t="n"/>
      <c r="G51" s="42" t="n"/>
      <c r="H51" s="43" t="n"/>
      <c r="I51" s="42" t="n"/>
      <c r="J51" s="43" t="n"/>
      <c r="K51" s="41" t="n"/>
      <c r="L51" s="40" t="n"/>
      <c r="M51" s="42" t="n"/>
      <c r="N51" s="43" t="n"/>
      <c r="O51" s="41" t="n"/>
      <c r="P51" s="40" t="n"/>
      <c r="Q51" s="42" t="n"/>
      <c r="R51" s="43" t="n"/>
      <c r="S51" s="41" t="n"/>
      <c r="T51" s="40" t="n"/>
      <c r="U51" s="42" t="n"/>
      <c r="V51" s="43" t="n"/>
      <c r="W51" s="41" t="n"/>
      <c r="X51" s="40" t="n"/>
      <c r="Y51" s="42" t="n"/>
      <c r="Z51" s="43" t="n"/>
      <c r="AA51" s="41" t="n"/>
      <c r="AB51" s="40" t="n"/>
      <c r="AC51" s="42" t="n"/>
      <c r="AD51" s="43" t="n"/>
      <c r="AE51" s="41" t="n"/>
      <c r="AF51" s="40" t="n"/>
      <c r="AG51" s="42" t="n"/>
      <c r="AH51" s="43" t="n"/>
      <c r="AI51" s="41" t="n"/>
      <c r="AJ51" s="40" t="n"/>
      <c r="AK51" s="42" t="n"/>
      <c r="AL51" s="43" t="n"/>
      <c r="AM51" s="41" t="n"/>
      <c r="AN51" s="645" t="n"/>
      <c r="AO51" s="42" t="n"/>
      <c r="AP51" s="43" t="n"/>
      <c r="AQ51" s="42" t="n"/>
      <c r="AR51" s="888">
        <f>IFERROR(IF(VLOOKUP($B51,Medewerker!$C$8:$M$107,11,FALSE)="",VLOOKUP($B51,Medewerker!$C$8:$M$107,9,FALSE),0),0)</f>
        <v/>
      </c>
      <c r="AS51" s="888">
        <f>IFERROR(IF(B51="",1,IF(VLOOKUP($B51,Medewerker!$C$8:$M$107,11,FALSE)="",VLOOKUP($B51,Medewerker!$C$8:$M$107,10,FALSE),0)),0)</f>
        <v/>
      </c>
      <c r="AT51" s="45" t="n"/>
      <c r="AU51" s="46">
        <f>(COUNTIF(F51:AQ51,"afw"))/2</f>
        <v/>
      </c>
      <c r="AV51" s="111">
        <f>((38-(COUNTIF(F51:AQ51,"")))/2)-(COUNTIF(F51:AQ51,"p")/2)-(COUNTIF(F51:AQ51,CONCATENATE("x","*"))/4)</f>
        <v/>
      </c>
      <c r="AW51" s="73">
        <f>IF($B51="","",VLOOKUP($B51,Medewerker!$C$8:$E$107,3,FALSE))</f>
        <v/>
      </c>
      <c r="AX51" s="403">
        <f>IFERROR(VLOOKUP($B51,Planning!$B$6:$AG$105,32,FALSE)*24,"")</f>
        <v/>
      </c>
      <c r="AY51" s="837" t="inlineStr">
        <is>
          <t>prt</t>
        </is>
      </c>
      <c r="AZ51" s="71" t="inlineStr">
        <is>
          <t>Protime</t>
        </is>
      </c>
      <c r="BA51" s="111">
        <f>COUNTIF($F$13:$AQ$63,CONCATENATE(AY51,"*"))/2+COUNTIF($F$13:$AQ$63,CONCATENATE("x",AY51,"*"))/4</f>
        <v/>
      </c>
      <c r="BB51" s="838" t="n"/>
      <c r="BC51" s="31">
        <f>IF(Planning!B44="","",Planning!B44)</f>
        <v/>
      </c>
      <c r="BD51" s="105" t="n"/>
      <c r="BE51" s="885">
        <f>Planning!E44</f>
        <v/>
      </c>
      <c r="BF51" s="885">
        <f>Planning!F44</f>
        <v/>
      </c>
      <c r="BG51" s="886" t="n"/>
      <c r="BH51" s="105" t="n"/>
      <c r="BI51" s="885">
        <f>Planning!I44</f>
        <v/>
      </c>
      <c r="BJ51" s="885">
        <f>Planning!J44</f>
        <v/>
      </c>
      <c r="BK51" s="886" t="n"/>
      <c r="BL51" s="105" t="n"/>
      <c r="BM51" s="885">
        <f>Planning!M44</f>
        <v/>
      </c>
      <c r="BN51" s="885">
        <f>Planning!N44</f>
        <v/>
      </c>
      <c r="BO51" s="886" t="n"/>
      <c r="BP51" s="105" t="n"/>
      <c r="BQ51" s="885">
        <f>Planning!Q44</f>
        <v/>
      </c>
      <c r="BR51" s="885">
        <f>Planning!R44</f>
        <v/>
      </c>
      <c r="BS51" s="886" t="n"/>
      <c r="BT51" s="105" t="n"/>
      <c r="BU51" s="885">
        <f>Planning!U44</f>
        <v/>
      </c>
      <c r="BV51" s="885">
        <f>Planning!V44</f>
        <v/>
      </c>
      <c r="BW51" s="886" t="n"/>
      <c r="BX51" s="105" t="n"/>
      <c r="BY51" s="885">
        <f>Planning!Y44</f>
        <v/>
      </c>
      <c r="BZ51" s="885">
        <f>Planning!Z44</f>
        <v/>
      </c>
      <c r="CA51" s="886" t="n"/>
      <c r="CB51" s="105" t="n"/>
      <c r="CC51" s="885">
        <f>Planning!AC44</f>
        <v/>
      </c>
      <c r="CD51" s="885">
        <f>Planning!AD44</f>
        <v/>
      </c>
      <c r="CE51" s="886" t="n"/>
      <c r="CF51" s="105" t="n"/>
      <c r="CG51" s="887">
        <f>Planning!AG44</f>
        <v/>
      </c>
      <c r="CH51" s="105" t="n"/>
      <c r="CI51" s="252">
        <f>IF(BC51="","",Planning!AI44)</f>
        <v/>
      </c>
      <c r="CJ51" s="252">
        <f>IF(BC51="","",Planning!AJ44)</f>
        <v/>
      </c>
      <c r="CK51" s="252">
        <f>IF(BC51="","",Planning!AK44)</f>
        <v/>
      </c>
      <c r="CL51" s="252">
        <f>IF(BC51="","",Planning!AH44)</f>
        <v/>
      </c>
      <c r="CM51" s="21" t="n"/>
    </row>
    <row r="52" ht="12.75" customHeight="1">
      <c r="A52" s="161">
        <f>IFERROR(IF(VLOOKUP($B52,$BC$13:$CL$86,36,FALSE)&gt;5,0,IF(COUNTIF($B$13:$B$63,$B52)&gt;1,0,40)),40)+IF(B52&lt;&gt;0,0,IF(AV52&gt;0,0.000001,0))</f>
        <v/>
      </c>
      <c r="B52" s="129" t="n"/>
      <c r="C52" s="48">
        <f>IFERROR(IF($B52="","",VLOOKUP($B52,Medewerker!$C$8:$AI$107,33,FALSE)),"?")</f>
        <v/>
      </c>
      <c r="D52" s="879">
        <f t="array" ref="D52">IFERROR(IF(LEFT(INDEX($F52:$AQ52,1,SUM(SMALL(IF($F52:$AQ52&lt;&gt;"",COLUMN($F52:$AQ52)),1)-5)),1)="x",SUM(SMALL(IF($F52:$AQ52&lt;&gt;"",$F$11:$AQ$11),1)+"0:15"),SMALL(IF($F52:$AQ52&lt;&gt;"",$F$11:$AQ$11),1)),"")</f>
        <v/>
      </c>
      <c r="E52" s="879">
        <f t="array" ref="E52">IFERROR(IF(LEFT(INDEX($F52:$AQ52,1,SUM(LARGE(IF($F52:$AQ52&lt;&gt;"",COLUMN($F52:$AQ52)),1)-5)),1)="x",SUM(LARGE(IF($F52:$AQ52&lt;&gt;"",$F$11:$AQ$11+"0:30:00"),1)-"0:15"),LARGE(IF($F52:$AQ52&lt;&gt;"",$F$11:$AQ$11+"0:30:00"),1)),"")</f>
        <v/>
      </c>
      <c r="F52" s="43" t="n"/>
      <c r="G52" s="42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  <c r="AA52" s="43" t="n"/>
      <c r="AB52" s="43" t="n"/>
      <c r="AC52" s="43" t="n"/>
      <c r="AD52" s="43" t="n"/>
      <c r="AE52" s="43" t="n"/>
      <c r="AF52" s="43" t="n"/>
      <c r="AG52" s="43" t="n"/>
      <c r="AH52" s="43" t="n"/>
      <c r="AI52" s="43" t="n"/>
      <c r="AJ52" s="43" t="n"/>
      <c r="AK52" s="43" t="n"/>
      <c r="AL52" s="43" t="n"/>
      <c r="AM52" s="43" t="n"/>
      <c r="AN52" s="43" t="n"/>
      <c r="AO52" s="43" t="n"/>
      <c r="AP52" s="43" t="n"/>
      <c r="AQ52" s="42" t="n"/>
      <c r="AR52" s="888">
        <f>IFERROR(IF(VLOOKUP($B52,Medewerker!$C$8:$M$107,11,FALSE)="",VLOOKUP($B52,Medewerker!$C$8:$M$107,9,FALSE),0),0)</f>
        <v/>
      </c>
      <c r="AS52" s="888">
        <f>IFERROR(IF(B52="",1,IF(VLOOKUP($B52,Medewerker!$C$8:$M$107,11,FALSE)="",VLOOKUP($B52,Medewerker!$C$8:$M$107,10,FALSE),0)),0)</f>
        <v/>
      </c>
      <c r="AT52" s="45" t="n"/>
      <c r="AU52" s="46">
        <f>(COUNTIF(F52:AQ52,"afw"))/2</f>
        <v/>
      </c>
      <c r="AV52" s="111">
        <f>((38-(COUNTIF(F52:AQ52,"")))/2)-(COUNTIF(F52:AQ52,"p")/2)-(COUNTIF(F52:AQ52,CONCATENATE("x","*"))/4)</f>
        <v/>
      </c>
      <c r="AW52" s="73">
        <f>IF($B52="","",VLOOKUP($B52,Medewerker!$C$8:$E$107,3,FALSE))</f>
        <v/>
      </c>
      <c r="AX52" s="403">
        <f>IFERROR(VLOOKUP($B52,Planning!$B$6:$AG$105,32,FALSE)*24,"")</f>
        <v/>
      </c>
      <c r="AY52" s="837" t="inlineStr">
        <is>
          <t>sl</t>
        </is>
      </c>
      <c r="AZ52" s="71" t="inlineStr">
        <is>
          <t>Shift leiden</t>
        </is>
      </c>
      <c r="BA52" s="111">
        <f>COUNTIF($F$13:$AQ$63,CONCATENATE(AY52,"*"))/2+COUNTIF($F$13:$AQ$63,CONCATENATE("x",AY52,"*"))/4</f>
        <v/>
      </c>
      <c r="BB52" s="838" t="n"/>
      <c r="BC52" s="31">
        <f>IF(Planning!B45="","",Planning!B45)</f>
        <v/>
      </c>
      <c r="BD52" s="105" t="n"/>
      <c r="BE52" s="885">
        <f>Planning!E45</f>
        <v/>
      </c>
      <c r="BF52" s="885">
        <f>Planning!F45</f>
        <v/>
      </c>
      <c r="BG52" s="886" t="n"/>
      <c r="BH52" s="105" t="n"/>
      <c r="BI52" s="885">
        <f>Planning!I45</f>
        <v/>
      </c>
      <c r="BJ52" s="885">
        <f>Planning!J45</f>
        <v/>
      </c>
      <c r="BK52" s="886" t="n"/>
      <c r="BL52" s="105" t="n"/>
      <c r="BM52" s="885">
        <f>Planning!M45</f>
        <v/>
      </c>
      <c r="BN52" s="885">
        <f>Planning!N45</f>
        <v/>
      </c>
      <c r="BO52" s="886" t="n"/>
      <c r="BP52" s="105" t="n"/>
      <c r="BQ52" s="885">
        <f>Planning!Q45</f>
        <v/>
      </c>
      <c r="BR52" s="885">
        <f>Planning!R45</f>
        <v/>
      </c>
      <c r="BS52" s="886" t="n"/>
      <c r="BT52" s="105" t="n"/>
      <c r="BU52" s="885">
        <f>Planning!U45</f>
        <v/>
      </c>
      <c r="BV52" s="885">
        <f>Planning!V45</f>
        <v/>
      </c>
      <c r="BW52" s="886" t="n"/>
      <c r="BX52" s="105" t="n"/>
      <c r="BY52" s="885">
        <f>Planning!Y45</f>
        <v/>
      </c>
      <c r="BZ52" s="885">
        <f>Planning!Z45</f>
        <v/>
      </c>
      <c r="CA52" s="886" t="n"/>
      <c r="CB52" s="105" t="n"/>
      <c r="CC52" s="885">
        <f>Planning!AC45</f>
        <v/>
      </c>
      <c r="CD52" s="885">
        <f>Planning!AD45</f>
        <v/>
      </c>
      <c r="CE52" s="886" t="n"/>
      <c r="CF52" s="105" t="n"/>
      <c r="CG52" s="887">
        <f>Planning!AG45</f>
        <v/>
      </c>
      <c r="CH52" s="105" t="n"/>
      <c r="CI52" s="252">
        <f>IF(BC52="","",Planning!AI45)</f>
        <v/>
      </c>
      <c r="CJ52" s="252">
        <f>IF(BC52="","",Planning!AJ45)</f>
        <v/>
      </c>
      <c r="CK52" s="252">
        <f>IF(BC52="","",Planning!AK45)</f>
        <v/>
      </c>
      <c r="CL52" s="252">
        <f>IF(BC52="","",Planning!AH45)</f>
        <v/>
      </c>
      <c r="CM52" s="21" t="n"/>
    </row>
    <row r="53" ht="12.75" customHeight="1">
      <c r="A53" s="161">
        <f>IFERROR(IF(VLOOKUP($B53,$BC$13:$CL$86,36,FALSE)&gt;5,0,IF(COUNTIF($B$13:$B$63,$B53)&gt;1,0,41)),41)+IF(B53&lt;&gt;0,0,IF(AV53&gt;0,0.000001,0))</f>
        <v/>
      </c>
      <c r="B53" s="129" t="n"/>
      <c r="C53" s="48">
        <f>IFERROR(IF($B53="","",VLOOKUP($B53,Medewerker!$C$8:$AI$107,33,FALSE)),"?")</f>
        <v/>
      </c>
      <c r="D53" s="879">
        <f t="array" ref="D53">IFERROR(IF(LEFT(INDEX($F53:$AQ53,1,SUM(SMALL(IF($F53:$AQ53&lt;&gt;"",COLUMN($F53:$AQ53)),1)-5)),1)="x",SUM(SMALL(IF($F53:$AQ53&lt;&gt;"",$F$11:$AQ$11),1)+"0:15"),SMALL(IF($F53:$AQ53&lt;&gt;"",$F$11:$AQ$11),1)),"")</f>
        <v/>
      </c>
      <c r="E53" s="879">
        <f t="array" ref="E53">IFERROR(IF(LEFT(INDEX($F53:$AQ53,1,SUM(LARGE(IF($F53:$AQ53&lt;&gt;"",COLUMN($F53:$AQ53)),1)-5)),1)="x",SUM(LARGE(IF($F53:$AQ53&lt;&gt;"",$F$11:$AQ$11+"0:30:00"),1)-"0:15"),LARGE(IF($F53:$AQ53&lt;&gt;"",$F$11:$AQ$11+"0:30:00"),1)),"")</f>
        <v/>
      </c>
      <c r="F53" s="43" t="n"/>
      <c r="G53" s="42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  <c r="AA53" s="43" t="n"/>
      <c r="AB53" s="43" t="n"/>
      <c r="AC53" s="43" t="n"/>
      <c r="AD53" s="43" t="n"/>
      <c r="AE53" s="43" t="n"/>
      <c r="AF53" s="43" t="n"/>
      <c r="AG53" s="43" t="n"/>
      <c r="AH53" s="43" t="n"/>
      <c r="AI53" s="43" t="n"/>
      <c r="AJ53" s="43" t="n"/>
      <c r="AK53" s="43" t="n"/>
      <c r="AL53" s="43" t="n"/>
      <c r="AM53" s="43" t="n"/>
      <c r="AN53" s="43" t="n"/>
      <c r="AO53" s="43" t="n"/>
      <c r="AP53" s="43" t="n"/>
      <c r="AQ53" s="42" t="n"/>
      <c r="AR53" s="888">
        <f>IFERROR(IF(VLOOKUP($B53,Medewerker!$C$8:$M$107,11,FALSE)="",VLOOKUP($B53,Medewerker!$C$8:$M$107,9,FALSE),0),0)</f>
        <v/>
      </c>
      <c r="AS53" s="888">
        <f>IFERROR(IF(B53="",1,IF(VLOOKUP($B53,Medewerker!$C$8:$M$107,11,FALSE)="",VLOOKUP($B53,Medewerker!$C$8:$M$107,10,FALSE),0)),0)</f>
        <v/>
      </c>
      <c r="AT53" s="45" t="n"/>
      <c r="AU53" s="46">
        <f>(COUNTIF(F53:AQ53,"afw"))/2</f>
        <v/>
      </c>
      <c r="AV53" s="111">
        <f>((38-(COUNTIF(F53:AQ53,"")))/2)-(COUNTIF(F53:AQ53,"p")/2)-(COUNTIF(F53:AQ53,CONCATENATE("x","*"))/4)</f>
        <v/>
      </c>
      <c r="AW53" s="73">
        <f>IF($B53="","",VLOOKUP($B53,Medewerker!$C$8:$E$107,3,FALSE))</f>
        <v/>
      </c>
      <c r="AX53" s="403">
        <f>IFERROR(VLOOKUP($B53,Planning!$B$6:$AG$105,32,FALSE)*24,"")</f>
        <v/>
      </c>
      <c r="AY53" s="837" t="inlineStr">
        <is>
          <t>vp</t>
        </is>
      </c>
      <c r="AZ53" s="71" t="inlineStr">
        <is>
          <t>Vulshiftplanning</t>
        </is>
      </c>
      <c r="BA53" s="111">
        <f>COUNTIF($F$13:$AQ$63,CONCATENATE(AY53,"*"))/2+COUNTIF($F$13:$AQ$63,CONCATENATE("x",AY53,"*"))/4</f>
        <v/>
      </c>
      <c r="BB53" s="838" t="n"/>
      <c r="BC53" s="31">
        <f>IF(Planning!B46="","",Planning!B46)</f>
        <v/>
      </c>
      <c r="BD53" s="105" t="n"/>
      <c r="BE53" s="885">
        <f>Planning!E46</f>
        <v/>
      </c>
      <c r="BF53" s="885">
        <f>Planning!F46</f>
        <v/>
      </c>
      <c r="BG53" s="886" t="n"/>
      <c r="BH53" s="105" t="n"/>
      <c r="BI53" s="885">
        <f>Planning!I46</f>
        <v/>
      </c>
      <c r="BJ53" s="885">
        <f>Planning!J46</f>
        <v/>
      </c>
      <c r="BK53" s="886" t="n"/>
      <c r="BL53" s="105" t="n"/>
      <c r="BM53" s="885">
        <f>Planning!M46</f>
        <v/>
      </c>
      <c r="BN53" s="885">
        <f>Planning!N46</f>
        <v/>
      </c>
      <c r="BO53" s="886" t="n"/>
      <c r="BP53" s="105" t="n"/>
      <c r="BQ53" s="885">
        <f>Planning!Q46</f>
        <v/>
      </c>
      <c r="BR53" s="885">
        <f>Planning!R46</f>
        <v/>
      </c>
      <c r="BS53" s="886" t="n"/>
      <c r="BT53" s="105" t="n"/>
      <c r="BU53" s="885">
        <f>Planning!U46</f>
        <v/>
      </c>
      <c r="BV53" s="885">
        <f>Planning!V46</f>
        <v/>
      </c>
      <c r="BW53" s="886" t="n"/>
      <c r="BX53" s="105" t="n"/>
      <c r="BY53" s="885">
        <f>Planning!Y46</f>
        <v/>
      </c>
      <c r="BZ53" s="885">
        <f>Planning!Z46</f>
        <v/>
      </c>
      <c r="CA53" s="886" t="n"/>
      <c r="CB53" s="105" t="n"/>
      <c r="CC53" s="885">
        <f>Planning!AC46</f>
        <v/>
      </c>
      <c r="CD53" s="885">
        <f>Planning!AD46</f>
        <v/>
      </c>
      <c r="CE53" s="886" t="n"/>
      <c r="CF53" s="105" t="n"/>
      <c r="CG53" s="887">
        <f>Planning!AG46</f>
        <v/>
      </c>
      <c r="CH53" s="105" t="n"/>
      <c r="CI53" s="252">
        <f>IF(BC53="","",Planning!AI46)</f>
        <v/>
      </c>
      <c r="CJ53" s="252">
        <f>IF(BC53="","",Planning!AJ46)</f>
        <v/>
      </c>
      <c r="CK53" s="252">
        <f>IF(BC53="","",Planning!AK46)</f>
        <v/>
      </c>
      <c r="CL53" s="252">
        <f>IF(BC53="","",Planning!AH46)</f>
        <v/>
      </c>
      <c r="CM53" s="21" t="n"/>
    </row>
    <row r="54" ht="12.75" customHeight="1">
      <c r="A54" s="161">
        <f>IFERROR(IF(VLOOKUP($B54,$BC$13:$CL$86,36,FALSE)&gt;5,0,IF(COUNTIF($B$13:$B$63,$B54)&gt;1,0,42)),42)+IF(B54&lt;&gt;0,0,IF(AV54&gt;0,0.000001,0))</f>
        <v/>
      </c>
      <c r="B54" s="129" t="n"/>
      <c r="C54" s="48">
        <f>IFERROR(IF($B54="","",VLOOKUP($B54,Medewerker!$C$8:$AI$107,33,FALSE)),"?")</f>
        <v/>
      </c>
      <c r="D54" s="879">
        <f t="array" ref="D54">IFERROR(IF(LEFT(INDEX($F54:$AQ54,1,SUM(SMALL(IF($F54:$AQ54&lt;&gt;"",COLUMN($F54:$AQ54)),1)-5)),1)="x",SUM(SMALL(IF($F54:$AQ54&lt;&gt;"",$F$11:$AQ$11),1)+"0:15"),SMALL(IF($F54:$AQ54&lt;&gt;"",$F$11:$AQ$11),1)),"")</f>
        <v/>
      </c>
      <c r="E54" s="879">
        <f t="array" ref="E54">IFERROR(IF(LEFT(INDEX($F54:$AQ54,1,SUM(LARGE(IF($F54:$AQ54&lt;&gt;"",COLUMN($F54:$AQ54)),1)-5)),1)="x",SUM(LARGE(IF($F54:$AQ54&lt;&gt;"",$F$11:$AQ$11+"0:30:00"),1)-"0:15"),LARGE(IF($F54:$AQ54&lt;&gt;"",$F$11:$AQ$11+"0:30:00"),1)),"")</f>
        <v/>
      </c>
      <c r="F54" s="43" t="n"/>
      <c r="G54" s="42" t="n"/>
      <c r="H54" s="43" t="n"/>
      <c r="I54" s="43" t="n"/>
      <c r="J54" s="43" t="n"/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  <c r="Z54" s="43" t="n"/>
      <c r="AA54" s="43" t="n"/>
      <c r="AB54" s="43" t="n"/>
      <c r="AC54" s="43" t="n"/>
      <c r="AD54" s="43" t="n"/>
      <c r="AE54" s="43" t="n"/>
      <c r="AF54" s="43" t="n"/>
      <c r="AG54" s="43" t="n"/>
      <c r="AH54" s="43" t="n"/>
      <c r="AI54" s="43" t="n"/>
      <c r="AJ54" s="43" t="n"/>
      <c r="AK54" s="43" t="n"/>
      <c r="AL54" s="43" t="n"/>
      <c r="AM54" s="43" t="n"/>
      <c r="AN54" s="43" t="n"/>
      <c r="AO54" s="43" t="n"/>
      <c r="AP54" s="43" t="n"/>
      <c r="AQ54" s="42" t="n"/>
      <c r="AR54" s="888">
        <f>IFERROR(IF(VLOOKUP($B54,Medewerker!$C$8:$M$107,11,FALSE)="",VLOOKUP($B54,Medewerker!$C$8:$M$107,9,FALSE),0),0)</f>
        <v/>
      </c>
      <c r="AS54" s="888">
        <f>IFERROR(IF(B54="",1,IF(VLOOKUP($B54,Medewerker!$C$8:$M$107,11,FALSE)="",VLOOKUP($B54,Medewerker!$C$8:$M$107,10,FALSE),0)),0)</f>
        <v/>
      </c>
      <c r="AT54" s="45" t="n"/>
      <c r="AU54" s="46">
        <f>(COUNTIF(F54:AQ54,"afw"))/2</f>
        <v/>
      </c>
      <c r="AV54" s="111">
        <f>((38-(COUNTIF(F54:AQ54,"")))/2)-(COUNTIF(F54:AQ54,"p")/2)-(COUNTIF(F54:AQ54,CONCATENATE("x","*"))/4)</f>
        <v/>
      </c>
      <c r="AW54" s="73">
        <f>IF($B54="","",VLOOKUP($B54,Medewerker!$C$8:$E$107,3,FALSE))</f>
        <v/>
      </c>
      <c r="AX54" s="403">
        <f>IFERROR(VLOOKUP($B54,Planning!$B$6:$AG$105,32,FALSE)*24,"")</f>
        <v/>
      </c>
      <c r="AY54" s="837" t="inlineStr">
        <is>
          <t>wh</t>
        </is>
      </c>
      <c r="AZ54" s="413" t="inlineStr">
        <is>
          <t>Winkelwagens halen</t>
        </is>
      </c>
      <c r="BA54" s="111">
        <f>COUNTIF($F$13:$AQ$63,CONCATENATE(AY54,"*"))/2+COUNTIF($F$13:$AQ$63,CONCATENATE("x",AY54,"*"))/4</f>
        <v/>
      </c>
      <c r="BB54" s="838" t="n"/>
      <c r="BC54" s="31">
        <f>IF(Planning!B47="","",Planning!B47)</f>
        <v/>
      </c>
      <c r="BD54" s="105" t="n"/>
      <c r="BE54" s="885">
        <f>Planning!E47</f>
        <v/>
      </c>
      <c r="BF54" s="885">
        <f>Planning!F47</f>
        <v/>
      </c>
      <c r="BG54" s="886" t="n"/>
      <c r="BH54" s="105" t="n"/>
      <c r="BI54" s="885">
        <f>Planning!I47</f>
        <v/>
      </c>
      <c r="BJ54" s="885">
        <f>Planning!J47</f>
        <v/>
      </c>
      <c r="BK54" s="886" t="n"/>
      <c r="BL54" s="105" t="n"/>
      <c r="BM54" s="885">
        <f>Planning!M47</f>
        <v/>
      </c>
      <c r="BN54" s="885">
        <f>Planning!N47</f>
        <v/>
      </c>
      <c r="BO54" s="886" t="n"/>
      <c r="BP54" s="105" t="n"/>
      <c r="BQ54" s="885">
        <f>Planning!Q47</f>
        <v/>
      </c>
      <c r="BR54" s="885">
        <f>Planning!R47</f>
        <v/>
      </c>
      <c r="BS54" s="886" t="n"/>
      <c r="BT54" s="105" t="n"/>
      <c r="BU54" s="885">
        <f>Planning!U47</f>
        <v/>
      </c>
      <c r="BV54" s="885">
        <f>Planning!V47</f>
        <v/>
      </c>
      <c r="BW54" s="886" t="n"/>
      <c r="BX54" s="105" t="n"/>
      <c r="BY54" s="885">
        <f>Planning!Y47</f>
        <v/>
      </c>
      <c r="BZ54" s="885">
        <f>Planning!Z47</f>
        <v/>
      </c>
      <c r="CA54" s="886" t="n"/>
      <c r="CB54" s="105" t="n"/>
      <c r="CC54" s="885">
        <f>Planning!AC47</f>
        <v/>
      </c>
      <c r="CD54" s="885">
        <f>Planning!AD47</f>
        <v/>
      </c>
      <c r="CE54" s="886" t="n"/>
      <c r="CF54" s="105" t="n"/>
      <c r="CG54" s="887">
        <f>Planning!AG47</f>
        <v/>
      </c>
      <c r="CH54" s="105" t="n"/>
      <c r="CI54" s="252">
        <f>IF(BC54="","",Planning!AI47)</f>
        <v/>
      </c>
      <c r="CJ54" s="252">
        <f>IF(BC54="","",Planning!AJ47)</f>
        <v/>
      </c>
      <c r="CK54" s="252">
        <f>IF(BC54="","",Planning!AK47)</f>
        <v/>
      </c>
      <c r="CL54" s="252">
        <f>IF(BC54="","",Planning!AH47)</f>
        <v/>
      </c>
      <c r="CM54" s="21" t="n"/>
    </row>
    <row r="55" ht="12.75" customHeight="1">
      <c r="A55" s="161">
        <f>IFERROR(IF(VLOOKUP($B55,$BC$13:$CL$86,36,FALSE)&gt;5,0,IF(COUNTIF($B$13:$B$63,$B55)&gt;1,0,43)),43)+IF(B55&lt;&gt;0,0,IF(AV55&gt;0,0.000001,0))</f>
        <v/>
      </c>
      <c r="B55" s="129" t="n"/>
      <c r="C55" s="48">
        <f>IFERROR(IF($B55="","",VLOOKUP($B55,Medewerker!$C$8:$AI$107,33,FALSE)),"?")</f>
        <v/>
      </c>
      <c r="D55" s="879">
        <f t="array" ref="D55">IFERROR(IF(LEFT(INDEX($F55:$AQ55,1,SUM(SMALL(IF($F55:$AQ55&lt;&gt;"",COLUMN($F55:$AQ55)),1)-5)),1)="x",SUM(SMALL(IF($F55:$AQ55&lt;&gt;"",$F$11:$AQ$11),1)+"0:15"),SMALL(IF($F55:$AQ55&lt;&gt;"",$F$11:$AQ$11),1)),"")</f>
        <v/>
      </c>
      <c r="E55" s="879">
        <f t="array" ref="E55">IFERROR(IF(LEFT(INDEX($F55:$AQ55,1,SUM(LARGE(IF($F55:$AQ55&lt;&gt;"",COLUMN($F55:$AQ55)),1)-5)),1)="x",SUM(LARGE(IF($F55:$AQ55&lt;&gt;"",$F$11:$AQ$11+"0:30:00"),1)-"0:15"),LARGE(IF($F55:$AQ55&lt;&gt;"",$F$11:$AQ$11+"0:30:00"),1)),"")</f>
        <v/>
      </c>
      <c r="F55" s="43" t="n"/>
      <c r="G55" s="42" t="n"/>
      <c r="H55" s="43" t="n"/>
      <c r="I55" s="43" t="n"/>
      <c r="J55" s="43" t="n"/>
      <c r="K55" s="43" t="n"/>
      <c r="L55" s="43" t="n"/>
      <c r="M55" s="43" t="n"/>
      <c r="N55" s="43" t="n"/>
      <c r="O55" s="43" t="n"/>
      <c r="P55" s="43" t="n"/>
      <c r="Q55" s="43" t="n"/>
      <c r="R55" s="43" t="n"/>
      <c r="S55" s="43" t="n"/>
      <c r="T55" s="43" t="n"/>
      <c r="U55" s="43" t="n"/>
      <c r="V55" s="43" t="n"/>
      <c r="W55" s="43" t="n"/>
      <c r="X55" s="43" t="n"/>
      <c r="Y55" s="43" t="n"/>
      <c r="Z55" s="43" t="n"/>
      <c r="AA55" s="43" t="n"/>
      <c r="AB55" s="43" t="n"/>
      <c r="AC55" s="43" t="n"/>
      <c r="AD55" s="43" t="n"/>
      <c r="AE55" s="43" t="n"/>
      <c r="AF55" s="43" t="n"/>
      <c r="AG55" s="43" t="n"/>
      <c r="AH55" s="43" t="n"/>
      <c r="AI55" s="43" t="n"/>
      <c r="AJ55" s="43" t="n"/>
      <c r="AK55" s="43" t="n"/>
      <c r="AL55" s="43" t="n"/>
      <c r="AM55" s="43" t="n"/>
      <c r="AN55" s="43" t="n"/>
      <c r="AO55" s="43" t="n"/>
      <c r="AP55" s="43" t="n"/>
      <c r="AQ55" s="42" t="n"/>
      <c r="AR55" s="888">
        <f>IFERROR(IF(VLOOKUP($B55,Medewerker!$C$8:$M$107,11,FALSE)="",VLOOKUP($B55,Medewerker!$C$8:$M$107,9,FALSE),0),0)</f>
        <v/>
      </c>
      <c r="AS55" s="888">
        <f>IFERROR(IF(B55="",1,IF(VLOOKUP($B55,Medewerker!$C$8:$M$107,11,FALSE)="",VLOOKUP($B55,Medewerker!$C$8:$M$107,10,FALSE),0)),0)</f>
        <v/>
      </c>
      <c r="AT55" s="45" t="n"/>
      <c r="AU55" s="46">
        <f>(COUNTIF(F55:AQ55,"afw"))/2</f>
        <v/>
      </c>
      <c r="AV55" s="111">
        <f>((38-(COUNTIF(F55:AQ55,"")))/2)-(COUNTIF(F55:AQ55,"p")/2)-(COUNTIF(F55:AQ55,CONCATENATE("x","*"))/4)</f>
        <v/>
      </c>
      <c r="AW55" s="73">
        <f>IF($B55="","",VLOOKUP($B55,Medewerker!$C$8:$E$107,3,FALSE))</f>
        <v/>
      </c>
      <c r="AX55" s="403">
        <f>IFERROR(VLOOKUP($B55,Planning!$B$6:$AG$105,32,FALSE)*24,"")</f>
        <v/>
      </c>
      <c r="AY55" s="837" t="inlineStr">
        <is>
          <t>wp</t>
        </is>
      </c>
      <c r="AZ55" s="71" t="inlineStr">
        <is>
          <t>Weekplanning</t>
        </is>
      </c>
      <c r="BA55" s="111">
        <f>COUNTIF($F$13:$AQ$63,CONCATENATE(AY55,"*"))/2+COUNTIF($F$13:$AQ$63,CONCATENATE("x",AY55,"*"))/4</f>
        <v/>
      </c>
      <c r="BB55" s="838" t="n"/>
      <c r="BC55" s="31">
        <f>IF(Planning!B48="","",Planning!B48)</f>
        <v/>
      </c>
      <c r="BD55" s="105" t="n"/>
      <c r="BE55" s="885">
        <f>Planning!E48</f>
        <v/>
      </c>
      <c r="BF55" s="885">
        <f>Planning!F48</f>
        <v/>
      </c>
      <c r="BG55" s="886" t="n"/>
      <c r="BH55" s="105" t="n"/>
      <c r="BI55" s="885">
        <f>Planning!I48</f>
        <v/>
      </c>
      <c r="BJ55" s="885">
        <f>Planning!J48</f>
        <v/>
      </c>
      <c r="BK55" s="886" t="n"/>
      <c r="BL55" s="105" t="n"/>
      <c r="BM55" s="885">
        <f>Planning!M48</f>
        <v/>
      </c>
      <c r="BN55" s="885">
        <f>Planning!N48</f>
        <v/>
      </c>
      <c r="BO55" s="886" t="n"/>
      <c r="BP55" s="105" t="n"/>
      <c r="BQ55" s="885">
        <f>Planning!Q48</f>
        <v/>
      </c>
      <c r="BR55" s="885">
        <f>Planning!R48</f>
        <v/>
      </c>
      <c r="BS55" s="886" t="n"/>
      <c r="BT55" s="105" t="n"/>
      <c r="BU55" s="885">
        <f>Planning!U48</f>
        <v/>
      </c>
      <c r="BV55" s="885">
        <f>Planning!V48</f>
        <v/>
      </c>
      <c r="BW55" s="886" t="n"/>
      <c r="BX55" s="105" t="n"/>
      <c r="BY55" s="885">
        <f>Planning!Y48</f>
        <v/>
      </c>
      <c r="BZ55" s="885">
        <f>Planning!Z48</f>
        <v/>
      </c>
      <c r="CA55" s="886" t="n"/>
      <c r="CB55" s="105" t="n"/>
      <c r="CC55" s="885">
        <f>Planning!AC48</f>
        <v/>
      </c>
      <c r="CD55" s="885">
        <f>Planning!AD48</f>
        <v/>
      </c>
      <c r="CE55" s="886" t="n"/>
      <c r="CF55" s="105" t="n"/>
      <c r="CG55" s="887">
        <f>Planning!AG48</f>
        <v/>
      </c>
      <c r="CH55" s="105" t="n"/>
      <c r="CI55" s="252">
        <f>IF(BC55="","",Planning!AI48)</f>
        <v/>
      </c>
      <c r="CJ55" s="252">
        <f>IF(BC55="","",Planning!AJ48)</f>
        <v/>
      </c>
      <c r="CK55" s="252">
        <f>IF(BC55="","",Planning!AK48)</f>
        <v/>
      </c>
      <c r="CL55" s="252">
        <f>IF(BC55="","",Planning!AH48)</f>
        <v/>
      </c>
      <c r="CM55" s="21" t="n"/>
    </row>
    <row r="56" ht="12.75" customHeight="1">
      <c r="A56" s="161">
        <f>IFERROR(IF(VLOOKUP($B56,$BC$13:$CL$86,36,FALSE)&gt;5,0,IF(COUNTIF($B$13:$B$63,$B56)&gt;1,0,44)),44)+IF(B56&lt;&gt;0,0,IF(AV56&gt;0,0.000001,0))</f>
        <v/>
      </c>
      <c r="B56" s="129" t="n"/>
      <c r="C56" s="48">
        <f>IFERROR(IF($B56="","",VLOOKUP($B56,Medewerker!$C$8:$AI$107,33,FALSE)),"?")</f>
        <v/>
      </c>
      <c r="D56" s="879">
        <f t="array" ref="D56">IFERROR(IF(LEFT(INDEX($F56:$AQ56,1,SUM(SMALL(IF($F56:$AQ56&lt;&gt;"",COLUMN($F56:$AQ56)),1)-5)),1)="x",SUM(SMALL(IF($F56:$AQ56&lt;&gt;"",$F$11:$AQ$11),1)+"0:15"),SMALL(IF($F56:$AQ56&lt;&gt;"",$F$11:$AQ$11),1)),"")</f>
        <v/>
      </c>
      <c r="E56" s="879">
        <f t="array" ref="E56">IFERROR(IF(LEFT(INDEX($F56:$AQ56,1,SUM(LARGE(IF($F56:$AQ56&lt;&gt;"",COLUMN($F56:$AQ56)),1)-5)),1)="x",SUM(LARGE(IF($F56:$AQ56&lt;&gt;"",$F$11:$AQ$11+"0:30:00"),1)-"0:15"),LARGE(IF($F56:$AQ56&lt;&gt;"",$F$11:$AQ$11+"0:30:00"),1)),"")</f>
        <v/>
      </c>
      <c r="F56" s="43" t="n"/>
      <c r="G56" s="42" t="n"/>
      <c r="H56" s="43" t="n"/>
      <c r="I56" s="43" t="n"/>
      <c r="J56" s="43" t="n"/>
      <c r="K56" s="43" t="n"/>
      <c r="L56" s="43" t="n"/>
      <c r="M56" s="43" t="n"/>
      <c r="N56" s="43" t="n"/>
      <c r="O56" s="43" t="n"/>
      <c r="P56" s="43" t="n"/>
      <c r="Q56" s="43" t="n"/>
      <c r="R56" s="43" t="n"/>
      <c r="S56" s="43" t="n"/>
      <c r="T56" s="43" t="n"/>
      <c r="U56" s="43" t="n"/>
      <c r="V56" s="43" t="n"/>
      <c r="W56" s="43" t="n"/>
      <c r="X56" s="43" t="n"/>
      <c r="Y56" s="43" t="n"/>
      <c r="Z56" s="43" t="n"/>
      <c r="AA56" s="43" t="n"/>
      <c r="AB56" s="43" t="n"/>
      <c r="AC56" s="43" t="n"/>
      <c r="AD56" s="43" t="n"/>
      <c r="AE56" s="43" t="n"/>
      <c r="AF56" s="43" t="n"/>
      <c r="AG56" s="43" t="n"/>
      <c r="AH56" s="43" t="n"/>
      <c r="AI56" s="43" t="n"/>
      <c r="AJ56" s="43" t="n"/>
      <c r="AK56" s="43" t="n"/>
      <c r="AL56" s="43" t="n"/>
      <c r="AM56" s="43" t="n"/>
      <c r="AN56" s="43" t="n"/>
      <c r="AO56" s="43" t="n"/>
      <c r="AP56" s="43" t="n"/>
      <c r="AQ56" s="42" t="n"/>
      <c r="AR56" s="888">
        <f>IFERROR(IF(VLOOKUP($B56,Medewerker!$C$8:$M$107,11,FALSE)="",VLOOKUP($B56,Medewerker!$C$8:$M$107,9,FALSE),0),0)</f>
        <v/>
      </c>
      <c r="AS56" s="888">
        <f>IFERROR(IF(B56="",1,IF(VLOOKUP($B56,Medewerker!$C$8:$M$107,11,FALSE)="",VLOOKUP($B56,Medewerker!$C$8:$M$107,10,FALSE),0)),0)</f>
        <v/>
      </c>
      <c r="AT56" s="45" t="n"/>
      <c r="AU56" s="46">
        <f>(COUNTIF(F56:AQ56,"afw"))/2</f>
        <v/>
      </c>
      <c r="AV56" s="111">
        <f>((38-(COUNTIF(F56:AQ56,"")))/2)-(COUNTIF(F56:AQ56,"p")/2)-(COUNTIF(F56:AQ56,CONCATENATE("x","*"))/4)</f>
        <v/>
      </c>
      <c r="AW56" s="73">
        <f>IF($B56="","",VLOOKUP($B56,Medewerker!$C$8:$E$107,3,FALSE))</f>
        <v/>
      </c>
      <c r="AX56" s="403">
        <f>IFERROR(VLOOKUP($B56,Planning!$B$6:$AG$105,32,FALSE)*24,"")</f>
        <v/>
      </c>
      <c r="AY56" s="558" t="inlineStr">
        <is>
          <t>wv</t>
        </is>
      </c>
      <c r="AZ56" s="71" t="inlineStr">
        <is>
          <t>Winkelverzorging</t>
        </is>
      </c>
      <c r="BA56" s="111">
        <f>COUNTIF($F$13:$AQ$63,CONCATENATE(AY56,"*"))/2+COUNTIF($F$13:$AQ$63,CONCATENATE("x",AY56,"*"))/4</f>
        <v/>
      </c>
      <c r="BB56" s="838" t="n"/>
      <c r="BC56" s="31">
        <f>IF(Planning!B49="","",Planning!B49)</f>
        <v/>
      </c>
      <c r="BD56" s="105" t="n"/>
      <c r="BE56" s="885">
        <f>Planning!E49</f>
        <v/>
      </c>
      <c r="BF56" s="885">
        <f>Planning!F49</f>
        <v/>
      </c>
      <c r="BG56" s="886" t="n"/>
      <c r="BH56" s="105" t="n"/>
      <c r="BI56" s="885">
        <f>Planning!I49</f>
        <v/>
      </c>
      <c r="BJ56" s="885">
        <f>Planning!J49</f>
        <v/>
      </c>
      <c r="BK56" s="886" t="n"/>
      <c r="BL56" s="105" t="n"/>
      <c r="BM56" s="885">
        <f>Planning!M49</f>
        <v/>
      </c>
      <c r="BN56" s="885">
        <f>Planning!N49</f>
        <v/>
      </c>
      <c r="BO56" s="886" t="n"/>
      <c r="BP56" s="105" t="n"/>
      <c r="BQ56" s="885">
        <f>Planning!Q49</f>
        <v/>
      </c>
      <c r="BR56" s="885">
        <f>Planning!R49</f>
        <v/>
      </c>
      <c r="BS56" s="886" t="n"/>
      <c r="BT56" s="105" t="n"/>
      <c r="BU56" s="885">
        <f>Planning!U49</f>
        <v/>
      </c>
      <c r="BV56" s="885">
        <f>Planning!V49</f>
        <v/>
      </c>
      <c r="BW56" s="886" t="n"/>
      <c r="BX56" s="105" t="n"/>
      <c r="BY56" s="885">
        <f>Planning!Y49</f>
        <v/>
      </c>
      <c r="BZ56" s="885">
        <f>Planning!Z49</f>
        <v/>
      </c>
      <c r="CA56" s="886" t="n"/>
      <c r="CB56" s="105" t="n"/>
      <c r="CC56" s="885">
        <f>Planning!AC49</f>
        <v/>
      </c>
      <c r="CD56" s="885">
        <f>Planning!AD49</f>
        <v/>
      </c>
      <c r="CE56" s="886" t="n"/>
      <c r="CF56" s="105" t="n"/>
      <c r="CG56" s="887">
        <f>Planning!AG49</f>
        <v/>
      </c>
      <c r="CH56" s="105" t="n"/>
      <c r="CI56" s="252">
        <f>IF(BC56="","",Planning!AI49)</f>
        <v/>
      </c>
      <c r="CJ56" s="252">
        <f>IF(BC56="","",Planning!AJ49)</f>
        <v/>
      </c>
      <c r="CK56" s="252">
        <f>IF(BC56="","",Planning!AK49)</f>
        <v/>
      </c>
      <c r="CL56" s="252">
        <f>IF(BC56="","",Planning!AH49)</f>
        <v/>
      </c>
      <c r="CM56" s="21" t="n"/>
    </row>
    <row r="57" ht="12.75" customHeight="1">
      <c r="A57" s="161">
        <f>IFERROR(IF(VLOOKUP($B57,$BC$13:$CL$86,36,FALSE)&gt;5,0,IF(COUNTIF($B$13:$B$63,$B57)&gt;1,0,45)),45)+IF(B57&lt;&gt;0,0,IF(AV57&gt;0,0.000001,0))</f>
        <v/>
      </c>
      <c r="B57" s="129" t="n"/>
      <c r="C57" s="48">
        <f>IFERROR(IF($B57="","",VLOOKUP($B57,Medewerker!$C$8:$AI$107,33,FALSE)),"?")</f>
        <v/>
      </c>
      <c r="D57" s="879">
        <f t="array" ref="D57">IFERROR(IF(LEFT(INDEX($F57:$AQ57,1,SUM(SMALL(IF($F57:$AQ57&lt;&gt;"",COLUMN($F57:$AQ57)),1)-5)),1)="x",SUM(SMALL(IF($F57:$AQ57&lt;&gt;"",$F$11:$AQ$11),1)+"0:15"),SMALL(IF($F57:$AQ57&lt;&gt;"",$F$11:$AQ$11),1)),"")</f>
        <v/>
      </c>
      <c r="E57" s="879">
        <f t="array" ref="E57">IFERROR(IF(LEFT(INDEX($F57:$AQ57,1,SUM(LARGE(IF($F57:$AQ57&lt;&gt;"",COLUMN($F57:$AQ57)),1)-5)),1)="x",SUM(LARGE(IF($F57:$AQ57&lt;&gt;"",$F$11:$AQ$11+"0:30:00"),1)-"0:15"),LARGE(IF($F57:$AQ57&lt;&gt;"",$F$11:$AQ$11+"0:30:00"),1)),"")</f>
        <v/>
      </c>
      <c r="F57" s="43" t="n"/>
      <c r="G57" s="42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  <c r="W57" s="43" t="n"/>
      <c r="X57" s="43" t="n"/>
      <c r="Y57" s="43" t="n"/>
      <c r="Z57" s="43" t="n"/>
      <c r="AA57" s="43" t="n"/>
      <c r="AB57" s="43" t="n"/>
      <c r="AC57" s="43" t="n"/>
      <c r="AD57" s="43" t="n"/>
      <c r="AE57" s="43" t="n"/>
      <c r="AF57" s="43" t="n"/>
      <c r="AG57" s="43" t="n"/>
      <c r="AH57" s="43" t="n"/>
      <c r="AI57" s="43" t="n"/>
      <c r="AJ57" s="43" t="n"/>
      <c r="AK57" s="43" t="n"/>
      <c r="AL57" s="43" t="n"/>
      <c r="AM57" s="43" t="n"/>
      <c r="AN57" s="43" t="n"/>
      <c r="AO57" s="43" t="n"/>
      <c r="AP57" s="43" t="n"/>
      <c r="AQ57" s="42" t="n"/>
      <c r="AR57" s="888">
        <f>IFERROR(IF(VLOOKUP($B57,Medewerker!$C$8:$M$107,11,FALSE)="",VLOOKUP($B57,Medewerker!$C$8:$M$107,9,FALSE),0),0)</f>
        <v/>
      </c>
      <c r="AS57" s="888">
        <f>IFERROR(IF(B57="",1,IF(VLOOKUP($B57,Medewerker!$C$8:$M$107,11,FALSE)="",VLOOKUP($B57,Medewerker!$C$8:$M$107,10,FALSE),0)),0)</f>
        <v/>
      </c>
      <c r="AT57" s="45" t="n"/>
      <c r="AU57" s="46">
        <f>(COUNTIF(F57:AQ57,"afw"))/2</f>
        <v/>
      </c>
      <c r="AV57" s="111">
        <f>((38-(COUNTIF(F57:AQ57,"")))/2)-(COUNTIF(F57:AQ57,"p")/2)-(COUNTIF(F57:AQ57,CONCATENATE("x","*"))/4)</f>
        <v/>
      </c>
      <c r="AW57" s="73">
        <f>IF($B57="","",VLOOKUP($B57,Medewerker!$C$8:$E$107,3,FALSE))</f>
        <v/>
      </c>
      <c r="AX57" s="403">
        <f>IFERROR(VLOOKUP($B57,Planning!$B$6:$AG$105,32,FALSE)*24,"")</f>
        <v/>
      </c>
      <c r="AY57" s="837">
        <f>IF(Instellingen!I7="ja","pup","")</f>
        <v/>
      </c>
      <c r="AZ57" s="71">
        <f>IF(Instellingen!I7="ja","Pick-Up-Point","")</f>
        <v/>
      </c>
      <c r="BA57" s="111">
        <f>IF(Instellingen!I7="ja",COUNTIF($F$13:$AQ$63,CONCATENATE(AY57,"*"))/2+COUNTIF($F$13:$AQ$63,CONCATENATE("x",AY57,"*"))/4,"")</f>
        <v/>
      </c>
      <c r="BB57" s="838" t="n"/>
      <c r="BC57" s="31">
        <f>IF(Planning!B50="","",Planning!B50)</f>
        <v/>
      </c>
      <c r="BD57" s="105" t="n"/>
      <c r="BE57" s="885">
        <f>Planning!E50</f>
        <v/>
      </c>
      <c r="BF57" s="885">
        <f>Planning!F50</f>
        <v/>
      </c>
      <c r="BG57" s="886" t="n"/>
      <c r="BH57" s="105" t="n"/>
      <c r="BI57" s="885">
        <f>Planning!I50</f>
        <v/>
      </c>
      <c r="BJ57" s="885">
        <f>Planning!J50</f>
        <v/>
      </c>
      <c r="BK57" s="886" t="n"/>
      <c r="BL57" s="105" t="n"/>
      <c r="BM57" s="885">
        <f>Planning!M50</f>
        <v/>
      </c>
      <c r="BN57" s="885">
        <f>Planning!N50</f>
        <v/>
      </c>
      <c r="BO57" s="886" t="n"/>
      <c r="BP57" s="105" t="n"/>
      <c r="BQ57" s="885">
        <f>Planning!Q50</f>
        <v/>
      </c>
      <c r="BR57" s="885">
        <f>Planning!R50</f>
        <v/>
      </c>
      <c r="BS57" s="886" t="n"/>
      <c r="BT57" s="105" t="n"/>
      <c r="BU57" s="885">
        <f>Planning!U50</f>
        <v/>
      </c>
      <c r="BV57" s="885">
        <f>Planning!V50</f>
        <v/>
      </c>
      <c r="BW57" s="886" t="n"/>
      <c r="BX57" s="105" t="n"/>
      <c r="BY57" s="885">
        <f>Planning!Y50</f>
        <v/>
      </c>
      <c r="BZ57" s="885">
        <f>Planning!Z50</f>
        <v/>
      </c>
      <c r="CA57" s="886" t="n"/>
      <c r="CB57" s="105" t="n"/>
      <c r="CC57" s="885">
        <f>Planning!AC50</f>
        <v/>
      </c>
      <c r="CD57" s="885">
        <f>Planning!AD50</f>
        <v/>
      </c>
      <c r="CE57" s="886" t="n"/>
      <c r="CF57" s="105" t="n"/>
      <c r="CG57" s="887">
        <f>Planning!AG50</f>
        <v/>
      </c>
      <c r="CH57" s="105" t="n"/>
      <c r="CI57" s="252">
        <f>IF(BC57="","",Planning!AI50)</f>
        <v/>
      </c>
      <c r="CJ57" s="252">
        <f>IF(BC57="","",Planning!AJ50)</f>
        <v/>
      </c>
      <c r="CK57" s="252">
        <f>IF(BC57="","",Planning!AK50)</f>
        <v/>
      </c>
      <c r="CL57" s="252">
        <f>IF(BC57="","",Planning!AH50)</f>
        <v/>
      </c>
      <c r="CM57" s="21" t="n"/>
    </row>
    <row r="58" ht="12.75" customHeight="1">
      <c r="A58" s="161">
        <f>IFERROR(IF(VLOOKUP($B58,$BC$13:$CL$86,36,FALSE)&gt;5,0,IF(COUNTIF($B$13:$B$63,$B58)&gt;1,0,46)),46)+IF(B58&lt;&gt;0,0,IF(AV58&gt;0,0.000001,0))</f>
        <v/>
      </c>
      <c r="B58" s="129" t="n"/>
      <c r="C58" s="48">
        <f>IFERROR(IF($B58="","",VLOOKUP($B58,Medewerker!$C$8:$AI$107,33,FALSE)),"?")</f>
        <v/>
      </c>
      <c r="D58" s="879">
        <f t="array" ref="D58">IFERROR(IF(LEFT(INDEX($F58:$AQ58,1,SUM(SMALL(IF($F58:$AQ58&lt;&gt;"",COLUMN($F58:$AQ58)),1)-5)),1)="x",SUM(SMALL(IF($F58:$AQ58&lt;&gt;"",$F$11:$AQ$11),1)+"0:15"),SMALL(IF($F58:$AQ58&lt;&gt;"",$F$11:$AQ$11),1)),"")</f>
        <v/>
      </c>
      <c r="E58" s="879">
        <f t="array" ref="E58">IFERROR(IF(LEFT(INDEX($F58:$AQ58,1,SUM(LARGE(IF($F58:$AQ58&lt;&gt;"",COLUMN($F58:$AQ58)),1)-5)),1)="x",SUM(LARGE(IF($F58:$AQ58&lt;&gt;"",$F$11:$AQ$11+"0:30:00"),1)-"0:15"),LARGE(IF($F58:$AQ58&lt;&gt;"",$F$11:$AQ$11+"0:30:00"),1)),"")</f>
        <v/>
      </c>
      <c r="F58" s="43" t="n"/>
      <c r="G58" s="42" t="n"/>
      <c r="H58" s="43" t="n"/>
      <c r="I58" s="43" t="n"/>
      <c r="J58" s="43" t="n"/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  <c r="W58" s="43" t="n"/>
      <c r="X58" s="43" t="n"/>
      <c r="Y58" s="43" t="n"/>
      <c r="Z58" s="43" t="n"/>
      <c r="AA58" s="43" t="n"/>
      <c r="AB58" s="43" t="n"/>
      <c r="AC58" s="43" t="n"/>
      <c r="AD58" s="43" t="n"/>
      <c r="AE58" s="43" t="n"/>
      <c r="AF58" s="43" t="n"/>
      <c r="AG58" s="43" t="n"/>
      <c r="AH58" s="43" t="n"/>
      <c r="AI58" s="43" t="n"/>
      <c r="AJ58" s="43" t="n"/>
      <c r="AK58" s="43" t="n"/>
      <c r="AL58" s="43" t="n"/>
      <c r="AM58" s="43" t="n"/>
      <c r="AN58" s="43" t="n"/>
      <c r="AO58" s="43" t="n"/>
      <c r="AP58" s="43" t="n"/>
      <c r="AQ58" s="42" t="n"/>
      <c r="AR58" s="888">
        <f>IFERROR(IF(VLOOKUP($B58,Medewerker!$C$8:$M$107,11,FALSE)="",VLOOKUP($B58,Medewerker!$C$8:$M$107,9,FALSE),0),0)</f>
        <v/>
      </c>
      <c r="AS58" s="888">
        <f>IFERROR(IF(B58="",1,IF(VLOOKUP($B58,Medewerker!$C$8:$M$107,11,FALSE)="",VLOOKUP($B58,Medewerker!$C$8:$M$107,10,FALSE),0)),0)</f>
        <v/>
      </c>
      <c r="AT58" s="45" t="n"/>
      <c r="AU58" s="46">
        <f>(COUNTIF(F58:AQ58,"afw"))/2</f>
        <v/>
      </c>
      <c r="AV58" s="111">
        <f>((38-(COUNTIF(F58:AQ58,"")))/2)-(COUNTIF(F58:AQ58,"p")/2)-(COUNTIF(F58:AQ58,CONCATENATE("x","*"))/4)</f>
        <v/>
      </c>
      <c r="AW58" s="73">
        <f>IF($B58="","",VLOOKUP($B58,Medewerker!$C$8:$E$107,3,FALSE))</f>
        <v/>
      </c>
      <c r="AX58" s="403">
        <f>IFERROR(VLOOKUP($B58,Planning!$B$6:$AG$105,32,FALSE)*24,"")</f>
        <v/>
      </c>
      <c r="AY58" s="411">
        <f>IF(Ma!AY58="","",Ma!AY58)</f>
        <v/>
      </c>
      <c r="AZ58" s="166">
        <f>IF(Ma!AZ58="","",Ma!AZ58)</f>
        <v/>
      </c>
      <c r="BA58" s="111">
        <f>IFERROR(IF(AY58="","",(COUNTIF($F$13:$AQ$63,CONCATENATE(AY58,"*"))/2+COUNTIF($F$13:$AQ$63,CONCATENATE("x",AY58,"*"))/4)),"")</f>
        <v/>
      </c>
      <c r="BB58" s="838" t="n"/>
      <c r="BC58" s="31">
        <f>IF(Planning!B51="","",Planning!B51)</f>
        <v/>
      </c>
      <c r="BD58" s="105" t="n"/>
      <c r="BE58" s="885">
        <f>Planning!E51</f>
        <v/>
      </c>
      <c r="BF58" s="885">
        <f>Planning!F51</f>
        <v/>
      </c>
      <c r="BG58" s="886" t="n"/>
      <c r="BH58" s="105" t="n"/>
      <c r="BI58" s="885">
        <f>Planning!I51</f>
        <v/>
      </c>
      <c r="BJ58" s="885">
        <f>Planning!J51</f>
        <v/>
      </c>
      <c r="BK58" s="886" t="n"/>
      <c r="BL58" s="105" t="n"/>
      <c r="BM58" s="885">
        <f>Planning!M51</f>
        <v/>
      </c>
      <c r="BN58" s="885">
        <f>Planning!N51</f>
        <v/>
      </c>
      <c r="BO58" s="886" t="n"/>
      <c r="BP58" s="105" t="n"/>
      <c r="BQ58" s="885">
        <f>Planning!Q51</f>
        <v/>
      </c>
      <c r="BR58" s="885">
        <f>Planning!R51</f>
        <v/>
      </c>
      <c r="BS58" s="886" t="n"/>
      <c r="BT58" s="105" t="n"/>
      <c r="BU58" s="885">
        <f>Planning!U51</f>
        <v/>
      </c>
      <c r="BV58" s="885">
        <f>Planning!V51</f>
        <v/>
      </c>
      <c r="BW58" s="886" t="n"/>
      <c r="BX58" s="105" t="n"/>
      <c r="BY58" s="885">
        <f>Planning!Y51</f>
        <v/>
      </c>
      <c r="BZ58" s="885">
        <f>Planning!Z51</f>
        <v/>
      </c>
      <c r="CA58" s="886" t="n"/>
      <c r="CB58" s="105" t="n"/>
      <c r="CC58" s="885">
        <f>Planning!AC51</f>
        <v/>
      </c>
      <c r="CD58" s="885">
        <f>Planning!AD51</f>
        <v/>
      </c>
      <c r="CE58" s="886" t="n"/>
      <c r="CF58" s="105" t="n"/>
      <c r="CG58" s="887">
        <f>Planning!AG51</f>
        <v/>
      </c>
      <c r="CH58" s="105" t="n"/>
      <c r="CI58" s="252">
        <f>IF(BC58="","",Planning!AI51)</f>
        <v/>
      </c>
      <c r="CJ58" s="252">
        <f>IF(BC58="","",Planning!AJ51)</f>
        <v/>
      </c>
      <c r="CK58" s="252">
        <f>IF(BC58="","",Planning!AK51)</f>
        <v/>
      </c>
      <c r="CL58" s="252">
        <f>IF(BC58="","",Planning!AH51)</f>
        <v/>
      </c>
      <c r="CM58" s="21" t="n"/>
    </row>
    <row r="59" ht="12.75" customHeight="1">
      <c r="A59" s="161">
        <f>IFERROR(IF(VLOOKUP($B59,$BC$13:$CL$86,36,FALSE)&gt;5,0,IF(COUNTIF($B$13:$B$63,$B59)&gt;1,0,47)),47)+IF(B59&lt;&gt;0,0,IF(AV59&gt;0,0.000001,0))</f>
        <v/>
      </c>
      <c r="B59" s="129" t="n"/>
      <c r="C59" s="48">
        <f>IFERROR(IF($B59="","",VLOOKUP($B59,Medewerker!$C$8:$AI$107,33,FALSE)),"?")</f>
        <v/>
      </c>
      <c r="D59" s="879">
        <f t="array" ref="D59">IFERROR(IF(LEFT(INDEX($F59:$AQ59,1,SUM(SMALL(IF($F59:$AQ59&lt;&gt;"",COLUMN($F59:$AQ59)),1)-5)),1)="x",SUM(SMALL(IF($F59:$AQ59&lt;&gt;"",$F$11:$AQ$11),1)+"0:15"),SMALL(IF($F59:$AQ59&lt;&gt;"",$F$11:$AQ$11),1)),"")</f>
        <v/>
      </c>
      <c r="E59" s="879">
        <f t="array" ref="E59">IFERROR(IF(LEFT(INDEX($F59:$AQ59,1,SUM(LARGE(IF($F59:$AQ59&lt;&gt;"",COLUMN($F59:$AQ59)),1)-5)),1)="x",SUM(LARGE(IF($F59:$AQ59&lt;&gt;"",$F$11:$AQ$11+"0:30:00"),1)-"0:15"),LARGE(IF($F59:$AQ59&lt;&gt;"",$F$11:$AQ$11+"0:30:00"),1)),"")</f>
        <v/>
      </c>
      <c r="F59" s="43" t="n"/>
      <c r="G59" s="42" t="n"/>
      <c r="H59" s="43" t="n"/>
      <c r="I59" s="42" t="n"/>
      <c r="J59" s="43" t="n"/>
      <c r="K59" s="41" t="n"/>
      <c r="L59" s="40" t="n"/>
      <c r="M59" s="42" t="n"/>
      <c r="N59" s="43" t="n"/>
      <c r="O59" s="41" t="n"/>
      <c r="P59" s="40" t="n"/>
      <c r="Q59" s="42" t="n"/>
      <c r="R59" s="43" t="n"/>
      <c r="S59" s="41" t="n"/>
      <c r="T59" s="40" t="n"/>
      <c r="U59" s="42" t="n"/>
      <c r="V59" s="43" t="n"/>
      <c r="W59" s="41" t="n"/>
      <c r="X59" s="40" t="n"/>
      <c r="Y59" s="42" t="n"/>
      <c r="Z59" s="43" t="n"/>
      <c r="AA59" s="41" t="n"/>
      <c r="AB59" s="40" t="n"/>
      <c r="AC59" s="42" t="n"/>
      <c r="AD59" s="43" t="n"/>
      <c r="AE59" s="41" t="n"/>
      <c r="AF59" s="40" t="n"/>
      <c r="AG59" s="42" t="n"/>
      <c r="AH59" s="43" t="n"/>
      <c r="AI59" s="41" t="n"/>
      <c r="AJ59" s="40" t="n"/>
      <c r="AK59" s="42" t="n"/>
      <c r="AL59" s="43" t="n"/>
      <c r="AM59" s="41" t="n"/>
      <c r="AN59" s="645" t="n"/>
      <c r="AO59" s="42" t="n"/>
      <c r="AP59" s="43" t="n"/>
      <c r="AQ59" s="42" t="n"/>
      <c r="AR59" s="888">
        <f>IFERROR(IF(VLOOKUP($B59,Medewerker!$C$8:$M$107,11,FALSE)="",VLOOKUP($B59,Medewerker!$C$8:$M$107,9,FALSE),0),0)</f>
        <v/>
      </c>
      <c r="AS59" s="888">
        <f>IFERROR(IF(B59="",1,IF(VLOOKUP($B59,Medewerker!$C$8:$M$107,11,FALSE)="",VLOOKUP($B59,Medewerker!$C$8:$M$107,10,FALSE),0)),0)</f>
        <v/>
      </c>
      <c r="AT59" s="45" t="n"/>
      <c r="AU59" s="46">
        <f>(COUNTIF(F59:AQ59,"afw"))/2</f>
        <v/>
      </c>
      <c r="AV59" s="111">
        <f>((38-(COUNTIF(F59:AQ59,"")))/2)-(COUNTIF(F59:AQ59,"p")/2)-(COUNTIF(F59:AQ59,CONCATENATE("x","*"))/4)</f>
        <v/>
      </c>
      <c r="AW59" s="73">
        <f>IF($B59="","",VLOOKUP($B59,Medewerker!$C$8:$E$107,3,FALSE))</f>
        <v/>
      </c>
      <c r="AX59" s="403">
        <f>IFERROR(VLOOKUP($B59,Planning!$B$6:$AG$105,32,FALSE)*24,"")</f>
        <v/>
      </c>
      <c r="AY59" s="411">
        <f>IF(Ma!AY59="","",Ma!AY59)</f>
        <v/>
      </c>
      <c r="AZ59" s="166">
        <f>IF(Ma!AZ59="","",Ma!AZ59)</f>
        <v/>
      </c>
      <c r="BA59" s="111">
        <f>IFERROR(IF(AY59="","",(COUNTIF($F$13:$AQ$63,CONCATENATE(AY59,"*"))/2+COUNTIF($F$13:$AQ$63,CONCATENATE("x",AY59,"*"))/4)),"")</f>
        <v/>
      </c>
      <c r="BB59" s="838" t="n"/>
      <c r="BC59" s="31">
        <f>IF(Planning!B52="","",Planning!B52)</f>
        <v/>
      </c>
      <c r="BD59" s="105" t="n"/>
      <c r="BE59" s="885">
        <f>Planning!E52</f>
        <v/>
      </c>
      <c r="BF59" s="885">
        <f>Planning!F52</f>
        <v/>
      </c>
      <c r="BG59" s="886" t="n"/>
      <c r="BH59" s="105" t="n"/>
      <c r="BI59" s="885">
        <f>Planning!I52</f>
        <v/>
      </c>
      <c r="BJ59" s="885">
        <f>Planning!J52</f>
        <v/>
      </c>
      <c r="BK59" s="886" t="n"/>
      <c r="BL59" s="105" t="n"/>
      <c r="BM59" s="885">
        <f>Planning!M52</f>
        <v/>
      </c>
      <c r="BN59" s="885">
        <f>Planning!N52</f>
        <v/>
      </c>
      <c r="BO59" s="886" t="n"/>
      <c r="BP59" s="105" t="n"/>
      <c r="BQ59" s="885">
        <f>Planning!Q52</f>
        <v/>
      </c>
      <c r="BR59" s="885">
        <f>Planning!R52</f>
        <v/>
      </c>
      <c r="BS59" s="886" t="n"/>
      <c r="BT59" s="105" t="n"/>
      <c r="BU59" s="885">
        <f>Planning!U52</f>
        <v/>
      </c>
      <c r="BV59" s="885">
        <f>Planning!V52</f>
        <v/>
      </c>
      <c r="BW59" s="886" t="n"/>
      <c r="BX59" s="105" t="n"/>
      <c r="BY59" s="885">
        <f>Planning!Y52</f>
        <v/>
      </c>
      <c r="BZ59" s="885">
        <f>Planning!Z52</f>
        <v/>
      </c>
      <c r="CA59" s="886" t="n"/>
      <c r="CB59" s="105" t="n"/>
      <c r="CC59" s="885">
        <f>Planning!AC52</f>
        <v/>
      </c>
      <c r="CD59" s="885">
        <f>Planning!AD52</f>
        <v/>
      </c>
      <c r="CE59" s="886" t="n"/>
      <c r="CF59" s="105" t="n"/>
      <c r="CG59" s="887">
        <f>Planning!AG52</f>
        <v/>
      </c>
      <c r="CH59" s="105" t="n"/>
      <c r="CI59" s="252">
        <f>IF(BC59="","",Planning!AI52)</f>
        <v/>
      </c>
      <c r="CJ59" s="252">
        <f>IF(BC59="","",Planning!AJ52)</f>
        <v/>
      </c>
      <c r="CK59" s="252">
        <f>IF(BC59="","",Planning!AK52)</f>
        <v/>
      </c>
      <c r="CL59" s="252">
        <f>IF(BC59="","",Planning!AH52)</f>
        <v/>
      </c>
      <c r="CM59" s="21" t="n"/>
    </row>
    <row r="60" ht="12.75" customHeight="1">
      <c r="A60" s="161">
        <f>IFERROR(IF(VLOOKUP($B60,$BC$13:$CL$86,36,FALSE)&gt;5,0,IF(COUNTIF($B$13:$B$63,$B60)&gt;1,0,48)),48)+IF(B60&lt;&gt;0,0,IF(AV60&gt;0,0.000001,0))</f>
        <v/>
      </c>
      <c r="B60" s="129" t="n"/>
      <c r="C60" s="48">
        <f>IFERROR(IF($B60="","",VLOOKUP($B60,Medewerker!$C$8:$AI$107,33,FALSE)),"?")</f>
        <v/>
      </c>
      <c r="D60" s="879">
        <f t="array" ref="D60">IFERROR(IF(LEFT(INDEX($F60:$AQ60,1,SUM(SMALL(IF($F60:$AQ60&lt;&gt;"",COLUMN($F60:$AQ60)),1)-5)),1)="x",SUM(SMALL(IF($F60:$AQ60&lt;&gt;"",$F$11:$AQ$11),1)+"0:15"),SMALL(IF($F60:$AQ60&lt;&gt;"",$F$11:$AQ$11),1)),"")</f>
        <v/>
      </c>
      <c r="E60" s="879">
        <f t="array" ref="E60">IFERROR(IF(LEFT(INDEX($F60:$AQ60,1,SUM(LARGE(IF($F60:$AQ60&lt;&gt;"",COLUMN($F60:$AQ60)),1)-5)),1)="x",SUM(LARGE(IF($F60:$AQ60&lt;&gt;"",$F$11:$AQ$11+"0:30:00"),1)-"0:15"),LARGE(IF($F60:$AQ60&lt;&gt;"",$F$11:$AQ$11+"0:30:00"),1)),"")</f>
        <v/>
      </c>
      <c r="F60" s="43" t="n"/>
      <c r="G60" s="42" t="n"/>
      <c r="H60" s="43" t="n"/>
      <c r="I60" s="42" t="n"/>
      <c r="J60" s="43" t="n"/>
      <c r="K60" s="41" t="n"/>
      <c r="L60" s="40" t="n"/>
      <c r="M60" s="42" t="n"/>
      <c r="N60" s="43" t="n"/>
      <c r="O60" s="41" t="n"/>
      <c r="P60" s="40" t="n"/>
      <c r="Q60" s="42" t="n"/>
      <c r="R60" s="43" t="n"/>
      <c r="S60" s="41" t="n"/>
      <c r="T60" s="40" t="n"/>
      <c r="U60" s="42" t="n"/>
      <c r="V60" s="43" t="n"/>
      <c r="W60" s="41" t="n"/>
      <c r="X60" s="40" t="n"/>
      <c r="Y60" s="42" t="n"/>
      <c r="Z60" s="43" t="n"/>
      <c r="AA60" s="41" t="n"/>
      <c r="AB60" s="40" t="n"/>
      <c r="AC60" s="42" t="n"/>
      <c r="AD60" s="43" t="n"/>
      <c r="AE60" s="41" t="n"/>
      <c r="AF60" s="40" t="n"/>
      <c r="AG60" s="42" t="n"/>
      <c r="AH60" s="43" t="n"/>
      <c r="AI60" s="41" t="n"/>
      <c r="AJ60" s="40" t="n"/>
      <c r="AK60" s="42" t="n"/>
      <c r="AL60" s="43" t="n"/>
      <c r="AM60" s="41" t="n"/>
      <c r="AN60" s="645" t="n"/>
      <c r="AO60" s="42" t="n"/>
      <c r="AP60" s="43" t="n"/>
      <c r="AQ60" s="42" t="n"/>
      <c r="AR60" s="888">
        <f>IFERROR(IF(VLOOKUP($B60,Medewerker!$C$8:$M$107,11,FALSE)="",VLOOKUP($B60,Medewerker!$C$8:$M$107,9,FALSE),0),0)</f>
        <v/>
      </c>
      <c r="AS60" s="888">
        <f>IFERROR(IF(B60="",1,IF(VLOOKUP($B60,Medewerker!$C$8:$M$107,11,FALSE)="",VLOOKUP($B60,Medewerker!$C$8:$M$107,10,FALSE),0)),0)</f>
        <v/>
      </c>
      <c r="AT60" s="45" t="n"/>
      <c r="AU60" s="46">
        <f>(COUNTIF(F60:AQ60,"afw"))/2</f>
        <v/>
      </c>
      <c r="AV60" s="111">
        <f>((38-(COUNTIF(F60:AQ60,"")))/2)-(COUNTIF(F60:AQ60,"p")/2)-(COUNTIF(F60:AQ60,CONCATENATE("x","*"))/4)</f>
        <v/>
      </c>
      <c r="AW60" s="73">
        <f>IF($B60="","",VLOOKUP($B60,Medewerker!$C$8:$E$107,3,FALSE))</f>
        <v/>
      </c>
      <c r="AX60" s="403">
        <f>IFERROR(VLOOKUP($B60,Planning!$B$6:$AG$105,32,FALSE)*24,"")</f>
        <v/>
      </c>
      <c r="AY60" s="411">
        <f>IF(Ma!AY60="","",Ma!AY60)</f>
        <v/>
      </c>
      <c r="AZ60" s="166">
        <f>IF(Ma!AZ60="","",Ma!AZ60)</f>
        <v/>
      </c>
      <c r="BA60" s="111">
        <f>IFERROR(IF(AY60="","",(COUNTIF($F$13:$AQ$63,CONCATENATE(AY60,"*"))/2+COUNTIF($F$13:$AQ$63,CONCATENATE("x",AY60,"*"))/4)),"")</f>
        <v/>
      </c>
      <c r="BB60" s="838" t="n"/>
      <c r="BC60" s="31">
        <f>IF(Planning!B53="","",Planning!B53)</f>
        <v/>
      </c>
      <c r="BD60" s="105" t="n"/>
      <c r="BE60" s="885">
        <f>Planning!E53</f>
        <v/>
      </c>
      <c r="BF60" s="885">
        <f>Planning!F53</f>
        <v/>
      </c>
      <c r="BG60" s="886" t="n"/>
      <c r="BH60" s="105" t="n"/>
      <c r="BI60" s="885">
        <f>Planning!I53</f>
        <v/>
      </c>
      <c r="BJ60" s="885">
        <f>Planning!J53</f>
        <v/>
      </c>
      <c r="BK60" s="886" t="n"/>
      <c r="BL60" s="105" t="n"/>
      <c r="BM60" s="885">
        <f>Planning!M53</f>
        <v/>
      </c>
      <c r="BN60" s="885">
        <f>Planning!N53</f>
        <v/>
      </c>
      <c r="BO60" s="886" t="n"/>
      <c r="BP60" s="105" t="n"/>
      <c r="BQ60" s="885">
        <f>Planning!Q53</f>
        <v/>
      </c>
      <c r="BR60" s="885">
        <f>Planning!R53</f>
        <v/>
      </c>
      <c r="BS60" s="886" t="n"/>
      <c r="BT60" s="105" t="n"/>
      <c r="BU60" s="885">
        <f>Planning!U53</f>
        <v/>
      </c>
      <c r="BV60" s="885">
        <f>Planning!V53</f>
        <v/>
      </c>
      <c r="BW60" s="886" t="n"/>
      <c r="BX60" s="105" t="n"/>
      <c r="BY60" s="885">
        <f>Planning!Y53</f>
        <v/>
      </c>
      <c r="BZ60" s="885">
        <f>Planning!Z53</f>
        <v/>
      </c>
      <c r="CA60" s="886" t="n"/>
      <c r="CB60" s="105" t="n"/>
      <c r="CC60" s="885">
        <f>Planning!AC53</f>
        <v/>
      </c>
      <c r="CD60" s="885">
        <f>Planning!AD53</f>
        <v/>
      </c>
      <c r="CE60" s="886" t="n"/>
      <c r="CF60" s="105" t="n"/>
      <c r="CG60" s="887">
        <f>Planning!AG53</f>
        <v/>
      </c>
      <c r="CH60" s="105" t="n"/>
      <c r="CI60" s="252">
        <f>IF(BC60="","",Planning!AI53)</f>
        <v/>
      </c>
      <c r="CJ60" s="252">
        <f>IF(BC60="","",Planning!AJ53)</f>
        <v/>
      </c>
      <c r="CK60" s="252">
        <f>IF(BC60="","",Planning!AK53)</f>
        <v/>
      </c>
      <c r="CL60" s="252">
        <f>IF(BC60="","",Planning!AH53)</f>
        <v/>
      </c>
      <c r="CM60" s="21" t="n"/>
    </row>
    <row r="61" ht="12.75" customHeight="1">
      <c r="A61" s="161">
        <f>IFERROR(IF(VLOOKUP($B61,$BC$13:$CL$86,36,FALSE)&gt;5,0,IF(COUNTIF($B$13:$B$63,$B61)&gt;1,0,49)),49)+IF(B61&lt;&gt;0,0,IF(AV61&gt;0,0.000001,0))</f>
        <v/>
      </c>
      <c r="B61" s="129" t="n"/>
      <c r="C61" s="48">
        <f>IFERROR(IF($B61="","",VLOOKUP($B61,Medewerker!$C$8:$AI$107,33,FALSE)),"?")</f>
        <v/>
      </c>
      <c r="D61" s="879">
        <f t="array" ref="D61">IFERROR(IF(LEFT(INDEX($F61:$AQ61,1,SUM(SMALL(IF($F61:$AQ61&lt;&gt;"",COLUMN($F61:$AQ61)),1)-5)),1)="x",SUM(SMALL(IF($F61:$AQ61&lt;&gt;"",$F$11:$AQ$11),1)+"0:15"),SMALL(IF($F61:$AQ61&lt;&gt;"",$F$11:$AQ$11),1)),"")</f>
        <v/>
      </c>
      <c r="E61" s="879">
        <f t="array" ref="E61">IFERROR(IF(LEFT(INDEX($F61:$AQ61,1,SUM(LARGE(IF($F61:$AQ61&lt;&gt;"",COLUMN($F61:$AQ61)),1)-5)),1)="x",SUM(LARGE(IF($F61:$AQ61&lt;&gt;"",$F$11:$AQ$11+"0:30:00"),1)-"0:15"),LARGE(IF($F61:$AQ61&lt;&gt;"",$F$11:$AQ$11+"0:30:00"),1)),"")</f>
        <v/>
      </c>
      <c r="F61" s="43" t="n"/>
      <c r="G61" s="42" t="n"/>
      <c r="H61" s="43" t="n"/>
      <c r="I61" s="42" t="n"/>
      <c r="J61" s="43" t="n"/>
      <c r="K61" s="41" t="n"/>
      <c r="L61" s="40" t="n"/>
      <c r="M61" s="42" t="n"/>
      <c r="N61" s="43" t="n"/>
      <c r="O61" s="41" t="n"/>
      <c r="P61" s="40" t="n"/>
      <c r="Q61" s="42" t="n"/>
      <c r="R61" s="43" t="n"/>
      <c r="S61" s="41" t="n"/>
      <c r="T61" s="40" t="n"/>
      <c r="U61" s="42" t="n"/>
      <c r="V61" s="43" t="n"/>
      <c r="W61" s="41" t="n"/>
      <c r="X61" s="40" t="n"/>
      <c r="Y61" s="42" t="n"/>
      <c r="Z61" s="43" t="n"/>
      <c r="AA61" s="41" t="n"/>
      <c r="AB61" s="40" t="n"/>
      <c r="AC61" s="42" t="n"/>
      <c r="AD61" s="43" t="n"/>
      <c r="AE61" s="41" t="n"/>
      <c r="AF61" s="40" t="n"/>
      <c r="AG61" s="42" t="n"/>
      <c r="AH61" s="43" t="n"/>
      <c r="AI61" s="41" t="n"/>
      <c r="AJ61" s="40" t="n"/>
      <c r="AK61" s="42" t="n"/>
      <c r="AL61" s="43" t="n"/>
      <c r="AM61" s="41" t="n"/>
      <c r="AN61" s="645" t="n"/>
      <c r="AO61" s="42" t="n"/>
      <c r="AP61" s="43" t="n"/>
      <c r="AQ61" s="42" t="n"/>
      <c r="AR61" s="888">
        <f>IFERROR(IF(VLOOKUP($B61,Medewerker!$C$8:$M$107,11,FALSE)="",VLOOKUP($B61,Medewerker!$C$8:$M$107,9,FALSE),0),0)</f>
        <v/>
      </c>
      <c r="AS61" s="888">
        <f>IFERROR(IF(B61="",1,IF(VLOOKUP($B61,Medewerker!$C$8:$M$107,11,FALSE)="",VLOOKUP($B61,Medewerker!$C$8:$M$107,10,FALSE),0)),0)</f>
        <v/>
      </c>
      <c r="AT61" s="45" t="n"/>
      <c r="AU61" s="46">
        <f>(COUNTIF(F61:AQ61,"afw"))/2</f>
        <v/>
      </c>
      <c r="AV61" s="111">
        <f>((38-(COUNTIF(F61:AQ61,"")))/2)-(COUNTIF(F61:AQ61,"p")/2)-(COUNTIF(F61:AQ61,CONCATENATE("x","*"))/4)</f>
        <v/>
      </c>
      <c r="AW61" s="73">
        <f>IF($B61="","",VLOOKUP($B61,Medewerker!$C$8:$E$107,3,FALSE))</f>
        <v/>
      </c>
      <c r="AX61" s="403">
        <f>IFERROR(VLOOKUP($B61,Planning!$B$6:$AG$105,32,FALSE)*24,"")</f>
        <v/>
      </c>
      <c r="AY61" s="892" t="inlineStr">
        <is>
          <t>Taken zonder legenda</t>
        </is>
      </c>
      <c r="AZ61" s="893" t="n"/>
      <c r="BA61" s="565">
        <f>$BA$65</f>
        <v/>
      </c>
      <c r="BB61" s="838" t="n"/>
      <c r="BC61" s="31">
        <f>IF(Planning!B54="","",Planning!B54)</f>
        <v/>
      </c>
      <c r="BD61" s="105" t="n"/>
      <c r="BE61" s="885">
        <f>Planning!E54</f>
        <v/>
      </c>
      <c r="BF61" s="885">
        <f>Planning!F54</f>
        <v/>
      </c>
      <c r="BG61" s="886" t="n"/>
      <c r="BH61" s="105" t="n"/>
      <c r="BI61" s="885">
        <f>Planning!I54</f>
        <v/>
      </c>
      <c r="BJ61" s="885">
        <f>Planning!J54</f>
        <v/>
      </c>
      <c r="BK61" s="886" t="n"/>
      <c r="BL61" s="105" t="n"/>
      <c r="BM61" s="885">
        <f>Planning!M54</f>
        <v/>
      </c>
      <c r="BN61" s="885">
        <f>Planning!N54</f>
        <v/>
      </c>
      <c r="BO61" s="886" t="n"/>
      <c r="BP61" s="105" t="n"/>
      <c r="BQ61" s="885">
        <f>Planning!Q54</f>
        <v/>
      </c>
      <c r="BR61" s="885">
        <f>Planning!R54</f>
        <v/>
      </c>
      <c r="BS61" s="886" t="n"/>
      <c r="BT61" s="105" t="n"/>
      <c r="BU61" s="885">
        <f>Planning!U54</f>
        <v/>
      </c>
      <c r="BV61" s="885">
        <f>Planning!V54</f>
        <v/>
      </c>
      <c r="BW61" s="886" t="n"/>
      <c r="BX61" s="105" t="n"/>
      <c r="BY61" s="885">
        <f>Planning!Y54</f>
        <v/>
      </c>
      <c r="BZ61" s="885">
        <f>Planning!Z54</f>
        <v/>
      </c>
      <c r="CA61" s="886" t="n"/>
      <c r="CB61" s="105" t="n"/>
      <c r="CC61" s="885">
        <f>Planning!AC54</f>
        <v/>
      </c>
      <c r="CD61" s="885">
        <f>Planning!AD54</f>
        <v/>
      </c>
      <c r="CE61" s="886" t="n"/>
      <c r="CF61" s="105" t="n"/>
      <c r="CG61" s="887">
        <f>Planning!AG54</f>
        <v/>
      </c>
      <c r="CH61" s="105" t="n"/>
      <c r="CI61" s="252">
        <f>IF(BC61="","",Planning!AI54)</f>
        <v/>
      </c>
      <c r="CJ61" s="252">
        <f>IF(BC61="","",Planning!AJ54)</f>
        <v/>
      </c>
      <c r="CK61" s="252">
        <f>IF(BC61="","",Planning!AK54)</f>
        <v/>
      </c>
      <c r="CL61" s="252">
        <f>IF(BC61="","",Planning!AH54)</f>
        <v/>
      </c>
      <c r="CM61" s="21" t="n"/>
    </row>
    <row r="62" ht="12.75" customHeight="1">
      <c r="A62" s="161">
        <f>IFERROR(IF(VLOOKUP($B62,$BC$13:$CL$86,36,FALSE)&gt;5,0,IF(COUNTIF($B$13:$B$63,$B62)&gt;1,0,50)),50)+IF(B62&lt;&gt;0,0,IF(AV62&gt;0,0.000001,0))</f>
        <v/>
      </c>
      <c r="B62" s="129" t="n"/>
      <c r="C62" s="48">
        <f>IFERROR(IF($B62="","",VLOOKUP($B62,Medewerker!$C$8:$AI$107,33,FALSE)),"?")</f>
        <v/>
      </c>
      <c r="D62" s="879">
        <f t="array" ref="D62">IFERROR(IF(LEFT(INDEX($F62:$AQ62,1,SUM(SMALL(IF($F62:$AQ62&lt;&gt;"",COLUMN($F62:$AQ62)),1)-5)),1)="x",SUM(SMALL(IF($F62:$AQ62&lt;&gt;"",$F$11:$AQ$11),1)+"0:15"),SMALL(IF($F62:$AQ62&lt;&gt;"",$F$11:$AQ$11),1)),"")</f>
        <v/>
      </c>
      <c r="E62" s="879">
        <f t="array" ref="E62">IFERROR(IF(LEFT(INDEX($F62:$AQ62,1,SUM(LARGE(IF($F62:$AQ62&lt;&gt;"",COLUMN($F62:$AQ62)),1)-5)),1)="x",SUM(LARGE(IF($F62:$AQ62&lt;&gt;"",$F$11:$AQ$11+"0:30:00"),1)-"0:15"),LARGE(IF($F62:$AQ62&lt;&gt;"",$F$11:$AQ$11+"0:30:00"),1)),"")</f>
        <v/>
      </c>
      <c r="F62" s="43" t="n"/>
      <c r="G62" s="42" t="n"/>
      <c r="H62" s="43" t="n"/>
      <c r="I62" s="42" t="n"/>
      <c r="J62" s="43" t="n"/>
      <c r="K62" s="41" t="n"/>
      <c r="L62" s="40" t="n"/>
      <c r="M62" s="42" t="n"/>
      <c r="N62" s="43" t="n"/>
      <c r="O62" s="41" t="n"/>
      <c r="P62" s="40" t="n"/>
      <c r="Q62" s="42" t="n"/>
      <c r="R62" s="43" t="n"/>
      <c r="S62" s="41" t="n"/>
      <c r="T62" s="40" t="n"/>
      <c r="U62" s="42" t="n"/>
      <c r="V62" s="43" t="n"/>
      <c r="W62" s="41" t="n"/>
      <c r="X62" s="40" t="n"/>
      <c r="Y62" s="42" t="n"/>
      <c r="Z62" s="43" t="n"/>
      <c r="AA62" s="41" t="n"/>
      <c r="AB62" s="40" t="n"/>
      <c r="AC62" s="42" t="n"/>
      <c r="AD62" s="43" t="n"/>
      <c r="AE62" s="41" t="n"/>
      <c r="AF62" s="40" t="n"/>
      <c r="AG62" s="42" t="n"/>
      <c r="AH62" s="43" t="n"/>
      <c r="AI62" s="41" t="n"/>
      <c r="AJ62" s="40" t="n"/>
      <c r="AK62" s="42" t="n"/>
      <c r="AL62" s="43" t="n"/>
      <c r="AM62" s="41" t="n"/>
      <c r="AN62" s="645" t="n"/>
      <c r="AO62" s="42" t="n"/>
      <c r="AP62" s="43" t="n"/>
      <c r="AQ62" s="42" t="n"/>
      <c r="AR62" s="888">
        <f>IFERROR(IF(VLOOKUP($B62,Medewerker!$C$8:$M$107,11,FALSE)="",VLOOKUP($B62,Medewerker!$C$8:$M$107,9,FALSE),0),0)</f>
        <v/>
      </c>
      <c r="AS62" s="888">
        <f>IFERROR(IF(B62="",1,IF(VLOOKUP($B62,Medewerker!$C$8:$M$107,11,FALSE)="",VLOOKUP($B62,Medewerker!$C$8:$M$107,10,FALSE),0)),0)</f>
        <v/>
      </c>
      <c r="AT62" s="45" t="n"/>
      <c r="AU62" s="46">
        <f>(COUNTIF(F62:AQ62,"afw"))/2</f>
        <v/>
      </c>
      <c r="AV62" s="111">
        <f>((38-(COUNTIF(F62:AQ62,"")))/2)-(COUNTIF(F62:AQ62,"p")/2)-(COUNTIF(F62:AQ62,CONCATENATE("x","*"))/4)</f>
        <v/>
      </c>
      <c r="AW62" s="73">
        <f>IF($B62="","",VLOOKUP($B62,Medewerker!$C$8:$E$107,3,FALSE))</f>
        <v/>
      </c>
      <c r="AX62" s="403">
        <f>IFERROR(VLOOKUP($B62,Planning!$B$6:$AG$105,32,FALSE)*24,"")</f>
        <v/>
      </c>
      <c r="AY62" s="409" t="inlineStr">
        <is>
          <t>p</t>
        </is>
      </c>
      <c r="AZ62" s="167" t="inlineStr">
        <is>
          <t>Pauze (onbetaald)</t>
        </is>
      </c>
      <c r="BA62" s="410">
        <f>MAX((COUNTIF($F$13:$AQ$63,CONCATENATE(AY62,"*"))/2+COUNTIF($F$13:$AQ$63,CONCATENATE("x",AY62,"*"))/4)-SUM(BA57,BA51,BA45,BA44),0)</f>
        <v/>
      </c>
      <c r="BB62" s="838" t="n"/>
      <c r="BC62" s="31">
        <f>IF(Planning!B55="","",Planning!B55)</f>
        <v/>
      </c>
      <c r="BD62" s="105" t="n"/>
      <c r="BE62" s="885">
        <f>Planning!E55</f>
        <v/>
      </c>
      <c r="BF62" s="885">
        <f>Planning!F55</f>
        <v/>
      </c>
      <c r="BG62" s="886" t="n"/>
      <c r="BH62" s="105" t="n"/>
      <c r="BI62" s="885">
        <f>Planning!I55</f>
        <v/>
      </c>
      <c r="BJ62" s="885">
        <f>Planning!J55</f>
        <v/>
      </c>
      <c r="BK62" s="886" t="n"/>
      <c r="BL62" s="105" t="n"/>
      <c r="BM62" s="885">
        <f>Planning!M55</f>
        <v/>
      </c>
      <c r="BN62" s="885">
        <f>Planning!N55</f>
        <v/>
      </c>
      <c r="BO62" s="886" t="n"/>
      <c r="BP62" s="105" t="n"/>
      <c r="BQ62" s="885">
        <f>Planning!Q55</f>
        <v/>
      </c>
      <c r="BR62" s="885">
        <f>Planning!R55</f>
        <v/>
      </c>
      <c r="BS62" s="886" t="n"/>
      <c r="BT62" s="105" t="n"/>
      <c r="BU62" s="885">
        <f>Planning!U55</f>
        <v/>
      </c>
      <c r="BV62" s="885">
        <f>Planning!V55</f>
        <v/>
      </c>
      <c r="BW62" s="886" t="n"/>
      <c r="BX62" s="105" t="n"/>
      <c r="BY62" s="885">
        <f>Planning!Y55</f>
        <v/>
      </c>
      <c r="BZ62" s="885">
        <f>Planning!Z55</f>
        <v/>
      </c>
      <c r="CA62" s="886" t="n"/>
      <c r="CB62" s="105" t="n"/>
      <c r="CC62" s="885">
        <f>Planning!AC55</f>
        <v/>
      </c>
      <c r="CD62" s="885">
        <f>Planning!AD55</f>
        <v/>
      </c>
      <c r="CE62" s="886" t="n"/>
      <c r="CF62" s="105" t="n"/>
      <c r="CG62" s="887">
        <f>Planning!AG55</f>
        <v/>
      </c>
      <c r="CH62" s="105" t="n"/>
      <c r="CI62" s="252">
        <f>IF(BC62="","",Planning!AI55)</f>
        <v/>
      </c>
      <c r="CJ62" s="252">
        <f>IF(BC62="","",Planning!AJ55)</f>
        <v/>
      </c>
      <c r="CK62" s="252">
        <f>IF(BC62="","",Planning!AK55)</f>
        <v/>
      </c>
      <c r="CL62" s="252">
        <f>IF(BC62="","",Planning!AH55)</f>
        <v/>
      </c>
      <c r="CM62" s="21" t="n"/>
    </row>
    <row r="63" ht="12.75" customHeight="1">
      <c r="A63" s="161">
        <f>IFERROR(IF(VLOOKUP($B63,$BC$13:$CL$86,36,FALSE)&gt;5,0,IF(COUNTIF($B$13:$B$63,$B63)&gt;1,0,51)),51)+IF(B63&lt;&gt;0,0,IF(AV63&gt;0,0.000001,0))</f>
        <v/>
      </c>
      <c r="B63" s="130" t="n"/>
      <c r="C63" s="131">
        <f>IFERROR(IF($B63="","",VLOOKUP($B63,Medewerker!$C$8:$AI$107,33,FALSE)),"?")</f>
        <v/>
      </c>
      <c r="D63" s="894">
        <f t="array" ref="D63">IFERROR(IF(LEFT(INDEX($F63:$AQ63,1,SUM(SMALL(IF($F63:$AQ63&lt;&gt;"",COLUMN($F63:$AQ63)),1)-5)),1)="x",SUM(SMALL(IF($F63:$AQ63&lt;&gt;"",$F$11:$AQ$11),1)+"0:15"),SMALL(IF($F63:$AQ63&lt;&gt;"",$F$11:$AQ$11),1)),"")</f>
        <v/>
      </c>
      <c r="E63" s="894">
        <f t="array" ref="E63">IFERROR(IF(LEFT(INDEX($F63:$AQ63,1,SUM(LARGE(IF($F63:$AQ63&lt;&gt;"",COLUMN($F63:$AQ63)),1)-5)),1)="x",SUM(LARGE(IF($F63:$AQ63&lt;&gt;"",$F$11:$AQ$11+"0:30:00"),1)-"0:15"),LARGE(IF($F63:$AQ63&lt;&gt;"",$F$11:$AQ$11+"0:30:00"),1)),"")</f>
        <v/>
      </c>
      <c r="F63" s="133" t="n"/>
      <c r="G63" s="134" t="n"/>
      <c r="H63" s="133" t="n"/>
      <c r="I63" s="134" t="n"/>
      <c r="J63" s="133" t="n"/>
      <c r="K63" s="135" t="n"/>
      <c r="L63" s="136" t="n"/>
      <c r="M63" s="134" t="n"/>
      <c r="N63" s="133" t="n"/>
      <c r="O63" s="135" t="n"/>
      <c r="P63" s="136" t="n"/>
      <c r="Q63" s="134" t="n"/>
      <c r="R63" s="133" t="n"/>
      <c r="S63" s="135" t="n"/>
      <c r="T63" s="136" t="n"/>
      <c r="U63" s="134" t="n"/>
      <c r="V63" s="133" t="n"/>
      <c r="W63" s="135" t="n"/>
      <c r="X63" s="136" t="n"/>
      <c r="Y63" s="134" t="n"/>
      <c r="Z63" s="133" t="n"/>
      <c r="AA63" s="135" t="n"/>
      <c r="AB63" s="136" t="n"/>
      <c r="AC63" s="134" t="n"/>
      <c r="AD63" s="133" t="n"/>
      <c r="AE63" s="135" t="n"/>
      <c r="AF63" s="136" t="n"/>
      <c r="AG63" s="134" t="n"/>
      <c r="AH63" s="133" t="n"/>
      <c r="AI63" s="135" t="n"/>
      <c r="AJ63" s="136" t="n"/>
      <c r="AK63" s="134" t="n"/>
      <c r="AL63" s="133" t="n"/>
      <c r="AM63" s="135" t="n"/>
      <c r="AN63" s="646" t="n"/>
      <c r="AO63" s="134" t="n"/>
      <c r="AP63" s="133" t="n"/>
      <c r="AQ63" s="134" t="n"/>
      <c r="AR63" s="895">
        <f>IFERROR(IF(VLOOKUP($B63,Medewerker!$C$8:$M$107,11,FALSE)="",VLOOKUP($B63,Medewerker!$C$8:$M$107,9,FALSE),0),0)</f>
        <v/>
      </c>
      <c r="AS63" s="895">
        <f>IFERROR(IF(B63="",1,IF(VLOOKUP($B63,Medewerker!$C$8:$M$107,11,FALSE)="",VLOOKUP($B63,Medewerker!$C$8:$M$107,10,FALSE),0)),0)</f>
        <v/>
      </c>
      <c r="AT63" s="138" t="n"/>
      <c r="AU63" s="139">
        <f>(COUNTIF(F63:AQ63,"afw"))/2</f>
        <v/>
      </c>
      <c r="AV63" s="140">
        <f>((38-(COUNTIF(F63:AQ63,"")))/2)-(COUNTIF(F63:AQ63,"p")/2)-(COUNTIF(F63:AQ63,CONCATENATE("x","*"))/4)</f>
        <v/>
      </c>
      <c r="AW63" s="402">
        <f>IF($B63="","",VLOOKUP($B63,Medewerker!$C$8:$E$107,3,FALSE))</f>
        <v/>
      </c>
      <c r="AX63" s="405">
        <f>IFERROR(VLOOKUP($B63,Planning!$B$6:$AG$105,32,FALSE)*24,"")</f>
        <v/>
      </c>
      <c r="AY63" s="462" t="inlineStr">
        <is>
          <t>afw</t>
        </is>
      </c>
      <c r="AZ63" s="463" t="inlineStr">
        <is>
          <t>Afwezig / ziek</t>
        </is>
      </c>
      <c r="BA63" s="464">
        <f>SUM(AU13:AU63)</f>
        <v/>
      </c>
      <c r="BB63" s="838" t="n"/>
      <c r="BC63" s="31">
        <f>IF(Planning!B56="","",Planning!B56)</f>
        <v/>
      </c>
      <c r="BD63" s="105" t="n"/>
      <c r="BE63" s="885">
        <f>Planning!E56</f>
        <v/>
      </c>
      <c r="BF63" s="885">
        <f>Planning!F56</f>
        <v/>
      </c>
      <c r="BG63" s="886" t="n"/>
      <c r="BH63" s="105" t="n"/>
      <c r="BI63" s="885">
        <f>Planning!I56</f>
        <v/>
      </c>
      <c r="BJ63" s="885">
        <f>Planning!J56</f>
        <v/>
      </c>
      <c r="BK63" s="886" t="n"/>
      <c r="BL63" s="105" t="n"/>
      <c r="BM63" s="885">
        <f>Planning!M56</f>
        <v/>
      </c>
      <c r="BN63" s="885">
        <f>Planning!N56</f>
        <v/>
      </c>
      <c r="BO63" s="886" t="n"/>
      <c r="BP63" s="105" t="n"/>
      <c r="BQ63" s="885">
        <f>Planning!Q56</f>
        <v/>
      </c>
      <c r="BR63" s="885">
        <f>Planning!R56</f>
        <v/>
      </c>
      <c r="BS63" s="886" t="n"/>
      <c r="BT63" s="105" t="n"/>
      <c r="BU63" s="885">
        <f>Planning!U56</f>
        <v/>
      </c>
      <c r="BV63" s="885">
        <f>Planning!V56</f>
        <v/>
      </c>
      <c r="BW63" s="886" t="n"/>
      <c r="BX63" s="105" t="n"/>
      <c r="BY63" s="885">
        <f>Planning!Y56</f>
        <v/>
      </c>
      <c r="BZ63" s="885">
        <f>Planning!Z56</f>
        <v/>
      </c>
      <c r="CA63" s="886" t="n"/>
      <c r="CB63" s="105" t="n"/>
      <c r="CC63" s="885">
        <f>Planning!AC56</f>
        <v/>
      </c>
      <c r="CD63" s="885">
        <f>Planning!AD56</f>
        <v/>
      </c>
      <c r="CE63" s="886" t="n"/>
      <c r="CF63" s="105" t="n"/>
      <c r="CG63" s="887">
        <f>Planning!AG56</f>
        <v/>
      </c>
      <c r="CH63" s="105" t="n"/>
      <c r="CI63" s="252">
        <f>IF(BC63="","",Planning!AI56)</f>
        <v/>
      </c>
      <c r="CJ63" s="252">
        <f>IF(BC63="","",Planning!AJ56)</f>
        <v/>
      </c>
      <c r="CK63" s="252">
        <f>IF(BC63="","",Planning!AK56)</f>
        <v/>
      </c>
      <c r="CL63" s="252">
        <f>IF(BC63="","",Planning!AH56)</f>
        <v/>
      </c>
      <c r="CM63" s="21" t="n"/>
    </row>
    <row r="64" ht="13.5" customHeight="1">
      <c r="A64" s="401" t="n"/>
      <c r="B64" s="108" t="n"/>
      <c r="C64" s="109" t="n"/>
      <c r="D64" s="109" t="n"/>
      <c r="E64" s="109" t="n"/>
      <c r="F64" s="109" t="n"/>
      <c r="G64" s="109" t="n"/>
      <c r="H64" s="260" t="n"/>
      <c r="I64" s="260" t="n"/>
      <c r="J64" s="261" t="n"/>
      <c r="K64" s="261" t="n"/>
      <c r="L64" s="261" t="n"/>
      <c r="M64" s="261" t="n"/>
      <c r="N64" s="261" t="n"/>
      <c r="O64" s="261" t="n"/>
      <c r="P64" s="261" t="n"/>
      <c r="Q64" s="261" t="n"/>
      <c r="R64" s="261" t="n"/>
      <c r="S64" s="261" t="n"/>
      <c r="T64" s="261" t="n"/>
      <c r="U64" s="262" t="n"/>
      <c r="V64" s="261" t="n"/>
      <c r="W64" s="261" t="n"/>
      <c r="X64" s="261" t="n"/>
      <c r="Y64" s="261" t="n"/>
      <c r="Z64" s="261" t="n"/>
      <c r="AA64" s="261" t="n"/>
      <c r="AB64" s="261" t="n"/>
      <c r="AC64" s="261" t="n"/>
      <c r="AD64" s="261" t="n"/>
      <c r="AE64" s="261" t="n"/>
      <c r="AF64" s="261" t="n"/>
      <c r="AG64" s="261" t="n"/>
      <c r="AH64" s="262" t="n"/>
      <c r="AI64" s="262" t="n"/>
      <c r="AJ64" s="262" t="n"/>
      <c r="AK64" s="262" t="n"/>
      <c r="AL64" s="47" t="n"/>
      <c r="AM64" s="47" t="n"/>
      <c r="AN64" s="47" t="n"/>
      <c r="AO64" s="47" t="n"/>
      <c r="AP64" s="47" t="n"/>
      <c r="AQ64" s="47" t="n"/>
      <c r="AR64" s="47" t="n"/>
      <c r="AS64" s="47" t="n"/>
      <c r="AT64" s="47" t="n"/>
      <c r="AU64" s="47" t="n"/>
      <c r="AV64" s="117" t="n"/>
      <c r="AW64" s="35" t="n"/>
      <c r="AX64" s="35" t="n"/>
      <c r="AY64" s="831" t="n"/>
      <c r="AZ64" s="50" t="n"/>
      <c r="BC64" s="31">
        <f>IF(Planning!B57="","",Planning!B57)</f>
        <v/>
      </c>
      <c r="BD64" s="105" t="n"/>
      <c r="BE64" s="885">
        <f>Planning!E57</f>
        <v/>
      </c>
      <c r="BF64" s="885">
        <f>Planning!F57</f>
        <v/>
      </c>
      <c r="BG64" s="886" t="n"/>
      <c r="BH64" s="105" t="n"/>
      <c r="BI64" s="885">
        <f>Planning!I57</f>
        <v/>
      </c>
      <c r="BJ64" s="885">
        <f>Planning!J57</f>
        <v/>
      </c>
      <c r="BK64" s="886" t="n"/>
      <c r="BL64" s="105" t="n"/>
      <c r="BM64" s="885">
        <f>Planning!M57</f>
        <v/>
      </c>
      <c r="BN64" s="885">
        <f>Planning!N57</f>
        <v/>
      </c>
      <c r="BO64" s="886" t="n"/>
      <c r="BP64" s="105" t="n"/>
      <c r="BQ64" s="885">
        <f>Planning!Q57</f>
        <v/>
      </c>
      <c r="BR64" s="885">
        <f>Planning!R57</f>
        <v/>
      </c>
      <c r="BS64" s="886" t="n"/>
      <c r="BT64" s="105" t="n"/>
      <c r="BU64" s="885">
        <f>Planning!U57</f>
        <v/>
      </c>
      <c r="BV64" s="885">
        <f>Planning!V57</f>
        <v/>
      </c>
      <c r="BW64" s="886" t="n"/>
      <c r="BX64" s="105" t="n"/>
      <c r="BY64" s="885">
        <f>Planning!Y57</f>
        <v/>
      </c>
      <c r="BZ64" s="885">
        <f>Planning!Z57</f>
        <v/>
      </c>
      <c r="CA64" s="886" t="n"/>
      <c r="CB64" s="105" t="n"/>
      <c r="CC64" s="885">
        <f>Planning!AC57</f>
        <v/>
      </c>
      <c r="CD64" s="885">
        <f>Planning!AD57</f>
        <v/>
      </c>
      <c r="CE64" s="886" t="n"/>
      <c r="CF64" s="105" t="n"/>
      <c r="CG64" s="887">
        <f>Planning!AG57</f>
        <v/>
      </c>
      <c r="CH64" s="105" t="n"/>
      <c r="CI64" s="252">
        <f>IF(BC64="","",Planning!AI57)</f>
        <v/>
      </c>
      <c r="CJ64" s="252">
        <f>IF(BC64="","",Planning!AJ57)</f>
        <v/>
      </c>
      <c r="CK64" s="252">
        <f>IF(BC64="","",Planning!AK57)</f>
        <v/>
      </c>
      <c r="CL64" s="252">
        <f>IF(BC64="","",Planning!AH57)</f>
        <v/>
      </c>
      <c r="CM64" s="21" t="n"/>
    </row>
    <row r="65" ht="13.5" customHeight="1">
      <c r="A65" s="162" t="n"/>
      <c r="B65" s="896" t="inlineStr">
        <is>
          <t>Spoorboekje</t>
        </is>
      </c>
      <c r="C65" s="897" t="n"/>
      <c r="D65" s="862" t="n"/>
      <c r="E65" s="109" t="n"/>
      <c r="F65" s="109" t="n"/>
      <c r="G65" s="109" t="n"/>
      <c r="H65" s="898" t="inlineStr">
        <is>
          <t>Legenda</t>
        </is>
      </c>
      <c r="I65" s="897" t="n"/>
      <c r="J65" s="897" t="n"/>
      <c r="K65" s="897" t="n"/>
      <c r="L65" s="897" t="n"/>
      <c r="M65" s="897" t="n"/>
      <c r="N65" s="897" t="n"/>
      <c r="O65" s="897" t="n"/>
      <c r="P65" s="897" t="n"/>
      <c r="Q65" s="897" t="n"/>
      <c r="R65" s="897" t="n"/>
      <c r="S65" s="897" t="n"/>
      <c r="T65" s="897" t="n"/>
      <c r="U65" s="897" t="n"/>
      <c r="V65" s="897" t="n"/>
      <c r="W65" s="897" t="n"/>
      <c r="X65" s="897" t="n"/>
      <c r="Y65" s="897" t="n"/>
      <c r="Z65" s="897" t="n"/>
      <c r="AA65" s="897" t="n"/>
      <c r="AB65" s="897" t="n"/>
      <c r="AC65" s="897" t="n"/>
      <c r="AD65" s="897" t="n"/>
      <c r="AE65" s="897" t="n"/>
      <c r="AF65" s="897" t="n"/>
      <c r="AG65" s="897" t="n"/>
      <c r="AH65" s="897" t="n"/>
      <c r="AI65" s="897" t="n"/>
      <c r="AJ65" s="897" t="n"/>
      <c r="AK65" s="862" t="n"/>
      <c r="AL65" s="47" t="n"/>
      <c r="AM65" s="47" t="n"/>
      <c r="AN65" s="47" t="n"/>
      <c r="AO65" s="47" t="n"/>
      <c r="AP65" s="47" t="n"/>
      <c r="AQ65" s="501" t="n"/>
      <c r="AR65" s="501" t="n"/>
      <c r="AS65" s="501" t="n"/>
      <c r="AT65" s="501" t="n"/>
      <c r="AU65" s="501" t="n"/>
      <c r="AV65" s="507">
        <f>SUM(AV13:AV63)-BA63</f>
        <v/>
      </c>
      <c r="AW65" s="508" t="n"/>
      <c r="AX65" s="509" t="n"/>
      <c r="AY65" s="508" t="n"/>
      <c r="AZ65" s="510" t="n"/>
      <c r="BA65" s="511">
        <f>AV65-SUM(BA14:BA22,BA24:BA30,BA32:BA34,BA36:BA40,BA42:BA46,BA48:BA60)</f>
        <v/>
      </c>
      <c r="BC65" s="31">
        <f>IF(Planning!B58="","",Planning!B58)</f>
        <v/>
      </c>
      <c r="BD65" s="105" t="n"/>
      <c r="BE65" s="885">
        <f>Planning!E58</f>
        <v/>
      </c>
      <c r="BF65" s="885">
        <f>Planning!F58</f>
        <v/>
      </c>
      <c r="BG65" s="886" t="n"/>
      <c r="BH65" s="105" t="n"/>
      <c r="BI65" s="885">
        <f>Planning!I58</f>
        <v/>
      </c>
      <c r="BJ65" s="885">
        <f>Planning!J58</f>
        <v/>
      </c>
      <c r="BK65" s="886" t="n"/>
      <c r="BL65" s="105" t="n"/>
      <c r="BM65" s="885">
        <f>Planning!M58</f>
        <v/>
      </c>
      <c r="BN65" s="885">
        <f>Planning!N58</f>
        <v/>
      </c>
      <c r="BO65" s="886" t="n"/>
      <c r="BP65" s="105" t="n"/>
      <c r="BQ65" s="885">
        <f>Planning!Q58</f>
        <v/>
      </c>
      <c r="BR65" s="885">
        <f>Planning!R58</f>
        <v/>
      </c>
      <c r="BS65" s="886" t="n"/>
      <c r="BT65" s="105" t="n"/>
      <c r="BU65" s="885">
        <f>Planning!U58</f>
        <v/>
      </c>
      <c r="BV65" s="885">
        <f>Planning!V58</f>
        <v/>
      </c>
      <c r="BW65" s="886" t="n"/>
      <c r="BX65" s="105" t="n"/>
      <c r="BY65" s="885">
        <f>Planning!Y58</f>
        <v/>
      </c>
      <c r="BZ65" s="885">
        <f>Planning!Z58</f>
        <v/>
      </c>
      <c r="CA65" s="886" t="n"/>
      <c r="CB65" s="105" t="n"/>
      <c r="CC65" s="885">
        <f>Planning!AC58</f>
        <v/>
      </c>
      <c r="CD65" s="885">
        <f>Planning!AD58</f>
        <v/>
      </c>
      <c r="CE65" s="886" t="n"/>
      <c r="CF65" s="105" t="n"/>
      <c r="CG65" s="887">
        <f>Planning!AG58</f>
        <v/>
      </c>
      <c r="CH65" s="105" t="n"/>
      <c r="CI65" s="252">
        <f>IF(BC65="","",Planning!AI58)</f>
        <v/>
      </c>
      <c r="CJ65" s="252">
        <f>IF(BC65="","",Planning!AJ58)</f>
        <v/>
      </c>
      <c r="CK65" s="252">
        <f>IF(BC65="","",Planning!AK58)</f>
        <v/>
      </c>
      <c r="CL65" s="252">
        <f>IF(BC65="","",Planning!AH58)</f>
        <v/>
      </c>
      <c r="CM65" s="21" t="n"/>
    </row>
    <row r="66" ht="13.5" customHeight="1">
      <c r="A66" s="162" t="n"/>
      <c r="B66" s="442">
        <f>IFERROR(IF(COUNTIF(Instellingen!$N$30:$N$37,"")&gt;7,"",VLOOKUP(SMALL(Instellingen!$N$30:$N$37,1),Instellingen!$N$30:$T$37,7,FALSE)),"")</f>
        <v/>
      </c>
      <c r="C66" s="899">
        <f>IFERROR(IF(B66="","",VLOOKUP(B66,Instellingen!$B$30:$G$37,6,FALSE)),"")</f>
        <v/>
      </c>
      <c r="D66" s="862" t="n"/>
      <c r="E66" s="109" t="n"/>
      <c r="F66" s="109" t="n"/>
      <c r="G66" s="109" t="n"/>
      <c r="H66" s="900" t="inlineStr">
        <is>
          <t>Vullen</t>
        </is>
      </c>
      <c r="I66" s="883" t="n"/>
      <c r="J66" s="883" t="n"/>
      <c r="K66" s="883" t="n"/>
      <c r="L66" s="883" t="n"/>
      <c r="M66" s="883" t="n"/>
      <c r="N66" s="883" t="n"/>
      <c r="O66" s="883" t="n"/>
      <c r="P66" s="883" t="n"/>
      <c r="Q66" s="884" t="n"/>
      <c r="R66" s="673" t="inlineStr">
        <is>
          <t>vcr - Risicoartikelen tellen</t>
        </is>
      </c>
      <c r="S66" s="264" t="n"/>
      <c r="T66" s="264" t="n"/>
      <c r="U66" s="264" t="n"/>
      <c r="V66" s="264" t="n"/>
      <c r="W66" s="264" t="n"/>
      <c r="X66" s="264" t="n"/>
      <c r="Y66" s="264" t="n"/>
      <c r="Z66" s="901">
        <f>BA30</f>
        <v/>
      </c>
      <c r="AA66" s="866" t="n"/>
      <c r="AB66" s="900" t="inlineStr">
        <is>
          <t>Overig</t>
        </is>
      </c>
      <c r="AC66" s="883" t="n"/>
      <c r="AD66" s="883" t="n"/>
      <c r="AE66" s="883" t="n"/>
      <c r="AF66" s="883" t="n"/>
      <c r="AG66" s="883" t="n"/>
      <c r="AH66" s="883" t="n"/>
      <c r="AI66" s="883" t="n"/>
      <c r="AJ66" s="883" t="n"/>
      <c r="AK66" s="884" t="n"/>
      <c r="AL66" s="47" t="n"/>
      <c r="AM66" s="47" t="n"/>
      <c r="AN66" s="47" t="n"/>
      <c r="AO66" s="47" t="n"/>
      <c r="AP66" s="47" t="n"/>
      <c r="AQ66" s="501" t="n"/>
      <c r="AR66" s="501" t="n"/>
      <c r="AS66" s="501" t="n"/>
      <c r="AT66" s="501" t="n"/>
      <c r="AU66" s="501" t="n"/>
      <c r="AV66" s="514" t="n"/>
      <c r="AW66" s="508" t="n"/>
      <c r="AX66" s="509" t="n"/>
      <c r="AY66" s="508" t="n"/>
      <c r="AZ66" s="510" t="n"/>
      <c r="BA66" s="299" t="n"/>
      <c r="BC66" s="31">
        <f>IF(Planning!B59="","",Planning!B59)</f>
        <v/>
      </c>
      <c r="BD66" s="105" t="n"/>
      <c r="BE66" s="885">
        <f>Planning!E59</f>
        <v/>
      </c>
      <c r="BF66" s="885">
        <f>Planning!F59</f>
        <v/>
      </c>
      <c r="BG66" s="886" t="n"/>
      <c r="BH66" s="105" t="n"/>
      <c r="BI66" s="885">
        <f>Planning!I59</f>
        <v/>
      </c>
      <c r="BJ66" s="885">
        <f>Planning!J59</f>
        <v/>
      </c>
      <c r="BK66" s="886" t="n"/>
      <c r="BL66" s="105" t="n"/>
      <c r="BM66" s="885">
        <f>Planning!M59</f>
        <v/>
      </c>
      <c r="BN66" s="885">
        <f>Planning!N59</f>
        <v/>
      </c>
      <c r="BO66" s="886" t="n"/>
      <c r="BP66" s="105" t="n"/>
      <c r="BQ66" s="885">
        <f>Planning!Q59</f>
        <v/>
      </c>
      <c r="BR66" s="885">
        <f>Planning!R59</f>
        <v/>
      </c>
      <c r="BS66" s="886" t="n"/>
      <c r="BT66" s="105" t="n"/>
      <c r="BU66" s="885">
        <f>Planning!U59</f>
        <v/>
      </c>
      <c r="BV66" s="885">
        <f>Planning!V59</f>
        <v/>
      </c>
      <c r="BW66" s="886" t="n"/>
      <c r="BX66" s="105" t="n"/>
      <c r="BY66" s="885">
        <f>Planning!Y59</f>
        <v/>
      </c>
      <c r="BZ66" s="885">
        <f>Planning!Z59</f>
        <v/>
      </c>
      <c r="CA66" s="886" t="n"/>
      <c r="CB66" s="105" t="n"/>
      <c r="CC66" s="885">
        <f>Planning!AC59</f>
        <v/>
      </c>
      <c r="CD66" s="885">
        <f>Planning!AD59</f>
        <v/>
      </c>
      <c r="CE66" s="886" t="n"/>
      <c r="CF66" s="105" t="n"/>
      <c r="CG66" s="887">
        <f>Planning!AG59</f>
        <v/>
      </c>
      <c r="CH66" s="105" t="n"/>
      <c r="CI66" s="252">
        <f>IF(BC66="","",Planning!AI59)</f>
        <v/>
      </c>
      <c r="CJ66" s="252">
        <f>IF(BC66="","",Planning!AJ59)</f>
        <v/>
      </c>
      <c r="CK66" s="252">
        <f>IF(BC66="","",Planning!AK59)</f>
        <v/>
      </c>
      <c r="CL66" s="252">
        <f>IF(BC66="","",Planning!AH59)</f>
        <v/>
      </c>
      <c r="CM66" s="21" t="n"/>
    </row>
    <row r="67" ht="13.5" customHeight="1">
      <c r="A67" s="162" t="n"/>
      <c r="B67" s="440">
        <f>IFERROR(IF(COUNTIF(Instellingen!$N$30:$N$37,"")&gt;6,"",VLOOKUP(SMALL(Instellingen!$N$30:$N$37,2),Instellingen!$N$30:$T$37,7,FALSE)),"")</f>
        <v/>
      </c>
      <c r="C67" s="902">
        <f>IFERROR(IF(B67="","",VLOOKUP(B67,Instellingen!$B$30:$G$37,6,FALSE)),"")</f>
        <v/>
      </c>
      <c r="D67" s="866" t="n"/>
      <c r="E67" s="109" t="n"/>
      <c r="F67" s="109" t="n"/>
      <c r="G67" s="109" t="n"/>
      <c r="H67" s="673" t="inlineStr">
        <is>
          <t>hv - Houdbaar vullen</t>
        </is>
      </c>
      <c r="I67" s="264" t="n"/>
      <c r="J67" s="264" t="n"/>
      <c r="K67" s="264" t="n"/>
      <c r="L67" s="264" t="n"/>
      <c r="M67" s="264" t="n"/>
      <c r="N67" s="264" t="n"/>
      <c r="O67" s="264" t="n"/>
      <c r="P67" s="901">
        <f>BA14</f>
        <v/>
      </c>
      <c r="Q67" s="866" t="n"/>
      <c r="R67" s="687" t="inlineStr">
        <is>
          <t>Magazijn</t>
        </is>
      </c>
      <c r="S67" s="883" t="n"/>
      <c r="T67" s="883" t="n"/>
      <c r="U67" s="883" t="n"/>
      <c r="V67" s="883" t="n"/>
      <c r="W67" s="883" t="n"/>
      <c r="X67" s="883" t="n"/>
      <c r="Y67" s="883" t="n"/>
      <c r="Z67" s="883" t="n"/>
      <c r="AA67" s="883" t="n"/>
      <c r="AB67" s="924" t="inlineStr">
        <is>
          <t>km - Kwaliteitsmedewerker</t>
        </is>
      </c>
      <c r="AC67" s="897" t="n"/>
      <c r="AD67" s="897" t="n"/>
      <c r="AE67" s="897" t="n"/>
      <c r="AF67" s="897" t="n"/>
      <c r="AG67" s="897" t="n"/>
      <c r="AH67" s="897" t="n"/>
      <c r="AI67" s="862" t="n"/>
      <c r="AJ67" s="904">
        <f>BA48</f>
        <v/>
      </c>
      <c r="AK67" s="866" t="n"/>
      <c r="AL67" s="47" t="n"/>
      <c r="AM67" s="47" t="n"/>
      <c r="AN67" s="47" t="n"/>
      <c r="AO67" s="47" t="n"/>
      <c r="AP67" s="47" t="n"/>
      <c r="AQ67" s="501" t="n"/>
      <c r="AR67" s="501" t="n"/>
      <c r="AS67" s="501" t="n"/>
      <c r="AT67" s="501" t="n"/>
      <c r="AU67" s="501" t="n"/>
      <c r="AV67" s="504" t="n"/>
      <c r="AW67" s="502" t="n"/>
      <c r="AX67" s="503" t="n"/>
      <c r="AY67" s="502" t="n"/>
      <c r="AZ67" s="512" t="n"/>
      <c r="BA67" s="263" t="n"/>
      <c r="BC67" s="31">
        <f>IF(Planning!B60="","",Planning!B60)</f>
        <v/>
      </c>
      <c r="BD67" s="105" t="n"/>
      <c r="BE67" s="885">
        <f>Planning!E60</f>
        <v/>
      </c>
      <c r="BF67" s="885">
        <f>Planning!F60</f>
        <v/>
      </c>
      <c r="BG67" s="886" t="n"/>
      <c r="BH67" s="105" t="n"/>
      <c r="BI67" s="885">
        <f>Planning!I60</f>
        <v/>
      </c>
      <c r="BJ67" s="885">
        <f>Planning!J60</f>
        <v/>
      </c>
      <c r="BK67" s="886" t="n"/>
      <c r="BL67" s="105" t="n"/>
      <c r="BM67" s="885">
        <f>Planning!M60</f>
        <v/>
      </c>
      <c r="BN67" s="885">
        <f>Planning!N60</f>
        <v/>
      </c>
      <c r="BO67" s="886" t="n"/>
      <c r="BP67" s="105" t="n"/>
      <c r="BQ67" s="885">
        <f>Planning!Q60</f>
        <v/>
      </c>
      <c r="BR67" s="885">
        <f>Planning!R60</f>
        <v/>
      </c>
      <c r="BS67" s="886" t="n"/>
      <c r="BT67" s="105" t="n"/>
      <c r="BU67" s="885">
        <f>Planning!U60</f>
        <v/>
      </c>
      <c r="BV67" s="885">
        <f>Planning!V60</f>
        <v/>
      </c>
      <c r="BW67" s="886" t="n"/>
      <c r="BX67" s="105" t="n"/>
      <c r="BY67" s="885">
        <f>Planning!Y60</f>
        <v/>
      </c>
      <c r="BZ67" s="885">
        <f>Planning!Z60</f>
        <v/>
      </c>
      <c r="CA67" s="886" t="n"/>
      <c r="CB67" s="105" t="n"/>
      <c r="CC67" s="885">
        <f>Planning!AC60</f>
        <v/>
      </c>
      <c r="CD67" s="885">
        <f>Planning!AD60</f>
        <v/>
      </c>
      <c r="CE67" s="886" t="n"/>
      <c r="CF67" s="105" t="n"/>
      <c r="CG67" s="887">
        <f>Planning!AG60</f>
        <v/>
      </c>
      <c r="CH67" s="105" t="n"/>
      <c r="CI67" s="252">
        <f>IF(BC67="","",Planning!AI60)</f>
        <v/>
      </c>
      <c r="CJ67" s="252">
        <f>IF(BC67="","",Planning!AJ60)</f>
        <v/>
      </c>
      <c r="CK67" s="252">
        <f>IF(BC67="","",Planning!AK60)</f>
        <v/>
      </c>
      <c r="CL67" s="252">
        <f>IF(BC67="","",Planning!AH60)</f>
        <v/>
      </c>
      <c r="CM67" s="21" t="n"/>
    </row>
    <row r="68" ht="13.5" customHeight="1">
      <c r="A68" s="159" t="n"/>
      <c r="B68" s="440">
        <f>IFERROR(IF(COUNTIF(Instellingen!$N$30:$N$37,"")&gt;5,"",VLOOKUP(SMALL(Instellingen!$N$30:$N$37,3),Instellingen!$N$30:$T$37,7,FALSE)),"")</f>
        <v/>
      </c>
      <c r="C68" s="902">
        <f>IFERROR(IF(B68="","",VLOOKUP(B68,Instellingen!$B$30:$G$37,6,FALSE)),"")</f>
        <v/>
      </c>
      <c r="D68" s="866" t="n"/>
      <c r="E68" s="109" t="n"/>
      <c r="F68" s="109" t="n"/>
      <c r="G68" s="109" t="n"/>
      <c r="H68" s="673" t="inlineStr">
        <is>
          <t>dv - Diepvries vullen</t>
        </is>
      </c>
      <c r="I68" s="264" t="n"/>
      <c r="J68" s="264" t="n"/>
      <c r="K68" s="264" t="n"/>
      <c r="L68" s="264" t="n"/>
      <c r="M68" s="264" t="n"/>
      <c r="N68" s="264" t="n"/>
      <c r="O68" s="264" t="n"/>
      <c r="P68" s="901">
        <f>BA15</f>
        <v/>
      </c>
      <c r="Q68" s="866" t="n"/>
      <c r="R68" s="673" t="inlineStr">
        <is>
          <t>l - Lossen/Retouren</t>
        </is>
      </c>
      <c r="S68" s="264" t="n"/>
      <c r="T68" s="264" t="n"/>
      <c r="U68" s="264" t="n"/>
      <c r="V68" s="264" t="n"/>
      <c r="W68" s="264" t="n"/>
      <c r="X68" s="264" t="n"/>
      <c r="Y68" s="264" t="n"/>
      <c r="Z68" s="675">
        <f>BA32</f>
        <v/>
      </c>
      <c r="AA68" s="264" t="n"/>
      <c r="AB68" s="907" t="inlineStr">
        <is>
          <t>mt - MT of CKW-overleg</t>
        </is>
      </c>
      <c r="AC68" s="264" t="n"/>
      <c r="AD68" s="264" t="n"/>
      <c r="AE68" s="264" t="n"/>
      <c r="AF68" s="264" t="n"/>
      <c r="AG68" s="264" t="n"/>
      <c r="AH68" s="264" t="n"/>
      <c r="AI68" s="866" t="n"/>
      <c r="AJ68" s="904">
        <f>BA49</f>
        <v/>
      </c>
      <c r="AK68" s="866" t="n"/>
      <c r="AL68" s="47" t="n"/>
      <c r="AM68" s="47" t="n"/>
      <c r="AN68" s="47" t="n"/>
      <c r="AO68" s="47" t="n"/>
      <c r="AP68" s="47" t="n"/>
      <c r="AQ68" s="501" t="n"/>
      <c r="AR68" s="501" t="n"/>
      <c r="AS68" s="501" t="n"/>
      <c r="AT68" s="501" t="n"/>
      <c r="AU68" s="501" t="n"/>
      <c r="AV68" s="504" t="n"/>
      <c r="AW68" s="502" t="n"/>
      <c r="AX68" s="503" t="n"/>
      <c r="AY68" s="502" t="n"/>
      <c r="AZ68" s="512" t="n"/>
      <c r="BA68" s="263" t="n"/>
      <c r="BC68" s="31">
        <f>IF(Planning!B61="","",Planning!B61)</f>
        <v/>
      </c>
      <c r="BD68" s="105" t="n"/>
      <c r="BE68" s="885">
        <f>Planning!E61</f>
        <v/>
      </c>
      <c r="BF68" s="885">
        <f>Planning!F61</f>
        <v/>
      </c>
      <c r="BG68" s="886" t="n"/>
      <c r="BH68" s="105" t="n"/>
      <c r="BI68" s="885">
        <f>Planning!I61</f>
        <v/>
      </c>
      <c r="BJ68" s="885">
        <f>Planning!J61</f>
        <v/>
      </c>
      <c r="BK68" s="886" t="n"/>
      <c r="BL68" s="105" t="n"/>
      <c r="BM68" s="885">
        <f>Planning!M61</f>
        <v/>
      </c>
      <c r="BN68" s="885">
        <f>Planning!N61</f>
        <v/>
      </c>
      <c r="BO68" s="886" t="n"/>
      <c r="BP68" s="105" t="n"/>
      <c r="BQ68" s="885">
        <f>Planning!Q61</f>
        <v/>
      </c>
      <c r="BR68" s="885">
        <f>Planning!R61</f>
        <v/>
      </c>
      <c r="BS68" s="886" t="n"/>
      <c r="BT68" s="105" t="n"/>
      <c r="BU68" s="885">
        <f>Planning!U61</f>
        <v/>
      </c>
      <c r="BV68" s="885">
        <f>Planning!V61</f>
        <v/>
      </c>
      <c r="BW68" s="886" t="n"/>
      <c r="BX68" s="105" t="n"/>
      <c r="BY68" s="885">
        <f>Planning!Y61</f>
        <v/>
      </c>
      <c r="BZ68" s="885">
        <f>Planning!Z61</f>
        <v/>
      </c>
      <c r="CA68" s="886" t="n"/>
      <c r="CB68" s="105" t="n"/>
      <c r="CC68" s="885">
        <f>Planning!AC61</f>
        <v/>
      </c>
      <c r="CD68" s="885">
        <f>Planning!AD61</f>
        <v/>
      </c>
      <c r="CE68" s="886" t="n"/>
      <c r="CF68" s="105" t="n"/>
      <c r="CG68" s="887">
        <f>Planning!AG61</f>
        <v/>
      </c>
      <c r="CH68" s="105" t="n"/>
      <c r="CI68" s="252">
        <f>IF(BC68="","",Planning!AI61)</f>
        <v/>
      </c>
      <c r="CJ68" s="252">
        <f>IF(BC68="","",Planning!AJ61)</f>
        <v/>
      </c>
      <c r="CK68" s="252">
        <f>IF(BC68="","",Planning!AK61)</f>
        <v/>
      </c>
      <c r="CL68" s="252">
        <f>IF(BC68="","",Planning!AH61)</f>
        <v/>
      </c>
      <c r="CM68" s="21" t="n"/>
    </row>
    <row r="69" ht="13.5" customHeight="1">
      <c r="A69" s="159" t="n"/>
      <c r="B69" s="440">
        <f>IFERROR(IF(COUNTIF(Instellingen!$N$30:$N$37,"")&gt;4,"",VLOOKUP(SMALL(Instellingen!$N$30:$N$37,4),Instellingen!$N$30:$T$37,7,FALSE)),"")</f>
        <v/>
      </c>
      <c r="C69" s="902">
        <f>IFERROR(IF(B69="","",VLOOKUP(B69,Instellingen!$B$30:$G$37,6,FALSE)),"")</f>
        <v/>
      </c>
      <c r="D69" s="866" t="n"/>
      <c r="E69" s="109" t="n"/>
      <c r="F69" s="109" t="n"/>
      <c r="G69" s="109" t="n"/>
      <c r="H69" s="673" t="inlineStr">
        <is>
          <t>vv - Vers vullen</t>
        </is>
      </c>
      <c r="I69" s="264" t="n"/>
      <c r="J69" s="264" t="n"/>
      <c r="K69" s="264" t="n"/>
      <c r="L69" s="264" t="n"/>
      <c r="M69" s="264" t="n"/>
      <c r="N69" s="264" t="n"/>
      <c r="O69" s="264" t="n"/>
      <c r="P69" s="901">
        <f>BA16</f>
        <v/>
      </c>
      <c r="Q69" s="866" t="n"/>
      <c r="R69" s="673" t="inlineStr">
        <is>
          <t>ma - Magazijn</t>
        </is>
      </c>
      <c r="S69" s="264" t="n"/>
      <c r="T69" s="264" t="n"/>
      <c r="U69" s="264" t="n"/>
      <c r="V69" s="264" t="n"/>
      <c r="W69" s="264" t="n"/>
      <c r="X69" s="264" t="n"/>
      <c r="Y69" s="264" t="n"/>
      <c r="Z69" s="675">
        <f>BA33</f>
        <v/>
      </c>
      <c r="AA69" s="264" t="n"/>
      <c r="AB69" s="907" t="inlineStr">
        <is>
          <t>ov - Overig</t>
        </is>
      </c>
      <c r="AC69" s="264" t="n"/>
      <c r="AD69" s="264" t="n"/>
      <c r="AE69" s="264" t="n"/>
      <c r="AF69" s="264" t="n"/>
      <c r="AG69" s="264" t="n"/>
      <c r="AH69" s="264" t="n"/>
      <c r="AI69" s="866" t="n"/>
      <c r="AJ69" s="904">
        <f>BA50</f>
        <v/>
      </c>
      <c r="AK69" s="866" t="n"/>
      <c r="AL69" s="47" t="n"/>
      <c r="AM69" s="47" t="n"/>
      <c r="AN69" s="47" t="n"/>
      <c r="AO69" s="47" t="n"/>
      <c r="AP69" s="47" t="n"/>
      <c r="AQ69" s="501" t="n"/>
      <c r="AR69" s="501" t="n"/>
      <c r="AS69" s="501" t="n"/>
      <c r="AT69" s="501" t="n"/>
      <c r="AU69" s="501" t="n"/>
      <c r="AV69" s="504" t="n"/>
      <c r="AW69" s="502" t="n"/>
      <c r="AX69" s="505" t="n"/>
      <c r="AY69" s="263" t="n"/>
      <c r="AZ69" s="513" t="n"/>
      <c r="BA69" s="263" t="n"/>
      <c r="BC69" s="31">
        <f>IF(Planning!B62="","",Planning!B62)</f>
        <v/>
      </c>
      <c r="BD69" s="105" t="n"/>
      <c r="BE69" s="885">
        <f>Planning!E62</f>
        <v/>
      </c>
      <c r="BF69" s="885">
        <f>Planning!F62</f>
        <v/>
      </c>
      <c r="BG69" s="886" t="n"/>
      <c r="BH69" s="105" t="n"/>
      <c r="BI69" s="885">
        <f>Planning!I62</f>
        <v/>
      </c>
      <c r="BJ69" s="885">
        <f>Planning!J62</f>
        <v/>
      </c>
      <c r="BK69" s="886" t="n"/>
      <c r="BL69" s="105" t="n"/>
      <c r="BM69" s="885">
        <f>Planning!M62</f>
        <v/>
      </c>
      <c r="BN69" s="885">
        <f>Planning!N62</f>
        <v/>
      </c>
      <c r="BO69" s="886" t="n"/>
      <c r="BP69" s="105" t="n"/>
      <c r="BQ69" s="885">
        <f>Planning!Q62</f>
        <v/>
      </c>
      <c r="BR69" s="885">
        <f>Planning!R62</f>
        <v/>
      </c>
      <c r="BS69" s="886" t="n"/>
      <c r="BT69" s="105" t="n"/>
      <c r="BU69" s="885">
        <f>Planning!U62</f>
        <v/>
      </c>
      <c r="BV69" s="885">
        <f>Planning!V62</f>
        <v/>
      </c>
      <c r="BW69" s="886" t="n"/>
      <c r="BX69" s="105" t="n"/>
      <c r="BY69" s="885">
        <f>Planning!Y62</f>
        <v/>
      </c>
      <c r="BZ69" s="885">
        <f>Planning!Z62</f>
        <v/>
      </c>
      <c r="CA69" s="886" t="n"/>
      <c r="CB69" s="105" t="n"/>
      <c r="CC69" s="885">
        <f>Planning!AC62</f>
        <v/>
      </c>
      <c r="CD69" s="885">
        <f>Planning!AD62</f>
        <v/>
      </c>
      <c r="CE69" s="886" t="n"/>
      <c r="CF69" s="105" t="n"/>
      <c r="CG69" s="887">
        <f>Planning!AG62</f>
        <v/>
      </c>
      <c r="CH69" s="105" t="n"/>
      <c r="CI69" s="252">
        <f>IF(BC69="","",Planning!AI62)</f>
        <v/>
      </c>
      <c r="CJ69" s="252">
        <f>IF(BC69="","",Planning!AJ62)</f>
        <v/>
      </c>
      <c r="CK69" s="252">
        <f>IF(BC69="","",Planning!AK62)</f>
        <v/>
      </c>
      <c r="CL69" s="252">
        <f>IF(BC69="","",Planning!AH62)</f>
        <v/>
      </c>
      <c r="CM69" s="21" t="n"/>
    </row>
    <row r="70" ht="13.5" customHeight="1">
      <c r="A70" s="159" t="n"/>
      <c r="B70" s="440">
        <f>IFERROR(IF(COUNTIF(Instellingen!$N$30:$N$37,"")&gt;3,"",VLOOKUP(SMALL(Instellingen!$N$30:$N$37,5),Instellingen!$N$30:$T$37,7,FALSE)),"")</f>
        <v/>
      </c>
      <c r="C70" s="902">
        <f>IFERROR(IF(B70="","",VLOOKUP(B70,Instellingen!$B$30:$G$37,6,FALSE)),"")</f>
        <v/>
      </c>
      <c r="D70" s="866" t="n"/>
      <c r="E70" s="109" t="n"/>
      <c r="F70" s="109" t="n"/>
      <c r="G70" s="109" t="n"/>
      <c r="H70" s="673" t="inlineStr">
        <is>
          <t>nh - Navulling HB</t>
        </is>
      </c>
      <c r="I70" s="264" t="n"/>
      <c r="J70" s="264" t="n"/>
      <c r="K70" s="264" t="n"/>
      <c r="L70" s="264" t="n"/>
      <c r="M70" s="264" t="n"/>
      <c r="N70" s="264" t="n"/>
      <c r="O70" s="264" t="n"/>
      <c r="P70" s="901">
        <f>BA17</f>
        <v/>
      </c>
      <c r="Q70" s="866" t="n"/>
      <c r="R70" s="661" t="inlineStr">
        <is>
          <t>sp - Splitsen</t>
        </is>
      </c>
      <c r="S70" s="906" t="n"/>
      <c r="T70" s="906" t="n"/>
      <c r="U70" s="906" t="n"/>
      <c r="V70" s="906" t="n"/>
      <c r="W70" s="906" t="n"/>
      <c r="X70" s="906" t="n"/>
      <c r="Y70" s="906" t="n"/>
      <c r="Z70" s="675">
        <f>BA34</f>
        <v/>
      </c>
      <c r="AA70" s="264" t="n"/>
      <c r="AB70" s="907" t="inlineStr">
        <is>
          <t>prt - Protime</t>
        </is>
      </c>
      <c r="AC70" s="264" t="n"/>
      <c r="AD70" s="264" t="n"/>
      <c r="AE70" s="264" t="n"/>
      <c r="AF70" s="264" t="n"/>
      <c r="AG70" s="264" t="n"/>
      <c r="AH70" s="264" t="n"/>
      <c r="AI70" s="866" t="n"/>
      <c r="AJ70" s="904">
        <f>BA51</f>
        <v/>
      </c>
      <c r="AK70" s="866" t="n"/>
      <c r="AL70" s="47" t="n"/>
      <c r="AM70" s="47" t="n"/>
      <c r="AN70" s="47" t="n"/>
      <c r="AO70" s="47" t="n"/>
      <c r="AP70" s="47" t="n"/>
      <c r="AQ70" s="501" t="n"/>
      <c r="AR70" s="501" t="n"/>
      <c r="AS70" s="501" t="n"/>
      <c r="AT70" s="501" t="n"/>
      <c r="AU70" s="501" t="n"/>
      <c r="AV70" s="504" t="n"/>
      <c r="AW70" s="502" t="n"/>
      <c r="AX70" s="505" t="n"/>
      <c r="AY70" s="263" t="n"/>
      <c r="AZ70" s="513" t="n"/>
      <c r="BA70" s="263" t="n"/>
      <c r="BC70" s="31">
        <f>IF(Planning!B63="","",Planning!B63)</f>
        <v/>
      </c>
      <c r="BD70" s="105" t="n"/>
      <c r="BE70" s="885">
        <f>Planning!E63</f>
        <v/>
      </c>
      <c r="BF70" s="885">
        <f>Planning!F63</f>
        <v/>
      </c>
      <c r="BG70" s="886" t="n"/>
      <c r="BH70" s="105" t="n"/>
      <c r="BI70" s="885">
        <f>Planning!I63</f>
        <v/>
      </c>
      <c r="BJ70" s="885">
        <f>Planning!J63</f>
        <v/>
      </c>
      <c r="BK70" s="886" t="n"/>
      <c r="BL70" s="105" t="n"/>
      <c r="BM70" s="885">
        <f>Planning!M63</f>
        <v/>
      </c>
      <c r="BN70" s="885">
        <f>Planning!N63</f>
        <v/>
      </c>
      <c r="BO70" s="886" t="n"/>
      <c r="BP70" s="105" t="n"/>
      <c r="BQ70" s="885">
        <f>Planning!Q63</f>
        <v/>
      </c>
      <c r="BR70" s="885">
        <f>Planning!R63</f>
        <v/>
      </c>
      <c r="BS70" s="886" t="n"/>
      <c r="BT70" s="105" t="n"/>
      <c r="BU70" s="885">
        <f>Planning!U63</f>
        <v/>
      </c>
      <c r="BV70" s="885">
        <f>Planning!V63</f>
        <v/>
      </c>
      <c r="BW70" s="886" t="n"/>
      <c r="BX70" s="105" t="n"/>
      <c r="BY70" s="885">
        <f>Planning!Y63</f>
        <v/>
      </c>
      <c r="BZ70" s="885">
        <f>Planning!Z63</f>
        <v/>
      </c>
      <c r="CA70" s="886" t="n"/>
      <c r="CB70" s="105" t="n"/>
      <c r="CC70" s="885">
        <f>Planning!AC63</f>
        <v/>
      </c>
      <c r="CD70" s="885">
        <f>Planning!AD63</f>
        <v/>
      </c>
      <c r="CE70" s="886" t="n"/>
      <c r="CF70" s="105" t="n"/>
      <c r="CG70" s="887">
        <f>Planning!AG63</f>
        <v/>
      </c>
      <c r="CH70" s="105" t="n"/>
      <c r="CI70" s="252">
        <f>IF(BC70="","",Planning!AI63)</f>
        <v/>
      </c>
      <c r="CJ70" s="252">
        <f>IF(BC70="","",Planning!AJ63)</f>
        <v/>
      </c>
      <c r="CK70" s="252">
        <f>IF(BC70="","",Planning!AK63)</f>
        <v/>
      </c>
      <c r="CL70" s="252">
        <f>IF(BC70="","",Planning!AH63)</f>
        <v/>
      </c>
      <c r="CM70" s="21" t="n"/>
    </row>
    <row r="71" ht="13.5" customHeight="1">
      <c r="A71" s="159" t="n"/>
      <c r="B71" s="251">
        <f>IFERROR(IF(COUNTIF(Instellingen!$N$30:$N$37,"")&gt;2,"",VLOOKUP(SMALL(Instellingen!$N$30:$N$37,6),Instellingen!$N$30:$T$37,7,FALSE)),"")</f>
        <v/>
      </c>
      <c r="C71" s="902">
        <f>IFERROR(IF(B71="","",VLOOKUP(B71,Instellingen!$B$30:$G$37,6,FALSE)),"")</f>
        <v/>
      </c>
      <c r="D71" s="866" t="n"/>
      <c r="E71" s="109" t="n"/>
      <c r="F71" s="109" t="n"/>
      <c r="G71" s="109" t="n"/>
      <c r="H71" s="673" t="inlineStr">
        <is>
          <t>nd - Navulling DV</t>
        </is>
      </c>
      <c r="I71" s="264" t="n"/>
      <c r="J71" s="264" t="n"/>
      <c r="K71" s="264" t="n"/>
      <c r="L71" s="264" t="n"/>
      <c r="M71" s="264" t="n"/>
      <c r="N71" s="264" t="n"/>
      <c r="O71" s="264" t="n"/>
      <c r="P71" s="901">
        <f>BA18</f>
        <v/>
      </c>
      <c r="Q71" s="866" t="n"/>
      <c r="R71" s="687" t="inlineStr">
        <is>
          <t>Afprijzen</t>
        </is>
      </c>
      <c r="S71" s="883" t="n"/>
      <c r="T71" s="883" t="n"/>
      <c r="U71" s="883" t="n"/>
      <c r="V71" s="883" t="n"/>
      <c r="W71" s="883" t="n"/>
      <c r="X71" s="883" t="n"/>
      <c r="Y71" s="883" t="n"/>
      <c r="Z71" s="883" t="n"/>
      <c r="AA71" s="883" t="n"/>
      <c r="AB71" s="907" t="inlineStr">
        <is>
          <t>sl - Shift leiden</t>
        </is>
      </c>
      <c r="AC71" s="264" t="n"/>
      <c r="AD71" s="264" t="n"/>
      <c r="AE71" s="264" t="n"/>
      <c r="AF71" s="264" t="n"/>
      <c r="AG71" s="264" t="n"/>
      <c r="AH71" s="264" t="n"/>
      <c r="AI71" s="866" t="n"/>
      <c r="AJ71" s="904">
        <f>BA52</f>
        <v/>
      </c>
      <c r="AK71" s="866" t="n"/>
      <c r="AL71" s="47" t="n"/>
      <c r="AM71" s="47" t="n"/>
      <c r="AN71" s="47" t="n"/>
      <c r="AO71" s="47" t="n"/>
      <c r="AP71" s="47" t="n"/>
      <c r="AQ71" s="501" t="n"/>
      <c r="AR71" s="501" t="n"/>
      <c r="AS71" s="501" t="n"/>
      <c r="AT71" s="501" t="n"/>
      <c r="AU71" s="501" t="n"/>
      <c r="AV71" s="504" t="n"/>
      <c r="AW71" s="502" t="n"/>
      <c r="AX71" s="505" t="n"/>
      <c r="AY71" s="263" t="n"/>
      <c r="AZ71" s="513" t="n"/>
      <c r="BA71" s="263" t="n"/>
      <c r="BC71" s="31">
        <f>IF(Planning!B64="","",Planning!B64)</f>
        <v/>
      </c>
      <c r="BD71" s="105" t="n"/>
      <c r="BE71" s="885">
        <f>Planning!E64</f>
        <v/>
      </c>
      <c r="BF71" s="885">
        <f>Planning!F64</f>
        <v/>
      </c>
      <c r="BG71" s="886" t="n"/>
      <c r="BH71" s="105" t="n"/>
      <c r="BI71" s="885">
        <f>Planning!I64</f>
        <v/>
      </c>
      <c r="BJ71" s="885">
        <f>Planning!J64</f>
        <v/>
      </c>
      <c r="BK71" s="886" t="n"/>
      <c r="BL71" s="105" t="n"/>
      <c r="BM71" s="885">
        <f>Planning!M64</f>
        <v/>
      </c>
      <c r="BN71" s="885">
        <f>Planning!N64</f>
        <v/>
      </c>
      <c r="BO71" s="886" t="n"/>
      <c r="BP71" s="105" t="n"/>
      <c r="BQ71" s="885">
        <f>Planning!Q64</f>
        <v/>
      </c>
      <c r="BR71" s="885">
        <f>Planning!R64</f>
        <v/>
      </c>
      <c r="BS71" s="886" t="n"/>
      <c r="BT71" s="105" t="n"/>
      <c r="BU71" s="885">
        <f>Planning!U64</f>
        <v/>
      </c>
      <c r="BV71" s="885">
        <f>Planning!V64</f>
        <v/>
      </c>
      <c r="BW71" s="886" t="n"/>
      <c r="BX71" s="105" t="n"/>
      <c r="BY71" s="885">
        <f>Planning!Y64</f>
        <v/>
      </c>
      <c r="BZ71" s="885">
        <f>Planning!Z64</f>
        <v/>
      </c>
      <c r="CA71" s="886" t="n"/>
      <c r="CB71" s="105" t="n"/>
      <c r="CC71" s="885">
        <f>Planning!AC64</f>
        <v/>
      </c>
      <c r="CD71" s="885">
        <f>Planning!AD64</f>
        <v/>
      </c>
      <c r="CE71" s="886" t="n"/>
      <c r="CF71" s="105" t="n"/>
      <c r="CG71" s="887">
        <f>Planning!AG64</f>
        <v/>
      </c>
      <c r="CH71" s="105" t="n"/>
      <c r="CI71" s="252">
        <f>IF(BC71="","",Planning!AI64)</f>
        <v/>
      </c>
      <c r="CJ71" s="252">
        <f>IF(BC71="","",Planning!AJ64)</f>
        <v/>
      </c>
      <c r="CK71" s="252">
        <f>IF(BC71="","",Planning!AK64)</f>
        <v/>
      </c>
      <c r="CL71" s="252">
        <f>IF(BC71="","",Planning!AH64)</f>
        <v/>
      </c>
      <c r="CM71" s="21" t="n"/>
    </row>
    <row r="72" ht="13.5" customHeight="1">
      <c r="A72" s="159" t="n"/>
      <c r="B72" s="441">
        <f>IFERROR(IF(COUNTIF(Instellingen!$N$30:$N$37,"")&gt;1,"",VLOOKUP(SMALL(Instellingen!$N$30:$N$37,7),Instellingen!$N$30:$T$37,7,FALSE)),"")</f>
        <v/>
      </c>
      <c r="C72" s="908">
        <f>IFERROR(IF(B72="","",VLOOKUP(B72,Instellingen!$B$30:$G$37,6,FALSE)),"")</f>
        <v/>
      </c>
      <c r="D72" s="869" t="n"/>
      <c r="E72" s="109" t="n"/>
      <c r="F72" s="109" t="n"/>
      <c r="G72" s="109" t="n"/>
      <c r="H72" s="673" t="inlineStr">
        <is>
          <t>nv - Navulling Vers</t>
        </is>
      </c>
      <c r="I72" s="264" t="n"/>
      <c r="J72" s="264" t="n"/>
      <c r="K72" s="264" t="n"/>
      <c r="L72" s="264" t="n"/>
      <c r="M72" s="264" t="n"/>
      <c r="N72" s="264" t="n"/>
      <c r="O72" s="264" t="n"/>
      <c r="P72" s="901">
        <f>BA19</f>
        <v/>
      </c>
      <c r="Q72" s="866" t="n"/>
      <c r="R72" s="673" t="inlineStr">
        <is>
          <t>afp - Afprijzen</t>
        </is>
      </c>
      <c r="S72" s="264" t="n"/>
      <c r="T72" s="264" t="n"/>
      <c r="U72" s="264" t="n"/>
      <c r="V72" s="264" t="n"/>
      <c r="W72" s="264" t="n"/>
      <c r="X72" s="264" t="n"/>
      <c r="Y72" s="264" t="n"/>
      <c r="Z72" s="675">
        <f>BA36</f>
        <v/>
      </c>
      <c r="AA72" s="264" t="n"/>
      <c r="AB72" s="907" t="inlineStr">
        <is>
          <t>vp - Vulshiftplanning</t>
        </is>
      </c>
      <c r="AC72" s="264" t="n"/>
      <c r="AD72" s="264" t="n"/>
      <c r="AE72" s="264" t="n"/>
      <c r="AF72" s="264" t="n"/>
      <c r="AG72" s="264" t="n"/>
      <c r="AH72" s="264" t="n"/>
      <c r="AI72" s="866" t="n"/>
      <c r="AJ72" s="904">
        <f>BA53</f>
        <v/>
      </c>
      <c r="AK72" s="866" t="n"/>
      <c r="AL72" s="47" t="n"/>
      <c r="AM72" s="47" t="n"/>
      <c r="AN72" s="47" t="n"/>
      <c r="AO72" s="47" t="n"/>
      <c r="AP72" s="47" t="n"/>
      <c r="AQ72" s="501" t="n"/>
      <c r="AR72" s="501" t="n"/>
      <c r="AS72" s="501" t="n"/>
      <c r="AT72" s="501" t="n"/>
      <c r="AU72" s="501" t="n"/>
      <c r="AV72" s="504" t="n"/>
      <c r="AW72" s="502" t="n"/>
      <c r="AX72" s="505" t="n"/>
      <c r="AY72" s="263" t="n"/>
      <c r="AZ72" s="513" t="n"/>
      <c r="BA72" s="263" t="n"/>
      <c r="BC72" s="31">
        <f>IF(Planning!B65="","",Planning!B65)</f>
        <v/>
      </c>
      <c r="BD72" s="105" t="n"/>
      <c r="BE72" s="885">
        <f>Planning!E65</f>
        <v/>
      </c>
      <c r="BF72" s="885">
        <f>Planning!F65</f>
        <v/>
      </c>
      <c r="BG72" s="886" t="n"/>
      <c r="BH72" s="105" t="n"/>
      <c r="BI72" s="885">
        <f>Planning!I65</f>
        <v/>
      </c>
      <c r="BJ72" s="885">
        <f>Planning!J65</f>
        <v/>
      </c>
      <c r="BK72" s="886" t="n"/>
      <c r="BL72" s="105" t="n"/>
      <c r="BM72" s="885">
        <f>Planning!M65</f>
        <v/>
      </c>
      <c r="BN72" s="885">
        <f>Planning!N65</f>
        <v/>
      </c>
      <c r="BO72" s="886" t="n"/>
      <c r="BP72" s="105" t="n"/>
      <c r="BQ72" s="885">
        <f>Planning!Q65</f>
        <v/>
      </c>
      <c r="BR72" s="885">
        <f>Planning!R65</f>
        <v/>
      </c>
      <c r="BS72" s="886" t="n"/>
      <c r="BT72" s="105" t="n"/>
      <c r="BU72" s="885">
        <f>Planning!U65</f>
        <v/>
      </c>
      <c r="BV72" s="885">
        <f>Planning!V65</f>
        <v/>
      </c>
      <c r="BW72" s="886" t="n"/>
      <c r="BX72" s="105" t="n"/>
      <c r="BY72" s="885">
        <f>Planning!Y65</f>
        <v/>
      </c>
      <c r="BZ72" s="885">
        <f>Planning!Z65</f>
        <v/>
      </c>
      <c r="CA72" s="886" t="n"/>
      <c r="CB72" s="105" t="n"/>
      <c r="CC72" s="885">
        <f>Planning!AC65</f>
        <v/>
      </c>
      <c r="CD72" s="885">
        <f>Planning!AD65</f>
        <v/>
      </c>
      <c r="CE72" s="886" t="n"/>
      <c r="CF72" s="105" t="n"/>
      <c r="CG72" s="887">
        <f>Planning!AG65</f>
        <v/>
      </c>
      <c r="CH72" s="105" t="n"/>
      <c r="CI72" s="252">
        <f>IF(BC72="","",Planning!AI65)</f>
        <v/>
      </c>
      <c r="CJ72" s="252">
        <f>IF(BC72="","",Planning!AJ65)</f>
        <v/>
      </c>
      <c r="CK72" s="252">
        <f>IF(BC72="","",Planning!AK65)</f>
        <v/>
      </c>
      <c r="CL72" s="252">
        <f>IF(BC72="","",Planning!AH65)</f>
        <v/>
      </c>
      <c r="CM72" s="21" t="n"/>
    </row>
    <row r="73" ht="13.5" customHeight="1">
      <c r="A73" s="159" t="n"/>
      <c r="B73" s="109" t="n"/>
      <c r="C73" s="109" t="n"/>
      <c r="D73" s="109" t="n"/>
      <c r="E73" s="109" t="n"/>
      <c r="F73" s="109" t="n"/>
      <c r="G73" s="109" t="n"/>
      <c r="H73" s="673" t="inlineStr">
        <is>
          <t>rh - Restant HB</t>
        </is>
      </c>
      <c r="I73" s="264" t="n"/>
      <c r="J73" s="264" t="n"/>
      <c r="K73" s="264" t="n"/>
      <c r="L73" s="264" t="n"/>
      <c r="M73" s="264" t="n"/>
      <c r="N73" s="264" t="n"/>
      <c r="O73" s="264" t="n"/>
      <c r="P73" s="901">
        <f>BA20</f>
        <v/>
      </c>
      <c r="Q73" s="866" t="n"/>
      <c r="R73" s="673" t="inlineStr">
        <is>
          <t>cb - Codeboek</t>
        </is>
      </c>
      <c r="S73" s="264" t="n"/>
      <c r="T73" s="264" t="n"/>
      <c r="U73" s="264" t="n"/>
      <c r="V73" s="264" t="n"/>
      <c r="W73" s="264" t="n"/>
      <c r="X73" s="264" t="n"/>
      <c r="Y73" s="264" t="n"/>
      <c r="Z73" s="675">
        <f>BA37</f>
        <v/>
      </c>
      <c r="AA73" s="264" t="n"/>
      <c r="AB73" s="907" t="inlineStr">
        <is>
          <t>wh - Winkelwagens halen</t>
        </is>
      </c>
      <c r="AC73" s="264" t="n"/>
      <c r="AD73" s="264" t="n"/>
      <c r="AE73" s="264" t="n"/>
      <c r="AF73" s="264" t="n"/>
      <c r="AG73" s="264" t="n"/>
      <c r="AH73" s="264" t="n"/>
      <c r="AI73" s="866" t="n"/>
      <c r="AJ73" s="901">
        <f>BA54</f>
        <v/>
      </c>
      <c r="AK73" s="866" t="n"/>
      <c r="AL73" s="47" t="n"/>
      <c r="AM73" s="47" t="n"/>
      <c r="AN73" s="47" t="n"/>
      <c r="AO73" s="47" t="n"/>
      <c r="AP73" s="47" t="n"/>
      <c r="AQ73" s="501" t="n"/>
      <c r="AR73" s="501" t="n"/>
      <c r="AS73" s="501" t="n"/>
      <c r="AT73" s="501" t="n"/>
      <c r="AU73" s="501" t="n"/>
      <c r="AV73" s="504" t="n"/>
      <c r="AW73" s="502" t="n"/>
      <c r="AX73" s="505" t="n"/>
      <c r="AY73" s="506" t="n"/>
      <c r="AZ73" s="501" t="n"/>
      <c r="BA73" s="263" t="n"/>
      <c r="BC73" s="31">
        <f>IF(Planning!B66="","",Planning!B66)</f>
        <v/>
      </c>
      <c r="BD73" s="105" t="n"/>
      <c r="BE73" s="885">
        <f>Planning!E66</f>
        <v/>
      </c>
      <c r="BF73" s="885">
        <f>Planning!F66</f>
        <v/>
      </c>
      <c r="BG73" s="886" t="n"/>
      <c r="BH73" s="105" t="n"/>
      <c r="BI73" s="885">
        <f>Planning!I66</f>
        <v/>
      </c>
      <c r="BJ73" s="885">
        <f>Planning!J66</f>
        <v/>
      </c>
      <c r="BK73" s="886" t="n"/>
      <c r="BL73" s="105" t="n"/>
      <c r="BM73" s="885">
        <f>Planning!M66</f>
        <v/>
      </c>
      <c r="BN73" s="885">
        <f>Planning!N66</f>
        <v/>
      </c>
      <c r="BO73" s="886" t="n"/>
      <c r="BP73" s="105" t="n"/>
      <c r="BQ73" s="885">
        <f>Planning!Q66</f>
        <v/>
      </c>
      <c r="BR73" s="885">
        <f>Planning!R66</f>
        <v/>
      </c>
      <c r="BS73" s="886" t="n"/>
      <c r="BT73" s="105" t="n"/>
      <c r="BU73" s="885">
        <f>Planning!U66</f>
        <v/>
      </c>
      <c r="BV73" s="885">
        <f>Planning!V66</f>
        <v/>
      </c>
      <c r="BW73" s="886" t="n"/>
      <c r="BX73" s="105" t="n"/>
      <c r="BY73" s="885">
        <f>Planning!Y66</f>
        <v/>
      </c>
      <c r="BZ73" s="885">
        <f>Planning!Z66</f>
        <v/>
      </c>
      <c r="CA73" s="886" t="n"/>
      <c r="CB73" s="105" t="n"/>
      <c r="CC73" s="885">
        <f>Planning!AC66</f>
        <v/>
      </c>
      <c r="CD73" s="885">
        <f>Planning!AD66</f>
        <v/>
      </c>
      <c r="CE73" s="886" t="n"/>
      <c r="CF73" s="105" t="n"/>
      <c r="CG73" s="887">
        <f>Planning!AG66</f>
        <v/>
      </c>
      <c r="CH73" s="105" t="n"/>
      <c r="CI73" s="252">
        <f>IF(BC73="","",Planning!AI66)</f>
        <v/>
      </c>
      <c r="CJ73" s="252">
        <f>IF(BC73="","",Planning!AJ66)</f>
        <v/>
      </c>
      <c r="CK73" s="252">
        <f>IF(BC73="","",Planning!AK66)</f>
        <v/>
      </c>
      <c r="CL73" s="252">
        <f>IF(BC73="","",Planning!AH66)</f>
        <v/>
      </c>
      <c r="CM73" s="21" t="n"/>
    </row>
    <row r="74" ht="13.5" customHeight="1">
      <c r="A74" s="159" t="n"/>
      <c r="B74" s="896" t="inlineStr">
        <is>
          <t>OBM's</t>
        </is>
      </c>
      <c r="C74" s="897" t="n"/>
      <c r="D74" s="862" t="n"/>
      <c r="E74" s="109" t="n"/>
      <c r="F74" s="109" t="n"/>
      <c r="G74" s="109" t="n"/>
      <c r="H74" s="673" t="inlineStr">
        <is>
          <t>rd - Restant DV</t>
        </is>
      </c>
      <c r="I74" s="264" t="n"/>
      <c r="J74" s="264" t="n"/>
      <c r="K74" s="264" t="n"/>
      <c r="L74" s="264" t="n"/>
      <c r="M74" s="264" t="n"/>
      <c r="N74" s="264" t="n"/>
      <c r="O74" s="264" t="n"/>
      <c r="P74" s="901">
        <f>BA21</f>
        <v/>
      </c>
      <c r="Q74" s="866" t="n"/>
      <c r="R74" s="673" t="inlineStr">
        <is>
          <t>nr - Naloopronde</t>
        </is>
      </c>
      <c r="S74" s="264" t="n"/>
      <c r="T74" s="264" t="n"/>
      <c r="U74" s="264" t="n"/>
      <c r="V74" s="264" t="n"/>
      <c r="W74" s="264" t="n"/>
      <c r="X74" s="264" t="n"/>
      <c r="Y74" s="264" t="n"/>
      <c r="Z74" s="675">
        <f>BA38</f>
        <v/>
      </c>
      <c r="AA74" s="264" t="n"/>
      <c r="AB74" s="907" t="inlineStr">
        <is>
          <t>wp - Weekplanning</t>
        </is>
      </c>
      <c r="AC74" s="264" t="n"/>
      <c r="AD74" s="264" t="n"/>
      <c r="AE74" s="264" t="n"/>
      <c r="AF74" s="264" t="n"/>
      <c r="AG74" s="264" t="n"/>
      <c r="AH74" s="264" t="n"/>
      <c r="AI74" s="866" t="n"/>
      <c r="AJ74" s="901">
        <f>BA55</f>
        <v/>
      </c>
      <c r="AK74" s="866" t="n"/>
      <c r="AL74" s="47" t="n"/>
      <c r="AM74" s="47" t="n"/>
      <c r="AN74" s="47" t="n"/>
      <c r="AO74" s="47" t="n"/>
      <c r="AP74" s="47" t="n"/>
      <c r="AQ74" s="501" t="n"/>
      <c r="AR74" s="501" t="n"/>
      <c r="AS74" s="501" t="n"/>
      <c r="AT74" s="501" t="n"/>
      <c r="AU74" s="501" t="n"/>
      <c r="AV74" s="504" t="n"/>
      <c r="AW74" s="502" t="n"/>
      <c r="AX74" s="505" t="n"/>
      <c r="AY74" s="263" t="n"/>
      <c r="AZ74" s="501" t="n"/>
      <c r="BA74" s="263" t="n"/>
      <c r="BC74" s="31">
        <f>IF(Planning!B67="","",Planning!B67)</f>
        <v/>
      </c>
      <c r="BD74" s="105" t="n"/>
      <c r="BE74" s="885">
        <f>Planning!E67</f>
        <v/>
      </c>
      <c r="BF74" s="885">
        <f>Planning!F67</f>
        <v/>
      </c>
      <c r="BG74" s="886" t="n"/>
      <c r="BH74" s="105" t="n"/>
      <c r="BI74" s="885">
        <f>Planning!I67</f>
        <v/>
      </c>
      <c r="BJ74" s="885">
        <f>Planning!J67</f>
        <v/>
      </c>
      <c r="BK74" s="886" t="n"/>
      <c r="BL74" s="105" t="n"/>
      <c r="BM74" s="885">
        <f>Planning!M67</f>
        <v/>
      </c>
      <c r="BN74" s="885">
        <f>Planning!N67</f>
        <v/>
      </c>
      <c r="BO74" s="886" t="n"/>
      <c r="BP74" s="105" t="n"/>
      <c r="BQ74" s="885">
        <f>Planning!Q67</f>
        <v/>
      </c>
      <c r="BR74" s="885">
        <f>Planning!R67</f>
        <v/>
      </c>
      <c r="BS74" s="886" t="n"/>
      <c r="BT74" s="105" t="n"/>
      <c r="BU74" s="885">
        <f>Planning!U67</f>
        <v/>
      </c>
      <c r="BV74" s="885">
        <f>Planning!V67</f>
        <v/>
      </c>
      <c r="BW74" s="886" t="n"/>
      <c r="BX74" s="105" t="n"/>
      <c r="BY74" s="885">
        <f>Planning!Y67</f>
        <v/>
      </c>
      <c r="BZ74" s="885">
        <f>Planning!Z67</f>
        <v/>
      </c>
      <c r="CA74" s="886" t="n"/>
      <c r="CB74" s="105" t="n"/>
      <c r="CC74" s="885">
        <f>Planning!AC67</f>
        <v/>
      </c>
      <c r="CD74" s="885">
        <f>Planning!AD67</f>
        <v/>
      </c>
      <c r="CE74" s="886" t="n"/>
      <c r="CF74" s="105" t="n"/>
      <c r="CG74" s="887">
        <f>Planning!AG67</f>
        <v/>
      </c>
      <c r="CH74" s="105" t="n"/>
      <c r="CI74" s="252">
        <f>IF(BC74="","",Planning!AI67)</f>
        <v/>
      </c>
      <c r="CJ74" s="252">
        <f>IF(BC74="","",Planning!AJ67)</f>
        <v/>
      </c>
      <c r="CK74" s="252">
        <f>IF(BC74="","",Planning!AK67)</f>
        <v/>
      </c>
      <c r="CL74" s="252">
        <f>IF(BC74="","",Planning!AH67)</f>
        <v/>
      </c>
      <c r="CM74" s="21" t="n"/>
    </row>
    <row r="75" ht="13.5" customHeight="1">
      <c r="A75" s="159" t="n"/>
      <c r="B75" s="442">
        <f>IFERROR(IF(COUNTIF(Instellingen!$N$40:$N$47,"")&gt;7,"",VLOOKUP(SMALL(Instellingen!$N$40:$N$47,1),Instellingen!$N$40:$T$47,7,FALSE)),"")</f>
        <v/>
      </c>
      <c r="C75" s="899">
        <f>IFERROR(IF(B75="","",VLOOKUP(B75,Instellingen!$B$40:$G$47,6,FALSE)),"")</f>
        <v/>
      </c>
      <c r="D75" s="862" t="n"/>
      <c r="E75" s="109" t="n"/>
      <c r="F75" s="109" t="n"/>
      <c r="G75" s="109" t="n"/>
      <c r="H75" s="673" t="inlineStr">
        <is>
          <t>rv - Restant Vers</t>
        </is>
      </c>
      <c r="I75" s="264" t="n"/>
      <c r="J75" s="264" t="n"/>
      <c r="K75" s="264" t="n"/>
      <c r="L75" s="264" t="n"/>
      <c r="M75" s="264" t="n"/>
      <c r="N75" s="264" t="n"/>
      <c r="O75" s="264" t="n"/>
      <c r="P75" s="901">
        <f>BA22</f>
        <v/>
      </c>
      <c r="Q75" s="866" t="n"/>
      <c r="R75" s="673" t="inlineStr">
        <is>
          <t>us - Vervallen artikelen</t>
        </is>
      </c>
      <c r="S75" s="264" t="n"/>
      <c r="T75" s="264" t="n"/>
      <c r="U75" s="264" t="n"/>
      <c r="V75" s="264" t="n"/>
      <c r="W75" s="264" t="n"/>
      <c r="X75" s="264" t="n"/>
      <c r="Y75" s="264" t="n"/>
      <c r="Z75" s="675">
        <f>BA39</f>
        <v/>
      </c>
      <c r="AA75" s="264" t="n"/>
      <c r="AB75" s="907" t="inlineStr">
        <is>
          <t>wv - Winkelverzorging</t>
        </is>
      </c>
      <c r="AC75" s="264" t="n"/>
      <c r="AD75" s="264" t="n"/>
      <c r="AE75" s="264" t="n"/>
      <c r="AF75" s="264" t="n"/>
      <c r="AG75" s="264" t="n"/>
      <c r="AH75" s="264" t="n"/>
      <c r="AI75" s="866" t="n"/>
      <c r="AJ75" s="901">
        <f>BA56</f>
        <v/>
      </c>
      <c r="AK75" s="866" t="n"/>
      <c r="AL75" s="47" t="n"/>
      <c r="AM75" s="47" t="n"/>
      <c r="AN75" s="47" t="n"/>
      <c r="AO75" s="47" t="n"/>
      <c r="AP75" s="47" t="n"/>
      <c r="AQ75" s="501" t="n"/>
      <c r="AR75" s="501" t="n"/>
      <c r="AS75" s="501" t="n"/>
      <c r="AT75" s="501" t="n"/>
      <c r="AU75" s="501" t="n"/>
      <c r="AV75" s="504" t="n"/>
      <c r="AW75" s="502" t="n"/>
      <c r="AX75" s="505" t="n"/>
      <c r="AY75" s="263" t="n"/>
      <c r="AZ75" s="501" t="n"/>
      <c r="BA75" s="263" t="n"/>
      <c r="BC75" s="31">
        <f>IF(Planning!B68="","",Planning!B68)</f>
        <v/>
      </c>
      <c r="BD75" s="105" t="n"/>
      <c r="BE75" s="885">
        <f>Planning!E68</f>
        <v/>
      </c>
      <c r="BF75" s="885">
        <f>Planning!F68</f>
        <v/>
      </c>
      <c r="BG75" s="886" t="n"/>
      <c r="BH75" s="105" t="n"/>
      <c r="BI75" s="885">
        <f>Planning!I68</f>
        <v/>
      </c>
      <c r="BJ75" s="885">
        <f>Planning!J68</f>
        <v/>
      </c>
      <c r="BK75" s="886" t="n"/>
      <c r="BL75" s="105" t="n"/>
      <c r="BM75" s="885">
        <f>Planning!M68</f>
        <v/>
      </c>
      <c r="BN75" s="885">
        <f>Planning!N68</f>
        <v/>
      </c>
      <c r="BO75" s="886" t="n"/>
      <c r="BP75" s="105" t="n"/>
      <c r="BQ75" s="885">
        <f>Planning!Q68</f>
        <v/>
      </c>
      <c r="BR75" s="885">
        <f>Planning!R68</f>
        <v/>
      </c>
      <c r="BS75" s="886" t="n"/>
      <c r="BT75" s="105" t="n"/>
      <c r="BU75" s="885">
        <f>Planning!U68</f>
        <v/>
      </c>
      <c r="BV75" s="885">
        <f>Planning!V68</f>
        <v/>
      </c>
      <c r="BW75" s="886" t="n"/>
      <c r="BX75" s="105" t="n"/>
      <c r="BY75" s="885">
        <f>Planning!Y68</f>
        <v/>
      </c>
      <c r="BZ75" s="885">
        <f>Planning!Z68</f>
        <v/>
      </c>
      <c r="CA75" s="886" t="n"/>
      <c r="CB75" s="105" t="n"/>
      <c r="CC75" s="885">
        <f>Planning!AC68</f>
        <v/>
      </c>
      <c r="CD75" s="885">
        <f>Planning!AD68</f>
        <v/>
      </c>
      <c r="CE75" s="886" t="n"/>
      <c r="CF75" s="105" t="n"/>
      <c r="CG75" s="887">
        <f>Planning!AG68</f>
        <v/>
      </c>
      <c r="CH75" s="105" t="n"/>
      <c r="CI75" s="252">
        <f>IF(BC75="","",Planning!AI68)</f>
        <v/>
      </c>
      <c r="CJ75" s="252">
        <f>IF(BC75="","",Planning!AJ68)</f>
        <v/>
      </c>
      <c r="CK75" s="252">
        <f>IF(BC75="","",Planning!AK68)</f>
        <v/>
      </c>
      <c r="CL75" s="252">
        <f>IF(BC75="","",Planning!AH68)</f>
        <v/>
      </c>
      <c r="CM75" s="21" t="n"/>
    </row>
    <row r="76" ht="13.5" customHeight="1">
      <c r="A76" s="159" t="n"/>
      <c r="B76" s="440">
        <f>IFERROR(IF(COUNTIF(Instellingen!$N$40:$N$47,"")&gt;6,"",VLOOKUP(SMALL(Instellingen!$N$40:$N$47,2),Instellingen!$N$40:$T$47,7,FALSE)),"")</f>
        <v/>
      </c>
      <c r="C76" s="902">
        <f>IFERROR(IF(B76="","",VLOOKUP(B76,Instellingen!$B$40:$G$47,6,FALSE)),"")</f>
        <v/>
      </c>
      <c r="D76" s="866" t="n"/>
      <c r="H76" s="900" t="inlineStr">
        <is>
          <t>Restant/Telproces</t>
        </is>
      </c>
      <c r="I76" s="883" t="n"/>
      <c r="J76" s="883" t="n"/>
      <c r="K76" s="883" t="n"/>
      <c r="L76" s="883" t="n"/>
      <c r="M76" s="883" t="n"/>
      <c r="N76" s="883" t="n"/>
      <c r="O76" s="883" t="n"/>
      <c r="P76" s="883" t="n"/>
      <c r="Q76" s="884" t="n"/>
      <c r="R76" s="673" t="inlineStr">
        <is>
          <t>ver - Vernietigen/Reststoffen</t>
        </is>
      </c>
      <c r="S76" s="264" t="n"/>
      <c r="T76" s="264" t="n"/>
      <c r="U76" s="264" t="n"/>
      <c r="V76" s="264" t="n"/>
      <c r="W76" s="264" t="n"/>
      <c r="X76" s="264" t="n"/>
      <c r="Y76" s="264" t="n"/>
      <c r="Z76" s="675">
        <f>BA40</f>
        <v/>
      </c>
      <c r="AA76" s="264" t="n"/>
      <c r="AB76" s="907">
        <f>IF(Instellingen!I7="ja","pup - Pick-Up-Point","")</f>
        <v/>
      </c>
      <c r="AC76" s="264" t="n"/>
      <c r="AD76" s="264" t="n"/>
      <c r="AE76" s="264" t="n"/>
      <c r="AF76" s="264" t="n"/>
      <c r="AG76" s="264" t="n"/>
      <c r="AH76" s="264" t="n"/>
      <c r="AI76" s="866" t="n"/>
      <c r="AJ76" s="901">
        <f>IF(Instellingen!I7="ja",BA57,"")</f>
        <v/>
      </c>
      <c r="AK76" s="866" t="n"/>
      <c r="AL76" s="47" t="n"/>
      <c r="AM76" s="47" t="n"/>
      <c r="AN76" s="47" t="n"/>
      <c r="AO76" s="47" t="n"/>
      <c r="AP76" s="47" t="n"/>
      <c r="AQ76" s="501" t="n"/>
      <c r="AR76" s="501" t="n"/>
      <c r="AS76" s="501" t="n"/>
      <c r="AT76" s="501" t="n"/>
      <c r="AU76" s="501" t="n"/>
      <c r="AV76" s="504" t="n"/>
      <c r="AW76" s="502" t="n"/>
      <c r="AX76" s="505" t="n"/>
      <c r="AY76" s="263" t="n"/>
      <c r="AZ76" s="501" t="n"/>
      <c r="BA76" s="263" t="n"/>
      <c r="BC76" s="31">
        <f>IF(Planning!B69="","",Planning!B69)</f>
        <v/>
      </c>
      <c r="BD76" s="105" t="n"/>
      <c r="BE76" s="885">
        <f>Planning!E69</f>
        <v/>
      </c>
      <c r="BF76" s="885">
        <f>Planning!F69</f>
        <v/>
      </c>
      <c r="BG76" s="886" t="n"/>
      <c r="BH76" s="105" t="n"/>
      <c r="BI76" s="885">
        <f>Planning!I69</f>
        <v/>
      </c>
      <c r="BJ76" s="885">
        <f>Planning!J69</f>
        <v/>
      </c>
      <c r="BK76" s="886" t="n"/>
      <c r="BL76" s="105" t="n"/>
      <c r="BM76" s="885">
        <f>Planning!M69</f>
        <v/>
      </c>
      <c r="BN76" s="885">
        <f>Planning!N69</f>
        <v/>
      </c>
      <c r="BO76" s="886" t="n"/>
      <c r="BP76" s="105" t="n"/>
      <c r="BQ76" s="885">
        <f>Planning!Q69</f>
        <v/>
      </c>
      <c r="BR76" s="885">
        <f>Planning!R69</f>
        <v/>
      </c>
      <c r="BS76" s="886" t="n"/>
      <c r="BT76" s="105" t="n"/>
      <c r="BU76" s="885">
        <f>Planning!U69</f>
        <v/>
      </c>
      <c r="BV76" s="885">
        <f>Planning!V69</f>
        <v/>
      </c>
      <c r="BW76" s="886" t="n"/>
      <c r="BX76" s="105" t="n"/>
      <c r="BY76" s="885">
        <f>Planning!Y69</f>
        <v/>
      </c>
      <c r="BZ76" s="885">
        <f>Planning!Z69</f>
        <v/>
      </c>
      <c r="CA76" s="886" t="n"/>
      <c r="CB76" s="105" t="n"/>
      <c r="CC76" s="885">
        <f>Planning!AC69</f>
        <v/>
      </c>
      <c r="CD76" s="885">
        <f>Planning!AD69</f>
        <v/>
      </c>
      <c r="CE76" s="886" t="n"/>
      <c r="CF76" s="105" t="n"/>
      <c r="CG76" s="887">
        <f>Planning!AG69</f>
        <v/>
      </c>
      <c r="CH76" s="105" t="n"/>
      <c r="CI76" s="252">
        <f>IF(BC76="","",Planning!AI69)</f>
        <v/>
      </c>
      <c r="CJ76" s="252">
        <f>IF(BC76="","",Planning!AJ69)</f>
        <v/>
      </c>
      <c r="CK76" s="252">
        <f>IF(BC76="","",Planning!AK69)</f>
        <v/>
      </c>
      <c r="CL76" s="252">
        <f>IF(BC76="","",Planning!AH69)</f>
        <v/>
      </c>
      <c r="CM76" s="21" t="n"/>
    </row>
    <row r="77" ht="13.5" customHeight="1">
      <c r="A77" s="159" t="n"/>
      <c r="B77" s="440">
        <f>IFERROR(IF(COUNTIF(Instellingen!$N$40:$N$47,"")&gt;5,"",VLOOKUP(SMALL(Instellingen!$N$40:$N$47,3),Instellingen!$N$40:$T$47,7,FALSE)),"")</f>
        <v/>
      </c>
      <c r="C77" s="902">
        <f>IFERROR(IF(B77="","",VLOOKUP(B77,Instellingen!$B$40:$G$47,6,FALSE)),"")</f>
        <v/>
      </c>
      <c r="D77" s="866" t="n"/>
      <c r="H77" s="673" t="inlineStr">
        <is>
          <t>br - Bepalen restant</t>
        </is>
      </c>
      <c r="I77" s="264" t="n"/>
      <c r="J77" s="264" t="n"/>
      <c r="K77" s="264" t="n"/>
      <c r="L77" s="264" t="n"/>
      <c r="M77" s="264" t="n"/>
      <c r="N77" s="264" t="n"/>
      <c r="O77" s="264" t="n"/>
      <c r="P77" s="901">
        <f>BA24</f>
        <v/>
      </c>
      <c r="Q77" s="866" t="n"/>
      <c r="R77" s="687" t="inlineStr">
        <is>
          <t>Promo/Presentatie</t>
        </is>
      </c>
      <c r="S77" s="883" t="n"/>
      <c r="T77" s="883" t="n"/>
      <c r="U77" s="883" t="n"/>
      <c r="V77" s="883" t="n"/>
      <c r="W77" s="883" t="n"/>
      <c r="X77" s="883" t="n"/>
      <c r="Y77" s="883" t="n"/>
      <c r="Z77" s="883" t="n"/>
      <c r="AA77" s="883" t="n"/>
      <c r="AB77" s="907">
        <f>IF(AY58="","",CONCATENATE(AY58," - ",AZ58))</f>
        <v/>
      </c>
      <c r="AC77" s="264" t="n"/>
      <c r="AD77" s="264" t="n"/>
      <c r="AE77" s="264" t="n"/>
      <c r="AF77" s="264" t="n"/>
      <c r="AG77" s="264" t="n"/>
      <c r="AH77" s="264" t="n"/>
      <c r="AI77" s="866" t="n"/>
      <c r="AJ77" s="901">
        <f>IF(AY58="","",BA58)</f>
        <v/>
      </c>
      <c r="AK77" s="866" t="n"/>
      <c r="AL77" s="47" t="n"/>
      <c r="AM77" s="47" t="n"/>
      <c r="AN77" s="47" t="n"/>
      <c r="AO77" s="47" t="n"/>
      <c r="AP77" s="47" t="n"/>
      <c r="AQ77" s="47" t="n"/>
      <c r="AR77" s="47" t="n"/>
      <c r="AS77" s="47" t="n"/>
      <c r="AT77" s="47" t="n"/>
      <c r="AU77" s="47" t="n"/>
      <c r="AV77" s="118" t="n"/>
      <c r="AW77" s="310" t="n"/>
      <c r="AX77" s="36" t="n"/>
      <c r="AY77" s="64" t="n"/>
      <c r="AZ77" s="838" t="n"/>
      <c r="BC77" s="31">
        <f>IF(Planning!B70="","",Planning!B70)</f>
        <v/>
      </c>
      <c r="BD77" s="105" t="n"/>
      <c r="BE77" s="885">
        <f>Planning!E70</f>
        <v/>
      </c>
      <c r="BF77" s="885">
        <f>Planning!F70</f>
        <v/>
      </c>
      <c r="BG77" s="886" t="n"/>
      <c r="BH77" s="105" t="n"/>
      <c r="BI77" s="885">
        <f>Planning!I70</f>
        <v/>
      </c>
      <c r="BJ77" s="885">
        <f>Planning!J70</f>
        <v/>
      </c>
      <c r="BK77" s="886" t="n"/>
      <c r="BL77" s="105" t="n"/>
      <c r="BM77" s="885">
        <f>Planning!M70</f>
        <v/>
      </c>
      <c r="BN77" s="885">
        <f>Planning!N70</f>
        <v/>
      </c>
      <c r="BO77" s="886" t="n"/>
      <c r="BP77" s="105" t="n"/>
      <c r="BQ77" s="885">
        <f>Planning!Q70</f>
        <v/>
      </c>
      <c r="BR77" s="885">
        <f>Planning!R70</f>
        <v/>
      </c>
      <c r="BS77" s="886" t="n"/>
      <c r="BT77" s="105" t="n"/>
      <c r="BU77" s="885">
        <f>Planning!U70</f>
        <v/>
      </c>
      <c r="BV77" s="885">
        <f>Planning!V70</f>
        <v/>
      </c>
      <c r="BW77" s="886" t="n"/>
      <c r="BX77" s="105" t="n"/>
      <c r="BY77" s="885">
        <f>Planning!Y70</f>
        <v/>
      </c>
      <c r="BZ77" s="885">
        <f>Planning!Z70</f>
        <v/>
      </c>
      <c r="CA77" s="886" t="n"/>
      <c r="CB77" s="105" t="n"/>
      <c r="CC77" s="885">
        <f>Planning!AC70</f>
        <v/>
      </c>
      <c r="CD77" s="885">
        <f>Planning!AD70</f>
        <v/>
      </c>
      <c r="CE77" s="886" t="n"/>
      <c r="CF77" s="105" t="n"/>
      <c r="CG77" s="887">
        <f>Planning!AG70</f>
        <v/>
      </c>
      <c r="CH77" s="105" t="n"/>
      <c r="CI77" s="252">
        <f>IF(BC77="","",Planning!AI70)</f>
        <v/>
      </c>
      <c r="CJ77" s="252">
        <f>IF(BC77="","",Planning!AJ70)</f>
        <v/>
      </c>
      <c r="CK77" s="252">
        <f>IF(BC77="","",Planning!AK70)</f>
        <v/>
      </c>
      <c r="CL77" s="252">
        <f>IF(BC77="","",Planning!AH70)</f>
        <v/>
      </c>
      <c r="CM77" s="21" t="n"/>
    </row>
    <row r="78" ht="13.5" customHeight="1">
      <c r="A78" s="159" t="n"/>
      <c r="B78" s="440">
        <f>IFERROR(IF(COUNTIF(Instellingen!$N$40:$N$47,"")&gt;4,"",VLOOKUP(SMALL(Instellingen!$N$40:$N$47,4),Instellingen!$N$40:$T$47,7,FALSE)),"")</f>
        <v/>
      </c>
      <c r="C78" s="902">
        <f>IFERROR(IF(B78="","",VLOOKUP(B78,Instellingen!$B$40:$G$47,6,FALSE)),"")</f>
        <v/>
      </c>
      <c r="D78" s="866" t="n"/>
      <c r="H78" s="673" t="inlineStr">
        <is>
          <t>bl - Bepalen langrestant</t>
        </is>
      </c>
      <c r="I78" s="264" t="n"/>
      <c r="J78" s="264" t="n"/>
      <c r="K78" s="264" t="n"/>
      <c r="L78" s="264" t="n"/>
      <c r="M78" s="264" t="n"/>
      <c r="N78" s="264" t="n"/>
      <c r="O78" s="264" t="n"/>
      <c r="P78" s="901">
        <f>BA25</f>
        <v/>
      </c>
      <c r="Q78" s="866" t="n"/>
      <c r="R78" s="673" t="inlineStr">
        <is>
          <t>act - Actieopbouw</t>
        </is>
      </c>
      <c r="S78" s="264" t="n"/>
      <c r="T78" s="264" t="n"/>
      <c r="U78" s="264" t="n"/>
      <c r="V78" s="264" t="n"/>
      <c r="W78" s="264" t="n"/>
      <c r="X78" s="264" t="n"/>
      <c r="Y78" s="264" t="n"/>
      <c r="Z78" s="675">
        <f>BA42</f>
        <v/>
      </c>
      <c r="AA78" s="264" t="n"/>
      <c r="AB78" s="907">
        <f>IF(AY59="","",CONCATENATE(AY59," - ",AZ59))</f>
        <v/>
      </c>
      <c r="AC78" s="264" t="n"/>
      <c r="AD78" s="264" t="n"/>
      <c r="AE78" s="264" t="n"/>
      <c r="AF78" s="264" t="n"/>
      <c r="AG78" s="264" t="n"/>
      <c r="AH78" s="264" t="n"/>
      <c r="AI78" s="866" t="n"/>
      <c r="AJ78" s="901">
        <f>IF(AY59="","",BA59)</f>
        <v/>
      </c>
      <c r="AK78" s="866" t="n"/>
      <c r="AL78" s="47" t="n"/>
      <c r="AM78" s="47" t="n"/>
      <c r="AN78" s="47" t="n"/>
      <c r="AO78" s="47" t="n"/>
      <c r="AP78" s="47" t="n"/>
      <c r="AQ78" s="47" t="n"/>
      <c r="AR78" s="47" t="n"/>
      <c r="AS78" s="47" t="n"/>
      <c r="AT78" s="47" t="n"/>
      <c r="AU78" s="47" t="n"/>
      <c r="AV78" s="118" t="n"/>
      <c r="AW78" s="310" t="n"/>
      <c r="AX78" s="36" t="n"/>
      <c r="AY78" s="64" t="n"/>
      <c r="AZ78" s="838" t="n"/>
      <c r="BC78" s="31">
        <f>IF(Planning!B71="","",Planning!B71)</f>
        <v/>
      </c>
      <c r="BD78" s="105" t="n"/>
      <c r="BE78" s="885">
        <f>Planning!E71</f>
        <v/>
      </c>
      <c r="BF78" s="885">
        <f>Planning!F71</f>
        <v/>
      </c>
      <c r="BG78" s="886" t="n"/>
      <c r="BH78" s="105" t="n"/>
      <c r="BI78" s="885">
        <f>Planning!I71</f>
        <v/>
      </c>
      <c r="BJ78" s="885">
        <f>Planning!J71</f>
        <v/>
      </c>
      <c r="BK78" s="886" t="n"/>
      <c r="BL78" s="105" t="n"/>
      <c r="BM78" s="885">
        <f>Planning!M71</f>
        <v/>
      </c>
      <c r="BN78" s="885">
        <f>Planning!N71</f>
        <v/>
      </c>
      <c r="BO78" s="886" t="n"/>
      <c r="BP78" s="105" t="n"/>
      <c r="BQ78" s="885">
        <f>Planning!Q71</f>
        <v/>
      </c>
      <c r="BR78" s="885">
        <f>Planning!R71</f>
        <v/>
      </c>
      <c r="BS78" s="886" t="n"/>
      <c r="BT78" s="105" t="n"/>
      <c r="BU78" s="885">
        <f>Planning!U71</f>
        <v/>
      </c>
      <c r="BV78" s="885">
        <f>Planning!V71</f>
        <v/>
      </c>
      <c r="BW78" s="886" t="n"/>
      <c r="BX78" s="105" t="n"/>
      <c r="BY78" s="885">
        <f>Planning!Y71</f>
        <v/>
      </c>
      <c r="BZ78" s="885">
        <f>Planning!Z71</f>
        <v/>
      </c>
      <c r="CA78" s="886" t="n"/>
      <c r="CB78" s="105" t="n"/>
      <c r="CC78" s="885">
        <f>Planning!AC71</f>
        <v/>
      </c>
      <c r="CD78" s="885">
        <f>Planning!AD71</f>
        <v/>
      </c>
      <c r="CE78" s="886" t="n"/>
      <c r="CF78" s="105" t="n"/>
      <c r="CG78" s="887">
        <f>Planning!AG71</f>
        <v/>
      </c>
      <c r="CH78" s="105" t="n"/>
      <c r="CI78" s="252">
        <f>IF(BC78="","",Planning!AI71)</f>
        <v/>
      </c>
      <c r="CJ78" s="252">
        <f>IF(BC78="","",Planning!AJ71)</f>
        <v/>
      </c>
      <c r="CK78" s="252">
        <f>IF(BC78="","",Planning!AK71)</f>
        <v/>
      </c>
      <c r="CL78" s="252">
        <f>IF(BC78="","",Planning!AH71)</f>
        <v/>
      </c>
      <c r="CM78" s="21" t="n"/>
    </row>
    <row r="79" ht="13.5" customHeight="1">
      <c r="A79" s="159" t="n"/>
      <c r="B79" s="440">
        <f>IFERROR(IF(COUNTIF(Instellingen!$N$40:$N$47,"")&gt;3,"",VLOOKUP(SMALL(Instellingen!$N$40:$N$47,5),Instellingen!$N$40:$T$47,7,FALSE)),"")</f>
        <v/>
      </c>
      <c r="C79" s="902">
        <f>IFERROR(IF(B79="","",VLOOKUP(B79,Instellingen!$B$40:$G$47,6,FALSE)),"")</f>
        <v/>
      </c>
      <c r="D79" s="866" t="n"/>
      <c r="H79" s="673" t="inlineStr">
        <is>
          <t>hl - Hardlopers vullen</t>
        </is>
      </c>
      <c r="I79" s="264" t="n"/>
      <c r="J79" s="264" t="n"/>
      <c r="K79" s="264" t="n"/>
      <c r="L79" s="264" t="n"/>
      <c r="M79" s="264" t="n"/>
      <c r="N79" s="264" t="n"/>
      <c r="O79" s="264" t="n"/>
      <c r="P79" s="901">
        <f>BA26</f>
        <v/>
      </c>
      <c r="Q79" s="866" t="n"/>
      <c r="R79" s="673" t="inlineStr">
        <is>
          <t>com - Comco sorteren</t>
        </is>
      </c>
      <c r="S79" s="264" t="n"/>
      <c r="T79" s="264" t="n"/>
      <c r="U79" s="264" t="n"/>
      <c r="V79" s="264" t="n"/>
      <c r="W79" s="264" t="n"/>
      <c r="X79" s="264" t="n"/>
      <c r="Y79" s="264" t="n"/>
      <c r="Z79" s="675">
        <f>BA43</f>
        <v/>
      </c>
      <c r="AA79" s="264" t="n"/>
      <c r="AB79" s="907">
        <f>IF(AY60="","",CONCATENATE(AY60," - ",AZ60))</f>
        <v/>
      </c>
      <c r="AC79" s="264" t="n"/>
      <c r="AD79" s="264" t="n"/>
      <c r="AE79" s="264" t="n"/>
      <c r="AF79" s="264" t="n"/>
      <c r="AG79" s="264" t="n"/>
      <c r="AH79" s="264" t="n"/>
      <c r="AI79" s="866" t="n"/>
      <c r="AJ79" s="901">
        <f>IF(AY60="","",BA60)</f>
        <v/>
      </c>
      <c r="AK79" s="866" t="n"/>
      <c r="AL79" s="47" t="n"/>
      <c r="AM79" s="47" t="n"/>
      <c r="AN79" s="47" t="n"/>
      <c r="AO79" s="47" t="n"/>
      <c r="AP79" s="47" t="n"/>
      <c r="AQ79" s="47" t="n"/>
      <c r="AR79" s="47" t="n"/>
      <c r="AS79" s="47" t="n"/>
      <c r="AT79" s="47" t="n"/>
      <c r="AU79" s="47" t="n"/>
      <c r="AV79" s="118" t="n"/>
      <c r="AW79" s="310" t="n"/>
      <c r="AX79" s="36" t="n"/>
      <c r="AY79" s="64" t="n"/>
      <c r="AZ79" s="838" t="n"/>
      <c r="BC79" s="31">
        <f>IF(Planning!B72="","",Planning!B72)</f>
        <v/>
      </c>
      <c r="BD79" s="105" t="n"/>
      <c r="BE79" s="885">
        <f>Planning!E72</f>
        <v/>
      </c>
      <c r="BF79" s="885">
        <f>Planning!F72</f>
        <v/>
      </c>
      <c r="BG79" s="886" t="n"/>
      <c r="BH79" s="105" t="n"/>
      <c r="BI79" s="885">
        <f>Planning!I72</f>
        <v/>
      </c>
      <c r="BJ79" s="885">
        <f>Planning!J72</f>
        <v/>
      </c>
      <c r="BK79" s="886" t="n"/>
      <c r="BL79" s="105" t="n"/>
      <c r="BM79" s="885">
        <f>Planning!M72</f>
        <v/>
      </c>
      <c r="BN79" s="885">
        <f>Planning!N72</f>
        <v/>
      </c>
      <c r="BO79" s="886" t="n"/>
      <c r="BP79" s="105" t="n"/>
      <c r="BQ79" s="885">
        <f>Planning!Q72</f>
        <v/>
      </c>
      <c r="BR79" s="885">
        <f>Planning!R72</f>
        <v/>
      </c>
      <c r="BS79" s="886" t="n"/>
      <c r="BT79" s="105" t="n"/>
      <c r="BU79" s="885">
        <f>Planning!U72</f>
        <v/>
      </c>
      <c r="BV79" s="885">
        <f>Planning!V72</f>
        <v/>
      </c>
      <c r="BW79" s="886" t="n"/>
      <c r="BX79" s="105" t="n"/>
      <c r="BY79" s="885">
        <f>Planning!Y72</f>
        <v/>
      </c>
      <c r="BZ79" s="885">
        <f>Planning!Z72</f>
        <v/>
      </c>
      <c r="CA79" s="886" t="n"/>
      <c r="CB79" s="105" t="n"/>
      <c r="CC79" s="885">
        <f>Planning!AC72</f>
        <v/>
      </c>
      <c r="CD79" s="885">
        <f>Planning!AD72</f>
        <v/>
      </c>
      <c r="CE79" s="886" t="n"/>
      <c r="CF79" s="105" t="n"/>
      <c r="CG79" s="887">
        <f>Planning!AG72</f>
        <v/>
      </c>
      <c r="CH79" s="105" t="n"/>
      <c r="CI79" s="252">
        <f>IF(BC79="","",Planning!AI72)</f>
        <v/>
      </c>
      <c r="CJ79" s="252">
        <f>IF(BC79="","",Planning!AJ72)</f>
        <v/>
      </c>
      <c r="CK79" s="252">
        <f>IF(BC79="","",Planning!AK72)</f>
        <v/>
      </c>
      <c r="CL79" s="252">
        <f>IF(BC79="","",Planning!AH72)</f>
        <v/>
      </c>
      <c r="CM79" s="21" t="n"/>
    </row>
    <row r="80" ht="13.5" customHeight="1">
      <c r="A80" s="159" t="n"/>
      <c r="B80" s="251">
        <f>IFERROR(IF(COUNTIF(Instellingen!$N$40:$N$47,"")&gt;2,"",VLOOKUP(SMALL(Instellingen!$N$40:$N$47,6),Instellingen!$N$40:$T$47,7,FALSE)),"")</f>
        <v/>
      </c>
      <c r="C80" s="902">
        <f>IFERROR(IF(B80="","",VLOOKUP(B80,Instellingen!$B$40:$G$47,6,FALSE)),"")</f>
        <v/>
      </c>
      <c r="D80" s="866" t="n"/>
      <c r="H80" s="673" t="inlineStr">
        <is>
          <t>lhb - Neeverkoop HB</t>
        </is>
      </c>
      <c r="I80" s="264" t="n"/>
      <c r="J80" s="264" t="n"/>
      <c r="K80" s="264" t="n"/>
      <c r="L80" s="264" t="n"/>
      <c r="M80" s="264" t="n"/>
      <c r="N80" s="264" t="n"/>
      <c r="O80" s="264" t="n"/>
      <c r="P80" s="901">
        <f>BA27</f>
        <v/>
      </c>
      <c r="Q80" s="866" t="n"/>
      <c r="R80" s="673" t="inlineStr">
        <is>
          <t>pro - Promotie</t>
        </is>
      </c>
      <c r="S80" s="264" t="n"/>
      <c r="T80" s="264" t="n"/>
      <c r="U80" s="264" t="n"/>
      <c r="V80" s="264" t="n"/>
      <c r="W80" s="264" t="n"/>
      <c r="X80" s="264" t="n"/>
      <c r="Y80" s="264" t="n"/>
      <c r="Z80" s="675">
        <f>BA44</f>
        <v/>
      </c>
      <c r="AA80" s="264" t="n"/>
      <c r="AB80" s="909">
        <f>IF(BA61=0,"","Taken zonder legenda")</f>
        <v/>
      </c>
      <c r="AC80" s="264" t="n"/>
      <c r="AD80" s="264" t="n"/>
      <c r="AE80" s="264" t="n"/>
      <c r="AF80" s="264" t="n"/>
      <c r="AG80" s="264" t="n"/>
      <c r="AH80" s="264" t="n"/>
      <c r="AI80" s="866" t="n"/>
      <c r="AJ80" s="910">
        <f>IF(BA61=0,"",BA61)</f>
        <v/>
      </c>
      <c r="AK80" s="866" t="n"/>
      <c r="AL80" s="47" t="n"/>
      <c r="AM80" s="47" t="n"/>
      <c r="AN80" s="47" t="n"/>
      <c r="AO80" s="47" t="n"/>
      <c r="AP80" s="47" t="n"/>
      <c r="AQ80" s="47" t="n"/>
      <c r="AR80" s="47" t="n"/>
      <c r="AS80" s="47" t="n"/>
      <c r="AT80" s="47" t="n"/>
      <c r="AU80" s="47" t="n"/>
      <c r="AV80" s="118" t="n"/>
      <c r="AW80" s="310" t="n"/>
      <c r="AX80" s="36" t="n"/>
      <c r="AY80" s="64" t="n"/>
      <c r="AZ80" s="838" t="n"/>
      <c r="BC80" s="31">
        <f>IF(Planning!B73="","",Planning!B73)</f>
        <v/>
      </c>
      <c r="BD80" s="105" t="n"/>
      <c r="BE80" s="885">
        <f>Planning!E73</f>
        <v/>
      </c>
      <c r="BF80" s="885">
        <f>Planning!F73</f>
        <v/>
      </c>
      <c r="BG80" s="886" t="n"/>
      <c r="BH80" s="105" t="n"/>
      <c r="BI80" s="885">
        <f>Planning!I73</f>
        <v/>
      </c>
      <c r="BJ80" s="885">
        <f>Planning!J73</f>
        <v/>
      </c>
      <c r="BK80" s="886" t="n"/>
      <c r="BL80" s="105" t="n"/>
      <c r="BM80" s="885">
        <f>Planning!M73</f>
        <v/>
      </c>
      <c r="BN80" s="885">
        <f>Planning!N73</f>
        <v/>
      </c>
      <c r="BO80" s="886" t="n"/>
      <c r="BP80" s="105" t="n"/>
      <c r="BQ80" s="885">
        <f>Planning!Q73</f>
        <v/>
      </c>
      <c r="BR80" s="885">
        <f>Planning!R73</f>
        <v/>
      </c>
      <c r="BS80" s="886" t="n"/>
      <c r="BT80" s="105" t="n"/>
      <c r="BU80" s="885">
        <f>Planning!U73</f>
        <v/>
      </c>
      <c r="BV80" s="885">
        <f>Planning!V73</f>
        <v/>
      </c>
      <c r="BW80" s="886" t="n"/>
      <c r="BX80" s="105" t="n"/>
      <c r="BY80" s="885">
        <f>Planning!Y73</f>
        <v/>
      </c>
      <c r="BZ80" s="885">
        <f>Planning!Z73</f>
        <v/>
      </c>
      <c r="CA80" s="886" t="n"/>
      <c r="CB80" s="105" t="n"/>
      <c r="CC80" s="885">
        <f>Planning!AC73</f>
        <v/>
      </c>
      <c r="CD80" s="885">
        <f>Planning!AD73</f>
        <v/>
      </c>
      <c r="CE80" s="886" t="n"/>
      <c r="CF80" s="105" t="n"/>
      <c r="CG80" s="887">
        <f>Planning!AG73</f>
        <v/>
      </c>
      <c r="CH80" s="105" t="n"/>
      <c r="CI80" s="252">
        <f>IF(BC80="","",Planning!AI73)</f>
        <v/>
      </c>
      <c r="CJ80" s="252">
        <f>IF(BC80="","",Planning!AJ73)</f>
        <v/>
      </c>
      <c r="CK80" s="252">
        <f>IF(BC80="","",Planning!AK73)</f>
        <v/>
      </c>
      <c r="CL80" s="252">
        <f>IF(BC80="","",Planning!AH73)</f>
        <v/>
      </c>
      <c r="CM80" s="21" t="n"/>
    </row>
    <row r="81" ht="13.5" customHeight="1">
      <c r="A81" s="159" t="n"/>
      <c r="B81" s="440">
        <f>IFERROR(IF(COUNTIF(Instellingen!$N$40:$N$47,"")&gt;1,"",VLOOKUP(SMALL(Instellingen!$N$40:$N$47,7),Instellingen!$N$40:$T$47,7,FALSE)),"")</f>
        <v/>
      </c>
      <c r="C81" s="902">
        <f>IFERROR(IF(B81="","",VLOOKUP(B81,Instellingen!$B$40:$G$47,6,FALSE)),"")</f>
        <v/>
      </c>
      <c r="D81" s="866" t="n"/>
      <c r="H81" s="673" t="inlineStr">
        <is>
          <t>ldv - Neeverkoop DV</t>
        </is>
      </c>
      <c r="I81" s="264" t="n"/>
      <c r="J81" s="264" t="n"/>
      <c r="K81" s="264" t="n"/>
      <c r="L81" s="264" t="n"/>
      <c r="M81" s="264" t="n"/>
      <c r="N81" s="264" t="n"/>
      <c r="O81" s="264" t="n"/>
      <c r="P81" s="901">
        <f>BA28</f>
        <v/>
      </c>
      <c r="Q81" s="866" t="n"/>
      <c r="R81" s="673" t="inlineStr">
        <is>
          <t>pw - Prijswijzigingen</t>
        </is>
      </c>
      <c r="S81" s="264" t="n"/>
      <c r="T81" s="264" t="n"/>
      <c r="U81" s="264" t="n"/>
      <c r="V81" s="264" t="n"/>
      <c r="W81" s="264" t="n"/>
      <c r="X81" s="264" t="n"/>
      <c r="Y81" s="264" t="n"/>
      <c r="Z81" s="675">
        <f>BA45</f>
        <v/>
      </c>
      <c r="AA81" s="264" t="n"/>
      <c r="AB81" s="911" t="inlineStr">
        <is>
          <t>p - Pauze (onbetaald)</t>
        </is>
      </c>
      <c r="AC81" s="264" t="n"/>
      <c r="AD81" s="264" t="n"/>
      <c r="AE81" s="264" t="n"/>
      <c r="AF81" s="264" t="n"/>
      <c r="AG81" s="264" t="n"/>
      <c r="AH81" s="264" t="n"/>
      <c r="AI81" s="866" t="n"/>
      <c r="AJ81" s="912">
        <f>BA62</f>
        <v/>
      </c>
      <c r="AK81" s="866" t="n"/>
      <c r="AL81" s="47" t="n"/>
      <c r="AM81" s="47" t="n"/>
      <c r="AN81" s="47" t="n"/>
      <c r="AO81" s="47" t="n"/>
      <c r="AP81" s="47" t="n"/>
      <c r="AQ81" s="47" t="n"/>
      <c r="AR81" s="47" t="n"/>
      <c r="AS81" s="47" t="n"/>
      <c r="AT81" s="47" t="n"/>
      <c r="AU81" s="47" t="n"/>
      <c r="AV81" s="118" t="n"/>
      <c r="AW81" s="310" t="n"/>
      <c r="AX81" s="36" t="n"/>
      <c r="AY81" s="64" t="n"/>
      <c r="AZ81" s="838" t="n"/>
      <c r="BC81" s="31">
        <f>IF(Planning!B74="","",Planning!B74)</f>
        <v/>
      </c>
      <c r="BD81" s="105" t="n"/>
      <c r="BE81" s="885">
        <f>Planning!E74</f>
        <v/>
      </c>
      <c r="BF81" s="885">
        <f>Planning!F74</f>
        <v/>
      </c>
      <c r="BG81" s="886" t="n"/>
      <c r="BH81" s="105" t="n"/>
      <c r="BI81" s="885">
        <f>Planning!I74</f>
        <v/>
      </c>
      <c r="BJ81" s="885">
        <f>Planning!J74</f>
        <v/>
      </c>
      <c r="BK81" s="886" t="n"/>
      <c r="BL81" s="105" t="n"/>
      <c r="BM81" s="885">
        <f>Planning!M74</f>
        <v/>
      </c>
      <c r="BN81" s="885">
        <f>Planning!N74</f>
        <v/>
      </c>
      <c r="BO81" s="886" t="n"/>
      <c r="BP81" s="105" t="n"/>
      <c r="BQ81" s="885">
        <f>Planning!Q74</f>
        <v/>
      </c>
      <c r="BR81" s="885">
        <f>Planning!R74</f>
        <v/>
      </c>
      <c r="BS81" s="886" t="n"/>
      <c r="BT81" s="105" t="n"/>
      <c r="BU81" s="885">
        <f>Planning!U74</f>
        <v/>
      </c>
      <c r="BV81" s="885">
        <f>Planning!V74</f>
        <v/>
      </c>
      <c r="BW81" s="886" t="n"/>
      <c r="BX81" s="105" t="n"/>
      <c r="BY81" s="885">
        <f>Planning!Y74</f>
        <v/>
      </c>
      <c r="BZ81" s="885">
        <f>Planning!Z74</f>
        <v/>
      </c>
      <c r="CA81" s="886" t="n"/>
      <c r="CB81" s="105" t="n"/>
      <c r="CC81" s="885">
        <f>Planning!AC74</f>
        <v/>
      </c>
      <c r="CD81" s="885">
        <f>Planning!AD74</f>
        <v/>
      </c>
      <c r="CE81" s="886" t="n"/>
      <c r="CF81" s="105" t="n"/>
      <c r="CG81" s="887">
        <f>Planning!AG74</f>
        <v/>
      </c>
      <c r="CH81" s="105" t="n"/>
      <c r="CI81" s="252">
        <f>IF(BC81="","",Planning!AI74)</f>
        <v/>
      </c>
      <c r="CJ81" s="252">
        <f>IF(BC81="","",Planning!AJ74)</f>
        <v/>
      </c>
      <c r="CK81" s="252">
        <f>IF(BC81="","",Planning!AK74)</f>
        <v/>
      </c>
      <c r="CL81" s="252">
        <f>IF(BC81="","",Planning!AH74)</f>
        <v/>
      </c>
      <c r="CM81" s="21" t="n"/>
    </row>
    <row r="82" ht="13.5" customHeight="1">
      <c r="A82" s="159" t="n"/>
      <c r="B82" s="441">
        <f>IFERROR(IF(COUNTIF(Instellingen!$N$40:$N$47,"")&gt;0,"",VLOOKUP(SMALL(Instellingen!$N$40:$N$47,8),Instellingen!$N$40:$T$47,7,FALSE)),"")</f>
        <v/>
      </c>
      <c r="C82" s="908">
        <f>IFERROR(IF(B82="","",VLOOKUP(B82,Instellingen!$B$40:$G$47,6,FALSE)),"")</f>
        <v/>
      </c>
      <c r="D82" s="869" t="n"/>
      <c r="H82" s="661" t="inlineStr">
        <is>
          <t>lvv - Neeverkoop Vers</t>
        </is>
      </c>
      <c r="I82" s="906" t="n"/>
      <c r="J82" s="906" t="n"/>
      <c r="K82" s="906" t="n"/>
      <c r="L82" s="906" t="n"/>
      <c r="M82" s="906" t="n"/>
      <c r="N82" s="906" t="n"/>
      <c r="O82" s="906" t="n"/>
      <c r="P82" s="913">
        <f>BA29</f>
        <v/>
      </c>
      <c r="Q82" s="869" t="n"/>
      <c r="R82" s="661" t="inlineStr">
        <is>
          <t>wap - WAP uitvoeren</t>
        </is>
      </c>
      <c r="S82" s="906" t="n"/>
      <c r="T82" s="906" t="n"/>
      <c r="U82" s="906" t="n"/>
      <c r="V82" s="906" t="n"/>
      <c r="W82" s="906" t="n"/>
      <c r="X82" s="906" t="n"/>
      <c r="Y82" s="906" t="n"/>
      <c r="Z82" s="663">
        <f>BA46</f>
        <v/>
      </c>
      <c r="AA82" s="906" t="n"/>
      <c r="AB82" s="914" t="inlineStr">
        <is>
          <t>afw - Afwezig / ziek</t>
        </is>
      </c>
      <c r="AC82" s="906" t="n"/>
      <c r="AD82" s="906" t="n"/>
      <c r="AE82" s="906" t="n"/>
      <c r="AF82" s="906" t="n"/>
      <c r="AG82" s="906" t="n"/>
      <c r="AH82" s="906" t="n"/>
      <c r="AI82" s="869" t="n"/>
      <c r="AJ82" s="915">
        <f>BA63</f>
        <v/>
      </c>
      <c r="AK82" s="869" t="n"/>
      <c r="AL82" s="47" t="n"/>
      <c r="AM82" s="47" t="n"/>
      <c r="AN82" s="47" t="n"/>
      <c r="AO82" s="47" t="n"/>
      <c r="AP82" s="47" t="n"/>
      <c r="AQ82" s="47" t="n"/>
      <c r="AR82" s="47" t="n"/>
      <c r="AS82" s="47" t="n"/>
      <c r="AT82" s="47" t="n"/>
      <c r="AU82" s="47" t="n"/>
      <c r="AV82" s="118" t="n"/>
      <c r="AW82" s="310" t="n"/>
      <c r="AX82" s="36" t="n"/>
      <c r="AY82" s="64" t="n"/>
      <c r="AZ82" s="838" t="n"/>
      <c r="BC82" s="31">
        <f>IF(Planning!B75="","",Planning!B75)</f>
        <v/>
      </c>
      <c r="BD82" s="105" t="n"/>
      <c r="BE82" s="885">
        <f>Planning!E75</f>
        <v/>
      </c>
      <c r="BF82" s="885">
        <f>Planning!F75</f>
        <v/>
      </c>
      <c r="BG82" s="886" t="n"/>
      <c r="BH82" s="105" t="n"/>
      <c r="BI82" s="885">
        <f>Planning!I75</f>
        <v/>
      </c>
      <c r="BJ82" s="885">
        <f>Planning!J75</f>
        <v/>
      </c>
      <c r="BK82" s="886" t="n"/>
      <c r="BL82" s="105" t="n"/>
      <c r="BM82" s="885">
        <f>Planning!M75</f>
        <v/>
      </c>
      <c r="BN82" s="885">
        <f>Planning!N75</f>
        <v/>
      </c>
      <c r="BO82" s="886" t="n"/>
      <c r="BP82" s="105" t="n"/>
      <c r="BQ82" s="885">
        <f>Planning!Q75</f>
        <v/>
      </c>
      <c r="BR82" s="885">
        <f>Planning!R75</f>
        <v/>
      </c>
      <c r="BS82" s="886" t="n"/>
      <c r="BT82" s="105" t="n"/>
      <c r="BU82" s="885">
        <f>Planning!U75</f>
        <v/>
      </c>
      <c r="BV82" s="885">
        <f>Planning!V75</f>
        <v/>
      </c>
      <c r="BW82" s="886" t="n"/>
      <c r="BX82" s="105" t="n"/>
      <c r="BY82" s="885">
        <f>Planning!Y75</f>
        <v/>
      </c>
      <c r="BZ82" s="885">
        <f>Planning!Z75</f>
        <v/>
      </c>
      <c r="CA82" s="886" t="n"/>
      <c r="CB82" s="105" t="n"/>
      <c r="CC82" s="885">
        <f>Planning!AC75</f>
        <v/>
      </c>
      <c r="CD82" s="885">
        <f>Planning!AD75</f>
        <v/>
      </c>
      <c r="CE82" s="886" t="n"/>
      <c r="CF82" s="105" t="n"/>
      <c r="CG82" s="887">
        <f>Planning!AG75</f>
        <v/>
      </c>
      <c r="CH82" s="105" t="n"/>
      <c r="CI82" s="252">
        <f>IF(BC82="","",Planning!AI75)</f>
        <v/>
      </c>
      <c r="CJ82" s="252">
        <f>IF(BC82="","",Planning!AJ75)</f>
        <v/>
      </c>
      <c r="CK82" s="252">
        <f>IF(BC82="","",Planning!AK75)</f>
        <v/>
      </c>
      <c r="CL82" s="252">
        <f>IF(BC82="","",Planning!AH75)</f>
        <v/>
      </c>
      <c r="CM82" s="21" t="n"/>
    </row>
    <row r="83" ht="6" customHeight="1">
      <c r="A83" s="159" t="n"/>
      <c r="P83" s="310" t="n"/>
      <c r="Q83" s="310" t="n"/>
      <c r="W83" s="110" t="n"/>
      <c r="X83" s="109" t="n"/>
      <c r="Y83" s="109" t="n"/>
      <c r="Z83" s="109" t="n"/>
      <c r="AA83" s="109" t="n"/>
      <c r="AB83" s="109" t="n"/>
      <c r="AC83" s="109" t="n"/>
      <c r="AD83" s="109" t="n"/>
      <c r="AE83" s="109" t="n"/>
      <c r="AF83" s="109" t="n"/>
      <c r="AG83" s="109" t="n"/>
      <c r="AH83" s="47" t="n"/>
      <c r="AI83" s="47" t="n"/>
      <c r="AJ83" s="47" t="n"/>
      <c r="AK83" s="47" t="n"/>
      <c r="AL83" s="47" t="n"/>
      <c r="AM83" s="47" t="n"/>
      <c r="AN83" s="47" t="n"/>
      <c r="AO83" s="47" t="n"/>
      <c r="AP83" s="47" t="n"/>
      <c r="AQ83" s="47" t="n"/>
      <c r="AR83" s="47" t="n"/>
      <c r="AS83" s="47" t="n"/>
      <c r="AT83" s="47" t="n"/>
      <c r="AU83" s="47" t="n"/>
      <c r="AV83" s="118" t="n"/>
      <c r="AW83" s="310" t="n"/>
      <c r="AX83" s="36" t="n"/>
      <c r="AY83" s="64" t="n"/>
      <c r="AZ83" s="838" t="n"/>
      <c r="CM83" s="21" t="n"/>
    </row>
    <row r="84" ht="13.5" customHeight="1">
      <c r="A84" s="159" t="n"/>
      <c r="B84" s="916" t="inlineStr">
        <is>
          <t>Opmerkingen</t>
        </is>
      </c>
      <c r="C84" s="883" t="n"/>
      <c r="D84" s="883" t="n"/>
      <c r="E84" s="883" t="n"/>
      <c r="F84" s="883" t="n"/>
      <c r="G84" s="883" t="n"/>
      <c r="H84" s="883" t="n"/>
      <c r="I84" s="883" t="n"/>
      <c r="J84" s="883" t="n"/>
      <c r="K84" s="883" t="n"/>
      <c r="L84" s="883" t="n"/>
      <c r="M84" s="883" t="n"/>
      <c r="N84" s="883" t="n"/>
      <c r="O84" s="883" t="n"/>
      <c r="P84" s="883" t="n"/>
      <c r="Q84" s="883" t="n"/>
      <c r="R84" s="883" t="n"/>
      <c r="S84" s="883" t="n"/>
      <c r="T84" s="883" t="n"/>
      <c r="U84" s="883" t="n"/>
      <c r="V84" s="883" t="n"/>
      <c r="W84" s="883" t="n"/>
      <c r="X84" s="883" t="n"/>
      <c r="Y84" s="883" t="n"/>
      <c r="Z84" s="883" t="n"/>
      <c r="AA84" s="883" t="n"/>
      <c r="AB84" s="883" t="n"/>
      <c r="AC84" s="883" t="n"/>
      <c r="AD84" s="883" t="n"/>
      <c r="AE84" s="883" t="n"/>
      <c r="AF84" s="883" t="n"/>
      <c r="AG84" s="883" t="n"/>
      <c r="AH84" s="883" t="n"/>
      <c r="AI84" s="883" t="n"/>
      <c r="AJ84" s="883" t="n"/>
      <c r="AK84" s="884" t="n"/>
      <c r="AL84" s="47" t="n"/>
      <c r="AM84" s="47" t="n"/>
      <c r="AN84" s="47" t="n"/>
      <c r="AO84" s="47" t="n"/>
      <c r="AP84" s="47" t="n"/>
      <c r="AQ84" s="47" t="n"/>
      <c r="AR84" s="47" t="n"/>
      <c r="AS84" s="47" t="n"/>
      <c r="AT84" s="47" t="n"/>
      <c r="AU84" s="47" t="n"/>
      <c r="AV84" s="118" t="n"/>
      <c r="AW84" s="310" t="n"/>
      <c r="AX84" s="36" t="n"/>
      <c r="AY84" s="64" t="n"/>
      <c r="AZ84" s="838" t="n"/>
      <c r="CM84" s="21" t="n"/>
    </row>
    <row r="85" ht="13.5" customHeight="1">
      <c r="A85" s="159" t="n"/>
      <c r="B85" s="917" t="n"/>
      <c r="C85" s="918" t="n"/>
      <c r="D85" s="918" t="n"/>
      <c r="E85" s="918" t="n"/>
      <c r="F85" s="918" t="n"/>
      <c r="G85" s="918" t="n"/>
      <c r="H85" s="918" t="n"/>
      <c r="I85" s="918" t="n"/>
      <c r="J85" s="918" t="n"/>
      <c r="K85" s="918" t="n"/>
      <c r="L85" s="918" t="n"/>
      <c r="M85" s="918" t="n"/>
      <c r="N85" s="918" t="n"/>
      <c r="O85" s="918" t="n"/>
      <c r="P85" s="918" t="n"/>
      <c r="Q85" s="918" t="n"/>
      <c r="R85" s="918" t="n"/>
      <c r="S85" s="918" t="n"/>
      <c r="T85" s="918" t="n"/>
      <c r="U85" s="918" t="n"/>
      <c r="V85" s="918" t="n"/>
      <c r="W85" s="918" t="n"/>
      <c r="X85" s="918" t="n"/>
      <c r="Y85" s="918" t="n"/>
      <c r="Z85" s="918" t="n"/>
      <c r="AA85" s="918" t="n"/>
      <c r="AB85" s="918" t="n"/>
      <c r="AC85" s="918" t="n"/>
      <c r="AD85" s="918" t="n"/>
      <c r="AE85" s="918" t="n"/>
      <c r="AF85" s="918" t="n"/>
      <c r="AG85" s="918" t="n"/>
      <c r="AH85" s="918" t="n"/>
      <c r="AI85" s="918" t="n"/>
      <c r="AJ85" s="918" t="n"/>
      <c r="AK85" s="919" t="n"/>
      <c r="AL85" s="47" t="n"/>
      <c r="AM85" s="47" t="n"/>
      <c r="AN85" s="47" t="n"/>
      <c r="AO85" s="47" t="n"/>
      <c r="AP85" s="47" t="n"/>
      <c r="AQ85" s="47" t="n"/>
      <c r="AR85" s="47" t="n"/>
      <c r="AS85" s="47" t="n"/>
      <c r="AT85" s="47" t="n"/>
      <c r="AU85" s="47" t="n"/>
      <c r="AV85" s="118" t="n"/>
      <c r="AW85" s="310" t="n"/>
      <c r="AX85" s="36" t="n"/>
      <c r="AY85" s="64" t="n"/>
      <c r="AZ85" s="838" t="n"/>
      <c r="CM85" s="21" t="n"/>
    </row>
    <row r="86" ht="13.5" customHeight="1">
      <c r="A86" s="159" t="n"/>
      <c r="B86" s="920" t="n"/>
      <c r="C86" s="921" t="n"/>
      <c r="D86" s="921" t="n"/>
      <c r="E86" s="921" t="n"/>
      <c r="F86" s="921" t="n"/>
      <c r="G86" s="921" t="n"/>
      <c r="H86" s="921" t="n"/>
      <c r="I86" s="921" t="n"/>
      <c r="J86" s="921" t="n"/>
      <c r="K86" s="921" t="n"/>
      <c r="L86" s="921" t="n"/>
      <c r="M86" s="921" t="n"/>
      <c r="N86" s="921" t="n"/>
      <c r="O86" s="921" t="n"/>
      <c r="P86" s="921" t="n"/>
      <c r="Q86" s="921" t="n"/>
      <c r="R86" s="921" t="n"/>
      <c r="S86" s="921" t="n"/>
      <c r="T86" s="921" t="n"/>
      <c r="U86" s="921" t="n"/>
      <c r="V86" s="921" t="n"/>
      <c r="W86" s="921" t="n"/>
      <c r="X86" s="921" t="n"/>
      <c r="Y86" s="921" t="n"/>
      <c r="Z86" s="921" t="n"/>
      <c r="AA86" s="921" t="n"/>
      <c r="AB86" s="921" t="n"/>
      <c r="AC86" s="921" t="n"/>
      <c r="AD86" s="921" t="n"/>
      <c r="AE86" s="921" t="n"/>
      <c r="AF86" s="921" t="n"/>
      <c r="AG86" s="921" t="n"/>
      <c r="AH86" s="921" t="n"/>
      <c r="AI86" s="921" t="n"/>
      <c r="AJ86" s="921" t="n"/>
      <c r="AK86" s="922" t="n"/>
      <c r="AL86" s="47" t="n"/>
      <c r="AM86" s="47" t="n"/>
      <c r="AN86" s="47" t="n"/>
      <c r="AO86" s="47" t="n"/>
      <c r="AP86" s="47" t="n"/>
      <c r="AQ86" s="47" t="n"/>
      <c r="AR86" s="47" t="n"/>
      <c r="AS86" s="47" t="n"/>
      <c r="AT86" s="47" t="n"/>
      <c r="AU86" s="47" t="n"/>
      <c r="AV86" s="118" t="n"/>
      <c r="AW86" s="310" t="n"/>
      <c r="AX86" s="36" t="n"/>
      <c r="AY86" s="64" t="n"/>
      <c r="AZ86" s="838" t="n"/>
      <c r="CM86" s="21" t="n"/>
    </row>
    <row r="87" ht="6" customHeight="1">
      <c r="A87" s="163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 t="n"/>
      <c r="P87" s="119" t="n"/>
      <c r="Q87" s="119" t="n"/>
      <c r="R87" s="119" t="n"/>
      <c r="S87" s="119" t="n"/>
      <c r="T87" s="119" t="n"/>
      <c r="U87" s="120" t="n"/>
      <c r="V87" s="121" t="n"/>
      <c r="W87" s="121" t="n"/>
      <c r="X87" s="121" t="n"/>
      <c r="Y87" s="121" t="n"/>
      <c r="Z87" s="121" t="n"/>
      <c r="AA87" s="121" t="n"/>
      <c r="AB87" s="121" t="n"/>
      <c r="AC87" s="121" t="n"/>
      <c r="AD87" s="121" t="n"/>
      <c r="AE87" s="121" t="n"/>
      <c r="AF87" s="121" t="n"/>
      <c r="AG87" s="121" t="n"/>
      <c r="AH87" s="121" t="n"/>
      <c r="AI87" s="121" t="n"/>
      <c r="AJ87" s="121" t="n"/>
      <c r="AK87" s="121" t="n"/>
      <c r="AL87" s="121" t="n"/>
      <c r="AM87" s="121" t="n"/>
      <c r="AN87" s="121" t="n"/>
      <c r="AO87" s="121" t="n"/>
      <c r="AP87" s="121" t="n"/>
      <c r="AQ87" s="121" t="n"/>
      <c r="AR87" s="121" t="n"/>
      <c r="AS87" s="121" t="n"/>
      <c r="AT87" s="121" t="n"/>
      <c r="AU87" s="121" t="n"/>
      <c r="AV87" s="923" t="n"/>
      <c r="AW87" s="310" t="n"/>
      <c r="AX87" s="36" t="n"/>
      <c r="AY87" s="64" t="n"/>
      <c r="AZ87" s="838" t="n"/>
      <c r="CM87" s="21" t="n"/>
    </row>
  </sheetData>
  <mergeCells count="192">
    <mergeCell ref="H66:Q66"/>
    <mergeCell ref="AY61:AZ61"/>
    <mergeCell ref="N2:P2"/>
    <mergeCell ref="AC5:AE5"/>
    <mergeCell ref="H78:O78"/>
    <mergeCell ref="Q4:S4"/>
    <mergeCell ref="BM12:BN12"/>
    <mergeCell ref="Z76:AA76"/>
    <mergeCell ref="AB80:AI80"/>
    <mergeCell ref="Z3:AB3"/>
    <mergeCell ref="AC4:AE4"/>
    <mergeCell ref="R79:Y79"/>
    <mergeCell ref="C79:D79"/>
    <mergeCell ref="P69:Q69"/>
    <mergeCell ref="Z66:AA66"/>
    <mergeCell ref="T2:V2"/>
    <mergeCell ref="AB79:AI79"/>
    <mergeCell ref="Z75:AA75"/>
    <mergeCell ref="L12:M12"/>
    <mergeCell ref="AF5:AH5"/>
    <mergeCell ref="N12:O12"/>
    <mergeCell ref="AF2:AH2"/>
    <mergeCell ref="Z5:AB5"/>
    <mergeCell ref="AJ67:AK67"/>
    <mergeCell ref="H73:O73"/>
    <mergeCell ref="AB72:AI72"/>
    <mergeCell ref="P80:Q80"/>
    <mergeCell ref="AB81:AI81"/>
    <mergeCell ref="H70:O70"/>
    <mergeCell ref="R74:Y74"/>
    <mergeCell ref="W2:Y2"/>
    <mergeCell ref="R12:S12"/>
    <mergeCell ref="AJ69:AK69"/>
    <mergeCell ref="T12:U12"/>
    <mergeCell ref="P70:Q70"/>
    <mergeCell ref="AB71:AI71"/>
    <mergeCell ref="AL12:AM12"/>
    <mergeCell ref="AJ78:AK78"/>
    <mergeCell ref="AN12:AO12"/>
    <mergeCell ref="AF12:AG12"/>
    <mergeCell ref="C76:D76"/>
    <mergeCell ref="R76:Y76"/>
    <mergeCell ref="AF3:AH3"/>
    <mergeCell ref="K3:M3"/>
    <mergeCell ref="N4:P4"/>
    <mergeCell ref="AJ80:AK80"/>
    <mergeCell ref="R66:Y66"/>
    <mergeCell ref="C67:D67"/>
    <mergeCell ref="K5:M5"/>
    <mergeCell ref="H77:O77"/>
    <mergeCell ref="T4:V4"/>
    <mergeCell ref="R68:Y68"/>
    <mergeCell ref="Z80:AA80"/>
    <mergeCell ref="AF4:AH4"/>
    <mergeCell ref="P79:Q79"/>
    <mergeCell ref="C69:D69"/>
    <mergeCell ref="P73:Q73"/>
    <mergeCell ref="Q5:S5"/>
    <mergeCell ref="AJ81:AK81"/>
    <mergeCell ref="BI12:BJ12"/>
    <mergeCell ref="H67:O67"/>
    <mergeCell ref="AB66:AK66"/>
    <mergeCell ref="AJ71:AK71"/>
    <mergeCell ref="BU12:BV12"/>
    <mergeCell ref="AX6:BA9"/>
    <mergeCell ref="AI4:AK4"/>
    <mergeCell ref="R77:AA77"/>
    <mergeCell ref="Z2:AB2"/>
    <mergeCell ref="R78:Y78"/>
    <mergeCell ref="AJ73:AK73"/>
    <mergeCell ref="AB75:AI75"/>
    <mergeCell ref="BY12:BZ12"/>
    <mergeCell ref="AJ82:AK82"/>
    <mergeCell ref="B74:D74"/>
    <mergeCell ref="B85:AK86"/>
    <mergeCell ref="R80:Y80"/>
    <mergeCell ref="AX10:BA10"/>
    <mergeCell ref="AY31:BA31"/>
    <mergeCell ref="H79:O79"/>
    <mergeCell ref="P77:Q77"/>
    <mergeCell ref="Z12:AA12"/>
    <mergeCell ref="Z68:AA68"/>
    <mergeCell ref="R70:Y70"/>
    <mergeCell ref="AB12:AC12"/>
    <mergeCell ref="K4:M4"/>
    <mergeCell ref="AJ68:AK68"/>
    <mergeCell ref="AB70:AI70"/>
    <mergeCell ref="H72:O72"/>
    <mergeCell ref="C71:D71"/>
    <mergeCell ref="H81:O81"/>
    <mergeCell ref="T3:V3"/>
    <mergeCell ref="W4:Y4"/>
    <mergeCell ref="H12:I12"/>
    <mergeCell ref="P78:Q78"/>
    <mergeCell ref="Z69:AA69"/>
    <mergeCell ref="J12:K12"/>
    <mergeCell ref="T5:V5"/>
    <mergeCell ref="AR11:AS11"/>
    <mergeCell ref="Z78:AA78"/>
    <mergeCell ref="C82:D82"/>
    <mergeCell ref="AY23:BA23"/>
    <mergeCell ref="H71:O71"/>
    <mergeCell ref="C66:D66"/>
    <mergeCell ref="P71:Q71"/>
    <mergeCell ref="AY13:BA13"/>
    <mergeCell ref="C77:D77"/>
    <mergeCell ref="AH12:AI12"/>
    <mergeCell ref="AJ12:AK12"/>
    <mergeCell ref="C68:D68"/>
    <mergeCell ref="AB74:AI74"/>
    <mergeCell ref="H82:O82"/>
    <mergeCell ref="W3:Y3"/>
    <mergeCell ref="AJ70:AK70"/>
    <mergeCell ref="AB76:AI76"/>
    <mergeCell ref="AY35:BA35"/>
    <mergeCell ref="H76:Q76"/>
    <mergeCell ref="R69:Y69"/>
    <mergeCell ref="Z81:AA81"/>
    <mergeCell ref="C75:D75"/>
    <mergeCell ref="B65:D65"/>
    <mergeCell ref="AI3:AK3"/>
    <mergeCell ref="C80:D80"/>
    <mergeCell ref="P67:Q67"/>
    <mergeCell ref="R67:AA67"/>
    <mergeCell ref="B84:AK84"/>
    <mergeCell ref="A1:J3"/>
    <mergeCell ref="BE12:BF12"/>
    <mergeCell ref="AB77:AI77"/>
    <mergeCell ref="Z73:AA73"/>
    <mergeCell ref="AJ77:AK77"/>
    <mergeCell ref="AI5:AK5"/>
    <mergeCell ref="P82:Q82"/>
    <mergeCell ref="Z82:AA82"/>
    <mergeCell ref="BQ12:BR12"/>
    <mergeCell ref="AB67:AI67"/>
    <mergeCell ref="C70:D70"/>
    <mergeCell ref="P75:Q75"/>
    <mergeCell ref="AJ74:AK74"/>
    <mergeCell ref="H80:O80"/>
    <mergeCell ref="R72:Y72"/>
    <mergeCell ref="P12:Q12"/>
    <mergeCell ref="P68:Q68"/>
    <mergeCell ref="AB69:AI69"/>
    <mergeCell ref="R81:Y81"/>
    <mergeCell ref="AJ76:AK76"/>
    <mergeCell ref="AB78:AI78"/>
    <mergeCell ref="AY41:BA41"/>
    <mergeCell ref="AY47:BA47"/>
    <mergeCell ref="N3:P3"/>
    <mergeCell ref="AD12:AE12"/>
    <mergeCell ref="AJ75:AK75"/>
    <mergeCell ref="V12:W12"/>
    <mergeCell ref="X12:Y12"/>
    <mergeCell ref="AP12:AQ12"/>
    <mergeCell ref="R73:Y73"/>
    <mergeCell ref="R82:Y82"/>
    <mergeCell ref="N5:P5"/>
    <mergeCell ref="AB73:AI73"/>
    <mergeCell ref="Z70:AA70"/>
    <mergeCell ref="R71:AA71"/>
    <mergeCell ref="K2:M2"/>
    <mergeCell ref="F12:G12"/>
    <mergeCell ref="P72:Q72"/>
    <mergeCell ref="H74:O74"/>
    <mergeCell ref="H68:O68"/>
    <mergeCell ref="P81:Q81"/>
    <mergeCell ref="Z72:AA72"/>
    <mergeCell ref="AJ72:AK72"/>
    <mergeCell ref="Z4:AB4"/>
    <mergeCell ref="Q2:S2"/>
    <mergeCell ref="AI2:AK2"/>
    <mergeCell ref="H65:AK65"/>
    <mergeCell ref="AC2:AE2"/>
    <mergeCell ref="AY3:AZ4"/>
    <mergeCell ref="H69:O69"/>
    <mergeCell ref="AB82:AI82"/>
    <mergeCell ref="AY2:AZ2"/>
    <mergeCell ref="A4:J5"/>
    <mergeCell ref="Z79:AA79"/>
    <mergeCell ref="H75:O75"/>
    <mergeCell ref="R75:Y75"/>
    <mergeCell ref="Q3:S3"/>
    <mergeCell ref="AJ79:AK79"/>
    <mergeCell ref="C72:D72"/>
    <mergeCell ref="CC12:CD12"/>
    <mergeCell ref="W5:Y5"/>
    <mergeCell ref="C81:D81"/>
    <mergeCell ref="AB68:AI68"/>
    <mergeCell ref="AC3:AE3"/>
    <mergeCell ref="P74:Q74"/>
    <mergeCell ref="C78:D78"/>
    <mergeCell ref="Z74:AA74"/>
  </mergeCells>
  <conditionalFormatting sqref="A13:A63">
    <cfRule type="cellIs" priority="63" operator="equal" dxfId="50">
      <formula>0</formula>
    </cfRule>
  </conditionalFormatting>
  <conditionalFormatting sqref="D13:D63">
    <cfRule type="expression" priority="30" dxfId="48">
      <formula>IF(D13&lt;AR13,TRUE,FALSE)</formula>
    </cfRule>
    <cfRule type="expression" priority="31" dxfId="48">
      <formula>IF(D13&gt;AS13,TRUE,FALSE)</formula>
    </cfRule>
  </conditionalFormatting>
  <conditionalFormatting sqref="D13:E63">
    <cfRule type="containsBlanks" priority="27" dxfId="47">
      <formula>LEN(TRIM(D13))=0</formula>
    </cfRule>
  </conditionalFormatting>
  <conditionalFormatting sqref="E13:E63">
    <cfRule type="expression" priority="28" dxfId="28">
      <formula>IF(E13&gt;AS13,TRUE,FALSE)</formula>
    </cfRule>
    <cfRule type="expression" priority="29" dxfId="28">
      <formula>IF(E13&lt;AR13,TRUE,FALSE)</formula>
    </cfRule>
  </conditionalFormatting>
  <conditionalFormatting sqref="F13:AQ63">
    <cfRule type="cellIs" priority="25" operator="equal" dxfId="44">
      <formula>"p"</formula>
    </cfRule>
    <cfRule type="cellIs" priority="26" operator="equal" dxfId="43">
      <formula>"afw"</formula>
    </cfRule>
  </conditionalFormatting>
  <conditionalFormatting sqref="N5:AK5">
    <cfRule type="cellIs" priority="48" operator="lessThan" dxfId="18">
      <formula>0</formula>
    </cfRule>
  </conditionalFormatting>
  <conditionalFormatting sqref="AX6:BA9">
    <cfRule type="notContainsBlanks" priority="60" dxfId="41">
      <formula>LEN(TRIM(AX6))&gt;0</formula>
    </cfRule>
  </conditionalFormatting>
  <conditionalFormatting sqref="AY2:AZ4">
    <cfRule type="expression" priority="61" dxfId="28">
      <formula>IF($AY$3="nee",TRUE,FALSE)</formula>
    </cfRule>
  </conditionalFormatting>
  <conditionalFormatting sqref="AY61:BA61">
    <cfRule type="expression" priority="7" dxfId="6">
      <formula>IF($BA$61=0,TRUE,FALSE)</formula>
    </cfRule>
  </conditionalFormatting>
  <conditionalFormatting sqref="CI13:CI86">
    <cfRule type="cellIs" priority="32" operator="notBetween" dxfId="36">
      <formula>-3</formula>
      <formula>3</formula>
    </cfRule>
  </conditionalFormatting>
  <conditionalFormatting sqref="CJ13:CK86">
    <cfRule type="containsText" priority="33" operator="containsText" dxfId="36" text="nee">
      <formula>NOT(ISERROR(SEARCH("nee",CJ13)))</formula>
    </cfRule>
  </conditionalFormatting>
  <conditionalFormatting sqref="CL13:CL86">
    <cfRule type="cellIs" priority="34" operator="greaterThan" dxfId="36">
      <formula>5</formula>
    </cfRule>
  </conditionalFormatting>
  <dataValidations count="2">
    <dataValidation sqref="B14:B28" showDropDown="0" showInputMessage="1" showErrorMessage="1" allowBlank="1" prompt=" - " type="list">
      <formula1>namenlijst</formula1>
    </dataValidation>
    <dataValidation sqref="B29:B63" showDropDown="0" showInputMessage="0" showErrorMessage="1" allowBlank="1" type="list">
      <formula1>namenlijst</formula1>
    </dataValidation>
  </dataValidations>
  <pageMargins left="0.7" right="0.7" top="0.75" bottom="0.75" header="0.3" footer="0.3"/>
  <pageSetup orientation="portrait" paperSize="9" scale="26" fitToHeight="0"/>
</worksheet>
</file>

<file path=xl/worksheets/sheet6.xml><?xml version="1.0" encoding="utf-8"?>
<worksheet xmlns="http://schemas.openxmlformats.org/spreadsheetml/2006/main">
  <sheetPr codeName="Sheet6">
    <tabColor rgb="FF1696D0"/>
    <outlinePr summaryBelow="0" summaryRight="0"/>
    <pageSetUpPr fitToPage="1"/>
  </sheetPr>
  <dimension ref="A1:CM87"/>
  <sheetViews>
    <sheetView showGridLines="0" showRowColHeaders="0" topLeftCell="A9" zoomScaleNormal="100" workbookViewId="0">
      <selection activeCell="AD44" sqref="AD44"/>
    </sheetView>
  </sheetViews>
  <sheetFormatPr baseColWidth="8" defaultColWidth="17.28515625" defaultRowHeight="15" customHeight="1"/>
  <cols>
    <col width="1.7109375" customWidth="1" style="164" min="1" max="1"/>
    <col width="21.7109375" customWidth="1" style="264" min="2" max="2"/>
    <col width="5.85546875" customWidth="1" style="264" min="3" max="3"/>
    <col width="4.7109375" customWidth="1" style="264" min="4" max="5"/>
    <col width="2.7109375" customWidth="1" style="264" min="6" max="41"/>
    <col width="2.42578125" customWidth="1" style="264" min="42" max="42"/>
    <col width="2.7109375" customWidth="1" style="264" min="43" max="43"/>
    <col hidden="1" width="5.42578125" customWidth="1" style="264" min="44" max="47"/>
    <col width="4.7109375" customWidth="1" style="264" min="48" max="48"/>
    <col width="5" customWidth="1" style="264" min="49" max="50"/>
    <col width="4.140625" customWidth="1" style="264" min="51" max="51"/>
    <col width="12.5703125" customWidth="1" style="264" min="52" max="52"/>
    <col width="5.42578125" customWidth="1" style="264" min="53" max="53"/>
    <col width="2.85546875" customWidth="1" style="264" min="54" max="54"/>
    <col width="18.85546875" customWidth="1" style="264" min="55" max="55"/>
    <col width="0.42578125" customWidth="1" style="264" min="56" max="56"/>
    <col width="4.7109375" customWidth="1" style="264" min="57" max="58"/>
    <col hidden="1" width="3.28515625" customWidth="1" style="264" min="59" max="59"/>
    <col width="0.42578125" customWidth="1" style="264" min="60" max="60"/>
    <col width="4.7109375" customWidth="1" style="264" min="61" max="62"/>
    <col hidden="1" width="3.28515625" customWidth="1" style="264" min="63" max="63"/>
    <col width="0.42578125" customWidth="1" style="264" min="64" max="64"/>
    <col width="4.7109375" customWidth="1" style="264" min="65" max="66"/>
    <col hidden="1" width="3.28515625" customWidth="1" style="264" min="67" max="67"/>
    <col width="0.42578125" customWidth="1" style="264" min="68" max="68"/>
    <col width="4.7109375" customWidth="1" style="264" min="69" max="70"/>
    <col hidden="1" width="3.28515625" customWidth="1" style="264" min="71" max="71"/>
    <col width="0.42578125" customWidth="1" style="264" min="72" max="72"/>
    <col width="4.7109375" customWidth="1" style="264" min="73" max="74"/>
    <col hidden="1" width="3.28515625" customWidth="1" style="264" min="75" max="75"/>
    <col width="0.42578125" customWidth="1" style="264" min="76" max="76"/>
    <col width="4.7109375" customWidth="1" style="264" min="77" max="78"/>
    <col hidden="1" width="3.28515625" customWidth="1" style="264" min="79" max="79"/>
    <col width="0.42578125" customWidth="1" style="264" min="80" max="80"/>
    <col width="4.7109375" customWidth="1" style="264" min="81" max="82"/>
    <col hidden="1" width="3.28515625" customWidth="1" style="264" min="83" max="83"/>
    <col width="0.42578125" customWidth="1" style="264" min="84" max="84"/>
    <col width="5.7109375" customWidth="1" style="264" min="85" max="85"/>
    <col width="0.42578125" customWidth="1" style="264" min="86" max="86"/>
    <col width="3.85546875" customWidth="1" style="264" min="87" max="90"/>
    <col width="0.85546875" customWidth="1" style="264" min="91" max="91"/>
    <col width="17.28515625" customWidth="1" style="264" min="92" max="16384"/>
  </cols>
  <sheetData>
    <row r="1" ht="6" customHeight="1" thickBot="1">
      <c r="A1" s="720">
        <f>CONCATENATE("Planning week ",IF(Access!C4="B","BASIS",IF(Access!C4="","BASIS",WEEKNUM(Access!C4,21))))</f>
        <v/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  <c r="AR1" s="112" t="n"/>
      <c r="AS1" s="112" t="n"/>
      <c r="AT1" s="112" t="n"/>
      <c r="AU1" s="112" t="n"/>
      <c r="AV1" s="113" t="n"/>
    </row>
    <row r="2" ht="14.1" customHeight="1">
      <c r="A2" s="858" t="n"/>
      <c r="B2" s="264" t="n"/>
      <c r="C2" s="264" t="n"/>
      <c r="D2" s="264" t="n"/>
      <c r="E2" s="264" t="n"/>
      <c r="F2" s="264" t="n"/>
      <c r="G2" s="264" t="n"/>
      <c r="H2" s="264" t="n"/>
      <c r="I2" s="264" t="n"/>
      <c r="J2" s="264" t="n"/>
      <c r="K2" s="724" t="n"/>
      <c r="L2" s="859" t="n"/>
      <c r="M2" s="860" t="n"/>
      <c r="N2" s="725" t="inlineStr">
        <is>
          <t>Maandag</t>
        </is>
      </c>
      <c r="O2" s="859" t="n"/>
      <c r="P2" s="860" t="n"/>
      <c r="Q2" s="725" t="inlineStr">
        <is>
          <t>Dinsdag</t>
        </is>
      </c>
      <c r="R2" s="859" t="n"/>
      <c r="S2" s="860" t="n"/>
      <c r="T2" s="725" t="inlineStr">
        <is>
          <t>Woensdag</t>
        </is>
      </c>
      <c r="U2" s="859" t="n"/>
      <c r="V2" s="860" t="n"/>
      <c r="W2" s="725" t="inlineStr">
        <is>
          <t>Donderdag</t>
        </is>
      </c>
      <c r="X2" s="859" t="n"/>
      <c r="Y2" s="860" t="n"/>
      <c r="Z2" s="725" t="inlineStr">
        <is>
          <t>Vrijdag</t>
        </is>
      </c>
      <c r="AA2" s="859" t="n"/>
      <c r="AB2" s="860" t="n"/>
      <c r="AC2" s="725" t="inlineStr">
        <is>
          <t>Zaterdag</t>
        </is>
      </c>
      <c r="AD2" s="859" t="n"/>
      <c r="AE2" s="860" t="n"/>
      <c r="AF2" s="725" t="inlineStr">
        <is>
          <t>Zondag</t>
        </is>
      </c>
      <c r="AG2" s="859" t="n"/>
      <c r="AH2" s="860" t="n"/>
      <c r="AI2" s="740" t="inlineStr">
        <is>
          <t>Totaal</t>
        </is>
      </c>
      <c r="AJ2" s="859" t="n"/>
      <c r="AK2" s="860" t="n"/>
      <c r="AL2" s="258" t="n"/>
      <c r="AM2" s="259" t="n"/>
      <c r="AN2" s="259" t="n"/>
      <c r="AO2" s="259" t="n"/>
      <c r="AP2" s="259" t="n"/>
      <c r="AQ2" s="259" t="n"/>
      <c r="AR2" s="259" t="n"/>
      <c r="AS2" s="259" t="n"/>
      <c r="AT2" s="259" t="n"/>
      <c r="AU2" s="259" t="n"/>
      <c r="AV2" s="114" t="n"/>
      <c r="AW2" s="106" t="n"/>
      <c r="AX2" s="838" t="n"/>
      <c r="AY2" s="861" t="inlineStr">
        <is>
          <t>Planning OK?</t>
        </is>
      </c>
      <c r="AZ2" s="862" t="n"/>
      <c r="BA2" s="19" t="n"/>
      <c r="BB2" s="838" t="n"/>
      <c r="BC2" s="20" t="n"/>
      <c r="BD2" s="20" t="n"/>
      <c r="BE2" s="20" t="n"/>
      <c r="BF2" s="20" t="n"/>
      <c r="BG2" s="20" t="n"/>
      <c r="BH2" s="20" t="n"/>
      <c r="BI2" s="20" t="n"/>
      <c r="BJ2" s="20" t="n"/>
      <c r="BK2" s="20" t="n"/>
      <c r="BL2" s="20" t="n"/>
      <c r="BM2" s="20" t="n"/>
      <c r="BN2" s="20" t="n"/>
      <c r="BO2" s="20" t="n"/>
      <c r="BP2" s="20" t="n"/>
      <c r="BQ2" s="20" t="n"/>
      <c r="BR2" s="20" t="n"/>
      <c r="BS2" s="20" t="n"/>
      <c r="BT2" s="20" t="n"/>
      <c r="BU2" s="20" t="n"/>
      <c r="BV2" s="20" t="n"/>
      <c r="BW2" s="20" t="n"/>
      <c r="BX2" s="20" t="n"/>
      <c r="BY2" s="20" t="n"/>
      <c r="BZ2" s="20" t="n"/>
      <c r="CA2" s="20" t="n"/>
      <c r="CB2" s="20" t="n"/>
      <c r="CC2" s="20" t="n"/>
      <c r="CD2" s="20" t="n"/>
      <c r="CE2" s="20" t="n"/>
      <c r="CF2" s="20" t="n"/>
      <c r="CG2" s="20" t="n"/>
      <c r="CH2" s="20" t="n"/>
      <c r="CI2" s="20" t="n"/>
      <c r="CJ2" s="20" t="n"/>
      <c r="CK2" s="20" t="n"/>
      <c r="CL2" s="20" t="n"/>
      <c r="CM2" s="20" t="n"/>
    </row>
    <row r="3" ht="14.1" customHeight="1">
      <c r="A3" s="858" t="n"/>
      <c r="B3" s="264" t="n"/>
      <c r="C3" s="264" t="n"/>
      <c r="D3" s="264" t="n"/>
      <c r="E3" s="264" t="n"/>
      <c r="F3" s="264" t="n"/>
      <c r="G3" s="264" t="n"/>
      <c r="H3" s="264" t="n"/>
      <c r="I3" s="264" t="n"/>
      <c r="J3" s="264" t="n"/>
      <c r="K3" s="728" t="inlineStr">
        <is>
          <t>Gepland</t>
        </is>
      </c>
      <c r="L3" s="863" t="n"/>
      <c r="M3" s="864" t="n"/>
      <c r="N3" s="731">
        <f>Ma!AV65</f>
        <v/>
      </c>
      <c r="O3" s="863" t="n"/>
      <c r="P3" s="864" t="n"/>
      <c r="Q3" s="731">
        <f>Di!AV65</f>
        <v/>
      </c>
      <c r="R3" s="863" t="n"/>
      <c r="S3" s="864" t="n"/>
      <c r="T3" s="730">
        <f>Wo!AV65</f>
        <v/>
      </c>
      <c r="U3" s="863" t="n"/>
      <c r="V3" s="864" t="n"/>
      <c r="W3" s="731">
        <f>Do!AV65</f>
        <v/>
      </c>
      <c r="X3" s="863" t="n"/>
      <c r="Y3" s="864" t="n"/>
      <c r="Z3" s="731">
        <f>Vr!AV65</f>
        <v/>
      </c>
      <c r="AA3" s="863" t="n"/>
      <c r="AB3" s="864" t="n"/>
      <c r="AC3" s="731">
        <f>Za!AV65</f>
        <v/>
      </c>
      <c r="AD3" s="863" t="n"/>
      <c r="AE3" s="864" t="n"/>
      <c r="AF3" s="731">
        <f>Zo!AV65</f>
        <v/>
      </c>
      <c r="AG3" s="863" t="n"/>
      <c r="AH3" s="864" t="n"/>
      <c r="AI3" s="713">
        <f>SUM(N3:AH3)</f>
        <v/>
      </c>
      <c r="AJ3" s="863" t="n"/>
      <c r="AK3" s="864" t="n"/>
      <c r="AL3" s="96" t="n"/>
      <c r="AM3" s="96" t="n"/>
      <c r="AN3" s="96" t="n"/>
      <c r="AO3" s="96" t="n"/>
      <c r="AP3" s="96" t="n"/>
      <c r="AQ3" s="96" t="n"/>
      <c r="AR3" s="96" t="n"/>
      <c r="AS3" s="96" t="n"/>
      <c r="AT3" s="96" t="n"/>
      <c r="AU3" s="96" t="n"/>
      <c r="AV3" s="114" t="n"/>
      <c r="AW3" s="106" t="n"/>
      <c r="AX3" s="838" t="n"/>
      <c r="AY3" s="865">
        <f>IF(SUM(A13:A63)=1326,"JA","NEE")</f>
        <v/>
      </c>
      <c r="AZ3" s="866" t="n"/>
      <c r="BA3" s="19" t="n"/>
      <c r="BB3" s="838" t="n"/>
      <c r="BC3" s="20" t="n"/>
      <c r="BD3" s="20" t="n"/>
      <c r="BE3" s="20" t="n"/>
      <c r="BF3" s="20" t="n"/>
      <c r="BG3" s="20" t="n"/>
      <c r="BH3" s="20" t="n"/>
      <c r="BI3" s="20" t="n"/>
      <c r="BJ3" s="20" t="n"/>
      <c r="BK3" s="20" t="n"/>
      <c r="BL3" s="20" t="n"/>
      <c r="BM3" s="20" t="n"/>
      <c r="BN3" s="20" t="n"/>
      <c r="BO3" s="20" t="n"/>
      <c r="BP3" s="20" t="n"/>
      <c r="BQ3" s="20" t="n"/>
      <c r="BR3" s="20" t="n"/>
      <c r="BS3" s="20" t="n"/>
      <c r="BT3" s="20" t="n"/>
      <c r="BU3" s="20" t="n"/>
      <c r="BV3" s="20" t="n"/>
      <c r="BW3" s="20" t="n"/>
      <c r="BX3" s="20" t="n"/>
      <c r="BY3" s="20" t="n"/>
      <c r="BZ3" s="20" t="n"/>
      <c r="CA3" s="20" t="n"/>
      <c r="CB3" s="20" t="n"/>
      <c r="CC3" s="20" t="n"/>
      <c r="CD3" s="20" t="n"/>
      <c r="CE3" s="20" t="n"/>
      <c r="CF3" s="20" t="n"/>
      <c r="CG3" s="20" t="n"/>
      <c r="CH3" s="20" t="n"/>
      <c r="CI3" s="20" t="n"/>
      <c r="CJ3" s="20" t="n"/>
      <c r="CK3" s="20" t="n"/>
      <c r="CL3" s="20" t="n"/>
      <c r="CM3" s="20" t="n"/>
    </row>
    <row r="4" ht="14.1" customHeight="1">
      <c r="A4" s="867">
        <f>CONCATENATE("woensdag ",IF(Access!C4="","",TEXT(Access!C4+2,"D-M-JJJJ")))</f>
        <v/>
      </c>
      <c r="B4" s="264" t="n"/>
      <c r="C4" s="264" t="n"/>
      <c r="D4" s="264" t="n"/>
      <c r="E4" s="264" t="n"/>
      <c r="F4" s="264" t="n"/>
      <c r="G4" s="264" t="n"/>
      <c r="H4" s="264" t="n"/>
      <c r="I4" s="264" t="n"/>
      <c r="J4" s="264" t="n"/>
      <c r="K4" s="728" t="inlineStr">
        <is>
          <t>Norm</t>
        </is>
      </c>
      <c r="L4" s="863" t="n"/>
      <c r="M4" s="864" t="n"/>
      <c r="N4" s="731">
        <f>Instellingen!F23</f>
        <v/>
      </c>
      <c r="O4" s="863" t="n"/>
      <c r="P4" s="864" t="n"/>
      <c r="Q4" s="731">
        <f>Instellingen!G23</f>
        <v/>
      </c>
      <c r="R4" s="863" t="n"/>
      <c r="S4" s="864" t="n"/>
      <c r="T4" s="730">
        <f>Instellingen!H23</f>
        <v/>
      </c>
      <c r="U4" s="863" t="n"/>
      <c r="V4" s="864" t="n"/>
      <c r="W4" s="731">
        <f>Instellingen!I23</f>
        <v/>
      </c>
      <c r="X4" s="863" t="n"/>
      <c r="Y4" s="864" t="n"/>
      <c r="Z4" s="731">
        <f>Instellingen!J23</f>
        <v/>
      </c>
      <c r="AA4" s="863" t="n"/>
      <c r="AB4" s="864" t="n"/>
      <c r="AC4" s="731">
        <f>Instellingen!K23</f>
        <v/>
      </c>
      <c r="AD4" s="863" t="n"/>
      <c r="AE4" s="864" t="n"/>
      <c r="AF4" s="731">
        <f>Instellingen!L23</f>
        <v/>
      </c>
      <c r="AG4" s="863" t="n"/>
      <c r="AH4" s="864" t="n"/>
      <c r="AI4" s="713">
        <f>Begroting!N71</f>
        <v/>
      </c>
      <c r="AJ4" s="863" t="n"/>
      <c r="AK4" s="864" t="n"/>
      <c r="AL4" s="96" t="n"/>
      <c r="AM4" s="96" t="n"/>
      <c r="AN4" s="96" t="n"/>
      <c r="AO4" s="96" t="n"/>
      <c r="AP4" s="96" t="n"/>
      <c r="AQ4" s="96" t="n"/>
      <c r="AR4" s="96" t="n"/>
      <c r="AS4" s="96" t="n"/>
      <c r="AT4" s="96" t="n"/>
      <c r="AU4" s="96" t="n"/>
      <c r="AV4" s="114" t="n"/>
      <c r="AW4" s="106" t="n"/>
      <c r="AX4" s="838" t="n"/>
      <c r="AY4" s="868" t="n"/>
      <c r="AZ4" s="869" t="n"/>
      <c r="BA4" s="19" t="n"/>
      <c r="BB4" s="838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20" t="n"/>
      <c r="BU4" s="20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  <c r="CE4" s="20" t="n"/>
      <c r="CF4" s="20" t="n"/>
      <c r="CG4" s="20" t="n"/>
      <c r="CH4" s="20" t="n"/>
      <c r="CI4" s="20" t="n"/>
      <c r="CJ4" s="20" t="n"/>
      <c r="CK4" s="20" t="n"/>
      <c r="CL4" s="20" t="n"/>
      <c r="CM4" s="20" t="n"/>
    </row>
    <row r="5" ht="14.1" customHeight="1" thickBot="1">
      <c r="A5" s="858" t="n"/>
      <c r="B5" s="264" t="n"/>
      <c r="C5" s="264" t="n"/>
      <c r="D5" s="264" t="n"/>
      <c r="E5" s="264" t="n"/>
      <c r="F5" s="264" t="n"/>
      <c r="G5" s="264" t="n"/>
      <c r="H5" s="264" t="n"/>
      <c r="I5" s="264" t="n"/>
      <c r="J5" s="264" t="n"/>
      <c r="K5" s="732" t="inlineStr">
        <is>
          <t>Verschil</t>
        </is>
      </c>
      <c r="L5" s="870" t="n"/>
      <c r="M5" s="871" t="n"/>
      <c r="N5" s="735">
        <f>N4-N3</f>
        <v/>
      </c>
      <c r="O5" s="870" t="n"/>
      <c r="P5" s="871" t="n"/>
      <c r="Q5" s="735">
        <f>Q4-Q3</f>
        <v/>
      </c>
      <c r="R5" s="870" t="n"/>
      <c r="S5" s="871" t="n"/>
      <c r="T5" s="734">
        <f>T4-T3</f>
        <v/>
      </c>
      <c r="U5" s="870" t="n"/>
      <c r="V5" s="871" t="n"/>
      <c r="W5" s="735">
        <f>W4-W3</f>
        <v/>
      </c>
      <c r="X5" s="870" t="n"/>
      <c r="Y5" s="871" t="n"/>
      <c r="Z5" s="735">
        <f>Z4-Z3</f>
        <v/>
      </c>
      <c r="AA5" s="870" t="n"/>
      <c r="AB5" s="871" t="n"/>
      <c r="AC5" s="735">
        <f>AC4-AC3</f>
        <v/>
      </c>
      <c r="AD5" s="870" t="n"/>
      <c r="AE5" s="871" t="n"/>
      <c r="AF5" s="735">
        <f>AF4-AF3</f>
        <v/>
      </c>
      <c r="AG5" s="870" t="n"/>
      <c r="AH5" s="871" t="n"/>
      <c r="AI5" s="742">
        <f>AI4-AI3</f>
        <v/>
      </c>
      <c r="AJ5" s="870" t="n"/>
      <c r="AK5" s="871" t="n"/>
      <c r="AL5" s="96" t="n"/>
      <c r="AM5" s="96" t="n"/>
      <c r="AN5" s="96" t="n"/>
      <c r="AO5" s="96" t="n"/>
      <c r="AP5" s="96" t="n"/>
      <c r="AQ5" s="96" t="n"/>
      <c r="AR5" s="96" t="n"/>
      <c r="AS5" s="96" t="n"/>
      <c r="AT5" s="96" t="n"/>
      <c r="AU5" s="96" t="n"/>
      <c r="AV5" s="114" t="n"/>
      <c r="AW5" s="123" t="n"/>
      <c r="AX5" s="125" t="n"/>
      <c r="AY5" s="125" t="n"/>
      <c r="AZ5" s="125" t="n"/>
      <c r="BA5" s="125" t="n"/>
      <c r="BB5" s="124" t="n"/>
      <c r="BC5" s="838" t="n"/>
      <c r="BD5" s="838" t="n"/>
      <c r="BE5" s="838" t="n"/>
      <c r="BF5" s="838" t="n"/>
      <c r="BG5" s="838" t="n"/>
      <c r="BH5" s="838" t="n"/>
      <c r="BI5" s="838" t="n"/>
      <c r="BJ5" s="838" t="n"/>
      <c r="BK5" s="838" t="n"/>
      <c r="BL5" s="838" t="n"/>
      <c r="BM5" s="838" t="n"/>
      <c r="BN5" s="838" t="n"/>
      <c r="BO5" s="838" t="n"/>
      <c r="BP5" s="838" t="n"/>
      <c r="BQ5" s="21" t="n"/>
      <c r="BR5" s="21" t="n"/>
      <c r="BS5" s="21" t="n"/>
      <c r="BT5" s="21" t="n"/>
      <c r="BU5" s="21" t="n"/>
      <c r="BV5" s="21" t="n"/>
      <c r="BW5" s="21" t="n"/>
      <c r="BX5" s="21" t="n"/>
      <c r="BY5" s="21" t="n"/>
      <c r="BZ5" s="21" t="n"/>
      <c r="CA5" s="21" t="n"/>
      <c r="CB5" s="21" t="n"/>
      <c r="CC5" s="21" t="n"/>
      <c r="CD5" s="21" t="n"/>
      <c r="CE5" s="21" t="n"/>
      <c r="CF5" s="21" t="n"/>
      <c r="CG5" s="21" t="n"/>
      <c r="CH5" s="21" t="n"/>
      <c r="CI5" s="21" t="n"/>
      <c r="CJ5" s="21" t="n"/>
      <c r="CK5" s="21" t="n"/>
      <c r="CL5" s="21" t="n"/>
      <c r="CM5" s="21" t="n"/>
    </row>
    <row r="6" ht="5.1" customHeight="1">
      <c r="A6" s="165" t="n"/>
      <c r="B6" s="96" t="n"/>
      <c r="C6" s="96" t="n"/>
      <c r="D6" s="96" t="n"/>
      <c r="E6" s="96" t="n"/>
      <c r="F6" s="96" t="n"/>
      <c r="G6" s="96" t="n"/>
      <c r="H6" s="96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  <c r="AA6" s="96" t="n"/>
      <c r="AB6" s="96" t="n"/>
      <c r="AC6" s="96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6" t="n"/>
      <c r="AM6" s="96" t="n"/>
      <c r="AN6" s="96" t="n"/>
      <c r="AO6" s="96" t="n"/>
      <c r="AP6" s="96" t="n"/>
      <c r="AQ6" s="96" t="n"/>
      <c r="AR6" s="96" t="n"/>
      <c r="AS6" s="96" t="n"/>
      <c r="AT6" s="96" t="n"/>
      <c r="AU6" s="96" t="n"/>
      <c r="AV6" s="114" t="n"/>
      <c r="AW6" s="123" t="n"/>
      <c r="AX6" s="744">
        <f>IFERROR(VLOOKUP(Access!C4+2,'Instellingen HIDE'!H:I,2,FALSE),"")</f>
        <v/>
      </c>
      <c r="AY6" s="264" t="n"/>
      <c r="AZ6" s="264" t="n"/>
      <c r="BA6" s="264" t="n"/>
      <c r="BB6" s="124" t="n"/>
      <c r="BC6" s="838" t="n"/>
      <c r="BD6" s="838" t="n"/>
      <c r="BE6" s="838" t="n"/>
      <c r="BF6" s="838" t="n"/>
      <c r="BG6" s="838" t="n"/>
      <c r="BH6" s="838" t="n"/>
      <c r="BI6" s="838" t="n"/>
      <c r="BJ6" s="838" t="n"/>
      <c r="BK6" s="838" t="n"/>
      <c r="BL6" s="838" t="n"/>
      <c r="BM6" s="838" t="n"/>
      <c r="BN6" s="838" t="n"/>
      <c r="BO6" s="838" t="n"/>
      <c r="BP6" s="838" t="n"/>
      <c r="BQ6" s="21" t="n"/>
      <c r="BR6" s="21" t="n"/>
      <c r="BS6" s="21" t="n"/>
      <c r="BT6" s="21" t="n"/>
      <c r="BU6" s="21" t="n"/>
      <c r="BV6" s="21" t="n"/>
      <c r="BW6" s="21" t="n"/>
      <c r="BX6" s="21" t="n"/>
      <c r="BY6" s="21" t="n"/>
      <c r="BZ6" s="21" t="n"/>
      <c r="CA6" s="21" t="n"/>
      <c r="CB6" s="21" t="n"/>
      <c r="CC6" s="21" t="n"/>
      <c r="CD6" s="21" t="n"/>
      <c r="CE6" s="21" t="n"/>
      <c r="CF6" s="21" t="n"/>
      <c r="CG6" s="21" t="n"/>
      <c r="CH6" s="21" t="n"/>
      <c r="CI6" s="21" t="n"/>
      <c r="CJ6" s="21" t="n"/>
      <c r="CK6" s="21" t="n"/>
      <c r="CL6" s="21" t="n"/>
      <c r="CM6" s="21" t="n"/>
    </row>
    <row r="7" ht="3" customHeight="1">
      <c r="A7" s="604" t="n"/>
      <c r="B7" s="605" t="n"/>
      <c r="C7" s="605" t="n"/>
      <c r="D7" s="605" t="n"/>
      <c r="E7" s="605" t="n"/>
      <c r="F7" s="605" t="n"/>
      <c r="G7" s="605" t="n"/>
      <c r="H7" s="605" t="n"/>
      <c r="I7" s="605" t="n"/>
      <c r="J7" s="605" t="n"/>
      <c r="K7" s="605" t="n"/>
      <c r="L7" s="605" t="n"/>
      <c r="M7" s="605" t="n"/>
      <c r="N7" s="605" t="n"/>
      <c r="O7" s="605" t="n"/>
      <c r="P7" s="605" t="n"/>
      <c r="Q7" s="605" t="n"/>
      <c r="R7" s="605" t="n"/>
      <c r="S7" s="605" t="n"/>
      <c r="T7" s="605" t="n"/>
      <c r="U7" s="605" t="n"/>
      <c r="V7" s="605" t="n"/>
      <c r="W7" s="605" t="n"/>
      <c r="X7" s="605" t="n"/>
      <c r="Y7" s="605" t="n"/>
      <c r="Z7" s="605" t="n"/>
      <c r="AA7" s="605" t="n"/>
      <c r="AB7" s="605" t="n"/>
      <c r="AC7" s="605" t="n"/>
      <c r="AD7" s="605" t="n"/>
      <c r="AE7" s="605" t="n"/>
      <c r="AF7" s="605" t="n"/>
      <c r="AG7" s="605" t="n"/>
      <c r="AH7" s="605" t="n"/>
      <c r="AI7" s="605" t="n"/>
      <c r="AJ7" s="605" t="n"/>
      <c r="AK7" s="605" t="n"/>
      <c r="AL7" s="605" t="n"/>
      <c r="AM7" s="605" t="n"/>
      <c r="AN7" s="605" t="n"/>
      <c r="AO7" s="605" t="n"/>
      <c r="AP7" s="605" t="n"/>
      <c r="AQ7" s="605" t="n"/>
      <c r="AR7" s="605" t="n"/>
      <c r="AS7" s="605" t="n"/>
      <c r="AT7" s="605" t="n"/>
      <c r="AU7" s="605" t="n"/>
      <c r="AV7" s="605" t="n"/>
      <c r="AW7" s="124" t="n"/>
      <c r="AX7" s="264" t="n"/>
      <c r="AY7" s="264" t="n"/>
      <c r="AZ7" s="264" t="n"/>
      <c r="BA7" s="264" t="n"/>
      <c r="BB7" s="124" t="n"/>
      <c r="BC7" s="838" t="n"/>
      <c r="BD7" s="838" t="n"/>
      <c r="BE7" s="838" t="n"/>
      <c r="BF7" s="838" t="n"/>
      <c r="BG7" s="838" t="n"/>
      <c r="BH7" s="838" t="n"/>
      <c r="BI7" s="838" t="n"/>
      <c r="BJ7" s="838" t="n"/>
      <c r="BK7" s="838" t="n"/>
      <c r="BL7" s="838" t="n"/>
      <c r="BM7" s="838" t="n"/>
      <c r="BN7" s="838" t="n"/>
      <c r="BO7" s="838" t="n"/>
      <c r="BP7" s="838" t="n"/>
      <c r="BQ7" s="21" t="n"/>
      <c r="BR7" s="21" t="n"/>
      <c r="BS7" s="21" t="n"/>
      <c r="BT7" s="21" t="n"/>
      <c r="BU7" s="21" t="n"/>
      <c r="BV7" s="21" t="n"/>
      <c r="BW7" s="21" t="n"/>
      <c r="BX7" s="21" t="n"/>
      <c r="BY7" s="21" t="n"/>
      <c r="BZ7" s="21" t="n"/>
      <c r="CA7" s="21" t="n"/>
      <c r="CB7" s="21" t="n"/>
      <c r="CC7" s="21" t="n"/>
      <c r="CD7" s="21" t="n"/>
      <c r="CE7" s="21" t="n"/>
      <c r="CF7" s="21" t="n"/>
      <c r="CG7" s="21" t="n"/>
      <c r="CH7" s="21" t="n"/>
      <c r="CI7" s="21" t="n"/>
      <c r="CJ7" s="21" t="n"/>
      <c r="CK7" s="21" t="n"/>
      <c r="CL7" s="21" t="n"/>
      <c r="CM7" s="21" t="n"/>
    </row>
    <row r="8" ht="3" customHeight="1">
      <c r="A8" s="602" t="n"/>
      <c r="B8" s="603" t="n"/>
      <c r="C8" s="603" t="n"/>
      <c r="D8" s="603" t="n"/>
      <c r="E8" s="603" t="n"/>
      <c r="F8" s="603" t="n"/>
      <c r="G8" s="603" t="n"/>
      <c r="H8" s="603" t="n"/>
      <c r="I8" s="603" t="n"/>
      <c r="J8" s="603" t="n"/>
      <c r="K8" s="603" t="n"/>
      <c r="L8" s="603" t="n"/>
      <c r="M8" s="603" t="n"/>
      <c r="N8" s="603" t="n"/>
      <c r="O8" s="603" t="n"/>
      <c r="P8" s="603" t="n"/>
      <c r="Q8" s="603" t="n"/>
      <c r="R8" s="603" t="n"/>
      <c r="S8" s="603" t="n"/>
      <c r="T8" s="603" t="n"/>
      <c r="U8" s="603" t="n"/>
      <c r="V8" s="603" t="n"/>
      <c r="W8" s="603" t="n"/>
      <c r="X8" s="603" t="n"/>
      <c r="Y8" s="603" t="n"/>
      <c r="Z8" s="603" t="n"/>
      <c r="AA8" s="603" t="n"/>
      <c r="AB8" s="603" t="n"/>
      <c r="AC8" s="603" t="n"/>
      <c r="AD8" s="603" t="n"/>
      <c r="AE8" s="603" t="n"/>
      <c r="AF8" s="603" t="n"/>
      <c r="AG8" s="603" t="n"/>
      <c r="AH8" s="603" t="n"/>
      <c r="AI8" s="603" t="n"/>
      <c r="AJ8" s="603" t="n"/>
      <c r="AK8" s="603" t="n"/>
      <c r="AL8" s="603" t="n"/>
      <c r="AM8" s="603" t="n"/>
      <c r="AN8" s="603" t="n"/>
      <c r="AO8" s="603" t="n"/>
      <c r="AP8" s="603" t="n"/>
      <c r="AQ8" s="603" t="n"/>
      <c r="AR8" s="603" t="n"/>
      <c r="AS8" s="603" t="n"/>
      <c r="AT8" s="603" t="n"/>
      <c r="AU8" s="603" t="n"/>
      <c r="AV8" s="603" t="n"/>
      <c r="AW8" s="124" t="n"/>
      <c r="AX8" s="264" t="n"/>
      <c r="AY8" s="264" t="n"/>
      <c r="AZ8" s="264" t="n"/>
      <c r="BA8" s="264" t="n"/>
      <c r="BB8" s="124" t="n"/>
      <c r="BC8" s="838" t="n"/>
      <c r="BD8" s="838" t="n"/>
      <c r="BE8" s="838" t="n"/>
      <c r="BF8" s="838" t="n"/>
      <c r="BG8" s="838" t="n"/>
      <c r="BH8" s="838" t="n"/>
      <c r="BI8" s="838" t="n"/>
      <c r="BJ8" s="838" t="n"/>
      <c r="BK8" s="838" t="n"/>
      <c r="BL8" s="838" t="n"/>
      <c r="BM8" s="838" t="n"/>
      <c r="BN8" s="838" t="n"/>
      <c r="BO8" s="838" t="n"/>
      <c r="BP8" s="838" t="n"/>
      <c r="BQ8" s="21" t="n"/>
      <c r="BR8" s="21" t="n"/>
      <c r="BS8" s="21" t="n"/>
      <c r="BT8" s="21" t="n"/>
      <c r="BU8" s="21" t="n"/>
      <c r="BV8" s="21" t="n"/>
      <c r="BW8" s="21" t="n"/>
      <c r="BX8" s="21" t="n"/>
      <c r="BY8" s="21" t="n"/>
      <c r="BZ8" s="21" t="n"/>
      <c r="CA8" s="21" t="n"/>
      <c r="CB8" s="21" t="n"/>
      <c r="CC8" s="21" t="n"/>
      <c r="CD8" s="21" t="n"/>
      <c r="CE8" s="21" t="n"/>
      <c r="CF8" s="21" t="n"/>
      <c r="CG8" s="21" t="n"/>
      <c r="CH8" s="21" t="n"/>
      <c r="CI8" s="21" t="n"/>
      <c r="CJ8" s="21" t="n"/>
      <c r="CK8" s="21" t="n"/>
      <c r="CL8" s="21" t="n"/>
      <c r="CM8" s="21" t="n"/>
    </row>
    <row r="9" ht="12" customHeight="1">
      <c r="A9" s="159" t="n"/>
      <c r="B9" s="838">
        <f>CONCATENATE("AH ",VLOOKUP(Access!C3,'Instellingen HIDE'!A:B,2,FALSE),", ",VLOOKUP(Access!C3,'Instellingen HIDE'!A:C,3,FALSE),", ",VLOOKUP(Access!C3,'Instellingen HIDE'!A:D,4,FALSE)," ",VLOOKUP(Access!C3,'Instellingen HIDE'!A:E,5,FALSE),", (telefoon: ",VLOOKUP(Access!C3,'Instellingen HIDE'!A:F,6,FALSE),")")</f>
        <v/>
      </c>
      <c r="C9" s="838" t="n"/>
      <c r="D9" s="838" t="n"/>
      <c r="E9" s="838" t="n"/>
      <c r="F9" s="838" t="n"/>
      <c r="G9" s="838" t="n"/>
      <c r="H9" s="838" t="n"/>
      <c r="I9" s="838" t="n"/>
      <c r="J9" s="838" t="n"/>
      <c r="K9" s="838" t="n"/>
      <c r="L9" s="838" t="n"/>
      <c r="M9" s="838" t="n"/>
      <c r="N9" s="838" t="n"/>
      <c r="O9" s="838" t="n"/>
      <c r="P9" s="838" t="n"/>
      <c r="Q9" s="838" t="n"/>
      <c r="R9" s="838" t="n"/>
      <c r="S9" s="838" t="n"/>
      <c r="T9" s="838" t="n"/>
      <c r="U9" s="838" t="n"/>
      <c r="V9" s="838" t="n"/>
      <c r="W9" s="838" t="n"/>
      <c r="X9" s="838" t="n"/>
      <c r="Y9" s="838" t="n"/>
      <c r="Z9" s="838" t="n"/>
      <c r="AA9" s="838" t="n"/>
      <c r="AB9" s="838" t="n"/>
      <c r="AC9" s="838" t="n"/>
      <c r="AD9" s="838" t="n"/>
      <c r="AE9" s="838" t="n"/>
      <c r="AF9" s="838" t="n"/>
      <c r="AG9" s="838" t="n"/>
      <c r="AH9" s="838" t="n"/>
      <c r="AI9" s="838" t="n"/>
      <c r="AJ9" s="838" t="n"/>
      <c r="AK9" s="838" t="n"/>
      <c r="AL9" s="838" t="n"/>
      <c r="AM9" s="838" t="n"/>
      <c r="AN9" s="838" t="n"/>
      <c r="AO9" s="838" t="n"/>
      <c r="AP9" s="838" t="n"/>
      <c r="AQ9" s="838" t="n"/>
      <c r="AR9" s="838" t="n"/>
      <c r="AS9" s="838" t="n"/>
      <c r="AT9" s="838" t="n"/>
      <c r="AU9" s="838" t="n"/>
      <c r="AV9" s="115" t="inlineStr">
        <is>
          <t>DagritmeONLINE Versie  100.53</t>
        </is>
      </c>
      <c r="AW9" s="123" t="n"/>
      <c r="AX9" s="264" t="n"/>
      <c r="AY9" s="264" t="n"/>
      <c r="AZ9" s="264" t="n"/>
      <c r="BA9" s="264" t="n"/>
      <c r="BB9" s="124" t="n"/>
      <c r="BC9" s="838" t="n"/>
      <c r="BD9" s="838" t="n"/>
      <c r="BE9" s="838" t="n"/>
      <c r="BF9" s="838" t="n"/>
      <c r="BG9" s="838" t="n"/>
      <c r="BH9" s="838" t="n"/>
      <c r="BI9" s="838" t="n"/>
      <c r="BJ9" s="838" t="n"/>
      <c r="BK9" s="838" t="n"/>
      <c r="BL9" s="838" t="n"/>
      <c r="BM9" s="838" t="n"/>
      <c r="BN9" s="838" t="n"/>
      <c r="BO9" s="838" t="n"/>
      <c r="BP9" s="838" t="n"/>
      <c r="BQ9" s="21" t="n"/>
      <c r="BR9" s="21" t="n"/>
      <c r="BS9" s="21" t="n"/>
      <c r="BT9" s="21" t="n"/>
      <c r="BU9" s="21" t="n"/>
      <c r="BV9" s="21" t="n"/>
      <c r="BW9" s="21" t="n"/>
      <c r="BX9" s="21" t="n"/>
      <c r="BY9" s="21" t="n"/>
      <c r="BZ9" s="21" t="n"/>
      <c r="CA9" s="21" t="n"/>
      <c r="CB9" s="21" t="n"/>
      <c r="CC9" s="21" t="n"/>
      <c r="CD9" s="21" t="n"/>
      <c r="CE9" s="21" t="n"/>
      <c r="CF9" s="21" t="n"/>
      <c r="CG9" s="21" t="n"/>
      <c r="CH9" s="21" t="n"/>
      <c r="CI9" s="21" t="n"/>
      <c r="CJ9" s="21" t="n"/>
      <c r="CK9" s="21" t="n"/>
      <c r="CL9" s="21" t="n"/>
      <c r="CM9" s="21" t="n"/>
    </row>
    <row r="10" ht="6" customHeight="1">
      <c r="A10" s="160" t="n"/>
      <c r="B10" s="95" t="n"/>
      <c r="C10" s="95" t="n"/>
      <c r="D10" s="95" t="n"/>
      <c r="E10" s="95" t="n"/>
      <c r="F10" s="95" t="n"/>
      <c r="G10" s="95" t="n"/>
      <c r="H10" s="95" t="n"/>
      <c r="I10" s="95" t="n"/>
      <c r="J10" s="95" t="n"/>
      <c r="K10" s="95" t="n"/>
      <c r="L10" s="95" t="n"/>
      <c r="M10" s="95" t="n"/>
      <c r="N10" s="95" t="n"/>
      <c r="O10" s="95" t="n"/>
      <c r="P10" s="95" t="n"/>
      <c r="Q10" s="95" t="n"/>
      <c r="R10" s="95" t="n"/>
      <c r="S10" s="95" t="n"/>
      <c r="T10" s="95" t="n"/>
      <c r="U10" s="95" t="n"/>
      <c r="V10" s="95" t="n"/>
      <c r="W10" s="95" t="n"/>
      <c r="X10" s="95" t="n"/>
      <c r="Y10" s="95" t="n"/>
      <c r="Z10" s="95" t="n"/>
      <c r="AA10" s="95" t="n"/>
      <c r="AB10" s="95" t="n"/>
      <c r="AC10" s="95" t="n"/>
      <c r="AD10" s="95" t="n"/>
      <c r="AE10" s="95" t="n"/>
      <c r="AF10" s="95" t="n"/>
      <c r="AG10" s="95" t="n"/>
      <c r="AH10" s="95" t="n"/>
      <c r="AI10" s="95" t="n"/>
      <c r="AJ10" s="95" t="n"/>
      <c r="AK10" s="95" t="n"/>
      <c r="AL10" s="95" t="n"/>
      <c r="AM10" s="95" t="n"/>
      <c r="AN10" s="95" t="n"/>
      <c r="AO10" s="95" t="n"/>
      <c r="AP10" s="95" t="n"/>
      <c r="AQ10" s="95" t="n"/>
      <c r="AR10" s="95" t="n"/>
      <c r="AS10" s="95" t="n"/>
      <c r="AT10" s="95" t="n"/>
      <c r="AU10" s="95" t="n"/>
      <c r="AV10" s="114" t="n"/>
      <c r="AW10" s="106" t="n"/>
      <c r="AX10" s="745" t="n"/>
      <c r="AY10" s="264" t="n"/>
      <c r="AZ10" s="264" t="n"/>
      <c r="BA10" s="264" t="n"/>
      <c r="BB10" s="838" t="n"/>
      <c r="BC10" s="838" t="n"/>
      <c r="BD10" s="838" t="n"/>
      <c r="BE10" s="838" t="n"/>
      <c r="BF10" s="838" t="n"/>
      <c r="BG10" s="838" t="n"/>
      <c r="BH10" s="838" t="n"/>
      <c r="BI10" s="838" t="n"/>
      <c r="BJ10" s="838" t="n"/>
      <c r="BK10" s="838" t="n"/>
      <c r="BL10" s="838" t="n"/>
      <c r="BM10" s="838" t="n"/>
      <c r="BN10" s="838" t="n"/>
      <c r="BO10" s="838" t="n"/>
      <c r="BP10" s="838" t="n"/>
      <c r="BQ10" s="21" t="n"/>
      <c r="BR10" s="21" t="n"/>
      <c r="BS10" s="21" t="n"/>
      <c r="BT10" s="21" t="n"/>
      <c r="BU10" s="21" t="n"/>
      <c r="BV10" s="21" t="n"/>
      <c r="BW10" s="21" t="n"/>
      <c r="BX10" s="21" t="n"/>
      <c r="BY10" s="21" t="n"/>
      <c r="BZ10" s="21" t="n"/>
      <c r="CA10" s="21" t="n"/>
      <c r="CB10" s="21" t="n"/>
      <c r="CC10" s="21" t="n"/>
      <c r="CD10" s="21" t="n"/>
      <c r="CE10" s="21" t="n"/>
      <c r="CF10" s="21" t="n"/>
      <c r="CG10" s="21" t="n"/>
      <c r="CH10" s="21" t="n"/>
      <c r="CI10" s="21" t="n"/>
      <c r="CJ10" s="21" t="n"/>
      <c r="CK10" s="21" t="n"/>
      <c r="CL10" s="21" t="n"/>
      <c r="CM10" s="21" t="n"/>
    </row>
    <row r="11" hidden="1" ht="13.5" customHeight="1">
      <c r="A11" s="159" t="n"/>
      <c r="B11" s="838" t="n"/>
      <c r="C11" s="95" t="n"/>
      <c r="D11" s="95" t="n"/>
      <c r="E11" s="95" t="n"/>
      <c r="F11" s="23" t="n">
        <v>0.2083333333333333</v>
      </c>
      <c r="G11" s="24" t="n">
        <v>0.2291666666666667</v>
      </c>
      <c r="H11" s="24" t="n">
        <v>0.25</v>
      </c>
      <c r="I11" s="24" t="n">
        <v>0.2708333333333333</v>
      </c>
      <c r="J11" s="24" t="n">
        <v>0.2916666666666667</v>
      </c>
      <c r="K11" s="24" t="n">
        <v>0.3125</v>
      </c>
      <c r="L11" s="24" t="n">
        <v>0.3333333333333333</v>
      </c>
      <c r="M11" s="24" t="n">
        <v>0.3541666666666667</v>
      </c>
      <c r="N11" s="24" t="n">
        <v>0.375</v>
      </c>
      <c r="O11" s="24" t="n">
        <v>0.3958333333333333</v>
      </c>
      <c r="P11" s="24" t="n">
        <v>0.4166666666666667</v>
      </c>
      <c r="Q11" s="24" t="n">
        <v>0.4375</v>
      </c>
      <c r="R11" s="24" t="n">
        <v>0.4583333333333333</v>
      </c>
      <c r="S11" s="24" t="n">
        <v>0.4791666666666667</v>
      </c>
      <c r="T11" s="24" t="n">
        <v>0.5</v>
      </c>
      <c r="U11" s="24" t="n">
        <v>0.5208333333333334</v>
      </c>
      <c r="V11" s="24" t="n">
        <v>0.5416666666666666</v>
      </c>
      <c r="W11" s="24" t="n">
        <v>0.5625</v>
      </c>
      <c r="X11" s="24" t="n">
        <v>0.5833333333333334</v>
      </c>
      <c r="Y11" s="24" t="n">
        <v>0.6041666666666666</v>
      </c>
      <c r="Z11" s="24" t="n">
        <v>0.625</v>
      </c>
      <c r="AA11" s="24" t="n">
        <v>0.6458333333333334</v>
      </c>
      <c r="AB11" s="24" t="n">
        <v>0.6666666666666666</v>
      </c>
      <c r="AC11" s="24" t="n">
        <v>0.6875</v>
      </c>
      <c r="AD11" s="53" t="n">
        <v>0.7083333333333334</v>
      </c>
      <c r="AE11" s="53" t="n">
        <v>0.7291666666666666</v>
      </c>
      <c r="AF11" s="53" t="n">
        <v>0.75</v>
      </c>
      <c r="AG11" s="53" t="n">
        <v>0.7708333333333334</v>
      </c>
      <c r="AH11" s="53" t="n">
        <v>0.7916666666666666</v>
      </c>
      <c r="AI11" s="53" t="n">
        <v>0.8125</v>
      </c>
      <c r="AJ11" s="53" t="n">
        <v>0.8333333333333334</v>
      </c>
      <c r="AK11" s="53" t="n">
        <v>0.8541666666666666</v>
      </c>
      <c r="AL11" s="54" t="n">
        <v>0.875</v>
      </c>
      <c r="AM11" s="55" t="n">
        <v>0.8958333333333334</v>
      </c>
      <c r="AN11" s="25" t="n">
        <v>0.9166666666666666</v>
      </c>
      <c r="AO11" s="55" t="n">
        <v>0.9375</v>
      </c>
      <c r="AP11" s="26" t="n">
        <v>0.9583333333333334</v>
      </c>
      <c r="AQ11" s="27" t="n">
        <v>0.9791666666666666</v>
      </c>
      <c r="AR11" s="719" t="inlineStr">
        <is>
          <t>Beschikbaarheid</t>
        </is>
      </c>
      <c r="AS11" s="264" t="n"/>
      <c r="AT11" s="719" t="n"/>
      <c r="AU11" s="106" t="n"/>
      <c r="AV11" s="116" t="n"/>
      <c r="AW11" s="106" t="n"/>
      <c r="AX11" s="838" t="n"/>
      <c r="AY11" s="17" t="n"/>
      <c r="AZ11" s="18" t="n"/>
      <c r="BA11" s="19" t="n"/>
      <c r="BB11" s="838" t="n"/>
      <c r="BC11" s="838" t="n"/>
      <c r="BD11" s="838" t="n"/>
      <c r="BE11" s="838" t="n"/>
      <c r="BF11" s="838" t="n"/>
      <c r="BG11" s="838" t="n"/>
      <c r="BH11" s="838" t="n"/>
      <c r="BI11" s="838" t="n"/>
      <c r="BJ11" s="838" t="n"/>
      <c r="BK11" s="838" t="n"/>
      <c r="BL11" s="838" t="n"/>
      <c r="BM11" s="838" t="n"/>
      <c r="BN11" s="838" t="n"/>
      <c r="BO11" s="838" t="n"/>
      <c r="BP11" s="838" t="n"/>
      <c r="BQ11" s="21" t="n"/>
      <c r="BR11" s="21" t="n"/>
      <c r="BS11" s="21" t="n"/>
      <c r="BT11" s="21" t="n"/>
      <c r="BU11" s="21" t="n"/>
      <c r="BV11" s="21" t="n"/>
      <c r="BW11" s="21" t="n"/>
      <c r="BX11" s="21" t="n"/>
      <c r="BY11" s="21" t="n"/>
      <c r="BZ11" s="21" t="n"/>
      <c r="CA11" s="21" t="n"/>
      <c r="CB11" s="21" t="n"/>
      <c r="CC11" s="21" t="n"/>
      <c r="CD11" s="21" t="n"/>
      <c r="CE11" s="21" t="n"/>
      <c r="CF11" s="21" t="n"/>
      <c r="CG11" s="21" t="n"/>
      <c r="CH11" s="21" t="n"/>
      <c r="CI11" s="21" t="n"/>
      <c r="CJ11" s="21" t="n"/>
      <c r="CK11" s="21" t="n"/>
      <c r="CL11" s="21" t="n"/>
      <c r="CM11" s="21" t="n"/>
    </row>
    <row r="12" ht="12" customHeight="1">
      <c r="A12" s="160" t="n"/>
      <c r="B12" s="107" t="n"/>
      <c r="C12" s="97" t="inlineStr">
        <is>
          <t>Functie</t>
        </is>
      </c>
      <c r="D12" s="97" t="inlineStr">
        <is>
          <t>Begin</t>
        </is>
      </c>
      <c r="E12" s="97" t="inlineStr">
        <is>
          <t>Eind</t>
        </is>
      </c>
      <c r="F12" s="872" t="n">
        <v>0.2083333333333333</v>
      </c>
      <c r="G12" s="873" t="n"/>
      <c r="H12" s="874" t="n">
        <v>0.25</v>
      </c>
      <c r="I12" s="875" t="n"/>
      <c r="J12" s="874" t="n">
        <v>0.2916666666666667</v>
      </c>
      <c r="K12" s="875" t="n"/>
      <c r="L12" s="874" t="n">
        <v>0.3333333333333333</v>
      </c>
      <c r="M12" s="875" t="n"/>
      <c r="N12" s="874" t="n">
        <v>0.375</v>
      </c>
      <c r="O12" s="875" t="n"/>
      <c r="P12" s="874" t="n">
        <v>0.4166666666666667</v>
      </c>
      <c r="Q12" s="875" t="n"/>
      <c r="R12" s="874" t="n">
        <v>0.4583333333333333</v>
      </c>
      <c r="S12" s="875" t="n"/>
      <c r="T12" s="874" t="n">
        <v>0.5</v>
      </c>
      <c r="U12" s="875" t="n"/>
      <c r="V12" s="874" t="n">
        <v>0.5416666666666666</v>
      </c>
      <c r="W12" s="875" t="n"/>
      <c r="X12" s="874" t="n">
        <v>0.5833333333333334</v>
      </c>
      <c r="Y12" s="875" t="n"/>
      <c r="Z12" s="874" t="n">
        <v>0.625</v>
      </c>
      <c r="AA12" s="875" t="n"/>
      <c r="AB12" s="874" t="n">
        <v>0.6666666666666666</v>
      </c>
      <c r="AC12" s="875" t="n"/>
      <c r="AD12" s="874" t="n">
        <v>0.7083333333333334</v>
      </c>
      <c r="AE12" s="875" t="n"/>
      <c r="AF12" s="876" t="n">
        <v>0.75</v>
      </c>
      <c r="AG12" s="875" t="n"/>
      <c r="AH12" s="874" t="n">
        <v>0.7916666666666666</v>
      </c>
      <c r="AI12" s="875" t="n"/>
      <c r="AJ12" s="874" t="n">
        <v>0.8333333333333334</v>
      </c>
      <c r="AK12" s="875" t="n"/>
      <c r="AL12" s="872" t="n">
        <v>0.875</v>
      </c>
      <c r="AM12" s="873" t="n"/>
      <c r="AN12" s="872" t="n">
        <v>0.9166666666666666</v>
      </c>
      <c r="AO12" s="873" t="n"/>
      <c r="AP12" s="872" t="n">
        <v>0.9583333333333334</v>
      </c>
      <c r="AQ12" s="873" t="n"/>
      <c r="AR12" s="98" t="inlineStr">
        <is>
          <t>Begin</t>
        </is>
      </c>
      <c r="AS12" s="98" t="inlineStr">
        <is>
          <t>Eind</t>
        </is>
      </c>
      <c r="AT12" s="99" t="n"/>
      <c r="AU12" s="432" t="inlineStr">
        <is>
          <t>Afw</t>
        </is>
      </c>
      <c r="AV12" s="433" t="inlineStr">
        <is>
          <t>Uren</t>
        </is>
      </c>
      <c r="AW12" s="100" t="inlineStr">
        <is>
          <t>Cont</t>
        </is>
      </c>
      <c r="AX12" s="101" t="inlineStr">
        <is>
          <t>Week</t>
        </is>
      </c>
      <c r="AY12" s="17" t="n"/>
      <c r="AZ12" s="28" t="n"/>
      <c r="BA12" s="29">
        <f>IF(AY12&lt;99,IF(AY12=0,"",((COUNTIF($E$13:$AQ$61,AY12))/2)),IF(AY12=0,"",((COUNTIF($E$13:$AQ$61,CONCATENATE(AY12,"*")))/2)+(COUNTIF($E$13:$AQ$61,CONCATENATE("x",AY12,"*")))/4))</f>
        <v/>
      </c>
      <c r="BB12" s="838" t="n"/>
      <c r="BC12" s="102" t="inlineStr">
        <is>
          <t>Naam</t>
        </is>
      </c>
      <c r="BD12" s="103" t="n"/>
      <c r="BE12" s="877" t="inlineStr">
        <is>
          <t>Maandag</t>
        </is>
      </c>
      <c r="BF12" s="878" t="n"/>
      <c r="BG12" s="103" t="n"/>
      <c r="BH12" s="103" t="n"/>
      <c r="BI12" s="877" t="inlineStr">
        <is>
          <t>Dinsdag</t>
        </is>
      </c>
      <c r="BJ12" s="878" t="n"/>
      <c r="BK12" s="103" t="n"/>
      <c r="BL12" s="103" t="n"/>
      <c r="BM12" s="877" t="inlineStr">
        <is>
          <t>Woensdag</t>
        </is>
      </c>
      <c r="BN12" s="878" t="n"/>
      <c r="BO12" s="103" t="n"/>
      <c r="BP12" s="103" t="n"/>
      <c r="BQ12" s="877" t="inlineStr">
        <is>
          <t>Donderdag</t>
        </is>
      </c>
      <c r="BR12" s="878" t="n"/>
      <c r="BS12" s="103" t="n"/>
      <c r="BT12" s="103" t="n"/>
      <c r="BU12" s="877" t="inlineStr">
        <is>
          <t>Vrijdag</t>
        </is>
      </c>
      <c r="BV12" s="878" t="n"/>
      <c r="BW12" s="103" t="n"/>
      <c r="BX12" s="103" t="n"/>
      <c r="BY12" s="877" t="inlineStr">
        <is>
          <t>Zaterdag</t>
        </is>
      </c>
      <c r="BZ12" s="878" t="n"/>
      <c r="CA12" s="103" t="n"/>
      <c r="CB12" s="103" t="n"/>
      <c r="CC12" s="877" t="inlineStr">
        <is>
          <t>Zondag</t>
        </is>
      </c>
      <c r="CD12" s="878" t="n"/>
      <c r="CE12" s="103" t="n"/>
      <c r="CF12" s="103" t="n"/>
      <c r="CG12" s="103" t="n"/>
      <c r="CH12" s="103" t="n"/>
      <c r="CI12" s="250">
        <f>"+/-"</f>
        <v/>
      </c>
      <c r="CJ12" s="250">
        <f>CONCATENATE("&lt;",ROUNDUP(Instellingen!$I$8,0))</f>
        <v/>
      </c>
      <c r="CK12" s="250">
        <f>CONCATENATE("&lt;",ROUNDUP(Instellingen!$I$9,0))</f>
        <v/>
      </c>
      <c r="CL12" s="104" t="inlineStr">
        <is>
          <t>Dag</t>
        </is>
      </c>
      <c r="CM12" s="21" t="n"/>
    </row>
    <row r="13" ht="12.75" customHeight="1">
      <c r="A13" s="161">
        <f>IFERROR(IF(VLOOKUP($B13,$BC$13:$CL$86,36,FALSE)&gt;5,0,IF(COUNTIF($B$13:$B$63,$B13)&gt;1,0,1)),1)+IF(B13&lt;&gt;0,0,IF(AV13&gt;0,0.000001,0))</f>
        <v/>
      </c>
      <c r="B13" s="51" t="inlineStr">
        <is>
          <t>Jacco Maas</t>
        </is>
      </c>
      <c r="C13" s="48">
        <f>IFERROR(IF($B13="","",VLOOKUP($B13,Medewerker!$C$8:$AI$107,33,FALSE)),"?")</f>
        <v/>
      </c>
      <c r="D13" s="879">
        <f t="array" ref="D13">IFERROR(IF(LEFT(INDEX($F13:$AQ13,1,SUM(SMALL(IF($F13:$AQ13&lt;&gt;"",COLUMN($F13:$AQ13)),1)-5)),1)="x",SUM(SMALL(IF($F13:$AQ13&lt;&gt;"",$F$11:$AQ$11),1)+"0:15"),SMALL(IF($F13:$AQ13&lt;&gt;"",$F$11:$AQ$11),1)),"")</f>
        <v/>
      </c>
      <c r="E13" s="879">
        <f t="array" ref="E13">IFERROR(IF(LEFT(INDEX($F13:$AQ13,1,SUM(LARGE(IF($F13:$AQ13&lt;&gt;"",COLUMN($F13:$AQ13)),1)-5)),1)="x",SUM(LARGE(IF($F13:$AQ13&lt;&gt;"",$F$11:$AQ$11+"0:30:00"),1)-"0:15"),LARGE(IF($F13:$AQ13&lt;&gt;"",$F$11:$AQ$11+"0:30:00"),1)),"")</f>
        <v/>
      </c>
      <c r="F13" s="37" t="n"/>
      <c r="G13" s="38" t="n"/>
      <c r="H13" s="40" t="inlineStr">
        <is>
          <t>sl</t>
        </is>
      </c>
      <c r="I13" s="41" t="inlineStr">
        <is>
          <t>sl</t>
        </is>
      </c>
      <c r="J13" s="40" t="inlineStr">
        <is>
          <t>sl</t>
        </is>
      </c>
      <c r="K13" s="42" t="inlineStr">
        <is>
          <t>sl</t>
        </is>
      </c>
      <c r="L13" s="43" t="inlineStr">
        <is>
          <t>sl</t>
        </is>
      </c>
      <c r="M13" s="41" t="inlineStr">
        <is>
          <t>sl</t>
        </is>
      </c>
      <c r="N13" s="40" t="inlineStr">
        <is>
          <t>sl</t>
        </is>
      </c>
      <c r="O13" s="42" t="inlineStr">
        <is>
          <t>sl</t>
        </is>
      </c>
      <c r="P13" s="43" t="inlineStr">
        <is>
          <t>p</t>
        </is>
      </c>
      <c r="Q13" s="41" t="inlineStr">
        <is>
          <t>sl</t>
        </is>
      </c>
      <c r="R13" s="40" t="inlineStr">
        <is>
          <t>sl</t>
        </is>
      </c>
      <c r="S13" s="42" t="inlineStr">
        <is>
          <t>sl</t>
        </is>
      </c>
      <c r="T13" s="43" t="inlineStr">
        <is>
          <t>sl</t>
        </is>
      </c>
      <c r="U13" s="41" t="inlineStr">
        <is>
          <t>sl</t>
        </is>
      </c>
      <c r="V13" s="40" t="inlineStr">
        <is>
          <t>sl</t>
        </is>
      </c>
      <c r="W13" s="42" t="inlineStr">
        <is>
          <t>sl</t>
        </is>
      </c>
      <c r="X13" s="43" t="n"/>
      <c r="Y13" s="41" t="n"/>
      <c r="Z13" s="40" t="n"/>
      <c r="AA13" s="42" t="n"/>
      <c r="AB13" s="43" t="n"/>
      <c r="AC13" s="41" t="n"/>
      <c r="AD13" s="40" t="n"/>
      <c r="AE13" s="42" t="n"/>
      <c r="AF13" s="43" t="n"/>
      <c r="AG13" s="41" t="n"/>
      <c r="AH13" s="40" t="n"/>
      <c r="AI13" s="42" t="n"/>
      <c r="AJ13" s="43" t="n"/>
      <c r="AK13" s="41" t="n"/>
      <c r="AL13" s="40" t="n"/>
      <c r="AM13" s="38" t="n"/>
      <c r="AN13" s="644" t="n"/>
      <c r="AO13" s="39" t="n"/>
      <c r="AP13" s="37" t="n"/>
      <c r="AQ13" s="38" t="n"/>
      <c r="AR13" s="880">
        <f>IFERROR(IF(VLOOKUP($B13,Medewerker!$C$8:$Q$107,15,FALSE)="",VLOOKUP($B13,Medewerker!$C$8:$Q$107,13,FALSE),0),0)</f>
        <v/>
      </c>
      <c r="AS13" s="881">
        <f>IFERROR(IF(B13="",1,IF(VLOOKUP($B13,Medewerker!$C$8:$Q$107,15,FALSE)="",VLOOKUP($B13,Medewerker!$C$8:$Q$107,14,FALSE),0)),0)</f>
        <v/>
      </c>
      <c r="AT13" s="49" t="n"/>
      <c r="AU13" s="49">
        <f>(COUNTIF(F13:AQ13,"afw"))/2</f>
        <v/>
      </c>
      <c r="AV13" s="111">
        <f>((38-(COUNTIF(F13:AQ13,"")))/2)-(COUNTIF(F13:AQ13,"p")/2)-(COUNTIF(F13:AQ13,CONCATENATE("x","*"))/4)</f>
        <v/>
      </c>
      <c r="AW13" s="70">
        <f>IF($B13="","",VLOOKUP($B13,Medewerker!$C$8:$E$107,3,FALSE))</f>
        <v/>
      </c>
      <c r="AX13" s="404">
        <f>IFERROR(VLOOKUP($B13,Planning!$B$6:$AG$105,32,FALSE)*24,"")</f>
        <v/>
      </c>
      <c r="AY13" s="882" t="inlineStr">
        <is>
          <t>Vullen</t>
        </is>
      </c>
      <c r="AZ13" s="883" t="n"/>
      <c r="BA13" s="884" t="n"/>
      <c r="BB13" s="838" t="n"/>
      <c r="BC13" s="31">
        <f>IF(Planning!B6="","",Planning!B6)</f>
        <v/>
      </c>
      <c r="BD13" s="105" t="n"/>
      <c r="BE13" s="885">
        <f>Planning!E6</f>
        <v/>
      </c>
      <c r="BF13" s="885">
        <f>Planning!F6</f>
        <v/>
      </c>
      <c r="BG13" s="886" t="n"/>
      <c r="BH13" s="105" t="n"/>
      <c r="BI13" s="885">
        <f>Planning!I6</f>
        <v/>
      </c>
      <c r="BJ13" s="885">
        <f>Planning!J6</f>
        <v/>
      </c>
      <c r="BK13" s="886" t="n"/>
      <c r="BL13" s="105" t="n"/>
      <c r="BM13" s="885">
        <f>Planning!M6</f>
        <v/>
      </c>
      <c r="BN13" s="885">
        <f>Planning!N6</f>
        <v/>
      </c>
      <c r="BO13" s="886" t="n"/>
      <c r="BP13" s="105" t="n"/>
      <c r="BQ13" s="885">
        <f>Planning!Q6</f>
        <v/>
      </c>
      <c r="BR13" s="885">
        <f>Planning!R6</f>
        <v/>
      </c>
      <c r="BS13" s="886" t="n"/>
      <c r="BT13" s="105" t="n"/>
      <c r="BU13" s="885">
        <f>Planning!U6</f>
        <v/>
      </c>
      <c r="BV13" s="885">
        <f>Planning!V6</f>
        <v/>
      </c>
      <c r="BW13" s="886" t="n"/>
      <c r="BX13" s="105" t="n"/>
      <c r="BY13" s="885">
        <f>Planning!Y6</f>
        <v/>
      </c>
      <c r="BZ13" s="885">
        <f>Planning!Z6</f>
        <v/>
      </c>
      <c r="CA13" s="886" t="n"/>
      <c r="CB13" s="105" t="n"/>
      <c r="CC13" s="885">
        <f>Planning!AC6</f>
        <v/>
      </c>
      <c r="CD13" s="885">
        <f>Planning!AD6</f>
        <v/>
      </c>
      <c r="CE13" s="886" t="n"/>
      <c r="CF13" s="105" t="n"/>
      <c r="CG13" s="887">
        <f>Planning!AG6</f>
        <v/>
      </c>
      <c r="CH13" s="105" t="n"/>
      <c r="CI13" s="252">
        <f>IF(BC13="","",Planning!AI6)</f>
        <v/>
      </c>
      <c r="CJ13" s="252">
        <f>IF(BC13="","",Planning!AJ6)</f>
        <v/>
      </c>
      <c r="CK13" s="252">
        <f>IF(BC13="","",Planning!AK6)</f>
        <v/>
      </c>
      <c r="CL13" s="252">
        <f>IF(BC13="","",Planning!AH6)</f>
        <v/>
      </c>
      <c r="CM13" s="21" t="n"/>
    </row>
    <row r="14" ht="12.75" customHeight="1">
      <c r="A14" s="161">
        <f>IFERROR(IF(VLOOKUP($B14,$BC$13:$CL$86,36,FALSE)&gt;5,0,IF(COUNTIF($B$13:$B$63,$B14)&gt;1,0,2)),2)+IF(B14&lt;&gt;0,0,IF(AV14&gt;0,0.000001,0))</f>
        <v/>
      </c>
      <c r="B14" s="52" t="inlineStr">
        <is>
          <t>Zubaid Shinwari</t>
        </is>
      </c>
      <c r="C14" s="48">
        <f>IFERROR(IF($B14="","",VLOOKUP($B14,Medewerker!$C$8:$AI$107,33,FALSE)),"?")</f>
        <v/>
      </c>
      <c r="D14" s="879">
        <f t="array" ref="D14">IFERROR(IF(LEFT(INDEX($F14:$AQ14,1,SUM(SMALL(IF($F14:$AQ14&lt;&gt;"",COLUMN($F14:$AQ14)),1)-5)),1)="x",SUM(SMALL(IF($F14:$AQ14&lt;&gt;"",$F$11:$AQ$11),1)+"0:15"),SMALL(IF($F14:$AQ14&lt;&gt;"",$F$11:$AQ$11),1)),"")</f>
        <v/>
      </c>
      <c r="E14" s="879">
        <f t="array" ref="E14">IFERROR(IF(LEFT(INDEX($F14:$AQ14,1,SUM(LARGE(IF($F14:$AQ14&lt;&gt;"",COLUMN($F14:$AQ14)),1)-5)),1)="x",SUM(LARGE(IF($F14:$AQ14&lt;&gt;"",$F$11:$AQ$11+"0:30:00"),1)-"0:15"),LARGE(IF($F14:$AQ14&lt;&gt;"",$F$11:$AQ$11+"0:30:00"),1)),"")</f>
        <v/>
      </c>
      <c r="F14" s="40" t="n"/>
      <c r="G14" s="41" t="n"/>
      <c r="H14" s="43" t="inlineStr">
        <is>
          <t>sl</t>
        </is>
      </c>
      <c r="I14" s="41" t="inlineStr">
        <is>
          <t>sl</t>
        </is>
      </c>
      <c r="J14" s="40" t="inlineStr">
        <is>
          <t>sl</t>
        </is>
      </c>
      <c r="K14" s="42" t="inlineStr">
        <is>
          <t>sl</t>
        </is>
      </c>
      <c r="L14" s="43" t="inlineStr">
        <is>
          <t>sl</t>
        </is>
      </c>
      <c r="M14" s="41" t="inlineStr">
        <is>
          <t>sl</t>
        </is>
      </c>
      <c r="N14" s="40" t="inlineStr">
        <is>
          <t>sl</t>
        </is>
      </c>
      <c r="O14" s="42" t="inlineStr">
        <is>
          <t>sl</t>
        </is>
      </c>
      <c r="P14" s="42" t="inlineStr">
        <is>
          <t>sl</t>
        </is>
      </c>
      <c r="Q14" s="42" t="inlineStr">
        <is>
          <t>p</t>
        </is>
      </c>
      <c r="R14" s="42" t="inlineStr">
        <is>
          <t>sl</t>
        </is>
      </c>
      <c r="S14" s="42" t="inlineStr">
        <is>
          <t>sl</t>
        </is>
      </c>
      <c r="T14" s="42" t="inlineStr">
        <is>
          <t>sl</t>
        </is>
      </c>
      <c r="U14" s="42" t="inlineStr">
        <is>
          <t>sl</t>
        </is>
      </c>
      <c r="V14" s="42" t="inlineStr">
        <is>
          <t>sl</t>
        </is>
      </c>
      <c r="W14" s="42" t="inlineStr">
        <is>
          <t>sl</t>
        </is>
      </c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1" t="n"/>
      <c r="AH14" s="40" t="n"/>
      <c r="AI14" s="42" t="n"/>
      <c r="AJ14" s="43" t="n"/>
      <c r="AK14" s="41" t="n"/>
      <c r="AL14" s="40" t="n"/>
      <c r="AM14" s="41" t="n"/>
      <c r="AN14" s="645" t="n"/>
      <c r="AO14" s="42" t="n"/>
      <c r="AP14" s="40" t="n"/>
      <c r="AQ14" s="41" t="n"/>
      <c r="AR14" s="888">
        <f>IFERROR(IF(VLOOKUP($B14,Medewerker!$C$8:$Q$107,15,FALSE)="",VLOOKUP($B14,Medewerker!$C$8:$Q$107,13,FALSE),0),0)</f>
        <v/>
      </c>
      <c r="AS14" s="889">
        <f>IFERROR(IF(B14="",1,IF(VLOOKUP($B14,Medewerker!$C$8:$Q$107,15,FALSE)="",VLOOKUP($B14,Medewerker!$C$8:$Q$107,14,FALSE),0)),0)</f>
        <v/>
      </c>
      <c r="AT14" s="30" t="n"/>
      <c r="AU14" s="30">
        <f>(COUNTIF(F14:AQ14,"afw"))/2</f>
        <v/>
      </c>
      <c r="AV14" s="111">
        <f>((38-(COUNTIF(F14:AQ14,"")))/2)-(COUNTIF(F14:AQ14,"p")/2)-(COUNTIF(F14:AQ14,CONCATENATE("x","*"))/4)</f>
        <v/>
      </c>
      <c r="AW14" s="73">
        <f>IF($B14="","",VLOOKUP($B14,Medewerker!$C$8:$E$107,3,FALSE))</f>
        <v/>
      </c>
      <c r="AX14" s="403">
        <f>IFERROR(VLOOKUP($B14,Planning!$B$6:$AG$105,32,FALSE)*24,"")</f>
        <v/>
      </c>
      <c r="AY14" s="406" t="inlineStr">
        <is>
          <t>hv</t>
        </is>
      </c>
      <c r="AZ14" s="166" t="inlineStr">
        <is>
          <t>Houdbaar vullen</t>
        </is>
      </c>
      <c r="BA14" s="111">
        <f>COUNTIF($F$13:$AQ$63,CONCATENATE(AY14,"*"))/2+COUNTIF($F$13:$AQ$63,CONCATENATE("x",AY14,"*"))/4</f>
        <v/>
      </c>
      <c r="BB14" s="838" t="n"/>
      <c r="BC14" s="31">
        <f>IF(Planning!B7="","",Planning!B7)</f>
        <v/>
      </c>
      <c r="BD14" s="105" t="n"/>
      <c r="BE14" s="885">
        <f>Planning!E7</f>
        <v/>
      </c>
      <c r="BF14" s="885">
        <f>Planning!F7</f>
        <v/>
      </c>
      <c r="BG14" s="886" t="n"/>
      <c r="BH14" s="105" t="n"/>
      <c r="BI14" s="885">
        <f>Planning!I7</f>
        <v/>
      </c>
      <c r="BJ14" s="885">
        <f>Planning!J7</f>
        <v/>
      </c>
      <c r="BK14" s="886" t="n"/>
      <c r="BL14" s="105" t="n"/>
      <c r="BM14" s="885">
        <f>Planning!M7</f>
        <v/>
      </c>
      <c r="BN14" s="885">
        <f>Planning!N7</f>
        <v/>
      </c>
      <c r="BO14" s="886" t="n"/>
      <c r="BP14" s="105" t="n"/>
      <c r="BQ14" s="885">
        <f>Planning!Q7</f>
        <v/>
      </c>
      <c r="BR14" s="885">
        <f>Planning!R7</f>
        <v/>
      </c>
      <c r="BS14" s="886" t="n"/>
      <c r="BT14" s="105" t="n"/>
      <c r="BU14" s="885">
        <f>Planning!U7</f>
        <v/>
      </c>
      <c r="BV14" s="885">
        <f>Planning!V7</f>
        <v/>
      </c>
      <c r="BW14" s="886" t="n"/>
      <c r="BX14" s="105" t="n"/>
      <c r="BY14" s="885">
        <f>Planning!Y7</f>
        <v/>
      </c>
      <c r="BZ14" s="885">
        <f>Planning!Z7</f>
        <v/>
      </c>
      <c r="CA14" s="886" t="n"/>
      <c r="CB14" s="105" t="n"/>
      <c r="CC14" s="885">
        <f>Planning!AC7</f>
        <v/>
      </c>
      <c r="CD14" s="885">
        <f>Planning!AD7</f>
        <v/>
      </c>
      <c r="CE14" s="886" t="n"/>
      <c r="CF14" s="105" t="n"/>
      <c r="CG14" s="887">
        <f>Planning!AG7</f>
        <v/>
      </c>
      <c r="CH14" s="105" t="n"/>
      <c r="CI14" s="252">
        <f>IF(BC14="","",Planning!AI7)</f>
        <v/>
      </c>
      <c r="CJ14" s="252">
        <f>IF(BC14="","",Planning!AJ7)</f>
        <v/>
      </c>
      <c r="CK14" s="252">
        <f>IF(BC14="","",Planning!AK7)</f>
        <v/>
      </c>
      <c r="CL14" s="252">
        <f>IF(BC14="","",Planning!AH7)</f>
        <v/>
      </c>
      <c r="CM14" s="21" t="n"/>
    </row>
    <row r="15" ht="12.75" customHeight="1">
      <c r="A15" s="161">
        <f>IFERROR(IF(VLOOKUP($B15,$BC$13:$CL$86,36,FALSE)&gt;5,0,IF(COUNTIF($B$13:$B$63,$B15)&gt;1,0,3)),3)+IF(B15&lt;&gt;0,0,IF(AV15&gt;0,0.000001,0))</f>
        <v/>
      </c>
      <c r="B15" s="52" t="inlineStr">
        <is>
          <t>Milan Gebruers</t>
        </is>
      </c>
      <c r="C15" s="48">
        <f>IFERROR(IF($B15="","",VLOOKUP($B15,Medewerker!$C$8:$AI$107,33,FALSE)),"?")</f>
        <v/>
      </c>
      <c r="D15" s="879">
        <f t="array" ref="D15">IFERROR(IF(LEFT(INDEX($F15:$AQ15,1,SUM(SMALL(IF($F15:$AQ15&lt;&gt;"",COLUMN($F15:$AQ15)),1)-5)),1)="x",SUM(SMALL(IF($F15:$AQ15&lt;&gt;"",$F$11:$AQ$11),1)+"0:15"),SMALL(IF($F15:$AQ15&lt;&gt;"",$F$11:$AQ$11),1)),"")</f>
        <v/>
      </c>
      <c r="E15" s="879">
        <f t="array" ref="E15">IFERROR(IF(LEFT(INDEX($F15:$AQ15,1,SUM(LARGE(IF($F15:$AQ15&lt;&gt;"",COLUMN($F15:$AQ15)),1)-5)),1)="x",SUM(LARGE(IF($F15:$AQ15&lt;&gt;"",$F$11:$AQ$11+"0:30:00"),1)-"0:15"),LARGE(IF($F15:$AQ15&lt;&gt;"",$F$11:$AQ$11+"0:30:00"),1)),"")</f>
        <v/>
      </c>
      <c r="F15" s="40" t="n"/>
      <c r="G15" s="41" t="n"/>
      <c r="H15" s="40" t="n"/>
      <c r="I15" s="41" t="n"/>
      <c r="J15" s="40" t="n"/>
      <c r="K15" s="42" t="n"/>
      <c r="L15" s="43" t="n"/>
      <c r="M15" s="41" t="n"/>
      <c r="N15" s="40" t="n"/>
      <c r="O15" s="42" t="n"/>
      <c r="P15" s="43" t="n"/>
      <c r="Q15" s="41" t="n"/>
      <c r="R15" s="40" t="n"/>
      <c r="S15" s="42" t="n"/>
      <c r="T15" s="43" t="n"/>
      <c r="U15" s="41" t="n"/>
      <c r="V15" s="40" t="inlineStr">
        <is>
          <t>sl</t>
        </is>
      </c>
      <c r="W15" s="42" t="inlineStr">
        <is>
          <t>sl</t>
        </is>
      </c>
      <c r="X15" s="43" t="inlineStr">
        <is>
          <t>sl</t>
        </is>
      </c>
      <c r="Y15" s="41" t="inlineStr">
        <is>
          <t>sl</t>
        </is>
      </c>
      <c r="Z15" s="40" t="inlineStr">
        <is>
          <t>sl</t>
        </is>
      </c>
      <c r="AA15" s="42" t="inlineStr">
        <is>
          <t>sl</t>
        </is>
      </c>
      <c r="AB15" s="43" t="inlineStr">
        <is>
          <t>sl</t>
        </is>
      </c>
      <c r="AC15" s="41" t="inlineStr">
        <is>
          <t>sl</t>
        </is>
      </c>
      <c r="AD15" s="40" t="inlineStr">
        <is>
          <t>p</t>
        </is>
      </c>
      <c r="AE15" s="42" t="inlineStr">
        <is>
          <t>sl</t>
        </is>
      </c>
      <c r="AF15" s="43" t="inlineStr">
        <is>
          <t>sl</t>
        </is>
      </c>
      <c r="AG15" s="41" t="inlineStr">
        <is>
          <t>sl</t>
        </is>
      </c>
      <c r="AH15" s="40" t="inlineStr">
        <is>
          <t>sl</t>
        </is>
      </c>
      <c r="AI15" s="42" t="inlineStr">
        <is>
          <t>sl</t>
        </is>
      </c>
      <c r="AJ15" s="43" t="inlineStr">
        <is>
          <t>sl</t>
        </is>
      </c>
      <c r="AK15" s="41" t="inlineStr">
        <is>
          <t>sl</t>
        </is>
      </c>
      <c r="AL15" s="40" t="n"/>
      <c r="AM15" s="41" t="n"/>
      <c r="AN15" s="645" t="n"/>
      <c r="AO15" s="42" t="n"/>
      <c r="AP15" s="40" t="n"/>
      <c r="AQ15" s="41" t="n"/>
      <c r="AR15" s="888">
        <f>IFERROR(IF(VLOOKUP($B15,Medewerker!$C$8:$Q$107,15,FALSE)="",VLOOKUP($B15,Medewerker!$C$8:$Q$107,13,FALSE),0),0)</f>
        <v/>
      </c>
      <c r="AS15" s="889">
        <f>IFERROR(IF(B15="",1,IF(VLOOKUP($B15,Medewerker!$C$8:$Q$107,15,FALSE)="",VLOOKUP($B15,Medewerker!$C$8:$Q$107,14,FALSE),0)),0)</f>
        <v/>
      </c>
      <c r="AT15" s="30" t="n"/>
      <c r="AU15" s="30">
        <f>(COUNTIF(F15:AQ15,"afw"))/2</f>
        <v/>
      </c>
      <c r="AV15" s="111">
        <f>((38-(COUNTIF(F15:AQ15,"")))/2)-(COUNTIF(F15:AQ15,"p")/2)-(COUNTIF(F15:AQ15,CONCATENATE("x","*"))/4)</f>
        <v/>
      </c>
      <c r="AW15" s="73">
        <f>IF($B15="","",VLOOKUP($B15,Medewerker!$C$8:$E$107,3,FALSE))</f>
        <v/>
      </c>
      <c r="AX15" s="403">
        <f>IFERROR(VLOOKUP($B15,Planning!$B$6:$AG$105,32,FALSE)*24,"")</f>
        <v/>
      </c>
      <c r="AY15" s="406" t="inlineStr">
        <is>
          <t>dv</t>
        </is>
      </c>
      <c r="AZ15" s="166" t="inlineStr">
        <is>
          <t>Diepvries vullen</t>
        </is>
      </c>
      <c r="BA15" s="111">
        <f>COUNTIF($F$13:$AQ$63,CONCATENATE(AY15,"*"))/2+COUNTIF($F$13:$AQ$63,CONCATENATE("x",AY15,"*"))/4</f>
        <v/>
      </c>
      <c r="BB15" s="838" t="n"/>
      <c r="BC15" s="31">
        <f>IF(Planning!B8="","",Planning!B8)</f>
        <v/>
      </c>
      <c r="BD15" s="105" t="n"/>
      <c r="BE15" s="885">
        <f>Planning!E8</f>
        <v/>
      </c>
      <c r="BF15" s="885">
        <f>Planning!F8</f>
        <v/>
      </c>
      <c r="BG15" s="886" t="n"/>
      <c r="BH15" s="105" t="n"/>
      <c r="BI15" s="885">
        <f>Planning!I8</f>
        <v/>
      </c>
      <c r="BJ15" s="885">
        <f>Planning!J8</f>
        <v/>
      </c>
      <c r="BK15" s="886" t="n"/>
      <c r="BL15" s="105" t="n"/>
      <c r="BM15" s="885">
        <f>Planning!M8</f>
        <v/>
      </c>
      <c r="BN15" s="885">
        <f>Planning!N8</f>
        <v/>
      </c>
      <c r="BO15" s="886" t="n"/>
      <c r="BP15" s="105" t="n"/>
      <c r="BQ15" s="885">
        <f>Planning!Q8</f>
        <v/>
      </c>
      <c r="BR15" s="885">
        <f>Planning!R8</f>
        <v/>
      </c>
      <c r="BS15" s="886" t="n"/>
      <c r="BT15" s="105" t="n"/>
      <c r="BU15" s="885">
        <f>Planning!U8</f>
        <v/>
      </c>
      <c r="BV15" s="885">
        <f>Planning!V8</f>
        <v/>
      </c>
      <c r="BW15" s="886" t="n"/>
      <c r="BX15" s="105" t="n"/>
      <c r="BY15" s="885">
        <f>Planning!Y8</f>
        <v/>
      </c>
      <c r="BZ15" s="885">
        <f>Planning!Z8</f>
        <v/>
      </c>
      <c r="CA15" s="886" t="n"/>
      <c r="CB15" s="105" t="n"/>
      <c r="CC15" s="885">
        <f>Planning!AC8</f>
        <v/>
      </c>
      <c r="CD15" s="885">
        <f>Planning!AD8</f>
        <v/>
      </c>
      <c r="CE15" s="886" t="n"/>
      <c r="CF15" s="105" t="n"/>
      <c r="CG15" s="887">
        <f>Planning!AG8</f>
        <v/>
      </c>
      <c r="CH15" s="105" t="n"/>
      <c r="CI15" s="252">
        <f>IF(BC15="","",Planning!AI8)</f>
        <v/>
      </c>
      <c r="CJ15" s="252">
        <f>IF(BC15="","",Planning!AJ8)</f>
        <v/>
      </c>
      <c r="CK15" s="252">
        <f>IF(BC15="","",Planning!AK8)</f>
        <v/>
      </c>
      <c r="CL15" s="252">
        <f>IF(BC15="","",Planning!AH8)</f>
        <v/>
      </c>
      <c r="CM15" s="21" t="n"/>
    </row>
    <row r="16" ht="12.75" customHeight="1">
      <c r="A16" s="161">
        <f>IFERROR(IF(VLOOKUP($B16,$BC$13:$CL$86,36,FALSE)&gt;5,0,IF(COUNTIF($B$13:$B$63,$B16)&gt;1,0,4)),4)+IF(B16&lt;&gt;0,0,IF(AV16&gt;0,0.000001,0))</f>
        <v/>
      </c>
      <c r="B16" s="52" t="n"/>
      <c r="C16" s="48">
        <f>IFERROR(IF($B16="","",VLOOKUP($B16,Medewerker!$C$8:$AI$107,33,FALSE)),"?")</f>
        <v/>
      </c>
      <c r="D16" s="879">
        <f t="array" ref="D16">IFERROR(IF(LEFT(INDEX($F16:$AQ16,1,SUM(SMALL(IF($F16:$AQ16&lt;&gt;"",COLUMN($F16:$AQ16)),1)-5)),1)="x",SUM(SMALL(IF($F16:$AQ16&lt;&gt;"",$F$11:$AQ$11),1)+"0:15"),SMALL(IF($F16:$AQ16&lt;&gt;"",$F$11:$AQ$11),1)),"")</f>
        <v/>
      </c>
      <c r="E16" s="879">
        <f t="array" ref="E16">IFERROR(IF(LEFT(INDEX($F16:$AQ16,1,SUM(LARGE(IF($F16:$AQ16&lt;&gt;"",COLUMN($F16:$AQ16)),1)-5)),1)="x",SUM(LARGE(IF($F16:$AQ16&lt;&gt;"",$F$11:$AQ$11+"0:30:00"),1)-"0:15"),LARGE(IF($F16:$AQ16&lt;&gt;"",$F$11:$AQ$11+"0:30:00"),1)),"")</f>
        <v/>
      </c>
      <c r="F16" s="40" t="n"/>
      <c r="G16" s="41" t="n"/>
      <c r="H16" s="40" t="n"/>
      <c r="I16" s="41" t="n"/>
      <c r="J16" s="40" t="n"/>
      <c r="K16" s="42" t="n"/>
      <c r="L16" s="43" t="n"/>
      <c r="M16" s="41" t="n"/>
      <c r="N16" s="40" t="n"/>
      <c r="O16" s="42" t="n"/>
      <c r="P16" s="43" t="n"/>
      <c r="Q16" s="41" t="n"/>
      <c r="R16" s="40" t="n"/>
      <c r="S16" s="42" t="n"/>
      <c r="T16" s="43" t="n"/>
      <c r="U16" s="41" t="n"/>
      <c r="V16" s="40" t="n"/>
      <c r="W16" s="42" t="n"/>
      <c r="X16" s="43" t="n"/>
      <c r="Y16" s="41" t="n"/>
      <c r="Z16" s="40" t="n"/>
      <c r="AA16" s="42" t="n"/>
      <c r="AB16" s="43" t="n"/>
      <c r="AC16" s="41" t="n"/>
      <c r="AD16" s="40" t="n"/>
      <c r="AE16" s="42" t="n"/>
      <c r="AF16" s="43" t="n"/>
      <c r="AG16" s="41" t="n"/>
      <c r="AH16" s="40" t="n"/>
      <c r="AI16" s="42" t="n"/>
      <c r="AJ16" s="43" t="n"/>
      <c r="AK16" s="41" t="n"/>
      <c r="AL16" s="40" t="n"/>
      <c r="AM16" s="41" t="n"/>
      <c r="AN16" s="645" t="n"/>
      <c r="AO16" s="42" t="n"/>
      <c r="AP16" s="40" t="n"/>
      <c r="AQ16" s="41" t="n"/>
      <c r="AR16" s="888">
        <f>IFERROR(IF(VLOOKUP($B16,Medewerker!$C$8:$Q$107,15,FALSE)="",VLOOKUP($B16,Medewerker!$C$8:$Q$107,13,FALSE),0),0)</f>
        <v/>
      </c>
      <c r="AS16" s="889">
        <f>IFERROR(IF(B16="",1,IF(VLOOKUP($B16,Medewerker!$C$8:$Q$107,15,FALSE)="",VLOOKUP($B16,Medewerker!$C$8:$Q$107,14,FALSE),0)),0)</f>
        <v/>
      </c>
      <c r="AT16" s="30" t="n"/>
      <c r="AU16" s="30">
        <f>(COUNTIF(F16:AQ16,"afw"))/2</f>
        <v/>
      </c>
      <c r="AV16" s="111">
        <f>((38-(COUNTIF(F16:AQ16,"")))/2)-(COUNTIF(F16:AQ16,"p")/2)-(COUNTIF(F16:AQ16,CONCATENATE("x","*"))/4)</f>
        <v/>
      </c>
      <c r="AW16" s="73">
        <f>IF($B16="","",VLOOKUP($B16,Medewerker!$C$8:$E$107,3,FALSE))</f>
        <v/>
      </c>
      <c r="AX16" s="403">
        <f>IFERROR(VLOOKUP($B16,Planning!$B$6:$AG$105,32,FALSE)*24,"")</f>
        <v/>
      </c>
      <c r="AY16" s="406" t="inlineStr">
        <is>
          <t>vv</t>
        </is>
      </c>
      <c r="AZ16" s="166" t="inlineStr">
        <is>
          <t>Vers vullen</t>
        </is>
      </c>
      <c r="BA16" s="111">
        <f>COUNTIF($F$13:$AQ$63,CONCATENATE(AY16,"*"))/2+COUNTIF($F$13:$AQ$63,CONCATENATE("x",AY16,"*"))/4</f>
        <v/>
      </c>
      <c r="BB16" s="838" t="n"/>
      <c r="BC16" s="31">
        <f>IF(Planning!B9="","",Planning!B9)</f>
        <v/>
      </c>
      <c r="BD16" s="105" t="n"/>
      <c r="BE16" s="885">
        <f>Planning!E9</f>
        <v/>
      </c>
      <c r="BF16" s="885">
        <f>Planning!F9</f>
        <v/>
      </c>
      <c r="BG16" s="886" t="n"/>
      <c r="BH16" s="105" t="n"/>
      <c r="BI16" s="885">
        <f>Planning!I9</f>
        <v/>
      </c>
      <c r="BJ16" s="885">
        <f>Planning!J9</f>
        <v/>
      </c>
      <c r="BK16" s="886" t="n"/>
      <c r="BL16" s="105" t="n"/>
      <c r="BM16" s="885">
        <f>Planning!M9</f>
        <v/>
      </c>
      <c r="BN16" s="885">
        <f>Planning!N9</f>
        <v/>
      </c>
      <c r="BO16" s="886" t="n"/>
      <c r="BP16" s="105" t="n"/>
      <c r="BQ16" s="885">
        <f>Planning!Q9</f>
        <v/>
      </c>
      <c r="BR16" s="885">
        <f>Planning!R9</f>
        <v/>
      </c>
      <c r="BS16" s="886" t="n"/>
      <c r="BT16" s="105" t="n"/>
      <c r="BU16" s="885">
        <f>Planning!U9</f>
        <v/>
      </c>
      <c r="BV16" s="885">
        <f>Planning!V9</f>
        <v/>
      </c>
      <c r="BW16" s="886" t="n"/>
      <c r="BX16" s="105" t="n"/>
      <c r="BY16" s="885">
        <f>Planning!Y9</f>
        <v/>
      </c>
      <c r="BZ16" s="885">
        <f>Planning!Z9</f>
        <v/>
      </c>
      <c r="CA16" s="886" t="n"/>
      <c r="CB16" s="105" t="n"/>
      <c r="CC16" s="885">
        <f>Planning!AC9</f>
        <v/>
      </c>
      <c r="CD16" s="885">
        <f>Planning!AD9</f>
        <v/>
      </c>
      <c r="CE16" s="886" t="n"/>
      <c r="CF16" s="105" t="n"/>
      <c r="CG16" s="887">
        <f>Planning!AG9</f>
        <v/>
      </c>
      <c r="CH16" s="105" t="n"/>
      <c r="CI16" s="252">
        <f>IF(BC16="","",Planning!AI9)</f>
        <v/>
      </c>
      <c r="CJ16" s="252">
        <f>IF(BC16="","",Planning!AJ9)</f>
        <v/>
      </c>
      <c r="CK16" s="252">
        <f>IF(BC16="","",Planning!AK9)</f>
        <v/>
      </c>
      <c r="CL16" s="252">
        <f>IF(BC16="","",Planning!AH9)</f>
        <v/>
      </c>
      <c r="CM16" s="21" t="n"/>
    </row>
    <row r="17" ht="12.75" customHeight="1">
      <c r="A17" s="161">
        <f>IFERROR(IF(VLOOKUP($B17,$BC$13:$CL$86,36,FALSE)&gt;5,0,IF(COUNTIF($B$13:$B$63,$B17)&gt;1,0,5)),5)+IF(B17&lt;&gt;0,0,IF(AV17&gt;0,0.000001,0))</f>
        <v/>
      </c>
      <c r="B17" s="52" t="inlineStr">
        <is>
          <t>Nermeen Mamlouk</t>
        </is>
      </c>
      <c r="C17" s="48">
        <f>IFERROR(IF($B17="","",VLOOKUP($B17,Medewerker!$C$8:$AI$107,33,FALSE)),"?")</f>
        <v/>
      </c>
      <c r="D17" s="879">
        <f t="array" ref="D17">IFERROR(IF(LEFT(INDEX($F17:$AQ17,1,SUM(SMALL(IF($F17:$AQ17&lt;&gt;"",COLUMN($F17:$AQ17)),1)-5)),1)="x",SUM(SMALL(IF($F17:$AQ17&lt;&gt;"",$F$11:$AQ$11),1)+"0:15"),SMALL(IF($F17:$AQ17&lt;&gt;"",$F$11:$AQ$11),1)),"")</f>
        <v/>
      </c>
      <c r="E17" s="879">
        <f t="array" ref="E17">IFERROR(IF(LEFT(INDEX($F17:$AQ17,1,SUM(LARGE(IF($F17:$AQ17&lt;&gt;"",COLUMN($F17:$AQ17)),1)-5)),1)="x",SUM(LARGE(IF($F17:$AQ17&lt;&gt;"",$F$11:$AQ$11+"0:30:00"),1)-"0:15"),LARGE(IF($F17:$AQ17&lt;&gt;"",$F$11:$AQ$11+"0:30:00"),1)),"")</f>
        <v/>
      </c>
      <c r="F17" s="40" t="n"/>
      <c r="G17" s="41" t="n"/>
      <c r="H17" s="40" t="inlineStr">
        <is>
          <t>cb</t>
        </is>
      </c>
      <c r="I17" s="41" t="inlineStr">
        <is>
          <t>cb</t>
        </is>
      </c>
      <c r="J17" s="40" t="inlineStr">
        <is>
          <t>cb</t>
        </is>
      </c>
      <c r="K17" s="42" t="inlineStr">
        <is>
          <t>cb</t>
        </is>
      </c>
      <c r="L17" s="43" t="inlineStr">
        <is>
          <t>cb</t>
        </is>
      </c>
      <c r="M17" s="41" t="inlineStr">
        <is>
          <t>cb</t>
        </is>
      </c>
      <c r="N17" s="40" t="inlineStr">
        <is>
          <t>cb</t>
        </is>
      </c>
      <c r="O17" s="42" t="inlineStr">
        <is>
          <t>cb</t>
        </is>
      </c>
      <c r="P17" s="43" t="inlineStr">
        <is>
          <t>p</t>
        </is>
      </c>
      <c r="Q17" s="41" t="inlineStr">
        <is>
          <t>hv</t>
        </is>
      </c>
      <c r="R17" s="40" t="inlineStr">
        <is>
          <t>hv</t>
        </is>
      </c>
      <c r="S17" s="42" t="inlineStr">
        <is>
          <t>hv</t>
        </is>
      </c>
      <c r="T17" s="43" t="inlineStr">
        <is>
          <t>hv</t>
        </is>
      </c>
      <c r="U17" s="41" t="n"/>
      <c r="V17" s="40" t="n"/>
      <c r="W17" s="42" t="n"/>
      <c r="X17" s="43" t="n"/>
      <c r="Y17" s="41" t="n"/>
      <c r="Z17" s="40" t="n"/>
      <c r="AA17" s="42" t="n"/>
      <c r="AB17" s="43" t="n"/>
      <c r="AC17" s="41" t="n"/>
      <c r="AD17" s="40" t="n"/>
      <c r="AE17" s="42" t="n"/>
      <c r="AF17" s="43" t="n"/>
      <c r="AG17" s="41" t="n"/>
      <c r="AH17" s="40" t="n"/>
      <c r="AI17" s="42" t="n"/>
      <c r="AJ17" s="43" t="n"/>
      <c r="AK17" s="41" t="n"/>
      <c r="AL17" s="40" t="n"/>
      <c r="AM17" s="41" t="n"/>
      <c r="AN17" s="645" t="n"/>
      <c r="AO17" s="42" t="n"/>
      <c r="AP17" s="40" t="n"/>
      <c r="AQ17" s="41" t="n"/>
      <c r="AR17" s="888">
        <f>IFERROR(IF(VLOOKUP($B17,Medewerker!$C$8:$Q$107,15,FALSE)="",VLOOKUP($B17,Medewerker!$C$8:$Q$107,13,FALSE),0),0)</f>
        <v/>
      </c>
      <c r="AS17" s="889">
        <f>IFERROR(IF(B17="",1,IF(VLOOKUP($B17,Medewerker!$C$8:$Q$107,15,FALSE)="",VLOOKUP($B17,Medewerker!$C$8:$Q$107,14,FALSE),0)),0)</f>
        <v/>
      </c>
      <c r="AT17" s="30" t="n"/>
      <c r="AU17" s="30">
        <f>(COUNTIF(F17:AQ17,"afw"))/2</f>
        <v/>
      </c>
      <c r="AV17" s="111">
        <f>((38-(COUNTIF(F17:AQ17,"")))/2)-(COUNTIF(F17:AQ17,"p")/2)-(COUNTIF(F17:AQ17,CONCATENATE("x","*"))/4)</f>
        <v/>
      </c>
      <c r="AW17" s="73">
        <f>IF($B17="","",VLOOKUP($B17,Medewerker!$C$8:$E$107,3,FALSE))</f>
        <v/>
      </c>
      <c r="AX17" s="403">
        <f>IFERROR(VLOOKUP($B17,Planning!$B$6:$AG$105,32,FALSE)*24,"")</f>
        <v/>
      </c>
      <c r="AY17" s="406" t="inlineStr">
        <is>
          <t>nh</t>
        </is>
      </c>
      <c r="AZ17" s="166" t="inlineStr">
        <is>
          <t>Navulling HB</t>
        </is>
      </c>
      <c r="BA17" s="111">
        <f>COUNTIF($F$13:$AQ$63,CONCATENATE(AY17,"*"))/2+COUNTIF($F$13:$AQ$63,CONCATENATE("x",AY17,"*"))/4</f>
        <v/>
      </c>
      <c r="BB17" s="838" t="n"/>
      <c r="BC17" s="31">
        <f>IF(Planning!B10="","",Planning!B10)</f>
        <v/>
      </c>
      <c r="BD17" s="105" t="n"/>
      <c r="BE17" s="885">
        <f>Planning!E10</f>
        <v/>
      </c>
      <c r="BF17" s="885">
        <f>Planning!F10</f>
        <v/>
      </c>
      <c r="BG17" s="886" t="n"/>
      <c r="BH17" s="105" t="n"/>
      <c r="BI17" s="885">
        <f>Planning!I10</f>
        <v/>
      </c>
      <c r="BJ17" s="885">
        <f>Planning!J10</f>
        <v/>
      </c>
      <c r="BK17" s="886" t="n"/>
      <c r="BL17" s="105" t="n"/>
      <c r="BM17" s="885">
        <f>Planning!M10</f>
        <v/>
      </c>
      <c r="BN17" s="885">
        <f>Planning!N10</f>
        <v/>
      </c>
      <c r="BO17" s="886" t="n"/>
      <c r="BP17" s="105" t="n"/>
      <c r="BQ17" s="885">
        <f>Planning!Q10</f>
        <v/>
      </c>
      <c r="BR17" s="885">
        <f>Planning!R10</f>
        <v/>
      </c>
      <c r="BS17" s="886" t="n"/>
      <c r="BT17" s="105" t="n"/>
      <c r="BU17" s="885">
        <f>Planning!U10</f>
        <v/>
      </c>
      <c r="BV17" s="885">
        <f>Planning!V10</f>
        <v/>
      </c>
      <c r="BW17" s="886" t="n"/>
      <c r="BX17" s="105" t="n"/>
      <c r="BY17" s="885">
        <f>Planning!Y10</f>
        <v/>
      </c>
      <c r="BZ17" s="885">
        <f>Planning!Z10</f>
        <v/>
      </c>
      <c r="CA17" s="886" t="n"/>
      <c r="CB17" s="105" t="n"/>
      <c r="CC17" s="885">
        <f>Planning!AC10</f>
        <v/>
      </c>
      <c r="CD17" s="885">
        <f>Planning!AD10</f>
        <v/>
      </c>
      <c r="CE17" s="886" t="n"/>
      <c r="CF17" s="105" t="n"/>
      <c r="CG17" s="887">
        <f>Planning!AG10</f>
        <v/>
      </c>
      <c r="CH17" s="105" t="n"/>
      <c r="CI17" s="252">
        <f>IF(BC17="","",Planning!AI10)</f>
        <v/>
      </c>
      <c r="CJ17" s="252">
        <f>IF(BC17="","",Planning!AJ10)</f>
        <v/>
      </c>
      <c r="CK17" s="252">
        <f>IF(BC17="","",Planning!AK10)</f>
        <v/>
      </c>
      <c r="CL17" s="252">
        <f>IF(BC17="","",Planning!AH10)</f>
        <v/>
      </c>
      <c r="CM17" s="21" t="n"/>
    </row>
    <row r="18" ht="12.75" customHeight="1">
      <c r="A18" s="161">
        <f>IFERROR(IF(VLOOKUP($B18,$BC$13:$CL$86,36,FALSE)&gt;5,0,IF(COUNTIF($B$13:$B$63,$B18)&gt;1,0,6)),6)+IF(B18&lt;&gt;0,0,IF(AV18&gt;0,0.000001,0))</f>
        <v/>
      </c>
      <c r="B18" s="52" t="n"/>
      <c r="C18" s="48">
        <f>IFERROR(IF($B18="","",VLOOKUP($B18,Medewerker!$C$8:$AI$107,33,FALSE)),"?")</f>
        <v/>
      </c>
      <c r="D18" s="879">
        <f t="array" ref="D18">IFERROR(IF(LEFT(INDEX($F18:$AQ18,1,SUM(SMALL(IF($F18:$AQ18&lt;&gt;"",COLUMN($F18:$AQ18)),1)-5)),1)="x",SUM(SMALL(IF($F18:$AQ18&lt;&gt;"",$F$11:$AQ$11),1)+"0:15"),SMALL(IF($F18:$AQ18&lt;&gt;"",$F$11:$AQ$11),1)),"")</f>
        <v/>
      </c>
      <c r="E18" s="879">
        <f t="array" ref="E18">IFERROR(IF(LEFT(INDEX($F18:$AQ18,1,SUM(LARGE(IF($F18:$AQ18&lt;&gt;"",COLUMN($F18:$AQ18)),1)-5)),1)="x",SUM(LARGE(IF($F18:$AQ18&lt;&gt;"",$F$11:$AQ$11+"0:30:00"),1)-"0:15"),LARGE(IF($F18:$AQ18&lt;&gt;"",$F$11:$AQ$11+"0:30:00"),1)),"")</f>
        <v/>
      </c>
      <c r="F18" s="40" t="n"/>
      <c r="G18" s="41" t="n"/>
      <c r="H18" s="40" t="n"/>
      <c r="I18" s="41" t="n"/>
      <c r="J18" s="40" t="n"/>
      <c r="K18" s="42" t="n"/>
      <c r="L18" s="43" t="n"/>
      <c r="M18" s="41" t="n"/>
      <c r="N18" s="40" t="n"/>
      <c r="O18" s="42" t="n"/>
      <c r="P18" s="43" t="n"/>
      <c r="Q18" s="41" t="n"/>
      <c r="R18" s="40" t="n"/>
      <c r="S18" s="42" t="n"/>
      <c r="T18" s="43" t="n"/>
      <c r="U18" s="41" t="n"/>
      <c r="V18" s="40" t="n"/>
      <c r="W18" s="42" t="n"/>
      <c r="X18" s="43" t="n"/>
      <c r="Y18" s="41" t="n"/>
      <c r="Z18" s="40" t="n"/>
      <c r="AA18" s="42" t="n"/>
      <c r="AB18" s="43" t="n"/>
      <c r="AC18" s="41" t="n"/>
      <c r="AD18" s="40" t="n"/>
      <c r="AE18" s="42" t="n"/>
      <c r="AF18" s="43" t="n"/>
      <c r="AG18" s="41" t="n"/>
      <c r="AH18" s="40" t="n"/>
      <c r="AI18" s="42" t="n"/>
      <c r="AJ18" s="43" t="n"/>
      <c r="AK18" s="41" t="n"/>
      <c r="AL18" s="40" t="n"/>
      <c r="AM18" s="41" t="n"/>
      <c r="AN18" s="645" t="n"/>
      <c r="AO18" s="42" t="n"/>
      <c r="AP18" s="40" t="n"/>
      <c r="AQ18" s="41" t="n"/>
      <c r="AR18" s="888">
        <f>IFERROR(IF(VLOOKUP($B18,Medewerker!$C$8:$Q$107,15,FALSE)="",VLOOKUP($B18,Medewerker!$C$8:$Q$107,13,FALSE),0),0)</f>
        <v/>
      </c>
      <c r="AS18" s="889">
        <f>IFERROR(IF(B18="",1,IF(VLOOKUP($B18,Medewerker!$C$8:$Q$107,15,FALSE)="",VLOOKUP($B18,Medewerker!$C$8:$Q$107,14,FALSE),0)),0)</f>
        <v/>
      </c>
      <c r="AT18" s="30" t="n"/>
      <c r="AU18" s="30">
        <f>(COUNTIF(F18:AQ18,"afw"))/2</f>
        <v/>
      </c>
      <c r="AV18" s="111">
        <f>((38-(COUNTIF(F18:AQ18,"")))/2)-(COUNTIF(F18:AQ18,"p")/2)-(COUNTIF(F18:AQ18,CONCATENATE("x","*"))/4)</f>
        <v/>
      </c>
      <c r="AW18" s="73">
        <f>IF($B18="","",VLOOKUP($B18,Medewerker!$C$8:$E$107,3,FALSE))</f>
        <v/>
      </c>
      <c r="AX18" s="403">
        <f>IFERROR(VLOOKUP($B18,Planning!$B$6:$AG$105,32,FALSE)*24,"")</f>
        <v/>
      </c>
      <c r="AY18" s="406" t="inlineStr">
        <is>
          <t>nd</t>
        </is>
      </c>
      <c r="AZ18" s="166" t="inlineStr">
        <is>
          <t>Navulling DV</t>
        </is>
      </c>
      <c r="BA18" s="111">
        <f>COUNTIF($F$13:$AQ$63,CONCATENATE(AY18,"*"))/2+COUNTIF($F$13:$AQ$63,CONCATENATE("x",AY18,"*"))/4</f>
        <v/>
      </c>
      <c r="BB18" s="838" t="n"/>
      <c r="BC18" s="31">
        <f>IF(Planning!B11="","",Planning!B11)</f>
        <v/>
      </c>
      <c r="BD18" s="105" t="n"/>
      <c r="BE18" s="885">
        <f>Planning!E11</f>
        <v/>
      </c>
      <c r="BF18" s="885">
        <f>Planning!F11</f>
        <v/>
      </c>
      <c r="BG18" s="886" t="n"/>
      <c r="BH18" s="105" t="n"/>
      <c r="BI18" s="885">
        <f>Planning!I11</f>
        <v/>
      </c>
      <c r="BJ18" s="885">
        <f>Planning!J11</f>
        <v/>
      </c>
      <c r="BK18" s="886" t="n"/>
      <c r="BL18" s="105" t="n"/>
      <c r="BM18" s="885">
        <f>Planning!M11</f>
        <v/>
      </c>
      <c r="BN18" s="885">
        <f>Planning!N11</f>
        <v/>
      </c>
      <c r="BO18" s="886" t="n"/>
      <c r="BP18" s="105" t="n"/>
      <c r="BQ18" s="885">
        <f>Planning!Q11</f>
        <v/>
      </c>
      <c r="BR18" s="885">
        <f>Planning!R11</f>
        <v/>
      </c>
      <c r="BS18" s="886" t="n"/>
      <c r="BT18" s="105" t="n"/>
      <c r="BU18" s="885">
        <f>Planning!U11</f>
        <v/>
      </c>
      <c r="BV18" s="885">
        <f>Planning!V11</f>
        <v/>
      </c>
      <c r="BW18" s="886" t="n"/>
      <c r="BX18" s="105" t="n"/>
      <c r="BY18" s="885">
        <f>Planning!Y11</f>
        <v/>
      </c>
      <c r="BZ18" s="885">
        <f>Planning!Z11</f>
        <v/>
      </c>
      <c r="CA18" s="886" t="n"/>
      <c r="CB18" s="105" t="n"/>
      <c r="CC18" s="885">
        <f>Planning!AC11</f>
        <v/>
      </c>
      <c r="CD18" s="885">
        <f>Planning!AD11</f>
        <v/>
      </c>
      <c r="CE18" s="886" t="n"/>
      <c r="CF18" s="105" t="n"/>
      <c r="CG18" s="887">
        <f>Planning!AG11</f>
        <v/>
      </c>
      <c r="CH18" s="105" t="n"/>
      <c r="CI18" s="252">
        <f>IF(BC18="","",Planning!AI11)</f>
        <v/>
      </c>
      <c r="CJ18" s="252">
        <f>IF(BC18="","",Planning!AJ11)</f>
        <v/>
      </c>
      <c r="CK18" s="252">
        <f>IF(BC18="","",Planning!AK11)</f>
        <v/>
      </c>
      <c r="CL18" s="252">
        <f>IF(BC18="","",Planning!AH11)</f>
        <v/>
      </c>
      <c r="CM18" s="21" t="n"/>
    </row>
    <row r="19" ht="12.75" customHeight="1">
      <c r="A19" s="161">
        <f>IFERROR(IF(VLOOKUP($B19,$BC$13:$CL$86,36,FALSE)&gt;5,0,IF(COUNTIF($B$13:$B$63,$B19)&gt;1,0,7)),7)+IF(B19&lt;&gt;0,0,IF(AV19&gt;0,0.000001,0))</f>
        <v/>
      </c>
      <c r="B19" s="52" t="inlineStr">
        <is>
          <t>Gretchen</t>
        </is>
      </c>
      <c r="C19" s="48">
        <f>IFERROR(IF($B19="","",VLOOKUP($B19,Medewerker!$C$8:$AI$107,33,FALSE)),"?")</f>
        <v/>
      </c>
      <c r="D19" s="879">
        <f t="array" ref="D19">IFERROR(IF(LEFT(INDEX($F19:$AQ19,1,SUM(SMALL(IF($F19:$AQ19&lt;&gt;"",COLUMN($F19:$AQ19)),1)-5)),1)="x",SUM(SMALL(IF($F19:$AQ19&lt;&gt;"",$F$11:$AQ$11),1)+"0:15"),SMALL(IF($F19:$AQ19&lt;&gt;"",$F$11:$AQ$11),1)),"")</f>
        <v/>
      </c>
      <c r="E19" s="879">
        <f t="array" ref="E19">IFERROR(IF(LEFT(INDEX($F19:$AQ19,1,SUM(LARGE(IF($F19:$AQ19&lt;&gt;"",COLUMN($F19:$AQ19)),1)-5)),1)="x",SUM(LARGE(IF($F19:$AQ19&lt;&gt;"",$F$11:$AQ$11+"0:30:00"),1)-"0:15"),LARGE(IF($F19:$AQ19&lt;&gt;"",$F$11:$AQ$11+"0:30:00"),1)),"")</f>
        <v/>
      </c>
      <c r="F19" s="40" t="n"/>
      <c r="G19" s="41" t="n"/>
      <c r="H19" s="40" t="inlineStr">
        <is>
          <t>km</t>
        </is>
      </c>
      <c r="I19" s="41" t="inlineStr">
        <is>
          <t>km</t>
        </is>
      </c>
      <c r="J19" s="40" t="inlineStr">
        <is>
          <t>km</t>
        </is>
      </c>
      <c r="K19" s="42" t="inlineStr">
        <is>
          <t>km</t>
        </is>
      </c>
      <c r="L19" s="43" t="inlineStr">
        <is>
          <t>km</t>
        </is>
      </c>
      <c r="M19" s="41" t="inlineStr">
        <is>
          <t>km</t>
        </is>
      </c>
      <c r="N19" s="40" t="inlineStr">
        <is>
          <t>km</t>
        </is>
      </c>
      <c r="O19" s="42" t="inlineStr">
        <is>
          <t>p</t>
        </is>
      </c>
      <c r="P19" s="43" t="inlineStr">
        <is>
          <t>km</t>
        </is>
      </c>
      <c r="Q19" s="41" t="inlineStr">
        <is>
          <t>km</t>
        </is>
      </c>
      <c r="R19" s="40" t="inlineStr">
        <is>
          <t>km</t>
        </is>
      </c>
      <c r="S19" s="42" t="inlineStr">
        <is>
          <t>km</t>
        </is>
      </c>
      <c r="T19" s="43" t="inlineStr">
        <is>
          <t>km</t>
        </is>
      </c>
      <c r="U19" s="41" t="inlineStr">
        <is>
          <t>km</t>
        </is>
      </c>
      <c r="V19" s="40" t="inlineStr">
        <is>
          <t>km</t>
        </is>
      </c>
      <c r="W19" s="42" t="n"/>
      <c r="X19" s="43" t="n"/>
      <c r="Y19" s="41" t="n"/>
      <c r="Z19" s="40" t="n"/>
      <c r="AA19" s="42" t="n"/>
      <c r="AB19" s="43" t="n"/>
      <c r="AC19" s="41" t="n"/>
      <c r="AD19" s="40" t="n"/>
      <c r="AE19" s="42" t="n"/>
      <c r="AF19" s="43" t="n"/>
      <c r="AG19" s="41" t="n"/>
      <c r="AH19" s="40" t="n"/>
      <c r="AI19" s="42" t="n"/>
      <c r="AJ19" s="43" t="n"/>
      <c r="AK19" s="41" t="n"/>
      <c r="AL19" s="40" t="n"/>
      <c r="AM19" s="41" t="n"/>
      <c r="AN19" s="645" t="n"/>
      <c r="AO19" s="42" t="n"/>
      <c r="AP19" s="40" t="n"/>
      <c r="AQ19" s="41" t="n"/>
      <c r="AR19" s="888">
        <f>IFERROR(IF(VLOOKUP($B19,Medewerker!$C$8:$Q$107,15,FALSE)="",VLOOKUP($B19,Medewerker!$C$8:$Q$107,13,FALSE),0),0)</f>
        <v/>
      </c>
      <c r="AS19" s="889">
        <f>IFERROR(IF(B19="",1,IF(VLOOKUP($B19,Medewerker!$C$8:$Q$107,15,FALSE)="",VLOOKUP($B19,Medewerker!$C$8:$Q$107,14,FALSE),0)),0)</f>
        <v/>
      </c>
      <c r="AT19" s="30" t="n"/>
      <c r="AU19" s="30">
        <f>(COUNTIF(F19:AQ19,"afw"))/2</f>
        <v/>
      </c>
      <c r="AV19" s="111">
        <f>((38-(COUNTIF(F19:AQ19,"")))/2)-(COUNTIF(F19:AQ19,"p")/2)-(COUNTIF(F19:AQ19,CONCATENATE("x","*"))/4)</f>
        <v/>
      </c>
      <c r="AW19" s="73">
        <f>IF($B19="","",VLOOKUP($B19,Medewerker!$C$8:$E$107,3,FALSE))</f>
        <v/>
      </c>
      <c r="AX19" s="403">
        <f>IFERROR(VLOOKUP($B19,Planning!$B$6:$AG$105,32,FALSE)*24,"")</f>
        <v/>
      </c>
      <c r="AY19" s="406" t="inlineStr">
        <is>
          <t>nv</t>
        </is>
      </c>
      <c r="AZ19" s="166" t="inlineStr">
        <is>
          <t>Navulling Vers</t>
        </is>
      </c>
      <c r="BA19" s="111">
        <f>COUNTIF($F$13:$AQ$63,CONCATENATE(AY19,"*"))/2+COUNTIF($F$13:$AQ$63,CONCATENATE("x",AY19,"*"))/4</f>
        <v/>
      </c>
      <c r="BB19" s="838" t="n"/>
      <c r="BC19" s="31">
        <f>IF(Planning!B12="","",Planning!B12)</f>
        <v/>
      </c>
      <c r="BD19" s="105" t="n"/>
      <c r="BE19" s="885">
        <f>Planning!E12</f>
        <v/>
      </c>
      <c r="BF19" s="885">
        <f>Planning!F12</f>
        <v/>
      </c>
      <c r="BG19" s="886" t="n"/>
      <c r="BH19" s="105" t="n"/>
      <c r="BI19" s="885">
        <f>Planning!I12</f>
        <v/>
      </c>
      <c r="BJ19" s="885">
        <f>Planning!J12</f>
        <v/>
      </c>
      <c r="BK19" s="886" t="n"/>
      <c r="BL19" s="105" t="n"/>
      <c r="BM19" s="885">
        <f>Planning!M12</f>
        <v/>
      </c>
      <c r="BN19" s="885">
        <f>Planning!N12</f>
        <v/>
      </c>
      <c r="BO19" s="886" t="n"/>
      <c r="BP19" s="105" t="n"/>
      <c r="BQ19" s="885">
        <f>Planning!Q12</f>
        <v/>
      </c>
      <c r="BR19" s="885">
        <f>Planning!R12</f>
        <v/>
      </c>
      <c r="BS19" s="886" t="n"/>
      <c r="BT19" s="105" t="n"/>
      <c r="BU19" s="885">
        <f>Planning!U12</f>
        <v/>
      </c>
      <c r="BV19" s="885">
        <f>Planning!V12</f>
        <v/>
      </c>
      <c r="BW19" s="886" t="n"/>
      <c r="BX19" s="105" t="n"/>
      <c r="BY19" s="885">
        <f>Planning!Y12</f>
        <v/>
      </c>
      <c r="BZ19" s="885">
        <f>Planning!Z12</f>
        <v/>
      </c>
      <c r="CA19" s="886" t="n"/>
      <c r="CB19" s="105" t="n"/>
      <c r="CC19" s="885">
        <f>Planning!AC12</f>
        <v/>
      </c>
      <c r="CD19" s="885">
        <f>Planning!AD12</f>
        <v/>
      </c>
      <c r="CE19" s="886" t="n"/>
      <c r="CF19" s="105" t="n"/>
      <c r="CG19" s="887">
        <f>Planning!AG12</f>
        <v/>
      </c>
      <c r="CH19" s="105" t="n"/>
      <c r="CI19" s="252">
        <f>IF(BC19="","",Planning!AI12)</f>
        <v/>
      </c>
      <c r="CJ19" s="252">
        <f>IF(BC19="","",Planning!AJ12)</f>
        <v/>
      </c>
      <c r="CK19" s="252">
        <f>IF(BC19="","",Planning!AK12)</f>
        <v/>
      </c>
      <c r="CL19" s="252">
        <f>IF(BC19="","",Planning!AH12)</f>
        <v/>
      </c>
      <c r="CM19" s="21" t="n"/>
    </row>
    <row r="20" ht="12.75" customHeight="1">
      <c r="A20" s="161">
        <f>IFERROR(IF(VLOOKUP($B20,$BC$13:$CL$86,36,FALSE)&gt;5,0,IF(COUNTIF($B$13:$B$63,$B20)&gt;1,0,8)),8)+IF(B20&lt;&gt;0,0,IF(AV20&gt;0,0.000001,0))</f>
        <v/>
      </c>
      <c r="B20" s="52" t="n"/>
      <c r="C20" s="48">
        <f>IFERROR(IF($B20="","",VLOOKUP($B20,Medewerker!$C$8:$AI$107,33,FALSE)),"?")</f>
        <v/>
      </c>
      <c r="D20" s="879">
        <f t="array" ref="D20">IFERROR(IF(LEFT(INDEX($F20:$AQ20,1,SUM(SMALL(IF($F20:$AQ20&lt;&gt;"",COLUMN($F20:$AQ20)),1)-5)),1)="x",SUM(SMALL(IF($F20:$AQ20&lt;&gt;"",$F$11:$AQ$11),1)+"0:15"),SMALL(IF($F20:$AQ20&lt;&gt;"",$F$11:$AQ$11),1)),"")</f>
        <v/>
      </c>
      <c r="E20" s="879">
        <f t="array" ref="E20">IFERROR(IF(LEFT(INDEX($F20:$AQ20,1,SUM(LARGE(IF($F20:$AQ20&lt;&gt;"",COLUMN($F20:$AQ20)),1)-5)),1)="x",SUM(LARGE(IF($F20:$AQ20&lt;&gt;"",$F$11:$AQ$11+"0:30:00"),1)-"0:15"),LARGE(IF($F20:$AQ20&lt;&gt;"",$F$11:$AQ$11+"0:30:00"),1)),"")</f>
        <v/>
      </c>
      <c r="F20" s="40" t="n"/>
      <c r="G20" s="41" t="n"/>
      <c r="H20" s="40" t="n"/>
      <c r="I20" s="41" t="n"/>
      <c r="J20" s="40" t="n"/>
      <c r="K20" s="42" t="n"/>
      <c r="L20" s="43" t="n"/>
      <c r="M20" s="41" t="n"/>
      <c r="N20" s="40" t="n"/>
      <c r="O20" s="42" t="n"/>
      <c r="P20" s="43" t="n"/>
      <c r="Q20" s="41" t="n"/>
      <c r="R20" s="40" t="n"/>
      <c r="S20" s="42" t="n"/>
      <c r="T20" s="43" t="n"/>
      <c r="U20" s="41" t="n"/>
      <c r="V20" s="40" t="n"/>
      <c r="W20" s="42" t="n"/>
      <c r="X20" s="43" t="n"/>
      <c r="Y20" s="41" t="n"/>
      <c r="Z20" s="40" t="n"/>
      <c r="AA20" s="42" t="n"/>
      <c r="AB20" s="43" t="n"/>
      <c r="AC20" s="41" t="n"/>
      <c r="AD20" s="40" t="n"/>
      <c r="AE20" s="42" t="n"/>
      <c r="AF20" s="43" t="n"/>
      <c r="AG20" s="41" t="n"/>
      <c r="AH20" s="40" t="n"/>
      <c r="AI20" s="42" t="n"/>
      <c r="AJ20" s="43" t="n"/>
      <c r="AK20" s="41" t="n"/>
      <c r="AL20" s="40" t="n"/>
      <c r="AM20" s="41" t="n"/>
      <c r="AN20" s="645" t="n"/>
      <c r="AO20" s="42" t="n"/>
      <c r="AP20" s="40" t="n"/>
      <c r="AQ20" s="41" t="n"/>
      <c r="AR20" s="888">
        <f>IFERROR(IF(VLOOKUP($B20,Medewerker!$C$8:$Q$107,15,FALSE)="",VLOOKUP($B20,Medewerker!$C$8:$Q$107,13,FALSE),0),0)</f>
        <v/>
      </c>
      <c r="AS20" s="889">
        <f>IFERROR(IF(B20="",1,IF(VLOOKUP($B20,Medewerker!$C$8:$Q$107,15,FALSE)="",VLOOKUP($B20,Medewerker!$C$8:$Q$107,14,FALSE),0)),0)</f>
        <v/>
      </c>
      <c r="AT20" s="30" t="n"/>
      <c r="AU20" s="30">
        <f>(COUNTIF(F20:AQ20,"afw"))/2</f>
        <v/>
      </c>
      <c r="AV20" s="111">
        <f>((38-(COUNTIF(F20:AQ20,"")))/2)-(COUNTIF(F20:AQ20,"p")/2)-(COUNTIF(F20:AQ20,CONCATENATE("x","*"))/4)</f>
        <v/>
      </c>
      <c r="AW20" s="73">
        <f>IF($B20="","",VLOOKUP($B20,Medewerker!$C$8:$E$107,3,FALSE))</f>
        <v/>
      </c>
      <c r="AX20" s="403">
        <f>IFERROR(VLOOKUP($B20,Planning!$B$6:$AG$105,32,FALSE)*24,"")</f>
        <v/>
      </c>
      <c r="AY20" s="406" t="inlineStr">
        <is>
          <t>rh</t>
        </is>
      </c>
      <c r="AZ20" s="166" t="inlineStr">
        <is>
          <t>Restant HB</t>
        </is>
      </c>
      <c r="BA20" s="111">
        <f>COUNTIF($F$13:$AQ$63,CONCATENATE(AY20,"*"))/2+COUNTIF($F$13:$AQ$63,CONCATENATE("x",AY20,"*"))/4</f>
        <v/>
      </c>
      <c r="BB20" s="838" t="n"/>
      <c r="BC20" s="31">
        <f>IF(Planning!B13="","",Planning!B13)</f>
        <v/>
      </c>
      <c r="BD20" s="105" t="n"/>
      <c r="BE20" s="885">
        <f>Planning!E13</f>
        <v/>
      </c>
      <c r="BF20" s="885">
        <f>Planning!F13</f>
        <v/>
      </c>
      <c r="BG20" s="886" t="n"/>
      <c r="BH20" s="105" t="n"/>
      <c r="BI20" s="885">
        <f>Planning!I13</f>
        <v/>
      </c>
      <c r="BJ20" s="885">
        <f>Planning!J13</f>
        <v/>
      </c>
      <c r="BK20" s="886" t="n"/>
      <c r="BL20" s="105" t="n"/>
      <c r="BM20" s="885">
        <f>Planning!M13</f>
        <v/>
      </c>
      <c r="BN20" s="885">
        <f>Planning!N13</f>
        <v/>
      </c>
      <c r="BO20" s="886" t="n"/>
      <c r="BP20" s="105" t="n"/>
      <c r="BQ20" s="885">
        <f>Planning!Q13</f>
        <v/>
      </c>
      <c r="BR20" s="885">
        <f>Planning!R13</f>
        <v/>
      </c>
      <c r="BS20" s="886" t="n"/>
      <c r="BT20" s="105" t="n"/>
      <c r="BU20" s="885">
        <f>Planning!U13</f>
        <v/>
      </c>
      <c r="BV20" s="885">
        <f>Planning!V13</f>
        <v/>
      </c>
      <c r="BW20" s="886" t="n"/>
      <c r="BX20" s="105" t="n"/>
      <c r="BY20" s="885">
        <f>Planning!Y13</f>
        <v/>
      </c>
      <c r="BZ20" s="885">
        <f>Planning!Z13</f>
        <v/>
      </c>
      <c r="CA20" s="886" t="n"/>
      <c r="CB20" s="105" t="n"/>
      <c r="CC20" s="885">
        <f>Planning!AC13</f>
        <v/>
      </c>
      <c r="CD20" s="885">
        <f>Planning!AD13</f>
        <v/>
      </c>
      <c r="CE20" s="886" t="n"/>
      <c r="CF20" s="105" t="n"/>
      <c r="CG20" s="887">
        <f>Planning!AG13</f>
        <v/>
      </c>
      <c r="CH20" s="105" t="n"/>
      <c r="CI20" s="252">
        <f>IF(BC20="","",Planning!AI13)</f>
        <v/>
      </c>
      <c r="CJ20" s="252">
        <f>IF(BC20="","",Planning!AJ13)</f>
        <v/>
      </c>
      <c r="CK20" s="252">
        <f>IF(BC20="","",Planning!AK13)</f>
        <v/>
      </c>
      <c r="CL20" s="252">
        <f>IF(BC20="","",Planning!AH13)</f>
        <v/>
      </c>
      <c r="CM20" s="21" t="n"/>
    </row>
    <row r="21" ht="12.75" customHeight="1">
      <c r="A21" s="161">
        <f>IFERROR(IF(VLOOKUP($B21,$BC$13:$CL$86,36,FALSE)&gt;5,0,IF(COUNTIF($B$13:$B$63,$B21)&gt;1,0,9)),9)+IF(B21&lt;&gt;0,0,IF(AV21&gt;0,0.000001,0))</f>
        <v/>
      </c>
      <c r="B21" s="52" t="inlineStr">
        <is>
          <t>Snesjana</t>
        </is>
      </c>
      <c r="C21" s="48">
        <f>IFERROR(IF($B21="","",VLOOKUP($B21,Medewerker!$C$8:$AI$107,33,FALSE)),"?")</f>
        <v/>
      </c>
      <c r="D21" s="879">
        <f t="array" ref="D21">IFERROR(IF(LEFT(INDEX($F21:$AQ21,1,SUM(SMALL(IF($F21:$AQ21&lt;&gt;"",COLUMN($F21:$AQ21)),1)-5)),1)="x",SUM(SMALL(IF($F21:$AQ21&lt;&gt;"",$F$11:$AQ$11),1)+"0:15"),SMALL(IF($F21:$AQ21&lt;&gt;"",$F$11:$AQ$11),1)),"")</f>
        <v/>
      </c>
      <c r="E21" s="879">
        <f t="array" ref="E21">IFERROR(IF(LEFT(INDEX($F21:$AQ21,1,SUM(LARGE(IF($F21:$AQ21&lt;&gt;"",COLUMN($F21:$AQ21)),1)-5)),1)="x",SUM(LARGE(IF($F21:$AQ21&lt;&gt;"",$F$11:$AQ$11+"0:30:00"),1)-"0:15"),LARGE(IF($F21:$AQ21&lt;&gt;"",$F$11:$AQ$11+"0:30:00"),1)),"")</f>
        <v/>
      </c>
      <c r="F21" s="40" t="n"/>
      <c r="G21" s="41" t="n"/>
      <c r="H21" s="40" t="n"/>
      <c r="I21" s="41" t="n"/>
      <c r="J21" s="40" t="n"/>
      <c r="K21" s="42" t="n"/>
      <c r="L21" s="43" t="n"/>
      <c r="M21" s="41" t="n"/>
      <c r="N21" s="40" t="n"/>
      <c r="O21" s="42" t="n"/>
      <c r="P21" s="43" t="inlineStr">
        <is>
          <t>hv</t>
        </is>
      </c>
      <c r="Q21" s="41" t="inlineStr">
        <is>
          <t>hv</t>
        </is>
      </c>
      <c r="R21" s="40" t="inlineStr">
        <is>
          <t>hv</t>
        </is>
      </c>
      <c r="S21" s="42" t="inlineStr">
        <is>
          <t>hv</t>
        </is>
      </c>
      <c r="T21" s="43" t="inlineStr">
        <is>
          <t>hv</t>
        </is>
      </c>
      <c r="U21" s="41" t="inlineStr">
        <is>
          <t>hv</t>
        </is>
      </c>
      <c r="V21" s="40" t="inlineStr">
        <is>
          <t>hv</t>
        </is>
      </c>
      <c r="W21" s="42" t="inlineStr">
        <is>
          <t>hv</t>
        </is>
      </c>
      <c r="X21" s="43" t="inlineStr">
        <is>
          <t>hv</t>
        </is>
      </c>
      <c r="Y21" s="41" t="inlineStr">
        <is>
          <t>hv</t>
        </is>
      </c>
      <c r="Z21" s="40" t="n"/>
      <c r="AA21" s="42" t="n"/>
      <c r="AB21" s="43" t="n"/>
      <c r="AC21" s="41" t="n"/>
      <c r="AD21" s="40" t="n"/>
      <c r="AE21" s="42" t="n"/>
      <c r="AF21" s="43" t="n"/>
      <c r="AG21" s="41" t="n"/>
      <c r="AH21" s="40" t="n"/>
      <c r="AI21" s="42" t="n"/>
      <c r="AJ21" s="43" t="n"/>
      <c r="AK21" s="41" t="n"/>
      <c r="AL21" s="40" t="n"/>
      <c r="AM21" s="41" t="n"/>
      <c r="AN21" s="645" t="n"/>
      <c r="AO21" s="42" t="n"/>
      <c r="AP21" s="40" t="n"/>
      <c r="AQ21" s="41" t="n"/>
      <c r="AR21" s="888">
        <f>IFERROR(IF(VLOOKUP($B21,Medewerker!$C$8:$Q$107,15,FALSE)="",VLOOKUP($B21,Medewerker!$C$8:$Q$107,13,FALSE),0),0)</f>
        <v/>
      </c>
      <c r="AS21" s="889">
        <f>IFERROR(IF(B21="",1,IF(VLOOKUP($B21,Medewerker!$C$8:$Q$107,15,FALSE)="",VLOOKUP($B21,Medewerker!$C$8:$Q$107,14,FALSE),0)),0)</f>
        <v/>
      </c>
      <c r="AT21" s="30" t="n"/>
      <c r="AU21" s="30">
        <f>(COUNTIF(F21:AQ21,"afw"))/2</f>
        <v/>
      </c>
      <c r="AV21" s="111">
        <f>((38-(COUNTIF(F21:AQ21,"")))/2)-(COUNTIF(F21:AQ21,"p")/2)-(COUNTIF(F21:AQ21,CONCATENATE("x","*"))/4)</f>
        <v/>
      </c>
      <c r="AW21" s="73">
        <f>IF($B21="","",VLOOKUP($B21,Medewerker!$C$8:$E$107,3,FALSE))</f>
        <v/>
      </c>
      <c r="AX21" s="403">
        <f>IFERROR(VLOOKUP($B21,Planning!$B$6:$AG$105,32,FALSE)*24,"")</f>
        <v/>
      </c>
      <c r="AY21" s="406" t="inlineStr">
        <is>
          <t>rd</t>
        </is>
      </c>
      <c r="AZ21" s="166" t="inlineStr">
        <is>
          <t>Restant DV</t>
        </is>
      </c>
      <c r="BA21" s="111">
        <f>COUNTIF($F$13:$AQ$63,CONCATENATE(AY21,"*"))/2+COUNTIF($F$13:$AQ$63,CONCATENATE("x",AY21,"*"))/4</f>
        <v/>
      </c>
      <c r="BB21" s="838" t="n"/>
      <c r="BC21" s="31">
        <f>IF(Planning!B14="","",Planning!B14)</f>
        <v/>
      </c>
      <c r="BD21" s="105" t="n"/>
      <c r="BE21" s="885">
        <f>Planning!E14</f>
        <v/>
      </c>
      <c r="BF21" s="885">
        <f>Planning!F14</f>
        <v/>
      </c>
      <c r="BG21" s="886" t="n"/>
      <c r="BH21" s="105" t="n"/>
      <c r="BI21" s="885">
        <f>Planning!I14</f>
        <v/>
      </c>
      <c r="BJ21" s="885">
        <f>Planning!J14</f>
        <v/>
      </c>
      <c r="BK21" s="886" t="n"/>
      <c r="BL21" s="105" t="n"/>
      <c r="BM21" s="885">
        <f>Planning!M14</f>
        <v/>
      </c>
      <c r="BN21" s="885">
        <f>Planning!N14</f>
        <v/>
      </c>
      <c r="BO21" s="886" t="n"/>
      <c r="BP21" s="105" t="n"/>
      <c r="BQ21" s="885">
        <f>Planning!Q14</f>
        <v/>
      </c>
      <c r="BR21" s="885">
        <f>Planning!R14</f>
        <v/>
      </c>
      <c r="BS21" s="886" t="n"/>
      <c r="BT21" s="105" t="n"/>
      <c r="BU21" s="885">
        <f>Planning!U14</f>
        <v/>
      </c>
      <c r="BV21" s="885">
        <f>Planning!V14</f>
        <v/>
      </c>
      <c r="BW21" s="886" t="n"/>
      <c r="BX21" s="105" t="n"/>
      <c r="BY21" s="885">
        <f>Planning!Y14</f>
        <v/>
      </c>
      <c r="BZ21" s="885">
        <f>Planning!Z14</f>
        <v/>
      </c>
      <c r="CA21" s="886" t="n"/>
      <c r="CB21" s="105" t="n"/>
      <c r="CC21" s="885">
        <f>Planning!AC14</f>
        <v/>
      </c>
      <c r="CD21" s="885">
        <f>Planning!AD14</f>
        <v/>
      </c>
      <c r="CE21" s="886" t="n"/>
      <c r="CF21" s="105" t="n"/>
      <c r="CG21" s="887">
        <f>Planning!AG14</f>
        <v/>
      </c>
      <c r="CH21" s="105" t="n"/>
      <c r="CI21" s="252">
        <f>IF(BC21="","",Planning!AI14)</f>
        <v/>
      </c>
      <c r="CJ21" s="252">
        <f>IF(BC21="","",Planning!AJ14)</f>
        <v/>
      </c>
      <c r="CK21" s="252">
        <f>IF(BC21="","",Planning!AK14)</f>
        <v/>
      </c>
      <c r="CL21" s="252">
        <f>IF(BC21="","",Planning!AH14)</f>
        <v/>
      </c>
      <c r="CM21" s="34" t="n"/>
    </row>
    <row r="22" ht="12.75" customHeight="1">
      <c r="A22" s="161">
        <f>IFERROR(IF(VLOOKUP($B22,$BC$13:$CL$86,36,FALSE)&gt;5,0,IF(COUNTIF($B$13:$B$63,$B22)&gt;1,0,10)),10)+IF(B22&lt;&gt;0,0,IF(AV22&gt;0,0.000001,0))</f>
        <v/>
      </c>
      <c r="B22" s="126" t="inlineStr">
        <is>
          <t>Saida Hadouti</t>
        </is>
      </c>
      <c r="C22" s="48">
        <f>IFERROR(IF($B22="","",VLOOKUP($B22,Medewerker!$C$8:$AI$107,33,FALSE)),"?")</f>
        <v/>
      </c>
      <c r="D22" s="879">
        <f t="array" ref="D22">IFERROR(IF(LEFT(INDEX($F22:$AQ22,1,SUM(SMALL(IF($F22:$AQ22&lt;&gt;"",COLUMN($F22:$AQ22)),1)-5)),1)="x",SUM(SMALL(IF($F22:$AQ22&lt;&gt;"",$F$11:$AQ$11),1)+"0:15"),SMALL(IF($F22:$AQ22&lt;&gt;"",$F$11:$AQ$11),1)),"")</f>
        <v/>
      </c>
      <c r="E22" s="879">
        <f t="array" ref="E22">IFERROR(IF(LEFT(INDEX($F22:$AQ22,1,SUM(LARGE(IF($F22:$AQ22&lt;&gt;"",COLUMN($F22:$AQ22)),1)-5)),1)="x",SUM(LARGE(IF($F22:$AQ22&lt;&gt;"",$F$11:$AQ$11+"0:30:00"),1)-"0:15"),LARGE(IF($F22:$AQ22&lt;&gt;"",$F$11:$AQ$11+"0:30:00"),1)),"")</f>
        <v/>
      </c>
      <c r="F22" s="40" t="n"/>
      <c r="G22" s="41" t="n"/>
      <c r="H22" s="40" t="n"/>
      <c r="I22" s="41" t="n"/>
      <c r="J22" s="40" t="n"/>
      <c r="K22" s="42" t="n"/>
      <c r="L22" s="43" t="n"/>
      <c r="M22" s="41" t="n"/>
      <c r="N22" s="40" t="n"/>
      <c r="O22" s="42" t="n"/>
      <c r="P22" s="43" t="inlineStr">
        <is>
          <t>hv</t>
        </is>
      </c>
      <c r="Q22" s="41" t="inlineStr">
        <is>
          <t>hv</t>
        </is>
      </c>
      <c r="R22" s="40" t="inlineStr">
        <is>
          <t>hv</t>
        </is>
      </c>
      <c r="S22" s="42" t="inlineStr">
        <is>
          <t>hv</t>
        </is>
      </c>
      <c r="T22" s="43" t="inlineStr">
        <is>
          <t>hv</t>
        </is>
      </c>
      <c r="U22" s="41" t="inlineStr">
        <is>
          <t>hv</t>
        </is>
      </c>
      <c r="V22" s="40" t="inlineStr">
        <is>
          <t>hv</t>
        </is>
      </c>
      <c r="W22" s="42" t="inlineStr">
        <is>
          <t>hv</t>
        </is>
      </c>
      <c r="X22" s="43" t="inlineStr">
        <is>
          <t>hv</t>
        </is>
      </c>
      <c r="Y22" s="41" t="inlineStr">
        <is>
          <t>hv</t>
        </is>
      </c>
      <c r="Z22" s="40" t="n"/>
      <c r="AA22" s="42" t="n"/>
      <c r="AB22" s="43" t="n"/>
      <c r="AC22" s="41" t="n"/>
      <c r="AD22" s="40" t="n"/>
      <c r="AE22" s="42" t="n"/>
      <c r="AF22" s="43" t="n"/>
      <c r="AG22" s="41" t="n"/>
      <c r="AH22" s="40" t="n"/>
      <c r="AI22" s="42" t="n"/>
      <c r="AJ22" s="43" t="n"/>
      <c r="AK22" s="41" t="n"/>
      <c r="AL22" s="40" t="n"/>
      <c r="AM22" s="41" t="n"/>
      <c r="AN22" s="645" t="n"/>
      <c r="AO22" s="42" t="n"/>
      <c r="AP22" s="40" t="n"/>
      <c r="AQ22" s="41" t="n"/>
      <c r="AR22" s="888">
        <f>IFERROR(IF(VLOOKUP($B22,Medewerker!$C$8:$Q$107,15,FALSE)="",VLOOKUP($B22,Medewerker!$C$8:$Q$107,13,FALSE),0),0)</f>
        <v/>
      </c>
      <c r="AS22" s="889">
        <f>IFERROR(IF(B22="",1,IF(VLOOKUP($B22,Medewerker!$C$8:$Q$107,15,FALSE)="",VLOOKUP($B22,Medewerker!$C$8:$Q$107,14,FALSE),0)),0)</f>
        <v/>
      </c>
      <c r="AT22" s="30" t="n"/>
      <c r="AU22" s="30">
        <f>(COUNTIF(F22:AQ22,"afw"))/2</f>
        <v/>
      </c>
      <c r="AV22" s="111">
        <f>((38-(COUNTIF(F22:AQ22,"")))/2)-(COUNTIF(F22:AQ22,"p")/2)-(COUNTIF(F22:AQ22,CONCATENATE("x","*"))/4)</f>
        <v/>
      </c>
      <c r="AW22" s="73">
        <f>IF($B22="","",VLOOKUP($B22,Medewerker!$C$8:$E$107,3,FALSE))</f>
        <v/>
      </c>
      <c r="AX22" s="403">
        <f>IFERROR(VLOOKUP($B22,Planning!$B$6:$AG$105,32,FALSE)*24,"")</f>
        <v/>
      </c>
      <c r="AY22" s="406" t="inlineStr">
        <is>
          <t>rv</t>
        </is>
      </c>
      <c r="AZ22" s="166" t="inlineStr">
        <is>
          <t>Restant Vers</t>
        </is>
      </c>
      <c r="BA22" s="111">
        <f>COUNTIF($F$13:$AQ$63,CONCATENATE(AY22,"*"))/2+COUNTIF($F$13:$AQ$63,CONCATENATE("x",AY22,"*"))/4</f>
        <v/>
      </c>
      <c r="BB22" s="838" t="n"/>
      <c r="BC22" s="31">
        <f>IF(Planning!B15="","",Planning!B15)</f>
        <v/>
      </c>
      <c r="BD22" s="105" t="n"/>
      <c r="BE22" s="885">
        <f>Planning!E15</f>
        <v/>
      </c>
      <c r="BF22" s="885">
        <f>Planning!F15</f>
        <v/>
      </c>
      <c r="BG22" s="886" t="n"/>
      <c r="BH22" s="105" t="n"/>
      <c r="BI22" s="885">
        <f>Planning!I15</f>
        <v/>
      </c>
      <c r="BJ22" s="885">
        <f>Planning!J15</f>
        <v/>
      </c>
      <c r="BK22" s="886" t="n"/>
      <c r="BL22" s="105" t="n"/>
      <c r="BM22" s="885">
        <f>Planning!M15</f>
        <v/>
      </c>
      <c r="BN22" s="885">
        <f>Planning!N15</f>
        <v/>
      </c>
      <c r="BO22" s="886" t="n"/>
      <c r="BP22" s="105" t="n"/>
      <c r="BQ22" s="885">
        <f>Planning!Q15</f>
        <v/>
      </c>
      <c r="BR22" s="885">
        <f>Planning!R15</f>
        <v/>
      </c>
      <c r="BS22" s="886" t="n"/>
      <c r="BT22" s="105" t="n"/>
      <c r="BU22" s="885">
        <f>Planning!U15</f>
        <v/>
      </c>
      <c r="BV22" s="885">
        <f>Planning!V15</f>
        <v/>
      </c>
      <c r="BW22" s="886" t="n"/>
      <c r="BX22" s="105" t="n"/>
      <c r="BY22" s="885">
        <f>Planning!Y15</f>
        <v/>
      </c>
      <c r="BZ22" s="885">
        <f>Planning!Z15</f>
        <v/>
      </c>
      <c r="CA22" s="886" t="n"/>
      <c r="CB22" s="105" t="n"/>
      <c r="CC22" s="885">
        <f>Planning!AC15</f>
        <v/>
      </c>
      <c r="CD22" s="885">
        <f>Planning!AD15</f>
        <v/>
      </c>
      <c r="CE22" s="886" t="n"/>
      <c r="CF22" s="105" t="n"/>
      <c r="CG22" s="887">
        <f>Planning!AG15</f>
        <v/>
      </c>
      <c r="CH22" s="105" t="n"/>
      <c r="CI22" s="252">
        <f>IF(BC22="","",Planning!AI15)</f>
        <v/>
      </c>
      <c r="CJ22" s="252">
        <f>IF(BC22="","",Planning!AJ15)</f>
        <v/>
      </c>
      <c r="CK22" s="252">
        <f>IF(BC22="","",Planning!AK15)</f>
        <v/>
      </c>
      <c r="CL22" s="252">
        <f>IF(BC22="","",Planning!AH15)</f>
        <v/>
      </c>
      <c r="CM22" s="21" t="n"/>
    </row>
    <row r="23" ht="12.75" customHeight="1">
      <c r="A23" s="161">
        <f>IFERROR(IF(VLOOKUP($B23,$BC$13:$CL$86,36,FALSE)&gt;5,0,IF(COUNTIF($B$13:$B$63,$B23)&gt;1,0,11)),11)+IF(B23&lt;&gt;0,0,IF(AV23&gt;0,0.000001,0))</f>
        <v/>
      </c>
      <c r="B23" s="126" t="inlineStr">
        <is>
          <t>Johny</t>
        </is>
      </c>
      <c r="C23" s="48">
        <f>IFERROR(IF($B23="","",VLOOKUP($B23,Medewerker!$C$8:$AI$107,33,FALSE)),"?")</f>
        <v/>
      </c>
      <c r="D23" s="879">
        <f t="array" ref="D23">IFERROR(IF(LEFT(INDEX($F23:$AQ23,1,SUM(SMALL(IF($F23:$AQ23&lt;&gt;"",COLUMN($F23:$AQ23)),1)-5)),1)="x",SUM(SMALL(IF($F23:$AQ23&lt;&gt;"",$F$11:$AQ$11),1)+"0:15"),SMALL(IF($F23:$AQ23&lt;&gt;"",$F$11:$AQ$11),1)),"")</f>
        <v/>
      </c>
      <c r="E23" s="879">
        <f t="array" ref="E23">IFERROR(IF(LEFT(INDEX($F23:$AQ23,1,SUM(LARGE(IF($F23:$AQ23&lt;&gt;"",COLUMN($F23:$AQ23)),1)-5)),1)="x",SUM(LARGE(IF($F23:$AQ23&lt;&gt;"",$F$11:$AQ$11+"0:30:00"),1)-"0:15"),LARGE(IF($F23:$AQ23&lt;&gt;"",$F$11:$AQ$11+"0:30:00"),1)),"")</f>
        <v/>
      </c>
      <c r="F23" s="40" t="n"/>
      <c r="G23" s="41" t="n"/>
      <c r="H23" s="40" t="n"/>
      <c r="I23" s="41" t="n"/>
      <c r="J23" s="40" t="n"/>
      <c r="K23" s="42" t="n"/>
      <c r="L23" s="43" t="n"/>
      <c r="M23" s="41" t="n"/>
      <c r="N23" s="40" t="n"/>
      <c r="O23" s="42" t="n"/>
      <c r="P23" s="43" t="inlineStr">
        <is>
          <t>hv</t>
        </is>
      </c>
      <c r="Q23" s="41" t="inlineStr">
        <is>
          <t>hv</t>
        </is>
      </c>
      <c r="R23" s="40" t="inlineStr">
        <is>
          <t>hv</t>
        </is>
      </c>
      <c r="S23" s="42" t="inlineStr">
        <is>
          <t>hv</t>
        </is>
      </c>
      <c r="T23" s="43" t="inlineStr">
        <is>
          <t>hv</t>
        </is>
      </c>
      <c r="U23" s="41" t="inlineStr">
        <is>
          <t>hv</t>
        </is>
      </c>
      <c r="V23" s="40" t="inlineStr">
        <is>
          <t>hv</t>
        </is>
      </c>
      <c r="W23" s="42" t="inlineStr">
        <is>
          <t>hv</t>
        </is>
      </c>
      <c r="X23" s="43" t="inlineStr">
        <is>
          <t>hv</t>
        </is>
      </c>
      <c r="Y23" s="41" t="inlineStr">
        <is>
          <t>hv</t>
        </is>
      </c>
      <c r="Z23" s="40" t="n"/>
      <c r="AA23" s="42" t="n"/>
      <c r="AB23" s="43" t="n"/>
      <c r="AC23" s="41" t="n"/>
      <c r="AD23" s="40" t="n"/>
      <c r="AE23" s="42" t="n"/>
      <c r="AF23" s="43" t="n"/>
      <c r="AG23" s="41" t="n"/>
      <c r="AH23" s="40" t="n"/>
      <c r="AI23" s="42" t="n"/>
      <c r="AJ23" s="43" t="n"/>
      <c r="AK23" s="41" t="n"/>
      <c r="AL23" s="40" t="n"/>
      <c r="AM23" s="41" t="n"/>
      <c r="AN23" s="645" t="n"/>
      <c r="AO23" s="42" t="n"/>
      <c r="AP23" s="40" t="n"/>
      <c r="AQ23" s="41" t="n"/>
      <c r="AR23" s="888">
        <f>IFERROR(IF(VLOOKUP($B23,Medewerker!$C$8:$Q$107,15,FALSE)="",VLOOKUP($B23,Medewerker!$C$8:$Q$107,13,FALSE),0),0)</f>
        <v/>
      </c>
      <c r="AS23" s="889">
        <f>IFERROR(IF(B23="",1,IF(VLOOKUP($B23,Medewerker!$C$8:$Q$107,15,FALSE)="",VLOOKUP($B23,Medewerker!$C$8:$Q$107,14,FALSE),0)),0)</f>
        <v/>
      </c>
      <c r="AT23" s="30" t="n"/>
      <c r="AU23" s="30">
        <f>(COUNTIF(F23:AQ23,"afw"))/2</f>
        <v/>
      </c>
      <c r="AV23" s="111">
        <f>((38-(COUNTIF(F23:AQ23,"")))/2)-(COUNTIF(F23:AQ23,"p")/2)-(COUNTIF(F23:AQ23,CONCATENATE("x","*"))/4)</f>
        <v/>
      </c>
      <c r="AW23" s="73">
        <f>IF($B23="","",VLOOKUP($B23,Medewerker!$C$8:$E$107,3,FALSE))</f>
        <v/>
      </c>
      <c r="AX23" s="403">
        <f>IFERROR(VLOOKUP($B23,Planning!$B$6:$AG$105,32,FALSE)*24,"")</f>
        <v/>
      </c>
      <c r="AY23" s="882" t="inlineStr">
        <is>
          <t>Restant/Telproces</t>
        </is>
      </c>
      <c r="AZ23" s="883" t="n"/>
      <c r="BA23" s="884" t="n"/>
      <c r="BB23" s="838" t="n"/>
      <c r="BC23" s="31">
        <f>IF(Planning!B16="","",Planning!B16)</f>
        <v/>
      </c>
      <c r="BD23" s="105" t="n"/>
      <c r="BE23" s="885">
        <f>Planning!E16</f>
        <v/>
      </c>
      <c r="BF23" s="885">
        <f>Planning!F16</f>
        <v/>
      </c>
      <c r="BG23" s="886" t="n"/>
      <c r="BH23" s="105" t="n"/>
      <c r="BI23" s="885">
        <f>Planning!I16</f>
        <v/>
      </c>
      <c r="BJ23" s="885">
        <f>Planning!J16</f>
        <v/>
      </c>
      <c r="BK23" s="886" t="n"/>
      <c r="BL23" s="105" t="n"/>
      <c r="BM23" s="885">
        <f>Planning!M16</f>
        <v/>
      </c>
      <c r="BN23" s="885">
        <f>Planning!N16</f>
        <v/>
      </c>
      <c r="BO23" s="886" t="n"/>
      <c r="BP23" s="105" t="n"/>
      <c r="BQ23" s="885">
        <f>Planning!Q16</f>
        <v/>
      </c>
      <c r="BR23" s="885">
        <f>Planning!R16</f>
        <v/>
      </c>
      <c r="BS23" s="886" t="n"/>
      <c r="BT23" s="105" t="n"/>
      <c r="BU23" s="885">
        <f>Planning!U16</f>
        <v/>
      </c>
      <c r="BV23" s="885">
        <f>Planning!V16</f>
        <v/>
      </c>
      <c r="BW23" s="886" t="n"/>
      <c r="BX23" s="105" t="n"/>
      <c r="BY23" s="885">
        <f>Planning!Y16</f>
        <v/>
      </c>
      <c r="BZ23" s="885">
        <f>Planning!Z16</f>
        <v/>
      </c>
      <c r="CA23" s="886" t="n"/>
      <c r="CB23" s="105" t="n"/>
      <c r="CC23" s="885">
        <f>Planning!AC16</f>
        <v/>
      </c>
      <c r="CD23" s="885">
        <f>Planning!AD16</f>
        <v/>
      </c>
      <c r="CE23" s="886" t="n"/>
      <c r="CF23" s="105" t="n"/>
      <c r="CG23" s="887">
        <f>Planning!AG16</f>
        <v/>
      </c>
      <c r="CH23" s="105" t="n"/>
      <c r="CI23" s="252">
        <f>IF(BC23="","",Planning!AI16)</f>
        <v/>
      </c>
      <c r="CJ23" s="252">
        <f>IF(BC23="","",Planning!AJ16)</f>
        <v/>
      </c>
      <c r="CK23" s="252">
        <f>IF(BC23="","",Planning!AK16)</f>
        <v/>
      </c>
      <c r="CL23" s="252">
        <f>IF(BC23="","",Planning!AH16)</f>
        <v/>
      </c>
      <c r="CM23" s="21" t="n"/>
    </row>
    <row r="24" ht="12.75" customHeight="1">
      <c r="A24" s="161">
        <f>IFERROR(IF(VLOOKUP($B24,$BC$13:$CL$86,36,FALSE)&gt;5,0,IF(COUNTIF($B$13:$B$63,$B24)&gt;1,0,12)),12)+IF(B24&lt;&gt;0,0,IF(AV24&gt;0,0.000001,0))</f>
        <v/>
      </c>
      <c r="B24" s="126" t="inlineStr">
        <is>
          <t>Laila Bishir</t>
        </is>
      </c>
      <c r="C24" s="48">
        <f>IFERROR(IF($B24="","",VLOOKUP($B24,Medewerker!$C$8:$AI$107,33,FALSE)),"?")</f>
        <v/>
      </c>
      <c r="D24" s="879">
        <f t="array" ref="D24">IFERROR(IF(LEFT(INDEX($F24:$AQ24,1,SUM(SMALL(IF($F24:$AQ24&lt;&gt;"",COLUMN($F24:$AQ24)),1)-5)),1)="x",SUM(SMALL(IF($F24:$AQ24&lt;&gt;"",$F$11:$AQ$11),1)+"0:15"),SMALL(IF($F24:$AQ24&lt;&gt;"",$F$11:$AQ$11),1)),"")</f>
        <v/>
      </c>
      <c r="E24" s="879">
        <f t="array" ref="E24">IFERROR(IF(LEFT(INDEX($F24:$AQ24,1,SUM(LARGE(IF($F24:$AQ24&lt;&gt;"",COLUMN($F24:$AQ24)),1)-5)),1)="x",SUM(LARGE(IF($F24:$AQ24&lt;&gt;"",$F$11:$AQ$11+"0:30:00"),1)-"0:15"),LARGE(IF($F24:$AQ24&lt;&gt;"",$F$11:$AQ$11+"0:30:00"),1)),"")</f>
        <v/>
      </c>
      <c r="F24" s="40" t="n"/>
      <c r="G24" s="41" t="n"/>
      <c r="H24" s="40" t="n"/>
      <c r="I24" s="41" t="n"/>
      <c r="J24" s="40" t="n"/>
      <c r="K24" s="42" t="n"/>
      <c r="L24" s="43" t="n"/>
      <c r="M24" s="41" t="n"/>
      <c r="N24" s="40" t="n"/>
      <c r="O24" s="42" t="n"/>
      <c r="P24" s="43" t="inlineStr">
        <is>
          <t>hv</t>
        </is>
      </c>
      <c r="Q24" s="41" t="inlineStr">
        <is>
          <t>hv</t>
        </is>
      </c>
      <c r="R24" s="40" t="inlineStr">
        <is>
          <t>hv</t>
        </is>
      </c>
      <c r="S24" s="42" t="inlineStr">
        <is>
          <t>hv</t>
        </is>
      </c>
      <c r="T24" s="43" t="inlineStr">
        <is>
          <t>hv</t>
        </is>
      </c>
      <c r="U24" s="41" t="inlineStr">
        <is>
          <t>hv</t>
        </is>
      </c>
      <c r="V24" s="40" t="inlineStr">
        <is>
          <t>hv</t>
        </is>
      </c>
      <c r="W24" s="42" t="inlineStr">
        <is>
          <t>p</t>
        </is>
      </c>
      <c r="X24" s="43" t="inlineStr">
        <is>
          <t>hv</t>
        </is>
      </c>
      <c r="Y24" s="41" t="inlineStr">
        <is>
          <t>hv</t>
        </is>
      </c>
      <c r="Z24" s="40" t="inlineStr">
        <is>
          <t>hv</t>
        </is>
      </c>
      <c r="AA24" s="42" t="inlineStr">
        <is>
          <t>hv</t>
        </is>
      </c>
      <c r="AB24" s="43" t="n"/>
      <c r="AC24" s="41" t="n"/>
      <c r="AD24" s="40" t="n"/>
      <c r="AE24" s="42" t="n"/>
      <c r="AF24" s="43" t="n"/>
      <c r="AG24" s="41" t="n"/>
      <c r="AH24" s="40" t="n"/>
      <c r="AI24" s="42" t="n"/>
      <c r="AJ24" s="43" t="n"/>
      <c r="AK24" s="41" t="n"/>
      <c r="AL24" s="40" t="n"/>
      <c r="AM24" s="41" t="n"/>
      <c r="AN24" s="645" t="n"/>
      <c r="AO24" s="42" t="n"/>
      <c r="AP24" s="40" t="n"/>
      <c r="AQ24" s="41" t="n"/>
      <c r="AR24" s="888">
        <f>IFERROR(IF(VLOOKUP($B24,Medewerker!$C$8:$Q$107,15,FALSE)="",VLOOKUP($B24,Medewerker!$C$8:$Q$107,13,FALSE),0),0)</f>
        <v/>
      </c>
      <c r="AS24" s="889">
        <f>IFERROR(IF(B24="",1,IF(VLOOKUP($B24,Medewerker!$C$8:$Q$107,15,FALSE)="",VLOOKUP($B24,Medewerker!$C$8:$Q$107,14,FALSE),0)),0)</f>
        <v/>
      </c>
      <c r="AT24" s="30" t="n"/>
      <c r="AU24" s="30">
        <f>(COUNTIF(F24:AQ24,"afw"))/2</f>
        <v/>
      </c>
      <c r="AV24" s="111">
        <f>((38-(COUNTIF(F24:AQ24,"")))/2)-(COUNTIF(F24:AQ24,"p")/2)-(COUNTIF(F24:AQ24,CONCATENATE("x","*"))/4)</f>
        <v/>
      </c>
      <c r="AW24" s="73">
        <f>IF($B24="","",VLOOKUP($B24,Medewerker!$C$8:$E$107,3,FALSE))</f>
        <v/>
      </c>
      <c r="AX24" s="403">
        <f>IFERROR(VLOOKUP($B24,Planning!$B$6:$AG$105,32,FALSE)*24,"")</f>
        <v/>
      </c>
      <c r="AY24" s="562" t="inlineStr">
        <is>
          <t>br</t>
        </is>
      </c>
      <c r="AZ24" s="166" t="inlineStr">
        <is>
          <t>Bepalen restant</t>
        </is>
      </c>
      <c r="BA24" s="111">
        <f>COUNTIF($F$13:$AQ$63,CONCATENATE(AY24,"*"))/2+COUNTIF($F$13:$AQ$63,CONCATENATE("x",AY24,"*"))/4</f>
        <v/>
      </c>
      <c r="BB24" s="838" t="n"/>
      <c r="BC24" s="31">
        <f>IF(Planning!B17="","",Planning!B17)</f>
        <v/>
      </c>
      <c r="BD24" s="105" t="n"/>
      <c r="BE24" s="885">
        <f>Planning!E17</f>
        <v/>
      </c>
      <c r="BF24" s="885">
        <f>Planning!F17</f>
        <v/>
      </c>
      <c r="BG24" s="886" t="n"/>
      <c r="BH24" s="105" t="n"/>
      <c r="BI24" s="885">
        <f>Planning!I17</f>
        <v/>
      </c>
      <c r="BJ24" s="885">
        <f>Planning!J17</f>
        <v/>
      </c>
      <c r="BK24" s="886" t="n"/>
      <c r="BL24" s="105" t="n"/>
      <c r="BM24" s="885">
        <f>Planning!M17</f>
        <v/>
      </c>
      <c r="BN24" s="885">
        <f>Planning!N17</f>
        <v/>
      </c>
      <c r="BO24" s="886" t="n"/>
      <c r="BP24" s="105" t="n"/>
      <c r="BQ24" s="885">
        <f>Planning!Q17</f>
        <v/>
      </c>
      <c r="BR24" s="885">
        <f>Planning!R17</f>
        <v/>
      </c>
      <c r="BS24" s="886" t="n"/>
      <c r="BT24" s="105" t="n"/>
      <c r="BU24" s="885">
        <f>Planning!U17</f>
        <v/>
      </c>
      <c r="BV24" s="885">
        <f>Planning!V17</f>
        <v/>
      </c>
      <c r="BW24" s="886" t="n"/>
      <c r="BX24" s="105" t="n"/>
      <c r="BY24" s="885">
        <f>Planning!Y17</f>
        <v/>
      </c>
      <c r="BZ24" s="885">
        <f>Planning!Z17</f>
        <v/>
      </c>
      <c r="CA24" s="886" t="n"/>
      <c r="CB24" s="105" t="n"/>
      <c r="CC24" s="885">
        <f>Planning!AC17</f>
        <v/>
      </c>
      <c r="CD24" s="885">
        <f>Planning!AD17</f>
        <v/>
      </c>
      <c r="CE24" s="886" t="n"/>
      <c r="CF24" s="105" t="n"/>
      <c r="CG24" s="887">
        <f>Planning!AG17</f>
        <v/>
      </c>
      <c r="CH24" s="105" t="n"/>
      <c r="CI24" s="252">
        <f>IF(BC24="","",Planning!AI17)</f>
        <v/>
      </c>
      <c r="CJ24" s="252">
        <f>IF(BC24="","",Planning!AJ17)</f>
        <v/>
      </c>
      <c r="CK24" s="252">
        <f>IF(BC24="","",Planning!AK17)</f>
        <v/>
      </c>
      <c r="CL24" s="252">
        <f>IF(BC24="","",Planning!AH17)</f>
        <v/>
      </c>
      <c r="CM24" s="21" t="n"/>
    </row>
    <row r="25" ht="12.75" customHeight="1">
      <c r="A25" s="161">
        <f>IFERROR(IF(VLOOKUP($B25,$BC$13:$CL$86,36,FALSE)&gt;5,0,IF(COUNTIF($B$13:$B$63,$B25)&gt;1,0,13)),13)+IF(B25&lt;&gt;0,0,IF(AV25&gt;0,0.000001,0))</f>
        <v/>
      </c>
      <c r="B25" s="129" t="n"/>
      <c r="C25" s="48">
        <f>IFERROR(IF($B25="","",VLOOKUP($B25,Medewerker!$C$8:$AI$107,33,FALSE)),"?")</f>
        <v/>
      </c>
      <c r="D25" s="879">
        <f t="array" ref="D25">IFERROR(IF(LEFT(INDEX($F25:$AQ25,1,SUM(SMALL(IF($F25:$AQ25&lt;&gt;"",COLUMN($F25:$AQ25)),1)-5)),1)="x",SUM(SMALL(IF($F25:$AQ25&lt;&gt;"",$F$11:$AQ$11),1)+"0:15"),SMALL(IF($F25:$AQ25&lt;&gt;"",$F$11:$AQ$11),1)),"")</f>
        <v/>
      </c>
      <c r="E25" s="879">
        <f t="array" ref="E25">IFERROR(IF(LEFT(INDEX($F25:$AQ25,1,SUM(LARGE(IF($F25:$AQ25&lt;&gt;"",COLUMN($F25:$AQ25)),1)-5)),1)="x",SUM(LARGE(IF($F25:$AQ25&lt;&gt;"",$F$11:$AQ$11+"0:30:00"),1)-"0:15"),LARGE(IF($F25:$AQ25&lt;&gt;"",$F$11:$AQ$11+"0:30:00"),1)),"")</f>
        <v/>
      </c>
      <c r="F25" s="40" t="n"/>
      <c r="G25" s="41" t="n"/>
      <c r="H25" s="40" t="n"/>
      <c r="I25" s="41" t="n"/>
      <c r="J25" s="40" t="n"/>
      <c r="K25" s="42" t="n"/>
      <c r="L25" s="43" t="n"/>
      <c r="M25" s="41" t="n"/>
      <c r="N25" s="40" t="n"/>
      <c r="O25" s="42" t="n"/>
      <c r="P25" s="43" t="n"/>
      <c r="Q25" s="41" t="n"/>
      <c r="R25" s="40" t="n"/>
      <c r="S25" s="42" t="n"/>
      <c r="T25" s="43" t="n"/>
      <c r="U25" s="41" t="n"/>
      <c r="V25" s="40" t="n"/>
      <c r="W25" s="42" t="n"/>
      <c r="X25" s="43" t="n"/>
      <c r="Y25" s="41" t="n"/>
      <c r="Z25" s="40" t="n"/>
      <c r="AA25" s="42" t="n"/>
      <c r="AB25" s="43" t="n"/>
      <c r="AC25" s="41" t="n"/>
      <c r="AD25" s="40" t="n"/>
      <c r="AE25" s="42" t="n"/>
      <c r="AF25" s="43" t="n"/>
      <c r="AG25" s="41" t="n"/>
      <c r="AH25" s="40" t="n"/>
      <c r="AI25" s="42" t="n"/>
      <c r="AJ25" s="43" t="n"/>
      <c r="AK25" s="41" t="n"/>
      <c r="AL25" s="40" t="n"/>
      <c r="AM25" s="41" t="n"/>
      <c r="AN25" s="645" t="n"/>
      <c r="AO25" s="42" t="n"/>
      <c r="AP25" s="40" t="n"/>
      <c r="AQ25" s="41" t="n"/>
      <c r="AR25" s="888">
        <f>IFERROR(IF(VLOOKUP($B25,Medewerker!$C$8:$Q$107,15,FALSE)="",VLOOKUP($B25,Medewerker!$C$8:$Q$107,13,FALSE),0),0)</f>
        <v/>
      </c>
      <c r="AS25" s="889">
        <f>IFERROR(IF(B25="",1,IF(VLOOKUP($B25,Medewerker!$C$8:$Q$107,15,FALSE)="",VLOOKUP($B25,Medewerker!$C$8:$Q$107,14,FALSE),0)),0)</f>
        <v/>
      </c>
      <c r="AT25" s="30" t="n"/>
      <c r="AU25" s="30">
        <f>(COUNTIF(F25:AQ25,"afw"))/2</f>
        <v/>
      </c>
      <c r="AV25" s="111">
        <f>((38-(COUNTIF(F25:AQ25,"")))/2)-(COUNTIF(F25:AQ25,"p")/2)-(COUNTIF(F25:AQ25,CONCATENATE("x","*"))/4)</f>
        <v/>
      </c>
      <c r="AW25" s="73">
        <f>IF($B25="","",VLOOKUP($B25,Medewerker!$C$8:$E$107,3,FALSE))</f>
        <v/>
      </c>
      <c r="AX25" s="403">
        <f>IFERROR(VLOOKUP($B25,Planning!$B$6:$AG$105,32,FALSE)*24,"")</f>
        <v/>
      </c>
      <c r="AY25" s="563" t="inlineStr">
        <is>
          <t>bl</t>
        </is>
      </c>
      <c r="AZ25" s="412" t="inlineStr">
        <is>
          <t>Bepalen langrestant</t>
        </is>
      </c>
      <c r="BA25" s="111">
        <f>COUNTIF($F$13:$AQ$63,CONCATENATE(AY25,"*"))/2+COUNTIF($F$13:$AQ$63,CONCATENATE("x",AY25,"*"))/4</f>
        <v/>
      </c>
      <c r="BB25" s="838" t="n"/>
      <c r="BC25" s="31">
        <f>IF(Planning!B18="","",Planning!B18)</f>
        <v/>
      </c>
      <c r="BD25" s="105" t="n"/>
      <c r="BE25" s="885">
        <f>Planning!E18</f>
        <v/>
      </c>
      <c r="BF25" s="885">
        <f>Planning!F18</f>
        <v/>
      </c>
      <c r="BG25" s="886" t="n"/>
      <c r="BH25" s="105" t="n"/>
      <c r="BI25" s="885">
        <f>Planning!I18</f>
        <v/>
      </c>
      <c r="BJ25" s="885">
        <f>Planning!J18</f>
        <v/>
      </c>
      <c r="BK25" s="886" t="n"/>
      <c r="BL25" s="105" t="n"/>
      <c r="BM25" s="885">
        <f>Planning!M18</f>
        <v/>
      </c>
      <c r="BN25" s="885">
        <f>Planning!N18</f>
        <v/>
      </c>
      <c r="BO25" s="886" t="n"/>
      <c r="BP25" s="105" t="n"/>
      <c r="BQ25" s="885">
        <f>Planning!Q18</f>
        <v/>
      </c>
      <c r="BR25" s="885">
        <f>Planning!R18</f>
        <v/>
      </c>
      <c r="BS25" s="886" t="n"/>
      <c r="BT25" s="105" t="n"/>
      <c r="BU25" s="885">
        <f>Planning!U18</f>
        <v/>
      </c>
      <c r="BV25" s="885">
        <f>Planning!V18</f>
        <v/>
      </c>
      <c r="BW25" s="886" t="n"/>
      <c r="BX25" s="105" t="n"/>
      <c r="BY25" s="885">
        <f>Planning!Y18</f>
        <v/>
      </c>
      <c r="BZ25" s="885">
        <f>Planning!Z18</f>
        <v/>
      </c>
      <c r="CA25" s="886" t="n"/>
      <c r="CB25" s="105" t="n"/>
      <c r="CC25" s="885">
        <f>Planning!AC18</f>
        <v/>
      </c>
      <c r="CD25" s="885">
        <f>Planning!AD18</f>
        <v/>
      </c>
      <c r="CE25" s="886" t="n"/>
      <c r="CF25" s="105" t="n"/>
      <c r="CG25" s="887">
        <f>Planning!AG18</f>
        <v/>
      </c>
      <c r="CH25" s="105" t="n"/>
      <c r="CI25" s="252">
        <f>IF(BC25="","",Planning!AI18)</f>
        <v/>
      </c>
      <c r="CJ25" s="252">
        <f>IF(BC25="","",Planning!AJ18)</f>
        <v/>
      </c>
      <c r="CK25" s="252">
        <f>IF(BC25="","",Planning!AK18)</f>
        <v/>
      </c>
      <c r="CL25" s="252">
        <f>IF(BC25="","",Planning!AH18)</f>
        <v/>
      </c>
      <c r="CM25" s="21" t="n"/>
    </row>
    <row r="26" ht="12.75" customHeight="1">
      <c r="A26" s="161">
        <f>IFERROR(IF(VLOOKUP($B26,$BC$13:$CL$86,36,FALSE)&gt;5,0,IF(COUNTIF($B$13:$B$63,$B26)&gt;1,0,14)),14)+IF(B26&lt;&gt;0,0,IF(AV26&gt;0,0.000001,0))</f>
        <v/>
      </c>
      <c r="B26" s="129" t="inlineStr">
        <is>
          <t>Mike Odafe</t>
        </is>
      </c>
      <c r="C26" s="48">
        <f>IFERROR(IF($B26="","",VLOOKUP($B26,Medewerker!$C$8:$AI$107,33,FALSE)),"?")</f>
        <v/>
      </c>
      <c r="D26" s="879">
        <f t="array" ref="D26">IFERROR(IF(LEFT(INDEX($F26:$AQ26,1,SUM(SMALL(IF($F26:$AQ26&lt;&gt;"",COLUMN($F26:$AQ26)),1)-5)),1)="x",SUM(SMALL(IF($F26:$AQ26&lt;&gt;"",$F$11:$AQ$11),1)+"0:15"),SMALL(IF($F26:$AQ26&lt;&gt;"",$F$11:$AQ$11),1)),"")</f>
        <v/>
      </c>
      <c r="E26" s="879">
        <f t="array" ref="E26">IFERROR(IF(LEFT(INDEX($F26:$AQ26,1,SUM(LARGE(IF($F26:$AQ26&lt;&gt;"",COLUMN($F26:$AQ26)),1)-5)),1)="x",SUM(LARGE(IF($F26:$AQ26&lt;&gt;"",$F$11:$AQ$11+"0:30:00"),1)-"0:15"),LARGE(IF($F26:$AQ26&lt;&gt;"",$F$11:$AQ$11+"0:30:00"),1)),"")</f>
        <v/>
      </c>
      <c r="F26" s="40" t="n"/>
      <c r="G26" s="41" t="n"/>
      <c r="H26" s="40" t="n"/>
      <c r="I26" s="41" t="n"/>
      <c r="J26" s="40" t="inlineStr">
        <is>
          <t>nh</t>
        </is>
      </c>
      <c r="K26" s="42" t="inlineStr">
        <is>
          <t>nh</t>
        </is>
      </c>
      <c r="L26" s="43" t="inlineStr">
        <is>
          <t>l</t>
        </is>
      </c>
      <c r="M26" s="41" t="inlineStr">
        <is>
          <t>sp</t>
        </is>
      </c>
      <c r="N26" s="40" t="inlineStr">
        <is>
          <t>sp</t>
        </is>
      </c>
      <c r="O26" s="42" t="inlineStr">
        <is>
          <t>sp</t>
        </is>
      </c>
      <c r="P26" s="43" t="inlineStr">
        <is>
          <t>sp</t>
        </is>
      </c>
      <c r="Q26" s="41" t="inlineStr">
        <is>
          <t>sp</t>
        </is>
      </c>
      <c r="R26" s="40" t="inlineStr">
        <is>
          <t>p</t>
        </is>
      </c>
      <c r="S26" s="42" t="inlineStr">
        <is>
          <t>hv</t>
        </is>
      </c>
      <c r="T26" s="43" t="inlineStr">
        <is>
          <t>hv</t>
        </is>
      </c>
      <c r="U26" s="41" t="inlineStr">
        <is>
          <t>hv</t>
        </is>
      </c>
      <c r="V26" s="40" t="inlineStr">
        <is>
          <t>hv</t>
        </is>
      </c>
      <c r="W26" s="42" t="inlineStr">
        <is>
          <t>hv</t>
        </is>
      </c>
      <c r="X26" s="43" t="inlineStr">
        <is>
          <t>hv</t>
        </is>
      </c>
      <c r="Y26" s="41" t="inlineStr">
        <is>
          <t>hv</t>
        </is>
      </c>
      <c r="Z26" s="40" t="n"/>
      <c r="AA26" s="42" t="n"/>
      <c r="AB26" s="43" t="n"/>
      <c r="AC26" s="41" t="n"/>
      <c r="AD26" s="40" t="n"/>
      <c r="AE26" s="42" t="n"/>
      <c r="AF26" s="43" t="n"/>
      <c r="AG26" s="41" t="n"/>
      <c r="AH26" s="40" t="n"/>
      <c r="AI26" s="42" t="n"/>
      <c r="AJ26" s="43" t="n"/>
      <c r="AK26" s="41" t="n"/>
      <c r="AL26" s="40" t="n"/>
      <c r="AM26" s="41" t="n"/>
      <c r="AN26" s="645" t="n"/>
      <c r="AO26" s="42" t="n"/>
      <c r="AP26" s="40" t="n"/>
      <c r="AQ26" s="41" t="n"/>
      <c r="AR26" s="888">
        <f>IFERROR(IF(VLOOKUP($B26,Medewerker!$C$8:$Q$107,15,FALSE)="",VLOOKUP($B26,Medewerker!$C$8:$Q$107,13,FALSE),0),0)</f>
        <v/>
      </c>
      <c r="AS26" s="889">
        <f>IFERROR(IF(B26="",1,IF(VLOOKUP($B26,Medewerker!$C$8:$Q$107,15,FALSE)="",VLOOKUP($B26,Medewerker!$C$8:$Q$107,14,FALSE),0)),0)</f>
        <v/>
      </c>
      <c r="AT26" s="30" t="n"/>
      <c r="AU26" s="30">
        <f>(COUNTIF(F26:AQ26,"afw"))/2</f>
        <v/>
      </c>
      <c r="AV26" s="111">
        <f>((38-(COUNTIF(F26:AQ26,"")))/2)-(COUNTIF(F26:AQ26,"p")/2)-(COUNTIF(F26:AQ26,CONCATENATE("x","*"))/4)</f>
        <v/>
      </c>
      <c r="AW26" s="73">
        <f>IF($B26="","",VLOOKUP($B26,Medewerker!$C$8:$E$107,3,FALSE))</f>
        <v/>
      </c>
      <c r="AX26" s="403">
        <f>IFERROR(VLOOKUP($B26,Planning!$B$6:$AG$105,32,FALSE)*24,"")</f>
        <v/>
      </c>
      <c r="AY26" s="562" t="inlineStr">
        <is>
          <t>hl</t>
        </is>
      </c>
      <c r="AZ26" s="166" t="inlineStr">
        <is>
          <t>Hardlopers vullen</t>
        </is>
      </c>
      <c r="BA26" s="111">
        <f>COUNTIF($F$13:$AQ$63,CONCATENATE(AY26,"*"))/2+COUNTIF($F$13:$AQ$63,CONCATENATE("x",AY26,"*"))/4</f>
        <v/>
      </c>
      <c r="BB26" s="838" t="n"/>
      <c r="BC26" s="31">
        <f>IF(Planning!B19="","",Planning!B19)</f>
        <v/>
      </c>
      <c r="BD26" s="105" t="n"/>
      <c r="BE26" s="885">
        <f>Planning!E19</f>
        <v/>
      </c>
      <c r="BF26" s="885">
        <f>Planning!F19</f>
        <v/>
      </c>
      <c r="BG26" s="886" t="n"/>
      <c r="BH26" s="105" t="n"/>
      <c r="BI26" s="885">
        <f>Planning!I19</f>
        <v/>
      </c>
      <c r="BJ26" s="885">
        <f>Planning!J19</f>
        <v/>
      </c>
      <c r="BK26" s="886" t="n"/>
      <c r="BL26" s="105" t="n"/>
      <c r="BM26" s="885">
        <f>Planning!M19</f>
        <v/>
      </c>
      <c r="BN26" s="885">
        <f>Planning!N19</f>
        <v/>
      </c>
      <c r="BO26" s="886" t="n"/>
      <c r="BP26" s="105" t="n"/>
      <c r="BQ26" s="885">
        <f>Planning!Q19</f>
        <v/>
      </c>
      <c r="BR26" s="885">
        <f>Planning!R19</f>
        <v/>
      </c>
      <c r="BS26" s="886" t="n"/>
      <c r="BT26" s="105" t="n"/>
      <c r="BU26" s="885">
        <f>Planning!U19</f>
        <v/>
      </c>
      <c r="BV26" s="885">
        <f>Planning!V19</f>
        <v/>
      </c>
      <c r="BW26" s="886" t="n"/>
      <c r="BX26" s="105" t="n"/>
      <c r="BY26" s="885">
        <f>Planning!Y19</f>
        <v/>
      </c>
      <c r="BZ26" s="885">
        <f>Planning!Z19</f>
        <v/>
      </c>
      <c r="CA26" s="886" t="n"/>
      <c r="CB26" s="105" t="n"/>
      <c r="CC26" s="885">
        <f>Planning!AC19</f>
        <v/>
      </c>
      <c r="CD26" s="885">
        <f>Planning!AD19</f>
        <v/>
      </c>
      <c r="CE26" s="886" t="n"/>
      <c r="CF26" s="105" t="n"/>
      <c r="CG26" s="887">
        <f>Planning!AG19</f>
        <v/>
      </c>
      <c r="CH26" s="105" t="n"/>
      <c r="CI26" s="252">
        <f>IF(BC26="","",Planning!AI19)</f>
        <v/>
      </c>
      <c r="CJ26" s="252">
        <f>IF(BC26="","",Planning!AJ19)</f>
        <v/>
      </c>
      <c r="CK26" s="252">
        <f>IF(BC26="","",Planning!AK19)</f>
        <v/>
      </c>
      <c r="CL26" s="252">
        <f>IF(BC26="","",Planning!AH19)</f>
        <v/>
      </c>
      <c r="CM26" s="21" t="n"/>
    </row>
    <row r="27" ht="12.75" customHeight="1">
      <c r="A27" s="161">
        <f>IFERROR(IF(VLOOKUP($B27,$BC$13:$CL$86,36,FALSE)&gt;5,0,IF(COUNTIF($B$13:$B$63,$B27)&gt;1,0,15)),15)+IF(B27&lt;&gt;0,0,IF(AV27&gt;0,0.000001,0))</f>
        <v/>
      </c>
      <c r="B27" s="129" t="inlineStr">
        <is>
          <t>Kamal</t>
        </is>
      </c>
      <c r="C27" s="48">
        <f>IFERROR(IF($B27="","",VLOOKUP($B27,Medewerker!$C$8:$AI$107,33,FALSE)),"?")</f>
        <v/>
      </c>
      <c r="D27" s="879">
        <f t="array" ref="D27">IFERROR(IF(LEFT(INDEX($F27:$AQ27,1,SUM(SMALL(IF($F27:$AQ27&lt;&gt;"",COLUMN($F27:$AQ27)),1)-5)),1)="x",SUM(SMALL(IF($F27:$AQ27&lt;&gt;"",$F$11:$AQ$11),1)+"0:15"),SMALL(IF($F27:$AQ27&lt;&gt;"",$F$11:$AQ$11),1)),"")</f>
        <v/>
      </c>
      <c r="E27" s="879">
        <f t="array" ref="E27">IFERROR(IF(LEFT(INDEX($F27:$AQ27,1,SUM(LARGE(IF($F27:$AQ27&lt;&gt;"",COLUMN($F27:$AQ27)),1)-5)),1)="x",SUM(LARGE(IF($F27:$AQ27&lt;&gt;"",$F$11:$AQ$11+"0:30:00"),1)-"0:15"),LARGE(IF($F27:$AQ27&lt;&gt;"",$F$11:$AQ$11+"0:30:00"),1)),"")</f>
        <v/>
      </c>
      <c r="F27" s="40" t="n"/>
      <c r="G27" s="41" t="n"/>
      <c r="H27" s="40" t="n"/>
      <c r="I27" s="41" t="n"/>
      <c r="J27" s="40" t="inlineStr">
        <is>
          <t>nh</t>
        </is>
      </c>
      <c r="K27" s="42" t="inlineStr">
        <is>
          <t>nh</t>
        </is>
      </c>
      <c r="L27" s="43" t="inlineStr">
        <is>
          <t>l</t>
        </is>
      </c>
      <c r="M27" s="41" t="inlineStr">
        <is>
          <t>hv</t>
        </is>
      </c>
      <c r="N27" s="40" t="inlineStr">
        <is>
          <t>hv</t>
        </is>
      </c>
      <c r="O27" s="42" t="inlineStr">
        <is>
          <t>hv</t>
        </is>
      </c>
      <c r="P27" s="43" t="inlineStr">
        <is>
          <t>hv</t>
        </is>
      </c>
      <c r="Q27" s="41" t="inlineStr">
        <is>
          <t>hv</t>
        </is>
      </c>
      <c r="R27" s="40" t="inlineStr">
        <is>
          <t>p</t>
        </is>
      </c>
      <c r="S27" s="42" t="inlineStr">
        <is>
          <t>hv</t>
        </is>
      </c>
      <c r="T27" s="43" t="inlineStr">
        <is>
          <t>hv</t>
        </is>
      </c>
      <c r="U27" s="41" t="inlineStr">
        <is>
          <t>hv</t>
        </is>
      </c>
      <c r="V27" s="40" t="inlineStr">
        <is>
          <t>hv</t>
        </is>
      </c>
      <c r="W27" s="42" t="n"/>
      <c r="X27" s="43" t="n"/>
      <c r="Y27" s="41" t="n"/>
      <c r="Z27" s="40" t="n"/>
      <c r="AA27" s="42" t="n"/>
      <c r="AB27" s="43" t="n"/>
      <c r="AC27" s="41" t="n"/>
      <c r="AD27" s="40" t="n"/>
      <c r="AE27" s="42" t="n"/>
      <c r="AF27" s="43" t="n"/>
      <c r="AG27" s="41" t="n"/>
      <c r="AH27" s="40" t="n"/>
      <c r="AI27" s="42" t="n"/>
      <c r="AJ27" s="43" t="n"/>
      <c r="AK27" s="41" t="n"/>
      <c r="AL27" s="40" t="n"/>
      <c r="AM27" s="41" t="n"/>
      <c r="AN27" s="645" t="n"/>
      <c r="AO27" s="42" t="n"/>
      <c r="AP27" s="40" t="n"/>
      <c r="AQ27" s="41" t="n"/>
      <c r="AR27" s="888">
        <f>IFERROR(IF(VLOOKUP($B27,Medewerker!$C$8:$Q$107,15,FALSE)="",VLOOKUP($B27,Medewerker!$C$8:$Q$107,13,FALSE),0),0)</f>
        <v/>
      </c>
      <c r="AS27" s="889">
        <f>IFERROR(IF(B27="",1,IF(VLOOKUP($B27,Medewerker!$C$8:$Q$107,15,FALSE)="",VLOOKUP($B27,Medewerker!$C$8:$Q$107,14,FALSE),0)),0)</f>
        <v/>
      </c>
      <c r="AT27" s="30" t="n"/>
      <c r="AU27" s="30">
        <f>(COUNTIF(F27:AQ27,"afw"))/2</f>
        <v/>
      </c>
      <c r="AV27" s="111">
        <f>((38-(COUNTIF(F27:AQ27,"")))/2)-(COUNTIF(F27:AQ27,"p")/2)-(COUNTIF(F27:AQ27,CONCATENATE("x","*"))/4)</f>
        <v/>
      </c>
      <c r="AW27" s="73">
        <f>IF($B27="","",VLOOKUP($B27,Medewerker!$C$8:$E$107,3,FALSE))</f>
        <v/>
      </c>
      <c r="AX27" s="403">
        <f>IFERROR(VLOOKUP($B27,Planning!$B$6:$AG$105,32,FALSE)*24,"")</f>
        <v/>
      </c>
      <c r="AY27" s="563" t="inlineStr">
        <is>
          <t>lhb</t>
        </is>
      </c>
      <c r="AZ27" s="71" t="inlineStr">
        <is>
          <t>Neeverkoop HB</t>
        </is>
      </c>
      <c r="BA27" s="111">
        <f>COUNTIF($F$13:$AQ$63,CONCATENATE(AY27,"*"))/2+COUNTIF($F$13:$AQ$63,CONCATENATE("x",AY27,"*"))/4</f>
        <v/>
      </c>
      <c r="BB27" s="838" t="n"/>
      <c r="BC27" s="31">
        <f>IF(Planning!B20="","",Planning!B20)</f>
        <v/>
      </c>
      <c r="BD27" s="105" t="n"/>
      <c r="BE27" s="885">
        <f>Planning!E20</f>
        <v/>
      </c>
      <c r="BF27" s="885">
        <f>Planning!F20</f>
        <v/>
      </c>
      <c r="BG27" s="886" t="n"/>
      <c r="BH27" s="105" t="n"/>
      <c r="BI27" s="885">
        <f>Planning!I20</f>
        <v/>
      </c>
      <c r="BJ27" s="885">
        <f>Planning!J20</f>
        <v/>
      </c>
      <c r="BK27" s="886" t="n"/>
      <c r="BL27" s="105" t="n"/>
      <c r="BM27" s="885">
        <f>Planning!M20</f>
        <v/>
      </c>
      <c r="BN27" s="885">
        <f>Planning!N20</f>
        <v/>
      </c>
      <c r="BO27" s="886" t="n"/>
      <c r="BP27" s="105" t="n"/>
      <c r="BQ27" s="885">
        <f>Planning!Q20</f>
        <v/>
      </c>
      <c r="BR27" s="885">
        <f>Planning!R20</f>
        <v/>
      </c>
      <c r="BS27" s="886" t="n"/>
      <c r="BT27" s="105" t="n"/>
      <c r="BU27" s="885">
        <f>Planning!U20</f>
        <v/>
      </c>
      <c r="BV27" s="885">
        <f>Planning!V20</f>
        <v/>
      </c>
      <c r="BW27" s="886" t="n"/>
      <c r="BX27" s="105" t="n"/>
      <c r="BY27" s="885">
        <f>Planning!Y20</f>
        <v/>
      </c>
      <c r="BZ27" s="885">
        <f>Planning!Z20</f>
        <v/>
      </c>
      <c r="CA27" s="886" t="n"/>
      <c r="CB27" s="105" t="n"/>
      <c r="CC27" s="885">
        <f>Planning!AC20</f>
        <v/>
      </c>
      <c r="CD27" s="885">
        <f>Planning!AD20</f>
        <v/>
      </c>
      <c r="CE27" s="886" t="n"/>
      <c r="CF27" s="105" t="n"/>
      <c r="CG27" s="887">
        <f>Planning!AG20</f>
        <v/>
      </c>
      <c r="CH27" s="105" t="n"/>
      <c r="CI27" s="252">
        <f>IF(BC27="","",Planning!AI20)</f>
        <v/>
      </c>
      <c r="CJ27" s="252">
        <f>IF(BC27="","",Planning!AJ20)</f>
        <v/>
      </c>
      <c r="CK27" s="252">
        <f>IF(BC27="","",Planning!AK20)</f>
        <v/>
      </c>
      <c r="CL27" s="252">
        <f>IF(BC27="","",Planning!AH20)</f>
        <v/>
      </c>
      <c r="CM27" s="21" t="n"/>
    </row>
    <row r="28" ht="12.75" customHeight="1">
      <c r="A28" s="161">
        <f>IFERROR(IF(VLOOKUP($B28,$BC$13:$CL$86,36,FALSE)&gt;5,0,IF(COUNTIF($B$13:$B$63,$B28)&gt;1,0,16)),16)+IF(B28&lt;&gt;0,0,IF(AV28&gt;0,0.000001,0))</f>
        <v/>
      </c>
      <c r="B28" s="129" t="n"/>
      <c r="C28" s="48">
        <f>IFERROR(IF($B28="","",VLOOKUP($B28,Medewerker!$C$8:$AI$107,33,FALSE)),"?")</f>
        <v/>
      </c>
      <c r="D28" s="879">
        <f t="array" ref="D28">IFERROR(IF(LEFT(INDEX($F28:$AQ28,1,SUM(SMALL(IF($F28:$AQ28&lt;&gt;"",COLUMN($F28:$AQ28)),1)-5)),1)="x",SUM(SMALL(IF($F28:$AQ28&lt;&gt;"",$F$11:$AQ$11),1)+"0:15"),SMALL(IF($F28:$AQ28&lt;&gt;"",$F$11:$AQ$11),1)),"")</f>
        <v/>
      </c>
      <c r="E28" s="879">
        <f t="array" ref="E28">IFERROR(IF(LEFT(INDEX($F28:$AQ28,1,SUM(LARGE(IF($F28:$AQ28&lt;&gt;"",COLUMN($F28:$AQ28)),1)-5)),1)="x",SUM(LARGE(IF($F28:$AQ28&lt;&gt;"",$F$11:$AQ$11+"0:30:00"),1)-"0:15"),LARGE(IF($F28:$AQ28&lt;&gt;"",$F$11:$AQ$11+"0:30:00"),1)),"")</f>
        <v/>
      </c>
      <c r="F28" s="40" t="n"/>
      <c r="G28" s="41" t="n"/>
      <c r="H28" s="40" t="n"/>
      <c r="I28" s="41" t="n"/>
      <c r="J28" s="40" t="n"/>
      <c r="K28" s="42" t="n"/>
      <c r="L28" s="43" t="n"/>
      <c r="M28" s="41" t="n"/>
      <c r="N28" s="40" t="n"/>
      <c r="O28" s="42" t="n"/>
      <c r="P28" s="43" t="n"/>
      <c r="Q28" s="41" t="n"/>
      <c r="R28" s="40" t="n"/>
      <c r="S28" s="42" t="n"/>
      <c r="T28" s="43" t="n"/>
      <c r="U28" s="41" t="n"/>
      <c r="V28" s="40" t="n"/>
      <c r="W28" s="42" t="n"/>
      <c r="X28" s="43" t="n"/>
      <c r="Y28" s="41" t="n"/>
      <c r="Z28" s="40" t="n"/>
      <c r="AA28" s="42" t="n"/>
      <c r="AB28" s="43" t="n"/>
      <c r="AC28" s="41" t="n"/>
      <c r="AD28" s="40" t="n"/>
      <c r="AE28" s="42" t="n"/>
      <c r="AF28" s="43" t="n"/>
      <c r="AG28" s="41" t="n"/>
      <c r="AH28" s="40" t="n"/>
      <c r="AI28" s="42" t="n"/>
      <c r="AJ28" s="43" t="n"/>
      <c r="AK28" s="41" t="n"/>
      <c r="AL28" s="40" t="n"/>
      <c r="AM28" s="41" t="n"/>
      <c r="AN28" s="645" t="n"/>
      <c r="AO28" s="42" t="n"/>
      <c r="AP28" s="40" t="n"/>
      <c r="AQ28" s="41" t="n"/>
      <c r="AR28" s="888">
        <f>IFERROR(IF(VLOOKUP($B28,Medewerker!$C$8:$Q$107,15,FALSE)="",VLOOKUP($B28,Medewerker!$C$8:$Q$107,13,FALSE),0),0)</f>
        <v/>
      </c>
      <c r="AS28" s="889">
        <f>IFERROR(IF(B28="",1,IF(VLOOKUP($B28,Medewerker!$C$8:$Q$107,15,FALSE)="",VLOOKUP($B28,Medewerker!$C$8:$Q$107,14,FALSE),0)),0)</f>
        <v/>
      </c>
      <c r="AT28" s="30" t="n"/>
      <c r="AU28" s="30">
        <f>(COUNTIF(F28:AQ28,"afw"))/2</f>
        <v/>
      </c>
      <c r="AV28" s="111">
        <f>((38-(COUNTIF(F28:AQ28,"")))/2)-(COUNTIF(F28:AQ28,"p")/2)-(COUNTIF(F28:AQ28,CONCATENATE("x","*"))/4)</f>
        <v/>
      </c>
      <c r="AW28" s="73">
        <f>IF($B28="","",VLOOKUP($B28,Medewerker!$C$8:$E$107,3,FALSE))</f>
        <v/>
      </c>
      <c r="AX28" s="403">
        <f>IFERROR(VLOOKUP($B28,Planning!$B$6:$AG$105,32,FALSE)*24,"")</f>
        <v/>
      </c>
      <c r="AY28" s="562" t="inlineStr">
        <is>
          <t>ldv</t>
        </is>
      </c>
      <c r="AZ28" s="166" t="inlineStr">
        <is>
          <t>Neeverkoop DV</t>
        </is>
      </c>
      <c r="BA28" s="111">
        <f>COUNTIF($F$13:$AQ$63,CONCATENATE(AY28,"*"))/2+COUNTIF($F$13:$AQ$63,CONCATENATE("x",AY28,"*"))/4</f>
        <v/>
      </c>
      <c r="BB28" s="838" t="n"/>
      <c r="BC28" s="31">
        <f>IF(Planning!B21="","",Planning!B21)</f>
        <v/>
      </c>
      <c r="BD28" s="105" t="n"/>
      <c r="BE28" s="885">
        <f>Planning!E21</f>
        <v/>
      </c>
      <c r="BF28" s="885">
        <f>Planning!F21</f>
        <v/>
      </c>
      <c r="BG28" s="886" t="n"/>
      <c r="BH28" s="105" t="n"/>
      <c r="BI28" s="885">
        <f>Planning!I21</f>
        <v/>
      </c>
      <c r="BJ28" s="885">
        <f>Planning!J21</f>
        <v/>
      </c>
      <c r="BK28" s="886" t="n"/>
      <c r="BL28" s="105" t="n"/>
      <c r="BM28" s="885">
        <f>Planning!M21</f>
        <v/>
      </c>
      <c r="BN28" s="885">
        <f>Planning!N21</f>
        <v/>
      </c>
      <c r="BO28" s="886" t="n"/>
      <c r="BP28" s="105" t="n"/>
      <c r="BQ28" s="885">
        <f>Planning!Q21</f>
        <v/>
      </c>
      <c r="BR28" s="885">
        <f>Planning!R21</f>
        <v/>
      </c>
      <c r="BS28" s="886" t="n"/>
      <c r="BT28" s="105" t="n"/>
      <c r="BU28" s="885">
        <f>Planning!U21</f>
        <v/>
      </c>
      <c r="BV28" s="885">
        <f>Planning!V21</f>
        <v/>
      </c>
      <c r="BW28" s="886" t="n"/>
      <c r="BX28" s="105" t="n"/>
      <c r="BY28" s="885">
        <f>Planning!Y21</f>
        <v/>
      </c>
      <c r="BZ28" s="885">
        <f>Planning!Z21</f>
        <v/>
      </c>
      <c r="CA28" s="886" t="n"/>
      <c r="CB28" s="105" t="n"/>
      <c r="CC28" s="885">
        <f>Planning!AC21</f>
        <v/>
      </c>
      <c r="CD28" s="885">
        <f>Planning!AD21</f>
        <v/>
      </c>
      <c r="CE28" s="886" t="n"/>
      <c r="CF28" s="105" t="n"/>
      <c r="CG28" s="887">
        <f>Planning!AG21</f>
        <v/>
      </c>
      <c r="CH28" s="105" t="n"/>
      <c r="CI28" s="252">
        <f>IF(BC28="","",Planning!AI21)</f>
        <v/>
      </c>
      <c r="CJ28" s="252">
        <f>IF(BC28="","",Planning!AJ21)</f>
        <v/>
      </c>
      <c r="CK28" s="252">
        <f>IF(BC28="","",Planning!AK21)</f>
        <v/>
      </c>
      <c r="CL28" s="252">
        <f>IF(BC28="","",Planning!AH21)</f>
        <v/>
      </c>
      <c r="CM28" s="21" t="n"/>
    </row>
    <row r="29" ht="12.75" customHeight="1">
      <c r="A29" s="161">
        <f>IFERROR(IF(VLOOKUP($B29,$BC$13:$CL$86,36,FALSE)&gt;5,0,IF(COUNTIF($B$13:$B$63,$B29)&gt;1,0,17)),17)+IF(B29&lt;&gt;0,0,IF(AV29&gt;0,0.000001,0))</f>
        <v/>
      </c>
      <c r="B29" s="129" t="inlineStr">
        <is>
          <t>Fatmir Bilalovski</t>
        </is>
      </c>
      <c r="C29" s="127">
        <f>IFERROR(IF($B29="","",VLOOKUP($B29,Medewerker!$C$8:$AI$107,33,FALSE)),"?")</f>
        <v/>
      </c>
      <c r="D29" s="890">
        <f t="array" ref="D29">IFERROR(IF(LEFT(INDEX($F29:$AQ29,1,SUM(SMALL(IF($F29:$AQ29&lt;&gt;"",COLUMN($F29:$AQ29)),1)-5)),1)="x",SUM(SMALL(IF($F29:$AQ29&lt;&gt;"",$F$11:$AQ$11),1)+"0:15"),SMALL(IF($F29:$AQ29&lt;&gt;"",$F$11:$AQ$11),1)),"")</f>
        <v/>
      </c>
      <c r="E29" s="890">
        <f t="array" ref="E29">IFERROR(IF(LEFT(INDEX($F29:$AQ29,1,SUM(LARGE(IF($F29:$AQ29&lt;&gt;"",COLUMN($F29:$AQ29)),1)-5)),1)="x",SUM(LARGE(IF($F29:$AQ29&lt;&gt;"",$F$11:$AQ$11+"0:30:00"),1)-"0:15"),LARGE(IF($F29:$AQ29&lt;&gt;"",$F$11:$AQ$11+"0:30:00"),1)),"")</f>
        <v/>
      </c>
      <c r="F29" s="40" t="n"/>
      <c r="G29" s="41" t="n"/>
      <c r="H29" s="43" t="n"/>
      <c r="I29" s="42" t="n"/>
      <c r="J29" s="43" t="n"/>
      <c r="K29" s="41" t="n"/>
      <c r="L29" s="40" t="inlineStr">
        <is>
          <t>rd</t>
        </is>
      </c>
      <c r="M29" s="42" t="inlineStr">
        <is>
          <t>rd</t>
        </is>
      </c>
      <c r="N29" s="43" t="inlineStr">
        <is>
          <t>rd</t>
        </is>
      </c>
      <c r="O29" s="41" t="inlineStr">
        <is>
          <t>rd</t>
        </is>
      </c>
      <c r="P29" s="40" t="inlineStr">
        <is>
          <t>dv</t>
        </is>
      </c>
      <c r="Q29" s="42" t="inlineStr">
        <is>
          <t>dv</t>
        </is>
      </c>
      <c r="R29" s="43" t="inlineStr">
        <is>
          <t>dv</t>
        </is>
      </c>
      <c r="S29" s="41" t="n"/>
      <c r="T29" s="40" t="n"/>
      <c r="U29" s="42" t="n"/>
      <c r="V29" s="43" t="n"/>
      <c r="W29" s="41" t="n"/>
      <c r="X29" s="40" t="n"/>
      <c r="Y29" s="42" t="n"/>
      <c r="Z29" s="43" t="n"/>
      <c r="AA29" s="41" t="n"/>
      <c r="AB29" s="40" t="n"/>
      <c r="AC29" s="42" t="n"/>
      <c r="AD29" s="43" t="n"/>
      <c r="AE29" s="41" t="n"/>
      <c r="AF29" s="40" t="n"/>
      <c r="AG29" s="42" t="n"/>
      <c r="AH29" s="43" t="n"/>
      <c r="AI29" s="41" t="n"/>
      <c r="AJ29" s="40" t="n"/>
      <c r="AK29" s="42" t="n"/>
      <c r="AL29" s="43" t="n"/>
      <c r="AM29" s="41" t="n"/>
      <c r="AN29" s="645" t="n"/>
      <c r="AO29" s="42" t="n"/>
      <c r="AP29" s="40" t="n"/>
      <c r="AQ29" s="41" t="n"/>
      <c r="AR29" s="888">
        <f>IFERROR(IF(VLOOKUP($B29,Medewerker!$C$8:$Q$107,15,FALSE)="",VLOOKUP($B29,Medewerker!$C$8:$Q$107,13,FALSE),0),0)</f>
        <v/>
      </c>
      <c r="AS29" s="889">
        <f>IFERROR(IF(B29="",1,IF(VLOOKUP($B29,Medewerker!$C$8:$Q$107,15,FALSE)="",VLOOKUP($B29,Medewerker!$C$8:$Q$107,14,FALSE),0)),0)</f>
        <v/>
      </c>
      <c r="AT29" s="30" t="n"/>
      <c r="AU29" s="30">
        <f>(COUNTIF(F29:AQ29,"afw"))/2</f>
        <v/>
      </c>
      <c r="AV29" s="111">
        <f>((38-(COUNTIF(F29:AQ29,"")))/2)-(COUNTIF(F29:AQ29,"p")/2)-(COUNTIF(F29:AQ29,CONCATENATE("x","*"))/4)</f>
        <v/>
      </c>
      <c r="AW29" s="73">
        <f>IF($B29="","",VLOOKUP($B29,Medewerker!$C$8:$E$107,3,FALSE))</f>
        <v/>
      </c>
      <c r="AX29" s="403">
        <f>IFERROR(VLOOKUP($B29,Planning!$B$6:$AG$105,32,FALSE)*24,"")</f>
        <v/>
      </c>
      <c r="AY29" s="563" t="inlineStr">
        <is>
          <t>lvv</t>
        </is>
      </c>
      <c r="AZ29" s="413" t="inlineStr">
        <is>
          <t>Neeverkoop Vers</t>
        </is>
      </c>
      <c r="BA29" s="111">
        <f>COUNTIF($F$13:$AQ$63,CONCATENATE(AY29,"*"))/2+COUNTIF($F$13:$AQ$63,CONCATENATE("x",AY29,"*"))/4</f>
        <v/>
      </c>
      <c r="BB29" s="838" t="n"/>
      <c r="BC29" s="31">
        <f>IF(Planning!B22="","",Planning!B22)</f>
        <v/>
      </c>
      <c r="BD29" s="105" t="n"/>
      <c r="BE29" s="885">
        <f>Planning!E22</f>
        <v/>
      </c>
      <c r="BF29" s="885">
        <f>Planning!F22</f>
        <v/>
      </c>
      <c r="BG29" s="886" t="n"/>
      <c r="BH29" s="105" t="n"/>
      <c r="BI29" s="885">
        <f>Planning!I22</f>
        <v/>
      </c>
      <c r="BJ29" s="885">
        <f>Planning!J22</f>
        <v/>
      </c>
      <c r="BK29" s="886" t="n"/>
      <c r="BL29" s="105" t="n"/>
      <c r="BM29" s="885">
        <f>Planning!M22</f>
        <v/>
      </c>
      <c r="BN29" s="885">
        <f>Planning!N22</f>
        <v/>
      </c>
      <c r="BO29" s="886" t="n"/>
      <c r="BP29" s="105" t="n"/>
      <c r="BQ29" s="885">
        <f>Planning!Q22</f>
        <v/>
      </c>
      <c r="BR29" s="885">
        <f>Planning!R22</f>
        <v/>
      </c>
      <c r="BS29" s="886" t="n"/>
      <c r="BT29" s="105" t="n"/>
      <c r="BU29" s="885">
        <f>Planning!U22</f>
        <v/>
      </c>
      <c r="BV29" s="885">
        <f>Planning!V22</f>
        <v/>
      </c>
      <c r="BW29" s="886" t="n"/>
      <c r="BX29" s="105" t="n"/>
      <c r="BY29" s="885">
        <f>Planning!Y22</f>
        <v/>
      </c>
      <c r="BZ29" s="885">
        <f>Planning!Z22</f>
        <v/>
      </c>
      <c r="CA29" s="886" t="n"/>
      <c r="CB29" s="105" t="n"/>
      <c r="CC29" s="885">
        <f>Planning!AC22</f>
        <v/>
      </c>
      <c r="CD29" s="885">
        <f>Planning!AD22</f>
        <v/>
      </c>
      <c r="CE29" s="886" t="n"/>
      <c r="CF29" s="105" t="n"/>
      <c r="CG29" s="887">
        <f>Planning!AG22</f>
        <v/>
      </c>
      <c r="CH29" s="105" t="n"/>
      <c r="CI29" s="252">
        <f>IF(BC29="","",Planning!AI22)</f>
        <v/>
      </c>
      <c r="CJ29" s="252">
        <f>IF(BC29="","",Planning!AJ22)</f>
        <v/>
      </c>
      <c r="CK29" s="252">
        <f>IF(BC29="","",Planning!AK22)</f>
        <v/>
      </c>
      <c r="CL29" s="252">
        <f>IF(BC29="","",Planning!AH22)</f>
        <v/>
      </c>
      <c r="CM29" s="21" t="n"/>
    </row>
    <row r="30" ht="12.75" customHeight="1">
      <c r="A30" s="161">
        <f>IFERROR(IF(VLOOKUP($B30,$BC$13:$CL$86,36,FALSE)&gt;5,0,IF(COUNTIF($B$13:$B$63,$B30)&gt;1,0,18)),18)+IF(B30&lt;&gt;0,0,IF(AV30&gt;0,0.000001,0))</f>
        <v/>
      </c>
      <c r="B30" s="129" t="n"/>
      <c r="C30" s="127">
        <f>IFERROR(IF($B30="","",VLOOKUP($B30,Medewerker!$C$8:$AI$107,33,FALSE)),"?")</f>
        <v/>
      </c>
      <c r="D30" s="890">
        <f t="array" ref="D30">IFERROR(IF(LEFT(INDEX($F30:$AQ30,1,SUM(SMALL(IF($F30:$AQ30&lt;&gt;"",COLUMN($F30:$AQ30)),1)-5)),1)="x",SUM(SMALL(IF($F30:$AQ30&lt;&gt;"",$F$11:$AQ$11),1)+"0:15"),SMALL(IF($F30:$AQ30&lt;&gt;"",$F$11:$AQ$11),1)),"")</f>
        <v/>
      </c>
      <c r="E30" s="890">
        <f t="array" ref="E30">IFERROR(IF(LEFT(INDEX($F30:$AQ30,1,SUM(LARGE(IF($F30:$AQ30&lt;&gt;"",COLUMN($F30:$AQ30)),1)-5)),1)="x",SUM(LARGE(IF($F30:$AQ30&lt;&gt;"",$F$11:$AQ$11+"0:30:00"),1)-"0:15"),LARGE(IF($F30:$AQ30&lt;&gt;"",$F$11:$AQ$11+"0:30:00"),1)),"")</f>
        <v/>
      </c>
      <c r="F30" s="40" t="n"/>
      <c r="G30" s="41" t="n"/>
      <c r="H30" s="43" t="n"/>
      <c r="I30" s="42" t="n"/>
      <c r="J30" s="43" t="n"/>
      <c r="K30" s="41" t="n"/>
      <c r="L30" s="40" t="n"/>
      <c r="M30" s="42" t="n"/>
      <c r="N30" s="43" t="n"/>
      <c r="O30" s="41" t="n"/>
      <c r="P30" s="40" t="n"/>
      <c r="Q30" s="42" t="n"/>
      <c r="R30" s="43" t="n"/>
      <c r="S30" s="41" t="n"/>
      <c r="T30" s="40" t="n"/>
      <c r="U30" s="42" t="n"/>
      <c r="V30" s="43" t="n"/>
      <c r="W30" s="41" t="n"/>
      <c r="X30" s="40" t="n"/>
      <c r="Y30" s="42" t="n"/>
      <c r="Z30" s="43" t="n"/>
      <c r="AA30" s="41" t="n"/>
      <c r="AB30" s="40" t="n"/>
      <c r="AC30" s="42" t="n"/>
      <c r="AD30" s="43" t="n"/>
      <c r="AE30" s="41" t="n"/>
      <c r="AF30" s="40" t="n"/>
      <c r="AG30" s="42" t="n"/>
      <c r="AH30" s="43" t="n"/>
      <c r="AI30" s="41" t="n"/>
      <c r="AJ30" s="40" t="n"/>
      <c r="AK30" s="42" t="n"/>
      <c r="AL30" s="43" t="n"/>
      <c r="AM30" s="41" t="n"/>
      <c r="AN30" s="645" t="n"/>
      <c r="AO30" s="42" t="n"/>
      <c r="AP30" s="40" t="n"/>
      <c r="AQ30" s="41" t="n"/>
      <c r="AR30" s="888">
        <f>IFERROR(IF(VLOOKUP($B30,Medewerker!$C$8:$Q$107,15,FALSE)="",VLOOKUP($B30,Medewerker!$C$8:$Q$107,13,FALSE),0),0)</f>
        <v/>
      </c>
      <c r="AS30" s="889">
        <f>IFERROR(IF(B30="",1,IF(VLOOKUP($B30,Medewerker!$C$8:$Q$107,15,FALSE)="",VLOOKUP($B30,Medewerker!$C$8:$Q$107,14,FALSE),0)),0)</f>
        <v/>
      </c>
      <c r="AT30" s="30" t="n"/>
      <c r="AU30" s="30">
        <f>(COUNTIF(F30:AQ30,"afw"))/2</f>
        <v/>
      </c>
      <c r="AV30" s="111">
        <f>((38-(COUNTIF(F30:AQ30,"")))/2)-(COUNTIF(F30:AQ30,"p")/2)-(COUNTIF(F30:AQ30,CONCATENATE("x","*"))/4)</f>
        <v/>
      </c>
      <c r="AW30" s="73">
        <f>IF($B30="","",VLOOKUP($B30,Medewerker!$C$8:$E$107,3,FALSE))</f>
        <v/>
      </c>
      <c r="AX30" s="403">
        <f>IFERROR(VLOOKUP($B30,Planning!$B$6:$AG$105,32,FALSE)*24,"")</f>
        <v/>
      </c>
      <c r="AY30" s="564" t="inlineStr">
        <is>
          <t>vcr</t>
        </is>
      </c>
      <c r="AZ30" s="561" t="inlineStr">
        <is>
          <t>Risicoartikelen tellen</t>
        </is>
      </c>
      <c r="BA30" s="140">
        <f>COUNTIF($F$13:$AQ$63,CONCATENATE(AY30,"*"))/2+COUNTIF($F$13:$AQ$63,CONCATENATE("x",AY30,"*"))/4</f>
        <v/>
      </c>
      <c r="BB30" s="838" t="n"/>
      <c r="BC30" s="31">
        <f>IF(Planning!B23="","",Planning!B23)</f>
        <v/>
      </c>
      <c r="BD30" s="105" t="n"/>
      <c r="BE30" s="885">
        <f>Planning!E23</f>
        <v/>
      </c>
      <c r="BF30" s="885">
        <f>Planning!F23</f>
        <v/>
      </c>
      <c r="BG30" s="886" t="n"/>
      <c r="BH30" s="105" t="n"/>
      <c r="BI30" s="885">
        <f>Planning!I23</f>
        <v/>
      </c>
      <c r="BJ30" s="885">
        <f>Planning!J23</f>
        <v/>
      </c>
      <c r="BK30" s="886" t="n"/>
      <c r="BL30" s="105" t="n"/>
      <c r="BM30" s="885">
        <f>Planning!M23</f>
        <v/>
      </c>
      <c r="BN30" s="885">
        <f>Planning!N23</f>
        <v/>
      </c>
      <c r="BO30" s="886" t="n"/>
      <c r="BP30" s="105" t="n"/>
      <c r="BQ30" s="885">
        <f>Planning!Q23</f>
        <v/>
      </c>
      <c r="BR30" s="885">
        <f>Planning!R23</f>
        <v/>
      </c>
      <c r="BS30" s="886" t="n"/>
      <c r="BT30" s="105" t="n"/>
      <c r="BU30" s="885">
        <f>Planning!U23</f>
        <v/>
      </c>
      <c r="BV30" s="885">
        <f>Planning!V23</f>
        <v/>
      </c>
      <c r="BW30" s="886" t="n"/>
      <c r="BX30" s="105" t="n"/>
      <c r="BY30" s="885">
        <f>Planning!Y23</f>
        <v/>
      </c>
      <c r="BZ30" s="885">
        <f>Planning!Z23</f>
        <v/>
      </c>
      <c r="CA30" s="886" t="n"/>
      <c r="CB30" s="105" t="n"/>
      <c r="CC30" s="885">
        <f>Planning!AC23</f>
        <v/>
      </c>
      <c r="CD30" s="885">
        <f>Planning!AD23</f>
        <v/>
      </c>
      <c r="CE30" s="886" t="n"/>
      <c r="CF30" s="105" t="n"/>
      <c r="CG30" s="887">
        <f>Planning!AG23</f>
        <v/>
      </c>
      <c r="CH30" s="105" t="n"/>
      <c r="CI30" s="252">
        <f>IF(BC30="","",Planning!AI23)</f>
        <v/>
      </c>
      <c r="CJ30" s="252">
        <f>IF(BC30="","",Planning!AJ23)</f>
        <v/>
      </c>
      <c r="CK30" s="252">
        <f>IF(BC30="","",Planning!AK23)</f>
        <v/>
      </c>
      <c r="CL30" s="252">
        <f>IF(BC30="","",Planning!AH23)</f>
        <v/>
      </c>
      <c r="CM30" s="21" t="n"/>
    </row>
    <row r="31" ht="12.75" customHeight="1">
      <c r="A31" s="161">
        <f>IFERROR(IF(VLOOKUP($B31,$BC$13:$CL$86,36,FALSE)&gt;5,0,IF(COUNTIF($B$13:$B$63,$B31)&gt;1,0,19)),19)+IF(B31&lt;&gt;0,0,IF(AV31&gt;0,0.000001,0))</f>
        <v/>
      </c>
      <c r="B31" s="129" t="inlineStr">
        <is>
          <t>Rachid Ahrass</t>
        </is>
      </c>
      <c r="C31" s="127">
        <f>IFERROR(IF($B31="","",VLOOKUP($B31,Medewerker!$C$8:$AI$107,33,FALSE)),"?")</f>
        <v/>
      </c>
      <c r="D31" s="890">
        <f t="array" ref="D31">IFERROR(IF(LEFT(INDEX($F31:$AQ31,1,SUM(SMALL(IF($F31:$AQ31&lt;&gt;"",COLUMN($F31:$AQ31)),1)-5)),1)="x",SUM(SMALL(IF($F31:$AQ31&lt;&gt;"",$F$11:$AQ$11),1)+"0:15"),SMALL(IF($F31:$AQ31&lt;&gt;"",$F$11:$AQ$11),1)),"")</f>
        <v/>
      </c>
      <c r="E31" s="890">
        <f t="array" ref="E31">IFERROR(IF(LEFT(INDEX($F31:$AQ31,1,SUM(LARGE(IF($F31:$AQ31&lt;&gt;"",COLUMN($F31:$AQ31)),1)-5)),1)="x",SUM(LARGE(IF($F31:$AQ31&lt;&gt;"",$F$11:$AQ$11+"0:30:00"),1)-"0:15"),LARGE(IF($F31:$AQ31&lt;&gt;"",$F$11:$AQ$11+"0:30:00"),1)),"")</f>
        <v/>
      </c>
      <c r="F31" s="40" t="n"/>
      <c r="G31" s="41" t="n"/>
      <c r="H31" s="43" t="n"/>
      <c r="I31" s="42" t="n"/>
      <c r="J31" s="43" t="n"/>
      <c r="K31" s="41" t="n"/>
      <c r="L31" s="40" t="n"/>
      <c r="M31" s="42" t="n"/>
      <c r="N31" s="43" t="n"/>
      <c r="O31" s="41" t="n"/>
      <c r="P31" s="40" t="n"/>
      <c r="Q31" s="42" t="n"/>
      <c r="R31" s="43" t="n"/>
      <c r="S31" s="41" t="n"/>
      <c r="T31" s="40" t="n"/>
      <c r="U31" s="42" t="n"/>
      <c r="V31" s="43" t="n"/>
      <c r="W31" s="41" t="inlineStr">
        <is>
          <t>nh</t>
        </is>
      </c>
      <c r="X31" s="40" t="inlineStr">
        <is>
          <t>nh</t>
        </is>
      </c>
      <c r="Y31" s="42" t="inlineStr">
        <is>
          <t>nh</t>
        </is>
      </c>
      <c r="Z31" s="43" t="inlineStr">
        <is>
          <t>nh</t>
        </is>
      </c>
      <c r="AA31" s="41" t="inlineStr">
        <is>
          <t>nh</t>
        </is>
      </c>
      <c r="AB31" s="40" t="inlineStr">
        <is>
          <t>nh</t>
        </is>
      </c>
      <c r="AC31" s="42" t="inlineStr">
        <is>
          <t>nh</t>
        </is>
      </c>
      <c r="AD31" s="43" t="inlineStr">
        <is>
          <t>nh</t>
        </is>
      </c>
      <c r="AE31" s="41" t="inlineStr">
        <is>
          <t>nh</t>
        </is>
      </c>
      <c r="AF31" s="40" t="inlineStr">
        <is>
          <t>nh</t>
        </is>
      </c>
      <c r="AG31" s="42" t="inlineStr">
        <is>
          <t>p</t>
        </is>
      </c>
      <c r="AH31" s="43" t="inlineStr">
        <is>
          <t>ma</t>
        </is>
      </c>
      <c r="AI31" s="41" t="inlineStr">
        <is>
          <t>ma</t>
        </is>
      </c>
      <c r="AJ31" s="40" t="inlineStr">
        <is>
          <t>l</t>
        </is>
      </c>
      <c r="AK31" s="42" t="inlineStr">
        <is>
          <t>sp</t>
        </is>
      </c>
      <c r="AL31" s="43" t="n"/>
      <c r="AM31" s="41" t="n"/>
      <c r="AN31" s="645" t="n"/>
      <c r="AO31" s="42" t="n"/>
      <c r="AP31" s="40" t="n"/>
      <c r="AQ31" s="41" t="n"/>
      <c r="AR31" s="888">
        <f>IFERROR(IF(VLOOKUP($B31,Medewerker!$C$8:$Q$107,15,FALSE)="",VLOOKUP($B31,Medewerker!$C$8:$Q$107,13,FALSE),0),0)</f>
        <v/>
      </c>
      <c r="AS31" s="889">
        <f>IFERROR(IF(B31="",1,IF(VLOOKUP($B31,Medewerker!$C$8:$Q$107,15,FALSE)="",VLOOKUP($B31,Medewerker!$C$8:$Q$107,14,FALSE),0)),0)</f>
        <v/>
      </c>
      <c r="AT31" s="30" t="n"/>
      <c r="AU31" s="30">
        <f>(COUNTIF(F31:AQ31,"afw"))/2</f>
        <v/>
      </c>
      <c r="AV31" s="111">
        <f>((38-(COUNTIF(F31:AQ31,"")))/2)-(COUNTIF(F31:AQ31,"p")/2)-(COUNTIF(F31:AQ31,CONCATENATE("x","*"))/4)</f>
        <v/>
      </c>
      <c r="AW31" s="73">
        <f>IF($B31="","",VLOOKUP($B31,Medewerker!$C$8:$E$107,3,FALSE))</f>
        <v/>
      </c>
      <c r="AX31" s="403">
        <f>IFERROR(VLOOKUP($B31,Planning!$B$6:$AG$105,32,FALSE)*24,"")</f>
        <v/>
      </c>
      <c r="AY31" s="882" t="inlineStr">
        <is>
          <t>Magazijn</t>
        </is>
      </c>
      <c r="AZ31" s="883" t="n"/>
      <c r="BA31" s="884" t="n"/>
      <c r="BB31" s="838" t="n"/>
      <c r="BC31" s="31">
        <f>IF(Planning!B24="","",Planning!B24)</f>
        <v/>
      </c>
      <c r="BD31" s="105" t="n"/>
      <c r="BE31" s="885">
        <f>Planning!E24</f>
        <v/>
      </c>
      <c r="BF31" s="885">
        <f>Planning!F24</f>
        <v/>
      </c>
      <c r="BG31" s="886" t="n"/>
      <c r="BH31" s="105" t="n"/>
      <c r="BI31" s="885">
        <f>Planning!I24</f>
        <v/>
      </c>
      <c r="BJ31" s="885">
        <f>Planning!J24</f>
        <v/>
      </c>
      <c r="BK31" s="886" t="n"/>
      <c r="BL31" s="105" t="n"/>
      <c r="BM31" s="885">
        <f>Planning!M24</f>
        <v/>
      </c>
      <c r="BN31" s="885">
        <f>Planning!N24</f>
        <v/>
      </c>
      <c r="BO31" s="886" t="n"/>
      <c r="BP31" s="105" t="n"/>
      <c r="BQ31" s="885">
        <f>Planning!Q24</f>
        <v/>
      </c>
      <c r="BR31" s="885">
        <f>Planning!R24</f>
        <v/>
      </c>
      <c r="BS31" s="886" t="n"/>
      <c r="BT31" s="105" t="n"/>
      <c r="BU31" s="885">
        <f>Planning!U24</f>
        <v/>
      </c>
      <c r="BV31" s="885">
        <f>Planning!V24</f>
        <v/>
      </c>
      <c r="BW31" s="886" t="n"/>
      <c r="BX31" s="105" t="n"/>
      <c r="BY31" s="885">
        <f>Planning!Y24</f>
        <v/>
      </c>
      <c r="BZ31" s="885">
        <f>Planning!Z24</f>
        <v/>
      </c>
      <c r="CA31" s="886" t="n"/>
      <c r="CB31" s="105" t="n"/>
      <c r="CC31" s="885">
        <f>Planning!AC24</f>
        <v/>
      </c>
      <c r="CD31" s="885">
        <f>Planning!AD24</f>
        <v/>
      </c>
      <c r="CE31" s="886" t="n"/>
      <c r="CF31" s="105" t="n"/>
      <c r="CG31" s="887">
        <f>Planning!AG24</f>
        <v/>
      </c>
      <c r="CH31" s="105" t="n"/>
      <c r="CI31" s="252">
        <f>IF(BC31="","",Planning!AI24)</f>
        <v/>
      </c>
      <c r="CJ31" s="252">
        <f>IF(BC31="","",Planning!AJ24)</f>
        <v/>
      </c>
      <c r="CK31" s="252">
        <f>IF(BC31="","",Planning!AK24)</f>
        <v/>
      </c>
      <c r="CL31" s="252">
        <f>IF(BC31="","",Planning!AH24)</f>
        <v/>
      </c>
      <c r="CM31" s="21" t="n"/>
    </row>
    <row r="32" ht="12.75" customHeight="1">
      <c r="A32" s="161">
        <f>IFERROR(IF(VLOOKUP($B32,$BC$13:$CL$86,36,FALSE)&gt;5,0,IF(COUNTIF($B$13:$B$63,$B32)&gt;1,0,20)),20)+IF(B32&lt;&gt;0,0,IF(AV32&gt;0,0.000001,0))</f>
        <v/>
      </c>
      <c r="B32" s="129" t="n"/>
      <c r="C32" s="48">
        <f>IFERROR(IF($B32="","",VLOOKUP($B32,Medewerker!$C$8:$AI$107,33,FALSE)),"?")</f>
        <v/>
      </c>
      <c r="D32" s="879">
        <f t="array" ref="D32">IFERROR(IF(LEFT(INDEX($F32:$AQ32,1,SUM(SMALL(IF($F32:$AQ32&lt;&gt;"",COLUMN($F32:$AQ32)),1)-5)),1)="x",SUM(SMALL(IF($F32:$AQ32&lt;&gt;"",$F$11:$AQ$11),1)+"0:15"),SMALL(IF($F32:$AQ32&lt;&gt;"",$F$11:$AQ$11),1)),"")</f>
        <v/>
      </c>
      <c r="E32" s="879">
        <f t="array" ref="E32">IFERROR(IF(LEFT(INDEX($F32:$AQ32,1,SUM(LARGE(IF($F32:$AQ32&lt;&gt;"",COLUMN($F32:$AQ32)),1)-5)),1)="x",SUM(LARGE(IF($F32:$AQ32&lt;&gt;"",$F$11:$AQ$11+"0:30:00"),1)-"0:15"),LARGE(IF($F32:$AQ32&lt;&gt;"",$F$11:$AQ$11+"0:30:00"),1)),"")</f>
        <v/>
      </c>
      <c r="F32" s="40" t="n"/>
      <c r="G32" s="41" t="n"/>
      <c r="H32" s="40" t="n"/>
      <c r="I32" s="41" t="n"/>
      <c r="J32" s="40" t="n"/>
      <c r="K32" s="42" t="n"/>
      <c r="L32" s="43" t="n"/>
      <c r="M32" s="41" t="n"/>
      <c r="N32" s="40" t="n"/>
      <c r="O32" s="42" t="n"/>
      <c r="P32" s="43" t="n"/>
      <c r="Q32" s="41" t="n"/>
      <c r="R32" s="40" t="n"/>
      <c r="S32" s="42" t="n"/>
      <c r="T32" s="43" t="n"/>
      <c r="U32" s="41" t="n"/>
      <c r="V32" s="40" t="n"/>
      <c r="W32" s="42" t="n"/>
      <c r="X32" s="43" t="n"/>
      <c r="Y32" s="41" t="n"/>
      <c r="Z32" s="40" t="n"/>
      <c r="AA32" s="42" t="n"/>
      <c r="AB32" s="43" t="n"/>
      <c r="AC32" s="41" t="n"/>
      <c r="AD32" s="40" t="n"/>
      <c r="AE32" s="42" t="n"/>
      <c r="AF32" s="43" t="n"/>
      <c r="AG32" s="41" t="n"/>
      <c r="AH32" s="40" t="n"/>
      <c r="AI32" s="42" t="n"/>
      <c r="AJ32" s="43" t="n"/>
      <c r="AK32" s="41" t="n"/>
      <c r="AL32" s="40" t="n"/>
      <c r="AM32" s="41" t="n"/>
      <c r="AN32" s="645" t="n"/>
      <c r="AO32" s="42" t="n"/>
      <c r="AP32" s="40" t="n"/>
      <c r="AQ32" s="41" t="n"/>
      <c r="AR32" s="888">
        <f>IFERROR(IF(VLOOKUP($B32,Medewerker!$C$8:$Q$107,15,FALSE)="",VLOOKUP($B32,Medewerker!$C$8:$Q$107,13,FALSE),0),0)</f>
        <v/>
      </c>
      <c r="AS32" s="889">
        <f>IFERROR(IF(B32="",1,IF(VLOOKUP($B32,Medewerker!$C$8:$Q$107,15,FALSE)="",VLOOKUP($B32,Medewerker!$C$8:$Q$107,14,FALSE),0)),0)</f>
        <v/>
      </c>
      <c r="AT32" s="30" t="n"/>
      <c r="AU32" s="30">
        <f>(COUNTIF(F32:AQ32,"afw"))/2</f>
        <v/>
      </c>
      <c r="AV32" s="111">
        <f>((38-(COUNTIF(F32:AQ32,"")))/2)-(COUNTIF(F32:AQ32,"p")/2)-(COUNTIF(F32:AQ32,CONCATENATE("x","*"))/4)</f>
        <v/>
      </c>
      <c r="AW32" s="73">
        <f>IF($B32="","",VLOOKUP($B32,Medewerker!$C$8:$E$107,3,FALSE))</f>
        <v/>
      </c>
      <c r="AX32" s="403">
        <f>IFERROR(VLOOKUP($B32,Planning!$B$6:$AG$105,32,FALSE)*24,"")</f>
        <v/>
      </c>
      <c r="AY32" s="407" t="inlineStr">
        <is>
          <t>l</t>
        </is>
      </c>
      <c r="AZ32" s="166" t="inlineStr">
        <is>
          <t>Lossen/Retouren</t>
        </is>
      </c>
      <c r="BA32" s="111">
        <f>COUNTIF($F$13:$AQ$63,CONCATENATE(AY32,"*"))/2+COUNTIF($F$13:$AQ$63,CONCATENATE("x",AY32,"*"))/4-SUM(BA27:BA29)</f>
        <v/>
      </c>
      <c r="BB32" s="838" t="n"/>
      <c r="BC32" s="31">
        <f>IF(Planning!B25="","",Planning!B25)</f>
        <v/>
      </c>
      <c r="BD32" s="105" t="n"/>
      <c r="BE32" s="885">
        <f>Planning!E25</f>
        <v/>
      </c>
      <c r="BF32" s="885">
        <f>Planning!F25</f>
        <v/>
      </c>
      <c r="BG32" s="886" t="n"/>
      <c r="BH32" s="105" t="n"/>
      <c r="BI32" s="885">
        <f>Planning!I25</f>
        <v/>
      </c>
      <c r="BJ32" s="885">
        <f>Planning!J25</f>
        <v/>
      </c>
      <c r="BK32" s="886" t="n"/>
      <c r="BL32" s="105" t="n"/>
      <c r="BM32" s="885">
        <f>Planning!M25</f>
        <v/>
      </c>
      <c r="BN32" s="885">
        <f>Planning!N25</f>
        <v/>
      </c>
      <c r="BO32" s="886" t="n"/>
      <c r="BP32" s="105" t="n"/>
      <c r="BQ32" s="885">
        <f>Planning!Q25</f>
        <v/>
      </c>
      <c r="BR32" s="885">
        <f>Planning!R25</f>
        <v/>
      </c>
      <c r="BS32" s="886" t="n"/>
      <c r="BT32" s="105" t="n"/>
      <c r="BU32" s="885">
        <f>Planning!U25</f>
        <v/>
      </c>
      <c r="BV32" s="885">
        <f>Planning!V25</f>
        <v/>
      </c>
      <c r="BW32" s="886" t="n"/>
      <c r="BX32" s="105" t="n"/>
      <c r="BY32" s="885">
        <f>Planning!Y25</f>
        <v/>
      </c>
      <c r="BZ32" s="885">
        <f>Planning!Z25</f>
        <v/>
      </c>
      <c r="CA32" s="886" t="n"/>
      <c r="CB32" s="105" t="n"/>
      <c r="CC32" s="885">
        <f>Planning!AC25</f>
        <v/>
      </c>
      <c r="CD32" s="885">
        <f>Planning!AD25</f>
        <v/>
      </c>
      <c r="CE32" s="886" t="n"/>
      <c r="CF32" s="105" t="n"/>
      <c r="CG32" s="887">
        <f>Planning!AG25</f>
        <v/>
      </c>
      <c r="CH32" s="105" t="n"/>
      <c r="CI32" s="252">
        <f>IF(BC32="","",Planning!AI25)</f>
        <v/>
      </c>
      <c r="CJ32" s="252">
        <f>IF(BC32="","",Planning!AJ25)</f>
        <v/>
      </c>
      <c r="CK32" s="252">
        <f>IF(BC32="","",Planning!AK25)</f>
        <v/>
      </c>
      <c r="CL32" s="252">
        <f>IF(BC32="","",Planning!AH25)</f>
        <v/>
      </c>
      <c r="CM32" s="21" t="n"/>
    </row>
    <row r="33" ht="12.75" customHeight="1">
      <c r="A33" s="161">
        <f>IFERROR(IF(VLOOKUP($B33,$BC$13:$CL$86,36,FALSE)&gt;5,0,IF(COUNTIF($B$13:$B$63,$B33)&gt;1,0,21)),21)+IF(B33&lt;&gt;0,0,IF(AV33&gt;0,0.000001,0))</f>
        <v/>
      </c>
      <c r="B33" s="129" t="inlineStr">
        <is>
          <t>Shana van Hooydonck</t>
        </is>
      </c>
      <c r="C33" s="48">
        <f>IFERROR(IF($B33="","",VLOOKUP($B33,Medewerker!$C$8:$AI$107,33,FALSE)),"?")</f>
        <v/>
      </c>
      <c r="D33" s="879">
        <f t="array" ref="D33">IFERROR(IF(LEFT(INDEX($F33:$AQ33,1,SUM(SMALL(IF($F33:$AQ33&lt;&gt;"",COLUMN($F33:$AQ33)),1)-5)),1)="x",SUM(SMALL(IF($F33:$AQ33&lt;&gt;"",$F$11:$AQ$11),1)+"0:15"),SMALL(IF($F33:$AQ33&lt;&gt;"",$F$11:$AQ$11),1)),"")</f>
        <v/>
      </c>
      <c r="E33" s="879">
        <f t="array" ref="E33">IFERROR(IF(LEFT(INDEX($F33:$AQ33,1,SUM(LARGE(IF($F33:$AQ33&lt;&gt;"",COLUMN($F33:$AQ33)),1)-5)),1)="x",SUM(LARGE(IF($F33:$AQ33&lt;&gt;"",$F$11:$AQ$11+"0:30:00"),1)-"0:15"),LARGE(IF($F33:$AQ33&lt;&gt;"",$F$11:$AQ$11+"0:30:00"),1)),"")</f>
        <v/>
      </c>
      <c r="F33" s="40" t="n"/>
      <c r="G33" s="41" t="n"/>
      <c r="H33" s="40" t="n"/>
      <c r="I33" s="41" t="n"/>
      <c r="J33" s="43" t="inlineStr">
        <is>
          <t>vv</t>
        </is>
      </c>
      <c r="K33" s="41" t="inlineStr">
        <is>
          <t>vv</t>
        </is>
      </c>
      <c r="L33" s="40" t="inlineStr">
        <is>
          <t>vv</t>
        </is>
      </c>
      <c r="M33" s="42" t="inlineStr">
        <is>
          <t>vv</t>
        </is>
      </c>
      <c r="N33" s="43" t="inlineStr">
        <is>
          <t>vv</t>
        </is>
      </c>
      <c r="O33" s="41" t="inlineStr">
        <is>
          <t>vv</t>
        </is>
      </c>
      <c r="P33" s="40" t="inlineStr">
        <is>
          <t>vv</t>
        </is>
      </c>
      <c r="Q33" s="42" t="inlineStr">
        <is>
          <t>p</t>
        </is>
      </c>
      <c r="R33" s="43" t="inlineStr">
        <is>
          <t>vv</t>
        </is>
      </c>
      <c r="S33" s="41" t="inlineStr">
        <is>
          <t>vv</t>
        </is>
      </c>
      <c r="T33" s="40" t="inlineStr">
        <is>
          <t>vv</t>
        </is>
      </c>
      <c r="U33" s="42" t="inlineStr">
        <is>
          <t>vv</t>
        </is>
      </c>
      <c r="V33" s="43" t="inlineStr">
        <is>
          <t>vv</t>
        </is>
      </c>
      <c r="W33" s="41" t="n"/>
      <c r="X33" s="40" t="n"/>
      <c r="Y33" s="42" t="n"/>
      <c r="Z33" s="43" t="n"/>
      <c r="AA33" s="41" t="n"/>
      <c r="AB33" s="40" t="n"/>
      <c r="AC33" s="42" t="n"/>
      <c r="AD33" s="43" t="n"/>
      <c r="AE33" s="41" t="n"/>
      <c r="AF33" s="40" t="n"/>
      <c r="AG33" s="42" t="n"/>
      <c r="AH33" s="43" t="n"/>
      <c r="AI33" s="41" t="n"/>
      <c r="AJ33" s="40" t="n"/>
      <c r="AK33" s="42" t="n"/>
      <c r="AL33" s="43" t="n"/>
      <c r="AM33" s="41" t="n"/>
      <c r="AN33" s="645" t="n"/>
      <c r="AO33" s="42" t="n"/>
      <c r="AP33" s="40" t="n"/>
      <c r="AQ33" s="41" t="n"/>
      <c r="AR33" s="888">
        <f>IFERROR(IF(VLOOKUP($B33,Medewerker!$C$8:$Q$107,15,FALSE)="",VLOOKUP($B33,Medewerker!$C$8:$Q$107,13,FALSE),0),0)</f>
        <v/>
      </c>
      <c r="AS33" s="889">
        <f>IFERROR(IF(B33="",1,IF(VLOOKUP($B33,Medewerker!$C$8:$Q$107,15,FALSE)="",VLOOKUP($B33,Medewerker!$C$8:$Q$107,14,FALSE),0)),0)</f>
        <v/>
      </c>
      <c r="AT33" s="30" t="n"/>
      <c r="AU33" s="30">
        <f>(COUNTIF(F33:AQ33,"afw"))/2</f>
        <v/>
      </c>
      <c r="AV33" s="111">
        <f>((38-(COUNTIF(F33:AQ33,"")))/2)-(COUNTIF(F33:AQ33,"p")/2)-(COUNTIF(F33:AQ33,CONCATENATE("x","*"))/4)</f>
        <v/>
      </c>
      <c r="AW33" s="73">
        <f>IF($B33="","",VLOOKUP($B33,Medewerker!$C$8:$E$107,3,FALSE))</f>
        <v/>
      </c>
      <c r="AX33" s="403">
        <f>IFERROR(VLOOKUP($B33,Planning!$B$6:$AG$105,32,FALSE)*24,"")</f>
        <v/>
      </c>
      <c r="AY33" s="407" t="inlineStr">
        <is>
          <t>ma</t>
        </is>
      </c>
      <c r="AZ33" s="166" t="inlineStr">
        <is>
          <t>Magazijn</t>
        </is>
      </c>
      <c r="BA33" s="111">
        <f>COUNTIF($F$13:$AQ$63,CONCATENATE(AY33,"*"))/2+COUNTIF($F$13:$AQ$63,CONCATENATE("x",AY33,"*"))/4</f>
        <v/>
      </c>
      <c r="BB33" s="838" t="n"/>
      <c r="BC33" s="31">
        <f>IF(Planning!B26="","",Planning!B26)</f>
        <v/>
      </c>
      <c r="BD33" s="105" t="n"/>
      <c r="BE33" s="885">
        <f>Planning!E26</f>
        <v/>
      </c>
      <c r="BF33" s="885">
        <f>Planning!F26</f>
        <v/>
      </c>
      <c r="BG33" s="886" t="n"/>
      <c r="BH33" s="105" t="n"/>
      <c r="BI33" s="885">
        <f>Planning!I26</f>
        <v/>
      </c>
      <c r="BJ33" s="885">
        <f>Planning!J26</f>
        <v/>
      </c>
      <c r="BK33" s="886" t="n"/>
      <c r="BL33" s="105" t="n"/>
      <c r="BM33" s="885">
        <f>Planning!M26</f>
        <v/>
      </c>
      <c r="BN33" s="885">
        <f>Planning!N26</f>
        <v/>
      </c>
      <c r="BO33" s="886" t="n"/>
      <c r="BP33" s="105" t="n"/>
      <c r="BQ33" s="885">
        <f>Planning!Q26</f>
        <v/>
      </c>
      <c r="BR33" s="885">
        <f>Planning!R26</f>
        <v/>
      </c>
      <c r="BS33" s="886" t="n"/>
      <c r="BT33" s="105" t="n"/>
      <c r="BU33" s="885">
        <f>Planning!U26</f>
        <v/>
      </c>
      <c r="BV33" s="885">
        <f>Planning!V26</f>
        <v/>
      </c>
      <c r="BW33" s="886" t="n"/>
      <c r="BX33" s="105" t="n"/>
      <c r="BY33" s="885">
        <f>Planning!Y26</f>
        <v/>
      </c>
      <c r="BZ33" s="885">
        <f>Planning!Z26</f>
        <v/>
      </c>
      <c r="CA33" s="886" t="n"/>
      <c r="CB33" s="105" t="n"/>
      <c r="CC33" s="885">
        <f>Planning!AC26</f>
        <v/>
      </c>
      <c r="CD33" s="885">
        <f>Planning!AD26</f>
        <v/>
      </c>
      <c r="CE33" s="886" t="n"/>
      <c r="CF33" s="105" t="n"/>
      <c r="CG33" s="887">
        <f>Planning!AG26</f>
        <v/>
      </c>
      <c r="CH33" s="105" t="n"/>
      <c r="CI33" s="252">
        <f>IF(BC33="","",Planning!AI26)</f>
        <v/>
      </c>
      <c r="CJ33" s="252">
        <f>IF(BC33="","",Planning!AJ26)</f>
        <v/>
      </c>
      <c r="CK33" s="252">
        <f>IF(BC33="","",Planning!AK26)</f>
        <v/>
      </c>
      <c r="CL33" s="252">
        <f>IF(BC33="","",Planning!AH26)</f>
        <v/>
      </c>
      <c r="CM33" s="21" t="n"/>
    </row>
    <row r="34" ht="12.75" customHeight="1">
      <c r="A34" s="161">
        <f>IFERROR(IF(VLOOKUP($B34,$BC$13:$CL$86,36,FALSE)&gt;5,0,IF(COUNTIF($B$13:$B$63,$B34)&gt;1,0,22)),22)+IF(B34&lt;&gt;0,0,IF(AV34&gt;0,0.000001,0))</f>
        <v/>
      </c>
      <c r="B34" s="129" t="n"/>
      <c r="C34" s="48">
        <f>IFERROR(IF($B34="","",VLOOKUP($B34,Medewerker!$C$8:$AI$107,33,FALSE)),"?")</f>
        <v/>
      </c>
      <c r="D34" s="879">
        <f t="array" ref="D34">IFERROR(IF(LEFT(INDEX($F34:$AQ34,1,SUM(SMALL(IF($F34:$AQ34&lt;&gt;"",COLUMN($F34:$AQ34)),1)-5)),1)="x",SUM(SMALL(IF($F34:$AQ34&lt;&gt;"",$F$11:$AQ$11),1)+"0:15"),SMALL(IF($F34:$AQ34&lt;&gt;"",$F$11:$AQ$11),1)),"")</f>
        <v/>
      </c>
      <c r="E34" s="879">
        <f t="array" ref="E34">IFERROR(IF(LEFT(INDEX($F34:$AQ34,1,SUM(LARGE(IF($F34:$AQ34&lt;&gt;"",COLUMN($F34:$AQ34)),1)-5)),1)="x",SUM(LARGE(IF($F34:$AQ34&lt;&gt;"",$F$11:$AQ$11+"0:30:00"),1)-"0:15"),LARGE(IF($F34:$AQ34&lt;&gt;"",$F$11:$AQ$11+"0:30:00"),1)),"")</f>
        <v/>
      </c>
      <c r="F34" s="40" t="n"/>
      <c r="G34" s="41" t="n"/>
      <c r="H34" s="40" t="n"/>
      <c r="I34" s="41" t="n"/>
      <c r="J34" s="43" t="n"/>
      <c r="K34" s="41" t="n"/>
      <c r="L34" s="40" t="n"/>
      <c r="M34" s="42" t="n"/>
      <c r="N34" s="43" t="n"/>
      <c r="O34" s="41" t="n"/>
      <c r="P34" s="40" t="n"/>
      <c r="Q34" s="42" t="n"/>
      <c r="R34" s="43" t="n"/>
      <c r="S34" s="41" t="n"/>
      <c r="T34" s="40" t="n"/>
      <c r="U34" s="42" t="n"/>
      <c r="V34" s="43" t="n"/>
      <c r="W34" s="41" t="n"/>
      <c r="X34" s="40" t="n"/>
      <c r="Y34" s="42" t="n"/>
      <c r="Z34" s="43" t="n"/>
      <c r="AA34" s="41" t="n"/>
      <c r="AB34" s="40" t="n"/>
      <c r="AC34" s="42" t="n"/>
      <c r="AD34" s="43" t="n"/>
      <c r="AE34" s="41" t="n"/>
      <c r="AF34" s="40" t="n"/>
      <c r="AG34" s="42" t="n"/>
      <c r="AH34" s="43" t="n"/>
      <c r="AI34" s="41" t="n"/>
      <c r="AJ34" s="40" t="n"/>
      <c r="AK34" s="42" t="n"/>
      <c r="AL34" s="43" t="n"/>
      <c r="AM34" s="41" t="n"/>
      <c r="AN34" s="645" t="n"/>
      <c r="AO34" s="42" t="n"/>
      <c r="AP34" s="40" t="n"/>
      <c r="AQ34" s="41" t="n"/>
      <c r="AR34" s="888">
        <f>IFERROR(IF(VLOOKUP($B34,Medewerker!$C$8:$Q$107,15,FALSE)="",VLOOKUP($B34,Medewerker!$C$8:$Q$107,13,FALSE),0),0)</f>
        <v/>
      </c>
      <c r="AS34" s="889">
        <f>IFERROR(IF(B34="",1,IF(VLOOKUP($B34,Medewerker!$C$8:$Q$107,15,FALSE)="",VLOOKUP($B34,Medewerker!$C$8:$Q$107,14,FALSE),0)),0)</f>
        <v/>
      </c>
      <c r="AT34" s="30" t="n"/>
      <c r="AU34" s="30">
        <f>(COUNTIF(F34:AQ34,"afw"))/2</f>
        <v/>
      </c>
      <c r="AV34" s="111">
        <f>((38-(COUNTIF(F34:AQ34,"")))/2)-(COUNTIF(F34:AQ34,"p")/2)-(COUNTIF(F34:AQ34,CONCATENATE("x","*"))/4)</f>
        <v/>
      </c>
      <c r="AW34" s="73">
        <f>IF($B34="","",VLOOKUP($B34,Medewerker!$C$8:$E$107,3,FALSE))</f>
        <v/>
      </c>
      <c r="AX34" s="403">
        <f>IFERROR(VLOOKUP($B34,Planning!$B$6:$AG$105,32,FALSE)*24,"")</f>
        <v/>
      </c>
      <c r="AY34" s="407" t="inlineStr">
        <is>
          <t>sp</t>
        </is>
      </c>
      <c r="AZ34" s="166" t="inlineStr">
        <is>
          <t>Splitsen</t>
        </is>
      </c>
      <c r="BA34" s="111">
        <f>COUNTIF($F$13:$AQ$63,CONCATENATE(AY34,"*"))/2+COUNTIF($F$13:$AQ$63,CONCATENATE("x",AY34,"*"))/4</f>
        <v/>
      </c>
      <c r="BB34" s="838" t="n"/>
      <c r="BC34" s="31">
        <f>IF(Planning!B27="","",Planning!B27)</f>
        <v/>
      </c>
      <c r="BD34" s="105" t="n"/>
      <c r="BE34" s="885">
        <f>Planning!E27</f>
        <v/>
      </c>
      <c r="BF34" s="885">
        <f>Planning!F27</f>
        <v/>
      </c>
      <c r="BG34" s="886" t="n"/>
      <c r="BH34" s="105" t="n"/>
      <c r="BI34" s="885">
        <f>Planning!I27</f>
        <v/>
      </c>
      <c r="BJ34" s="885">
        <f>Planning!J27</f>
        <v/>
      </c>
      <c r="BK34" s="886" t="n"/>
      <c r="BL34" s="105" t="n"/>
      <c r="BM34" s="885">
        <f>Planning!M27</f>
        <v/>
      </c>
      <c r="BN34" s="885">
        <f>Planning!N27</f>
        <v/>
      </c>
      <c r="BO34" s="886" t="n"/>
      <c r="BP34" s="105" t="n"/>
      <c r="BQ34" s="885">
        <f>Planning!Q27</f>
        <v/>
      </c>
      <c r="BR34" s="885">
        <f>Planning!R27</f>
        <v/>
      </c>
      <c r="BS34" s="886" t="n"/>
      <c r="BT34" s="105" t="n"/>
      <c r="BU34" s="885">
        <f>Planning!U27</f>
        <v/>
      </c>
      <c r="BV34" s="885">
        <f>Planning!V27</f>
        <v/>
      </c>
      <c r="BW34" s="886" t="n"/>
      <c r="BX34" s="105" t="n"/>
      <c r="BY34" s="885">
        <f>Planning!Y27</f>
        <v/>
      </c>
      <c r="BZ34" s="885">
        <f>Planning!Z27</f>
        <v/>
      </c>
      <c r="CA34" s="886" t="n"/>
      <c r="CB34" s="105" t="n"/>
      <c r="CC34" s="885">
        <f>Planning!AC27</f>
        <v/>
      </c>
      <c r="CD34" s="885">
        <f>Planning!AD27</f>
        <v/>
      </c>
      <c r="CE34" s="886" t="n"/>
      <c r="CF34" s="105" t="n"/>
      <c r="CG34" s="887">
        <f>Planning!AG27</f>
        <v/>
      </c>
      <c r="CH34" s="105" t="n"/>
      <c r="CI34" s="252">
        <f>IF(BC34="","",Planning!AI27)</f>
        <v/>
      </c>
      <c r="CJ34" s="252">
        <f>IF(BC34="","",Planning!AJ27)</f>
        <v/>
      </c>
      <c r="CK34" s="252">
        <f>IF(BC34="","",Planning!AK27)</f>
        <v/>
      </c>
      <c r="CL34" s="252">
        <f>IF(BC34="","",Planning!AH27)</f>
        <v/>
      </c>
      <c r="CM34" s="21" t="n"/>
    </row>
    <row r="35" ht="12.75" customHeight="1">
      <c r="A35" s="161">
        <f>IFERROR(IF(VLOOKUP($B35,$BC$13:$CL$86,36,FALSE)&gt;5,0,IF(COUNTIF($B$13:$B$63,$B35)&gt;1,0,23)),23)+IF(B35&lt;&gt;0,0,IF(AV35&gt;0,0.000001,0))</f>
        <v/>
      </c>
      <c r="B35" s="129" t="inlineStr">
        <is>
          <t>Stefan</t>
        </is>
      </c>
      <c r="C35" s="48">
        <f>IFERROR(IF($B35="","",VLOOKUP($B35,Medewerker!$C$8:$AI$107,33,FALSE)),"?")</f>
        <v/>
      </c>
      <c r="D35" s="879">
        <f t="array" ref="D35">IFERROR(IF(LEFT(INDEX($F35:$AQ35,1,SUM(SMALL(IF($F35:$AQ35&lt;&gt;"",COLUMN($F35:$AQ35)),1)-5)),1)="x",SUM(SMALL(IF($F35:$AQ35&lt;&gt;"",$F$11:$AQ$11),1)+"0:15"),SMALL(IF($F35:$AQ35&lt;&gt;"",$F$11:$AQ$11),1)),"")</f>
        <v/>
      </c>
      <c r="E35" s="879">
        <f t="array" ref="E35">IFERROR(IF(LEFT(INDEX($F35:$AQ35,1,SUM(LARGE(IF($F35:$AQ35&lt;&gt;"",COLUMN($F35:$AQ35)),1)-5)),1)="x",SUM(LARGE(IF($F35:$AQ35&lt;&gt;"",$F$11:$AQ$11+"0:30:00"),1)-"0:15"),LARGE(IF($F35:$AQ35&lt;&gt;"",$F$11:$AQ$11+"0:30:00"),1)),"")</f>
        <v/>
      </c>
      <c r="F35" s="40" t="n"/>
      <c r="G35" s="41" t="n"/>
      <c r="H35" s="40" t="n"/>
      <c r="I35" s="41" t="n"/>
      <c r="J35" s="43" t="n"/>
      <c r="K35" s="41" t="n"/>
      <c r="L35" s="40" t="n"/>
      <c r="M35" s="42" t="n"/>
      <c r="N35" s="43" t="n"/>
      <c r="O35" s="41" t="n"/>
      <c r="P35" s="40" t="n"/>
      <c r="Q35" s="42" t="n"/>
      <c r="R35" s="43" t="n"/>
      <c r="S35" s="41" t="n"/>
      <c r="T35" s="40" t="n"/>
      <c r="U35" s="42" t="n"/>
      <c r="V35" s="43" t="n"/>
      <c r="W35" s="41" t="n"/>
      <c r="X35" s="40" t="n"/>
      <c r="Y35" s="42" t="n"/>
      <c r="Z35" s="43" t="inlineStr">
        <is>
          <t>rv</t>
        </is>
      </c>
      <c r="AA35" s="41" t="inlineStr">
        <is>
          <t>rv</t>
        </is>
      </c>
      <c r="AB35" s="40" t="inlineStr">
        <is>
          <t>rv</t>
        </is>
      </c>
      <c r="AC35" s="42" t="inlineStr">
        <is>
          <t>rv</t>
        </is>
      </c>
      <c r="AD35" s="43" t="inlineStr">
        <is>
          <t>rv</t>
        </is>
      </c>
      <c r="AE35" s="41" t="inlineStr">
        <is>
          <t>rv</t>
        </is>
      </c>
      <c r="AF35" s="40" t="inlineStr">
        <is>
          <t>rv</t>
        </is>
      </c>
      <c r="AG35" s="42" t="inlineStr">
        <is>
          <t>rv</t>
        </is>
      </c>
      <c r="AH35" s="43" t="inlineStr">
        <is>
          <t>rv</t>
        </is>
      </c>
      <c r="AI35" s="41" t="inlineStr">
        <is>
          <t>p</t>
        </is>
      </c>
      <c r="AJ35" s="40" t="inlineStr">
        <is>
          <t>l</t>
        </is>
      </c>
      <c r="AK35" s="42" t="inlineStr">
        <is>
          <t>sp</t>
        </is>
      </c>
      <c r="AL35" s="43" t="inlineStr">
        <is>
          <t>sp</t>
        </is>
      </c>
      <c r="AM35" s="41" t="inlineStr">
        <is>
          <t>rv</t>
        </is>
      </c>
      <c r="AN35" s="645" t="inlineStr">
        <is>
          <t>rv</t>
        </is>
      </c>
      <c r="AO35" s="42" t="inlineStr">
        <is>
          <t>rv</t>
        </is>
      </c>
      <c r="AP35" s="40" t="n"/>
      <c r="AQ35" s="41" t="n"/>
      <c r="AR35" s="888">
        <f>IFERROR(IF(VLOOKUP($B35,Medewerker!$C$8:$Q$107,15,FALSE)="",VLOOKUP($B35,Medewerker!$C$8:$Q$107,13,FALSE),0),0)</f>
        <v/>
      </c>
      <c r="AS35" s="889">
        <f>IFERROR(IF(B35="",1,IF(VLOOKUP($B35,Medewerker!$C$8:$Q$107,15,FALSE)="",VLOOKUP($B35,Medewerker!$C$8:$Q$107,14,FALSE),0)),0)</f>
        <v/>
      </c>
      <c r="AT35" s="30" t="n"/>
      <c r="AU35" s="30">
        <f>(COUNTIF(F35:AQ35,"afw"))/2</f>
        <v/>
      </c>
      <c r="AV35" s="111">
        <f>((38-(COUNTIF(F35:AQ35,"")))/2)-(COUNTIF(F35:AQ35,"p")/2)-(COUNTIF(F35:AQ35,CONCATENATE("x","*"))/4)</f>
        <v/>
      </c>
      <c r="AW35" s="73">
        <f>IF($B35="","",VLOOKUP($B35,Medewerker!$C$8:$E$107,3,FALSE))</f>
        <v/>
      </c>
      <c r="AX35" s="403">
        <f>IFERROR(VLOOKUP($B35,Planning!$B$6:$AG$105,32,FALSE)*24,"")</f>
        <v/>
      </c>
      <c r="AY35" s="882" t="inlineStr">
        <is>
          <t>Afprijzen</t>
        </is>
      </c>
      <c r="AZ35" s="883" t="n"/>
      <c r="BA35" s="884" t="n"/>
      <c r="BB35" s="838" t="n"/>
      <c r="BC35" s="31">
        <f>IF(Planning!B28="","",Planning!B28)</f>
        <v/>
      </c>
      <c r="BD35" s="105" t="n"/>
      <c r="BE35" s="885">
        <f>Planning!E28</f>
        <v/>
      </c>
      <c r="BF35" s="885">
        <f>Planning!F28</f>
        <v/>
      </c>
      <c r="BG35" s="886" t="n"/>
      <c r="BH35" s="105" t="n"/>
      <c r="BI35" s="885">
        <f>Planning!I28</f>
        <v/>
      </c>
      <c r="BJ35" s="885">
        <f>Planning!J28</f>
        <v/>
      </c>
      <c r="BK35" s="886" t="n"/>
      <c r="BL35" s="105" t="n"/>
      <c r="BM35" s="885">
        <f>Planning!M28</f>
        <v/>
      </c>
      <c r="BN35" s="885">
        <f>Planning!N28</f>
        <v/>
      </c>
      <c r="BO35" s="886" t="n"/>
      <c r="BP35" s="105" t="n"/>
      <c r="BQ35" s="885">
        <f>Planning!Q28</f>
        <v/>
      </c>
      <c r="BR35" s="885">
        <f>Planning!R28</f>
        <v/>
      </c>
      <c r="BS35" s="886" t="n"/>
      <c r="BT35" s="105" t="n"/>
      <c r="BU35" s="885">
        <f>Planning!U28</f>
        <v/>
      </c>
      <c r="BV35" s="885">
        <f>Planning!V28</f>
        <v/>
      </c>
      <c r="BW35" s="886" t="n"/>
      <c r="BX35" s="105" t="n"/>
      <c r="BY35" s="885">
        <f>Planning!Y28</f>
        <v/>
      </c>
      <c r="BZ35" s="885">
        <f>Planning!Z28</f>
        <v/>
      </c>
      <c r="CA35" s="886" t="n"/>
      <c r="CB35" s="105" t="n"/>
      <c r="CC35" s="885">
        <f>Planning!AC28</f>
        <v/>
      </c>
      <c r="CD35" s="885">
        <f>Planning!AD28</f>
        <v/>
      </c>
      <c r="CE35" s="886" t="n"/>
      <c r="CF35" s="105" t="n"/>
      <c r="CG35" s="887">
        <f>Planning!AG28</f>
        <v/>
      </c>
      <c r="CH35" s="105" t="n"/>
      <c r="CI35" s="252">
        <f>IF(BC35="","",Planning!AI28)</f>
        <v/>
      </c>
      <c r="CJ35" s="252">
        <f>IF(BC35="","",Planning!AJ28)</f>
        <v/>
      </c>
      <c r="CK35" s="252">
        <f>IF(BC35="","",Planning!AK28)</f>
        <v/>
      </c>
      <c r="CL35" s="252">
        <f>IF(BC35="","",Planning!AH28)</f>
        <v/>
      </c>
      <c r="CM35" s="21" t="n"/>
    </row>
    <row r="36" ht="12.75" customHeight="1">
      <c r="A36" s="161">
        <f>IFERROR(IF(VLOOKUP($B36,$BC$13:$CL$86,36,FALSE)&gt;5,0,IF(COUNTIF($B$13:$B$63,$B36)&gt;1,0,24)),24)+IF(B36&lt;&gt;0,0,IF(AV36&gt;0,0.000001,0))</f>
        <v/>
      </c>
      <c r="B36" s="129" t="inlineStr">
        <is>
          <t>Sevgyul</t>
        </is>
      </c>
      <c r="C36" s="48">
        <f>IFERROR(IF($B36="","",VLOOKUP($B36,Medewerker!$C$8:$AI$107,33,FALSE)),"?")</f>
        <v/>
      </c>
      <c r="D36" s="879">
        <f t="array" ref="D36">IFERROR(IF(LEFT(INDEX($F36:$AQ36,1,SUM(SMALL(IF($F36:$AQ36&lt;&gt;"",COLUMN($F36:$AQ36)),1)-5)),1)="x",SUM(SMALL(IF($F36:$AQ36&lt;&gt;"",$F$11:$AQ$11),1)+"0:15"),SMALL(IF($F36:$AQ36&lt;&gt;"",$F$11:$AQ$11),1)),"")</f>
        <v/>
      </c>
      <c r="E36" s="879">
        <f t="array" ref="E36">IFERROR(IF(LEFT(INDEX($F36:$AQ36,1,SUM(LARGE(IF($F36:$AQ36&lt;&gt;"",COLUMN($F36:$AQ36)),1)-5)),1)="x",SUM(LARGE(IF($F36:$AQ36&lt;&gt;"",$F$11:$AQ$11+"0:30:00"),1)-"0:15"),LARGE(IF($F36:$AQ36&lt;&gt;"",$F$11:$AQ$11+"0:30:00"),1)),"")</f>
        <v/>
      </c>
      <c r="F36" s="43" t="n"/>
      <c r="G36" s="42" t="n"/>
      <c r="H36" s="43" t="n"/>
      <c r="I36" s="42" t="n"/>
      <c r="J36" s="43" t="n"/>
      <c r="K36" s="41" t="n"/>
      <c r="L36" s="40" t="n"/>
      <c r="M36" s="42" t="n"/>
      <c r="N36" s="43" t="n"/>
      <c r="O36" s="41" t="n"/>
      <c r="P36" s="40" t="n"/>
      <c r="Q36" s="42" t="n"/>
      <c r="R36" s="43" t="n"/>
      <c r="S36" s="41" t="n"/>
      <c r="T36" s="40" t="n"/>
      <c r="U36" s="42" t="n"/>
      <c r="V36" s="43" t="n"/>
      <c r="W36" s="41" t="n"/>
      <c r="X36" s="40" t="n"/>
      <c r="Y36" s="42" t="n"/>
      <c r="Z36" s="43" t="n"/>
      <c r="AA36" s="41" t="inlineStr">
        <is>
          <t>rv</t>
        </is>
      </c>
      <c r="AB36" s="40" t="inlineStr">
        <is>
          <t>rv</t>
        </is>
      </c>
      <c r="AC36" s="42" t="inlineStr">
        <is>
          <t>rv</t>
        </is>
      </c>
      <c r="AD36" s="43" t="inlineStr">
        <is>
          <t>rv</t>
        </is>
      </c>
      <c r="AE36" s="41" t="inlineStr">
        <is>
          <t>rv</t>
        </is>
      </c>
      <c r="AF36" s="40" t="inlineStr">
        <is>
          <t>rv</t>
        </is>
      </c>
      <c r="AG36" s="42" t="inlineStr">
        <is>
          <t>rv</t>
        </is>
      </c>
      <c r="AH36" s="43" t="inlineStr">
        <is>
          <t>rv</t>
        </is>
      </c>
      <c r="AI36" s="41" t="inlineStr">
        <is>
          <t>p</t>
        </is>
      </c>
      <c r="AJ36" s="40" t="inlineStr">
        <is>
          <t>l</t>
        </is>
      </c>
      <c r="AK36" s="42" t="inlineStr">
        <is>
          <t>sp</t>
        </is>
      </c>
      <c r="AL36" s="43" t="inlineStr">
        <is>
          <t>sp</t>
        </is>
      </c>
      <c r="AM36" s="41" t="inlineStr">
        <is>
          <t>rv</t>
        </is>
      </c>
      <c r="AN36" s="645" t="inlineStr">
        <is>
          <t>rv</t>
        </is>
      </c>
      <c r="AO36" s="42" t="inlineStr">
        <is>
          <t>rv</t>
        </is>
      </c>
      <c r="AP36" s="43" t="n"/>
      <c r="AQ36" s="42" t="n"/>
      <c r="AR36" s="888">
        <f>IFERROR(IF(VLOOKUP($B36,Medewerker!$C$8:$Q$107,15,FALSE)="",VLOOKUP($B36,Medewerker!$C$8:$Q$107,13,FALSE),0),0)</f>
        <v/>
      </c>
      <c r="AS36" s="888">
        <f>IFERROR(IF(B36="",1,IF(VLOOKUP($B36,Medewerker!$C$8:$Q$107,15,FALSE)="",VLOOKUP($B36,Medewerker!$C$8:$Q$107,14,FALSE),0)),0)</f>
        <v/>
      </c>
      <c r="AT36" s="45" t="n"/>
      <c r="AU36" s="46">
        <f>(COUNTIF(F36:AQ36,"afw"))/2</f>
        <v/>
      </c>
      <c r="AV36" s="111">
        <f>((38-(COUNTIF(F36:AQ36,"")))/2)-(COUNTIF(F36:AQ36,"p")/2)-(COUNTIF(F36:AQ36,CONCATENATE("x","*"))/4)</f>
        <v/>
      </c>
      <c r="AW36" s="73">
        <f>IF($B36="","",VLOOKUP($B36,Medewerker!$C$8:$E$107,3,FALSE))</f>
        <v/>
      </c>
      <c r="AX36" s="403">
        <f>IFERROR(VLOOKUP($B36,Planning!$B$6:$AG$105,32,FALSE)*24,"")</f>
        <v/>
      </c>
      <c r="AY36" s="559" t="inlineStr">
        <is>
          <t>afp</t>
        </is>
      </c>
      <c r="AZ36" s="71" t="inlineStr">
        <is>
          <t>Afprijzen</t>
        </is>
      </c>
      <c r="BA36" s="111">
        <f>COUNTIF($F$13:$AQ$63,CONCATENATE(AY36,"*"))/2+COUNTIF($F$13:$AQ$63,CONCATENATE("x",AY36,"*"))/4</f>
        <v/>
      </c>
      <c r="BB36" s="838" t="n"/>
      <c r="BC36" s="31">
        <f>IF(Planning!B29="","",Planning!B29)</f>
        <v/>
      </c>
      <c r="BD36" s="105" t="n"/>
      <c r="BE36" s="885">
        <f>Planning!E29</f>
        <v/>
      </c>
      <c r="BF36" s="885">
        <f>Planning!F29</f>
        <v/>
      </c>
      <c r="BG36" s="886" t="n"/>
      <c r="BH36" s="105" t="n"/>
      <c r="BI36" s="885">
        <f>Planning!I29</f>
        <v/>
      </c>
      <c r="BJ36" s="885">
        <f>Planning!J29</f>
        <v/>
      </c>
      <c r="BK36" s="886" t="n"/>
      <c r="BL36" s="105" t="n"/>
      <c r="BM36" s="885">
        <f>Planning!M29</f>
        <v/>
      </c>
      <c r="BN36" s="885">
        <f>Planning!N29</f>
        <v/>
      </c>
      <c r="BO36" s="886" t="n"/>
      <c r="BP36" s="105" t="n"/>
      <c r="BQ36" s="885">
        <f>Planning!Q29</f>
        <v/>
      </c>
      <c r="BR36" s="885">
        <f>Planning!R29</f>
        <v/>
      </c>
      <c r="BS36" s="886" t="n"/>
      <c r="BT36" s="105" t="n"/>
      <c r="BU36" s="885">
        <f>Planning!U29</f>
        <v/>
      </c>
      <c r="BV36" s="885">
        <f>Planning!V29</f>
        <v/>
      </c>
      <c r="BW36" s="886" t="n"/>
      <c r="BX36" s="105" t="n"/>
      <c r="BY36" s="885">
        <f>Planning!Y29</f>
        <v/>
      </c>
      <c r="BZ36" s="885">
        <f>Planning!Z29</f>
        <v/>
      </c>
      <c r="CA36" s="886" t="n"/>
      <c r="CB36" s="105" t="n"/>
      <c r="CC36" s="885">
        <f>Planning!AC29</f>
        <v/>
      </c>
      <c r="CD36" s="885">
        <f>Planning!AD29</f>
        <v/>
      </c>
      <c r="CE36" s="886" t="n"/>
      <c r="CF36" s="105" t="n"/>
      <c r="CG36" s="887">
        <f>Planning!AG29</f>
        <v/>
      </c>
      <c r="CH36" s="105" t="n"/>
      <c r="CI36" s="252">
        <f>IF(BC36="","",Planning!AI29)</f>
        <v/>
      </c>
      <c r="CJ36" s="252">
        <f>IF(BC36="","",Planning!AJ29)</f>
        <v/>
      </c>
      <c r="CK36" s="252">
        <f>IF(BC36="","",Planning!AK29)</f>
        <v/>
      </c>
      <c r="CL36" s="252">
        <f>IF(BC36="","",Planning!AH29)</f>
        <v/>
      </c>
      <c r="CM36" s="21" t="n"/>
    </row>
    <row r="37" ht="12.75" customHeight="1">
      <c r="A37" s="161">
        <f>IFERROR(IF(VLOOKUP($B37,$BC$13:$CL$86,36,FALSE)&gt;5,0,IF(COUNTIF($B$13:$B$63,$B37)&gt;1,0,25)),25)+IF(B37&lt;&gt;0,0,IF(AV37&gt;0,0.000001,0))</f>
        <v/>
      </c>
      <c r="B37" s="129" t="inlineStr">
        <is>
          <t>Umer</t>
        </is>
      </c>
      <c r="C37" s="48">
        <f>IFERROR(IF($B37="","",VLOOKUP($B37,Medewerker!$C$8:$AI$107,33,FALSE)),"?")</f>
        <v/>
      </c>
      <c r="D37" s="879">
        <f t="array" ref="D37">IFERROR(IF(LEFT(INDEX($F37:$AQ37,1,SUM(SMALL(IF($F37:$AQ37&lt;&gt;"",COLUMN($F37:$AQ37)),1)-5)),1)="x",SUM(SMALL(IF($F37:$AQ37&lt;&gt;"",$F$11:$AQ$11),1)+"0:15"),SMALL(IF($F37:$AQ37&lt;&gt;"",$F$11:$AQ$11),1)),"")</f>
        <v/>
      </c>
      <c r="E37" s="879">
        <f t="array" ref="E37">IFERROR(IF(LEFT(INDEX($F37:$AQ37,1,SUM(LARGE(IF($F37:$AQ37&lt;&gt;"",COLUMN($F37:$AQ37)),1)-5)),1)="x",SUM(LARGE(IF($F37:$AQ37&lt;&gt;"",$F$11:$AQ$11+"0:30:00"),1)-"0:15"),LARGE(IF($F37:$AQ37&lt;&gt;"",$F$11:$AQ$11+"0:30:00"),1)),"")</f>
        <v/>
      </c>
      <c r="F37" s="43" t="n"/>
      <c r="G37" s="42" t="n"/>
      <c r="H37" s="43" t="n"/>
      <c r="I37" s="42" t="n"/>
      <c r="J37" s="43" t="n"/>
      <c r="K37" s="41" t="n"/>
      <c r="L37" s="40" t="n"/>
      <c r="M37" s="42" t="n"/>
      <c r="N37" s="43" t="n"/>
      <c r="O37" s="41" t="n"/>
      <c r="P37" s="40" t="n"/>
      <c r="Q37" s="42" t="n"/>
      <c r="R37" s="43" t="n"/>
      <c r="S37" s="41" t="n"/>
      <c r="T37" s="40" t="n"/>
      <c r="U37" s="42" t="n"/>
      <c r="V37" s="43" t="n"/>
      <c r="W37" s="41" t="n"/>
      <c r="X37" s="40" t="n"/>
      <c r="Y37" s="42" t="n"/>
      <c r="Z37" s="43" t="n"/>
      <c r="AA37" s="41" t="n"/>
      <c r="AB37" s="40" t="n"/>
      <c r="AC37" s="42" t="n"/>
      <c r="AD37" s="43" t="n"/>
      <c r="AE37" s="41" t="n"/>
      <c r="AF37" s="40" t="n"/>
      <c r="AG37" s="42" t="n"/>
      <c r="AH37" s="43" t="n"/>
      <c r="AI37" s="41" t="inlineStr">
        <is>
          <t>vv</t>
        </is>
      </c>
      <c r="AJ37" s="40" t="inlineStr">
        <is>
          <t>vv</t>
        </is>
      </c>
      <c r="AK37" s="42" t="inlineStr">
        <is>
          <t>vv</t>
        </is>
      </c>
      <c r="AL37" s="43" t="inlineStr">
        <is>
          <t>vv</t>
        </is>
      </c>
      <c r="AM37" s="41" t="inlineStr">
        <is>
          <t>vv</t>
        </is>
      </c>
      <c r="AN37" s="645" t="inlineStr">
        <is>
          <t>vv</t>
        </is>
      </c>
      <c r="AO37" s="42" t="inlineStr">
        <is>
          <t>vv</t>
        </is>
      </c>
      <c r="AP37" s="43" t="n"/>
      <c r="AQ37" s="42" t="n"/>
      <c r="AR37" s="888">
        <f>IFERROR(IF(VLOOKUP($B37,Medewerker!$C$8:$Q$107,15,FALSE)="",VLOOKUP($B37,Medewerker!$C$8:$Q$107,13,FALSE),0),0)</f>
        <v/>
      </c>
      <c r="AS37" s="888">
        <f>IFERROR(IF(B37="",1,IF(VLOOKUP($B37,Medewerker!$C$8:$Q$107,15,FALSE)="",VLOOKUP($B37,Medewerker!$C$8:$Q$107,14,FALSE),0)),0)</f>
        <v/>
      </c>
      <c r="AT37" s="45" t="n"/>
      <c r="AU37" s="46">
        <f>(COUNTIF(F37:AQ37,"afw"))/2</f>
        <v/>
      </c>
      <c r="AV37" s="111">
        <f>((38-(COUNTIF(F37:AQ37,"")))/2)-(COUNTIF(F37:AQ37,"p")/2)-(COUNTIF(F37:AQ37,CONCATENATE("x","*"))/4)</f>
        <v/>
      </c>
      <c r="AW37" s="73">
        <f>IF($B37="","",VLOOKUP($B37,Medewerker!$C$8:$E$107,3,FALSE))</f>
        <v/>
      </c>
      <c r="AX37" s="403">
        <f>IFERROR(VLOOKUP($B37,Planning!$B$6:$AG$105,32,FALSE)*24,"")</f>
        <v/>
      </c>
      <c r="AY37" s="560" t="inlineStr">
        <is>
          <t>cb</t>
        </is>
      </c>
      <c r="AZ37" s="166" t="inlineStr">
        <is>
          <t>Codeboek</t>
        </is>
      </c>
      <c r="BA37" s="111">
        <f>COUNTIF($F$13:$AQ$63,CONCATENATE(AY37,"*"))/2+COUNTIF($F$13:$AQ$63,CONCATENATE("x",AY37,"*"))/4</f>
        <v/>
      </c>
      <c r="BB37" s="838" t="n"/>
      <c r="BC37" s="31">
        <f>IF(Planning!B30="","",Planning!B30)</f>
        <v/>
      </c>
      <c r="BD37" s="105" t="n"/>
      <c r="BE37" s="885">
        <f>Planning!E30</f>
        <v/>
      </c>
      <c r="BF37" s="885">
        <f>Planning!F30</f>
        <v/>
      </c>
      <c r="BG37" s="886" t="n"/>
      <c r="BH37" s="105" t="n"/>
      <c r="BI37" s="885">
        <f>Planning!I30</f>
        <v/>
      </c>
      <c r="BJ37" s="885">
        <f>Planning!J30</f>
        <v/>
      </c>
      <c r="BK37" s="886" t="n"/>
      <c r="BL37" s="105" t="n"/>
      <c r="BM37" s="885">
        <f>Planning!M30</f>
        <v/>
      </c>
      <c r="BN37" s="885">
        <f>Planning!N30</f>
        <v/>
      </c>
      <c r="BO37" s="886" t="n"/>
      <c r="BP37" s="105" t="n"/>
      <c r="BQ37" s="885">
        <f>Planning!Q30</f>
        <v/>
      </c>
      <c r="BR37" s="885">
        <f>Planning!R30</f>
        <v/>
      </c>
      <c r="BS37" s="886" t="n"/>
      <c r="BT37" s="105" t="n"/>
      <c r="BU37" s="885">
        <f>Planning!U30</f>
        <v/>
      </c>
      <c r="BV37" s="885">
        <f>Planning!V30</f>
        <v/>
      </c>
      <c r="BW37" s="886" t="n"/>
      <c r="BX37" s="105" t="n"/>
      <c r="BY37" s="885">
        <f>Planning!Y30</f>
        <v/>
      </c>
      <c r="BZ37" s="885">
        <f>Planning!Z30</f>
        <v/>
      </c>
      <c r="CA37" s="886" t="n"/>
      <c r="CB37" s="105" t="n"/>
      <c r="CC37" s="885">
        <f>Planning!AC30</f>
        <v/>
      </c>
      <c r="CD37" s="885">
        <f>Planning!AD30</f>
        <v/>
      </c>
      <c r="CE37" s="886" t="n"/>
      <c r="CF37" s="105" t="n"/>
      <c r="CG37" s="887">
        <f>Planning!AG30</f>
        <v/>
      </c>
      <c r="CH37" s="105" t="n"/>
      <c r="CI37" s="252">
        <f>IF(BC37="","",Planning!AI30)</f>
        <v/>
      </c>
      <c r="CJ37" s="252">
        <f>IF(BC37="","",Planning!AJ30)</f>
        <v/>
      </c>
      <c r="CK37" s="252">
        <f>IF(BC37="","",Planning!AK30)</f>
        <v/>
      </c>
      <c r="CL37" s="252">
        <f>IF(BC37="","",Planning!AH30)</f>
        <v/>
      </c>
      <c r="CM37" s="21" t="n"/>
    </row>
    <row r="38" ht="12.75" customHeight="1">
      <c r="A38" s="161">
        <f>IFERROR(IF(VLOOKUP($B38,$BC$13:$CL$86,36,FALSE)&gt;5,0,IF(COUNTIF($B$13:$B$63,$B38)&gt;1,0,26)),26)+IF(B38&lt;&gt;0,0,IF(AV38&gt;0,0.000001,0))</f>
        <v/>
      </c>
      <c r="B38" s="129" t="inlineStr">
        <is>
          <t>Lucas</t>
        </is>
      </c>
      <c r="C38" s="48">
        <f>IFERROR(IF($B38="","",VLOOKUP($B38,Medewerker!$C$8:$AI$107,33,FALSE)),"?")</f>
        <v/>
      </c>
      <c r="D38" s="879">
        <f t="array" ref="D38">IFERROR(IF(LEFT(INDEX($F38:$AQ38,1,SUM(SMALL(IF($F38:$AQ38&lt;&gt;"",COLUMN($F38:$AQ38)),1)-5)),1)="x",SUM(SMALL(IF($F38:$AQ38&lt;&gt;"",$F$11:$AQ$11),1)+"0:15"),SMALL(IF($F38:$AQ38&lt;&gt;"",$F$11:$AQ$11),1)),"")</f>
        <v/>
      </c>
      <c r="E38" s="879">
        <f t="array" ref="E38">IFERROR(IF(LEFT(INDEX($F38:$AQ38,1,SUM(LARGE(IF($F38:$AQ38&lt;&gt;"",COLUMN($F38:$AQ38)),1)-5)),1)="x",SUM(LARGE(IF($F38:$AQ38&lt;&gt;"",$F$11:$AQ$11+"0:30:00"),1)-"0:15"),LARGE(IF($F38:$AQ38&lt;&gt;"",$F$11:$AQ$11+"0:30:00"),1)),"")</f>
        <v/>
      </c>
      <c r="F38" s="43" t="n"/>
      <c r="G38" s="42" t="n"/>
      <c r="H38" s="43" t="n"/>
      <c r="I38" s="42" t="n"/>
      <c r="J38" s="43" t="n"/>
      <c r="K38" s="41" t="n"/>
      <c r="L38" s="40" t="n"/>
      <c r="M38" s="42" t="n"/>
      <c r="N38" s="43" t="n"/>
      <c r="O38" s="41" t="n"/>
      <c r="P38" s="40" t="n"/>
      <c r="Q38" s="42" t="n"/>
      <c r="R38" s="43" t="n"/>
      <c r="S38" s="41" t="n"/>
      <c r="T38" s="40" t="n"/>
      <c r="U38" s="42" t="n"/>
      <c r="V38" s="43" t="n"/>
      <c r="W38" s="41" t="n"/>
      <c r="X38" s="40" t="n"/>
      <c r="Y38" s="42" t="n"/>
      <c r="Z38" s="43" t="n"/>
      <c r="AA38" s="41" t="n"/>
      <c r="AB38" s="40" t="n"/>
      <c r="AC38" s="42" t="n"/>
      <c r="AD38" s="43" t="n"/>
      <c r="AE38" s="41" t="n"/>
      <c r="AF38" s="40" t="n"/>
      <c r="AG38" s="42" t="n"/>
      <c r="AH38" s="43" t="n"/>
      <c r="AI38" s="41" t="inlineStr">
        <is>
          <t>vv</t>
        </is>
      </c>
      <c r="AJ38" s="40" t="inlineStr">
        <is>
          <t>vv</t>
        </is>
      </c>
      <c r="AK38" s="42" t="inlineStr">
        <is>
          <t>vv</t>
        </is>
      </c>
      <c r="AL38" s="43" t="inlineStr">
        <is>
          <t>vv</t>
        </is>
      </c>
      <c r="AM38" s="41" t="inlineStr">
        <is>
          <t>vv</t>
        </is>
      </c>
      <c r="AN38" s="645" t="inlineStr">
        <is>
          <t>vv</t>
        </is>
      </c>
      <c r="AO38" s="42" t="inlineStr">
        <is>
          <t>vv</t>
        </is>
      </c>
      <c r="AP38" s="43" t="n"/>
      <c r="AQ38" s="42" t="n"/>
      <c r="AR38" s="888">
        <f>IFERROR(IF(VLOOKUP($B38,Medewerker!$C$8:$Q$107,15,FALSE)="",VLOOKUP($B38,Medewerker!$C$8:$Q$107,13,FALSE),0),0)</f>
        <v/>
      </c>
      <c r="AS38" s="888">
        <f>IFERROR(IF(B38="",1,IF(VLOOKUP($B38,Medewerker!$C$8:$Q$107,15,FALSE)="",VLOOKUP($B38,Medewerker!$C$8:$Q$107,14,FALSE),0)),0)</f>
        <v/>
      </c>
      <c r="AT38" s="45" t="n"/>
      <c r="AU38" s="46">
        <f>(COUNTIF(F38:AQ38,"afw"))/2</f>
        <v/>
      </c>
      <c r="AV38" s="111">
        <f>((38-(COUNTIF(F38:AQ38,"")))/2)-(COUNTIF(F38:AQ38,"p")/2)-(COUNTIF(F38:AQ38,CONCATENATE("x","*"))/4)</f>
        <v/>
      </c>
      <c r="AW38" s="73">
        <f>IF($B38="","",VLOOKUP($B38,Medewerker!$C$8:$E$107,3,FALSE))</f>
        <v/>
      </c>
      <c r="AX38" s="403">
        <f>IFERROR(VLOOKUP($B38,Planning!$B$6:$AG$105,32,FALSE)*24,"")</f>
        <v/>
      </c>
      <c r="AY38" s="560" t="inlineStr">
        <is>
          <t>nr</t>
        </is>
      </c>
      <c r="AZ38" s="166" t="inlineStr">
        <is>
          <t>Naloopronde</t>
        </is>
      </c>
      <c r="BA38" s="111">
        <f>COUNTIF($F$13:$AQ$63,CONCATENATE(AY38,"*"))/2+COUNTIF($F$13:$AQ$63,CONCATENATE("x",AY38,"*"))/4</f>
        <v/>
      </c>
      <c r="BB38" s="838" t="n"/>
      <c r="BC38" s="31">
        <f>IF(Planning!B31="","",Planning!B31)</f>
        <v/>
      </c>
      <c r="BD38" s="105" t="n"/>
      <c r="BE38" s="885">
        <f>Planning!E31</f>
        <v/>
      </c>
      <c r="BF38" s="885">
        <f>Planning!F31</f>
        <v/>
      </c>
      <c r="BG38" s="886" t="n"/>
      <c r="BH38" s="105" t="n"/>
      <c r="BI38" s="885">
        <f>Planning!I31</f>
        <v/>
      </c>
      <c r="BJ38" s="885">
        <f>Planning!J31</f>
        <v/>
      </c>
      <c r="BK38" s="886" t="n"/>
      <c r="BL38" s="105" t="n"/>
      <c r="BM38" s="885">
        <f>Planning!M31</f>
        <v/>
      </c>
      <c r="BN38" s="885">
        <f>Planning!N31</f>
        <v/>
      </c>
      <c r="BO38" s="886" t="n"/>
      <c r="BP38" s="105" t="n"/>
      <c r="BQ38" s="885">
        <f>Planning!Q31</f>
        <v/>
      </c>
      <c r="BR38" s="885">
        <f>Planning!R31</f>
        <v/>
      </c>
      <c r="BS38" s="886" t="n"/>
      <c r="BT38" s="105" t="n"/>
      <c r="BU38" s="885">
        <f>Planning!U31</f>
        <v/>
      </c>
      <c r="BV38" s="885">
        <f>Planning!V31</f>
        <v/>
      </c>
      <c r="BW38" s="886" t="n"/>
      <c r="BX38" s="105" t="n"/>
      <c r="BY38" s="885">
        <f>Planning!Y31</f>
        <v/>
      </c>
      <c r="BZ38" s="885">
        <f>Planning!Z31</f>
        <v/>
      </c>
      <c r="CA38" s="886" t="n"/>
      <c r="CB38" s="105" t="n"/>
      <c r="CC38" s="885">
        <f>Planning!AC31</f>
        <v/>
      </c>
      <c r="CD38" s="885">
        <f>Planning!AD31</f>
        <v/>
      </c>
      <c r="CE38" s="886" t="n"/>
      <c r="CF38" s="105" t="n"/>
      <c r="CG38" s="887">
        <f>Planning!AG31</f>
        <v/>
      </c>
      <c r="CH38" s="105" t="n"/>
      <c r="CI38" s="252">
        <f>IF(BC38="","",Planning!AI31)</f>
        <v/>
      </c>
      <c r="CJ38" s="252">
        <f>IF(BC38="","",Planning!AJ31)</f>
        <v/>
      </c>
      <c r="CK38" s="252">
        <f>IF(BC38="","",Planning!AK31)</f>
        <v/>
      </c>
      <c r="CL38" s="252">
        <f>IF(BC38="","",Planning!AH31)</f>
        <v/>
      </c>
      <c r="CM38" s="21" t="n"/>
    </row>
    <row r="39" ht="12.75" customHeight="1">
      <c r="A39" s="161">
        <f>IFERROR(IF(VLOOKUP($B39,$BC$13:$CL$86,36,FALSE)&gt;5,0,IF(COUNTIF($B$13:$B$63,$B39)&gt;1,0,27)),27)+IF(B39&lt;&gt;0,0,IF(AV39&gt;0,0.000001,0))</f>
        <v/>
      </c>
      <c r="B39" s="129" t="inlineStr">
        <is>
          <t>Yasmina ibrahimin</t>
        </is>
      </c>
      <c r="C39" s="48">
        <f>IFERROR(IF($B39="","",VLOOKUP($B39,Medewerker!$C$8:$AI$107,33,FALSE)),"?")</f>
        <v/>
      </c>
      <c r="D39" s="879">
        <f t="array" ref="D39">IFERROR(IF(LEFT(INDEX($F39:$AQ39,1,SUM(SMALL(IF($F39:$AQ39&lt;&gt;"",COLUMN($F39:$AQ39)),1)-5)),1)="x",SUM(SMALL(IF($F39:$AQ39&lt;&gt;"",$F$11:$AQ$11),1)+"0:15"),SMALL(IF($F39:$AQ39&lt;&gt;"",$F$11:$AQ$11),1)),"")</f>
        <v/>
      </c>
      <c r="E39" s="879">
        <f t="array" ref="E39">IFERROR(IF(LEFT(INDEX($F39:$AQ39,1,SUM(LARGE(IF($F39:$AQ39&lt;&gt;"",COLUMN($F39:$AQ39)),1)-5)),1)="x",SUM(LARGE(IF($F39:$AQ39&lt;&gt;"",$F$11:$AQ$11+"0:30:00"),1)-"0:15"),LARGE(IF($F39:$AQ39&lt;&gt;"",$F$11:$AQ$11+"0:30:00"),1)),"")</f>
        <v/>
      </c>
      <c r="F39" s="43" t="n"/>
      <c r="G39" s="42" t="n"/>
      <c r="H39" s="43" t="n"/>
      <c r="I39" s="42" t="n"/>
      <c r="J39" s="43" t="n"/>
      <c r="K39" s="41" t="n"/>
      <c r="L39" s="40" t="n"/>
      <c r="M39" s="42" t="n"/>
      <c r="N39" s="43" t="n"/>
      <c r="O39" s="41" t="n"/>
      <c r="P39" s="40" t="n"/>
      <c r="Q39" s="42" t="n"/>
      <c r="R39" s="43" t="n"/>
      <c r="S39" s="41" t="n"/>
      <c r="T39" s="40" t="n"/>
      <c r="U39" s="42" t="n"/>
      <c r="V39" s="43" t="n"/>
      <c r="W39" s="41" t="n"/>
      <c r="X39" s="40" t="n"/>
      <c r="Y39" s="42" t="n"/>
      <c r="Z39" s="43" t="n"/>
      <c r="AA39" s="41" t="n"/>
      <c r="AB39" s="40" t="n"/>
      <c r="AC39" s="42" t="n"/>
      <c r="AD39" s="43" t="n"/>
      <c r="AE39" s="41" t="n"/>
      <c r="AF39" s="40" t="n"/>
      <c r="AG39" s="42" t="n"/>
      <c r="AH39" s="43" t="n"/>
      <c r="AI39" s="41" t="inlineStr">
        <is>
          <t>vv</t>
        </is>
      </c>
      <c r="AJ39" s="40" t="inlineStr">
        <is>
          <t>vv</t>
        </is>
      </c>
      <c r="AK39" s="42" t="inlineStr">
        <is>
          <t>vv</t>
        </is>
      </c>
      <c r="AL39" s="43" t="inlineStr">
        <is>
          <t>vv</t>
        </is>
      </c>
      <c r="AM39" s="41" t="inlineStr">
        <is>
          <t>vv</t>
        </is>
      </c>
      <c r="AN39" s="645" t="inlineStr">
        <is>
          <t>vv</t>
        </is>
      </c>
      <c r="AO39" s="42" t="inlineStr">
        <is>
          <t>vv</t>
        </is>
      </c>
      <c r="AP39" s="43" t="n"/>
      <c r="AQ39" s="42" t="n"/>
      <c r="AR39" s="888">
        <f>IFERROR(IF(VLOOKUP($B39,Medewerker!$C$8:$Q$107,15,FALSE)="",VLOOKUP($B39,Medewerker!$C$8:$Q$107,13,FALSE),0),0)</f>
        <v/>
      </c>
      <c r="AS39" s="888">
        <f>IFERROR(IF(B39="",1,IF(VLOOKUP($B39,Medewerker!$C$8:$Q$107,15,FALSE)="",VLOOKUP($B39,Medewerker!$C$8:$Q$107,14,FALSE),0)),0)</f>
        <v/>
      </c>
      <c r="AT39" s="45" t="n"/>
      <c r="AU39" s="46">
        <f>(COUNTIF(F39:AQ39,"afw"))/2</f>
        <v/>
      </c>
      <c r="AV39" s="111">
        <f>((38-(COUNTIF(F39:AQ39,"")))/2)-(COUNTIF(F39:AQ39,"p")/2)-(COUNTIF(F39:AQ39,CONCATENATE("x","*"))/4)</f>
        <v/>
      </c>
      <c r="AW39" s="73">
        <f>IF($B39="","",VLOOKUP($B39,Medewerker!$C$8:$E$107,3,FALSE))</f>
        <v/>
      </c>
      <c r="AX39" s="403">
        <f>IFERROR(VLOOKUP($B39,Planning!$B$6:$AG$105,32,FALSE)*24,"")</f>
        <v/>
      </c>
      <c r="AY39" s="560" t="inlineStr">
        <is>
          <t>us</t>
        </is>
      </c>
      <c r="AZ39" s="166" t="inlineStr">
        <is>
          <t>Vervallen artikelen</t>
        </is>
      </c>
      <c r="BA39" s="111">
        <f>COUNTIF($F$13:$AQ$63,CONCATENATE(AY39,"*"))/2+COUNTIF($F$13:$AQ$63,CONCATENATE("x",AY39,"*"))/4</f>
        <v/>
      </c>
      <c r="BB39" s="838" t="n"/>
      <c r="BC39" s="31">
        <f>IF(Planning!B32="","",Planning!B32)</f>
        <v/>
      </c>
      <c r="BD39" s="105" t="n"/>
      <c r="BE39" s="885">
        <f>Planning!E32</f>
        <v/>
      </c>
      <c r="BF39" s="885">
        <f>Planning!F32</f>
        <v/>
      </c>
      <c r="BG39" s="886" t="n"/>
      <c r="BH39" s="105" t="n"/>
      <c r="BI39" s="885">
        <f>Planning!I32</f>
        <v/>
      </c>
      <c r="BJ39" s="885">
        <f>Planning!J32</f>
        <v/>
      </c>
      <c r="BK39" s="886" t="n"/>
      <c r="BL39" s="105" t="n"/>
      <c r="BM39" s="885">
        <f>Planning!M32</f>
        <v/>
      </c>
      <c r="BN39" s="885">
        <f>Planning!N32</f>
        <v/>
      </c>
      <c r="BO39" s="886" t="n"/>
      <c r="BP39" s="105" t="n"/>
      <c r="BQ39" s="885">
        <f>Planning!Q32</f>
        <v/>
      </c>
      <c r="BR39" s="885">
        <f>Planning!R32</f>
        <v/>
      </c>
      <c r="BS39" s="886" t="n"/>
      <c r="BT39" s="105" t="n"/>
      <c r="BU39" s="885">
        <f>Planning!U32</f>
        <v/>
      </c>
      <c r="BV39" s="885">
        <f>Planning!V32</f>
        <v/>
      </c>
      <c r="BW39" s="886" t="n"/>
      <c r="BX39" s="105" t="n"/>
      <c r="BY39" s="885">
        <f>Planning!Y32</f>
        <v/>
      </c>
      <c r="BZ39" s="885">
        <f>Planning!Z32</f>
        <v/>
      </c>
      <c r="CA39" s="886" t="n"/>
      <c r="CB39" s="105" t="n"/>
      <c r="CC39" s="885">
        <f>Planning!AC32</f>
        <v/>
      </c>
      <c r="CD39" s="885">
        <f>Planning!AD32</f>
        <v/>
      </c>
      <c r="CE39" s="886" t="n"/>
      <c r="CF39" s="105" t="n"/>
      <c r="CG39" s="887">
        <f>Planning!AG32</f>
        <v/>
      </c>
      <c r="CH39" s="105" t="n"/>
      <c r="CI39" s="252">
        <f>IF(BC39="","",Planning!AI32)</f>
        <v/>
      </c>
      <c r="CJ39" s="252">
        <f>IF(BC39="","",Planning!AJ32)</f>
        <v/>
      </c>
      <c r="CK39" s="252">
        <f>IF(BC39="","",Planning!AK32)</f>
        <v/>
      </c>
      <c r="CL39" s="252">
        <f>IF(BC39="","",Planning!AH32)</f>
        <v/>
      </c>
      <c r="CM39" s="21" t="n"/>
    </row>
    <row r="40" ht="12.75" customHeight="1">
      <c r="A40" s="161">
        <f>IFERROR(IF(VLOOKUP($B40,$BC$13:$CL$86,36,FALSE)&gt;5,0,IF(COUNTIF($B$13:$B$63,$B40)&gt;1,0,28)),28)+IF(B40&lt;&gt;0,0,IF(AV40&gt;0,0.000001,0))</f>
        <v/>
      </c>
      <c r="B40" s="129" t="inlineStr">
        <is>
          <t>Deniz</t>
        </is>
      </c>
      <c r="C40" s="48">
        <f>IFERROR(IF($B40="","",VLOOKUP($B40,Medewerker!$C$8:$AI$107,33,FALSE)),"?")</f>
        <v/>
      </c>
      <c r="D40" s="879">
        <f t="array" ref="D40">IFERROR(IF(LEFT(INDEX($F40:$AQ40,1,SUM(SMALL(IF($F40:$AQ40&lt;&gt;"",COLUMN($F40:$AQ40)),1)-5)),1)="x",SUM(SMALL(IF($F40:$AQ40&lt;&gt;"",$F$11:$AQ$11),1)+"0:15"),SMALL(IF($F40:$AQ40&lt;&gt;"",$F$11:$AQ$11),1)),"")</f>
        <v/>
      </c>
      <c r="E40" s="879">
        <f t="array" ref="E40">IFERROR(IF(LEFT(INDEX($F40:$AQ40,1,SUM(LARGE(IF($F40:$AQ40&lt;&gt;"",COLUMN($F40:$AQ40)),1)-5)),1)="x",SUM(LARGE(IF($F40:$AQ40&lt;&gt;"",$F$11:$AQ$11+"0:30:00"),1)-"0:15"),LARGE(IF($F40:$AQ40&lt;&gt;"",$F$11:$AQ$11+"0:30:00"),1)),"")</f>
        <v/>
      </c>
      <c r="F40" s="43" t="n"/>
      <c r="G40" s="42" t="n"/>
      <c r="H40" s="43" t="n"/>
      <c r="I40" s="42" t="n"/>
      <c r="J40" s="43" t="n"/>
      <c r="K40" s="41" t="n"/>
      <c r="L40" s="40" t="n"/>
      <c r="M40" s="42" t="n"/>
      <c r="N40" s="43" t="n"/>
      <c r="O40" s="41" t="n"/>
      <c r="P40" s="40" t="n"/>
      <c r="Q40" s="42" t="n"/>
      <c r="R40" s="43" t="n"/>
      <c r="S40" s="41" t="n"/>
      <c r="T40" s="40" t="n"/>
      <c r="U40" s="42" t="n"/>
      <c r="V40" s="43" t="n"/>
      <c r="W40" s="41" t="n"/>
      <c r="X40" s="40" t="n"/>
      <c r="Y40" s="42" t="n"/>
      <c r="Z40" s="43" t="n"/>
      <c r="AA40" s="41" t="n"/>
      <c r="AB40" s="40" t="n"/>
      <c r="AC40" s="42" t="n"/>
      <c r="AD40" s="43" t="n"/>
      <c r="AE40" s="41" t="n"/>
      <c r="AF40" s="40" t="n"/>
      <c r="AG40" s="42" t="n"/>
      <c r="AH40" s="43" t="n"/>
      <c r="AI40" s="41" t="inlineStr">
        <is>
          <t>vv</t>
        </is>
      </c>
      <c r="AJ40" s="40" t="inlineStr">
        <is>
          <t>vv</t>
        </is>
      </c>
      <c r="AK40" s="42" t="inlineStr">
        <is>
          <t>vv</t>
        </is>
      </c>
      <c r="AL40" s="43" t="inlineStr">
        <is>
          <t>vv</t>
        </is>
      </c>
      <c r="AM40" s="41" t="inlineStr">
        <is>
          <t>vv</t>
        </is>
      </c>
      <c r="AN40" s="645" t="inlineStr">
        <is>
          <t>vv</t>
        </is>
      </c>
      <c r="AO40" s="42" t="inlineStr">
        <is>
          <t>vv</t>
        </is>
      </c>
      <c r="AP40" s="43" t="n"/>
      <c r="AQ40" s="42" t="n"/>
      <c r="AR40" s="888">
        <f>IFERROR(IF(VLOOKUP($B40,Medewerker!$C$8:$Q$107,15,FALSE)="",VLOOKUP($B40,Medewerker!$C$8:$Q$107,13,FALSE),0),0)</f>
        <v/>
      </c>
      <c r="AS40" s="888">
        <f>IFERROR(IF(B40="",1,IF(VLOOKUP($B40,Medewerker!$C$8:$Q$107,15,FALSE)="",VLOOKUP($B40,Medewerker!$C$8:$Q$107,14,FALSE),0)),0)</f>
        <v/>
      </c>
      <c r="AT40" s="45" t="n"/>
      <c r="AU40" s="46">
        <f>(COUNTIF(F40:AQ40,"afw"))/2</f>
        <v/>
      </c>
      <c r="AV40" s="111">
        <f>((38-(COUNTIF(F40:AQ40,"")))/2)-(COUNTIF(F40:AQ40,"p")/2)-(COUNTIF(F40:AQ40,CONCATENATE("x","*"))/4)</f>
        <v/>
      </c>
      <c r="AW40" s="73">
        <f>IF($B40="","",VLOOKUP($B40,Medewerker!$C$8:$E$107,3,FALSE))</f>
        <v/>
      </c>
      <c r="AX40" s="403">
        <f>IFERROR(VLOOKUP($B40,Planning!$B$6:$AG$105,32,FALSE)*24,"")</f>
        <v/>
      </c>
      <c r="AY40" s="559" t="inlineStr">
        <is>
          <t>ver</t>
        </is>
      </c>
      <c r="AZ40" s="414" t="inlineStr">
        <is>
          <t>Vernietigen/Reststoffen</t>
        </is>
      </c>
      <c r="BA40" s="111">
        <f>COUNTIF($F$13:$AQ$63,CONCATENATE(AY40,"*"))/2+COUNTIF($F$13:$AQ$63,CONCATENATE("x",AY40,"*"))/4</f>
        <v/>
      </c>
      <c r="BB40" s="838" t="n"/>
      <c r="BC40" s="31">
        <f>IF(Planning!B33="","",Planning!B33)</f>
        <v/>
      </c>
      <c r="BD40" s="105" t="n"/>
      <c r="BE40" s="885">
        <f>Planning!E33</f>
        <v/>
      </c>
      <c r="BF40" s="885">
        <f>Planning!F33</f>
        <v/>
      </c>
      <c r="BG40" s="886" t="n"/>
      <c r="BH40" s="105" t="n"/>
      <c r="BI40" s="885">
        <f>Planning!I33</f>
        <v/>
      </c>
      <c r="BJ40" s="885">
        <f>Planning!J33</f>
        <v/>
      </c>
      <c r="BK40" s="886" t="n"/>
      <c r="BL40" s="105" t="n"/>
      <c r="BM40" s="885">
        <f>Planning!M33</f>
        <v/>
      </c>
      <c r="BN40" s="885">
        <f>Planning!N33</f>
        <v/>
      </c>
      <c r="BO40" s="886" t="n"/>
      <c r="BP40" s="105" t="n"/>
      <c r="BQ40" s="885">
        <f>Planning!Q33</f>
        <v/>
      </c>
      <c r="BR40" s="885">
        <f>Planning!R33</f>
        <v/>
      </c>
      <c r="BS40" s="886" t="n"/>
      <c r="BT40" s="105" t="n"/>
      <c r="BU40" s="885">
        <f>Planning!U33</f>
        <v/>
      </c>
      <c r="BV40" s="885">
        <f>Planning!V33</f>
        <v/>
      </c>
      <c r="BW40" s="886" t="n"/>
      <c r="BX40" s="105" t="n"/>
      <c r="BY40" s="885">
        <f>Planning!Y33</f>
        <v/>
      </c>
      <c r="BZ40" s="885">
        <f>Planning!Z33</f>
        <v/>
      </c>
      <c r="CA40" s="886" t="n"/>
      <c r="CB40" s="105" t="n"/>
      <c r="CC40" s="885">
        <f>Planning!AC33</f>
        <v/>
      </c>
      <c r="CD40" s="885">
        <f>Planning!AD33</f>
        <v/>
      </c>
      <c r="CE40" s="886" t="n"/>
      <c r="CF40" s="105" t="n"/>
      <c r="CG40" s="887">
        <f>Planning!AG33</f>
        <v/>
      </c>
      <c r="CH40" s="105" t="n"/>
      <c r="CI40" s="252">
        <f>IF(BC40="","",Planning!AI33)</f>
        <v/>
      </c>
      <c r="CJ40" s="252">
        <f>IF(BC40="","",Planning!AJ33)</f>
        <v/>
      </c>
      <c r="CK40" s="252">
        <f>IF(BC40="","",Planning!AK33)</f>
        <v/>
      </c>
      <c r="CL40" s="252">
        <f>IF(BC40="","",Planning!AH33)</f>
        <v/>
      </c>
      <c r="CM40" s="21" t="n"/>
    </row>
    <row r="41" ht="12.75" customHeight="1">
      <c r="A41" s="161">
        <f>IFERROR(IF(VLOOKUP($B41,$BC$13:$CL$86,36,FALSE)&gt;5,0,IF(COUNTIF($B$13:$B$63,$B41)&gt;1,0,29)),29)+IF(B41&lt;&gt;0,0,IF(AV41&gt;0,0.000001,0))</f>
        <v/>
      </c>
      <c r="B41" s="129" t="n"/>
      <c r="C41" s="48">
        <f>IFERROR(IF($B41="","",VLOOKUP($B41,Medewerker!$C$8:$AI$107,33,FALSE)),"?")</f>
        <v/>
      </c>
      <c r="D41" s="879">
        <f t="array" ref="D41">IFERROR(IF(LEFT(INDEX($F41:$AQ41,1,SUM(SMALL(IF($F41:$AQ41&lt;&gt;"",COLUMN($F41:$AQ41)),1)-5)),1)="x",SUM(SMALL(IF($F41:$AQ41&lt;&gt;"",$F$11:$AQ$11),1)+"0:15"),SMALL(IF($F41:$AQ41&lt;&gt;"",$F$11:$AQ$11),1)),"")</f>
        <v/>
      </c>
      <c r="E41" s="879">
        <f t="array" ref="E41">IFERROR(IF(LEFT(INDEX($F41:$AQ41,1,SUM(LARGE(IF($F41:$AQ41&lt;&gt;"",COLUMN($F41:$AQ41)),1)-5)),1)="x",SUM(LARGE(IF($F41:$AQ41&lt;&gt;"",$F$11:$AQ$11+"0:30:00"),1)-"0:15"),LARGE(IF($F41:$AQ41&lt;&gt;"",$F$11:$AQ$11+"0:30:00"),1)),"")</f>
        <v/>
      </c>
      <c r="F41" s="43" t="n"/>
      <c r="G41" s="42" t="n"/>
      <c r="H41" s="43" t="n"/>
      <c r="I41" s="42" t="n"/>
      <c r="J41" s="43" t="n"/>
      <c r="K41" s="41" t="n"/>
      <c r="L41" s="40" t="n"/>
      <c r="M41" s="42" t="n"/>
      <c r="N41" s="43" t="n"/>
      <c r="O41" s="41" t="n"/>
      <c r="P41" s="40" t="n"/>
      <c r="Q41" s="42" t="n"/>
      <c r="R41" s="43" t="n"/>
      <c r="S41" s="41" t="n"/>
      <c r="T41" s="40" t="n"/>
      <c r="U41" s="42" t="n"/>
      <c r="V41" s="43" t="n"/>
      <c r="W41" s="41" t="n"/>
      <c r="X41" s="40" t="n"/>
      <c r="Y41" s="42" t="n"/>
      <c r="Z41" s="43" t="n"/>
      <c r="AA41" s="41" t="n"/>
      <c r="AB41" s="40" t="n"/>
      <c r="AC41" s="42" t="n"/>
      <c r="AD41" s="43" t="n"/>
      <c r="AE41" s="41" t="n"/>
      <c r="AF41" s="40" t="n"/>
      <c r="AG41" s="42" t="n"/>
      <c r="AH41" s="43" t="n"/>
      <c r="AI41" s="41" t="n"/>
      <c r="AJ41" s="40" t="n"/>
      <c r="AK41" s="42" t="n"/>
      <c r="AL41" s="43" t="n"/>
      <c r="AM41" s="41" t="n"/>
      <c r="AN41" s="645" t="n"/>
      <c r="AO41" s="42" t="n"/>
      <c r="AP41" s="43" t="n"/>
      <c r="AQ41" s="42" t="n"/>
      <c r="AR41" s="888">
        <f>IFERROR(IF(VLOOKUP($B41,Medewerker!$C$8:$Q$107,15,FALSE)="",VLOOKUP($B41,Medewerker!$C$8:$Q$107,13,FALSE),0),0)</f>
        <v/>
      </c>
      <c r="AS41" s="888">
        <f>IFERROR(IF(B41="",1,IF(VLOOKUP($B41,Medewerker!$C$8:$Q$107,15,FALSE)="",VLOOKUP($B41,Medewerker!$C$8:$Q$107,14,FALSE),0)),0)</f>
        <v/>
      </c>
      <c r="AT41" s="45" t="n"/>
      <c r="AU41" s="46">
        <f>(COUNTIF(F41:AQ41,"afw"))/2</f>
        <v/>
      </c>
      <c r="AV41" s="111">
        <f>((38-(COUNTIF(F41:AQ41,"")))/2)-(COUNTIF(F41:AQ41,"p")/2)-(COUNTIF(F41:AQ41,CONCATENATE("x","*"))/4)</f>
        <v/>
      </c>
      <c r="AW41" s="73">
        <f>IF($B41="","",VLOOKUP($B41,Medewerker!$C$8:$E$107,3,FALSE))</f>
        <v/>
      </c>
      <c r="AX41" s="403">
        <f>IFERROR(VLOOKUP($B41,Planning!$B$6:$AG$105,32,FALSE)*24,"")</f>
        <v/>
      </c>
      <c r="AY41" s="891" t="inlineStr">
        <is>
          <t>Promo/Presentatie</t>
        </is>
      </c>
      <c r="AZ41" s="883" t="n"/>
      <c r="BA41" s="884" t="n"/>
      <c r="BB41" s="838" t="n"/>
      <c r="BC41" s="31">
        <f>IF(Planning!B34="","",Planning!B34)</f>
        <v/>
      </c>
      <c r="BD41" s="105" t="n"/>
      <c r="BE41" s="885">
        <f>Planning!E34</f>
        <v/>
      </c>
      <c r="BF41" s="885">
        <f>Planning!F34</f>
        <v/>
      </c>
      <c r="BG41" s="886" t="n"/>
      <c r="BH41" s="105" t="n"/>
      <c r="BI41" s="885">
        <f>Planning!I34</f>
        <v/>
      </c>
      <c r="BJ41" s="885">
        <f>Planning!J34</f>
        <v/>
      </c>
      <c r="BK41" s="886" t="n"/>
      <c r="BL41" s="105" t="n"/>
      <c r="BM41" s="885">
        <f>Planning!M34</f>
        <v/>
      </c>
      <c r="BN41" s="885">
        <f>Planning!N34</f>
        <v/>
      </c>
      <c r="BO41" s="886" t="n"/>
      <c r="BP41" s="105" t="n"/>
      <c r="BQ41" s="885">
        <f>Planning!Q34</f>
        <v/>
      </c>
      <c r="BR41" s="885">
        <f>Planning!R34</f>
        <v/>
      </c>
      <c r="BS41" s="886" t="n"/>
      <c r="BT41" s="105" t="n"/>
      <c r="BU41" s="885">
        <f>Planning!U34</f>
        <v/>
      </c>
      <c r="BV41" s="885">
        <f>Planning!V34</f>
        <v/>
      </c>
      <c r="BW41" s="886" t="n"/>
      <c r="BX41" s="105" t="n"/>
      <c r="BY41" s="885">
        <f>Planning!Y34</f>
        <v/>
      </c>
      <c r="BZ41" s="885">
        <f>Planning!Z34</f>
        <v/>
      </c>
      <c r="CA41" s="886" t="n"/>
      <c r="CB41" s="105" t="n"/>
      <c r="CC41" s="885">
        <f>Planning!AC34</f>
        <v/>
      </c>
      <c r="CD41" s="885">
        <f>Planning!AD34</f>
        <v/>
      </c>
      <c r="CE41" s="886" t="n"/>
      <c r="CF41" s="105" t="n"/>
      <c r="CG41" s="887">
        <f>Planning!AG34</f>
        <v/>
      </c>
      <c r="CH41" s="105" t="n"/>
      <c r="CI41" s="252">
        <f>IF(BC41="","",Planning!AI34)</f>
        <v/>
      </c>
      <c r="CJ41" s="252">
        <f>IF(BC41="","",Planning!AJ34)</f>
        <v/>
      </c>
      <c r="CK41" s="252">
        <f>IF(BC41="","",Planning!AK34)</f>
        <v/>
      </c>
      <c r="CL41" s="252">
        <f>IF(BC41="","",Planning!AH34)</f>
        <v/>
      </c>
      <c r="CM41" s="21" t="n"/>
    </row>
    <row r="42" ht="12.75" customHeight="1">
      <c r="A42" s="161">
        <f>IFERROR(IF(VLOOKUP($B42,$BC$13:$CL$86,36,FALSE)&gt;5,0,IF(COUNTIF($B$13:$B$63,$B42)&gt;1,0,30)),30)+IF(B42&lt;&gt;0,0,IF(AV42&gt;0,0.000001,0))</f>
        <v/>
      </c>
      <c r="B42" s="129" t="n"/>
      <c r="C42" s="48">
        <f>IFERROR(IF($B42="","",VLOOKUP($B42,Medewerker!$C$8:$AI$107,33,FALSE)),"?")</f>
        <v/>
      </c>
      <c r="D42" s="879">
        <f t="array" ref="D42">IFERROR(IF(LEFT(INDEX($F42:$AQ42,1,SUM(SMALL(IF($F42:$AQ42&lt;&gt;"",COLUMN($F42:$AQ42)),1)-5)),1)="x",SUM(SMALL(IF($F42:$AQ42&lt;&gt;"",$F$11:$AQ$11),1)+"0:15"),SMALL(IF($F42:$AQ42&lt;&gt;"",$F$11:$AQ$11),1)),"")</f>
        <v/>
      </c>
      <c r="E42" s="879">
        <f t="array" ref="E42">IFERROR(IF(LEFT(INDEX($F42:$AQ42,1,SUM(LARGE(IF($F42:$AQ42&lt;&gt;"",COLUMN($F42:$AQ42)),1)-5)),1)="x",SUM(LARGE(IF($F42:$AQ42&lt;&gt;"",$F$11:$AQ$11+"0:30:00"),1)-"0:15"),LARGE(IF($F42:$AQ42&lt;&gt;"",$F$11:$AQ$11+"0:30:00"),1)),"")</f>
        <v/>
      </c>
      <c r="F42" s="43" t="n"/>
      <c r="G42" s="42" t="n"/>
      <c r="H42" s="43" t="n"/>
      <c r="I42" s="42" t="n"/>
      <c r="J42" s="43" t="n"/>
      <c r="K42" s="41" t="n"/>
      <c r="L42" s="40" t="n"/>
      <c r="M42" s="42" t="n"/>
      <c r="N42" s="43" t="n"/>
      <c r="O42" s="41" t="n"/>
      <c r="P42" s="40" t="n"/>
      <c r="Q42" s="42" t="n"/>
      <c r="R42" s="43" t="n"/>
      <c r="S42" s="41" t="n"/>
      <c r="T42" s="40" t="n"/>
      <c r="U42" s="42" t="n"/>
      <c r="V42" s="43" t="n"/>
      <c r="W42" s="41" t="n"/>
      <c r="X42" s="40" t="n"/>
      <c r="Y42" s="42" t="n"/>
      <c r="Z42" s="43" t="n"/>
      <c r="AA42" s="41" t="n"/>
      <c r="AB42" s="40" t="n"/>
      <c r="AC42" s="42" t="n"/>
      <c r="AD42" s="43" t="n"/>
      <c r="AE42" s="41" t="n"/>
      <c r="AF42" s="40" t="n"/>
      <c r="AG42" s="42" t="n"/>
      <c r="AH42" s="43" t="n"/>
      <c r="AI42" s="41" t="n"/>
      <c r="AJ42" s="40" t="n"/>
      <c r="AK42" s="42" t="n"/>
      <c r="AL42" s="43" t="n"/>
      <c r="AM42" s="41" t="n"/>
      <c r="AN42" s="645" t="n"/>
      <c r="AO42" s="42" t="n"/>
      <c r="AP42" s="43" t="n"/>
      <c r="AQ42" s="42" t="n"/>
      <c r="AR42" s="888">
        <f>IFERROR(IF(VLOOKUP($B42,Medewerker!$C$8:$Q$107,15,FALSE)="",VLOOKUP($B42,Medewerker!$C$8:$Q$107,13,FALSE),0),0)</f>
        <v/>
      </c>
      <c r="AS42" s="888">
        <f>IFERROR(IF(B42="",1,IF(VLOOKUP($B42,Medewerker!$C$8:$Q$107,15,FALSE)="",VLOOKUP($B42,Medewerker!$C$8:$Q$107,14,FALSE),0)),0)</f>
        <v/>
      </c>
      <c r="AT42" s="45" t="n"/>
      <c r="AU42" s="46">
        <f>(COUNTIF(F42:AQ42,"afw"))/2</f>
        <v/>
      </c>
      <c r="AV42" s="111">
        <f>((38-(COUNTIF(F42:AQ42,"")))/2)-(COUNTIF(F42:AQ42,"p")/2)-(COUNTIF(F42:AQ42,CONCATENATE("x","*"))/4)</f>
        <v/>
      </c>
      <c r="AW42" s="73">
        <f>IF($B42="","",VLOOKUP($B42,Medewerker!$C$8:$E$107,3,FALSE))</f>
        <v/>
      </c>
      <c r="AX42" s="403">
        <f>IFERROR(VLOOKUP($B42,Planning!$B$6:$AG$105,32,FALSE)*24,"")</f>
        <v/>
      </c>
      <c r="AY42" s="559" t="inlineStr">
        <is>
          <t>act</t>
        </is>
      </c>
      <c r="AZ42" s="71" t="inlineStr">
        <is>
          <t>Actieopbouw</t>
        </is>
      </c>
      <c r="BA42" s="111">
        <f>COUNTIF($F$13:$AQ$63,CONCATENATE(AY42,"*"))/2+COUNTIF($F$13:$AQ$63,CONCATENATE("x",AY42,"*"))/4</f>
        <v/>
      </c>
      <c r="BB42" s="838" t="n"/>
      <c r="BC42" s="31">
        <f>IF(Planning!B35="","",Planning!B35)</f>
        <v/>
      </c>
      <c r="BD42" s="105" t="n"/>
      <c r="BE42" s="885">
        <f>Planning!E35</f>
        <v/>
      </c>
      <c r="BF42" s="885">
        <f>Planning!F35</f>
        <v/>
      </c>
      <c r="BG42" s="886" t="n"/>
      <c r="BH42" s="105" t="n"/>
      <c r="BI42" s="885">
        <f>Planning!I35</f>
        <v/>
      </c>
      <c r="BJ42" s="885">
        <f>Planning!J35</f>
        <v/>
      </c>
      <c r="BK42" s="886" t="n"/>
      <c r="BL42" s="105" t="n"/>
      <c r="BM42" s="885">
        <f>Planning!M35</f>
        <v/>
      </c>
      <c r="BN42" s="885">
        <f>Planning!N35</f>
        <v/>
      </c>
      <c r="BO42" s="886" t="n"/>
      <c r="BP42" s="105" t="n"/>
      <c r="BQ42" s="885">
        <f>Planning!Q35</f>
        <v/>
      </c>
      <c r="BR42" s="885">
        <f>Planning!R35</f>
        <v/>
      </c>
      <c r="BS42" s="886" t="n"/>
      <c r="BT42" s="105" t="n"/>
      <c r="BU42" s="885">
        <f>Planning!U35</f>
        <v/>
      </c>
      <c r="BV42" s="885">
        <f>Planning!V35</f>
        <v/>
      </c>
      <c r="BW42" s="886" t="n"/>
      <c r="BX42" s="105" t="n"/>
      <c r="BY42" s="885">
        <f>Planning!Y35</f>
        <v/>
      </c>
      <c r="BZ42" s="885">
        <f>Planning!Z35</f>
        <v/>
      </c>
      <c r="CA42" s="886" t="n"/>
      <c r="CB42" s="105" t="n"/>
      <c r="CC42" s="885">
        <f>Planning!AC35</f>
        <v/>
      </c>
      <c r="CD42" s="885">
        <f>Planning!AD35</f>
        <v/>
      </c>
      <c r="CE42" s="886" t="n"/>
      <c r="CF42" s="105" t="n"/>
      <c r="CG42" s="887">
        <f>Planning!AG35</f>
        <v/>
      </c>
      <c r="CH42" s="105" t="n"/>
      <c r="CI42" s="252">
        <f>IF(BC42="","",Planning!AI35)</f>
        <v/>
      </c>
      <c r="CJ42" s="252">
        <f>IF(BC42="","",Planning!AJ35)</f>
        <v/>
      </c>
      <c r="CK42" s="252">
        <f>IF(BC42="","",Planning!AK35)</f>
        <v/>
      </c>
      <c r="CL42" s="252">
        <f>IF(BC42="","",Planning!AH35)</f>
        <v/>
      </c>
      <c r="CM42" s="21" t="n"/>
    </row>
    <row r="43" ht="12.75" customHeight="1">
      <c r="A43" s="161">
        <f>IFERROR(IF(VLOOKUP($B43,$BC$13:$CL$86,36,FALSE)&gt;5,0,IF(COUNTIF($B$13:$B$63,$B43)&gt;1,0,31)),31)+IF(B43&lt;&gt;0,0,IF(AV43&gt;0,0.000001,0))</f>
        <v/>
      </c>
      <c r="B43" s="129" t="n"/>
      <c r="C43" s="48">
        <f>IFERROR(IF($B43="","",VLOOKUP($B43,Medewerker!$C$8:$AI$107,33,FALSE)),"?")</f>
        <v/>
      </c>
      <c r="D43" s="879">
        <f t="array" ref="D43">IFERROR(IF(LEFT(INDEX($F43:$AQ43,1,SUM(SMALL(IF($F43:$AQ43&lt;&gt;"",COLUMN($F43:$AQ43)),1)-5)),1)="x",SUM(SMALL(IF($F43:$AQ43&lt;&gt;"",$F$11:$AQ$11),1)+"0:15"),SMALL(IF($F43:$AQ43&lt;&gt;"",$F$11:$AQ$11),1)),"")</f>
        <v/>
      </c>
      <c r="E43" s="879">
        <f t="array" ref="E43">IFERROR(IF(LEFT(INDEX($F43:$AQ43,1,SUM(LARGE(IF($F43:$AQ43&lt;&gt;"",COLUMN($F43:$AQ43)),1)-5)),1)="x",SUM(LARGE(IF($F43:$AQ43&lt;&gt;"",$F$11:$AQ$11+"0:30:00"),1)-"0:15"),LARGE(IF($F43:$AQ43&lt;&gt;"",$F$11:$AQ$11+"0:30:00"),1)),"")</f>
        <v/>
      </c>
      <c r="F43" s="43" t="n"/>
      <c r="G43" s="42" t="n"/>
      <c r="H43" s="43" t="n"/>
      <c r="I43" s="42" t="n"/>
      <c r="J43" s="43" t="n"/>
      <c r="K43" s="41" t="n"/>
      <c r="L43" s="40" t="n"/>
      <c r="M43" s="42" t="n"/>
      <c r="N43" s="43" t="n"/>
      <c r="O43" s="41" t="n"/>
      <c r="P43" s="40" t="n"/>
      <c r="Q43" s="42" t="n"/>
      <c r="R43" s="43" t="n"/>
      <c r="S43" s="41" t="n"/>
      <c r="T43" s="40" t="n"/>
      <c r="U43" s="42" t="n"/>
      <c r="V43" s="43" t="n"/>
      <c r="W43" s="41" t="n"/>
      <c r="X43" s="40" t="n"/>
      <c r="Y43" s="42" t="n"/>
      <c r="Z43" s="43" t="n"/>
      <c r="AA43" s="41" t="n"/>
      <c r="AB43" s="40" t="n"/>
      <c r="AC43" s="42" t="n"/>
      <c r="AD43" s="43" t="n"/>
      <c r="AE43" s="41" t="n"/>
      <c r="AF43" s="40" t="n"/>
      <c r="AG43" s="42" t="n"/>
      <c r="AH43" s="43" t="n"/>
      <c r="AI43" s="41" t="n"/>
      <c r="AJ43" s="40" t="n"/>
      <c r="AK43" s="42" t="n"/>
      <c r="AL43" s="43" t="n"/>
      <c r="AM43" s="41" t="n"/>
      <c r="AN43" s="645" t="n"/>
      <c r="AO43" s="42" t="n"/>
      <c r="AP43" s="43" t="n"/>
      <c r="AQ43" s="42" t="n"/>
      <c r="AR43" s="888">
        <f>IFERROR(IF(VLOOKUP($B43,Medewerker!$C$8:$Q$107,15,FALSE)="",VLOOKUP($B43,Medewerker!$C$8:$Q$107,13,FALSE),0),0)</f>
        <v/>
      </c>
      <c r="AS43" s="888">
        <f>IFERROR(IF(B43="",1,IF(VLOOKUP($B43,Medewerker!$C$8:$Q$107,15,FALSE)="",VLOOKUP($B43,Medewerker!$C$8:$Q$107,14,FALSE),0)),0)</f>
        <v/>
      </c>
      <c r="AT43" s="45" t="n"/>
      <c r="AU43" s="46">
        <f>(COUNTIF(F43:AQ43,"afw"))/2</f>
        <v/>
      </c>
      <c r="AV43" s="111">
        <f>((38-(COUNTIF(F43:AQ43,"")))/2)-(COUNTIF(F43:AQ43,"p")/2)-(COUNTIF(F43:AQ43,CONCATENATE("x","*"))/4)</f>
        <v/>
      </c>
      <c r="AW43" s="73">
        <f>IF($B43="","",VLOOKUP($B43,Medewerker!$C$8:$E$107,3,FALSE))</f>
        <v/>
      </c>
      <c r="AX43" s="403">
        <f>IFERROR(VLOOKUP($B43,Planning!$B$6:$AG$105,32,FALSE)*24,"")</f>
        <v/>
      </c>
      <c r="AY43" s="559" t="inlineStr">
        <is>
          <t>com</t>
        </is>
      </c>
      <c r="AZ43" s="71" t="inlineStr">
        <is>
          <t>Comco sorteren</t>
        </is>
      </c>
      <c r="BA43" s="111">
        <f>COUNTIF($F$13:$AQ$63,CONCATENATE(AY43,"*"))/2+COUNTIF($F$13:$AQ$63,CONCATENATE("x",AY43,"*"))/4</f>
        <v/>
      </c>
      <c r="BB43" s="838" t="n"/>
      <c r="BC43" s="31">
        <f>IF(Planning!B36="","",Planning!B36)</f>
        <v/>
      </c>
      <c r="BD43" s="105" t="n"/>
      <c r="BE43" s="885">
        <f>Planning!E36</f>
        <v/>
      </c>
      <c r="BF43" s="885">
        <f>Planning!F36</f>
        <v/>
      </c>
      <c r="BG43" s="886" t="n"/>
      <c r="BH43" s="105" t="n"/>
      <c r="BI43" s="885">
        <f>Planning!I36</f>
        <v/>
      </c>
      <c r="BJ43" s="885">
        <f>Planning!J36</f>
        <v/>
      </c>
      <c r="BK43" s="886" t="n"/>
      <c r="BL43" s="105" t="n"/>
      <c r="BM43" s="885">
        <f>Planning!M36</f>
        <v/>
      </c>
      <c r="BN43" s="885">
        <f>Planning!N36</f>
        <v/>
      </c>
      <c r="BO43" s="886" t="n"/>
      <c r="BP43" s="105" t="n"/>
      <c r="BQ43" s="885">
        <f>Planning!Q36</f>
        <v/>
      </c>
      <c r="BR43" s="885">
        <f>Planning!R36</f>
        <v/>
      </c>
      <c r="BS43" s="886" t="n"/>
      <c r="BT43" s="105" t="n"/>
      <c r="BU43" s="885">
        <f>Planning!U36</f>
        <v/>
      </c>
      <c r="BV43" s="885">
        <f>Planning!V36</f>
        <v/>
      </c>
      <c r="BW43" s="886" t="n"/>
      <c r="BX43" s="105" t="n"/>
      <c r="BY43" s="885">
        <f>Planning!Y36</f>
        <v/>
      </c>
      <c r="BZ43" s="885">
        <f>Planning!Z36</f>
        <v/>
      </c>
      <c r="CA43" s="886" t="n"/>
      <c r="CB43" s="105" t="n"/>
      <c r="CC43" s="885">
        <f>Planning!AC36</f>
        <v/>
      </c>
      <c r="CD43" s="885">
        <f>Planning!AD36</f>
        <v/>
      </c>
      <c r="CE43" s="886" t="n"/>
      <c r="CF43" s="105" t="n"/>
      <c r="CG43" s="887">
        <f>Planning!AG36</f>
        <v/>
      </c>
      <c r="CH43" s="105" t="n"/>
      <c r="CI43" s="252">
        <f>IF(BC43="","",Planning!AI36)</f>
        <v/>
      </c>
      <c r="CJ43" s="252">
        <f>IF(BC43="","",Planning!AJ36)</f>
        <v/>
      </c>
      <c r="CK43" s="252">
        <f>IF(BC43="","",Planning!AK36)</f>
        <v/>
      </c>
      <c r="CL43" s="252">
        <f>IF(BC43="","",Planning!AH36)</f>
        <v/>
      </c>
      <c r="CM43" s="21" t="n"/>
    </row>
    <row r="44" ht="12.75" customHeight="1">
      <c r="A44" s="161">
        <f>IFERROR(IF(VLOOKUP($B44,$BC$13:$CL$86,36,FALSE)&gt;5,0,IF(COUNTIF($B$13:$B$63,$B44)&gt;1,0,32)),32)+IF(B44&lt;&gt;0,0,IF(AV44&gt;0,0.000001,0))</f>
        <v/>
      </c>
      <c r="B44" s="129" t="n"/>
      <c r="C44" s="48">
        <f>IFERROR(IF($B44="","",VLOOKUP($B44,Medewerker!$C$8:$AI$107,33,FALSE)),"?")</f>
        <v/>
      </c>
      <c r="D44" s="879">
        <f t="array" ref="D44">IFERROR(IF(LEFT(INDEX($F44:$AQ44,1,SUM(SMALL(IF($F44:$AQ44&lt;&gt;"",COLUMN($F44:$AQ44)),1)-5)),1)="x",SUM(SMALL(IF($F44:$AQ44&lt;&gt;"",$F$11:$AQ$11),1)+"0:15"),SMALL(IF($F44:$AQ44&lt;&gt;"",$F$11:$AQ$11),1)),"")</f>
        <v/>
      </c>
      <c r="E44" s="879">
        <f t="array" ref="E44">IFERROR(IF(LEFT(INDEX($F44:$AQ44,1,SUM(LARGE(IF($F44:$AQ44&lt;&gt;"",COLUMN($F44:$AQ44)),1)-5)),1)="x",SUM(LARGE(IF($F44:$AQ44&lt;&gt;"",$F$11:$AQ$11+"0:30:00"),1)-"0:15"),LARGE(IF($F44:$AQ44&lt;&gt;"",$F$11:$AQ$11+"0:30:00"),1)),"")</f>
        <v/>
      </c>
      <c r="F44" s="43" t="n"/>
      <c r="G44" s="42" t="n"/>
      <c r="H44" s="43" t="n"/>
      <c r="I44" s="42" t="n"/>
      <c r="J44" s="43" t="n"/>
      <c r="K44" s="41" t="n"/>
      <c r="L44" s="40" t="n"/>
      <c r="M44" s="42" t="n"/>
      <c r="N44" s="43" t="n"/>
      <c r="O44" s="41" t="n"/>
      <c r="P44" s="40" t="n"/>
      <c r="Q44" s="42" t="n"/>
      <c r="R44" s="43" t="n"/>
      <c r="S44" s="41" t="n"/>
      <c r="T44" s="40" t="n"/>
      <c r="U44" s="42" t="n"/>
      <c r="V44" s="43" t="n"/>
      <c r="W44" s="41" t="n"/>
      <c r="X44" s="40" t="n"/>
      <c r="Y44" s="42" t="n"/>
      <c r="Z44" s="43" t="n"/>
      <c r="AA44" s="41" t="n"/>
      <c r="AB44" s="40" t="n"/>
      <c r="AC44" s="42" t="n"/>
      <c r="AD44" s="43" t="n"/>
      <c r="AE44" s="41" t="n"/>
      <c r="AF44" s="40" t="n"/>
      <c r="AG44" s="42" t="n"/>
      <c r="AH44" s="43" t="n"/>
      <c r="AI44" s="41" t="n"/>
      <c r="AJ44" s="40" t="n"/>
      <c r="AK44" s="42" t="n"/>
      <c r="AL44" s="43" t="n"/>
      <c r="AM44" s="41" t="n"/>
      <c r="AN44" s="645" t="n"/>
      <c r="AO44" s="42" t="n"/>
      <c r="AP44" s="43" t="n"/>
      <c r="AQ44" s="42" t="n"/>
      <c r="AR44" s="888">
        <f>IFERROR(IF(VLOOKUP($B44,Medewerker!$C$8:$Q$107,15,FALSE)="",VLOOKUP($B44,Medewerker!$C$8:$Q$107,13,FALSE),0),0)</f>
        <v/>
      </c>
      <c r="AS44" s="888">
        <f>IFERROR(IF(B44="",1,IF(VLOOKUP($B44,Medewerker!$C$8:$Q$107,15,FALSE)="",VLOOKUP($B44,Medewerker!$C$8:$Q$107,14,FALSE),0)),0)</f>
        <v/>
      </c>
      <c r="AT44" s="45" t="n"/>
      <c r="AU44" s="46">
        <f>(COUNTIF(F44:AQ44,"afw"))/2</f>
        <v/>
      </c>
      <c r="AV44" s="111">
        <f>((38-(COUNTIF(F44:AQ44,"")))/2)-(COUNTIF(F44:AQ44,"p")/2)-(COUNTIF(F44:AQ44,CONCATENATE("x","*"))/4)</f>
        <v/>
      </c>
      <c r="AW44" s="73">
        <f>IF($B44="","",VLOOKUP($B44,Medewerker!$C$8:$E$107,3,FALSE))</f>
        <v/>
      </c>
      <c r="AX44" s="403">
        <f>IFERROR(VLOOKUP($B44,Planning!$B$6:$AG$105,32,FALSE)*24,"")</f>
        <v/>
      </c>
      <c r="AY44" s="558" t="inlineStr">
        <is>
          <t>pro</t>
        </is>
      </c>
      <c r="AZ44" s="71" t="inlineStr">
        <is>
          <t>Promotie</t>
        </is>
      </c>
      <c r="BA44" s="111">
        <f>COUNTIF($F$13:$AQ$63,CONCATENATE(AY44,"*"))/2+COUNTIF($F$13:$AQ$63,CONCATENATE("x",AY44,"*"))/4</f>
        <v/>
      </c>
      <c r="BB44" s="838" t="n"/>
      <c r="BC44" s="31">
        <f>IF(Planning!B37="","",Planning!B37)</f>
        <v/>
      </c>
      <c r="BD44" s="105" t="n"/>
      <c r="BE44" s="885">
        <f>Planning!E37</f>
        <v/>
      </c>
      <c r="BF44" s="885">
        <f>Planning!F37</f>
        <v/>
      </c>
      <c r="BG44" s="886" t="n"/>
      <c r="BH44" s="105" t="n"/>
      <c r="BI44" s="885">
        <f>Planning!I37</f>
        <v/>
      </c>
      <c r="BJ44" s="885">
        <f>Planning!J37</f>
        <v/>
      </c>
      <c r="BK44" s="886" t="n"/>
      <c r="BL44" s="105" t="n"/>
      <c r="BM44" s="885">
        <f>Planning!M37</f>
        <v/>
      </c>
      <c r="BN44" s="885">
        <f>Planning!N37</f>
        <v/>
      </c>
      <c r="BO44" s="886" t="n"/>
      <c r="BP44" s="105" t="n"/>
      <c r="BQ44" s="885">
        <f>Planning!Q37</f>
        <v/>
      </c>
      <c r="BR44" s="885">
        <f>Planning!R37</f>
        <v/>
      </c>
      <c r="BS44" s="886" t="n"/>
      <c r="BT44" s="105" t="n"/>
      <c r="BU44" s="885">
        <f>Planning!U37</f>
        <v/>
      </c>
      <c r="BV44" s="885">
        <f>Planning!V37</f>
        <v/>
      </c>
      <c r="BW44" s="886" t="n"/>
      <c r="BX44" s="105" t="n"/>
      <c r="BY44" s="885">
        <f>Planning!Y37</f>
        <v/>
      </c>
      <c r="BZ44" s="885">
        <f>Planning!Z37</f>
        <v/>
      </c>
      <c r="CA44" s="886" t="n"/>
      <c r="CB44" s="105" t="n"/>
      <c r="CC44" s="885">
        <f>Planning!AC37</f>
        <v/>
      </c>
      <c r="CD44" s="885">
        <f>Planning!AD37</f>
        <v/>
      </c>
      <c r="CE44" s="886" t="n"/>
      <c r="CF44" s="105" t="n"/>
      <c r="CG44" s="887">
        <f>Planning!AG37</f>
        <v/>
      </c>
      <c r="CH44" s="105" t="n"/>
      <c r="CI44" s="252">
        <f>IF(BC44="","",Planning!AI37)</f>
        <v/>
      </c>
      <c r="CJ44" s="252">
        <f>IF(BC44="","",Planning!AJ37)</f>
        <v/>
      </c>
      <c r="CK44" s="252">
        <f>IF(BC44="","",Planning!AK37)</f>
        <v/>
      </c>
      <c r="CL44" s="252">
        <f>IF(BC44="","",Planning!AH37)</f>
        <v/>
      </c>
      <c r="CM44" s="21" t="n"/>
    </row>
    <row r="45" ht="12.75" customHeight="1">
      <c r="A45" s="161">
        <f>IFERROR(IF(VLOOKUP($B45,$BC$13:$CL$86,36,FALSE)&gt;5,0,IF(COUNTIF($B$13:$B$63,$B45)&gt;1,0,33)),33)+IF(B45&lt;&gt;0,0,IF(AV45&gt;0,0.000001,0))</f>
        <v/>
      </c>
      <c r="B45" s="129" t="n"/>
      <c r="C45" s="48">
        <f>IFERROR(IF($B45="","",VLOOKUP($B45,Medewerker!$C$8:$AI$107,33,FALSE)),"?")</f>
        <v/>
      </c>
      <c r="D45" s="879">
        <f t="array" ref="D45">IFERROR(IF(LEFT(INDEX($F45:$AQ45,1,SUM(SMALL(IF($F45:$AQ45&lt;&gt;"",COLUMN($F45:$AQ45)),1)-5)),1)="x",SUM(SMALL(IF($F45:$AQ45&lt;&gt;"",$F$11:$AQ$11),1)+"0:15"),SMALL(IF($F45:$AQ45&lt;&gt;"",$F$11:$AQ$11),1)),"")</f>
        <v/>
      </c>
      <c r="E45" s="879">
        <f t="array" ref="E45">IFERROR(IF(LEFT(INDEX($F45:$AQ45,1,SUM(LARGE(IF($F45:$AQ45&lt;&gt;"",COLUMN($F45:$AQ45)),1)-5)),1)="x",SUM(LARGE(IF($F45:$AQ45&lt;&gt;"",$F$11:$AQ$11+"0:30:00"),1)-"0:15"),LARGE(IF($F45:$AQ45&lt;&gt;"",$F$11:$AQ$11+"0:30:00"),1)),"")</f>
        <v/>
      </c>
      <c r="F45" s="43" t="n"/>
      <c r="G45" s="42" t="n"/>
      <c r="H45" s="43" t="n"/>
      <c r="I45" s="42" t="n"/>
      <c r="J45" s="43" t="n"/>
      <c r="K45" s="41" t="n"/>
      <c r="L45" s="40" t="n"/>
      <c r="M45" s="42" t="n"/>
      <c r="N45" s="43" t="n"/>
      <c r="O45" s="41" t="n"/>
      <c r="P45" s="40" t="n"/>
      <c r="Q45" s="42" t="n"/>
      <c r="R45" s="43" t="n"/>
      <c r="S45" s="41" t="n"/>
      <c r="T45" s="40" t="n"/>
      <c r="U45" s="42" t="n"/>
      <c r="V45" s="43" t="n"/>
      <c r="W45" s="41" t="n"/>
      <c r="X45" s="40" t="n"/>
      <c r="Y45" s="42" t="n"/>
      <c r="Z45" s="43" t="n"/>
      <c r="AA45" s="41" t="n"/>
      <c r="AB45" s="40" t="n"/>
      <c r="AC45" s="42" t="n"/>
      <c r="AD45" s="43" t="n"/>
      <c r="AE45" s="41" t="n"/>
      <c r="AF45" s="40" t="n"/>
      <c r="AG45" s="42" t="n"/>
      <c r="AH45" s="43" t="n"/>
      <c r="AI45" s="41" t="n"/>
      <c r="AJ45" s="40" t="n"/>
      <c r="AK45" s="42" t="n"/>
      <c r="AL45" s="43" t="n"/>
      <c r="AM45" s="41" t="n"/>
      <c r="AN45" s="645" t="n"/>
      <c r="AO45" s="42" t="n"/>
      <c r="AP45" s="43" t="n"/>
      <c r="AQ45" s="42" t="n"/>
      <c r="AR45" s="888">
        <f>IFERROR(IF(VLOOKUP($B45,Medewerker!$C$8:$Q$107,15,FALSE)="",VLOOKUP($B45,Medewerker!$C$8:$Q$107,13,FALSE),0),0)</f>
        <v/>
      </c>
      <c r="AS45" s="888">
        <f>IFERROR(IF(B45="",1,IF(VLOOKUP($B45,Medewerker!$C$8:$Q$107,15,FALSE)="",VLOOKUP($B45,Medewerker!$C$8:$Q$107,14,FALSE),0)),0)</f>
        <v/>
      </c>
      <c r="AT45" s="45" t="n"/>
      <c r="AU45" s="46">
        <f>(COUNTIF(F45:AQ45,"afw"))/2</f>
        <v/>
      </c>
      <c r="AV45" s="111">
        <f>((38-(COUNTIF(F45:AQ45,"")))/2)-(COUNTIF(F45:AQ45,"p")/2)-(COUNTIF(F45:AQ45,CONCATENATE("x","*"))/4)</f>
        <v/>
      </c>
      <c r="AW45" s="73">
        <f>IF($B45="","",VLOOKUP($B45,Medewerker!$C$8:$E$107,3,FALSE))</f>
        <v/>
      </c>
      <c r="AX45" s="403">
        <f>IFERROR(VLOOKUP($B45,Planning!$B$6:$AG$105,32,FALSE)*24,"")</f>
        <v/>
      </c>
      <c r="AY45" s="558" t="inlineStr">
        <is>
          <t>pw</t>
        </is>
      </c>
      <c r="AZ45" s="71" t="inlineStr">
        <is>
          <t>Prijswijzigingen</t>
        </is>
      </c>
      <c r="BA45" s="111">
        <f>COUNTIF($F$13:$AQ$63,CONCATENATE(AY45,"*"))/2+COUNTIF($F$13:$AQ$63,CONCATENATE("x",AY45,"*"))/4</f>
        <v/>
      </c>
      <c r="BB45" s="838" t="n"/>
      <c r="BC45" s="31">
        <f>IF(Planning!B38="","",Planning!B38)</f>
        <v/>
      </c>
      <c r="BD45" s="105" t="n"/>
      <c r="BE45" s="885">
        <f>Planning!E38</f>
        <v/>
      </c>
      <c r="BF45" s="885">
        <f>Planning!F38</f>
        <v/>
      </c>
      <c r="BG45" s="886" t="n"/>
      <c r="BH45" s="105" t="n"/>
      <c r="BI45" s="885">
        <f>Planning!I38</f>
        <v/>
      </c>
      <c r="BJ45" s="885">
        <f>Planning!J38</f>
        <v/>
      </c>
      <c r="BK45" s="886" t="n"/>
      <c r="BL45" s="105" t="n"/>
      <c r="BM45" s="885">
        <f>Planning!M38</f>
        <v/>
      </c>
      <c r="BN45" s="885">
        <f>Planning!N38</f>
        <v/>
      </c>
      <c r="BO45" s="886" t="n"/>
      <c r="BP45" s="105" t="n"/>
      <c r="BQ45" s="885">
        <f>Planning!Q38</f>
        <v/>
      </c>
      <c r="BR45" s="885">
        <f>Planning!R38</f>
        <v/>
      </c>
      <c r="BS45" s="886" t="n"/>
      <c r="BT45" s="105" t="n"/>
      <c r="BU45" s="885">
        <f>Planning!U38</f>
        <v/>
      </c>
      <c r="BV45" s="885">
        <f>Planning!V38</f>
        <v/>
      </c>
      <c r="BW45" s="886" t="n"/>
      <c r="BX45" s="105" t="n"/>
      <c r="BY45" s="885">
        <f>Planning!Y38</f>
        <v/>
      </c>
      <c r="BZ45" s="885">
        <f>Planning!Z38</f>
        <v/>
      </c>
      <c r="CA45" s="886" t="n"/>
      <c r="CB45" s="105" t="n"/>
      <c r="CC45" s="885">
        <f>Planning!AC38</f>
        <v/>
      </c>
      <c r="CD45" s="885">
        <f>Planning!AD38</f>
        <v/>
      </c>
      <c r="CE45" s="886" t="n"/>
      <c r="CF45" s="105" t="n"/>
      <c r="CG45" s="887">
        <f>Planning!AG38</f>
        <v/>
      </c>
      <c r="CH45" s="105" t="n"/>
      <c r="CI45" s="252">
        <f>IF(BC45="","",Planning!AI38)</f>
        <v/>
      </c>
      <c r="CJ45" s="252">
        <f>IF(BC45="","",Planning!AJ38)</f>
        <v/>
      </c>
      <c r="CK45" s="252">
        <f>IF(BC45="","",Planning!AK38)</f>
        <v/>
      </c>
      <c r="CL45" s="252">
        <f>IF(BC45="","",Planning!AH38)</f>
        <v/>
      </c>
      <c r="CM45" s="21" t="n"/>
    </row>
    <row r="46" ht="12.75" customHeight="1">
      <c r="A46" s="161">
        <f>IFERROR(IF(VLOOKUP($B46,$BC$13:$CL$86,36,FALSE)&gt;5,0,IF(COUNTIF($B$13:$B$63,$B46)&gt;1,0,34)),34)+IF(B46&lt;&gt;0,0,IF(AV46&gt;0,0.000001,0))</f>
        <v/>
      </c>
      <c r="B46" s="129" t="n"/>
      <c r="C46" s="48">
        <f>IFERROR(IF($B46="","",VLOOKUP($B46,Medewerker!$C$8:$AI$107,33,FALSE)),"?")</f>
        <v/>
      </c>
      <c r="D46" s="879">
        <f t="array" ref="D46">IFERROR(IF(LEFT(INDEX($F46:$AQ46,1,SUM(SMALL(IF($F46:$AQ46&lt;&gt;"",COLUMN($F46:$AQ46)),1)-5)),1)="x",SUM(SMALL(IF($F46:$AQ46&lt;&gt;"",$F$11:$AQ$11),1)+"0:15"),SMALL(IF($F46:$AQ46&lt;&gt;"",$F$11:$AQ$11),1)),"")</f>
        <v/>
      </c>
      <c r="E46" s="879">
        <f t="array" ref="E46">IFERROR(IF(LEFT(INDEX($F46:$AQ46,1,SUM(LARGE(IF($F46:$AQ46&lt;&gt;"",COLUMN($F46:$AQ46)),1)-5)),1)="x",SUM(LARGE(IF($F46:$AQ46&lt;&gt;"",$F$11:$AQ$11+"0:30:00"),1)-"0:15"),LARGE(IF($F46:$AQ46&lt;&gt;"",$F$11:$AQ$11+"0:30:00"),1)),"")</f>
        <v/>
      </c>
      <c r="F46" s="43" t="n"/>
      <c r="G46" s="42" t="n"/>
      <c r="H46" s="43" t="n"/>
      <c r="I46" s="42" t="n"/>
      <c r="J46" s="43" t="n"/>
      <c r="K46" s="41" t="n"/>
      <c r="L46" s="40" t="n"/>
      <c r="M46" s="42" t="n"/>
      <c r="N46" s="43" t="n"/>
      <c r="O46" s="41" t="n"/>
      <c r="P46" s="40" t="n"/>
      <c r="Q46" s="42" t="n"/>
      <c r="R46" s="43" t="n"/>
      <c r="S46" s="41" t="n"/>
      <c r="T46" s="40" t="n"/>
      <c r="U46" s="42" t="n"/>
      <c r="V46" s="43" t="n"/>
      <c r="W46" s="41" t="n"/>
      <c r="X46" s="40" t="n"/>
      <c r="Y46" s="42" t="n"/>
      <c r="Z46" s="43" t="n"/>
      <c r="AA46" s="41" t="n"/>
      <c r="AB46" s="40" t="n"/>
      <c r="AC46" s="42" t="n"/>
      <c r="AD46" s="43" t="n"/>
      <c r="AE46" s="41" t="n"/>
      <c r="AF46" s="40" t="n"/>
      <c r="AG46" s="42" t="n"/>
      <c r="AH46" s="43" t="n"/>
      <c r="AI46" s="41" t="n"/>
      <c r="AJ46" s="40" t="n"/>
      <c r="AK46" s="42" t="n"/>
      <c r="AL46" s="43" t="n"/>
      <c r="AM46" s="41" t="n"/>
      <c r="AN46" s="645" t="n"/>
      <c r="AO46" s="42" t="n"/>
      <c r="AP46" s="43" t="n"/>
      <c r="AQ46" s="42" t="n"/>
      <c r="AR46" s="888">
        <f>IFERROR(IF(VLOOKUP($B46,Medewerker!$C$8:$Q$107,15,FALSE)="",VLOOKUP($B46,Medewerker!$C$8:$Q$107,13,FALSE),0),0)</f>
        <v/>
      </c>
      <c r="AS46" s="888">
        <f>IFERROR(IF(B46="",1,IF(VLOOKUP($B46,Medewerker!$C$8:$Q$107,15,FALSE)="",VLOOKUP($B46,Medewerker!$C$8:$Q$107,14,FALSE),0)),0)</f>
        <v/>
      </c>
      <c r="AT46" s="45" t="n"/>
      <c r="AU46" s="46">
        <f>(COUNTIF(F46:AQ46,"afw"))/2</f>
        <v/>
      </c>
      <c r="AV46" s="111">
        <f>((38-(COUNTIF(F46:AQ46,"")))/2)-(COUNTIF(F46:AQ46,"p")/2)-(COUNTIF(F46:AQ46,CONCATENATE("x","*"))/4)</f>
        <v/>
      </c>
      <c r="AW46" s="73">
        <f>IF($B46="","",VLOOKUP($B46,Medewerker!$C$8:$E$107,3,FALSE))</f>
        <v/>
      </c>
      <c r="AX46" s="403">
        <f>IFERROR(VLOOKUP($B46,Planning!$B$6:$AG$105,32,FALSE)*24,"")</f>
        <v/>
      </c>
      <c r="AY46" s="558" t="inlineStr">
        <is>
          <t>wap</t>
        </is>
      </c>
      <c r="AZ46" s="71" t="inlineStr">
        <is>
          <t>WAP uitvoeren</t>
        </is>
      </c>
      <c r="BA46" s="111">
        <f>COUNTIF($F$13:$AQ$63,CONCATENATE(AY46,"*"))/2+COUNTIF($F$13:$AQ$63,CONCATENATE("x",AY46,"*"))/4</f>
        <v/>
      </c>
      <c r="BB46" s="838" t="n"/>
      <c r="BC46" s="31">
        <f>IF(Planning!B39="","",Planning!B39)</f>
        <v/>
      </c>
      <c r="BD46" s="105" t="n"/>
      <c r="BE46" s="885">
        <f>Planning!E39</f>
        <v/>
      </c>
      <c r="BF46" s="885">
        <f>Planning!F39</f>
        <v/>
      </c>
      <c r="BG46" s="886" t="n"/>
      <c r="BH46" s="105" t="n"/>
      <c r="BI46" s="885">
        <f>Planning!I39</f>
        <v/>
      </c>
      <c r="BJ46" s="885">
        <f>Planning!J39</f>
        <v/>
      </c>
      <c r="BK46" s="886" t="n"/>
      <c r="BL46" s="105" t="n"/>
      <c r="BM46" s="885">
        <f>Planning!M39</f>
        <v/>
      </c>
      <c r="BN46" s="885">
        <f>Planning!N39</f>
        <v/>
      </c>
      <c r="BO46" s="886" t="n"/>
      <c r="BP46" s="105" t="n"/>
      <c r="BQ46" s="885">
        <f>Planning!Q39</f>
        <v/>
      </c>
      <c r="BR46" s="885">
        <f>Planning!R39</f>
        <v/>
      </c>
      <c r="BS46" s="886" t="n"/>
      <c r="BT46" s="105" t="n"/>
      <c r="BU46" s="885">
        <f>Planning!U39</f>
        <v/>
      </c>
      <c r="BV46" s="885">
        <f>Planning!V39</f>
        <v/>
      </c>
      <c r="BW46" s="886" t="n"/>
      <c r="BX46" s="105" t="n"/>
      <c r="BY46" s="885">
        <f>Planning!Y39</f>
        <v/>
      </c>
      <c r="BZ46" s="885">
        <f>Planning!Z39</f>
        <v/>
      </c>
      <c r="CA46" s="886" t="n"/>
      <c r="CB46" s="105" t="n"/>
      <c r="CC46" s="885">
        <f>Planning!AC39</f>
        <v/>
      </c>
      <c r="CD46" s="885">
        <f>Planning!AD39</f>
        <v/>
      </c>
      <c r="CE46" s="886" t="n"/>
      <c r="CF46" s="105" t="n"/>
      <c r="CG46" s="887">
        <f>Planning!AG39</f>
        <v/>
      </c>
      <c r="CH46" s="105" t="n"/>
      <c r="CI46" s="252">
        <f>IF(BC46="","",Planning!AI39)</f>
        <v/>
      </c>
      <c r="CJ46" s="252">
        <f>IF(BC46="","",Planning!AJ39)</f>
        <v/>
      </c>
      <c r="CK46" s="252">
        <f>IF(BC46="","",Planning!AK39)</f>
        <v/>
      </c>
      <c r="CL46" s="252">
        <f>IF(BC46="","",Planning!AH39)</f>
        <v/>
      </c>
      <c r="CM46" s="21" t="n"/>
    </row>
    <row r="47" ht="12.75" customHeight="1">
      <c r="A47" s="161">
        <f>IFERROR(IF(VLOOKUP($B47,$BC$13:$CL$86,36,FALSE)&gt;5,0,IF(COUNTIF($B$13:$B$63,$B47)&gt;1,0,35)),35)+IF(B47&lt;&gt;0,0,IF(AV47&gt;0,0.000001,0))</f>
        <v/>
      </c>
      <c r="B47" s="129" t="n"/>
      <c r="C47" s="48">
        <f>IFERROR(IF($B47="","",VLOOKUP($B47,Medewerker!$C$8:$AI$107,33,FALSE)),"?")</f>
        <v/>
      </c>
      <c r="D47" s="879">
        <f t="array" ref="D47">IFERROR(IF(LEFT(INDEX($F47:$AQ47,1,SUM(SMALL(IF($F47:$AQ47&lt;&gt;"",COLUMN($F47:$AQ47)),1)-5)),1)="x",SUM(SMALL(IF($F47:$AQ47&lt;&gt;"",$F$11:$AQ$11),1)+"0:15"),SMALL(IF($F47:$AQ47&lt;&gt;"",$F$11:$AQ$11),1)),"")</f>
        <v/>
      </c>
      <c r="E47" s="879">
        <f t="array" ref="E47">IFERROR(IF(LEFT(INDEX($F47:$AQ47,1,SUM(LARGE(IF($F47:$AQ47&lt;&gt;"",COLUMN($F47:$AQ47)),1)-5)),1)="x",SUM(LARGE(IF($F47:$AQ47&lt;&gt;"",$F$11:$AQ$11+"0:30:00"),1)-"0:15"),LARGE(IF($F47:$AQ47&lt;&gt;"",$F$11:$AQ$11+"0:30:00"),1)),"")</f>
        <v/>
      </c>
      <c r="F47" s="43" t="n"/>
      <c r="G47" s="42" t="n"/>
      <c r="H47" s="43" t="n"/>
      <c r="I47" s="42" t="n"/>
      <c r="J47" s="43" t="n"/>
      <c r="K47" s="41" t="n"/>
      <c r="L47" s="40" t="n"/>
      <c r="M47" s="42" t="n"/>
      <c r="N47" s="43" t="n"/>
      <c r="O47" s="41" t="n"/>
      <c r="P47" s="40" t="n"/>
      <c r="Q47" s="42" t="n"/>
      <c r="R47" s="43" t="n"/>
      <c r="S47" s="41" t="n"/>
      <c r="T47" s="40" t="n"/>
      <c r="U47" s="42" t="n"/>
      <c r="V47" s="43" t="n"/>
      <c r="W47" s="41" t="n"/>
      <c r="X47" s="40" t="n"/>
      <c r="Y47" s="42" t="n"/>
      <c r="Z47" s="43" t="n"/>
      <c r="AA47" s="41" t="n"/>
      <c r="AB47" s="40" t="n"/>
      <c r="AC47" s="42" t="n"/>
      <c r="AD47" s="43" t="n"/>
      <c r="AE47" s="41" t="n"/>
      <c r="AF47" s="40" t="n"/>
      <c r="AG47" s="42" t="n"/>
      <c r="AH47" s="43" t="n"/>
      <c r="AI47" s="41" t="n"/>
      <c r="AJ47" s="40" t="n"/>
      <c r="AK47" s="42" t="n"/>
      <c r="AL47" s="43" t="n"/>
      <c r="AM47" s="41" t="n"/>
      <c r="AN47" s="645" t="n"/>
      <c r="AO47" s="42" t="n"/>
      <c r="AP47" s="43" t="n"/>
      <c r="AQ47" s="42" t="n"/>
      <c r="AR47" s="888">
        <f>IFERROR(IF(VLOOKUP($B47,Medewerker!$C$8:$Q$107,15,FALSE)="",VLOOKUP($B47,Medewerker!$C$8:$Q$107,13,FALSE),0),0)</f>
        <v/>
      </c>
      <c r="AS47" s="888">
        <f>IFERROR(IF(B47="",1,IF(VLOOKUP($B47,Medewerker!$C$8:$Q$107,15,FALSE)="",VLOOKUP($B47,Medewerker!$C$8:$Q$107,14,FALSE),0)),0)</f>
        <v/>
      </c>
      <c r="AT47" s="45" t="n"/>
      <c r="AU47" s="46">
        <f>(COUNTIF(F47:AQ47,"afw"))/2</f>
        <v/>
      </c>
      <c r="AV47" s="111">
        <f>((38-(COUNTIF(F47:AQ47,"")))/2)-(COUNTIF(F47:AQ47,"p")/2)-(COUNTIF(F47:AQ47,CONCATENATE("x","*"))/4)</f>
        <v/>
      </c>
      <c r="AW47" s="73">
        <f>IF($B47="","",VLOOKUP($B47,Medewerker!$C$8:$E$107,3,FALSE))</f>
        <v/>
      </c>
      <c r="AX47" s="403">
        <f>IFERROR(VLOOKUP($B47,Planning!$B$6:$AG$105,32,FALSE)*24,"")</f>
        <v/>
      </c>
      <c r="AY47" s="891" t="inlineStr">
        <is>
          <t>Overig</t>
        </is>
      </c>
      <c r="AZ47" s="883" t="n"/>
      <c r="BA47" s="884" t="n"/>
      <c r="BB47" s="838" t="n"/>
      <c r="BC47" s="31">
        <f>IF(Planning!B40="","",Planning!B40)</f>
        <v/>
      </c>
      <c r="BD47" s="105" t="n"/>
      <c r="BE47" s="885">
        <f>Planning!E40</f>
        <v/>
      </c>
      <c r="BF47" s="885">
        <f>Planning!F40</f>
        <v/>
      </c>
      <c r="BG47" s="886" t="n"/>
      <c r="BH47" s="105" t="n"/>
      <c r="BI47" s="885">
        <f>Planning!I40</f>
        <v/>
      </c>
      <c r="BJ47" s="885">
        <f>Planning!J40</f>
        <v/>
      </c>
      <c r="BK47" s="886" t="n"/>
      <c r="BL47" s="105" t="n"/>
      <c r="BM47" s="885">
        <f>Planning!M40</f>
        <v/>
      </c>
      <c r="BN47" s="885">
        <f>Planning!N40</f>
        <v/>
      </c>
      <c r="BO47" s="886" t="n"/>
      <c r="BP47" s="105" t="n"/>
      <c r="BQ47" s="885">
        <f>Planning!Q40</f>
        <v/>
      </c>
      <c r="BR47" s="885">
        <f>Planning!R40</f>
        <v/>
      </c>
      <c r="BS47" s="886" t="n"/>
      <c r="BT47" s="105" t="n"/>
      <c r="BU47" s="885">
        <f>Planning!U40</f>
        <v/>
      </c>
      <c r="BV47" s="885">
        <f>Planning!V40</f>
        <v/>
      </c>
      <c r="BW47" s="886" t="n"/>
      <c r="BX47" s="105" t="n"/>
      <c r="BY47" s="885">
        <f>Planning!Y40</f>
        <v/>
      </c>
      <c r="BZ47" s="885">
        <f>Planning!Z40</f>
        <v/>
      </c>
      <c r="CA47" s="886" t="n"/>
      <c r="CB47" s="105" t="n"/>
      <c r="CC47" s="885">
        <f>Planning!AC40</f>
        <v/>
      </c>
      <c r="CD47" s="885">
        <f>Planning!AD40</f>
        <v/>
      </c>
      <c r="CE47" s="886" t="n"/>
      <c r="CF47" s="105" t="n"/>
      <c r="CG47" s="887">
        <f>Planning!AG40</f>
        <v/>
      </c>
      <c r="CH47" s="105" t="n"/>
      <c r="CI47" s="252">
        <f>IF(BC47="","",Planning!AI40)</f>
        <v/>
      </c>
      <c r="CJ47" s="252">
        <f>IF(BC47="","",Planning!AJ40)</f>
        <v/>
      </c>
      <c r="CK47" s="252">
        <f>IF(BC47="","",Planning!AK40)</f>
        <v/>
      </c>
      <c r="CL47" s="252">
        <f>IF(BC47="","",Planning!AH40)</f>
        <v/>
      </c>
      <c r="CM47" s="21" t="n"/>
    </row>
    <row r="48" ht="12.75" customHeight="1">
      <c r="A48" s="161">
        <f>IFERROR(IF(VLOOKUP($B48,$BC$13:$CL$86,36,FALSE)&gt;5,0,IF(COUNTIF($B$13:$B$63,$B48)&gt;1,0,36)),36)+IF(B48&lt;&gt;0,0,IF(AV48&gt;0,0.000001,0))</f>
        <v/>
      </c>
      <c r="B48" s="129" t="n"/>
      <c r="C48" s="48">
        <f>IFERROR(IF($B48="","",VLOOKUP($B48,Medewerker!$C$8:$AI$107,33,FALSE)),"?")</f>
        <v/>
      </c>
      <c r="D48" s="879">
        <f t="array" ref="D48">IFERROR(IF(LEFT(INDEX($F48:$AQ48,1,SUM(SMALL(IF($F48:$AQ48&lt;&gt;"",COLUMN($F48:$AQ48)),1)-5)),1)="x",SUM(SMALL(IF($F48:$AQ48&lt;&gt;"",$F$11:$AQ$11),1)+"0:15"),SMALL(IF($F48:$AQ48&lt;&gt;"",$F$11:$AQ$11),1)),"")</f>
        <v/>
      </c>
      <c r="E48" s="879">
        <f t="array" ref="E48">IFERROR(IF(LEFT(INDEX($F48:$AQ48,1,SUM(LARGE(IF($F48:$AQ48&lt;&gt;"",COLUMN($F48:$AQ48)),1)-5)),1)="x",SUM(LARGE(IF($F48:$AQ48&lt;&gt;"",$F$11:$AQ$11+"0:30:00"),1)-"0:15"),LARGE(IF($F48:$AQ48&lt;&gt;"",$F$11:$AQ$11+"0:30:00"),1)),"")</f>
        <v/>
      </c>
      <c r="F48" s="43" t="n"/>
      <c r="G48" s="42" t="n"/>
      <c r="H48" s="43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  <c r="AA48" s="42" t="n"/>
      <c r="AB48" s="42" t="n"/>
      <c r="AC48" s="42" t="n"/>
      <c r="AD48" s="42" t="n"/>
      <c r="AE48" s="42" t="n"/>
      <c r="AF48" s="42" t="n"/>
      <c r="AG48" s="42" t="n"/>
      <c r="AH48" s="42" t="n"/>
      <c r="AI48" s="42" t="n"/>
      <c r="AJ48" s="42" t="n"/>
      <c r="AK48" s="42" t="n"/>
      <c r="AL48" s="42" t="n"/>
      <c r="AM48" s="42" t="n"/>
      <c r="AN48" s="42" t="n"/>
      <c r="AO48" s="42" t="n"/>
      <c r="AP48" s="42" t="n"/>
      <c r="AQ48" s="42" t="n"/>
      <c r="AR48" s="888">
        <f>IFERROR(IF(VLOOKUP($B48,Medewerker!$C$8:$Q$107,15,FALSE)="",VLOOKUP($B48,Medewerker!$C$8:$Q$107,13,FALSE),0),0)</f>
        <v/>
      </c>
      <c r="AS48" s="888">
        <f>IFERROR(IF(B48="",1,IF(VLOOKUP($B48,Medewerker!$C$8:$Q$107,15,FALSE)="",VLOOKUP($B48,Medewerker!$C$8:$Q$107,14,FALSE),0)),0)</f>
        <v/>
      </c>
      <c r="AT48" s="45" t="n"/>
      <c r="AU48" s="46">
        <f>(COUNTIF(F48:AQ48,"afw"))/2</f>
        <v/>
      </c>
      <c r="AV48" s="111">
        <f>((38-(COUNTIF(F48:AQ48,"")))/2)-(COUNTIF(F48:AQ48,"p")/2)-(COUNTIF(F48:AQ48,CONCATENATE("x","*"))/4)</f>
        <v/>
      </c>
      <c r="AW48" s="73">
        <f>IF($B48="","",VLOOKUP($B48,Medewerker!$C$8:$E$107,3,FALSE))</f>
        <v/>
      </c>
      <c r="AX48" s="403">
        <f>IFERROR(VLOOKUP($B48,Planning!$B$6:$AG$105,32,FALSE)*24,"")</f>
        <v/>
      </c>
      <c r="AY48" s="837" t="inlineStr">
        <is>
          <t>km</t>
        </is>
      </c>
      <c r="AZ48" s="414" t="inlineStr">
        <is>
          <t>Kwaliteitsmedewerker</t>
        </is>
      </c>
      <c r="BA48" s="111">
        <f>COUNTIF($F$13:$AQ$63,CONCATENATE(AY48,"*"))/2+COUNTIF($F$13:$AQ$63,CONCATENATE("x",AY48,"*"))/4</f>
        <v/>
      </c>
      <c r="BB48" s="838" t="n"/>
      <c r="BC48" s="31">
        <f>IF(Planning!B41="","",Planning!B41)</f>
        <v/>
      </c>
      <c r="BD48" s="105" t="n"/>
      <c r="BE48" s="885">
        <f>Planning!E41</f>
        <v/>
      </c>
      <c r="BF48" s="885">
        <f>Planning!F41</f>
        <v/>
      </c>
      <c r="BG48" s="886" t="n"/>
      <c r="BH48" s="105" t="n"/>
      <c r="BI48" s="885">
        <f>Planning!I41</f>
        <v/>
      </c>
      <c r="BJ48" s="885">
        <f>Planning!J41</f>
        <v/>
      </c>
      <c r="BK48" s="886" t="n"/>
      <c r="BL48" s="105" t="n"/>
      <c r="BM48" s="885">
        <f>Planning!M41</f>
        <v/>
      </c>
      <c r="BN48" s="885">
        <f>Planning!N41</f>
        <v/>
      </c>
      <c r="BO48" s="886" t="n"/>
      <c r="BP48" s="105" t="n"/>
      <c r="BQ48" s="885">
        <f>Planning!Q41</f>
        <v/>
      </c>
      <c r="BR48" s="885">
        <f>Planning!R41</f>
        <v/>
      </c>
      <c r="BS48" s="886" t="n"/>
      <c r="BT48" s="105" t="n"/>
      <c r="BU48" s="885">
        <f>Planning!U41</f>
        <v/>
      </c>
      <c r="BV48" s="885">
        <f>Planning!V41</f>
        <v/>
      </c>
      <c r="BW48" s="886" t="n"/>
      <c r="BX48" s="105" t="n"/>
      <c r="BY48" s="885">
        <f>Planning!Y41</f>
        <v/>
      </c>
      <c r="BZ48" s="885">
        <f>Planning!Z41</f>
        <v/>
      </c>
      <c r="CA48" s="886" t="n"/>
      <c r="CB48" s="105" t="n"/>
      <c r="CC48" s="885">
        <f>Planning!AC41</f>
        <v/>
      </c>
      <c r="CD48" s="885">
        <f>Planning!AD41</f>
        <v/>
      </c>
      <c r="CE48" s="886" t="n"/>
      <c r="CF48" s="105" t="n"/>
      <c r="CG48" s="887">
        <f>Planning!AG41</f>
        <v/>
      </c>
      <c r="CH48" s="105" t="n"/>
      <c r="CI48" s="252">
        <f>IF(BC48="","",Planning!AI41)</f>
        <v/>
      </c>
      <c r="CJ48" s="252">
        <f>IF(BC48="","",Planning!AJ41)</f>
        <v/>
      </c>
      <c r="CK48" s="252">
        <f>IF(BC48="","",Planning!AK41)</f>
        <v/>
      </c>
      <c r="CL48" s="252">
        <f>IF(BC48="","",Planning!AH41)</f>
        <v/>
      </c>
      <c r="CM48" s="21" t="n"/>
    </row>
    <row r="49" ht="12.75" customHeight="1">
      <c r="A49" s="161">
        <f>IFERROR(IF(VLOOKUP($B49,$BC$13:$CL$86,36,FALSE)&gt;5,0,IF(COUNTIF($B$13:$B$63,$B49)&gt;1,0,37)),37)+IF(B49&lt;&gt;0,0,IF(AV49&gt;0,0.000001,0))</f>
        <v/>
      </c>
      <c r="B49" s="129" t="n"/>
      <c r="C49" s="48">
        <f>IFERROR(IF($B49="","",VLOOKUP($B49,Medewerker!$C$8:$AI$107,33,FALSE)),"?")</f>
        <v/>
      </c>
      <c r="D49" s="879">
        <f t="array" ref="D49">IFERROR(IF(LEFT(INDEX($F49:$AQ49,1,SUM(SMALL(IF($F49:$AQ49&lt;&gt;"",COLUMN($F49:$AQ49)),1)-5)),1)="x",SUM(SMALL(IF($F49:$AQ49&lt;&gt;"",$F$11:$AQ$11),1)+"0:15"),SMALL(IF($F49:$AQ49&lt;&gt;"",$F$11:$AQ$11),1)),"")</f>
        <v/>
      </c>
      <c r="E49" s="879">
        <f t="array" ref="E49">IFERROR(IF(LEFT(INDEX($F49:$AQ49,1,SUM(LARGE(IF($F49:$AQ49&lt;&gt;"",COLUMN($F49:$AQ49)),1)-5)),1)="x",SUM(LARGE(IF($F49:$AQ49&lt;&gt;"",$F$11:$AQ$11+"0:30:00"),1)-"0:15"),LARGE(IF($F49:$AQ49&lt;&gt;"",$F$11:$AQ$11+"0:30:00"),1)),"")</f>
        <v/>
      </c>
      <c r="F49" s="43" t="n"/>
      <c r="G49" s="42" t="n"/>
      <c r="H49" s="43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  <c r="AA49" s="42" t="n"/>
      <c r="AB49" s="42" t="n"/>
      <c r="AC49" s="42" t="n"/>
      <c r="AD49" s="42" t="n"/>
      <c r="AE49" s="42" t="n"/>
      <c r="AF49" s="42" t="n"/>
      <c r="AG49" s="42" t="n"/>
      <c r="AH49" s="42" t="n"/>
      <c r="AI49" s="42" t="n"/>
      <c r="AJ49" s="42" t="n"/>
      <c r="AK49" s="42" t="n"/>
      <c r="AL49" s="42" t="n"/>
      <c r="AM49" s="42" t="n"/>
      <c r="AN49" s="42" t="n"/>
      <c r="AO49" s="42" t="n"/>
      <c r="AP49" s="42" t="n"/>
      <c r="AQ49" s="42" t="n"/>
      <c r="AR49" s="888">
        <f>IFERROR(IF(VLOOKUP($B49,Medewerker!$C$8:$Q$107,15,FALSE)="",VLOOKUP($B49,Medewerker!$C$8:$Q$107,13,FALSE),0),0)</f>
        <v/>
      </c>
      <c r="AS49" s="888">
        <f>IFERROR(IF(B49="",1,IF(VLOOKUP($B49,Medewerker!$C$8:$Q$107,15,FALSE)="",VLOOKUP($B49,Medewerker!$C$8:$Q$107,14,FALSE),0)),0)</f>
        <v/>
      </c>
      <c r="AT49" s="45" t="n"/>
      <c r="AU49" s="46">
        <f>(COUNTIF(F49:AQ49,"afw"))/2</f>
        <v/>
      </c>
      <c r="AV49" s="111">
        <f>((38-(COUNTIF(F49:AQ49,"")))/2)-(COUNTIF(F49:AQ49,"p")/2)-(COUNTIF(F49:AQ49,CONCATENATE("x","*"))/4)</f>
        <v/>
      </c>
      <c r="AW49" s="73">
        <f>IF($B49="","",VLOOKUP($B49,Medewerker!$C$8:$E$107,3,FALSE))</f>
        <v/>
      </c>
      <c r="AX49" s="403">
        <f>IFERROR(VLOOKUP($B49,Planning!$B$6:$AG$105,32,FALSE)*24,"")</f>
        <v/>
      </c>
      <c r="AY49" s="837" t="inlineStr">
        <is>
          <t>mt</t>
        </is>
      </c>
      <c r="AZ49" s="413" t="inlineStr">
        <is>
          <t>MT of CKW-overleg</t>
        </is>
      </c>
      <c r="BA49" s="111">
        <f>COUNTIF($F$13:$AQ$63,CONCATENATE(AY49,"*"))/2+COUNTIF($F$13:$AQ$63,CONCATENATE("x",AY49,"*"))/4</f>
        <v/>
      </c>
      <c r="BB49" s="838" t="n"/>
      <c r="BC49" s="31">
        <f>IF(Planning!B42="","",Planning!B42)</f>
        <v/>
      </c>
      <c r="BD49" s="105" t="n"/>
      <c r="BE49" s="885">
        <f>Planning!E42</f>
        <v/>
      </c>
      <c r="BF49" s="885">
        <f>Planning!F42</f>
        <v/>
      </c>
      <c r="BG49" s="886" t="n"/>
      <c r="BH49" s="105" t="n"/>
      <c r="BI49" s="885">
        <f>Planning!I42</f>
        <v/>
      </c>
      <c r="BJ49" s="885">
        <f>Planning!J42</f>
        <v/>
      </c>
      <c r="BK49" s="886" t="n"/>
      <c r="BL49" s="105" t="n"/>
      <c r="BM49" s="885">
        <f>Planning!M42</f>
        <v/>
      </c>
      <c r="BN49" s="885">
        <f>Planning!N42</f>
        <v/>
      </c>
      <c r="BO49" s="886" t="n"/>
      <c r="BP49" s="105" t="n"/>
      <c r="BQ49" s="885">
        <f>Planning!Q42</f>
        <v/>
      </c>
      <c r="BR49" s="885">
        <f>Planning!R42</f>
        <v/>
      </c>
      <c r="BS49" s="886" t="n"/>
      <c r="BT49" s="105" t="n"/>
      <c r="BU49" s="885">
        <f>Planning!U42</f>
        <v/>
      </c>
      <c r="BV49" s="885">
        <f>Planning!V42</f>
        <v/>
      </c>
      <c r="BW49" s="886" t="n"/>
      <c r="BX49" s="105" t="n"/>
      <c r="BY49" s="885">
        <f>Planning!Y42</f>
        <v/>
      </c>
      <c r="BZ49" s="885">
        <f>Planning!Z42</f>
        <v/>
      </c>
      <c r="CA49" s="886" t="n"/>
      <c r="CB49" s="105" t="n"/>
      <c r="CC49" s="885">
        <f>Planning!AC42</f>
        <v/>
      </c>
      <c r="CD49" s="885">
        <f>Planning!AD42</f>
        <v/>
      </c>
      <c r="CE49" s="886" t="n"/>
      <c r="CF49" s="105" t="n"/>
      <c r="CG49" s="887">
        <f>Planning!AG42</f>
        <v/>
      </c>
      <c r="CH49" s="105" t="n"/>
      <c r="CI49" s="252">
        <f>IF(BC49="","",Planning!AI42)</f>
        <v/>
      </c>
      <c r="CJ49" s="252">
        <f>IF(BC49="","",Planning!AJ42)</f>
        <v/>
      </c>
      <c r="CK49" s="252">
        <f>IF(BC49="","",Planning!AK42)</f>
        <v/>
      </c>
      <c r="CL49" s="252">
        <f>IF(BC49="","",Planning!AH42)</f>
        <v/>
      </c>
      <c r="CM49" s="21" t="n"/>
    </row>
    <row r="50" ht="12.75" customHeight="1">
      <c r="A50" s="161">
        <f>IFERROR(IF(VLOOKUP($B50,$BC$13:$CL$86,36,FALSE)&gt;5,0,IF(COUNTIF($B$13:$B$63,$B50)&gt;1,0,38)),38)+IF(B50&lt;&gt;0,0,IF(AV50&gt;0,0.000001,0))</f>
        <v/>
      </c>
      <c r="B50" s="129" t="n"/>
      <c r="C50" s="48">
        <f>IFERROR(IF($B50="","",VLOOKUP($B50,Medewerker!$C$8:$AI$107,33,FALSE)),"?")</f>
        <v/>
      </c>
      <c r="D50" s="879">
        <f t="array" ref="D50">IFERROR(IF(LEFT(INDEX($F50:$AQ50,1,SUM(SMALL(IF($F50:$AQ50&lt;&gt;"",COLUMN($F50:$AQ50)),1)-5)),1)="x",SUM(SMALL(IF($F50:$AQ50&lt;&gt;"",$F$11:$AQ$11),1)+"0:15"),SMALL(IF($F50:$AQ50&lt;&gt;"",$F$11:$AQ$11),1)),"")</f>
        <v/>
      </c>
      <c r="E50" s="879">
        <f t="array" ref="E50">IFERROR(IF(LEFT(INDEX($F50:$AQ50,1,SUM(LARGE(IF($F50:$AQ50&lt;&gt;"",COLUMN($F50:$AQ50)),1)-5)),1)="x",SUM(LARGE(IF($F50:$AQ50&lt;&gt;"",$F$11:$AQ$11+"0:30:00"),1)-"0:15"),LARGE(IF($F50:$AQ50&lt;&gt;"",$F$11:$AQ$11+"0:30:00"),1)),"")</f>
        <v/>
      </c>
      <c r="F50" s="43" t="n"/>
      <c r="G50" s="42" t="n"/>
      <c r="H50" s="43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  <c r="AA50" s="42" t="n"/>
      <c r="AB50" s="42" t="n"/>
      <c r="AC50" s="42" t="n"/>
      <c r="AD50" s="42" t="n"/>
      <c r="AE50" s="42" t="n"/>
      <c r="AF50" s="42" t="n"/>
      <c r="AG50" s="42" t="n"/>
      <c r="AH50" s="42" t="n"/>
      <c r="AI50" s="42" t="n"/>
      <c r="AJ50" s="42" t="n"/>
      <c r="AK50" s="42" t="n"/>
      <c r="AL50" s="42" t="n"/>
      <c r="AM50" s="42" t="n"/>
      <c r="AN50" s="42" t="n"/>
      <c r="AO50" s="42" t="n"/>
      <c r="AP50" s="42" t="n"/>
      <c r="AQ50" s="42" t="n"/>
      <c r="AR50" s="888">
        <f>IFERROR(IF(VLOOKUP($B50,Medewerker!$C$8:$Q$107,15,FALSE)="",VLOOKUP($B50,Medewerker!$C$8:$Q$107,13,FALSE),0),0)</f>
        <v/>
      </c>
      <c r="AS50" s="888">
        <f>IFERROR(IF(B50="",1,IF(VLOOKUP($B50,Medewerker!$C$8:$Q$107,15,FALSE)="",VLOOKUP($B50,Medewerker!$C$8:$Q$107,14,FALSE),0)),0)</f>
        <v/>
      </c>
      <c r="AT50" s="45" t="n"/>
      <c r="AU50" s="46">
        <f>(COUNTIF(F50:AQ50,"afw"))/2</f>
        <v/>
      </c>
      <c r="AV50" s="111">
        <f>((38-(COUNTIF(F50:AQ50,"")))/2)-(COUNTIF(F50:AQ50,"p")/2)-(COUNTIF(F50:AQ50,CONCATENATE("x","*"))/4)</f>
        <v/>
      </c>
      <c r="AW50" s="73">
        <f>IF($B50="","",VLOOKUP($B50,Medewerker!$C$8:$E$107,3,FALSE))</f>
        <v/>
      </c>
      <c r="AX50" s="403">
        <f>IFERROR(VLOOKUP($B50,Planning!$B$6:$AG$105,32,FALSE)*24,"")</f>
        <v/>
      </c>
      <c r="AY50" s="837" t="inlineStr">
        <is>
          <t>ov</t>
        </is>
      </c>
      <c r="AZ50" s="71" t="inlineStr">
        <is>
          <t>Overig</t>
        </is>
      </c>
      <c r="BA50" s="111">
        <f>COUNTIF($F$13:$AQ$63,CONCATENATE(AY50,"*"))/2+COUNTIF($F$13:$AQ$63,CONCATENATE("x",AY50,"*"))/4</f>
        <v/>
      </c>
      <c r="BB50" s="838" t="n"/>
      <c r="BC50" s="31">
        <f>IF(Planning!B43="","",Planning!B43)</f>
        <v/>
      </c>
      <c r="BD50" s="105" t="n"/>
      <c r="BE50" s="885">
        <f>Planning!E43</f>
        <v/>
      </c>
      <c r="BF50" s="885">
        <f>Planning!F43</f>
        <v/>
      </c>
      <c r="BG50" s="886" t="n"/>
      <c r="BH50" s="105" t="n"/>
      <c r="BI50" s="885">
        <f>Planning!I43</f>
        <v/>
      </c>
      <c r="BJ50" s="885">
        <f>Planning!J43</f>
        <v/>
      </c>
      <c r="BK50" s="886" t="n"/>
      <c r="BL50" s="105" t="n"/>
      <c r="BM50" s="885">
        <f>Planning!M43</f>
        <v/>
      </c>
      <c r="BN50" s="885">
        <f>Planning!N43</f>
        <v/>
      </c>
      <c r="BO50" s="886" t="n"/>
      <c r="BP50" s="105" t="n"/>
      <c r="BQ50" s="885">
        <f>Planning!Q43</f>
        <v/>
      </c>
      <c r="BR50" s="885">
        <f>Planning!R43</f>
        <v/>
      </c>
      <c r="BS50" s="886" t="n"/>
      <c r="BT50" s="105" t="n"/>
      <c r="BU50" s="885">
        <f>Planning!U43</f>
        <v/>
      </c>
      <c r="BV50" s="885">
        <f>Planning!V43</f>
        <v/>
      </c>
      <c r="BW50" s="886" t="n"/>
      <c r="BX50" s="105" t="n"/>
      <c r="BY50" s="885">
        <f>Planning!Y43</f>
        <v/>
      </c>
      <c r="BZ50" s="885">
        <f>Planning!Z43</f>
        <v/>
      </c>
      <c r="CA50" s="886" t="n"/>
      <c r="CB50" s="105" t="n"/>
      <c r="CC50" s="885">
        <f>Planning!AC43</f>
        <v/>
      </c>
      <c r="CD50" s="885">
        <f>Planning!AD43</f>
        <v/>
      </c>
      <c r="CE50" s="886" t="n"/>
      <c r="CF50" s="105" t="n"/>
      <c r="CG50" s="887">
        <f>Planning!AG43</f>
        <v/>
      </c>
      <c r="CH50" s="105" t="n"/>
      <c r="CI50" s="252">
        <f>IF(BC50="","",Planning!AI43)</f>
        <v/>
      </c>
      <c r="CJ50" s="252">
        <f>IF(BC50="","",Planning!AJ43)</f>
        <v/>
      </c>
      <c r="CK50" s="252">
        <f>IF(BC50="","",Planning!AK43)</f>
        <v/>
      </c>
      <c r="CL50" s="252">
        <f>IF(BC50="","",Planning!AH43)</f>
        <v/>
      </c>
      <c r="CM50" s="21" t="n"/>
    </row>
    <row r="51" ht="12.75" customHeight="1">
      <c r="A51" s="161">
        <f>IFERROR(IF(VLOOKUP($B51,$BC$13:$CL$86,36,FALSE)&gt;5,0,IF(COUNTIF($B$13:$B$63,$B51)&gt;1,0,39)),39)+IF(B51&lt;&gt;0,0,IF(AV51&gt;0,0.000001,0))</f>
        <v/>
      </c>
      <c r="B51" s="129" t="n"/>
      <c r="C51" s="48">
        <f>IFERROR(IF($B51="","",VLOOKUP($B51,Medewerker!$C$8:$AI$107,33,FALSE)),"?")</f>
        <v/>
      </c>
      <c r="D51" s="879">
        <f t="array" ref="D51">IFERROR(IF(LEFT(INDEX($F51:$AQ51,1,SUM(SMALL(IF($F51:$AQ51&lt;&gt;"",COLUMN($F51:$AQ51)),1)-5)),1)="x",SUM(SMALL(IF($F51:$AQ51&lt;&gt;"",$F$11:$AQ$11),1)+"0:15"),SMALL(IF($F51:$AQ51&lt;&gt;"",$F$11:$AQ$11),1)),"")</f>
        <v/>
      </c>
      <c r="E51" s="879">
        <f t="array" ref="E51">IFERROR(IF(LEFT(INDEX($F51:$AQ51,1,SUM(LARGE(IF($F51:$AQ51&lt;&gt;"",COLUMN($F51:$AQ51)),1)-5)),1)="x",SUM(LARGE(IF($F51:$AQ51&lt;&gt;"",$F$11:$AQ$11+"0:30:00"),1)-"0:15"),LARGE(IF($F51:$AQ51&lt;&gt;"",$F$11:$AQ$11+"0:30:00"),1)),"")</f>
        <v/>
      </c>
      <c r="F51" s="43" t="n"/>
      <c r="G51" s="42" t="n"/>
      <c r="H51" s="43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  <c r="AA51" s="42" t="n"/>
      <c r="AB51" s="42" t="n"/>
      <c r="AC51" s="42" t="n"/>
      <c r="AD51" s="42" t="n"/>
      <c r="AE51" s="42" t="n"/>
      <c r="AF51" s="42" t="n"/>
      <c r="AG51" s="42" t="n"/>
      <c r="AH51" s="42" t="n"/>
      <c r="AI51" s="42" t="n"/>
      <c r="AJ51" s="42" t="n"/>
      <c r="AK51" s="42" t="n"/>
      <c r="AL51" s="42" t="n"/>
      <c r="AM51" s="42" t="n"/>
      <c r="AN51" s="42" t="n"/>
      <c r="AO51" s="42" t="n"/>
      <c r="AP51" s="42" t="n"/>
      <c r="AQ51" s="42" t="n"/>
      <c r="AR51" s="888">
        <f>IFERROR(IF(VLOOKUP($B51,Medewerker!$C$8:$Q$107,15,FALSE)="",VLOOKUP($B51,Medewerker!$C$8:$Q$107,13,FALSE),0),0)</f>
        <v/>
      </c>
      <c r="AS51" s="888">
        <f>IFERROR(IF(B51="",1,IF(VLOOKUP($B51,Medewerker!$C$8:$Q$107,15,FALSE)="",VLOOKUP($B51,Medewerker!$C$8:$Q$107,14,FALSE),0)),0)</f>
        <v/>
      </c>
      <c r="AT51" s="45" t="n"/>
      <c r="AU51" s="46">
        <f>(COUNTIF(F51:AQ51,"afw"))/2</f>
        <v/>
      </c>
      <c r="AV51" s="111">
        <f>((38-(COUNTIF(F51:AQ51,"")))/2)-(COUNTIF(F51:AQ51,"p")/2)-(COUNTIF(F51:AQ51,CONCATENATE("x","*"))/4)</f>
        <v/>
      </c>
      <c r="AW51" s="73">
        <f>IF($B51="","",VLOOKUP($B51,Medewerker!$C$8:$E$107,3,FALSE))</f>
        <v/>
      </c>
      <c r="AX51" s="403">
        <f>IFERROR(VLOOKUP($B51,Planning!$B$6:$AG$105,32,FALSE)*24,"")</f>
        <v/>
      </c>
      <c r="AY51" s="837" t="inlineStr">
        <is>
          <t>prt</t>
        </is>
      </c>
      <c r="AZ51" s="71" t="inlineStr">
        <is>
          <t>Protime</t>
        </is>
      </c>
      <c r="BA51" s="111">
        <f>COUNTIF($F$13:$AQ$63,CONCATENATE(AY51,"*"))/2+COUNTIF($F$13:$AQ$63,CONCATENATE("x",AY51,"*"))/4</f>
        <v/>
      </c>
      <c r="BB51" s="838" t="n"/>
      <c r="BC51" s="31">
        <f>IF(Planning!B44="","",Planning!B44)</f>
        <v/>
      </c>
      <c r="BD51" s="105" t="n"/>
      <c r="BE51" s="885">
        <f>Planning!E44</f>
        <v/>
      </c>
      <c r="BF51" s="885">
        <f>Planning!F44</f>
        <v/>
      </c>
      <c r="BG51" s="886" t="n"/>
      <c r="BH51" s="105" t="n"/>
      <c r="BI51" s="885">
        <f>Planning!I44</f>
        <v/>
      </c>
      <c r="BJ51" s="885">
        <f>Planning!J44</f>
        <v/>
      </c>
      <c r="BK51" s="886" t="n"/>
      <c r="BL51" s="105" t="n"/>
      <c r="BM51" s="885">
        <f>Planning!M44</f>
        <v/>
      </c>
      <c r="BN51" s="885">
        <f>Planning!N44</f>
        <v/>
      </c>
      <c r="BO51" s="886" t="n"/>
      <c r="BP51" s="105" t="n"/>
      <c r="BQ51" s="885">
        <f>Planning!Q44</f>
        <v/>
      </c>
      <c r="BR51" s="885">
        <f>Planning!R44</f>
        <v/>
      </c>
      <c r="BS51" s="886" t="n"/>
      <c r="BT51" s="105" t="n"/>
      <c r="BU51" s="885">
        <f>Planning!U44</f>
        <v/>
      </c>
      <c r="BV51" s="885">
        <f>Planning!V44</f>
        <v/>
      </c>
      <c r="BW51" s="886" t="n"/>
      <c r="BX51" s="105" t="n"/>
      <c r="BY51" s="885">
        <f>Planning!Y44</f>
        <v/>
      </c>
      <c r="BZ51" s="885">
        <f>Planning!Z44</f>
        <v/>
      </c>
      <c r="CA51" s="886" t="n"/>
      <c r="CB51" s="105" t="n"/>
      <c r="CC51" s="885">
        <f>Planning!AC44</f>
        <v/>
      </c>
      <c r="CD51" s="885">
        <f>Planning!AD44</f>
        <v/>
      </c>
      <c r="CE51" s="886" t="n"/>
      <c r="CF51" s="105" t="n"/>
      <c r="CG51" s="887">
        <f>Planning!AG44</f>
        <v/>
      </c>
      <c r="CH51" s="105" t="n"/>
      <c r="CI51" s="252">
        <f>IF(BC51="","",Planning!AI44)</f>
        <v/>
      </c>
      <c r="CJ51" s="252">
        <f>IF(BC51="","",Planning!AJ44)</f>
        <v/>
      </c>
      <c r="CK51" s="252">
        <f>IF(BC51="","",Planning!AK44)</f>
        <v/>
      </c>
      <c r="CL51" s="252">
        <f>IF(BC51="","",Planning!AH44)</f>
        <v/>
      </c>
      <c r="CM51" s="21" t="n"/>
    </row>
    <row r="52" ht="12.75" customHeight="1">
      <c r="A52" s="161">
        <f>IFERROR(IF(VLOOKUP($B52,$BC$13:$CL$86,36,FALSE)&gt;5,0,IF(COUNTIF($B$13:$B$63,$B52)&gt;1,0,40)),40)+IF(B52&lt;&gt;0,0,IF(AV52&gt;0,0.000001,0))</f>
        <v/>
      </c>
      <c r="B52" s="129" t="n"/>
      <c r="C52" s="48">
        <f>IFERROR(IF($B52="","",VLOOKUP($B52,Medewerker!$C$8:$AI$107,33,FALSE)),"?")</f>
        <v/>
      </c>
      <c r="D52" s="879">
        <f t="array" ref="D52">IFERROR(IF(LEFT(INDEX($F52:$AQ52,1,SUM(SMALL(IF($F52:$AQ52&lt;&gt;"",COLUMN($F52:$AQ52)),1)-5)),1)="x",SUM(SMALL(IF($F52:$AQ52&lt;&gt;"",$F$11:$AQ$11),1)+"0:15"),SMALL(IF($F52:$AQ52&lt;&gt;"",$F$11:$AQ$11),1)),"")</f>
        <v/>
      </c>
      <c r="E52" s="879">
        <f t="array" ref="E52">IFERROR(IF(LEFT(INDEX($F52:$AQ52,1,SUM(LARGE(IF($F52:$AQ52&lt;&gt;"",COLUMN($F52:$AQ52)),1)-5)),1)="x",SUM(LARGE(IF($F52:$AQ52&lt;&gt;"",$F$11:$AQ$11+"0:30:00"),1)-"0:15"),LARGE(IF($F52:$AQ52&lt;&gt;"",$F$11:$AQ$11+"0:30:00"),1)),"")</f>
        <v/>
      </c>
      <c r="F52" s="43" t="n"/>
      <c r="G52" s="42" t="n"/>
      <c r="H52" s="43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  <c r="AA52" s="42" t="n"/>
      <c r="AB52" s="42" t="n"/>
      <c r="AC52" s="42" t="n"/>
      <c r="AD52" s="42" t="n"/>
      <c r="AE52" s="42" t="n"/>
      <c r="AF52" s="42" t="n"/>
      <c r="AG52" s="42" t="n"/>
      <c r="AH52" s="42" t="n"/>
      <c r="AI52" s="42" t="n"/>
      <c r="AJ52" s="42" t="n"/>
      <c r="AK52" s="42" t="n"/>
      <c r="AL52" s="42" t="n"/>
      <c r="AM52" s="42" t="n"/>
      <c r="AN52" s="42" t="n"/>
      <c r="AO52" s="42" t="n"/>
      <c r="AP52" s="42" t="n"/>
      <c r="AQ52" s="42" t="n"/>
      <c r="AR52" s="888">
        <f>IFERROR(IF(VLOOKUP($B52,Medewerker!$C$8:$Q$107,15,FALSE)="",VLOOKUP($B52,Medewerker!$C$8:$Q$107,13,FALSE),0),0)</f>
        <v/>
      </c>
      <c r="AS52" s="888">
        <f>IFERROR(IF(B52="",1,IF(VLOOKUP($B52,Medewerker!$C$8:$Q$107,15,FALSE)="",VLOOKUP($B52,Medewerker!$C$8:$Q$107,14,FALSE),0)),0)</f>
        <v/>
      </c>
      <c r="AT52" s="45" t="n"/>
      <c r="AU52" s="46">
        <f>(COUNTIF(F52:AQ52,"afw"))/2</f>
        <v/>
      </c>
      <c r="AV52" s="111">
        <f>((38-(COUNTIF(F52:AQ52,"")))/2)-(COUNTIF(F52:AQ52,"p")/2)-(COUNTIF(F52:AQ52,CONCATENATE("x","*"))/4)</f>
        <v/>
      </c>
      <c r="AW52" s="73">
        <f>IF($B52="","",VLOOKUP($B52,Medewerker!$C$8:$E$107,3,FALSE))</f>
        <v/>
      </c>
      <c r="AX52" s="403">
        <f>IFERROR(VLOOKUP($B52,Planning!$B$6:$AG$105,32,FALSE)*24,"")</f>
        <v/>
      </c>
      <c r="AY52" s="837" t="inlineStr">
        <is>
          <t>sl</t>
        </is>
      </c>
      <c r="AZ52" s="71" t="inlineStr">
        <is>
          <t>Shift leiden</t>
        </is>
      </c>
      <c r="BA52" s="111">
        <f>COUNTIF($F$13:$AQ$63,CONCATENATE(AY52,"*"))/2+COUNTIF($F$13:$AQ$63,CONCATENATE("x",AY52,"*"))/4</f>
        <v/>
      </c>
      <c r="BB52" s="838" t="n"/>
      <c r="BC52" s="31">
        <f>IF(Planning!B45="","",Planning!B45)</f>
        <v/>
      </c>
      <c r="BD52" s="105" t="n"/>
      <c r="BE52" s="885">
        <f>Planning!E45</f>
        <v/>
      </c>
      <c r="BF52" s="885">
        <f>Planning!F45</f>
        <v/>
      </c>
      <c r="BG52" s="886" t="n"/>
      <c r="BH52" s="105" t="n"/>
      <c r="BI52" s="885">
        <f>Planning!I45</f>
        <v/>
      </c>
      <c r="BJ52" s="885">
        <f>Planning!J45</f>
        <v/>
      </c>
      <c r="BK52" s="886" t="n"/>
      <c r="BL52" s="105" t="n"/>
      <c r="BM52" s="885">
        <f>Planning!M45</f>
        <v/>
      </c>
      <c r="BN52" s="885">
        <f>Planning!N45</f>
        <v/>
      </c>
      <c r="BO52" s="886" t="n"/>
      <c r="BP52" s="105" t="n"/>
      <c r="BQ52" s="885">
        <f>Planning!Q45</f>
        <v/>
      </c>
      <c r="BR52" s="885">
        <f>Planning!R45</f>
        <v/>
      </c>
      <c r="BS52" s="886" t="n"/>
      <c r="BT52" s="105" t="n"/>
      <c r="BU52" s="885">
        <f>Planning!U45</f>
        <v/>
      </c>
      <c r="BV52" s="885">
        <f>Planning!V45</f>
        <v/>
      </c>
      <c r="BW52" s="886" t="n"/>
      <c r="BX52" s="105" t="n"/>
      <c r="BY52" s="885">
        <f>Planning!Y45</f>
        <v/>
      </c>
      <c r="BZ52" s="885">
        <f>Planning!Z45</f>
        <v/>
      </c>
      <c r="CA52" s="886" t="n"/>
      <c r="CB52" s="105" t="n"/>
      <c r="CC52" s="885">
        <f>Planning!AC45</f>
        <v/>
      </c>
      <c r="CD52" s="885">
        <f>Planning!AD45</f>
        <v/>
      </c>
      <c r="CE52" s="886" t="n"/>
      <c r="CF52" s="105" t="n"/>
      <c r="CG52" s="887">
        <f>Planning!AG45</f>
        <v/>
      </c>
      <c r="CH52" s="105" t="n"/>
      <c r="CI52" s="252">
        <f>IF(BC52="","",Planning!AI45)</f>
        <v/>
      </c>
      <c r="CJ52" s="252">
        <f>IF(BC52="","",Planning!AJ45)</f>
        <v/>
      </c>
      <c r="CK52" s="252">
        <f>IF(BC52="","",Planning!AK45)</f>
        <v/>
      </c>
      <c r="CL52" s="252">
        <f>IF(BC52="","",Planning!AH45)</f>
        <v/>
      </c>
      <c r="CM52" s="21" t="n"/>
    </row>
    <row r="53" ht="12.75" customHeight="1">
      <c r="A53" s="161">
        <f>IFERROR(IF(VLOOKUP($B53,$BC$13:$CL$86,36,FALSE)&gt;5,0,IF(COUNTIF($B$13:$B$63,$B53)&gt;1,0,41)),41)+IF(B53&lt;&gt;0,0,IF(AV53&gt;0,0.000001,0))</f>
        <v/>
      </c>
      <c r="B53" s="129" t="n"/>
      <c r="C53" s="48">
        <f>IFERROR(IF($B53="","",VLOOKUP($B53,Medewerker!$C$8:$AI$107,33,FALSE)),"?")</f>
        <v/>
      </c>
      <c r="D53" s="879">
        <f t="array" ref="D53">IFERROR(IF(LEFT(INDEX($F53:$AQ53,1,SUM(SMALL(IF($F53:$AQ53&lt;&gt;"",COLUMN($F53:$AQ53)),1)-5)),1)="x",SUM(SMALL(IF($F53:$AQ53&lt;&gt;"",$F$11:$AQ$11),1)+"0:15"),SMALL(IF($F53:$AQ53&lt;&gt;"",$F$11:$AQ$11),1)),"")</f>
        <v/>
      </c>
      <c r="E53" s="879">
        <f t="array" ref="E53">IFERROR(IF(LEFT(INDEX($F53:$AQ53,1,SUM(LARGE(IF($F53:$AQ53&lt;&gt;"",COLUMN($F53:$AQ53)),1)-5)),1)="x",SUM(LARGE(IF($F53:$AQ53&lt;&gt;"",$F$11:$AQ$11+"0:30:00"),1)-"0:15"),LARGE(IF($F53:$AQ53&lt;&gt;"",$F$11:$AQ$11+"0:30:00"),1)),"")</f>
        <v/>
      </c>
      <c r="F53" s="43" t="n"/>
      <c r="G53" s="42" t="n"/>
      <c r="H53" s="43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  <c r="AA53" s="42" t="n"/>
      <c r="AB53" s="42" t="n"/>
      <c r="AC53" s="42" t="n"/>
      <c r="AD53" s="42" t="n"/>
      <c r="AE53" s="42" t="n"/>
      <c r="AF53" s="42" t="n"/>
      <c r="AG53" s="42" t="n"/>
      <c r="AH53" s="42" t="n"/>
      <c r="AI53" s="42" t="n"/>
      <c r="AJ53" s="42" t="n"/>
      <c r="AK53" s="42" t="n"/>
      <c r="AL53" s="42" t="n"/>
      <c r="AM53" s="42" t="n"/>
      <c r="AN53" s="42" t="n"/>
      <c r="AO53" s="42" t="n"/>
      <c r="AP53" s="42" t="n"/>
      <c r="AQ53" s="42" t="n"/>
      <c r="AR53" s="888">
        <f>IFERROR(IF(VLOOKUP($B53,Medewerker!$C$8:$Q$107,15,FALSE)="",VLOOKUP($B53,Medewerker!$C$8:$Q$107,13,FALSE),0),0)</f>
        <v/>
      </c>
      <c r="AS53" s="888">
        <f>IFERROR(IF(B53="",1,IF(VLOOKUP($B53,Medewerker!$C$8:$Q$107,15,FALSE)="",VLOOKUP($B53,Medewerker!$C$8:$Q$107,14,FALSE),0)),0)</f>
        <v/>
      </c>
      <c r="AT53" s="45" t="n"/>
      <c r="AU53" s="46">
        <f>(COUNTIF(F53:AQ53,"afw"))/2</f>
        <v/>
      </c>
      <c r="AV53" s="111">
        <f>((38-(COUNTIF(F53:AQ53,"")))/2)-(COUNTIF(F53:AQ53,"p")/2)-(COUNTIF(F53:AQ53,CONCATENATE("x","*"))/4)</f>
        <v/>
      </c>
      <c r="AW53" s="73">
        <f>IF($B53="","",VLOOKUP($B53,Medewerker!$C$8:$E$107,3,FALSE))</f>
        <v/>
      </c>
      <c r="AX53" s="403">
        <f>IFERROR(VLOOKUP($B53,Planning!$B$6:$AG$105,32,FALSE)*24,"")</f>
        <v/>
      </c>
      <c r="AY53" s="837" t="inlineStr">
        <is>
          <t>vp</t>
        </is>
      </c>
      <c r="AZ53" s="71" t="inlineStr">
        <is>
          <t>Vulshiftplanning</t>
        </is>
      </c>
      <c r="BA53" s="111">
        <f>COUNTIF($F$13:$AQ$63,CONCATENATE(AY53,"*"))/2+COUNTIF($F$13:$AQ$63,CONCATENATE("x",AY53,"*"))/4</f>
        <v/>
      </c>
      <c r="BB53" s="838" t="n"/>
      <c r="BC53" s="31">
        <f>IF(Planning!B46="","",Planning!B46)</f>
        <v/>
      </c>
      <c r="BD53" s="105" t="n"/>
      <c r="BE53" s="885">
        <f>Planning!E46</f>
        <v/>
      </c>
      <c r="BF53" s="885">
        <f>Planning!F46</f>
        <v/>
      </c>
      <c r="BG53" s="886" t="n"/>
      <c r="BH53" s="105" t="n"/>
      <c r="BI53" s="885">
        <f>Planning!I46</f>
        <v/>
      </c>
      <c r="BJ53" s="885">
        <f>Planning!J46</f>
        <v/>
      </c>
      <c r="BK53" s="886" t="n"/>
      <c r="BL53" s="105" t="n"/>
      <c r="BM53" s="885">
        <f>Planning!M46</f>
        <v/>
      </c>
      <c r="BN53" s="885">
        <f>Planning!N46</f>
        <v/>
      </c>
      <c r="BO53" s="886" t="n"/>
      <c r="BP53" s="105" t="n"/>
      <c r="BQ53" s="885">
        <f>Planning!Q46</f>
        <v/>
      </c>
      <c r="BR53" s="885">
        <f>Planning!R46</f>
        <v/>
      </c>
      <c r="BS53" s="886" t="n"/>
      <c r="BT53" s="105" t="n"/>
      <c r="BU53" s="885">
        <f>Planning!U46</f>
        <v/>
      </c>
      <c r="BV53" s="885">
        <f>Planning!V46</f>
        <v/>
      </c>
      <c r="BW53" s="886" t="n"/>
      <c r="BX53" s="105" t="n"/>
      <c r="BY53" s="885">
        <f>Planning!Y46</f>
        <v/>
      </c>
      <c r="BZ53" s="885">
        <f>Planning!Z46</f>
        <v/>
      </c>
      <c r="CA53" s="886" t="n"/>
      <c r="CB53" s="105" t="n"/>
      <c r="CC53" s="885">
        <f>Planning!AC46</f>
        <v/>
      </c>
      <c r="CD53" s="885">
        <f>Planning!AD46</f>
        <v/>
      </c>
      <c r="CE53" s="886" t="n"/>
      <c r="CF53" s="105" t="n"/>
      <c r="CG53" s="887">
        <f>Planning!AG46</f>
        <v/>
      </c>
      <c r="CH53" s="105" t="n"/>
      <c r="CI53" s="252">
        <f>IF(BC53="","",Planning!AI46)</f>
        <v/>
      </c>
      <c r="CJ53" s="252">
        <f>IF(BC53="","",Planning!AJ46)</f>
        <v/>
      </c>
      <c r="CK53" s="252">
        <f>IF(BC53="","",Planning!AK46)</f>
        <v/>
      </c>
      <c r="CL53" s="252">
        <f>IF(BC53="","",Planning!AH46)</f>
        <v/>
      </c>
      <c r="CM53" s="21" t="n"/>
    </row>
    <row r="54" ht="12.75" customHeight="1">
      <c r="A54" s="161">
        <f>IFERROR(IF(VLOOKUP($B54,$BC$13:$CL$86,36,FALSE)&gt;5,0,IF(COUNTIF($B$13:$B$63,$B54)&gt;1,0,42)),42)+IF(B54&lt;&gt;0,0,IF(AV54&gt;0,0.000001,0))</f>
        <v/>
      </c>
      <c r="B54" s="129" t="n"/>
      <c r="C54" s="48">
        <f>IFERROR(IF($B54="","",VLOOKUP($B54,Medewerker!$C$8:$AI$107,33,FALSE)),"?")</f>
        <v/>
      </c>
      <c r="D54" s="879">
        <f t="array" ref="D54">IFERROR(IF(LEFT(INDEX($F54:$AQ54,1,SUM(SMALL(IF($F54:$AQ54&lt;&gt;"",COLUMN($F54:$AQ54)),1)-5)),1)="x",SUM(SMALL(IF($F54:$AQ54&lt;&gt;"",$F$11:$AQ$11),1)+"0:15"),SMALL(IF($F54:$AQ54&lt;&gt;"",$F$11:$AQ$11),1)),"")</f>
        <v/>
      </c>
      <c r="E54" s="879">
        <f t="array" ref="E54">IFERROR(IF(LEFT(INDEX($F54:$AQ54,1,SUM(LARGE(IF($F54:$AQ54&lt;&gt;"",COLUMN($F54:$AQ54)),1)-5)),1)="x",SUM(LARGE(IF($F54:$AQ54&lt;&gt;"",$F$11:$AQ$11+"0:30:00"),1)-"0:15"),LARGE(IF($F54:$AQ54&lt;&gt;"",$F$11:$AQ$11+"0:30:00"),1)),"")</f>
        <v/>
      </c>
      <c r="F54" s="43" t="n"/>
      <c r="G54" s="42" t="n"/>
      <c r="H54" s="43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  <c r="AA54" s="42" t="n"/>
      <c r="AB54" s="42" t="n"/>
      <c r="AC54" s="42" t="n"/>
      <c r="AD54" s="42" t="n"/>
      <c r="AE54" s="42" t="n"/>
      <c r="AF54" s="42" t="n"/>
      <c r="AG54" s="42" t="n"/>
      <c r="AH54" s="42" t="n"/>
      <c r="AI54" s="42" t="n"/>
      <c r="AJ54" s="42" t="n"/>
      <c r="AK54" s="42" t="n"/>
      <c r="AL54" s="42" t="n"/>
      <c r="AM54" s="42" t="n"/>
      <c r="AN54" s="42" t="n"/>
      <c r="AO54" s="42" t="n"/>
      <c r="AP54" s="42" t="n"/>
      <c r="AQ54" s="42" t="n"/>
      <c r="AR54" s="888">
        <f>IFERROR(IF(VLOOKUP($B54,Medewerker!$C$8:$Q$107,15,FALSE)="",VLOOKUP($B54,Medewerker!$C$8:$Q$107,13,FALSE),0),0)</f>
        <v/>
      </c>
      <c r="AS54" s="888">
        <f>IFERROR(IF(B54="",1,IF(VLOOKUP($B54,Medewerker!$C$8:$Q$107,15,FALSE)="",VLOOKUP($B54,Medewerker!$C$8:$Q$107,14,FALSE),0)),0)</f>
        <v/>
      </c>
      <c r="AT54" s="45" t="n"/>
      <c r="AU54" s="46">
        <f>(COUNTIF(F54:AQ54,"afw"))/2</f>
        <v/>
      </c>
      <c r="AV54" s="111">
        <f>((38-(COUNTIF(F54:AQ54,"")))/2)-(COUNTIF(F54:AQ54,"p")/2)-(COUNTIF(F54:AQ54,CONCATENATE("x","*"))/4)</f>
        <v/>
      </c>
      <c r="AW54" s="73">
        <f>IF($B54="","",VLOOKUP($B54,Medewerker!$C$8:$E$107,3,FALSE))</f>
        <v/>
      </c>
      <c r="AX54" s="403">
        <f>IFERROR(VLOOKUP($B54,Planning!$B$6:$AG$105,32,FALSE)*24,"")</f>
        <v/>
      </c>
      <c r="AY54" s="837" t="inlineStr">
        <is>
          <t>wh</t>
        </is>
      </c>
      <c r="AZ54" s="413" t="inlineStr">
        <is>
          <t>Winkelwagens halen</t>
        </is>
      </c>
      <c r="BA54" s="111">
        <f>COUNTIF($F$13:$AQ$63,CONCATENATE(AY54,"*"))/2+COUNTIF($F$13:$AQ$63,CONCATENATE("x",AY54,"*"))/4</f>
        <v/>
      </c>
      <c r="BB54" s="838" t="n"/>
      <c r="BC54" s="31">
        <f>IF(Planning!B47="","",Planning!B47)</f>
        <v/>
      </c>
      <c r="BD54" s="105" t="n"/>
      <c r="BE54" s="885">
        <f>Planning!E47</f>
        <v/>
      </c>
      <c r="BF54" s="885">
        <f>Planning!F47</f>
        <v/>
      </c>
      <c r="BG54" s="886" t="n"/>
      <c r="BH54" s="105" t="n"/>
      <c r="BI54" s="885">
        <f>Planning!I47</f>
        <v/>
      </c>
      <c r="BJ54" s="885">
        <f>Planning!J47</f>
        <v/>
      </c>
      <c r="BK54" s="886" t="n"/>
      <c r="BL54" s="105" t="n"/>
      <c r="BM54" s="885">
        <f>Planning!M47</f>
        <v/>
      </c>
      <c r="BN54" s="885">
        <f>Planning!N47</f>
        <v/>
      </c>
      <c r="BO54" s="886" t="n"/>
      <c r="BP54" s="105" t="n"/>
      <c r="BQ54" s="885">
        <f>Planning!Q47</f>
        <v/>
      </c>
      <c r="BR54" s="885">
        <f>Planning!R47</f>
        <v/>
      </c>
      <c r="BS54" s="886" t="n"/>
      <c r="BT54" s="105" t="n"/>
      <c r="BU54" s="885">
        <f>Planning!U47</f>
        <v/>
      </c>
      <c r="BV54" s="885">
        <f>Planning!V47</f>
        <v/>
      </c>
      <c r="BW54" s="886" t="n"/>
      <c r="BX54" s="105" t="n"/>
      <c r="BY54" s="885">
        <f>Planning!Y47</f>
        <v/>
      </c>
      <c r="BZ54" s="885">
        <f>Planning!Z47</f>
        <v/>
      </c>
      <c r="CA54" s="886" t="n"/>
      <c r="CB54" s="105" t="n"/>
      <c r="CC54" s="885">
        <f>Planning!AC47</f>
        <v/>
      </c>
      <c r="CD54" s="885">
        <f>Planning!AD47</f>
        <v/>
      </c>
      <c r="CE54" s="886" t="n"/>
      <c r="CF54" s="105" t="n"/>
      <c r="CG54" s="887">
        <f>Planning!AG47</f>
        <v/>
      </c>
      <c r="CH54" s="105" t="n"/>
      <c r="CI54" s="252">
        <f>IF(BC54="","",Planning!AI47)</f>
        <v/>
      </c>
      <c r="CJ54" s="252">
        <f>IF(BC54="","",Planning!AJ47)</f>
        <v/>
      </c>
      <c r="CK54" s="252">
        <f>IF(BC54="","",Planning!AK47)</f>
        <v/>
      </c>
      <c r="CL54" s="252">
        <f>IF(BC54="","",Planning!AH47)</f>
        <v/>
      </c>
      <c r="CM54" s="21" t="n"/>
    </row>
    <row r="55" ht="12.75" customHeight="1">
      <c r="A55" s="161">
        <f>IFERROR(IF(VLOOKUP($B55,$BC$13:$CL$86,36,FALSE)&gt;5,0,IF(COUNTIF($B$13:$B$63,$B55)&gt;1,0,43)),43)+IF(B55&lt;&gt;0,0,IF(AV55&gt;0,0.000001,0))</f>
        <v/>
      </c>
      <c r="B55" s="129" t="n"/>
      <c r="C55" s="48">
        <f>IFERROR(IF($B55="","",VLOOKUP($B55,Medewerker!$C$8:$AI$107,33,FALSE)),"?")</f>
        <v/>
      </c>
      <c r="D55" s="879">
        <f t="array" ref="D55">IFERROR(IF(LEFT(INDEX($F55:$AQ55,1,SUM(SMALL(IF($F55:$AQ55&lt;&gt;"",COLUMN($F55:$AQ55)),1)-5)),1)="x",SUM(SMALL(IF($F55:$AQ55&lt;&gt;"",$F$11:$AQ$11),1)+"0:15"),SMALL(IF($F55:$AQ55&lt;&gt;"",$F$11:$AQ$11),1)),"")</f>
        <v/>
      </c>
      <c r="E55" s="879">
        <f t="array" ref="E55">IFERROR(IF(LEFT(INDEX($F55:$AQ55,1,SUM(LARGE(IF($F55:$AQ55&lt;&gt;"",COLUMN($F55:$AQ55)),1)-5)),1)="x",SUM(LARGE(IF($F55:$AQ55&lt;&gt;"",$F$11:$AQ$11+"0:30:00"),1)-"0:15"),LARGE(IF($F55:$AQ55&lt;&gt;"",$F$11:$AQ$11+"0:30:00"),1)),"")</f>
        <v/>
      </c>
      <c r="F55" s="43" t="n"/>
      <c r="G55" s="42" t="n"/>
      <c r="H55" s="43" t="n"/>
      <c r="I55" s="42" t="n"/>
      <c r="J55" s="43" t="n"/>
      <c r="K55" s="41" t="n"/>
      <c r="L55" s="40" t="n"/>
      <c r="M55" s="42" t="n"/>
      <c r="N55" s="43" t="n"/>
      <c r="O55" s="41" t="n"/>
      <c r="P55" s="40" t="n"/>
      <c r="Q55" s="42" t="n"/>
      <c r="R55" s="43" t="n"/>
      <c r="S55" s="41" t="n"/>
      <c r="T55" s="40" t="n"/>
      <c r="U55" s="42" t="n"/>
      <c r="V55" s="43" t="n"/>
      <c r="W55" s="41" t="n"/>
      <c r="X55" s="40" t="n"/>
      <c r="Y55" s="42" t="n"/>
      <c r="Z55" s="43" t="n"/>
      <c r="AA55" s="41" t="n"/>
      <c r="AB55" s="40" t="n"/>
      <c r="AC55" s="42" t="n"/>
      <c r="AD55" s="43" t="n"/>
      <c r="AE55" s="41" t="n"/>
      <c r="AF55" s="40" t="n"/>
      <c r="AG55" s="42" t="n"/>
      <c r="AH55" s="43" t="n"/>
      <c r="AI55" s="41" t="n"/>
      <c r="AJ55" s="40" t="n"/>
      <c r="AK55" s="42" t="n"/>
      <c r="AL55" s="43" t="n"/>
      <c r="AM55" s="41" t="n"/>
      <c r="AN55" s="645" t="n"/>
      <c r="AO55" s="42" t="n"/>
      <c r="AP55" s="43" t="n"/>
      <c r="AQ55" s="42" t="n"/>
      <c r="AR55" s="888">
        <f>IFERROR(IF(VLOOKUP($B55,Medewerker!$C$8:$Q$107,15,FALSE)="",VLOOKUP($B55,Medewerker!$C$8:$Q$107,13,FALSE),0),0)</f>
        <v/>
      </c>
      <c r="AS55" s="888">
        <f>IFERROR(IF(B55="",1,IF(VLOOKUP($B55,Medewerker!$C$8:$Q$107,15,FALSE)="",VLOOKUP($B55,Medewerker!$C$8:$Q$107,14,FALSE),0)),0)</f>
        <v/>
      </c>
      <c r="AT55" s="45" t="n"/>
      <c r="AU55" s="46">
        <f>(COUNTIF(F55:AQ55,"afw"))/2</f>
        <v/>
      </c>
      <c r="AV55" s="111">
        <f>((38-(COUNTIF(F55:AQ55,"")))/2)-(COUNTIF(F55:AQ55,"p")/2)-(COUNTIF(F55:AQ55,CONCATENATE("x","*"))/4)</f>
        <v/>
      </c>
      <c r="AW55" s="73">
        <f>IF($B55="","",VLOOKUP($B55,Medewerker!$C$8:$E$107,3,FALSE))</f>
        <v/>
      </c>
      <c r="AX55" s="403">
        <f>IFERROR(VLOOKUP($B55,Planning!$B$6:$AG$105,32,FALSE)*24,"")</f>
        <v/>
      </c>
      <c r="AY55" s="837" t="inlineStr">
        <is>
          <t>wp</t>
        </is>
      </c>
      <c r="AZ55" s="71" t="inlineStr">
        <is>
          <t>Weekplanning</t>
        </is>
      </c>
      <c r="BA55" s="111">
        <f>COUNTIF($F$13:$AQ$63,CONCATENATE(AY55,"*"))/2+COUNTIF($F$13:$AQ$63,CONCATENATE("x",AY55,"*"))/4</f>
        <v/>
      </c>
      <c r="BB55" s="838" t="n"/>
      <c r="BC55" s="31">
        <f>IF(Planning!B48="","",Planning!B48)</f>
        <v/>
      </c>
      <c r="BD55" s="105" t="n"/>
      <c r="BE55" s="885">
        <f>Planning!E48</f>
        <v/>
      </c>
      <c r="BF55" s="885">
        <f>Planning!F48</f>
        <v/>
      </c>
      <c r="BG55" s="886" t="n"/>
      <c r="BH55" s="105" t="n"/>
      <c r="BI55" s="885">
        <f>Planning!I48</f>
        <v/>
      </c>
      <c r="BJ55" s="885">
        <f>Planning!J48</f>
        <v/>
      </c>
      <c r="BK55" s="886" t="n"/>
      <c r="BL55" s="105" t="n"/>
      <c r="BM55" s="885">
        <f>Planning!M48</f>
        <v/>
      </c>
      <c r="BN55" s="885">
        <f>Planning!N48</f>
        <v/>
      </c>
      <c r="BO55" s="886" t="n"/>
      <c r="BP55" s="105" t="n"/>
      <c r="BQ55" s="885">
        <f>Planning!Q48</f>
        <v/>
      </c>
      <c r="BR55" s="885">
        <f>Planning!R48</f>
        <v/>
      </c>
      <c r="BS55" s="886" t="n"/>
      <c r="BT55" s="105" t="n"/>
      <c r="BU55" s="885">
        <f>Planning!U48</f>
        <v/>
      </c>
      <c r="BV55" s="885">
        <f>Planning!V48</f>
        <v/>
      </c>
      <c r="BW55" s="886" t="n"/>
      <c r="BX55" s="105" t="n"/>
      <c r="BY55" s="885">
        <f>Planning!Y48</f>
        <v/>
      </c>
      <c r="BZ55" s="885">
        <f>Planning!Z48</f>
        <v/>
      </c>
      <c r="CA55" s="886" t="n"/>
      <c r="CB55" s="105" t="n"/>
      <c r="CC55" s="885">
        <f>Planning!AC48</f>
        <v/>
      </c>
      <c r="CD55" s="885">
        <f>Planning!AD48</f>
        <v/>
      </c>
      <c r="CE55" s="886" t="n"/>
      <c r="CF55" s="105" t="n"/>
      <c r="CG55" s="887">
        <f>Planning!AG48</f>
        <v/>
      </c>
      <c r="CH55" s="105" t="n"/>
      <c r="CI55" s="252">
        <f>IF(BC55="","",Planning!AI48)</f>
        <v/>
      </c>
      <c r="CJ55" s="252">
        <f>IF(BC55="","",Planning!AJ48)</f>
        <v/>
      </c>
      <c r="CK55" s="252">
        <f>IF(BC55="","",Planning!AK48)</f>
        <v/>
      </c>
      <c r="CL55" s="252">
        <f>IF(BC55="","",Planning!AH48)</f>
        <v/>
      </c>
      <c r="CM55" s="21" t="n"/>
    </row>
    <row r="56" ht="12.75" customHeight="1">
      <c r="A56" s="161">
        <f>IFERROR(IF(VLOOKUP($B56,$BC$13:$CL$86,36,FALSE)&gt;5,0,IF(COUNTIF($B$13:$B$63,$B56)&gt;1,0,44)),44)+IF(B56&lt;&gt;0,0,IF(AV56&gt;0,0.000001,0))</f>
        <v/>
      </c>
      <c r="B56" s="129" t="n"/>
      <c r="C56" s="48">
        <f>IFERROR(IF($B56="","",VLOOKUP($B56,Medewerker!$C$8:$AI$107,33,FALSE)),"?")</f>
        <v/>
      </c>
      <c r="D56" s="879">
        <f t="array" ref="D56">IFERROR(IF(LEFT(INDEX($F56:$AQ56,1,SUM(SMALL(IF($F56:$AQ56&lt;&gt;"",COLUMN($F56:$AQ56)),1)-5)),1)="x",SUM(SMALL(IF($F56:$AQ56&lt;&gt;"",$F$11:$AQ$11),1)+"0:15"),SMALL(IF($F56:$AQ56&lt;&gt;"",$F$11:$AQ$11),1)),"")</f>
        <v/>
      </c>
      <c r="E56" s="879">
        <f t="array" ref="E56">IFERROR(IF(LEFT(INDEX($F56:$AQ56,1,SUM(LARGE(IF($F56:$AQ56&lt;&gt;"",COLUMN($F56:$AQ56)),1)-5)),1)="x",SUM(LARGE(IF($F56:$AQ56&lt;&gt;"",$F$11:$AQ$11+"0:30:00"),1)-"0:15"),LARGE(IF($F56:$AQ56&lt;&gt;"",$F$11:$AQ$11+"0:30:00"),1)),"")</f>
        <v/>
      </c>
      <c r="F56" s="43" t="n"/>
      <c r="G56" s="42" t="n"/>
      <c r="H56" s="43" t="n"/>
      <c r="I56" s="42" t="n"/>
      <c r="J56" s="43" t="n"/>
      <c r="K56" s="41" t="n"/>
      <c r="L56" s="40" t="n"/>
      <c r="M56" s="42" t="n"/>
      <c r="N56" s="43" t="n"/>
      <c r="O56" s="41" t="n"/>
      <c r="P56" s="40" t="n"/>
      <c r="Q56" s="42" t="n"/>
      <c r="R56" s="43" t="n"/>
      <c r="S56" s="41" t="n"/>
      <c r="T56" s="40" t="n"/>
      <c r="U56" s="42" t="n"/>
      <c r="V56" s="43" t="n"/>
      <c r="W56" s="41" t="n"/>
      <c r="X56" s="40" t="n"/>
      <c r="Y56" s="42" t="n"/>
      <c r="Z56" s="43" t="n"/>
      <c r="AA56" s="41" t="n"/>
      <c r="AB56" s="40" t="n"/>
      <c r="AC56" s="42" t="n"/>
      <c r="AD56" s="43" t="n"/>
      <c r="AE56" s="41" t="n"/>
      <c r="AF56" s="40" t="n"/>
      <c r="AG56" s="42" t="n"/>
      <c r="AH56" s="43" t="n"/>
      <c r="AI56" s="41" t="n"/>
      <c r="AJ56" s="40" t="n"/>
      <c r="AK56" s="42" t="n"/>
      <c r="AL56" s="43" t="n"/>
      <c r="AM56" s="41" t="n"/>
      <c r="AN56" s="645" t="n"/>
      <c r="AO56" s="42" t="n"/>
      <c r="AP56" s="43" t="n"/>
      <c r="AQ56" s="42" t="n"/>
      <c r="AR56" s="888">
        <f>IFERROR(IF(VLOOKUP($B56,Medewerker!$C$8:$Q$107,15,FALSE)="",VLOOKUP($B56,Medewerker!$C$8:$Q$107,13,FALSE),0),0)</f>
        <v/>
      </c>
      <c r="AS56" s="888">
        <f>IFERROR(IF(B56="",1,IF(VLOOKUP($B56,Medewerker!$C$8:$Q$107,15,FALSE)="",VLOOKUP($B56,Medewerker!$C$8:$Q$107,14,FALSE),0)),0)</f>
        <v/>
      </c>
      <c r="AT56" s="45" t="n"/>
      <c r="AU56" s="46">
        <f>(COUNTIF(F56:AQ56,"afw"))/2</f>
        <v/>
      </c>
      <c r="AV56" s="111">
        <f>((38-(COUNTIF(F56:AQ56,"")))/2)-(COUNTIF(F56:AQ56,"p")/2)-(COUNTIF(F56:AQ56,CONCATENATE("x","*"))/4)</f>
        <v/>
      </c>
      <c r="AW56" s="73">
        <f>IF($B56="","",VLOOKUP($B56,Medewerker!$C$8:$E$107,3,FALSE))</f>
        <v/>
      </c>
      <c r="AX56" s="403">
        <f>IFERROR(VLOOKUP($B56,Planning!$B$6:$AG$105,32,FALSE)*24,"")</f>
        <v/>
      </c>
      <c r="AY56" s="558" t="inlineStr">
        <is>
          <t>wv</t>
        </is>
      </c>
      <c r="AZ56" s="71" t="inlineStr">
        <is>
          <t>Winkelverzorging</t>
        </is>
      </c>
      <c r="BA56" s="111">
        <f>COUNTIF($F$13:$AQ$63,CONCATENATE(AY56,"*"))/2+COUNTIF($F$13:$AQ$63,CONCATENATE("x",AY56,"*"))/4</f>
        <v/>
      </c>
      <c r="BB56" s="838" t="n"/>
      <c r="BC56" s="31">
        <f>IF(Planning!B49="","",Planning!B49)</f>
        <v/>
      </c>
      <c r="BD56" s="105" t="n"/>
      <c r="BE56" s="885">
        <f>Planning!E49</f>
        <v/>
      </c>
      <c r="BF56" s="885">
        <f>Planning!F49</f>
        <v/>
      </c>
      <c r="BG56" s="886" t="n"/>
      <c r="BH56" s="105" t="n"/>
      <c r="BI56" s="885">
        <f>Planning!I49</f>
        <v/>
      </c>
      <c r="BJ56" s="885">
        <f>Planning!J49</f>
        <v/>
      </c>
      <c r="BK56" s="886" t="n"/>
      <c r="BL56" s="105" t="n"/>
      <c r="BM56" s="885">
        <f>Planning!M49</f>
        <v/>
      </c>
      <c r="BN56" s="885">
        <f>Planning!N49</f>
        <v/>
      </c>
      <c r="BO56" s="886" t="n"/>
      <c r="BP56" s="105" t="n"/>
      <c r="BQ56" s="885">
        <f>Planning!Q49</f>
        <v/>
      </c>
      <c r="BR56" s="885">
        <f>Planning!R49</f>
        <v/>
      </c>
      <c r="BS56" s="886" t="n"/>
      <c r="BT56" s="105" t="n"/>
      <c r="BU56" s="885">
        <f>Planning!U49</f>
        <v/>
      </c>
      <c r="BV56" s="885">
        <f>Planning!V49</f>
        <v/>
      </c>
      <c r="BW56" s="886" t="n"/>
      <c r="BX56" s="105" t="n"/>
      <c r="BY56" s="885">
        <f>Planning!Y49</f>
        <v/>
      </c>
      <c r="BZ56" s="885">
        <f>Planning!Z49</f>
        <v/>
      </c>
      <c r="CA56" s="886" t="n"/>
      <c r="CB56" s="105" t="n"/>
      <c r="CC56" s="885">
        <f>Planning!AC49</f>
        <v/>
      </c>
      <c r="CD56" s="885">
        <f>Planning!AD49</f>
        <v/>
      </c>
      <c r="CE56" s="886" t="n"/>
      <c r="CF56" s="105" t="n"/>
      <c r="CG56" s="887">
        <f>Planning!AG49</f>
        <v/>
      </c>
      <c r="CH56" s="105" t="n"/>
      <c r="CI56" s="252">
        <f>IF(BC56="","",Planning!AI49)</f>
        <v/>
      </c>
      <c r="CJ56" s="252">
        <f>IF(BC56="","",Planning!AJ49)</f>
        <v/>
      </c>
      <c r="CK56" s="252">
        <f>IF(BC56="","",Planning!AK49)</f>
        <v/>
      </c>
      <c r="CL56" s="252">
        <f>IF(BC56="","",Planning!AH49)</f>
        <v/>
      </c>
      <c r="CM56" s="21" t="n"/>
    </row>
    <row r="57" ht="12.75" customHeight="1">
      <c r="A57" s="161">
        <f>IFERROR(IF(VLOOKUP($B57,$BC$13:$CL$86,36,FALSE)&gt;5,0,IF(COUNTIF($B$13:$B$63,$B57)&gt;1,0,45)),45)+IF(B57&lt;&gt;0,0,IF(AV57&gt;0,0.000001,0))</f>
        <v/>
      </c>
      <c r="B57" s="129" t="n"/>
      <c r="C57" s="48">
        <f>IFERROR(IF($B57="","",VLOOKUP($B57,Medewerker!$C$8:$AI$107,33,FALSE)),"?")</f>
        <v/>
      </c>
      <c r="D57" s="879">
        <f t="array" ref="D57">IFERROR(IF(LEFT(INDEX($F57:$AQ57,1,SUM(SMALL(IF($F57:$AQ57&lt;&gt;"",COLUMN($F57:$AQ57)),1)-5)),1)="x",SUM(SMALL(IF($F57:$AQ57&lt;&gt;"",$F$11:$AQ$11),1)+"0:15"),SMALL(IF($F57:$AQ57&lt;&gt;"",$F$11:$AQ$11),1)),"")</f>
        <v/>
      </c>
      <c r="E57" s="879">
        <f t="array" ref="E57">IFERROR(IF(LEFT(INDEX($F57:$AQ57,1,SUM(LARGE(IF($F57:$AQ57&lt;&gt;"",COLUMN($F57:$AQ57)),1)-5)),1)="x",SUM(LARGE(IF($F57:$AQ57&lt;&gt;"",$F$11:$AQ$11+"0:30:00"),1)-"0:15"),LARGE(IF($F57:$AQ57&lt;&gt;"",$F$11:$AQ$11+"0:30:00"),1)),"")</f>
        <v/>
      </c>
      <c r="F57" s="43" t="n"/>
      <c r="G57" s="42" t="n"/>
      <c r="H57" s="43" t="n"/>
      <c r="I57" s="42" t="n"/>
      <c r="J57" s="43" t="n"/>
      <c r="K57" s="41" t="n"/>
      <c r="L57" s="40" t="n"/>
      <c r="M57" s="42" t="n"/>
      <c r="N57" s="43" t="n"/>
      <c r="O57" s="41" t="n"/>
      <c r="P57" s="40" t="n"/>
      <c r="Q57" s="42" t="n"/>
      <c r="R57" s="43" t="n"/>
      <c r="S57" s="41" t="n"/>
      <c r="T57" s="40" t="n"/>
      <c r="U57" s="42" t="n"/>
      <c r="V57" s="43" t="n"/>
      <c r="W57" s="41" t="n"/>
      <c r="X57" s="40" t="n"/>
      <c r="Y57" s="42" t="n"/>
      <c r="Z57" s="43" t="n"/>
      <c r="AA57" s="41" t="n"/>
      <c r="AB57" s="40" t="n"/>
      <c r="AC57" s="42" t="n"/>
      <c r="AD57" s="43" t="n"/>
      <c r="AE57" s="41" t="n"/>
      <c r="AF57" s="40" t="n"/>
      <c r="AG57" s="42" t="n"/>
      <c r="AH57" s="43" t="n"/>
      <c r="AI57" s="41" t="n"/>
      <c r="AJ57" s="40" t="n"/>
      <c r="AK57" s="42" t="n"/>
      <c r="AL57" s="43" t="n"/>
      <c r="AM57" s="41" t="n"/>
      <c r="AN57" s="645" t="n"/>
      <c r="AO57" s="42" t="n"/>
      <c r="AP57" s="43" t="n"/>
      <c r="AQ57" s="42" t="n"/>
      <c r="AR57" s="888">
        <f>IFERROR(IF(VLOOKUP($B57,Medewerker!$C$8:$Q$107,15,FALSE)="",VLOOKUP($B57,Medewerker!$C$8:$Q$107,13,FALSE),0),0)</f>
        <v/>
      </c>
      <c r="AS57" s="888">
        <f>IFERROR(IF(B57="",1,IF(VLOOKUP($B57,Medewerker!$C$8:$Q$107,15,FALSE)="",VLOOKUP($B57,Medewerker!$C$8:$Q$107,14,FALSE),0)),0)</f>
        <v/>
      </c>
      <c r="AT57" s="45" t="n"/>
      <c r="AU57" s="46">
        <f>(COUNTIF(F57:AQ57,"afw"))/2</f>
        <v/>
      </c>
      <c r="AV57" s="111">
        <f>((38-(COUNTIF(F57:AQ57,"")))/2)-(COUNTIF(F57:AQ57,"p")/2)-(COUNTIF(F57:AQ57,CONCATENATE("x","*"))/4)</f>
        <v/>
      </c>
      <c r="AW57" s="73">
        <f>IF($B57="","",VLOOKUP($B57,Medewerker!$C$8:$E$107,3,FALSE))</f>
        <v/>
      </c>
      <c r="AX57" s="403">
        <f>IFERROR(VLOOKUP($B57,Planning!$B$6:$AG$105,32,FALSE)*24,"")</f>
        <v/>
      </c>
      <c r="AY57" s="837">
        <f>IF(Instellingen!I7="ja","pup","")</f>
        <v/>
      </c>
      <c r="AZ57" s="71">
        <f>IF(Instellingen!I7="ja","Pick-Up-Point","")</f>
        <v/>
      </c>
      <c r="BA57" s="111">
        <f>IF(Instellingen!I7="ja",COUNTIF($F$13:$AQ$63,CONCATENATE(AY57,"*"))/2+COUNTIF($F$13:$AQ$63,CONCATENATE("x",AY57,"*"))/4,"")</f>
        <v/>
      </c>
      <c r="BB57" s="838" t="n"/>
      <c r="BC57" s="31">
        <f>IF(Planning!B50="","",Planning!B50)</f>
        <v/>
      </c>
      <c r="BD57" s="105" t="n"/>
      <c r="BE57" s="885">
        <f>Planning!E50</f>
        <v/>
      </c>
      <c r="BF57" s="885">
        <f>Planning!F50</f>
        <v/>
      </c>
      <c r="BG57" s="886" t="n"/>
      <c r="BH57" s="105" t="n"/>
      <c r="BI57" s="885">
        <f>Planning!I50</f>
        <v/>
      </c>
      <c r="BJ57" s="885">
        <f>Planning!J50</f>
        <v/>
      </c>
      <c r="BK57" s="886" t="n"/>
      <c r="BL57" s="105" t="n"/>
      <c r="BM57" s="885">
        <f>Planning!M50</f>
        <v/>
      </c>
      <c r="BN57" s="885">
        <f>Planning!N50</f>
        <v/>
      </c>
      <c r="BO57" s="886" t="n"/>
      <c r="BP57" s="105" t="n"/>
      <c r="BQ57" s="885">
        <f>Planning!Q50</f>
        <v/>
      </c>
      <c r="BR57" s="885">
        <f>Planning!R50</f>
        <v/>
      </c>
      <c r="BS57" s="886" t="n"/>
      <c r="BT57" s="105" t="n"/>
      <c r="BU57" s="885">
        <f>Planning!U50</f>
        <v/>
      </c>
      <c r="BV57" s="885">
        <f>Planning!V50</f>
        <v/>
      </c>
      <c r="BW57" s="886" t="n"/>
      <c r="BX57" s="105" t="n"/>
      <c r="BY57" s="885">
        <f>Planning!Y50</f>
        <v/>
      </c>
      <c r="BZ57" s="885">
        <f>Planning!Z50</f>
        <v/>
      </c>
      <c r="CA57" s="886" t="n"/>
      <c r="CB57" s="105" t="n"/>
      <c r="CC57" s="885">
        <f>Planning!AC50</f>
        <v/>
      </c>
      <c r="CD57" s="885">
        <f>Planning!AD50</f>
        <v/>
      </c>
      <c r="CE57" s="886" t="n"/>
      <c r="CF57" s="105" t="n"/>
      <c r="CG57" s="887">
        <f>Planning!AG50</f>
        <v/>
      </c>
      <c r="CH57" s="105" t="n"/>
      <c r="CI57" s="252">
        <f>IF(BC57="","",Planning!AI50)</f>
        <v/>
      </c>
      <c r="CJ57" s="252">
        <f>IF(BC57="","",Planning!AJ50)</f>
        <v/>
      </c>
      <c r="CK57" s="252">
        <f>IF(BC57="","",Planning!AK50)</f>
        <v/>
      </c>
      <c r="CL57" s="252">
        <f>IF(BC57="","",Planning!AH50)</f>
        <v/>
      </c>
      <c r="CM57" s="21" t="n"/>
    </row>
    <row r="58" ht="12.75" customHeight="1">
      <c r="A58" s="161">
        <f>IFERROR(IF(VLOOKUP($B58,$BC$13:$CL$86,36,FALSE)&gt;5,0,IF(COUNTIF($B$13:$B$63,$B58)&gt;1,0,46)),46)+IF(B58&lt;&gt;0,0,IF(AV58&gt;0,0.000001,0))</f>
        <v/>
      </c>
      <c r="B58" s="129" t="n"/>
      <c r="C58" s="48">
        <f>IFERROR(IF($B58="","",VLOOKUP($B58,Medewerker!$C$8:$AI$107,33,FALSE)),"?")</f>
        <v/>
      </c>
      <c r="D58" s="879">
        <f t="array" ref="D58">IFERROR(IF(LEFT(INDEX($F58:$AQ58,1,SUM(SMALL(IF($F58:$AQ58&lt;&gt;"",COLUMN($F58:$AQ58)),1)-5)),1)="x",SUM(SMALL(IF($F58:$AQ58&lt;&gt;"",$F$11:$AQ$11),1)+"0:15"),SMALL(IF($F58:$AQ58&lt;&gt;"",$F$11:$AQ$11),1)),"")</f>
        <v/>
      </c>
      <c r="E58" s="879">
        <f t="array" ref="E58">IFERROR(IF(LEFT(INDEX($F58:$AQ58,1,SUM(LARGE(IF($F58:$AQ58&lt;&gt;"",COLUMN($F58:$AQ58)),1)-5)),1)="x",SUM(LARGE(IF($F58:$AQ58&lt;&gt;"",$F$11:$AQ$11+"0:30:00"),1)-"0:15"),LARGE(IF($F58:$AQ58&lt;&gt;"",$F$11:$AQ$11+"0:30:00"),1)),"")</f>
        <v/>
      </c>
      <c r="F58" s="43" t="n"/>
      <c r="G58" s="42" t="n"/>
      <c r="H58" s="43" t="n"/>
      <c r="I58" s="42" t="n"/>
      <c r="J58" s="43" t="n"/>
      <c r="K58" s="41" t="n"/>
      <c r="L58" s="40" t="n"/>
      <c r="M58" s="42" t="n"/>
      <c r="N58" s="43" t="n"/>
      <c r="O58" s="41" t="n"/>
      <c r="P58" s="40" t="n"/>
      <c r="Q58" s="42" t="n"/>
      <c r="R58" s="43" t="n"/>
      <c r="S58" s="41" t="n"/>
      <c r="T58" s="40" t="n"/>
      <c r="U58" s="42" t="n"/>
      <c r="V58" s="43" t="n"/>
      <c r="W58" s="41" t="n"/>
      <c r="X58" s="40" t="n"/>
      <c r="Y58" s="42" t="n"/>
      <c r="Z58" s="43" t="n"/>
      <c r="AA58" s="41" t="n"/>
      <c r="AB58" s="40" t="n"/>
      <c r="AC58" s="42" t="n"/>
      <c r="AD58" s="43" t="n"/>
      <c r="AE58" s="41" t="n"/>
      <c r="AF58" s="40" t="n"/>
      <c r="AG58" s="42" t="n"/>
      <c r="AH58" s="43" t="n"/>
      <c r="AI58" s="41" t="n"/>
      <c r="AJ58" s="40" t="n"/>
      <c r="AK58" s="42" t="n"/>
      <c r="AL58" s="43" t="n"/>
      <c r="AM58" s="41" t="n"/>
      <c r="AN58" s="645" t="n"/>
      <c r="AO58" s="42" t="n"/>
      <c r="AP58" s="43" t="n"/>
      <c r="AQ58" s="42" t="n"/>
      <c r="AR58" s="888">
        <f>IFERROR(IF(VLOOKUP($B58,Medewerker!$C$8:$Q$107,15,FALSE)="",VLOOKUP($B58,Medewerker!$C$8:$Q$107,13,FALSE),0),0)</f>
        <v/>
      </c>
      <c r="AS58" s="888">
        <f>IFERROR(IF(B58="",1,IF(VLOOKUP($B58,Medewerker!$C$8:$Q$107,15,FALSE)="",VLOOKUP($B58,Medewerker!$C$8:$Q$107,14,FALSE),0)),0)</f>
        <v/>
      </c>
      <c r="AT58" s="45" t="n"/>
      <c r="AU58" s="46">
        <f>(COUNTIF(F58:AQ58,"afw"))/2</f>
        <v/>
      </c>
      <c r="AV58" s="111">
        <f>((38-(COUNTIF(F58:AQ58,"")))/2)-(COUNTIF(F58:AQ58,"p")/2)-(COUNTIF(F58:AQ58,CONCATENATE("x","*"))/4)</f>
        <v/>
      </c>
      <c r="AW58" s="73">
        <f>IF($B58="","",VLOOKUP($B58,Medewerker!$C$8:$E$107,3,FALSE))</f>
        <v/>
      </c>
      <c r="AX58" s="403">
        <f>IFERROR(VLOOKUP($B58,Planning!$B$6:$AG$105,32,FALSE)*24,"")</f>
        <v/>
      </c>
      <c r="AY58" s="411">
        <f>IF(Ma!AY58="","",Ma!AY58)</f>
        <v/>
      </c>
      <c r="AZ58" s="166">
        <f>IF(Ma!AZ58="","",Ma!AZ58)</f>
        <v/>
      </c>
      <c r="BA58" s="111">
        <f>IFERROR(IF(AY58="","",(COUNTIF($F$13:$AQ$63,CONCATENATE(AY58,"*"))/2+COUNTIF($F$13:$AQ$63,CONCATENATE("x",AY58,"*"))/4)),"")</f>
        <v/>
      </c>
      <c r="BB58" s="838" t="n"/>
      <c r="BC58" s="31">
        <f>IF(Planning!B51="","",Planning!B51)</f>
        <v/>
      </c>
      <c r="BD58" s="105" t="n"/>
      <c r="BE58" s="885">
        <f>Planning!E51</f>
        <v/>
      </c>
      <c r="BF58" s="885">
        <f>Planning!F51</f>
        <v/>
      </c>
      <c r="BG58" s="886" t="n"/>
      <c r="BH58" s="105" t="n"/>
      <c r="BI58" s="885">
        <f>Planning!I51</f>
        <v/>
      </c>
      <c r="BJ58" s="885">
        <f>Planning!J51</f>
        <v/>
      </c>
      <c r="BK58" s="886" t="n"/>
      <c r="BL58" s="105" t="n"/>
      <c r="BM58" s="885">
        <f>Planning!M51</f>
        <v/>
      </c>
      <c r="BN58" s="885">
        <f>Planning!N51</f>
        <v/>
      </c>
      <c r="BO58" s="886" t="n"/>
      <c r="BP58" s="105" t="n"/>
      <c r="BQ58" s="885">
        <f>Planning!Q51</f>
        <v/>
      </c>
      <c r="BR58" s="885">
        <f>Planning!R51</f>
        <v/>
      </c>
      <c r="BS58" s="886" t="n"/>
      <c r="BT58" s="105" t="n"/>
      <c r="BU58" s="885">
        <f>Planning!U51</f>
        <v/>
      </c>
      <c r="BV58" s="885">
        <f>Planning!V51</f>
        <v/>
      </c>
      <c r="BW58" s="886" t="n"/>
      <c r="BX58" s="105" t="n"/>
      <c r="BY58" s="885">
        <f>Planning!Y51</f>
        <v/>
      </c>
      <c r="BZ58" s="885">
        <f>Planning!Z51</f>
        <v/>
      </c>
      <c r="CA58" s="886" t="n"/>
      <c r="CB58" s="105" t="n"/>
      <c r="CC58" s="885">
        <f>Planning!AC51</f>
        <v/>
      </c>
      <c r="CD58" s="885">
        <f>Planning!AD51</f>
        <v/>
      </c>
      <c r="CE58" s="886" t="n"/>
      <c r="CF58" s="105" t="n"/>
      <c r="CG58" s="887">
        <f>Planning!AG51</f>
        <v/>
      </c>
      <c r="CH58" s="105" t="n"/>
      <c r="CI58" s="252">
        <f>IF(BC58="","",Planning!AI51)</f>
        <v/>
      </c>
      <c r="CJ58" s="252">
        <f>IF(BC58="","",Planning!AJ51)</f>
        <v/>
      </c>
      <c r="CK58" s="252">
        <f>IF(BC58="","",Planning!AK51)</f>
        <v/>
      </c>
      <c r="CL58" s="252">
        <f>IF(BC58="","",Planning!AH51)</f>
        <v/>
      </c>
      <c r="CM58" s="21" t="n"/>
    </row>
    <row r="59" ht="12.75" customHeight="1">
      <c r="A59" s="161">
        <f>IFERROR(IF(VLOOKUP($B59,$BC$13:$CL$86,36,FALSE)&gt;5,0,IF(COUNTIF($B$13:$B$63,$B59)&gt;1,0,47)),47)+IF(B59&lt;&gt;0,0,IF(AV59&gt;0,0.000001,0))</f>
        <v/>
      </c>
      <c r="B59" s="129" t="n"/>
      <c r="C59" s="48">
        <f>IFERROR(IF($B59="","",VLOOKUP($B59,Medewerker!$C$8:$AI$107,33,FALSE)),"?")</f>
        <v/>
      </c>
      <c r="D59" s="879">
        <f t="array" ref="D59">IFERROR(IF(LEFT(INDEX($F59:$AQ59,1,SUM(SMALL(IF($F59:$AQ59&lt;&gt;"",COLUMN($F59:$AQ59)),1)-5)),1)="x",SUM(SMALL(IF($F59:$AQ59&lt;&gt;"",$F$11:$AQ$11),1)+"0:15"),SMALL(IF($F59:$AQ59&lt;&gt;"",$F$11:$AQ$11),1)),"")</f>
        <v/>
      </c>
      <c r="E59" s="879">
        <f t="array" ref="E59">IFERROR(IF(LEFT(INDEX($F59:$AQ59,1,SUM(LARGE(IF($F59:$AQ59&lt;&gt;"",COLUMN($F59:$AQ59)),1)-5)),1)="x",SUM(LARGE(IF($F59:$AQ59&lt;&gt;"",$F$11:$AQ$11+"0:30:00"),1)-"0:15"),LARGE(IF($F59:$AQ59&lt;&gt;"",$F$11:$AQ$11+"0:30:00"),1)),"")</f>
        <v/>
      </c>
      <c r="F59" s="43" t="n"/>
      <c r="G59" s="42" t="n"/>
      <c r="H59" s="43" t="n"/>
      <c r="I59" s="42" t="n"/>
      <c r="J59" s="43" t="n"/>
      <c r="K59" s="41" t="n"/>
      <c r="L59" s="40" t="n"/>
      <c r="M59" s="42" t="n"/>
      <c r="N59" s="43" t="n"/>
      <c r="O59" s="41" t="n"/>
      <c r="P59" s="40" t="n"/>
      <c r="Q59" s="42" t="n"/>
      <c r="R59" s="43" t="n"/>
      <c r="S59" s="41" t="n"/>
      <c r="T59" s="40" t="n"/>
      <c r="U59" s="42" t="n"/>
      <c r="V59" s="43" t="n"/>
      <c r="W59" s="41" t="n"/>
      <c r="X59" s="40" t="n"/>
      <c r="Y59" s="42" t="n"/>
      <c r="Z59" s="43" t="n"/>
      <c r="AA59" s="41" t="n"/>
      <c r="AB59" s="40" t="n"/>
      <c r="AC59" s="42" t="n"/>
      <c r="AD59" s="43" t="n"/>
      <c r="AE59" s="41" t="n"/>
      <c r="AF59" s="40" t="n"/>
      <c r="AG59" s="42" t="n"/>
      <c r="AH59" s="43" t="n"/>
      <c r="AI59" s="41" t="n"/>
      <c r="AJ59" s="40" t="n"/>
      <c r="AK59" s="42" t="n"/>
      <c r="AL59" s="43" t="n"/>
      <c r="AM59" s="41" t="n"/>
      <c r="AN59" s="645" t="n"/>
      <c r="AO59" s="42" t="n"/>
      <c r="AP59" s="43" t="n"/>
      <c r="AQ59" s="42" t="n"/>
      <c r="AR59" s="888">
        <f>IFERROR(IF(VLOOKUP($B59,Medewerker!$C$8:$Q$107,15,FALSE)="",VLOOKUP($B59,Medewerker!$C$8:$Q$107,13,FALSE),0),0)</f>
        <v/>
      </c>
      <c r="AS59" s="888">
        <f>IFERROR(IF(B59="",1,IF(VLOOKUP($B59,Medewerker!$C$8:$Q$107,15,FALSE)="",VLOOKUP($B59,Medewerker!$C$8:$Q$107,14,FALSE),0)),0)</f>
        <v/>
      </c>
      <c r="AT59" s="45" t="n"/>
      <c r="AU59" s="46">
        <f>(COUNTIF(F59:AQ59,"afw"))/2</f>
        <v/>
      </c>
      <c r="AV59" s="111">
        <f>((38-(COUNTIF(F59:AQ59,"")))/2)-(COUNTIF(F59:AQ59,"p")/2)-(COUNTIF(F59:AQ59,CONCATENATE("x","*"))/4)</f>
        <v/>
      </c>
      <c r="AW59" s="73">
        <f>IF($B59="","",VLOOKUP($B59,Medewerker!$C$8:$E$107,3,FALSE))</f>
        <v/>
      </c>
      <c r="AX59" s="403">
        <f>IFERROR(VLOOKUP($B59,Planning!$B$6:$AG$105,32,FALSE)*24,"")</f>
        <v/>
      </c>
      <c r="AY59" s="411">
        <f>IF(Ma!AY59="","",Ma!AY59)</f>
        <v/>
      </c>
      <c r="AZ59" s="166">
        <f>IF(Ma!AZ59="","",Ma!AZ59)</f>
        <v/>
      </c>
      <c r="BA59" s="111">
        <f>IFERROR(IF(AY59="","",(COUNTIF($F$13:$AQ$63,CONCATENATE(AY59,"*"))/2+COUNTIF($F$13:$AQ$63,CONCATENATE("x",AY59,"*"))/4)),"")</f>
        <v/>
      </c>
      <c r="BB59" s="838" t="n"/>
      <c r="BC59" s="31">
        <f>IF(Planning!B52="","",Planning!B52)</f>
        <v/>
      </c>
      <c r="BD59" s="105" t="n"/>
      <c r="BE59" s="885">
        <f>Planning!E52</f>
        <v/>
      </c>
      <c r="BF59" s="885">
        <f>Planning!F52</f>
        <v/>
      </c>
      <c r="BG59" s="886" t="n"/>
      <c r="BH59" s="105" t="n"/>
      <c r="BI59" s="885">
        <f>Planning!I52</f>
        <v/>
      </c>
      <c r="BJ59" s="885">
        <f>Planning!J52</f>
        <v/>
      </c>
      <c r="BK59" s="886" t="n"/>
      <c r="BL59" s="105" t="n"/>
      <c r="BM59" s="885">
        <f>Planning!M52</f>
        <v/>
      </c>
      <c r="BN59" s="885">
        <f>Planning!N52</f>
        <v/>
      </c>
      <c r="BO59" s="886" t="n"/>
      <c r="BP59" s="105" t="n"/>
      <c r="BQ59" s="885">
        <f>Planning!Q52</f>
        <v/>
      </c>
      <c r="BR59" s="885">
        <f>Planning!R52</f>
        <v/>
      </c>
      <c r="BS59" s="886" t="n"/>
      <c r="BT59" s="105" t="n"/>
      <c r="BU59" s="885">
        <f>Planning!U52</f>
        <v/>
      </c>
      <c r="BV59" s="885">
        <f>Planning!V52</f>
        <v/>
      </c>
      <c r="BW59" s="886" t="n"/>
      <c r="BX59" s="105" t="n"/>
      <c r="BY59" s="885">
        <f>Planning!Y52</f>
        <v/>
      </c>
      <c r="BZ59" s="885">
        <f>Planning!Z52</f>
        <v/>
      </c>
      <c r="CA59" s="886" t="n"/>
      <c r="CB59" s="105" t="n"/>
      <c r="CC59" s="885">
        <f>Planning!AC52</f>
        <v/>
      </c>
      <c r="CD59" s="885">
        <f>Planning!AD52</f>
        <v/>
      </c>
      <c r="CE59" s="886" t="n"/>
      <c r="CF59" s="105" t="n"/>
      <c r="CG59" s="887">
        <f>Planning!AG52</f>
        <v/>
      </c>
      <c r="CH59" s="105" t="n"/>
      <c r="CI59" s="252">
        <f>IF(BC59="","",Planning!AI52)</f>
        <v/>
      </c>
      <c r="CJ59" s="252">
        <f>IF(BC59="","",Planning!AJ52)</f>
        <v/>
      </c>
      <c r="CK59" s="252">
        <f>IF(BC59="","",Planning!AK52)</f>
        <v/>
      </c>
      <c r="CL59" s="252">
        <f>IF(BC59="","",Planning!AH52)</f>
        <v/>
      </c>
      <c r="CM59" s="21" t="n"/>
    </row>
    <row r="60" ht="12.75" customHeight="1">
      <c r="A60" s="161">
        <f>IFERROR(IF(VLOOKUP($B60,$BC$13:$CL$86,36,FALSE)&gt;5,0,IF(COUNTIF($B$13:$B$63,$B60)&gt;1,0,48)),48)+IF(B60&lt;&gt;0,0,IF(AV60&gt;0,0.000001,0))</f>
        <v/>
      </c>
      <c r="B60" s="129" t="n"/>
      <c r="C60" s="48">
        <f>IFERROR(IF($B60="","",VLOOKUP($B60,Medewerker!$C$8:$AI$107,33,FALSE)),"?")</f>
        <v/>
      </c>
      <c r="D60" s="879">
        <f t="array" ref="D60">IFERROR(IF(LEFT(INDEX($F60:$AQ60,1,SUM(SMALL(IF($F60:$AQ60&lt;&gt;"",COLUMN($F60:$AQ60)),1)-5)),1)="x",SUM(SMALL(IF($F60:$AQ60&lt;&gt;"",$F$11:$AQ$11),1)+"0:15"),SMALL(IF($F60:$AQ60&lt;&gt;"",$F$11:$AQ$11),1)),"")</f>
        <v/>
      </c>
      <c r="E60" s="879">
        <f t="array" ref="E60">IFERROR(IF(LEFT(INDEX($F60:$AQ60,1,SUM(LARGE(IF($F60:$AQ60&lt;&gt;"",COLUMN($F60:$AQ60)),1)-5)),1)="x",SUM(LARGE(IF($F60:$AQ60&lt;&gt;"",$F$11:$AQ$11+"0:30:00"),1)-"0:15"),LARGE(IF($F60:$AQ60&lt;&gt;"",$F$11:$AQ$11+"0:30:00"),1)),"")</f>
        <v/>
      </c>
      <c r="F60" s="43" t="n"/>
      <c r="G60" s="42" t="n"/>
      <c r="H60" s="43" t="n"/>
      <c r="I60" s="42" t="n"/>
      <c r="J60" s="43" t="n"/>
      <c r="K60" s="41" t="n"/>
      <c r="L60" s="40" t="n"/>
      <c r="M60" s="42" t="n"/>
      <c r="N60" s="43" t="n"/>
      <c r="O60" s="41" t="n"/>
      <c r="P60" s="40" t="n"/>
      <c r="Q60" s="42" t="n"/>
      <c r="R60" s="43" t="n"/>
      <c r="S60" s="41" t="n"/>
      <c r="T60" s="40" t="n"/>
      <c r="U60" s="42" t="n"/>
      <c r="V60" s="43" t="n"/>
      <c r="W60" s="41" t="n"/>
      <c r="X60" s="40" t="n"/>
      <c r="Y60" s="42" t="n"/>
      <c r="Z60" s="43" t="n"/>
      <c r="AA60" s="41" t="n"/>
      <c r="AB60" s="40" t="n"/>
      <c r="AC60" s="42" t="n"/>
      <c r="AD60" s="43" t="n"/>
      <c r="AE60" s="41" t="n"/>
      <c r="AF60" s="40" t="n"/>
      <c r="AG60" s="42" t="n"/>
      <c r="AH60" s="43" t="n"/>
      <c r="AI60" s="41" t="n"/>
      <c r="AJ60" s="40" t="n"/>
      <c r="AK60" s="42" t="n"/>
      <c r="AL60" s="43" t="n"/>
      <c r="AM60" s="41" t="n"/>
      <c r="AN60" s="645" t="n"/>
      <c r="AO60" s="42" t="n"/>
      <c r="AP60" s="43" t="n"/>
      <c r="AQ60" s="42" t="n"/>
      <c r="AR60" s="888">
        <f>IFERROR(IF(VLOOKUP($B60,Medewerker!$C$8:$Q$107,15,FALSE)="",VLOOKUP($B60,Medewerker!$C$8:$Q$107,13,FALSE),0),0)</f>
        <v/>
      </c>
      <c r="AS60" s="888">
        <f>IFERROR(IF(B60="",1,IF(VLOOKUP($B60,Medewerker!$C$8:$Q$107,15,FALSE)="",VLOOKUP($B60,Medewerker!$C$8:$Q$107,14,FALSE),0)),0)</f>
        <v/>
      </c>
      <c r="AT60" s="45" t="n"/>
      <c r="AU60" s="46">
        <f>(COUNTIF(F60:AQ60,"afw"))/2</f>
        <v/>
      </c>
      <c r="AV60" s="111">
        <f>((38-(COUNTIF(F60:AQ60,"")))/2)-(COUNTIF(F60:AQ60,"p")/2)-(COUNTIF(F60:AQ60,CONCATENATE("x","*"))/4)</f>
        <v/>
      </c>
      <c r="AW60" s="73">
        <f>IF($B60="","",VLOOKUP($B60,Medewerker!$C$8:$E$107,3,FALSE))</f>
        <v/>
      </c>
      <c r="AX60" s="403">
        <f>IFERROR(VLOOKUP($B60,Planning!$B$6:$AG$105,32,FALSE)*24,"")</f>
        <v/>
      </c>
      <c r="AY60" s="411">
        <f>IF(Ma!AY60="","",Ma!AY60)</f>
        <v/>
      </c>
      <c r="AZ60" s="166">
        <f>IF(Ma!AZ60="","",Ma!AZ60)</f>
        <v/>
      </c>
      <c r="BA60" s="111">
        <f>IFERROR(IF(AY60="","",(COUNTIF($F$13:$AQ$63,CONCATENATE(AY60,"*"))/2+COUNTIF($F$13:$AQ$63,CONCATENATE("x",AY60,"*"))/4)),"")</f>
        <v/>
      </c>
      <c r="BB60" s="838" t="n"/>
      <c r="BC60" s="31">
        <f>IF(Planning!B53="","",Planning!B53)</f>
        <v/>
      </c>
      <c r="BD60" s="105" t="n"/>
      <c r="BE60" s="885">
        <f>Planning!E53</f>
        <v/>
      </c>
      <c r="BF60" s="885">
        <f>Planning!F53</f>
        <v/>
      </c>
      <c r="BG60" s="886" t="n"/>
      <c r="BH60" s="105" t="n"/>
      <c r="BI60" s="885">
        <f>Planning!I53</f>
        <v/>
      </c>
      <c r="BJ60" s="885">
        <f>Planning!J53</f>
        <v/>
      </c>
      <c r="BK60" s="886" t="n"/>
      <c r="BL60" s="105" t="n"/>
      <c r="BM60" s="885">
        <f>Planning!M53</f>
        <v/>
      </c>
      <c r="BN60" s="885">
        <f>Planning!N53</f>
        <v/>
      </c>
      <c r="BO60" s="886" t="n"/>
      <c r="BP60" s="105" t="n"/>
      <c r="BQ60" s="885">
        <f>Planning!Q53</f>
        <v/>
      </c>
      <c r="BR60" s="885">
        <f>Planning!R53</f>
        <v/>
      </c>
      <c r="BS60" s="886" t="n"/>
      <c r="BT60" s="105" t="n"/>
      <c r="BU60" s="885">
        <f>Planning!U53</f>
        <v/>
      </c>
      <c r="BV60" s="885">
        <f>Planning!V53</f>
        <v/>
      </c>
      <c r="BW60" s="886" t="n"/>
      <c r="BX60" s="105" t="n"/>
      <c r="BY60" s="885">
        <f>Planning!Y53</f>
        <v/>
      </c>
      <c r="BZ60" s="885">
        <f>Planning!Z53</f>
        <v/>
      </c>
      <c r="CA60" s="886" t="n"/>
      <c r="CB60" s="105" t="n"/>
      <c r="CC60" s="885">
        <f>Planning!AC53</f>
        <v/>
      </c>
      <c r="CD60" s="885">
        <f>Planning!AD53</f>
        <v/>
      </c>
      <c r="CE60" s="886" t="n"/>
      <c r="CF60" s="105" t="n"/>
      <c r="CG60" s="887">
        <f>Planning!AG53</f>
        <v/>
      </c>
      <c r="CH60" s="105" t="n"/>
      <c r="CI60" s="252">
        <f>IF(BC60="","",Planning!AI53)</f>
        <v/>
      </c>
      <c r="CJ60" s="252">
        <f>IF(BC60="","",Planning!AJ53)</f>
        <v/>
      </c>
      <c r="CK60" s="252">
        <f>IF(BC60="","",Planning!AK53)</f>
        <v/>
      </c>
      <c r="CL60" s="252">
        <f>IF(BC60="","",Planning!AH53)</f>
        <v/>
      </c>
      <c r="CM60" s="21" t="n"/>
    </row>
    <row r="61" ht="12.75" customHeight="1">
      <c r="A61" s="161">
        <f>IFERROR(IF(VLOOKUP($B61,$BC$13:$CL$86,36,FALSE)&gt;5,0,IF(COUNTIF($B$13:$B$63,$B61)&gt;1,0,49)),49)+IF(B61&lt;&gt;0,0,IF(AV61&gt;0,0.000001,0))</f>
        <v/>
      </c>
      <c r="B61" s="129" t="n"/>
      <c r="C61" s="48">
        <f>IFERROR(IF($B61="","",VLOOKUP($B61,Medewerker!$C$8:$AI$107,33,FALSE)),"?")</f>
        <v/>
      </c>
      <c r="D61" s="879">
        <f t="array" ref="D61">IFERROR(IF(LEFT(INDEX($F61:$AQ61,1,SUM(SMALL(IF($F61:$AQ61&lt;&gt;"",COLUMN($F61:$AQ61)),1)-5)),1)="x",SUM(SMALL(IF($F61:$AQ61&lt;&gt;"",$F$11:$AQ$11),1)+"0:15"),SMALL(IF($F61:$AQ61&lt;&gt;"",$F$11:$AQ$11),1)),"")</f>
        <v/>
      </c>
      <c r="E61" s="879">
        <f t="array" ref="E61">IFERROR(IF(LEFT(INDEX($F61:$AQ61,1,SUM(LARGE(IF($F61:$AQ61&lt;&gt;"",COLUMN($F61:$AQ61)),1)-5)),1)="x",SUM(LARGE(IF($F61:$AQ61&lt;&gt;"",$F$11:$AQ$11+"0:30:00"),1)-"0:15"),LARGE(IF($F61:$AQ61&lt;&gt;"",$F$11:$AQ$11+"0:30:00"),1)),"")</f>
        <v/>
      </c>
      <c r="F61" s="43" t="n"/>
      <c r="G61" s="42" t="n"/>
      <c r="H61" s="43" t="n"/>
      <c r="I61" s="42" t="n"/>
      <c r="J61" s="43" t="n"/>
      <c r="K61" s="41" t="n"/>
      <c r="L61" s="40" t="n"/>
      <c r="M61" s="42" t="n"/>
      <c r="N61" s="43" t="n"/>
      <c r="O61" s="41" t="n"/>
      <c r="P61" s="40" t="n"/>
      <c r="Q61" s="42" t="n"/>
      <c r="R61" s="43" t="n"/>
      <c r="S61" s="41" t="n"/>
      <c r="T61" s="40" t="n"/>
      <c r="U61" s="42" t="n"/>
      <c r="V61" s="43" t="n"/>
      <c r="W61" s="41" t="n"/>
      <c r="X61" s="40" t="n"/>
      <c r="Y61" s="42" t="n"/>
      <c r="Z61" s="43" t="n"/>
      <c r="AA61" s="41" t="n"/>
      <c r="AB61" s="40" t="n"/>
      <c r="AC61" s="42" t="n"/>
      <c r="AD61" s="43" t="n"/>
      <c r="AE61" s="41" t="n"/>
      <c r="AF61" s="40" t="n"/>
      <c r="AG61" s="42" t="n"/>
      <c r="AH61" s="43" t="n"/>
      <c r="AI61" s="41" t="n"/>
      <c r="AJ61" s="40" t="n"/>
      <c r="AK61" s="42" t="n"/>
      <c r="AL61" s="43" t="n"/>
      <c r="AM61" s="41" t="n"/>
      <c r="AN61" s="645" t="n"/>
      <c r="AO61" s="42" t="n"/>
      <c r="AP61" s="43" t="n"/>
      <c r="AQ61" s="42" t="n"/>
      <c r="AR61" s="888">
        <f>IFERROR(IF(VLOOKUP($B61,Medewerker!$C$8:$Q$107,15,FALSE)="",VLOOKUP($B61,Medewerker!$C$8:$Q$107,13,FALSE),0),0)</f>
        <v/>
      </c>
      <c r="AS61" s="888">
        <f>IFERROR(IF(B61="",1,IF(VLOOKUP($B61,Medewerker!$C$8:$Q$107,15,FALSE)="",VLOOKUP($B61,Medewerker!$C$8:$Q$107,14,FALSE),0)),0)</f>
        <v/>
      </c>
      <c r="AT61" s="45" t="n"/>
      <c r="AU61" s="46">
        <f>(COUNTIF(F61:AQ61,"afw"))/2</f>
        <v/>
      </c>
      <c r="AV61" s="111">
        <f>((38-(COUNTIF(F61:AQ61,"")))/2)-(COUNTIF(F61:AQ61,"p")/2)-(COUNTIF(F61:AQ61,CONCATENATE("x","*"))/4)</f>
        <v/>
      </c>
      <c r="AW61" s="73">
        <f>IF($B61="","",VLOOKUP($B61,Medewerker!$C$8:$E$107,3,FALSE))</f>
        <v/>
      </c>
      <c r="AX61" s="403">
        <f>IFERROR(VLOOKUP($B61,Planning!$B$6:$AG$105,32,FALSE)*24,"")</f>
        <v/>
      </c>
      <c r="AY61" s="892" t="inlineStr">
        <is>
          <t>Taken zonder legenda</t>
        </is>
      </c>
      <c r="AZ61" s="893" t="n"/>
      <c r="BA61" s="565">
        <f>$BA$65</f>
        <v/>
      </c>
      <c r="BB61" s="838" t="n"/>
      <c r="BC61" s="31">
        <f>IF(Planning!B54="","",Planning!B54)</f>
        <v/>
      </c>
      <c r="BD61" s="105" t="n"/>
      <c r="BE61" s="885">
        <f>Planning!E54</f>
        <v/>
      </c>
      <c r="BF61" s="885">
        <f>Planning!F54</f>
        <v/>
      </c>
      <c r="BG61" s="886" t="n"/>
      <c r="BH61" s="105" t="n"/>
      <c r="BI61" s="885">
        <f>Planning!I54</f>
        <v/>
      </c>
      <c r="BJ61" s="885">
        <f>Planning!J54</f>
        <v/>
      </c>
      <c r="BK61" s="886" t="n"/>
      <c r="BL61" s="105" t="n"/>
      <c r="BM61" s="885">
        <f>Planning!M54</f>
        <v/>
      </c>
      <c r="BN61" s="885">
        <f>Planning!N54</f>
        <v/>
      </c>
      <c r="BO61" s="886" t="n"/>
      <c r="BP61" s="105" t="n"/>
      <c r="BQ61" s="885">
        <f>Planning!Q54</f>
        <v/>
      </c>
      <c r="BR61" s="885">
        <f>Planning!R54</f>
        <v/>
      </c>
      <c r="BS61" s="886" t="n"/>
      <c r="BT61" s="105" t="n"/>
      <c r="BU61" s="885">
        <f>Planning!U54</f>
        <v/>
      </c>
      <c r="BV61" s="885">
        <f>Planning!V54</f>
        <v/>
      </c>
      <c r="BW61" s="886" t="n"/>
      <c r="BX61" s="105" t="n"/>
      <c r="BY61" s="885">
        <f>Planning!Y54</f>
        <v/>
      </c>
      <c r="BZ61" s="885">
        <f>Planning!Z54</f>
        <v/>
      </c>
      <c r="CA61" s="886" t="n"/>
      <c r="CB61" s="105" t="n"/>
      <c r="CC61" s="885">
        <f>Planning!AC54</f>
        <v/>
      </c>
      <c r="CD61" s="885">
        <f>Planning!AD54</f>
        <v/>
      </c>
      <c r="CE61" s="886" t="n"/>
      <c r="CF61" s="105" t="n"/>
      <c r="CG61" s="887">
        <f>Planning!AG54</f>
        <v/>
      </c>
      <c r="CH61" s="105" t="n"/>
      <c r="CI61" s="252">
        <f>IF(BC61="","",Planning!AI54)</f>
        <v/>
      </c>
      <c r="CJ61" s="252">
        <f>IF(BC61="","",Planning!AJ54)</f>
        <v/>
      </c>
      <c r="CK61" s="252">
        <f>IF(BC61="","",Planning!AK54)</f>
        <v/>
      </c>
      <c r="CL61" s="252">
        <f>IF(BC61="","",Planning!AH54)</f>
        <v/>
      </c>
      <c r="CM61" s="21" t="n"/>
    </row>
    <row r="62" ht="12.75" customHeight="1">
      <c r="A62" s="161">
        <f>IFERROR(IF(VLOOKUP($B62,$BC$13:$CL$86,36,FALSE)&gt;5,0,IF(COUNTIF($B$13:$B$63,$B62)&gt;1,0,50)),50)+IF(B62&lt;&gt;0,0,IF(AV62&gt;0,0.000001,0))</f>
        <v/>
      </c>
      <c r="B62" s="129" t="n"/>
      <c r="C62" s="48">
        <f>IFERROR(IF($B62="","",VLOOKUP($B62,Medewerker!$C$8:$AI$107,33,FALSE)),"?")</f>
        <v/>
      </c>
      <c r="D62" s="879">
        <f t="array" ref="D62">IFERROR(IF(LEFT(INDEX($F62:$AQ62,1,SUM(SMALL(IF($F62:$AQ62&lt;&gt;"",COLUMN($F62:$AQ62)),1)-5)),1)="x",SUM(SMALL(IF($F62:$AQ62&lt;&gt;"",$F$11:$AQ$11),1)+"0:15"),SMALL(IF($F62:$AQ62&lt;&gt;"",$F$11:$AQ$11),1)),"")</f>
        <v/>
      </c>
      <c r="E62" s="879">
        <f t="array" ref="E62">IFERROR(IF(LEFT(INDEX($F62:$AQ62,1,SUM(LARGE(IF($F62:$AQ62&lt;&gt;"",COLUMN($F62:$AQ62)),1)-5)),1)="x",SUM(LARGE(IF($F62:$AQ62&lt;&gt;"",$F$11:$AQ$11+"0:30:00"),1)-"0:15"),LARGE(IF($F62:$AQ62&lt;&gt;"",$F$11:$AQ$11+"0:30:00"),1)),"")</f>
        <v/>
      </c>
      <c r="F62" s="43" t="n"/>
      <c r="G62" s="42" t="n"/>
      <c r="H62" s="43" t="n"/>
      <c r="I62" s="42" t="n"/>
      <c r="J62" s="43" t="n"/>
      <c r="K62" s="41" t="n"/>
      <c r="L62" s="40" t="n"/>
      <c r="M62" s="42" t="n"/>
      <c r="N62" s="43" t="n"/>
      <c r="O62" s="41" t="n"/>
      <c r="P62" s="40" t="n"/>
      <c r="Q62" s="42" t="n"/>
      <c r="R62" s="43" t="n"/>
      <c r="S62" s="41" t="n"/>
      <c r="T62" s="40" t="n"/>
      <c r="U62" s="42" t="n"/>
      <c r="V62" s="43" t="n"/>
      <c r="W62" s="41" t="n"/>
      <c r="X62" s="40" t="n"/>
      <c r="Y62" s="42" t="n"/>
      <c r="Z62" s="43" t="n"/>
      <c r="AA62" s="41" t="n"/>
      <c r="AB62" s="40" t="n"/>
      <c r="AC62" s="42" t="n"/>
      <c r="AD62" s="43" t="n"/>
      <c r="AE62" s="41" t="n"/>
      <c r="AF62" s="40" t="n"/>
      <c r="AG62" s="42" t="n"/>
      <c r="AH62" s="43" t="n"/>
      <c r="AI62" s="41" t="n"/>
      <c r="AJ62" s="40" t="n"/>
      <c r="AK62" s="42" t="n"/>
      <c r="AL62" s="43" t="n"/>
      <c r="AM62" s="41" t="n"/>
      <c r="AN62" s="645" t="n"/>
      <c r="AO62" s="42" t="n"/>
      <c r="AP62" s="43" t="n"/>
      <c r="AQ62" s="42" t="n"/>
      <c r="AR62" s="888">
        <f>IFERROR(IF(VLOOKUP($B62,Medewerker!$C$8:$Q$107,15,FALSE)="",VLOOKUP($B62,Medewerker!$C$8:$Q$107,13,FALSE),0),0)</f>
        <v/>
      </c>
      <c r="AS62" s="888">
        <f>IFERROR(IF(B62="",1,IF(VLOOKUP($B62,Medewerker!$C$8:$Q$107,15,FALSE)="",VLOOKUP($B62,Medewerker!$C$8:$Q$107,14,FALSE),0)),0)</f>
        <v/>
      </c>
      <c r="AT62" s="45" t="n"/>
      <c r="AU62" s="46">
        <f>(COUNTIF(F62:AQ62,"afw"))/2</f>
        <v/>
      </c>
      <c r="AV62" s="111">
        <f>((38-(COUNTIF(F62:AQ62,"")))/2)-(COUNTIF(F62:AQ62,"p")/2)-(COUNTIF(F62:AQ62,CONCATENATE("x","*"))/4)</f>
        <v/>
      </c>
      <c r="AW62" s="73">
        <f>IF($B62="","",VLOOKUP($B62,Medewerker!$C$8:$E$107,3,FALSE))</f>
        <v/>
      </c>
      <c r="AX62" s="403">
        <f>IFERROR(VLOOKUP($B62,Planning!$B$6:$AG$105,32,FALSE)*24,"")</f>
        <v/>
      </c>
      <c r="AY62" s="409" t="inlineStr">
        <is>
          <t>p</t>
        </is>
      </c>
      <c r="AZ62" s="167" t="inlineStr">
        <is>
          <t>Pauze (onbetaald)</t>
        </is>
      </c>
      <c r="BA62" s="410">
        <f>MAX((COUNTIF($F$13:$AQ$63,CONCATENATE(AY62,"*"))/2+COUNTIF($F$13:$AQ$63,CONCATENATE("x",AY62,"*"))/4)-SUM(BA57,BA51,BA45,BA44),0)</f>
        <v/>
      </c>
      <c r="BB62" s="838" t="n"/>
      <c r="BC62" s="31">
        <f>IF(Planning!B55="","",Planning!B55)</f>
        <v/>
      </c>
      <c r="BD62" s="105" t="n"/>
      <c r="BE62" s="885">
        <f>Planning!E55</f>
        <v/>
      </c>
      <c r="BF62" s="885">
        <f>Planning!F55</f>
        <v/>
      </c>
      <c r="BG62" s="886" t="n"/>
      <c r="BH62" s="105" t="n"/>
      <c r="BI62" s="885">
        <f>Planning!I55</f>
        <v/>
      </c>
      <c r="BJ62" s="885">
        <f>Planning!J55</f>
        <v/>
      </c>
      <c r="BK62" s="886" t="n"/>
      <c r="BL62" s="105" t="n"/>
      <c r="BM62" s="885">
        <f>Planning!M55</f>
        <v/>
      </c>
      <c r="BN62" s="885">
        <f>Planning!N55</f>
        <v/>
      </c>
      <c r="BO62" s="886" t="n"/>
      <c r="BP62" s="105" t="n"/>
      <c r="BQ62" s="885">
        <f>Planning!Q55</f>
        <v/>
      </c>
      <c r="BR62" s="885">
        <f>Planning!R55</f>
        <v/>
      </c>
      <c r="BS62" s="886" t="n"/>
      <c r="BT62" s="105" t="n"/>
      <c r="BU62" s="885">
        <f>Planning!U55</f>
        <v/>
      </c>
      <c r="BV62" s="885">
        <f>Planning!V55</f>
        <v/>
      </c>
      <c r="BW62" s="886" t="n"/>
      <c r="BX62" s="105" t="n"/>
      <c r="BY62" s="885">
        <f>Planning!Y55</f>
        <v/>
      </c>
      <c r="BZ62" s="885">
        <f>Planning!Z55</f>
        <v/>
      </c>
      <c r="CA62" s="886" t="n"/>
      <c r="CB62" s="105" t="n"/>
      <c r="CC62" s="885">
        <f>Planning!AC55</f>
        <v/>
      </c>
      <c r="CD62" s="885">
        <f>Planning!AD55</f>
        <v/>
      </c>
      <c r="CE62" s="886" t="n"/>
      <c r="CF62" s="105" t="n"/>
      <c r="CG62" s="887">
        <f>Planning!AG55</f>
        <v/>
      </c>
      <c r="CH62" s="105" t="n"/>
      <c r="CI62" s="252">
        <f>IF(BC62="","",Planning!AI55)</f>
        <v/>
      </c>
      <c r="CJ62" s="252">
        <f>IF(BC62="","",Planning!AJ55)</f>
        <v/>
      </c>
      <c r="CK62" s="252">
        <f>IF(BC62="","",Planning!AK55)</f>
        <v/>
      </c>
      <c r="CL62" s="252">
        <f>IF(BC62="","",Planning!AH55)</f>
        <v/>
      </c>
      <c r="CM62" s="21" t="n"/>
    </row>
    <row r="63" ht="12.75" customHeight="1">
      <c r="A63" s="161">
        <f>IFERROR(IF(VLOOKUP($B63,$BC$13:$CL$86,36,FALSE)&gt;5,0,IF(COUNTIF($B$13:$B$63,$B63)&gt;1,0,51)),51)+IF(B63&lt;&gt;0,0,IF(AV63&gt;0,0.000001,0))</f>
        <v/>
      </c>
      <c r="B63" s="130" t="n"/>
      <c r="C63" s="131">
        <f>IFERROR(IF($B63="","",VLOOKUP($B63,Medewerker!$C$8:$AI$107,33,FALSE)),"?")</f>
        <v/>
      </c>
      <c r="D63" s="894">
        <f t="array" ref="D63">IFERROR(IF(LEFT(INDEX($F63:$AQ63,1,SUM(SMALL(IF($F63:$AQ63&lt;&gt;"",COLUMN($F63:$AQ63)),1)-5)),1)="x",SUM(SMALL(IF($F63:$AQ63&lt;&gt;"",$F$11:$AQ$11),1)+"0:15"),SMALL(IF($F63:$AQ63&lt;&gt;"",$F$11:$AQ$11),1)),"")</f>
        <v/>
      </c>
      <c r="E63" s="894">
        <f t="array" ref="E63">IFERROR(IF(LEFT(INDEX($F63:$AQ63,1,SUM(LARGE(IF($F63:$AQ63&lt;&gt;"",COLUMN($F63:$AQ63)),1)-5)),1)="x",SUM(LARGE(IF($F63:$AQ63&lt;&gt;"",$F$11:$AQ$11+"0:30:00"),1)-"0:15"),LARGE(IF($F63:$AQ63&lt;&gt;"",$F$11:$AQ$11+"0:30:00"),1)),"")</f>
        <v/>
      </c>
      <c r="F63" s="133" t="n"/>
      <c r="G63" s="134" t="n"/>
      <c r="H63" s="133" t="n"/>
      <c r="I63" s="134" t="n"/>
      <c r="J63" s="133" t="n"/>
      <c r="K63" s="135" t="n"/>
      <c r="L63" s="136" t="n"/>
      <c r="M63" s="134" t="n"/>
      <c r="N63" s="133" t="n"/>
      <c r="O63" s="135" t="n"/>
      <c r="P63" s="136" t="n"/>
      <c r="Q63" s="134" t="n"/>
      <c r="R63" s="133" t="n"/>
      <c r="S63" s="135" t="n"/>
      <c r="T63" s="136" t="n"/>
      <c r="U63" s="134" t="n"/>
      <c r="V63" s="133" t="n"/>
      <c r="W63" s="135" t="n"/>
      <c r="X63" s="136" t="n"/>
      <c r="Y63" s="134" t="n"/>
      <c r="Z63" s="133" t="n"/>
      <c r="AA63" s="135" t="n"/>
      <c r="AB63" s="136" t="n"/>
      <c r="AC63" s="134" t="n"/>
      <c r="AD63" s="133" t="n"/>
      <c r="AE63" s="135" t="n"/>
      <c r="AF63" s="136" t="n"/>
      <c r="AG63" s="134" t="n"/>
      <c r="AH63" s="133" t="n"/>
      <c r="AI63" s="135" t="n"/>
      <c r="AJ63" s="136" t="n"/>
      <c r="AK63" s="134" t="n"/>
      <c r="AL63" s="133" t="n"/>
      <c r="AM63" s="135" t="n"/>
      <c r="AN63" s="646" t="n"/>
      <c r="AO63" s="134" t="n"/>
      <c r="AP63" s="133" t="n"/>
      <c r="AQ63" s="134" t="n"/>
      <c r="AR63" s="895">
        <f>IFERROR(IF(VLOOKUP($B63,Medewerker!$C$8:$Q$107,15,FALSE)="",VLOOKUP($B63,Medewerker!$C$8:$Q$107,13,FALSE),0),0)</f>
        <v/>
      </c>
      <c r="AS63" s="895">
        <f>IFERROR(IF(B63="",1,IF(VLOOKUP($B63,Medewerker!$C$8:$Q$107,15,FALSE)="",VLOOKUP($B63,Medewerker!$C$8:$Q$107,14,FALSE),0)),0)</f>
        <v/>
      </c>
      <c r="AT63" s="138" t="n"/>
      <c r="AU63" s="139">
        <f>(COUNTIF(F63:AQ63,"afw"))/2</f>
        <v/>
      </c>
      <c r="AV63" s="140">
        <f>((38-(COUNTIF(F63:AQ63,"")))/2)-(COUNTIF(F63:AQ63,"p")/2)-(COUNTIF(F63:AQ63,CONCATENATE("x","*"))/4)</f>
        <v/>
      </c>
      <c r="AW63" s="402">
        <f>IF($B63="","",VLOOKUP($B63,Medewerker!$C$8:$E$107,3,FALSE))</f>
        <v/>
      </c>
      <c r="AX63" s="405">
        <f>IFERROR(VLOOKUP($B63,Planning!$B$6:$AG$105,32,FALSE)*24,"")</f>
        <v/>
      </c>
      <c r="AY63" s="462" t="inlineStr">
        <is>
          <t>afw</t>
        </is>
      </c>
      <c r="AZ63" s="463" t="inlineStr">
        <is>
          <t>Afwezig / ziek</t>
        </is>
      </c>
      <c r="BA63" s="464">
        <f>SUM(AU13:AU63)</f>
        <v/>
      </c>
      <c r="BB63" s="838" t="n"/>
      <c r="BC63" s="31">
        <f>IF(Planning!B56="","",Planning!B56)</f>
        <v/>
      </c>
      <c r="BD63" s="105" t="n"/>
      <c r="BE63" s="885">
        <f>Planning!E56</f>
        <v/>
      </c>
      <c r="BF63" s="885">
        <f>Planning!F56</f>
        <v/>
      </c>
      <c r="BG63" s="886" t="n"/>
      <c r="BH63" s="105" t="n"/>
      <c r="BI63" s="885">
        <f>Planning!I56</f>
        <v/>
      </c>
      <c r="BJ63" s="885">
        <f>Planning!J56</f>
        <v/>
      </c>
      <c r="BK63" s="886" t="n"/>
      <c r="BL63" s="105" t="n"/>
      <c r="BM63" s="885">
        <f>Planning!M56</f>
        <v/>
      </c>
      <c r="BN63" s="885">
        <f>Planning!N56</f>
        <v/>
      </c>
      <c r="BO63" s="886" t="n"/>
      <c r="BP63" s="105" t="n"/>
      <c r="BQ63" s="885">
        <f>Planning!Q56</f>
        <v/>
      </c>
      <c r="BR63" s="885">
        <f>Planning!R56</f>
        <v/>
      </c>
      <c r="BS63" s="886" t="n"/>
      <c r="BT63" s="105" t="n"/>
      <c r="BU63" s="885">
        <f>Planning!U56</f>
        <v/>
      </c>
      <c r="BV63" s="885">
        <f>Planning!V56</f>
        <v/>
      </c>
      <c r="BW63" s="886" t="n"/>
      <c r="BX63" s="105" t="n"/>
      <c r="BY63" s="885">
        <f>Planning!Y56</f>
        <v/>
      </c>
      <c r="BZ63" s="885">
        <f>Planning!Z56</f>
        <v/>
      </c>
      <c r="CA63" s="886" t="n"/>
      <c r="CB63" s="105" t="n"/>
      <c r="CC63" s="885">
        <f>Planning!AC56</f>
        <v/>
      </c>
      <c r="CD63" s="885">
        <f>Planning!AD56</f>
        <v/>
      </c>
      <c r="CE63" s="886" t="n"/>
      <c r="CF63" s="105" t="n"/>
      <c r="CG63" s="887">
        <f>Planning!AG56</f>
        <v/>
      </c>
      <c r="CH63" s="105" t="n"/>
      <c r="CI63" s="252">
        <f>IF(BC63="","",Planning!AI56)</f>
        <v/>
      </c>
      <c r="CJ63" s="252">
        <f>IF(BC63="","",Planning!AJ56)</f>
        <v/>
      </c>
      <c r="CK63" s="252">
        <f>IF(BC63="","",Planning!AK56)</f>
        <v/>
      </c>
      <c r="CL63" s="252">
        <f>IF(BC63="","",Planning!AH56)</f>
        <v/>
      </c>
      <c r="CM63" s="21" t="n"/>
    </row>
    <row r="64" ht="13.5" customHeight="1">
      <c r="A64" s="401" t="n"/>
      <c r="B64" s="108" t="n"/>
      <c r="C64" s="109" t="n"/>
      <c r="D64" s="109" t="n"/>
      <c r="E64" s="109" t="n"/>
      <c r="F64" s="109" t="n"/>
      <c r="G64" s="109" t="n"/>
      <c r="H64" s="260" t="n"/>
      <c r="I64" s="260" t="n"/>
      <c r="J64" s="261" t="n"/>
      <c r="K64" s="261" t="n"/>
      <c r="L64" s="261" t="n"/>
      <c r="M64" s="261" t="n"/>
      <c r="N64" s="261" t="n"/>
      <c r="O64" s="261" t="n"/>
      <c r="P64" s="261" t="n"/>
      <c r="Q64" s="261" t="n"/>
      <c r="R64" s="261" t="n"/>
      <c r="S64" s="261" t="n"/>
      <c r="T64" s="261" t="n"/>
      <c r="U64" s="262" t="n"/>
      <c r="V64" s="261" t="n"/>
      <c r="W64" s="261" t="n"/>
      <c r="X64" s="261" t="n"/>
      <c r="Y64" s="261" t="n"/>
      <c r="Z64" s="261" t="n"/>
      <c r="AA64" s="261" t="n"/>
      <c r="AB64" s="261" t="n"/>
      <c r="AC64" s="261" t="n"/>
      <c r="AD64" s="261" t="n"/>
      <c r="AE64" s="261" t="n"/>
      <c r="AF64" s="261" t="n"/>
      <c r="AG64" s="261" t="n"/>
      <c r="AH64" s="262" t="n"/>
      <c r="AI64" s="262" t="n"/>
      <c r="AJ64" s="262" t="n"/>
      <c r="AK64" s="262" t="n"/>
      <c r="AL64" s="47" t="n"/>
      <c r="AM64" s="47" t="n"/>
      <c r="AN64" s="47" t="n"/>
      <c r="AO64" s="47" t="n"/>
      <c r="AP64" s="47" t="n"/>
      <c r="AQ64" s="47" t="n"/>
      <c r="AR64" s="47" t="n"/>
      <c r="AS64" s="47" t="n"/>
      <c r="AT64" s="47" t="n"/>
      <c r="AU64" s="47" t="n"/>
      <c r="AV64" s="117" t="n"/>
      <c r="AW64" s="35" t="n"/>
      <c r="AX64" s="35" t="n"/>
      <c r="AY64" s="831" t="n"/>
      <c r="AZ64" s="50" t="n"/>
      <c r="BC64" s="31">
        <f>IF(Planning!B57="","",Planning!B57)</f>
        <v/>
      </c>
      <c r="BD64" s="105" t="n"/>
      <c r="BE64" s="885">
        <f>Planning!E57</f>
        <v/>
      </c>
      <c r="BF64" s="885">
        <f>Planning!F57</f>
        <v/>
      </c>
      <c r="BG64" s="886" t="n"/>
      <c r="BH64" s="105" t="n"/>
      <c r="BI64" s="885">
        <f>Planning!I57</f>
        <v/>
      </c>
      <c r="BJ64" s="885">
        <f>Planning!J57</f>
        <v/>
      </c>
      <c r="BK64" s="886" t="n"/>
      <c r="BL64" s="105" t="n"/>
      <c r="BM64" s="885">
        <f>Planning!M57</f>
        <v/>
      </c>
      <c r="BN64" s="885">
        <f>Planning!N57</f>
        <v/>
      </c>
      <c r="BO64" s="886" t="n"/>
      <c r="BP64" s="105" t="n"/>
      <c r="BQ64" s="885">
        <f>Planning!Q57</f>
        <v/>
      </c>
      <c r="BR64" s="885">
        <f>Planning!R57</f>
        <v/>
      </c>
      <c r="BS64" s="886" t="n"/>
      <c r="BT64" s="105" t="n"/>
      <c r="BU64" s="885">
        <f>Planning!U57</f>
        <v/>
      </c>
      <c r="BV64" s="885">
        <f>Planning!V57</f>
        <v/>
      </c>
      <c r="BW64" s="886" t="n"/>
      <c r="BX64" s="105" t="n"/>
      <c r="BY64" s="885">
        <f>Planning!Y57</f>
        <v/>
      </c>
      <c r="BZ64" s="885">
        <f>Planning!Z57</f>
        <v/>
      </c>
      <c r="CA64" s="886" t="n"/>
      <c r="CB64" s="105" t="n"/>
      <c r="CC64" s="885">
        <f>Planning!AC57</f>
        <v/>
      </c>
      <c r="CD64" s="885">
        <f>Planning!AD57</f>
        <v/>
      </c>
      <c r="CE64" s="886" t="n"/>
      <c r="CF64" s="105" t="n"/>
      <c r="CG64" s="887">
        <f>Planning!AG57</f>
        <v/>
      </c>
      <c r="CH64" s="105" t="n"/>
      <c r="CI64" s="252">
        <f>IF(BC64="","",Planning!AI57)</f>
        <v/>
      </c>
      <c r="CJ64" s="252">
        <f>IF(BC64="","",Planning!AJ57)</f>
        <v/>
      </c>
      <c r="CK64" s="252">
        <f>IF(BC64="","",Planning!AK57)</f>
        <v/>
      </c>
      <c r="CL64" s="252">
        <f>IF(BC64="","",Planning!AH57)</f>
        <v/>
      </c>
      <c r="CM64" s="21" t="n"/>
    </row>
    <row r="65" ht="13.5" customHeight="1">
      <c r="A65" s="162" t="n"/>
      <c r="B65" s="896" t="inlineStr">
        <is>
          <t>Spoorboekje</t>
        </is>
      </c>
      <c r="C65" s="897" t="n"/>
      <c r="D65" s="862" t="n"/>
      <c r="E65" s="109" t="n"/>
      <c r="F65" s="109" t="n"/>
      <c r="G65" s="109" t="n"/>
      <c r="H65" s="898" t="inlineStr">
        <is>
          <t>Legenda</t>
        </is>
      </c>
      <c r="I65" s="897" t="n"/>
      <c r="J65" s="897" t="n"/>
      <c r="K65" s="897" t="n"/>
      <c r="L65" s="897" t="n"/>
      <c r="M65" s="897" t="n"/>
      <c r="N65" s="897" t="n"/>
      <c r="O65" s="897" t="n"/>
      <c r="P65" s="897" t="n"/>
      <c r="Q65" s="897" t="n"/>
      <c r="R65" s="897" t="n"/>
      <c r="S65" s="897" t="n"/>
      <c r="T65" s="897" t="n"/>
      <c r="U65" s="897" t="n"/>
      <c r="V65" s="897" t="n"/>
      <c r="W65" s="897" t="n"/>
      <c r="X65" s="897" t="n"/>
      <c r="Y65" s="897" t="n"/>
      <c r="Z65" s="897" t="n"/>
      <c r="AA65" s="897" t="n"/>
      <c r="AB65" s="897" t="n"/>
      <c r="AC65" s="897" t="n"/>
      <c r="AD65" s="897" t="n"/>
      <c r="AE65" s="897" t="n"/>
      <c r="AF65" s="897" t="n"/>
      <c r="AG65" s="897" t="n"/>
      <c r="AH65" s="897" t="n"/>
      <c r="AI65" s="897" t="n"/>
      <c r="AJ65" s="897" t="n"/>
      <c r="AK65" s="862" t="n"/>
      <c r="AL65" s="47" t="n"/>
      <c r="AM65" s="47" t="n"/>
      <c r="AN65" s="47" t="n"/>
      <c r="AO65" s="47" t="n"/>
      <c r="AP65" s="47" t="n"/>
      <c r="AQ65" s="501" t="n"/>
      <c r="AR65" s="501" t="n"/>
      <c r="AS65" s="501" t="n"/>
      <c r="AT65" s="501" t="n"/>
      <c r="AU65" s="501" t="n"/>
      <c r="AV65" s="507">
        <f>SUM(AV13:AV63)-BA63</f>
        <v/>
      </c>
      <c r="AW65" s="508" t="n"/>
      <c r="AX65" s="509" t="n"/>
      <c r="AY65" s="508" t="n"/>
      <c r="AZ65" s="510" t="n"/>
      <c r="BA65" s="511">
        <f>AV65-SUM(BA14:BA22,BA24:BA30,BA32:BA34,BA36:BA40,BA42:BA46,BA48:BA60)</f>
        <v/>
      </c>
      <c r="BC65" s="31">
        <f>IF(Planning!B58="","",Planning!B58)</f>
        <v/>
      </c>
      <c r="BD65" s="105" t="n"/>
      <c r="BE65" s="885">
        <f>Planning!E58</f>
        <v/>
      </c>
      <c r="BF65" s="885">
        <f>Planning!F58</f>
        <v/>
      </c>
      <c r="BG65" s="886" t="n"/>
      <c r="BH65" s="105" t="n"/>
      <c r="BI65" s="885">
        <f>Planning!I58</f>
        <v/>
      </c>
      <c r="BJ65" s="885">
        <f>Planning!J58</f>
        <v/>
      </c>
      <c r="BK65" s="886" t="n"/>
      <c r="BL65" s="105" t="n"/>
      <c r="BM65" s="885">
        <f>Planning!M58</f>
        <v/>
      </c>
      <c r="BN65" s="885">
        <f>Planning!N58</f>
        <v/>
      </c>
      <c r="BO65" s="886" t="n"/>
      <c r="BP65" s="105" t="n"/>
      <c r="BQ65" s="885">
        <f>Planning!Q58</f>
        <v/>
      </c>
      <c r="BR65" s="885">
        <f>Planning!R58</f>
        <v/>
      </c>
      <c r="BS65" s="886" t="n"/>
      <c r="BT65" s="105" t="n"/>
      <c r="BU65" s="885">
        <f>Planning!U58</f>
        <v/>
      </c>
      <c r="BV65" s="885">
        <f>Planning!V58</f>
        <v/>
      </c>
      <c r="BW65" s="886" t="n"/>
      <c r="BX65" s="105" t="n"/>
      <c r="BY65" s="885">
        <f>Planning!Y58</f>
        <v/>
      </c>
      <c r="BZ65" s="885">
        <f>Planning!Z58</f>
        <v/>
      </c>
      <c r="CA65" s="886" t="n"/>
      <c r="CB65" s="105" t="n"/>
      <c r="CC65" s="885">
        <f>Planning!AC58</f>
        <v/>
      </c>
      <c r="CD65" s="885">
        <f>Planning!AD58</f>
        <v/>
      </c>
      <c r="CE65" s="886" t="n"/>
      <c r="CF65" s="105" t="n"/>
      <c r="CG65" s="887">
        <f>Planning!AG58</f>
        <v/>
      </c>
      <c r="CH65" s="105" t="n"/>
      <c r="CI65" s="252">
        <f>IF(BC65="","",Planning!AI58)</f>
        <v/>
      </c>
      <c r="CJ65" s="252">
        <f>IF(BC65="","",Planning!AJ58)</f>
        <v/>
      </c>
      <c r="CK65" s="252">
        <f>IF(BC65="","",Planning!AK58)</f>
        <v/>
      </c>
      <c r="CL65" s="252">
        <f>IF(BC65="","",Planning!AH58)</f>
        <v/>
      </c>
      <c r="CM65" s="21" t="n"/>
    </row>
    <row r="66" ht="13.5" customHeight="1">
      <c r="A66" s="162" t="n"/>
      <c r="B66" s="442">
        <f>IFERROR(IF(COUNTIF(Instellingen!$O$30:$O$37,"")&gt;7,"",VLOOKUP(SMALL(Instellingen!$O$30:$O$37,1),Instellingen!$O$30:$T$37,6,FALSE)),"")</f>
        <v/>
      </c>
      <c r="C66" s="899">
        <f>IFERROR(IF(B66="","",VLOOKUP(B66,Instellingen!$B$30:$H$37,7,FALSE)),"")</f>
        <v/>
      </c>
      <c r="D66" s="862" t="n"/>
      <c r="E66" s="109" t="n"/>
      <c r="F66" s="109" t="n"/>
      <c r="G66" s="109" t="n"/>
      <c r="H66" s="900" t="inlineStr">
        <is>
          <t>Vullen</t>
        </is>
      </c>
      <c r="I66" s="883" t="n"/>
      <c r="J66" s="883" t="n"/>
      <c r="K66" s="883" t="n"/>
      <c r="L66" s="883" t="n"/>
      <c r="M66" s="883" t="n"/>
      <c r="N66" s="883" t="n"/>
      <c r="O66" s="883" t="n"/>
      <c r="P66" s="883" t="n"/>
      <c r="Q66" s="884" t="n"/>
      <c r="R66" s="673" t="inlineStr">
        <is>
          <t>vcr - Risicoartikelen tellen</t>
        </is>
      </c>
      <c r="S66" s="264" t="n"/>
      <c r="T66" s="264" t="n"/>
      <c r="U66" s="264" t="n"/>
      <c r="V66" s="264" t="n"/>
      <c r="W66" s="264" t="n"/>
      <c r="X66" s="264" t="n"/>
      <c r="Y66" s="264" t="n"/>
      <c r="Z66" s="901">
        <f>BA30</f>
        <v/>
      </c>
      <c r="AA66" s="866" t="n"/>
      <c r="AB66" s="900" t="inlineStr">
        <is>
          <t>Overig</t>
        </is>
      </c>
      <c r="AC66" s="883" t="n"/>
      <c r="AD66" s="883" t="n"/>
      <c r="AE66" s="883" t="n"/>
      <c r="AF66" s="883" t="n"/>
      <c r="AG66" s="883" t="n"/>
      <c r="AH66" s="883" t="n"/>
      <c r="AI66" s="883" t="n"/>
      <c r="AJ66" s="883" t="n"/>
      <c r="AK66" s="884" t="n"/>
      <c r="AL66" s="47" t="n"/>
      <c r="AM66" s="47" t="n"/>
      <c r="AN66" s="47" t="n"/>
      <c r="AO66" s="47" t="n"/>
      <c r="AP66" s="47" t="n"/>
      <c r="AQ66" s="501" t="n"/>
      <c r="AR66" s="501" t="n"/>
      <c r="AS66" s="501" t="n"/>
      <c r="AT66" s="501" t="n"/>
      <c r="AU66" s="501" t="n"/>
      <c r="AV66" s="514" t="n"/>
      <c r="AW66" s="508" t="n"/>
      <c r="AX66" s="509" t="n"/>
      <c r="AY66" s="508" t="n"/>
      <c r="AZ66" s="510" t="n"/>
      <c r="BA66" s="299" t="n"/>
      <c r="BC66" s="31">
        <f>IF(Planning!B59="","",Planning!B59)</f>
        <v/>
      </c>
      <c r="BD66" s="105" t="n"/>
      <c r="BE66" s="885">
        <f>Planning!E59</f>
        <v/>
      </c>
      <c r="BF66" s="885">
        <f>Planning!F59</f>
        <v/>
      </c>
      <c r="BG66" s="886" t="n"/>
      <c r="BH66" s="105" t="n"/>
      <c r="BI66" s="885">
        <f>Planning!I59</f>
        <v/>
      </c>
      <c r="BJ66" s="885">
        <f>Planning!J59</f>
        <v/>
      </c>
      <c r="BK66" s="886" t="n"/>
      <c r="BL66" s="105" t="n"/>
      <c r="BM66" s="885">
        <f>Planning!M59</f>
        <v/>
      </c>
      <c r="BN66" s="885">
        <f>Planning!N59</f>
        <v/>
      </c>
      <c r="BO66" s="886" t="n"/>
      <c r="BP66" s="105" t="n"/>
      <c r="BQ66" s="885">
        <f>Planning!Q59</f>
        <v/>
      </c>
      <c r="BR66" s="885">
        <f>Planning!R59</f>
        <v/>
      </c>
      <c r="BS66" s="886" t="n"/>
      <c r="BT66" s="105" t="n"/>
      <c r="BU66" s="885">
        <f>Planning!U59</f>
        <v/>
      </c>
      <c r="BV66" s="885">
        <f>Planning!V59</f>
        <v/>
      </c>
      <c r="BW66" s="886" t="n"/>
      <c r="BX66" s="105" t="n"/>
      <c r="BY66" s="885">
        <f>Planning!Y59</f>
        <v/>
      </c>
      <c r="BZ66" s="885">
        <f>Planning!Z59</f>
        <v/>
      </c>
      <c r="CA66" s="886" t="n"/>
      <c r="CB66" s="105" t="n"/>
      <c r="CC66" s="885">
        <f>Planning!AC59</f>
        <v/>
      </c>
      <c r="CD66" s="885">
        <f>Planning!AD59</f>
        <v/>
      </c>
      <c r="CE66" s="886" t="n"/>
      <c r="CF66" s="105" t="n"/>
      <c r="CG66" s="887">
        <f>Planning!AG59</f>
        <v/>
      </c>
      <c r="CH66" s="105" t="n"/>
      <c r="CI66" s="252">
        <f>IF(BC66="","",Planning!AI59)</f>
        <v/>
      </c>
      <c r="CJ66" s="252">
        <f>IF(BC66="","",Planning!AJ59)</f>
        <v/>
      </c>
      <c r="CK66" s="252">
        <f>IF(BC66="","",Planning!AK59)</f>
        <v/>
      </c>
      <c r="CL66" s="252">
        <f>IF(BC66="","",Planning!AH59)</f>
        <v/>
      </c>
      <c r="CM66" s="21" t="n"/>
    </row>
    <row r="67" ht="13.5" customHeight="1">
      <c r="A67" s="162" t="n"/>
      <c r="B67" s="440">
        <f>IFERROR(IF(COUNTIF(Instellingen!$O$30:$O$37,"")&gt;6,"",VLOOKUP(SMALL(Instellingen!$O$30:$O$37,2),Instellingen!$O$30:$T$37,6,FALSE)),"")</f>
        <v/>
      </c>
      <c r="C67" s="902">
        <f>IFERROR(IF(B67="","",VLOOKUP(B67,Instellingen!$B$30:$H$37,7,FALSE)),"")</f>
        <v/>
      </c>
      <c r="D67" s="866" t="n"/>
      <c r="E67" s="109" t="n"/>
      <c r="F67" s="109" t="n"/>
      <c r="G67" s="109" t="n"/>
      <c r="H67" s="673" t="inlineStr">
        <is>
          <t>hv - Houdbaar vullen</t>
        </is>
      </c>
      <c r="I67" s="264" t="n"/>
      <c r="J67" s="264" t="n"/>
      <c r="K67" s="264" t="n"/>
      <c r="L67" s="264" t="n"/>
      <c r="M67" s="264" t="n"/>
      <c r="N67" s="264" t="n"/>
      <c r="O67" s="264" t="n"/>
      <c r="P67" s="901">
        <f>BA14</f>
        <v/>
      </c>
      <c r="Q67" s="866" t="n"/>
      <c r="R67" s="687" t="inlineStr">
        <is>
          <t>Magazijn</t>
        </is>
      </c>
      <c r="S67" s="883" t="n"/>
      <c r="T67" s="883" t="n"/>
      <c r="U67" s="883" t="n"/>
      <c r="V67" s="883" t="n"/>
      <c r="W67" s="883" t="n"/>
      <c r="X67" s="883" t="n"/>
      <c r="Y67" s="883" t="n"/>
      <c r="Z67" s="883" t="n"/>
      <c r="AA67" s="883" t="n"/>
      <c r="AB67" s="924" t="inlineStr">
        <is>
          <t>km - Kwaliteitsmedewerker</t>
        </is>
      </c>
      <c r="AC67" s="897" t="n"/>
      <c r="AD67" s="897" t="n"/>
      <c r="AE67" s="897" t="n"/>
      <c r="AF67" s="897" t="n"/>
      <c r="AG67" s="897" t="n"/>
      <c r="AH67" s="897" t="n"/>
      <c r="AI67" s="862" t="n"/>
      <c r="AJ67" s="904">
        <f>BA48</f>
        <v/>
      </c>
      <c r="AK67" s="866" t="n"/>
      <c r="AL67" s="47" t="n"/>
      <c r="AM67" s="47" t="n"/>
      <c r="AN67" s="47" t="n"/>
      <c r="AO67" s="47" t="n"/>
      <c r="AP67" s="47" t="n"/>
      <c r="AQ67" s="501" t="n"/>
      <c r="AR67" s="501" t="n"/>
      <c r="AS67" s="501" t="n"/>
      <c r="AT67" s="501" t="n"/>
      <c r="AU67" s="501" t="n"/>
      <c r="AV67" s="504" t="n"/>
      <c r="AW67" s="502" t="n"/>
      <c r="AX67" s="503" t="n"/>
      <c r="AY67" s="502" t="n"/>
      <c r="AZ67" s="512" t="n"/>
      <c r="BA67" s="263" t="n"/>
      <c r="BC67" s="31">
        <f>IF(Planning!B60="","",Planning!B60)</f>
        <v/>
      </c>
      <c r="BD67" s="105" t="n"/>
      <c r="BE67" s="885">
        <f>Planning!E60</f>
        <v/>
      </c>
      <c r="BF67" s="885">
        <f>Planning!F60</f>
        <v/>
      </c>
      <c r="BG67" s="886" t="n"/>
      <c r="BH67" s="105" t="n"/>
      <c r="BI67" s="885">
        <f>Planning!I60</f>
        <v/>
      </c>
      <c r="BJ67" s="885">
        <f>Planning!J60</f>
        <v/>
      </c>
      <c r="BK67" s="886" t="n"/>
      <c r="BL67" s="105" t="n"/>
      <c r="BM67" s="885">
        <f>Planning!M60</f>
        <v/>
      </c>
      <c r="BN67" s="885">
        <f>Planning!N60</f>
        <v/>
      </c>
      <c r="BO67" s="886" t="n"/>
      <c r="BP67" s="105" t="n"/>
      <c r="BQ67" s="885">
        <f>Planning!Q60</f>
        <v/>
      </c>
      <c r="BR67" s="885">
        <f>Planning!R60</f>
        <v/>
      </c>
      <c r="BS67" s="886" t="n"/>
      <c r="BT67" s="105" t="n"/>
      <c r="BU67" s="885">
        <f>Planning!U60</f>
        <v/>
      </c>
      <c r="BV67" s="885">
        <f>Planning!V60</f>
        <v/>
      </c>
      <c r="BW67" s="886" t="n"/>
      <c r="BX67" s="105" t="n"/>
      <c r="BY67" s="885">
        <f>Planning!Y60</f>
        <v/>
      </c>
      <c r="BZ67" s="885">
        <f>Planning!Z60</f>
        <v/>
      </c>
      <c r="CA67" s="886" t="n"/>
      <c r="CB67" s="105" t="n"/>
      <c r="CC67" s="885">
        <f>Planning!AC60</f>
        <v/>
      </c>
      <c r="CD67" s="885">
        <f>Planning!AD60</f>
        <v/>
      </c>
      <c r="CE67" s="886" t="n"/>
      <c r="CF67" s="105" t="n"/>
      <c r="CG67" s="887">
        <f>Planning!AG60</f>
        <v/>
      </c>
      <c r="CH67" s="105" t="n"/>
      <c r="CI67" s="252">
        <f>IF(BC67="","",Planning!AI60)</f>
        <v/>
      </c>
      <c r="CJ67" s="252">
        <f>IF(BC67="","",Planning!AJ60)</f>
        <v/>
      </c>
      <c r="CK67" s="252">
        <f>IF(BC67="","",Planning!AK60)</f>
        <v/>
      </c>
      <c r="CL67" s="252">
        <f>IF(BC67="","",Planning!AH60)</f>
        <v/>
      </c>
      <c r="CM67" s="21" t="n"/>
    </row>
    <row r="68" ht="13.5" customHeight="1">
      <c r="A68" s="159" t="n"/>
      <c r="B68" s="440">
        <f>IFERROR(IF(COUNTIF(Instellingen!$O$30:$O$37,"")&gt;5,"",VLOOKUP(SMALL(Instellingen!$O$30:$O$37,3),Instellingen!$O$30:$T$37,6,FALSE)),"")</f>
        <v/>
      </c>
      <c r="C68" s="902">
        <f>IFERROR(IF(B68="","",VLOOKUP(B68,Instellingen!$B$30:$H$37,7,FALSE)),"")</f>
        <v/>
      </c>
      <c r="D68" s="866" t="n"/>
      <c r="E68" s="109" t="n"/>
      <c r="F68" s="109" t="n"/>
      <c r="G68" s="109" t="n"/>
      <c r="H68" s="673" t="inlineStr">
        <is>
          <t>dv - Diepvries vullen</t>
        </is>
      </c>
      <c r="I68" s="264" t="n"/>
      <c r="J68" s="264" t="n"/>
      <c r="K68" s="264" t="n"/>
      <c r="L68" s="264" t="n"/>
      <c r="M68" s="264" t="n"/>
      <c r="N68" s="264" t="n"/>
      <c r="O68" s="264" t="n"/>
      <c r="P68" s="901">
        <f>BA15</f>
        <v/>
      </c>
      <c r="Q68" s="866" t="n"/>
      <c r="R68" s="673" t="inlineStr">
        <is>
          <t>l - Lossen/Retouren</t>
        </is>
      </c>
      <c r="S68" s="264" t="n"/>
      <c r="T68" s="264" t="n"/>
      <c r="U68" s="264" t="n"/>
      <c r="V68" s="264" t="n"/>
      <c r="W68" s="264" t="n"/>
      <c r="X68" s="264" t="n"/>
      <c r="Y68" s="264" t="n"/>
      <c r="Z68" s="675">
        <f>BA32</f>
        <v/>
      </c>
      <c r="AA68" s="264" t="n"/>
      <c r="AB68" s="907" t="inlineStr">
        <is>
          <t>mt - MT of CKW-overleg</t>
        </is>
      </c>
      <c r="AC68" s="264" t="n"/>
      <c r="AD68" s="264" t="n"/>
      <c r="AE68" s="264" t="n"/>
      <c r="AF68" s="264" t="n"/>
      <c r="AG68" s="264" t="n"/>
      <c r="AH68" s="264" t="n"/>
      <c r="AI68" s="866" t="n"/>
      <c r="AJ68" s="904">
        <f>BA49</f>
        <v/>
      </c>
      <c r="AK68" s="866" t="n"/>
      <c r="AL68" s="47" t="n"/>
      <c r="AM68" s="47" t="n"/>
      <c r="AN68" s="47" t="n"/>
      <c r="AO68" s="47" t="n"/>
      <c r="AP68" s="47" t="n"/>
      <c r="AQ68" s="501" t="n"/>
      <c r="AR68" s="501" t="n"/>
      <c r="AS68" s="501" t="n"/>
      <c r="AT68" s="501" t="n"/>
      <c r="AU68" s="501" t="n"/>
      <c r="AV68" s="504" t="n"/>
      <c r="AW68" s="502" t="n"/>
      <c r="AX68" s="503" t="n"/>
      <c r="AY68" s="502" t="n"/>
      <c r="AZ68" s="512" t="n"/>
      <c r="BA68" s="263" t="n"/>
      <c r="BC68" s="31">
        <f>IF(Planning!B61="","",Planning!B61)</f>
        <v/>
      </c>
      <c r="BD68" s="105" t="n"/>
      <c r="BE68" s="885">
        <f>Planning!E61</f>
        <v/>
      </c>
      <c r="BF68" s="885">
        <f>Planning!F61</f>
        <v/>
      </c>
      <c r="BG68" s="886" t="n"/>
      <c r="BH68" s="105" t="n"/>
      <c r="BI68" s="885">
        <f>Planning!I61</f>
        <v/>
      </c>
      <c r="BJ68" s="885">
        <f>Planning!J61</f>
        <v/>
      </c>
      <c r="BK68" s="886" t="n"/>
      <c r="BL68" s="105" t="n"/>
      <c r="BM68" s="885">
        <f>Planning!M61</f>
        <v/>
      </c>
      <c r="BN68" s="885">
        <f>Planning!N61</f>
        <v/>
      </c>
      <c r="BO68" s="886" t="n"/>
      <c r="BP68" s="105" t="n"/>
      <c r="BQ68" s="885">
        <f>Planning!Q61</f>
        <v/>
      </c>
      <c r="BR68" s="885">
        <f>Planning!R61</f>
        <v/>
      </c>
      <c r="BS68" s="886" t="n"/>
      <c r="BT68" s="105" t="n"/>
      <c r="BU68" s="885">
        <f>Planning!U61</f>
        <v/>
      </c>
      <c r="BV68" s="885">
        <f>Planning!V61</f>
        <v/>
      </c>
      <c r="BW68" s="886" t="n"/>
      <c r="BX68" s="105" t="n"/>
      <c r="BY68" s="885">
        <f>Planning!Y61</f>
        <v/>
      </c>
      <c r="BZ68" s="885">
        <f>Planning!Z61</f>
        <v/>
      </c>
      <c r="CA68" s="886" t="n"/>
      <c r="CB68" s="105" t="n"/>
      <c r="CC68" s="885">
        <f>Planning!AC61</f>
        <v/>
      </c>
      <c r="CD68" s="885">
        <f>Planning!AD61</f>
        <v/>
      </c>
      <c r="CE68" s="886" t="n"/>
      <c r="CF68" s="105" t="n"/>
      <c r="CG68" s="887">
        <f>Planning!AG61</f>
        <v/>
      </c>
      <c r="CH68" s="105" t="n"/>
      <c r="CI68" s="252">
        <f>IF(BC68="","",Planning!AI61)</f>
        <v/>
      </c>
      <c r="CJ68" s="252">
        <f>IF(BC68="","",Planning!AJ61)</f>
        <v/>
      </c>
      <c r="CK68" s="252">
        <f>IF(BC68="","",Planning!AK61)</f>
        <v/>
      </c>
      <c r="CL68" s="252">
        <f>IF(BC68="","",Planning!AH61)</f>
        <v/>
      </c>
      <c r="CM68" s="21" t="n"/>
    </row>
    <row r="69" ht="13.5" customHeight="1">
      <c r="A69" s="159" t="n"/>
      <c r="B69" s="440">
        <f>IFERROR(IF(COUNTIF(Instellingen!$O$30:$O$37,"")&gt;4,"",VLOOKUP(SMALL(Instellingen!$O$30:$O$37,4),Instellingen!$O$30:$T$37,6,FALSE)),"")</f>
        <v/>
      </c>
      <c r="C69" s="902">
        <f>IFERROR(IF(B69="","",VLOOKUP(B69,Instellingen!$B$30:$H$37,7,FALSE)),"")</f>
        <v/>
      </c>
      <c r="D69" s="866" t="n"/>
      <c r="E69" s="109" t="n"/>
      <c r="F69" s="109" t="n"/>
      <c r="G69" s="109" t="n"/>
      <c r="H69" s="673" t="inlineStr">
        <is>
          <t>vv - Vers vullen</t>
        </is>
      </c>
      <c r="I69" s="264" t="n"/>
      <c r="J69" s="264" t="n"/>
      <c r="K69" s="264" t="n"/>
      <c r="L69" s="264" t="n"/>
      <c r="M69" s="264" t="n"/>
      <c r="N69" s="264" t="n"/>
      <c r="O69" s="264" t="n"/>
      <c r="P69" s="901">
        <f>BA16</f>
        <v/>
      </c>
      <c r="Q69" s="866" t="n"/>
      <c r="R69" s="673" t="inlineStr">
        <is>
          <t>ma - Magazijn</t>
        </is>
      </c>
      <c r="S69" s="264" t="n"/>
      <c r="T69" s="264" t="n"/>
      <c r="U69" s="264" t="n"/>
      <c r="V69" s="264" t="n"/>
      <c r="W69" s="264" t="n"/>
      <c r="X69" s="264" t="n"/>
      <c r="Y69" s="264" t="n"/>
      <c r="Z69" s="675">
        <f>BA33</f>
        <v/>
      </c>
      <c r="AA69" s="264" t="n"/>
      <c r="AB69" s="907" t="inlineStr">
        <is>
          <t>ov - Overig</t>
        </is>
      </c>
      <c r="AC69" s="264" t="n"/>
      <c r="AD69" s="264" t="n"/>
      <c r="AE69" s="264" t="n"/>
      <c r="AF69" s="264" t="n"/>
      <c r="AG69" s="264" t="n"/>
      <c r="AH69" s="264" t="n"/>
      <c r="AI69" s="866" t="n"/>
      <c r="AJ69" s="904">
        <f>BA50</f>
        <v/>
      </c>
      <c r="AK69" s="866" t="n"/>
      <c r="AL69" s="47" t="n"/>
      <c r="AM69" s="47" t="n"/>
      <c r="AN69" s="47" t="n"/>
      <c r="AO69" s="47" t="n"/>
      <c r="AP69" s="47" t="n"/>
      <c r="AQ69" s="501" t="n"/>
      <c r="AR69" s="501" t="n"/>
      <c r="AS69" s="501" t="n"/>
      <c r="AT69" s="501" t="n"/>
      <c r="AU69" s="501" t="n"/>
      <c r="AV69" s="504" t="n"/>
      <c r="AW69" s="502" t="n"/>
      <c r="AX69" s="505" t="n"/>
      <c r="AY69" s="263" t="n"/>
      <c r="AZ69" s="513" t="n"/>
      <c r="BA69" s="263" t="n"/>
      <c r="BC69" s="31">
        <f>IF(Planning!B62="","",Planning!B62)</f>
        <v/>
      </c>
      <c r="BD69" s="105" t="n"/>
      <c r="BE69" s="885">
        <f>Planning!E62</f>
        <v/>
      </c>
      <c r="BF69" s="885">
        <f>Planning!F62</f>
        <v/>
      </c>
      <c r="BG69" s="886" t="n"/>
      <c r="BH69" s="105" t="n"/>
      <c r="BI69" s="885">
        <f>Planning!I62</f>
        <v/>
      </c>
      <c r="BJ69" s="885">
        <f>Planning!J62</f>
        <v/>
      </c>
      <c r="BK69" s="886" t="n"/>
      <c r="BL69" s="105" t="n"/>
      <c r="BM69" s="885">
        <f>Planning!M62</f>
        <v/>
      </c>
      <c r="BN69" s="885">
        <f>Planning!N62</f>
        <v/>
      </c>
      <c r="BO69" s="886" t="n"/>
      <c r="BP69" s="105" t="n"/>
      <c r="BQ69" s="885">
        <f>Planning!Q62</f>
        <v/>
      </c>
      <c r="BR69" s="885">
        <f>Planning!R62</f>
        <v/>
      </c>
      <c r="BS69" s="886" t="n"/>
      <c r="BT69" s="105" t="n"/>
      <c r="BU69" s="885">
        <f>Planning!U62</f>
        <v/>
      </c>
      <c r="BV69" s="885">
        <f>Planning!V62</f>
        <v/>
      </c>
      <c r="BW69" s="886" t="n"/>
      <c r="BX69" s="105" t="n"/>
      <c r="BY69" s="885">
        <f>Planning!Y62</f>
        <v/>
      </c>
      <c r="BZ69" s="885">
        <f>Planning!Z62</f>
        <v/>
      </c>
      <c r="CA69" s="886" t="n"/>
      <c r="CB69" s="105" t="n"/>
      <c r="CC69" s="885">
        <f>Planning!AC62</f>
        <v/>
      </c>
      <c r="CD69" s="885">
        <f>Planning!AD62</f>
        <v/>
      </c>
      <c r="CE69" s="886" t="n"/>
      <c r="CF69" s="105" t="n"/>
      <c r="CG69" s="887">
        <f>Planning!AG62</f>
        <v/>
      </c>
      <c r="CH69" s="105" t="n"/>
      <c r="CI69" s="252">
        <f>IF(BC69="","",Planning!AI62)</f>
        <v/>
      </c>
      <c r="CJ69" s="252">
        <f>IF(BC69="","",Planning!AJ62)</f>
        <v/>
      </c>
      <c r="CK69" s="252">
        <f>IF(BC69="","",Planning!AK62)</f>
        <v/>
      </c>
      <c r="CL69" s="252">
        <f>IF(BC69="","",Planning!AH62)</f>
        <v/>
      </c>
      <c r="CM69" s="21" t="n"/>
    </row>
    <row r="70" ht="13.5" customHeight="1">
      <c r="A70" s="159" t="n"/>
      <c r="B70" s="440">
        <f>IFERROR(IF(COUNTIF(Instellingen!$O$30:$O$37,"")&gt;3,"",VLOOKUP(SMALL(Instellingen!$O$30:$O$37,5),Instellingen!$O$30:$T$37,6,FALSE)),"")</f>
        <v/>
      </c>
      <c r="C70" s="902">
        <f>IFERROR(IF(B70="","",VLOOKUP(B70,Instellingen!$B$30:$H$37,7,FALSE)),"")</f>
        <v/>
      </c>
      <c r="D70" s="866" t="n"/>
      <c r="E70" s="109" t="n"/>
      <c r="F70" s="109" t="n"/>
      <c r="G70" s="109" t="n"/>
      <c r="H70" s="673" t="inlineStr">
        <is>
          <t>nh - Navulling HB</t>
        </is>
      </c>
      <c r="I70" s="264" t="n"/>
      <c r="J70" s="264" t="n"/>
      <c r="K70" s="264" t="n"/>
      <c r="L70" s="264" t="n"/>
      <c r="M70" s="264" t="n"/>
      <c r="N70" s="264" t="n"/>
      <c r="O70" s="264" t="n"/>
      <c r="P70" s="901">
        <f>BA17</f>
        <v/>
      </c>
      <c r="Q70" s="866" t="n"/>
      <c r="R70" s="661" t="inlineStr">
        <is>
          <t>sp - Splitsen</t>
        </is>
      </c>
      <c r="S70" s="906" t="n"/>
      <c r="T70" s="906" t="n"/>
      <c r="U70" s="906" t="n"/>
      <c r="V70" s="906" t="n"/>
      <c r="W70" s="906" t="n"/>
      <c r="X70" s="906" t="n"/>
      <c r="Y70" s="906" t="n"/>
      <c r="Z70" s="675">
        <f>BA34</f>
        <v/>
      </c>
      <c r="AA70" s="264" t="n"/>
      <c r="AB70" s="907" t="inlineStr">
        <is>
          <t>prt - Protime</t>
        </is>
      </c>
      <c r="AC70" s="264" t="n"/>
      <c r="AD70" s="264" t="n"/>
      <c r="AE70" s="264" t="n"/>
      <c r="AF70" s="264" t="n"/>
      <c r="AG70" s="264" t="n"/>
      <c r="AH70" s="264" t="n"/>
      <c r="AI70" s="866" t="n"/>
      <c r="AJ70" s="904">
        <f>BA51</f>
        <v/>
      </c>
      <c r="AK70" s="866" t="n"/>
      <c r="AL70" s="47" t="n"/>
      <c r="AM70" s="47" t="n"/>
      <c r="AN70" s="47" t="n"/>
      <c r="AO70" s="47" t="n"/>
      <c r="AP70" s="47" t="n"/>
      <c r="AQ70" s="501" t="n"/>
      <c r="AR70" s="501" t="n"/>
      <c r="AS70" s="501" t="n"/>
      <c r="AT70" s="501" t="n"/>
      <c r="AU70" s="501" t="n"/>
      <c r="AV70" s="504" t="n"/>
      <c r="AW70" s="502" t="n"/>
      <c r="AX70" s="505" t="n"/>
      <c r="AY70" s="263" t="n"/>
      <c r="AZ70" s="513" t="n"/>
      <c r="BA70" s="263" t="n"/>
      <c r="BC70" s="31">
        <f>IF(Planning!B63="","",Planning!B63)</f>
        <v/>
      </c>
      <c r="BD70" s="105" t="n"/>
      <c r="BE70" s="885">
        <f>Planning!E63</f>
        <v/>
      </c>
      <c r="BF70" s="885">
        <f>Planning!F63</f>
        <v/>
      </c>
      <c r="BG70" s="886" t="n"/>
      <c r="BH70" s="105" t="n"/>
      <c r="BI70" s="885">
        <f>Planning!I63</f>
        <v/>
      </c>
      <c r="BJ70" s="885">
        <f>Planning!J63</f>
        <v/>
      </c>
      <c r="BK70" s="886" t="n"/>
      <c r="BL70" s="105" t="n"/>
      <c r="BM70" s="885">
        <f>Planning!M63</f>
        <v/>
      </c>
      <c r="BN70" s="885">
        <f>Planning!N63</f>
        <v/>
      </c>
      <c r="BO70" s="886" t="n"/>
      <c r="BP70" s="105" t="n"/>
      <c r="BQ70" s="885">
        <f>Planning!Q63</f>
        <v/>
      </c>
      <c r="BR70" s="885">
        <f>Planning!R63</f>
        <v/>
      </c>
      <c r="BS70" s="886" t="n"/>
      <c r="BT70" s="105" t="n"/>
      <c r="BU70" s="885">
        <f>Planning!U63</f>
        <v/>
      </c>
      <c r="BV70" s="885">
        <f>Planning!V63</f>
        <v/>
      </c>
      <c r="BW70" s="886" t="n"/>
      <c r="BX70" s="105" t="n"/>
      <c r="BY70" s="885">
        <f>Planning!Y63</f>
        <v/>
      </c>
      <c r="BZ70" s="885">
        <f>Planning!Z63</f>
        <v/>
      </c>
      <c r="CA70" s="886" t="n"/>
      <c r="CB70" s="105" t="n"/>
      <c r="CC70" s="885">
        <f>Planning!AC63</f>
        <v/>
      </c>
      <c r="CD70" s="885">
        <f>Planning!AD63</f>
        <v/>
      </c>
      <c r="CE70" s="886" t="n"/>
      <c r="CF70" s="105" t="n"/>
      <c r="CG70" s="887">
        <f>Planning!AG63</f>
        <v/>
      </c>
      <c r="CH70" s="105" t="n"/>
      <c r="CI70" s="252">
        <f>IF(BC70="","",Planning!AI63)</f>
        <v/>
      </c>
      <c r="CJ70" s="252">
        <f>IF(BC70="","",Planning!AJ63)</f>
        <v/>
      </c>
      <c r="CK70" s="252">
        <f>IF(BC70="","",Planning!AK63)</f>
        <v/>
      </c>
      <c r="CL70" s="252">
        <f>IF(BC70="","",Planning!AH63)</f>
        <v/>
      </c>
      <c r="CM70" s="21" t="n"/>
    </row>
    <row r="71" ht="13.5" customHeight="1">
      <c r="A71" s="159" t="n"/>
      <c r="B71" s="251">
        <f>IFERROR(IF(COUNTIF(Instellingen!$O$30:$O$37,"")&gt;2,"",VLOOKUP(SMALL(Instellingen!$O$30:$O$37,6),Instellingen!$O$30:$T$37,6,FALSE)),"")</f>
        <v/>
      </c>
      <c r="C71" s="902">
        <f>IFERROR(IF(B71="","",VLOOKUP(B71,Instellingen!$B$30:$H$37,7,FALSE)),"")</f>
        <v/>
      </c>
      <c r="D71" s="866" t="n"/>
      <c r="E71" s="109" t="n"/>
      <c r="F71" s="109" t="n"/>
      <c r="G71" s="109" t="n"/>
      <c r="H71" s="673" t="inlineStr">
        <is>
          <t>nd - Navulling DV</t>
        </is>
      </c>
      <c r="I71" s="264" t="n"/>
      <c r="J71" s="264" t="n"/>
      <c r="K71" s="264" t="n"/>
      <c r="L71" s="264" t="n"/>
      <c r="M71" s="264" t="n"/>
      <c r="N71" s="264" t="n"/>
      <c r="O71" s="264" t="n"/>
      <c r="P71" s="901">
        <f>BA18</f>
        <v/>
      </c>
      <c r="Q71" s="866" t="n"/>
      <c r="R71" s="687" t="inlineStr">
        <is>
          <t>Afprijzen</t>
        </is>
      </c>
      <c r="S71" s="883" t="n"/>
      <c r="T71" s="883" t="n"/>
      <c r="U71" s="883" t="n"/>
      <c r="V71" s="883" t="n"/>
      <c r="W71" s="883" t="n"/>
      <c r="X71" s="883" t="n"/>
      <c r="Y71" s="883" t="n"/>
      <c r="Z71" s="883" t="n"/>
      <c r="AA71" s="883" t="n"/>
      <c r="AB71" s="907" t="inlineStr">
        <is>
          <t>sl - Shift leiden</t>
        </is>
      </c>
      <c r="AC71" s="264" t="n"/>
      <c r="AD71" s="264" t="n"/>
      <c r="AE71" s="264" t="n"/>
      <c r="AF71" s="264" t="n"/>
      <c r="AG71" s="264" t="n"/>
      <c r="AH71" s="264" t="n"/>
      <c r="AI71" s="866" t="n"/>
      <c r="AJ71" s="904">
        <f>BA52</f>
        <v/>
      </c>
      <c r="AK71" s="866" t="n"/>
      <c r="AL71" s="47" t="n"/>
      <c r="AM71" s="47" t="n"/>
      <c r="AN71" s="47" t="n"/>
      <c r="AO71" s="47" t="n"/>
      <c r="AP71" s="47" t="n"/>
      <c r="AQ71" s="501" t="n"/>
      <c r="AR71" s="501" t="n"/>
      <c r="AS71" s="501" t="n"/>
      <c r="AT71" s="501" t="n"/>
      <c r="AU71" s="501" t="n"/>
      <c r="AV71" s="504" t="n"/>
      <c r="AW71" s="502" t="n"/>
      <c r="AX71" s="505" t="n"/>
      <c r="AY71" s="263" t="n"/>
      <c r="AZ71" s="513" t="n"/>
      <c r="BA71" s="263" t="n"/>
      <c r="BC71" s="31">
        <f>IF(Planning!B64="","",Planning!B64)</f>
        <v/>
      </c>
      <c r="BD71" s="105" t="n"/>
      <c r="BE71" s="885">
        <f>Planning!E64</f>
        <v/>
      </c>
      <c r="BF71" s="885">
        <f>Planning!F64</f>
        <v/>
      </c>
      <c r="BG71" s="886" t="n"/>
      <c r="BH71" s="105" t="n"/>
      <c r="BI71" s="885">
        <f>Planning!I64</f>
        <v/>
      </c>
      <c r="BJ71" s="885">
        <f>Planning!J64</f>
        <v/>
      </c>
      <c r="BK71" s="886" t="n"/>
      <c r="BL71" s="105" t="n"/>
      <c r="BM71" s="885">
        <f>Planning!M64</f>
        <v/>
      </c>
      <c r="BN71" s="885">
        <f>Planning!N64</f>
        <v/>
      </c>
      <c r="BO71" s="886" t="n"/>
      <c r="BP71" s="105" t="n"/>
      <c r="BQ71" s="885">
        <f>Planning!Q64</f>
        <v/>
      </c>
      <c r="BR71" s="885">
        <f>Planning!R64</f>
        <v/>
      </c>
      <c r="BS71" s="886" t="n"/>
      <c r="BT71" s="105" t="n"/>
      <c r="BU71" s="885">
        <f>Planning!U64</f>
        <v/>
      </c>
      <c r="BV71" s="885">
        <f>Planning!V64</f>
        <v/>
      </c>
      <c r="BW71" s="886" t="n"/>
      <c r="BX71" s="105" t="n"/>
      <c r="BY71" s="885">
        <f>Planning!Y64</f>
        <v/>
      </c>
      <c r="BZ71" s="885">
        <f>Planning!Z64</f>
        <v/>
      </c>
      <c r="CA71" s="886" t="n"/>
      <c r="CB71" s="105" t="n"/>
      <c r="CC71" s="885">
        <f>Planning!AC64</f>
        <v/>
      </c>
      <c r="CD71" s="885">
        <f>Planning!AD64</f>
        <v/>
      </c>
      <c r="CE71" s="886" t="n"/>
      <c r="CF71" s="105" t="n"/>
      <c r="CG71" s="887">
        <f>Planning!AG64</f>
        <v/>
      </c>
      <c r="CH71" s="105" t="n"/>
      <c r="CI71" s="252">
        <f>IF(BC71="","",Planning!AI64)</f>
        <v/>
      </c>
      <c r="CJ71" s="252">
        <f>IF(BC71="","",Planning!AJ64)</f>
        <v/>
      </c>
      <c r="CK71" s="252">
        <f>IF(BC71="","",Planning!AK64)</f>
        <v/>
      </c>
      <c r="CL71" s="252">
        <f>IF(BC71="","",Planning!AH64)</f>
        <v/>
      </c>
      <c r="CM71" s="21" t="n"/>
    </row>
    <row r="72" ht="13.5" customHeight="1">
      <c r="A72" s="159" t="n"/>
      <c r="B72" s="441">
        <f>IFERROR(IF(COUNTIF(Instellingen!$O$30:$O$37,"")&gt;1,"",VLOOKUP(SMALL(Instellingen!$O$30:$O$37,7),Instellingen!$O$30:$T$37,6,FALSE)),"")</f>
        <v/>
      </c>
      <c r="C72" s="908">
        <f>IFERROR(IF(B72="","",VLOOKUP(B72,Instellingen!$B$30:$H$37,7,FALSE)),"")</f>
        <v/>
      </c>
      <c r="D72" s="869" t="n"/>
      <c r="E72" s="109" t="n"/>
      <c r="F72" s="109" t="n"/>
      <c r="G72" s="109" t="n"/>
      <c r="H72" s="673" t="inlineStr">
        <is>
          <t>nv - Navulling Vers</t>
        </is>
      </c>
      <c r="I72" s="264" t="n"/>
      <c r="J72" s="264" t="n"/>
      <c r="K72" s="264" t="n"/>
      <c r="L72" s="264" t="n"/>
      <c r="M72" s="264" t="n"/>
      <c r="N72" s="264" t="n"/>
      <c r="O72" s="264" t="n"/>
      <c r="P72" s="901">
        <f>BA19</f>
        <v/>
      </c>
      <c r="Q72" s="866" t="n"/>
      <c r="R72" s="673" t="inlineStr">
        <is>
          <t>afp - Afprijzen</t>
        </is>
      </c>
      <c r="S72" s="264" t="n"/>
      <c r="T72" s="264" t="n"/>
      <c r="U72" s="264" t="n"/>
      <c r="V72" s="264" t="n"/>
      <c r="W72" s="264" t="n"/>
      <c r="X72" s="264" t="n"/>
      <c r="Y72" s="264" t="n"/>
      <c r="Z72" s="675">
        <f>BA36</f>
        <v/>
      </c>
      <c r="AA72" s="264" t="n"/>
      <c r="AB72" s="907" t="inlineStr">
        <is>
          <t>vp - Vulshiftplanning</t>
        </is>
      </c>
      <c r="AC72" s="264" t="n"/>
      <c r="AD72" s="264" t="n"/>
      <c r="AE72" s="264" t="n"/>
      <c r="AF72" s="264" t="n"/>
      <c r="AG72" s="264" t="n"/>
      <c r="AH72" s="264" t="n"/>
      <c r="AI72" s="866" t="n"/>
      <c r="AJ72" s="904">
        <f>BA53</f>
        <v/>
      </c>
      <c r="AK72" s="866" t="n"/>
      <c r="AL72" s="47" t="n"/>
      <c r="AM72" s="47" t="n"/>
      <c r="AN72" s="47" t="n"/>
      <c r="AO72" s="47" t="n"/>
      <c r="AP72" s="47" t="n"/>
      <c r="AQ72" s="501" t="n"/>
      <c r="AR72" s="501" t="n"/>
      <c r="AS72" s="501" t="n"/>
      <c r="AT72" s="501" t="n"/>
      <c r="AU72" s="501" t="n"/>
      <c r="AV72" s="504" t="n"/>
      <c r="AW72" s="502" t="n"/>
      <c r="AX72" s="505" t="n"/>
      <c r="AY72" s="263" t="n"/>
      <c r="AZ72" s="513" t="n"/>
      <c r="BA72" s="263" t="n"/>
      <c r="BC72" s="31">
        <f>IF(Planning!B65="","",Planning!B65)</f>
        <v/>
      </c>
      <c r="BD72" s="105" t="n"/>
      <c r="BE72" s="885">
        <f>Planning!E65</f>
        <v/>
      </c>
      <c r="BF72" s="885">
        <f>Planning!F65</f>
        <v/>
      </c>
      <c r="BG72" s="886" t="n"/>
      <c r="BH72" s="105" t="n"/>
      <c r="BI72" s="885">
        <f>Planning!I65</f>
        <v/>
      </c>
      <c r="BJ72" s="885">
        <f>Planning!J65</f>
        <v/>
      </c>
      <c r="BK72" s="886" t="n"/>
      <c r="BL72" s="105" t="n"/>
      <c r="BM72" s="885">
        <f>Planning!M65</f>
        <v/>
      </c>
      <c r="BN72" s="885">
        <f>Planning!N65</f>
        <v/>
      </c>
      <c r="BO72" s="886" t="n"/>
      <c r="BP72" s="105" t="n"/>
      <c r="BQ72" s="885">
        <f>Planning!Q65</f>
        <v/>
      </c>
      <c r="BR72" s="885">
        <f>Planning!R65</f>
        <v/>
      </c>
      <c r="BS72" s="886" t="n"/>
      <c r="BT72" s="105" t="n"/>
      <c r="BU72" s="885">
        <f>Planning!U65</f>
        <v/>
      </c>
      <c r="BV72" s="885">
        <f>Planning!V65</f>
        <v/>
      </c>
      <c r="BW72" s="886" t="n"/>
      <c r="BX72" s="105" t="n"/>
      <c r="BY72" s="885">
        <f>Planning!Y65</f>
        <v/>
      </c>
      <c r="BZ72" s="885">
        <f>Planning!Z65</f>
        <v/>
      </c>
      <c r="CA72" s="886" t="n"/>
      <c r="CB72" s="105" t="n"/>
      <c r="CC72" s="885">
        <f>Planning!AC65</f>
        <v/>
      </c>
      <c r="CD72" s="885">
        <f>Planning!AD65</f>
        <v/>
      </c>
      <c r="CE72" s="886" t="n"/>
      <c r="CF72" s="105" t="n"/>
      <c r="CG72" s="887">
        <f>Planning!AG65</f>
        <v/>
      </c>
      <c r="CH72" s="105" t="n"/>
      <c r="CI72" s="252">
        <f>IF(BC72="","",Planning!AI65)</f>
        <v/>
      </c>
      <c r="CJ72" s="252">
        <f>IF(BC72="","",Planning!AJ65)</f>
        <v/>
      </c>
      <c r="CK72" s="252">
        <f>IF(BC72="","",Planning!AK65)</f>
        <v/>
      </c>
      <c r="CL72" s="252">
        <f>IF(BC72="","",Planning!AH65)</f>
        <v/>
      </c>
      <c r="CM72" s="21" t="n"/>
    </row>
    <row r="73" ht="13.5" customHeight="1">
      <c r="A73" s="159" t="n"/>
      <c r="B73" s="109" t="n"/>
      <c r="C73" s="109" t="n"/>
      <c r="D73" s="109" t="n"/>
      <c r="E73" s="109" t="n"/>
      <c r="F73" s="109" t="n"/>
      <c r="G73" s="109" t="n"/>
      <c r="H73" s="673" t="inlineStr">
        <is>
          <t>rh - Restant HB</t>
        </is>
      </c>
      <c r="I73" s="264" t="n"/>
      <c r="J73" s="264" t="n"/>
      <c r="K73" s="264" t="n"/>
      <c r="L73" s="264" t="n"/>
      <c r="M73" s="264" t="n"/>
      <c r="N73" s="264" t="n"/>
      <c r="O73" s="264" t="n"/>
      <c r="P73" s="901">
        <f>BA20</f>
        <v/>
      </c>
      <c r="Q73" s="866" t="n"/>
      <c r="R73" s="673" t="inlineStr">
        <is>
          <t>cb - Codeboek</t>
        </is>
      </c>
      <c r="S73" s="264" t="n"/>
      <c r="T73" s="264" t="n"/>
      <c r="U73" s="264" t="n"/>
      <c r="V73" s="264" t="n"/>
      <c r="W73" s="264" t="n"/>
      <c r="X73" s="264" t="n"/>
      <c r="Y73" s="264" t="n"/>
      <c r="Z73" s="675">
        <f>BA37</f>
        <v/>
      </c>
      <c r="AA73" s="264" t="n"/>
      <c r="AB73" s="907" t="inlineStr">
        <is>
          <t>wh - Winkelwagens halen</t>
        </is>
      </c>
      <c r="AC73" s="264" t="n"/>
      <c r="AD73" s="264" t="n"/>
      <c r="AE73" s="264" t="n"/>
      <c r="AF73" s="264" t="n"/>
      <c r="AG73" s="264" t="n"/>
      <c r="AH73" s="264" t="n"/>
      <c r="AI73" s="866" t="n"/>
      <c r="AJ73" s="901">
        <f>BA54</f>
        <v/>
      </c>
      <c r="AK73" s="866" t="n"/>
      <c r="AL73" s="47" t="n"/>
      <c r="AM73" s="47" t="n"/>
      <c r="AN73" s="47" t="n"/>
      <c r="AO73" s="47" t="n"/>
      <c r="AP73" s="47" t="n"/>
      <c r="AQ73" s="501" t="n"/>
      <c r="AR73" s="501" t="n"/>
      <c r="AS73" s="501" t="n"/>
      <c r="AT73" s="501" t="n"/>
      <c r="AU73" s="501" t="n"/>
      <c r="AV73" s="504" t="n"/>
      <c r="AW73" s="502" t="n"/>
      <c r="AX73" s="505" t="n"/>
      <c r="AY73" s="506" t="n"/>
      <c r="AZ73" s="501" t="n"/>
      <c r="BA73" s="263" t="n"/>
      <c r="BC73" s="31">
        <f>IF(Planning!B66="","",Planning!B66)</f>
        <v/>
      </c>
      <c r="BD73" s="105" t="n"/>
      <c r="BE73" s="885">
        <f>Planning!E66</f>
        <v/>
      </c>
      <c r="BF73" s="885">
        <f>Planning!F66</f>
        <v/>
      </c>
      <c r="BG73" s="886" t="n"/>
      <c r="BH73" s="105" t="n"/>
      <c r="BI73" s="885">
        <f>Planning!I66</f>
        <v/>
      </c>
      <c r="BJ73" s="885">
        <f>Planning!J66</f>
        <v/>
      </c>
      <c r="BK73" s="886" t="n"/>
      <c r="BL73" s="105" t="n"/>
      <c r="BM73" s="885">
        <f>Planning!M66</f>
        <v/>
      </c>
      <c r="BN73" s="885">
        <f>Planning!N66</f>
        <v/>
      </c>
      <c r="BO73" s="886" t="n"/>
      <c r="BP73" s="105" t="n"/>
      <c r="BQ73" s="885">
        <f>Planning!Q66</f>
        <v/>
      </c>
      <c r="BR73" s="885">
        <f>Planning!R66</f>
        <v/>
      </c>
      <c r="BS73" s="886" t="n"/>
      <c r="BT73" s="105" t="n"/>
      <c r="BU73" s="885">
        <f>Planning!U66</f>
        <v/>
      </c>
      <c r="BV73" s="885">
        <f>Planning!V66</f>
        <v/>
      </c>
      <c r="BW73" s="886" t="n"/>
      <c r="BX73" s="105" t="n"/>
      <c r="BY73" s="885">
        <f>Planning!Y66</f>
        <v/>
      </c>
      <c r="BZ73" s="885">
        <f>Planning!Z66</f>
        <v/>
      </c>
      <c r="CA73" s="886" t="n"/>
      <c r="CB73" s="105" t="n"/>
      <c r="CC73" s="885">
        <f>Planning!AC66</f>
        <v/>
      </c>
      <c r="CD73" s="885">
        <f>Planning!AD66</f>
        <v/>
      </c>
      <c r="CE73" s="886" t="n"/>
      <c r="CF73" s="105" t="n"/>
      <c r="CG73" s="887">
        <f>Planning!AG66</f>
        <v/>
      </c>
      <c r="CH73" s="105" t="n"/>
      <c r="CI73" s="252">
        <f>IF(BC73="","",Planning!AI66)</f>
        <v/>
      </c>
      <c r="CJ73" s="252">
        <f>IF(BC73="","",Planning!AJ66)</f>
        <v/>
      </c>
      <c r="CK73" s="252">
        <f>IF(BC73="","",Planning!AK66)</f>
        <v/>
      </c>
      <c r="CL73" s="252">
        <f>IF(BC73="","",Planning!AH66)</f>
        <v/>
      </c>
      <c r="CM73" s="21" t="n"/>
    </row>
    <row r="74" ht="13.5" customHeight="1">
      <c r="A74" s="159" t="n"/>
      <c r="B74" s="896" t="inlineStr">
        <is>
          <t>OBM's</t>
        </is>
      </c>
      <c r="C74" s="897" t="n"/>
      <c r="D74" s="862" t="n"/>
      <c r="E74" s="109" t="n"/>
      <c r="F74" s="109" t="n"/>
      <c r="G74" s="109" t="n"/>
      <c r="H74" s="673" t="inlineStr">
        <is>
          <t>rd - Restant DV</t>
        </is>
      </c>
      <c r="I74" s="264" t="n"/>
      <c r="J74" s="264" t="n"/>
      <c r="K74" s="264" t="n"/>
      <c r="L74" s="264" t="n"/>
      <c r="M74" s="264" t="n"/>
      <c r="N74" s="264" t="n"/>
      <c r="O74" s="264" t="n"/>
      <c r="P74" s="901">
        <f>BA21</f>
        <v/>
      </c>
      <c r="Q74" s="866" t="n"/>
      <c r="R74" s="673" t="inlineStr">
        <is>
          <t>nr - Naloopronde</t>
        </is>
      </c>
      <c r="S74" s="264" t="n"/>
      <c r="T74" s="264" t="n"/>
      <c r="U74" s="264" t="n"/>
      <c r="V74" s="264" t="n"/>
      <c r="W74" s="264" t="n"/>
      <c r="X74" s="264" t="n"/>
      <c r="Y74" s="264" t="n"/>
      <c r="Z74" s="675">
        <f>BA38</f>
        <v/>
      </c>
      <c r="AA74" s="264" t="n"/>
      <c r="AB74" s="907" t="inlineStr">
        <is>
          <t>wp - Weekplanning</t>
        </is>
      </c>
      <c r="AC74" s="264" t="n"/>
      <c r="AD74" s="264" t="n"/>
      <c r="AE74" s="264" t="n"/>
      <c r="AF74" s="264" t="n"/>
      <c r="AG74" s="264" t="n"/>
      <c r="AH74" s="264" t="n"/>
      <c r="AI74" s="866" t="n"/>
      <c r="AJ74" s="901">
        <f>BA55</f>
        <v/>
      </c>
      <c r="AK74" s="866" t="n"/>
      <c r="AL74" s="47" t="n"/>
      <c r="AM74" s="47" t="n"/>
      <c r="AN74" s="47" t="n"/>
      <c r="AO74" s="47" t="n"/>
      <c r="AP74" s="47" t="n"/>
      <c r="AQ74" s="501" t="n"/>
      <c r="AR74" s="501" t="n"/>
      <c r="AS74" s="501" t="n"/>
      <c r="AT74" s="501" t="n"/>
      <c r="AU74" s="501" t="n"/>
      <c r="AV74" s="504" t="n"/>
      <c r="AW74" s="502" t="n"/>
      <c r="AX74" s="505" t="n"/>
      <c r="AY74" s="263" t="n"/>
      <c r="AZ74" s="501" t="n"/>
      <c r="BA74" s="263" t="n"/>
      <c r="BC74" s="31">
        <f>IF(Planning!B67="","",Planning!B67)</f>
        <v/>
      </c>
      <c r="BD74" s="105" t="n"/>
      <c r="BE74" s="885">
        <f>Planning!E67</f>
        <v/>
      </c>
      <c r="BF74" s="885">
        <f>Planning!F67</f>
        <v/>
      </c>
      <c r="BG74" s="886" t="n"/>
      <c r="BH74" s="105" t="n"/>
      <c r="BI74" s="885">
        <f>Planning!I67</f>
        <v/>
      </c>
      <c r="BJ74" s="885">
        <f>Planning!J67</f>
        <v/>
      </c>
      <c r="BK74" s="886" t="n"/>
      <c r="BL74" s="105" t="n"/>
      <c r="BM74" s="885">
        <f>Planning!M67</f>
        <v/>
      </c>
      <c r="BN74" s="885">
        <f>Planning!N67</f>
        <v/>
      </c>
      <c r="BO74" s="886" t="n"/>
      <c r="BP74" s="105" t="n"/>
      <c r="BQ74" s="885">
        <f>Planning!Q67</f>
        <v/>
      </c>
      <c r="BR74" s="885">
        <f>Planning!R67</f>
        <v/>
      </c>
      <c r="BS74" s="886" t="n"/>
      <c r="BT74" s="105" t="n"/>
      <c r="BU74" s="885">
        <f>Planning!U67</f>
        <v/>
      </c>
      <c r="BV74" s="885">
        <f>Planning!V67</f>
        <v/>
      </c>
      <c r="BW74" s="886" t="n"/>
      <c r="BX74" s="105" t="n"/>
      <c r="BY74" s="885">
        <f>Planning!Y67</f>
        <v/>
      </c>
      <c r="BZ74" s="885">
        <f>Planning!Z67</f>
        <v/>
      </c>
      <c r="CA74" s="886" t="n"/>
      <c r="CB74" s="105" t="n"/>
      <c r="CC74" s="885">
        <f>Planning!AC67</f>
        <v/>
      </c>
      <c r="CD74" s="885">
        <f>Planning!AD67</f>
        <v/>
      </c>
      <c r="CE74" s="886" t="n"/>
      <c r="CF74" s="105" t="n"/>
      <c r="CG74" s="887">
        <f>Planning!AG67</f>
        <v/>
      </c>
      <c r="CH74" s="105" t="n"/>
      <c r="CI74" s="252">
        <f>IF(BC74="","",Planning!AI67)</f>
        <v/>
      </c>
      <c r="CJ74" s="252">
        <f>IF(BC74="","",Planning!AJ67)</f>
        <v/>
      </c>
      <c r="CK74" s="252">
        <f>IF(BC74="","",Planning!AK67)</f>
        <v/>
      </c>
      <c r="CL74" s="252">
        <f>IF(BC74="","",Planning!AH67)</f>
        <v/>
      </c>
      <c r="CM74" s="21" t="n"/>
    </row>
    <row r="75" ht="13.5" customHeight="1">
      <c r="A75" s="159" t="n"/>
      <c r="B75" s="442">
        <f>IFERROR(IF(COUNTIF(Instellingen!$O$40:$O$47,"")&gt;7,"",VLOOKUP(SMALL(Instellingen!$O$40:$O$47,1),Instellingen!$O$40:$T$47,6,FALSE)),"")</f>
        <v/>
      </c>
      <c r="C75" s="899">
        <f>IFERROR(IF(B75="","",VLOOKUP(B75,Instellingen!$B$40:$H$47,7,FALSE)),"")</f>
        <v/>
      </c>
      <c r="D75" s="862" t="n"/>
      <c r="E75" s="109" t="n"/>
      <c r="F75" s="109" t="n"/>
      <c r="G75" s="109" t="n"/>
      <c r="H75" s="673" t="inlineStr">
        <is>
          <t>rv - Restant Vers</t>
        </is>
      </c>
      <c r="I75" s="264" t="n"/>
      <c r="J75" s="264" t="n"/>
      <c r="K75" s="264" t="n"/>
      <c r="L75" s="264" t="n"/>
      <c r="M75" s="264" t="n"/>
      <c r="N75" s="264" t="n"/>
      <c r="O75" s="264" t="n"/>
      <c r="P75" s="901">
        <f>BA22</f>
        <v/>
      </c>
      <c r="Q75" s="866" t="n"/>
      <c r="R75" s="673" t="inlineStr">
        <is>
          <t>us - Vervallen artikelen</t>
        </is>
      </c>
      <c r="S75" s="264" t="n"/>
      <c r="T75" s="264" t="n"/>
      <c r="U75" s="264" t="n"/>
      <c r="V75" s="264" t="n"/>
      <c r="W75" s="264" t="n"/>
      <c r="X75" s="264" t="n"/>
      <c r="Y75" s="264" t="n"/>
      <c r="Z75" s="675">
        <f>BA39</f>
        <v/>
      </c>
      <c r="AA75" s="264" t="n"/>
      <c r="AB75" s="907" t="inlineStr">
        <is>
          <t>wv - Winkelverzorging</t>
        </is>
      </c>
      <c r="AC75" s="264" t="n"/>
      <c r="AD75" s="264" t="n"/>
      <c r="AE75" s="264" t="n"/>
      <c r="AF75" s="264" t="n"/>
      <c r="AG75" s="264" t="n"/>
      <c r="AH75" s="264" t="n"/>
      <c r="AI75" s="866" t="n"/>
      <c r="AJ75" s="901">
        <f>BA56</f>
        <v/>
      </c>
      <c r="AK75" s="866" t="n"/>
      <c r="AL75" s="47" t="n"/>
      <c r="AM75" s="47" t="n"/>
      <c r="AN75" s="47" t="n"/>
      <c r="AO75" s="47" t="n"/>
      <c r="AP75" s="47" t="n"/>
      <c r="AQ75" s="501" t="n"/>
      <c r="AR75" s="501" t="n"/>
      <c r="AS75" s="501" t="n"/>
      <c r="AT75" s="501" t="n"/>
      <c r="AU75" s="501" t="n"/>
      <c r="AV75" s="504" t="n"/>
      <c r="AW75" s="502" t="n"/>
      <c r="AX75" s="505" t="n"/>
      <c r="AY75" s="263" t="n"/>
      <c r="AZ75" s="501" t="n"/>
      <c r="BA75" s="263" t="n"/>
      <c r="BC75" s="31">
        <f>IF(Planning!B68="","",Planning!B68)</f>
        <v/>
      </c>
      <c r="BD75" s="105" t="n"/>
      <c r="BE75" s="885">
        <f>Planning!E68</f>
        <v/>
      </c>
      <c r="BF75" s="885">
        <f>Planning!F68</f>
        <v/>
      </c>
      <c r="BG75" s="886" t="n"/>
      <c r="BH75" s="105" t="n"/>
      <c r="BI75" s="885">
        <f>Planning!I68</f>
        <v/>
      </c>
      <c r="BJ75" s="885">
        <f>Planning!J68</f>
        <v/>
      </c>
      <c r="BK75" s="886" t="n"/>
      <c r="BL75" s="105" t="n"/>
      <c r="BM75" s="885">
        <f>Planning!M68</f>
        <v/>
      </c>
      <c r="BN75" s="885">
        <f>Planning!N68</f>
        <v/>
      </c>
      <c r="BO75" s="886" t="n"/>
      <c r="BP75" s="105" t="n"/>
      <c r="BQ75" s="885">
        <f>Planning!Q68</f>
        <v/>
      </c>
      <c r="BR75" s="885">
        <f>Planning!R68</f>
        <v/>
      </c>
      <c r="BS75" s="886" t="n"/>
      <c r="BT75" s="105" t="n"/>
      <c r="BU75" s="885">
        <f>Planning!U68</f>
        <v/>
      </c>
      <c r="BV75" s="885">
        <f>Planning!V68</f>
        <v/>
      </c>
      <c r="BW75" s="886" t="n"/>
      <c r="BX75" s="105" t="n"/>
      <c r="BY75" s="885">
        <f>Planning!Y68</f>
        <v/>
      </c>
      <c r="BZ75" s="885">
        <f>Planning!Z68</f>
        <v/>
      </c>
      <c r="CA75" s="886" t="n"/>
      <c r="CB75" s="105" t="n"/>
      <c r="CC75" s="885">
        <f>Planning!AC68</f>
        <v/>
      </c>
      <c r="CD75" s="885">
        <f>Planning!AD68</f>
        <v/>
      </c>
      <c r="CE75" s="886" t="n"/>
      <c r="CF75" s="105" t="n"/>
      <c r="CG75" s="887">
        <f>Planning!AG68</f>
        <v/>
      </c>
      <c r="CH75" s="105" t="n"/>
      <c r="CI75" s="252">
        <f>IF(BC75="","",Planning!AI68)</f>
        <v/>
      </c>
      <c r="CJ75" s="252">
        <f>IF(BC75="","",Planning!AJ68)</f>
        <v/>
      </c>
      <c r="CK75" s="252">
        <f>IF(BC75="","",Planning!AK68)</f>
        <v/>
      </c>
      <c r="CL75" s="252">
        <f>IF(BC75="","",Planning!AH68)</f>
        <v/>
      </c>
      <c r="CM75" s="21" t="n"/>
    </row>
    <row r="76" ht="13.5" customHeight="1">
      <c r="A76" s="159" t="n"/>
      <c r="B76" s="440">
        <f>IFERROR(IF(COUNTIF(Instellingen!$O$40:$O$47,"")&gt;6,"",VLOOKUP(SMALL(Instellingen!$O$40:$O$47,2),Instellingen!$O$40:$T$47,6,FALSE)),"")</f>
        <v/>
      </c>
      <c r="C76" s="902">
        <f>IFERROR(IF(B76="","",VLOOKUP(B76,Instellingen!$B$40:$H$47,7,FALSE)),"")</f>
        <v/>
      </c>
      <c r="D76" s="866" t="n"/>
      <c r="H76" s="900" t="inlineStr">
        <is>
          <t>Restant/Telproces</t>
        </is>
      </c>
      <c r="I76" s="883" t="n"/>
      <c r="J76" s="883" t="n"/>
      <c r="K76" s="883" t="n"/>
      <c r="L76" s="883" t="n"/>
      <c r="M76" s="883" t="n"/>
      <c r="N76" s="883" t="n"/>
      <c r="O76" s="883" t="n"/>
      <c r="P76" s="883" t="n"/>
      <c r="Q76" s="884" t="n"/>
      <c r="R76" s="673" t="inlineStr">
        <is>
          <t>ver - Vernietigen/Reststoffen</t>
        </is>
      </c>
      <c r="S76" s="264" t="n"/>
      <c r="T76" s="264" t="n"/>
      <c r="U76" s="264" t="n"/>
      <c r="V76" s="264" t="n"/>
      <c r="W76" s="264" t="n"/>
      <c r="X76" s="264" t="n"/>
      <c r="Y76" s="264" t="n"/>
      <c r="Z76" s="675">
        <f>BA40</f>
        <v/>
      </c>
      <c r="AA76" s="264" t="n"/>
      <c r="AB76" s="907">
        <f>IF(Instellingen!I7="ja","pup - Pick-Up-Point","")</f>
        <v/>
      </c>
      <c r="AC76" s="264" t="n"/>
      <c r="AD76" s="264" t="n"/>
      <c r="AE76" s="264" t="n"/>
      <c r="AF76" s="264" t="n"/>
      <c r="AG76" s="264" t="n"/>
      <c r="AH76" s="264" t="n"/>
      <c r="AI76" s="866" t="n"/>
      <c r="AJ76" s="901">
        <f>IF(Instellingen!I7="ja",BA57,"")</f>
        <v/>
      </c>
      <c r="AK76" s="866" t="n"/>
      <c r="AL76" s="47" t="n"/>
      <c r="AM76" s="47" t="n"/>
      <c r="AN76" s="47" t="n"/>
      <c r="AO76" s="47" t="n"/>
      <c r="AP76" s="47" t="n"/>
      <c r="AQ76" s="501" t="n"/>
      <c r="AR76" s="501" t="n"/>
      <c r="AS76" s="501" t="n"/>
      <c r="AT76" s="501" t="n"/>
      <c r="AU76" s="501" t="n"/>
      <c r="AV76" s="504" t="n"/>
      <c r="AW76" s="502" t="n"/>
      <c r="AX76" s="505" t="n"/>
      <c r="AY76" s="263" t="n"/>
      <c r="AZ76" s="501" t="n"/>
      <c r="BA76" s="263" t="n"/>
      <c r="BC76" s="31">
        <f>IF(Planning!B69="","",Planning!B69)</f>
        <v/>
      </c>
      <c r="BD76" s="105" t="n"/>
      <c r="BE76" s="885">
        <f>Planning!E69</f>
        <v/>
      </c>
      <c r="BF76" s="885">
        <f>Planning!F69</f>
        <v/>
      </c>
      <c r="BG76" s="886" t="n"/>
      <c r="BH76" s="105" t="n"/>
      <c r="BI76" s="885">
        <f>Planning!I69</f>
        <v/>
      </c>
      <c r="BJ76" s="885">
        <f>Planning!J69</f>
        <v/>
      </c>
      <c r="BK76" s="886" t="n"/>
      <c r="BL76" s="105" t="n"/>
      <c r="BM76" s="885">
        <f>Planning!M69</f>
        <v/>
      </c>
      <c r="BN76" s="885">
        <f>Planning!N69</f>
        <v/>
      </c>
      <c r="BO76" s="886" t="n"/>
      <c r="BP76" s="105" t="n"/>
      <c r="BQ76" s="885">
        <f>Planning!Q69</f>
        <v/>
      </c>
      <c r="BR76" s="885">
        <f>Planning!R69</f>
        <v/>
      </c>
      <c r="BS76" s="886" t="n"/>
      <c r="BT76" s="105" t="n"/>
      <c r="BU76" s="885">
        <f>Planning!U69</f>
        <v/>
      </c>
      <c r="BV76" s="885">
        <f>Planning!V69</f>
        <v/>
      </c>
      <c r="BW76" s="886" t="n"/>
      <c r="BX76" s="105" t="n"/>
      <c r="BY76" s="885">
        <f>Planning!Y69</f>
        <v/>
      </c>
      <c r="BZ76" s="885">
        <f>Planning!Z69</f>
        <v/>
      </c>
      <c r="CA76" s="886" t="n"/>
      <c r="CB76" s="105" t="n"/>
      <c r="CC76" s="885">
        <f>Planning!AC69</f>
        <v/>
      </c>
      <c r="CD76" s="885">
        <f>Planning!AD69</f>
        <v/>
      </c>
      <c r="CE76" s="886" t="n"/>
      <c r="CF76" s="105" t="n"/>
      <c r="CG76" s="887">
        <f>Planning!AG69</f>
        <v/>
      </c>
      <c r="CH76" s="105" t="n"/>
      <c r="CI76" s="252">
        <f>IF(BC76="","",Planning!AI69)</f>
        <v/>
      </c>
      <c r="CJ76" s="252">
        <f>IF(BC76="","",Planning!AJ69)</f>
        <v/>
      </c>
      <c r="CK76" s="252">
        <f>IF(BC76="","",Planning!AK69)</f>
        <v/>
      </c>
      <c r="CL76" s="252">
        <f>IF(BC76="","",Planning!AH69)</f>
        <v/>
      </c>
      <c r="CM76" s="21" t="n"/>
    </row>
    <row r="77" ht="13.5" customHeight="1">
      <c r="A77" s="159" t="n"/>
      <c r="B77" s="440">
        <f>IFERROR(IF(COUNTIF(Instellingen!$O$40:$O$47,"")&gt;5,"",VLOOKUP(SMALL(Instellingen!$O$40:$O$47,3),Instellingen!$O$40:$T$47,6,FALSE)),"")</f>
        <v/>
      </c>
      <c r="C77" s="902">
        <f>IFERROR(IF(B77="","",VLOOKUP(B77,Instellingen!$B$40:$H$47,7,FALSE)),"")</f>
        <v/>
      </c>
      <c r="D77" s="866" t="n"/>
      <c r="H77" s="673" t="inlineStr">
        <is>
          <t>br - Bepalen restant</t>
        </is>
      </c>
      <c r="I77" s="264" t="n"/>
      <c r="J77" s="264" t="n"/>
      <c r="K77" s="264" t="n"/>
      <c r="L77" s="264" t="n"/>
      <c r="M77" s="264" t="n"/>
      <c r="N77" s="264" t="n"/>
      <c r="O77" s="264" t="n"/>
      <c r="P77" s="901">
        <f>BA24</f>
        <v/>
      </c>
      <c r="Q77" s="866" t="n"/>
      <c r="R77" s="687" t="inlineStr">
        <is>
          <t>Promo/Presentatie</t>
        </is>
      </c>
      <c r="S77" s="883" t="n"/>
      <c r="T77" s="883" t="n"/>
      <c r="U77" s="883" t="n"/>
      <c r="V77" s="883" t="n"/>
      <c r="W77" s="883" t="n"/>
      <c r="X77" s="883" t="n"/>
      <c r="Y77" s="883" t="n"/>
      <c r="Z77" s="883" t="n"/>
      <c r="AA77" s="883" t="n"/>
      <c r="AB77" s="907">
        <f>IF(AY58="","",CONCATENATE(AY58," - ",AZ58))</f>
        <v/>
      </c>
      <c r="AC77" s="264" t="n"/>
      <c r="AD77" s="264" t="n"/>
      <c r="AE77" s="264" t="n"/>
      <c r="AF77" s="264" t="n"/>
      <c r="AG77" s="264" t="n"/>
      <c r="AH77" s="264" t="n"/>
      <c r="AI77" s="866" t="n"/>
      <c r="AJ77" s="901">
        <f>IF(AY58="","",BA58)</f>
        <v/>
      </c>
      <c r="AK77" s="866" t="n"/>
      <c r="AL77" s="47" t="n"/>
      <c r="AM77" s="47" t="n"/>
      <c r="AN77" s="47" t="n"/>
      <c r="AO77" s="47" t="n"/>
      <c r="AP77" s="47" t="n"/>
      <c r="AQ77" s="47" t="n"/>
      <c r="AR77" s="47" t="n"/>
      <c r="AS77" s="47" t="n"/>
      <c r="AT77" s="47" t="n"/>
      <c r="AU77" s="47" t="n"/>
      <c r="AV77" s="118" t="n"/>
      <c r="AW77" s="310" t="n"/>
      <c r="AX77" s="36" t="n"/>
      <c r="AY77" s="64" t="n"/>
      <c r="AZ77" s="838" t="n"/>
      <c r="BC77" s="31">
        <f>IF(Planning!B70="","",Planning!B70)</f>
        <v/>
      </c>
      <c r="BD77" s="105" t="n"/>
      <c r="BE77" s="885">
        <f>Planning!E70</f>
        <v/>
      </c>
      <c r="BF77" s="885">
        <f>Planning!F70</f>
        <v/>
      </c>
      <c r="BG77" s="886" t="n"/>
      <c r="BH77" s="105" t="n"/>
      <c r="BI77" s="885">
        <f>Planning!I70</f>
        <v/>
      </c>
      <c r="BJ77" s="885">
        <f>Planning!J70</f>
        <v/>
      </c>
      <c r="BK77" s="886" t="n"/>
      <c r="BL77" s="105" t="n"/>
      <c r="BM77" s="885">
        <f>Planning!M70</f>
        <v/>
      </c>
      <c r="BN77" s="885">
        <f>Planning!N70</f>
        <v/>
      </c>
      <c r="BO77" s="886" t="n"/>
      <c r="BP77" s="105" t="n"/>
      <c r="BQ77" s="885">
        <f>Planning!Q70</f>
        <v/>
      </c>
      <c r="BR77" s="885">
        <f>Planning!R70</f>
        <v/>
      </c>
      <c r="BS77" s="886" t="n"/>
      <c r="BT77" s="105" t="n"/>
      <c r="BU77" s="885">
        <f>Planning!U70</f>
        <v/>
      </c>
      <c r="BV77" s="885">
        <f>Planning!V70</f>
        <v/>
      </c>
      <c r="BW77" s="886" t="n"/>
      <c r="BX77" s="105" t="n"/>
      <c r="BY77" s="885">
        <f>Planning!Y70</f>
        <v/>
      </c>
      <c r="BZ77" s="885">
        <f>Planning!Z70</f>
        <v/>
      </c>
      <c r="CA77" s="886" t="n"/>
      <c r="CB77" s="105" t="n"/>
      <c r="CC77" s="885">
        <f>Planning!AC70</f>
        <v/>
      </c>
      <c r="CD77" s="885">
        <f>Planning!AD70</f>
        <v/>
      </c>
      <c r="CE77" s="886" t="n"/>
      <c r="CF77" s="105" t="n"/>
      <c r="CG77" s="887">
        <f>Planning!AG70</f>
        <v/>
      </c>
      <c r="CH77" s="105" t="n"/>
      <c r="CI77" s="252">
        <f>IF(BC77="","",Planning!AI70)</f>
        <v/>
      </c>
      <c r="CJ77" s="252">
        <f>IF(BC77="","",Planning!AJ70)</f>
        <v/>
      </c>
      <c r="CK77" s="252">
        <f>IF(BC77="","",Planning!AK70)</f>
        <v/>
      </c>
      <c r="CL77" s="252">
        <f>IF(BC77="","",Planning!AH70)</f>
        <v/>
      </c>
      <c r="CM77" s="21" t="n"/>
    </row>
    <row r="78" ht="13.5" customHeight="1">
      <c r="A78" s="159" t="n"/>
      <c r="B78" s="440">
        <f>IFERROR(IF(COUNTIF(Instellingen!$O$40:$O$47,"")&gt;4,"",VLOOKUP(SMALL(Instellingen!$O$40:$O$47,4),Instellingen!$O$40:$T$47,6,FALSE)),"")</f>
        <v/>
      </c>
      <c r="C78" s="902">
        <f>IFERROR(IF(B78="","",VLOOKUP(B78,Instellingen!$B$40:$H$47,7,FALSE)),"")</f>
        <v/>
      </c>
      <c r="D78" s="866" t="n"/>
      <c r="H78" s="673" t="inlineStr">
        <is>
          <t>bl - Bepalen langrestant</t>
        </is>
      </c>
      <c r="I78" s="264" t="n"/>
      <c r="J78" s="264" t="n"/>
      <c r="K78" s="264" t="n"/>
      <c r="L78" s="264" t="n"/>
      <c r="M78" s="264" t="n"/>
      <c r="N78" s="264" t="n"/>
      <c r="O78" s="264" t="n"/>
      <c r="P78" s="901">
        <f>BA25</f>
        <v/>
      </c>
      <c r="Q78" s="866" t="n"/>
      <c r="R78" s="673" t="inlineStr">
        <is>
          <t>act - Actieopbouw</t>
        </is>
      </c>
      <c r="S78" s="264" t="n"/>
      <c r="T78" s="264" t="n"/>
      <c r="U78" s="264" t="n"/>
      <c r="V78" s="264" t="n"/>
      <c r="W78" s="264" t="n"/>
      <c r="X78" s="264" t="n"/>
      <c r="Y78" s="264" t="n"/>
      <c r="Z78" s="675">
        <f>BA42</f>
        <v/>
      </c>
      <c r="AA78" s="264" t="n"/>
      <c r="AB78" s="907">
        <f>IF(AY59="","",CONCATENATE(AY59," - ",AZ59))</f>
        <v/>
      </c>
      <c r="AC78" s="264" t="n"/>
      <c r="AD78" s="264" t="n"/>
      <c r="AE78" s="264" t="n"/>
      <c r="AF78" s="264" t="n"/>
      <c r="AG78" s="264" t="n"/>
      <c r="AH78" s="264" t="n"/>
      <c r="AI78" s="866" t="n"/>
      <c r="AJ78" s="901">
        <f>IF(AY59="","",BA59)</f>
        <v/>
      </c>
      <c r="AK78" s="866" t="n"/>
      <c r="AL78" s="47" t="n"/>
      <c r="AM78" s="47" t="n"/>
      <c r="AN78" s="47" t="n"/>
      <c r="AO78" s="47" t="n"/>
      <c r="AP78" s="47" t="n"/>
      <c r="AQ78" s="47" t="n"/>
      <c r="AR78" s="47" t="n"/>
      <c r="AS78" s="47" t="n"/>
      <c r="AT78" s="47" t="n"/>
      <c r="AU78" s="47" t="n"/>
      <c r="AV78" s="118" t="n"/>
      <c r="AW78" s="310" t="n"/>
      <c r="AX78" s="36" t="n"/>
      <c r="AY78" s="64" t="n"/>
      <c r="AZ78" s="838" t="n"/>
      <c r="BC78" s="31">
        <f>IF(Planning!B71="","",Planning!B71)</f>
        <v/>
      </c>
      <c r="BD78" s="105" t="n"/>
      <c r="BE78" s="885">
        <f>Planning!E71</f>
        <v/>
      </c>
      <c r="BF78" s="885">
        <f>Planning!F71</f>
        <v/>
      </c>
      <c r="BG78" s="886" t="n"/>
      <c r="BH78" s="105" t="n"/>
      <c r="BI78" s="885">
        <f>Planning!I71</f>
        <v/>
      </c>
      <c r="BJ78" s="885">
        <f>Planning!J71</f>
        <v/>
      </c>
      <c r="BK78" s="886" t="n"/>
      <c r="BL78" s="105" t="n"/>
      <c r="BM78" s="885">
        <f>Planning!M71</f>
        <v/>
      </c>
      <c r="BN78" s="885">
        <f>Planning!N71</f>
        <v/>
      </c>
      <c r="BO78" s="886" t="n"/>
      <c r="BP78" s="105" t="n"/>
      <c r="BQ78" s="885">
        <f>Planning!Q71</f>
        <v/>
      </c>
      <c r="BR78" s="885">
        <f>Planning!R71</f>
        <v/>
      </c>
      <c r="BS78" s="886" t="n"/>
      <c r="BT78" s="105" t="n"/>
      <c r="BU78" s="885">
        <f>Planning!U71</f>
        <v/>
      </c>
      <c r="BV78" s="885">
        <f>Planning!V71</f>
        <v/>
      </c>
      <c r="BW78" s="886" t="n"/>
      <c r="BX78" s="105" t="n"/>
      <c r="BY78" s="885">
        <f>Planning!Y71</f>
        <v/>
      </c>
      <c r="BZ78" s="885">
        <f>Planning!Z71</f>
        <v/>
      </c>
      <c r="CA78" s="886" t="n"/>
      <c r="CB78" s="105" t="n"/>
      <c r="CC78" s="885">
        <f>Planning!AC71</f>
        <v/>
      </c>
      <c r="CD78" s="885">
        <f>Planning!AD71</f>
        <v/>
      </c>
      <c r="CE78" s="886" t="n"/>
      <c r="CF78" s="105" t="n"/>
      <c r="CG78" s="887">
        <f>Planning!AG71</f>
        <v/>
      </c>
      <c r="CH78" s="105" t="n"/>
      <c r="CI78" s="252">
        <f>IF(BC78="","",Planning!AI71)</f>
        <v/>
      </c>
      <c r="CJ78" s="252">
        <f>IF(BC78="","",Planning!AJ71)</f>
        <v/>
      </c>
      <c r="CK78" s="252">
        <f>IF(BC78="","",Planning!AK71)</f>
        <v/>
      </c>
      <c r="CL78" s="252">
        <f>IF(BC78="","",Planning!AH71)</f>
        <v/>
      </c>
      <c r="CM78" s="21" t="n"/>
    </row>
    <row r="79" ht="13.5" customHeight="1">
      <c r="A79" s="159" t="n"/>
      <c r="B79" s="440">
        <f>IFERROR(IF(COUNTIF(Instellingen!$O$40:$O$47,"")&gt;3,"",VLOOKUP(SMALL(Instellingen!$O$40:$O$47,5),Instellingen!$O$40:$T$47,6,FALSE)),"")</f>
        <v/>
      </c>
      <c r="C79" s="902">
        <f>IFERROR(IF(B79="","",VLOOKUP(B79,Instellingen!$B$40:$H$47,7,FALSE)),"")</f>
        <v/>
      </c>
      <c r="D79" s="866" t="n"/>
      <c r="H79" s="673" t="inlineStr">
        <is>
          <t>hl - Hardlopers vullen</t>
        </is>
      </c>
      <c r="I79" s="264" t="n"/>
      <c r="J79" s="264" t="n"/>
      <c r="K79" s="264" t="n"/>
      <c r="L79" s="264" t="n"/>
      <c r="M79" s="264" t="n"/>
      <c r="N79" s="264" t="n"/>
      <c r="O79" s="264" t="n"/>
      <c r="P79" s="901">
        <f>BA26</f>
        <v/>
      </c>
      <c r="Q79" s="866" t="n"/>
      <c r="R79" s="673" t="inlineStr">
        <is>
          <t>com - Comco sorteren</t>
        </is>
      </c>
      <c r="S79" s="264" t="n"/>
      <c r="T79" s="264" t="n"/>
      <c r="U79" s="264" t="n"/>
      <c r="V79" s="264" t="n"/>
      <c r="W79" s="264" t="n"/>
      <c r="X79" s="264" t="n"/>
      <c r="Y79" s="264" t="n"/>
      <c r="Z79" s="675">
        <f>BA43</f>
        <v/>
      </c>
      <c r="AA79" s="264" t="n"/>
      <c r="AB79" s="907">
        <f>IF(AY60="","",CONCATENATE(AY60," - ",AZ60))</f>
        <v/>
      </c>
      <c r="AC79" s="264" t="n"/>
      <c r="AD79" s="264" t="n"/>
      <c r="AE79" s="264" t="n"/>
      <c r="AF79" s="264" t="n"/>
      <c r="AG79" s="264" t="n"/>
      <c r="AH79" s="264" t="n"/>
      <c r="AI79" s="866" t="n"/>
      <c r="AJ79" s="901">
        <f>IF(AY60="","",BA60)</f>
        <v/>
      </c>
      <c r="AK79" s="866" t="n"/>
      <c r="AL79" s="47" t="n"/>
      <c r="AM79" s="47" t="n"/>
      <c r="AN79" s="47" t="n"/>
      <c r="AO79" s="47" t="n"/>
      <c r="AP79" s="47" t="n"/>
      <c r="AQ79" s="47" t="n"/>
      <c r="AR79" s="47" t="n"/>
      <c r="AS79" s="47" t="n"/>
      <c r="AT79" s="47" t="n"/>
      <c r="AU79" s="47" t="n"/>
      <c r="AV79" s="118" t="n"/>
      <c r="AW79" s="310" t="n"/>
      <c r="AX79" s="36" t="n"/>
      <c r="AY79" s="64" t="n"/>
      <c r="AZ79" s="838" t="n"/>
      <c r="BC79" s="31">
        <f>IF(Planning!B72="","",Planning!B72)</f>
        <v/>
      </c>
      <c r="BD79" s="105" t="n"/>
      <c r="BE79" s="885">
        <f>Planning!E72</f>
        <v/>
      </c>
      <c r="BF79" s="885">
        <f>Planning!F72</f>
        <v/>
      </c>
      <c r="BG79" s="886" t="n"/>
      <c r="BH79" s="105" t="n"/>
      <c r="BI79" s="885">
        <f>Planning!I72</f>
        <v/>
      </c>
      <c r="BJ79" s="885">
        <f>Planning!J72</f>
        <v/>
      </c>
      <c r="BK79" s="886" t="n"/>
      <c r="BL79" s="105" t="n"/>
      <c r="BM79" s="885">
        <f>Planning!M72</f>
        <v/>
      </c>
      <c r="BN79" s="885">
        <f>Planning!N72</f>
        <v/>
      </c>
      <c r="BO79" s="886" t="n"/>
      <c r="BP79" s="105" t="n"/>
      <c r="BQ79" s="885">
        <f>Planning!Q72</f>
        <v/>
      </c>
      <c r="BR79" s="885">
        <f>Planning!R72</f>
        <v/>
      </c>
      <c r="BS79" s="886" t="n"/>
      <c r="BT79" s="105" t="n"/>
      <c r="BU79" s="885">
        <f>Planning!U72</f>
        <v/>
      </c>
      <c r="BV79" s="885">
        <f>Planning!V72</f>
        <v/>
      </c>
      <c r="BW79" s="886" t="n"/>
      <c r="BX79" s="105" t="n"/>
      <c r="BY79" s="885">
        <f>Planning!Y72</f>
        <v/>
      </c>
      <c r="BZ79" s="885">
        <f>Planning!Z72</f>
        <v/>
      </c>
      <c r="CA79" s="886" t="n"/>
      <c r="CB79" s="105" t="n"/>
      <c r="CC79" s="885">
        <f>Planning!AC72</f>
        <v/>
      </c>
      <c r="CD79" s="885">
        <f>Planning!AD72</f>
        <v/>
      </c>
      <c r="CE79" s="886" t="n"/>
      <c r="CF79" s="105" t="n"/>
      <c r="CG79" s="887">
        <f>Planning!AG72</f>
        <v/>
      </c>
      <c r="CH79" s="105" t="n"/>
      <c r="CI79" s="252">
        <f>IF(BC79="","",Planning!AI72)</f>
        <v/>
      </c>
      <c r="CJ79" s="252">
        <f>IF(BC79="","",Planning!AJ72)</f>
        <v/>
      </c>
      <c r="CK79" s="252">
        <f>IF(BC79="","",Planning!AK72)</f>
        <v/>
      </c>
      <c r="CL79" s="252">
        <f>IF(BC79="","",Planning!AH72)</f>
        <v/>
      </c>
      <c r="CM79" s="21" t="n"/>
    </row>
    <row r="80" ht="13.5" customHeight="1">
      <c r="A80" s="159" t="n"/>
      <c r="B80" s="251">
        <f>IFERROR(IF(COUNTIF(Instellingen!$O$40:$O$47,"")&gt;2,"",VLOOKUP(SMALL(Instellingen!$O$40:$O$47,6),Instellingen!$O$40:$T$47,6,FALSE)),"")</f>
        <v/>
      </c>
      <c r="C80" s="902">
        <f>IFERROR(IF(B80="","",VLOOKUP(B80,Instellingen!$B$40:$H$47,7,FALSE)),"")</f>
        <v/>
      </c>
      <c r="D80" s="866" t="n"/>
      <c r="H80" s="673" t="inlineStr">
        <is>
          <t>lhb - Neeverkoop HB</t>
        </is>
      </c>
      <c r="I80" s="264" t="n"/>
      <c r="J80" s="264" t="n"/>
      <c r="K80" s="264" t="n"/>
      <c r="L80" s="264" t="n"/>
      <c r="M80" s="264" t="n"/>
      <c r="N80" s="264" t="n"/>
      <c r="O80" s="264" t="n"/>
      <c r="P80" s="901">
        <f>BA27</f>
        <v/>
      </c>
      <c r="Q80" s="866" t="n"/>
      <c r="R80" s="673" t="inlineStr">
        <is>
          <t>pro - Promotie</t>
        </is>
      </c>
      <c r="S80" s="264" t="n"/>
      <c r="T80" s="264" t="n"/>
      <c r="U80" s="264" t="n"/>
      <c r="V80" s="264" t="n"/>
      <c r="W80" s="264" t="n"/>
      <c r="X80" s="264" t="n"/>
      <c r="Y80" s="264" t="n"/>
      <c r="Z80" s="675">
        <f>BA44</f>
        <v/>
      </c>
      <c r="AA80" s="264" t="n"/>
      <c r="AB80" s="909">
        <f>IF(BA61=0,"","Taken zonder legenda")</f>
        <v/>
      </c>
      <c r="AC80" s="264" t="n"/>
      <c r="AD80" s="264" t="n"/>
      <c r="AE80" s="264" t="n"/>
      <c r="AF80" s="264" t="n"/>
      <c r="AG80" s="264" t="n"/>
      <c r="AH80" s="264" t="n"/>
      <c r="AI80" s="866" t="n"/>
      <c r="AJ80" s="910">
        <f>IF(BA61=0,"",BA61)</f>
        <v/>
      </c>
      <c r="AK80" s="866" t="n"/>
      <c r="AL80" s="47" t="n"/>
      <c r="AM80" s="47" t="n"/>
      <c r="AN80" s="47" t="n"/>
      <c r="AO80" s="47" t="n"/>
      <c r="AP80" s="47" t="n"/>
      <c r="AQ80" s="47" t="n"/>
      <c r="AR80" s="47" t="n"/>
      <c r="AS80" s="47" t="n"/>
      <c r="AT80" s="47" t="n"/>
      <c r="AU80" s="47" t="n"/>
      <c r="AV80" s="118" t="n"/>
      <c r="AW80" s="310" t="n"/>
      <c r="AX80" s="36" t="n"/>
      <c r="AY80" s="64" t="n"/>
      <c r="AZ80" s="838" t="n"/>
      <c r="BC80" s="31">
        <f>IF(Planning!B73="","",Planning!B73)</f>
        <v/>
      </c>
      <c r="BD80" s="105" t="n"/>
      <c r="BE80" s="885">
        <f>Planning!E73</f>
        <v/>
      </c>
      <c r="BF80" s="885">
        <f>Planning!F73</f>
        <v/>
      </c>
      <c r="BG80" s="886" t="n"/>
      <c r="BH80" s="105" t="n"/>
      <c r="BI80" s="885">
        <f>Planning!I73</f>
        <v/>
      </c>
      <c r="BJ80" s="885">
        <f>Planning!J73</f>
        <v/>
      </c>
      <c r="BK80" s="886" t="n"/>
      <c r="BL80" s="105" t="n"/>
      <c r="BM80" s="885">
        <f>Planning!M73</f>
        <v/>
      </c>
      <c r="BN80" s="885">
        <f>Planning!N73</f>
        <v/>
      </c>
      <c r="BO80" s="886" t="n"/>
      <c r="BP80" s="105" t="n"/>
      <c r="BQ80" s="885">
        <f>Planning!Q73</f>
        <v/>
      </c>
      <c r="BR80" s="885">
        <f>Planning!R73</f>
        <v/>
      </c>
      <c r="BS80" s="886" t="n"/>
      <c r="BT80" s="105" t="n"/>
      <c r="BU80" s="885">
        <f>Planning!U73</f>
        <v/>
      </c>
      <c r="BV80" s="885">
        <f>Planning!V73</f>
        <v/>
      </c>
      <c r="BW80" s="886" t="n"/>
      <c r="BX80" s="105" t="n"/>
      <c r="BY80" s="885">
        <f>Planning!Y73</f>
        <v/>
      </c>
      <c r="BZ80" s="885">
        <f>Planning!Z73</f>
        <v/>
      </c>
      <c r="CA80" s="886" t="n"/>
      <c r="CB80" s="105" t="n"/>
      <c r="CC80" s="885">
        <f>Planning!AC73</f>
        <v/>
      </c>
      <c r="CD80" s="885">
        <f>Planning!AD73</f>
        <v/>
      </c>
      <c r="CE80" s="886" t="n"/>
      <c r="CF80" s="105" t="n"/>
      <c r="CG80" s="887">
        <f>Planning!AG73</f>
        <v/>
      </c>
      <c r="CH80" s="105" t="n"/>
      <c r="CI80" s="252">
        <f>IF(BC80="","",Planning!AI73)</f>
        <v/>
      </c>
      <c r="CJ80" s="252">
        <f>IF(BC80="","",Planning!AJ73)</f>
        <v/>
      </c>
      <c r="CK80" s="252">
        <f>IF(BC80="","",Planning!AK73)</f>
        <v/>
      </c>
      <c r="CL80" s="252">
        <f>IF(BC80="","",Planning!AH73)</f>
        <v/>
      </c>
      <c r="CM80" s="21" t="n"/>
    </row>
    <row r="81" ht="13.5" customHeight="1">
      <c r="A81" s="159" t="n"/>
      <c r="B81" s="440">
        <f>IFERROR(IF(COUNTIF(Instellingen!$O$40:$O$47,"")&gt;1,"",VLOOKUP(SMALL(Instellingen!$O$40:$O$47,7),Instellingen!$O$40:$T$47,6,FALSE)),"")</f>
        <v/>
      </c>
      <c r="C81" s="902">
        <f>IFERROR(IF(B81="","",VLOOKUP(B81,Instellingen!$B$40:$H$47,7,FALSE)),"")</f>
        <v/>
      </c>
      <c r="D81" s="866" t="n"/>
      <c r="H81" s="673" t="inlineStr">
        <is>
          <t>ldv - Neeverkoop DV</t>
        </is>
      </c>
      <c r="I81" s="264" t="n"/>
      <c r="J81" s="264" t="n"/>
      <c r="K81" s="264" t="n"/>
      <c r="L81" s="264" t="n"/>
      <c r="M81" s="264" t="n"/>
      <c r="N81" s="264" t="n"/>
      <c r="O81" s="264" t="n"/>
      <c r="P81" s="901">
        <f>BA28</f>
        <v/>
      </c>
      <c r="Q81" s="866" t="n"/>
      <c r="R81" s="673" t="inlineStr">
        <is>
          <t>pw - Prijswijzigingen</t>
        </is>
      </c>
      <c r="S81" s="264" t="n"/>
      <c r="T81" s="264" t="n"/>
      <c r="U81" s="264" t="n"/>
      <c r="V81" s="264" t="n"/>
      <c r="W81" s="264" t="n"/>
      <c r="X81" s="264" t="n"/>
      <c r="Y81" s="264" t="n"/>
      <c r="Z81" s="675">
        <f>BA45</f>
        <v/>
      </c>
      <c r="AA81" s="264" t="n"/>
      <c r="AB81" s="911" t="inlineStr">
        <is>
          <t>p - Pauze (onbetaald)</t>
        </is>
      </c>
      <c r="AC81" s="264" t="n"/>
      <c r="AD81" s="264" t="n"/>
      <c r="AE81" s="264" t="n"/>
      <c r="AF81" s="264" t="n"/>
      <c r="AG81" s="264" t="n"/>
      <c r="AH81" s="264" t="n"/>
      <c r="AI81" s="866" t="n"/>
      <c r="AJ81" s="912">
        <f>BA62</f>
        <v/>
      </c>
      <c r="AK81" s="866" t="n"/>
      <c r="AL81" s="47" t="n"/>
      <c r="AM81" s="47" t="n"/>
      <c r="AN81" s="47" t="n"/>
      <c r="AO81" s="47" t="n"/>
      <c r="AP81" s="47" t="n"/>
      <c r="AQ81" s="47" t="n"/>
      <c r="AR81" s="47" t="n"/>
      <c r="AS81" s="47" t="n"/>
      <c r="AT81" s="47" t="n"/>
      <c r="AU81" s="47" t="n"/>
      <c r="AV81" s="118" t="n"/>
      <c r="AW81" s="310" t="n"/>
      <c r="AX81" s="36" t="n"/>
      <c r="AY81" s="64" t="n"/>
      <c r="AZ81" s="838" t="n"/>
      <c r="BC81" s="31">
        <f>IF(Planning!B74="","",Planning!B74)</f>
        <v/>
      </c>
      <c r="BD81" s="105" t="n"/>
      <c r="BE81" s="885">
        <f>Planning!E74</f>
        <v/>
      </c>
      <c r="BF81" s="885">
        <f>Planning!F74</f>
        <v/>
      </c>
      <c r="BG81" s="886" t="n"/>
      <c r="BH81" s="105" t="n"/>
      <c r="BI81" s="885">
        <f>Planning!I74</f>
        <v/>
      </c>
      <c r="BJ81" s="885">
        <f>Planning!J74</f>
        <v/>
      </c>
      <c r="BK81" s="886" t="n"/>
      <c r="BL81" s="105" t="n"/>
      <c r="BM81" s="885">
        <f>Planning!M74</f>
        <v/>
      </c>
      <c r="BN81" s="885">
        <f>Planning!N74</f>
        <v/>
      </c>
      <c r="BO81" s="886" t="n"/>
      <c r="BP81" s="105" t="n"/>
      <c r="BQ81" s="885">
        <f>Planning!Q74</f>
        <v/>
      </c>
      <c r="BR81" s="885">
        <f>Planning!R74</f>
        <v/>
      </c>
      <c r="BS81" s="886" t="n"/>
      <c r="BT81" s="105" t="n"/>
      <c r="BU81" s="885">
        <f>Planning!U74</f>
        <v/>
      </c>
      <c r="BV81" s="885">
        <f>Planning!V74</f>
        <v/>
      </c>
      <c r="BW81" s="886" t="n"/>
      <c r="BX81" s="105" t="n"/>
      <c r="BY81" s="885">
        <f>Planning!Y74</f>
        <v/>
      </c>
      <c r="BZ81" s="885">
        <f>Planning!Z74</f>
        <v/>
      </c>
      <c r="CA81" s="886" t="n"/>
      <c r="CB81" s="105" t="n"/>
      <c r="CC81" s="885">
        <f>Planning!AC74</f>
        <v/>
      </c>
      <c r="CD81" s="885">
        <f>Planning!AD74</f>
        <v/>
      </c>
      <c r="CE81" s="886" t="n"/>
      <c r="CF81" s="105" t="n"/>
      <c r="CG81" s="887">
        <f>Planning!AG74</f>
        <v/>
      </c>
      <c r="CH81" s="105" t="n"/>
      <c r="CI81" s="252">
        <f>IF(BC81="","",Planning!AI74)</f>
        <v/>
      </c>
      <c r="CJ81" s="252">
        <f>IF(BC81="","",Planning!AJ74)</f>
        <v/>
      </c>
      <c r="CK81" s="252">
        <f>IF(BC81="","",Planning!AK74)</f>
        <v/>
      </c>
      <c r="CL81" s="252">
        <f>IF(BC81="","",Planning!AH74)</f>
        <v/>
      </c>
      <c r="CM81" s="21" t="n"/>
    </row>
    <row r="82" ht="13.5" customHeight="1">
      <c r="A82" s="159" t="n"/>
      <c r="B82" s="441">
        <f>IFERROR(IF(COUNTIF(Instellingen!$O$40:$O$47,"")&gt;0,"",VLOOKUP(SMALL(Instellingen!$O$40:$O$47,8),Instellingen!$O$40:$T$47,6,FALSE)),"")</f>
        <v/>
      </c>
      <c r="C82" s="908">
        <f>IFERROR(IF(B82="","",VLOOKUP(B82,Instellingen!$B$40:$H$47,7,FALSE)),"")</f>
        <v/>
      </c>
      <c r="D82" s="869" t="n"/>
      <c r="H82" s="661" t="inlineStr">
        <is>
          <t>lvv - Neeverkoop Vers</t>
        </is>
      </c>
      <c r="I82" s="906" t="n"/>
      <c r="J82" s="906" t="n"/>
      <c r="K82" s="906" t="n"/>
      <c r="L82" s="906" t="n"/>
      <c r="M82" s="906" t="n"/>
      <c r="N82" s="906" t="n"/>
      <c r="O82" s="906" t="n"/>
      <c r="P82" s="913">
        <f>BA29</f>
        <v/>
      </c>
      <c r="Q82" s="869" t="n"/>
      <c r="R82" s="661" t="inlineStr">
        <is>
          <t>wap - WAP uitvoeren</t>
        </is>
      </c>
      <c r="S82" s="906" t="n"/>
      <c r="T82" s="906" t="n"/>
      <c r="U82" s="906" t="n"/>
      <c r="V82" s="906" t="n"/>
      <c r="W82" s="906" t="n"/>
      <c r="X82" s="906" t="n"/>
      <c r="Y82" s="906" t="n"/>
      <c r="Z82" s="663">
        <f>BA46</f>
        <v/>
      </c>
      <c r="AA82" s="906" t="n"/>
      <c r="AB82" s="914" t="inlineStr">
        <is>
          <t>afw - Afwezig / ziek</t>
        </is>
      </c>
      <c r="AC82" s="906" t="n"/>
      <c r="AD82" s="906" t="n"/>
      <c r="AE82" s="906" t="n"/>
      <c r="AF82" s="906" t="n"/>
      <c r="AG82" s="906" t="n"/>
      <c r="AH82" s="906" t="n"/>
      <c r="AI82" s="869" t="n"/>
      <c r="AJ82" s="915">
        <f>BA63</f>
        <v/>
      </c>
      <c r="AK82" s="869" t="n"/>
      <c r="AL82" s="47" t="n"/>
      <c r="AM82" s="47" t="n"/>
      <c r="AN82" s="47" t="n"/>
      <c r="AO82" s="47" t="n"/>
      <c r="AP82" s="47" t="n"/>
      <c r="AQ82" s="47" t="n"/>
      <c r="AR82" s="47" t="n"/>
      <c r="AS82" s="47" t="n"/>
      <c r="AT82" s="47" t="n"/>
      <c r="AU82" s="47" t="n"/>
      <c r="AV82" s="118" t="n"/>
      <c r="AW82" s="310" t="n"/>
      <c r="AX82" s="36" t="n"/>
      <c r="AY82" s="64" t="n"/>
      <c r="AZ82" s="838" t="n"/>
      <c r="BC82" s="31">
        <f>IF(Planning!B75="","",Planning!B75)</f>
        <v/>
      </c>
      <c r="BD82" s="105" t="n"/>
      <c r="BE82" s="885">
        <f>Planning!E75</f>
        <v/>
      </c>
      <c r="BF82" s="885">
        <f>Planning!F75</f>
        <v/>
      </c>
      <c r="BG82" s="886" t="n"/>
      <c r="BH82" s="105" t="n"/>
      <c r="BI82" s="885">
        <f>Planning!I75</f>
        <v/>
      </c>
      <c r="BJ82" s="885">
        <f>Planning!J75</f>
        <v/>
      </c>
      <c r="BK82" s="886" t="n"/>
      <c r="BL82" s="105" t="n"/>
      <c r="BM82" s="885">
        <f>Planning!M75</f>
        <v/>
      </c>
      <c r="BN82" s="885">
        <f>Planning!N75</f>
        <v/>
      </c>
      <c r="BO82" s="886" t="n"/>
      <c r="BP82" s="105" t="n"/>
      <c r="BQ82" s="885">
        <f>Planning!Q75</f>
        <v/>
      </c>
      <c r="BR82" s="885">
        <f>Planning!R75</f>
        <v/>
      </c>
      <c r="BS82" s="886" t="n"/>
      <c r="BT82" s="105" t="n"/>
      <c r="BU82" s="885">
        <f>Planning!U75</f>
        <v/>
      </c>
      <c r="BV82" s="885">
        <f>Planning!V75</f>
        <v/>
      </c>
      <c r="BW82" s="886" t="n"/>
      <c r="BX82" s="105" t="n"/>
      <c r="BY82" s="885">
        <f>Planning!Y75</f>
        <v/>
      </c>
      <c r="BZ82" s="885">
        <f>Planning!Z75</f>
        <v/>
      </c>
      <c r="CA82" s="886" t="n"/>
      <c r="CB82" s="105" t="n"/>
      <c r="CC82" s="885">
        <f>Planning!AC75</f>
        <v/>
      </c>
      <c r="CD82" s="885">
        <f>Planning!AD75</f>
        <v/>
      </c>
      <c r="CE82" s="886" t="n"/>
      <c r="CF82" s="105" t="n"/>
      <c r="CG82" s="887">
        <f>Planning!AG75</f>
        <v/>
      </c>
      <c r="CH82" s="105" t="n"/>
      <c r="CI82" s="252">
        <f>IF(BC82="","",Planning!AI75)</f>
        <v/>
      </c>
      <c r="CJ82" s="252">
        <f>IF(BC82="","",Planning!AJ75)</f>
        <v/>
      </c>
      <c r="CK82" s="252">
        <f>IF(BC82="","",Planning!AK75)</f>
        <v/>
      </c>
      <c r="CL82" s="252">
        <f>IF(BC82="","",Planning!AH75)</f>
        <v/>
      </c>
      <c r="CM82" s="21" t="n"/>
    </row>
    <row r="83" ht="6" customHeight="1">
      <c r="A83" s="159" t="n"/>
      <c r="P83" s="310" t="n"/>
      <c r="Q83" s="310" t="n"/>
      <c r="W83" s="110" t="n"/>
      <c r="X83" s="109" t="n"/>
      <c r="Y83" s="109" t="n"/>
      <c r="Z83" s="109" t="n"/>
      <c r="AA83" s="109" t="n"/>
      <c r="AB83" s="109" t="n"/>
      <c r="AC83" s="109" t="n"/>
      <c r="AD83" s="109" t="n"/>
      <c r="AE83" s="109" t="n"/>
      <c r="AF83" s="109" t="n"/>
      <c r="AG83" s="109" t="n"/>
      <c r="AH83" s="47" t="n"/>
      <c r="AI83" s="47" t="n"/>
      <c r="AJ83" s="47" t="n"/>
      <c r="AK83" s="47" t="n"/>
      <c r="AL83" s="47" t="n"/>
      <c r="AM83" s="47" t="n"/>
      <c r="AN83" s="47" t="n"/>
      <c r="AO83" s="47" t="n"/>
      <c r="AP83" s="47" t="n"/>
      <c r="AQ83" s="47" t="n"/>
      <c r="AR83" s="47" t="n"/>
      <c r="AS83" s="47" t="n"/>
      <c r="AT83" s="47" t="n"/>
      <c r="AU83" s="47" t="n"/>
      <c r="AV83" s="118" t="n"/>
      <c r="AW83" s="310" t="n"/>
      <c r="AX83" s="36" t="n"/>
      <c r="AY83" s="64" t="n"/>
      <c r="AZ83" s="838" t="n"/>
      <c r="CM83" s="21" t="n"/>
    </row>
    <row r="84" ht="13.5" customHeight="1">
      <c r="A84" s="159" t="n"/>
      <c r="B84" s="916" t="inlineStr">
        <is>
          <t>Opmerkingen</t>
        </is>
      </c>
      <c r="C84" s="883" t="n"/>
      <c r="D84" s="883" t="n"/>
      <c r="E84" s="883" t="n"/>
      <c r="F84" s="883" t="n"/>
      <c r="G84" s="883" t="n"/>
      <c r="H84" s="883" t="n"/>
      <c r="I84" s="883" t="n"/>
      <c r="J84" s="883" t="n"/>
      <c r="K84" s="883" t="n"/>
      <c r="L84" s="883" t="n"/>
      <c r="M84" s="883" t="n"/>
      <c r="N84" s="883" t="n"/>
      <c r="O84" s="883" t="n"/>
      <c r="P84" s="883" t="n"/>
      <c r="Q84" s="883" t="n"/>
      <c r="R84" s="883" t="n"/>
      <c r="S84" s="883" t="n"/>
      <c r="T84" s="883" t="n"/>
      <c r="U84" s="883" t="n"/>
      <c r="V84" s="883" t="n"/>
      <c r="W84" s="883" t="n"/>
      <c r="X84" s="883" t="n"/>
      <c r="Y84" s="883" t="n"/>
      <c r="Z84" s="883" t="n"/>
      <c r="AA84" s="883" t="n"/>
      <c r="AB84" s="883" t="n"/>
      <c r="AC84" s="883" t="n"/>
      <c r="AD84" s="883" t="n"/>
      <c r="AE84" s="883" t="n"/>
      <c r="AF84" s="883" t="n"/>
      <c r="AG84" s="883" t="n"/>
      <c r="AH84" s="883" t="n"/>
      <c r="AI84" s="883" t="n"/>
      <c r="AJ84" s="883" t="n"/>
      <c r="AK84" s="884" t="n"/>
      <c r="AL84" s="47" t="n"/>
      <c r="AM84" s="47" t="n"/>
      <c r="AN84" s="47" t="n"/>
      <c r="AO84" s="47" t="n"/>
      <c r="AP84" s="47" t="n"/>
      <c r="AQ84" s="47" t="n"/>
      <c r="AR84" s="47" t="n"/>
      <c r="AS84" s="47" t="n"/>
      <c r="AT84" s="47" t="n"/>
      <c r="AU84" s="47" t="n"/>
      <c r="AV84" s="118" t="n"/>
      <c r="AW84" s="310" t="n"/>
      <c r="AX84" s="36" t="n"/>
      <c r="AY84" s="64" t="n"/>
      <c r="AZ84" s="838" t="n"/>
      <c r="CM84" s="21" t="n"/>
    </row>
    <row r="85" ht="13.5" customHeight="1">
      <c r="A85" s="159" t="n"/>
      <c r="B85" s="917" t="n"/>
      <c r="C85" s="918" t="n"/>
      <c r="D85" s="918" t="n"/>
      <c r="E85" s="918" t="n"/>
      <c r="F85" s="918" t="n"/>
      <c r="G85" s="918" t="n"/>
      <c r="H85" s="918" t="n"/>
      <c r="I85" s="918" t="n"/>
      <c r="J85" s="918" t="n"/>
      <c r="K85" s="918" t="n"/>
      <c r="L85" s="918" t="n"/>
      <c r="M85" s="918" t="n"/>
      <c r="N85" s="918" t="n"/>
      <c r="O85" s="918" t="n"/>
      <c r="P85" s="918" t="n"/>
      <c r="Q85" s="918" t="n"/>
      <c r="R85" s="918" t="n"/>
      <c r="S85" s="918" t="n"/>
      <c r="T85" s="918" t="n"/>
      <c r="U85" s="918" t="n"/>
      <c r="V85" s="918" t="n"/>
      <c r="W85" s="918" t="n"/>
      <c r="X85" s="918" t="n"/>
      <c r="Y85" s="918" t="n"/>
      <c r="Z85" s="918" t="n"/>
      <c r="AA85" s="918" t="n"/>
      <c r="AB85" s="918" t="n"/>
      <c r="AC85" s="918" t="n"/>
      <c r="AD85" s="918" t="n"/>
      <c r="AE85" s="918" t="n"/>
      <c r="AF85" s="918" t="n"/>
      <c r="AG85" s="918" t="n"/>
      <c r="AH85" s="918" t="n"/>
      <c r="AI85" s="918" t="n"/>
      <c r="AJ85" s="918" t="n"/>
      <c r="AK85" s="919" t="n"/>
      <c r="AL85" s="47" t="n"/>
      <c r="AM85" s="47" t="n"/>
      <c r="AN85" s="47" t="n"/>
      <c r="AO85" s="47" t="n"/>
      <c r="AP85" s="47" t="n"/>
      <c r="AQ85" s="47" t="n"/>
      <c r="AR85" s="47" t="n"/>
      <c r="AS85" s="47" t="n"/>
      <c r="AT85" s="47" t="n"/>
      <c r="AU85" s="47" t="n"/>
      <c r="AV85" s="118" t="n"/>
      <c r="AW85" s="310" t="n"/>
      <c r="AX85" s="36" t="n"/>
      <c r="AY85" s="64" t="n"/>
      <c r="AZ85" s="838" t="n"/>
      <c r="CM85" s="21" t="n"/>
    </row>
    <row r="86" ht="13.5" customHeight="1">
      <c r="A86" s="159" t="n"/>
      <c r="B86" s="920" t="n"/>
      <c r="C86" s="921" t="n"/>
      <c r="D86" s="921" t="n"/>
      <c r="E86" s="921" t="n"/>
      <c r="F86" s="921" t="n"/>
      <c r="G86" s="921" t="n"/>
      <c r="H86" s="921" t="n"/>
      <c r="I86" s="921" t="n"/>
      <c r="J86" s="921" t="n"/>
      <c r="K86" s="921" t="n"/>
      <c r="L86" s="921" t="n"/>
      <c r="M86" s="921" t="n"/>
      <c r="N86" s="921" t="n"/>
      <c r="O86" s="921" t="n"/>
      <c r="P86" s="921" t="n"/>
      <c r="Q86" s="921" t="n"/>
      <c r="R86" s="921" t="n"/>
      <c r="S86" s="921" t="n"/>
      <c r="T86" s="921" t="n"/>
      <c r="U86" s="921" t="n"/>
      <c r="V86" s="921" t="n"/>
      <c r="W86" s="921" t="n"/>
      <c r="X86" s="921" t="n"/>
      <c r="Y86" s="921" t="n"/>
      <c r="Z86" s="921" t="n"/>
      <c r="AA86" s="921" t="n"/>
      <c r="AB86" s="921" t="n"/>
      <c r="AC86" s="921" t="n"/>
      <c r="AD86" s="921" t="n"/>
      <c r="AE86" s="921" t="n"/>
      <c r="AF86" s="921" t="n"/>
      <c r="AG86" s="921" t="n"/>
      <c r="AH86" s="921" t="n"/>
      <c r="AI86" s="921" t="n"/>
      <c r="AJ86" s="921" t="n"/>
      <c r="AK86" s="922" t="n"/>
      <c r="AL86" s="47" t="n"/>
      <c r="AM86" s="47" t="n"/>
      <c r="AN86" s="47" t="n"/>
      <c r="AO86" s="47" t="n"/>
      <c r="AP86" s="47" t="n"/>
      <c r="AQ86" s="47" t="n"/>
      <c r="AR86" s="47" t="n"/>
      <c r="AS86" s="47" t="n"/>
      <c r="AT86" s="47" t="n"/>
      <c r="AU86" s="47" t="n"/>
      <c r="AV86" s="118" t="n"/>
      <c r="AW86" s="310" t="n"/>
      <c r="AX86" s="36" t="n"/>
      <c r="AY86" s="64" t="n"/>
      <c r="AZ86" s="838" t="n"/>
      <c r="CM86" s="21" t="n"/>
    </row>
    <row r="87" ht="6" customHeight="1">
      <c r="A87" s="163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 t="n"/>
      <c r="P87" s="119" t="n"/>
      <c r="Q87" s="119" t="n"/>
      <c r="R87" s="119" t="n"/>
      <c r="S87" s="119" t="n"/>
      <c r="T87" s="119" t="n"/>
      <c r="U87" s="120" t="n"/>
      <c r="V87" s="121" t="n"/>
      <c r="W87" s="121" t="n"/>
      <c r="X87" s="121" t="n"/>
      <c r="Y87" s="121" t="n"/>
      <c r="Z87" s="121" t="n"/>
      <c r="AA87" s="121" t="n"/>
      <c r="AB87" s="121" t="n"/>
      <c r="AC87" s="121" t="n"/>
      <c r="AD87" s="121" t="n"/>
      <c r="AE87" s="121" t="n"/>
      <c r="AF87" s="121" t="n"/>
      <c r="AG87" s="121" t="n"/>
      <c r="AH87" s="121" t="n"/>
      <c r="AI87" s="121" t="n"/>
      <c r="AJ87" s="121" t="n"/>
      <c r="AK87" s="121" t="n"/>
      <c r="AL87" s="121" t="n"/>
      <c r="AM87" s="121" t="n"/>
      <c r="AN87" s="121" t="n"/>
      <c r="AO87" s="121" t="n"/>
      <c r="AP87" s="121" t="n"/>
      <c r="AQ87" s="121" t="n"/>
      <c r="AR87" s="121" t="n"/>
      <c r="AS87" s="121" t="n"/>
      <c r="AT87" s="121" t="n"/>
      <c r="AU87" s="121" t="n"/>
      <c r="AV87" s="923" t="n"/>
      <c r="AW87" s="310" t="n"/>
      <c r="AX87" s="36" t="n"/>
      <c r="AY87" s="64" t="n"/>
      <c r="AZ87" s="838" t="n"/>
      <c r="CM87" s="21" t="n"/>
    </row>
  </sheetData>
  <mergeCells count="192">
    <mergeCell ref="AY61:AZ61"/>
    <mergeCell ref="H66:Q66"/>
    <mergeCell ref="N2:P2"/>
    <mergeCell ref="AC5:AE5"/>
    <mergeCell ref="H78:O78"/>
    <mergeCell ref="BM12:BN12"/>
    <mergeCell ref="Q4:S4"/>
    <mergeCell ref="Z76:AA76"/>
    <mergeCell ref="AB80:AI80"/>
    <mergeCell ref="Z3:AB3"/>
    <mergeCell ref="AC4:AE4"/>
    <mergeCell ref="R79:Y79"/>
    <mergeCell ref="P69:Q69"/>
    <mergeCell ref="C79:D79"/>
    <mergeCell ref="Z66:AA66"/>
    <mergeCell ref="AB79:AI79"/>
    <mergeCell ref="T2:V2"/>
    <mergeCell ref="Z75:AA75"/>
    <mergeCell ref="L12:M12"/>
    <mergeCell ref="AF5:AH5"/>
    <mergeCell ref="N12:O12"/>
    <mergeCell ref="AF2:AH2"/>
    <mergeCell ref="Z5:AB5"/>
    <mergeCell ref="AJ67:AK67"/>
    <mergeCell ref="H73:O73"/>
    <mergeCell ref="AB72:AI72"/>
    <mergeCell ref="P80:Q80"/>
    <mergeCell ref="AB81:AI81"/>
    <mergeCell ref="H70:O70"/>
    <mergeCell ref="R74:Y74"/>
    <mergeCell ref="R12:S12"/>
    <mergeCell ref="P70:Q70"/>
    <mergeCell ref="AJ69:AK69"/>
    <mergeCell ref="AB71:AI71"/>
    <mergeCell ref="W2:Y2"/>
    <mergeCell ref="T12:U12"/>
    <mergeCell ref="AJ78:AK78"/>
    <mergeCell ref="AL12:AM12"/>
    <mergeCell ref="AN12:AO12"/>
    <mergeCell ref="AF12:AG12"/>
    <mergeCell ref="C76:D76"/>
    <mergeCell ref="R76:Y76"/>
    <mergeCell ref="AF3:AH3"/>
    <mergeCell ref="K3:M3"/>
    <mergeCell ref="N4:P4"/>
    <mergeCell ref="AJ80:AK80"/>
    <mergeCell ref="R66:Y66"/>
    <mergeCell ref="C67:D67"/>
    <mergeCell ref="K5:M5"/>
    <mergeCell ref="H77:O77"/>
    <mergeCell ref="T4:V4"/>
    <mergeCell ref="R68:Y68"/>
    <mergeCell ref="Z80:AA80"/>
    <mergeCell ref="AF4:AH4"/>
    <mergeCell ref="C69:D69"/>
    <mergeCell ref="P79:Q79"/>
    <mergeCell ref="P73:Q73"/>
    <mergeCell ref="AJ81:AK81"/>
    <mergeCell ref="Q5:S5"/>
    <mergeCell ref="BI12:BJ12"/>
    <mergeCell ref="H67:O67"/>
    <mergeCell ref="AB66:AK66"/>
    <mergeCell ref="AJ71:AK71"/>
    <mergeCell ref="BU12:BV12"/>
    <mergeCell ref="AX6:BA9"/>
    <mergeCell ref="AI4:AK4"/>
    <mergeCell ref="R77:AA77"/>
    <mergeCell ref="Z2:AB2"/>
    <mergeCell ref="R78:Y78"/>
    <mergeCell ref="AJ73:AK73"/>
    <mergeCell ref="AB75:AI75"/>
    <mergeCell ref="AJ82:AK82"/>
    <mergeCell ref="BY12:BZ12"/>
    <mergeCell ref="B74:D74"/>
    <mergeCell ref="B85:AK86"/>
    <mergeCell ref="R80:Y80"/>
    <mergeCell ref="AX10:BA10"/>
    <mergeCell ref="AY31:BA31"/>
    <mergeCell ref="H79:O79"/>
    <mergeCell ref="P77:Q77"/>
    <mergeCell ref="Z12:AA12"/>
    <mergeCell ref="Z68:AA68"/>
    <mergeCell ref="R70:Y70"/>
    <mergeCell ref="AB12:AC12"/>
    <mergeCell ref="AB70:AI70"/>
    <mergeCell ref="AJ68:AK68"/>
    <mergeCell ref="K4:M4"/>
    <mergeCell ref="C71:D71"/>
    <mergeCell ref="H72:O72"/>
    <mergeCell ref="H81:O81"/>
    <mergeCell ref="T3:V3"/>
    <mergeCell ref="W4:Y4"/>
    <mergeCell ref="P78:Q78"/>
    <mergeCell ref="H12:I12"/>
    <mergeCell ref="Z69:AA69"/>
    <mergeCell ref="C82:D82"/>
    <mergeCell ref="T5:V5"/>
    <mergeCell ref="AR11:AS11"/>
    <mergeCell ref="Z78:AA78"/>
    <mergeCell ref="J12:K12"/>
    <mergeCell ref="AY23:BA23"/>
    <mergeCell ref="H71:O71"/>
    <mergeCell ref="C66:D66"/>
    <mergeCell ref="P71:Q71"/>
    <mergeCell ref="AY13:BA13"/>
    <mergeCell ref="C77:D77"/>
    <mergeCell ref="AH12:AI12"/>
    <mergeCell ref="C68:D68"/>
    <mergeCell ref="AJ12:AK12"/>
    <mergeCell ref="AB74:AI74"/>
    <mergeCell ref="H82:O82"/>
    <mergeCell ref="W3:Y3"/>
    <mergeCell ref="AJ70:AK70"/>
    <mergeCell ref="AB76:AI76"/>
    <mergeCell ref="AY35:BA35"/>
    <mergeCell ref="H76:Q76"/>
    <mergeCell ref="R69:Y69"/>
    <mergeCell ref="Z81:AA81"/>
    <mergeCell ref="C75:D75"/>
    <mergeCell ref="B65:D65"/>
    <mergeCell ref="AI3:AK3"/>
    <mergeCell ref="C80:D80"/>
    <mergeCell ref="P67:Q67"/>
    <mergeCell ref="R67:AA67"/>
    <mergeCell ref="B84:AK84"/>
    <mergeCell ref="A1:J3"/>
    <mergeCell ref="P82:Q82"/>
    <mergeCell ref="AB77:AI77"/>
    <mergeCell ref="BE12:BF12"/>
    <mergeCell ref="AJ77:AK77"/>
    <mergeCell ref="Z73:AA73"/>
    <mergeCell ref="AI5:AK5"/>
    <mergeCell ref="Z82:AA82"/>
    <mergeCell ref="BQ12:BR12"/>
    <mergeCell ref="AB67:AI67"/>
    <mergeCell ref="C70:D70"/>
    <mergeCell ref="P75:Q75"/>
    <mergeCell ref="AJ74:AK74"/>
    <mergeCell ref="H80:O80"/>
    <mergeCell ref="R72:Y72"/>
    <mergeCell ref="P12:Q12"/>
    <mergeCell ref="P68:Q68"/>
    <mergeCell ref="AB69:AI69"/>
    <mergeCell ref="R81:Y81"/>
    <mergeCell ref="AJ76:AK76"/>
    <mergeCell ref="AB78:AI78"/>
    <mergeCell ref="AY41:BA41"/>
    <mergeCell ref="AY47:BA47"/>
    <mergeCell ref="N3:P3"/>
    <mergeCell ref="AJ75:AK75"/>
    <mergeCell ref="AD12:AE12"/>
    <mergeCell ref="V12:W12"/>
    <mergeCell ref="X12:Y12"/>
    <mergeCell ref="AP12:AQ12"/>
    <mergeCell ref="R73:Y73"/>
    <mergeCell ref="R82:Y82"/>
    <mergeCell ref="AB73:AI73"/>
    <mergeCell ref="N5:P5"/>
    <mergeCell ref="Z70:AA70"/>
    <mergeCell ref="R71:AA71"/>
    <mergeCell ref="F12:G12"/>
    <mergeCell ref="K2:M2"/>
    <mergeCell ref="P72:Q72"/>
    <mergeCell ref="H74:O74"/>
    <mergeCell ref="H68:O68"/>
    <mergeCell ref="P81:Q81"/>
    <mergeCell ref="AJ72:AK72"/>
    <mergeCell ref="Z72:AA72"/>
    <mergeCell ref="Z4:AB4"/>
    <mergeCell ref="Q2:S2"/>
    <mergeCell ref="AI2:AK2"/>
    <mergeCell ref="H65:AK65"/>
    <mergeCell ref="AC2:AE2"/>
    <mergeCell ref="AY3:AZ4"/>
    <mergeCell ref="H69:O69"/>
    <mergeCell ref="AB82:AI82"/>
    <mergeCell ref="AY2:AZ2"/>
    <mergeCell ref="A4:J5"/>
    <mergeCell ref="Z79:AA79"/>
    <mergeCell ref="R75:Y75"/>
    <mergeCell ref="H75:O75"/>
    <mergeCell ref="Q3:S3"/>
    <mergeCell ref="AJ79:AK79"/>
    <mergeCell ref="C72:D72"/>
    <mergeCell ref="C81:D81"/>
    <mergeCell ref="CC12:CD12"/>
    <mergeCell ref="W5:Y5"/>
    <mergeCell ref="AB68:AI68"/>
    <mergeCell ref="AC3:AE3"/>
    <mergeCell ref="P74:Q74"/>
    <mergeCell ref="C78:D78"/>
    <mergeCell ref="Z74:AA74"/>
  </mergeCells>
  <conditionalFormatting sqref="A13:A63">
    <cfRule type="cellIs" priority="173" operator="equal" dxfId="50">
      <formula>0</formula>
    </cfRule>
  </conditionalFormatting>
  <conditionalFormatting sqref="D13:D63">
    <cfRule type="expression" priority="40" dxfId="48">
      <formula>IF(D13&lt;AR13,TRUE,FALSE)</formula>
    </cfRule>
    <cfRule type="expression" priority="41" dxfId="48">
      <formula>IF(D13&gt;AS13,TRUE,FALSE)</formula>
    </cfRule>
  </conditionalFormatting>
  <conditionalFormatting sqref="D13:E63">
    <cfRule type="containsBlanks" priority="36" dxfId="47">
      <formula>LEN(TRIM(D13))=0</formula>
    </cfRule>
  </conditionalFormatting>
  <conditionalFormatting sqref="E13:E63">
    <cfRule type="expression" priority="37" dxfId="28">
      <formula>IF(E13&gt;AS13,TRUE,FALSE)</formula>
    </cfRule>
    <cfRule type="expression" priority="38" dxfId="28">
      <formula>IF(E13&lt;AR13,TRUE,FALSE)</formula>
    </cfRule>
  </conditionalFormatting>
  <conditionalFormatting sqref="F13:AQ63">
    <cfRule type="cellIs" priority="22" operator="equal" dxfId="44">
      <formula>"p"</formula>
    </cfRule>
    <cfRule type="cellIs" priority="23" operator="equal" dxfId="43">
      <formula>"afw"</formula>
    </cfRule>
  </conditionalFormatting>
  <conditionalFormatting sqref="N5:AK5">
    <cfRule type="cellIs" priority="107" operator="lessThan" dxfId="18">
      <formula>0</formula>
    </cfRule>
  </conditionalFormatting>
  <conditionalFormatting sqref="AX6:BA9">
    <cfRule type="notContainsBlanks" priority="149" dxfId="41">
      <formula>LEN(TRIM(AX6))&gt;0</formula>
    </cfRule>
  </conditionalFormatting>
  <conditionalFormatting sqref="AY2:AZ4">
    <cfRule type="expression" priority="151" dxfId="28">
      <formula>IF($AY$3="nee",TRUE,FALSE)</formula>
    </cfRule>
  </conditionalFormatting>
  <conditionalFormatting sqref="AY61:BA61">
    <cfRule type="expression" priority="8" dxfId="6">
      <formula>IF($BA$61=0,TRUE,FALSE)</formula>
    </cfRule>
  </conditionalFormatting>
  <conditionalFormatting sqref="CI13:CI86">
    <cfRule type="cellIs" priority="42" operator="notBetween" dxfId="36">
      <formula>-3</formula>
      <formula>3</formula>
    </cfRule>
  </conditionalFormatting>
  <conditionalFormatting sqref="CJ13:CK86">
    <cfRule type="containsText" priority="43" operator="containsText" dxfId="36" text="nee">
      <formula>NOT(ISERROR(SEARCH("nee",CJ13)))</formula>
    </cfRule>
  </conditionalFormatting>
  <conditionalFormatting sqref="CL13:CL86">
    <cfRule type="cellIs" priority="44" operator="greaterThan" dxfId="36">
      <formula>5</formula>
    </cfRule>
  </conditionalFormatting>
  <dataValidations count="2">
    <dataValidation sqref="B14:B28" showDropDown="0" showInputMessage="1" showErrorMessage="1" allowBlank="1" prompt=" - " type="list">
      <formula1>namenlijst</formula1>
    </dataValidation>
    <dataValidation sqref="B29:B63" showDropDown="0" showInputMessage="0" showErrorMessage="1" allowBlank="1" type="list">
      <formula1>namenlijst</formula1>
    </dataValidation>
  </dataValidations>
  <pageMargins left="0.7" right="0.7" top="0.75" bottom="0.75" header="0.3" footer="0.3"/>
  <pageSetup orientation="portrait" paperSize="9" scale="26" fitToHeight="0"/>
</worksheet>
</file>

<file path=xl/worksheets/sheet7.xml><?xml version="1.0" encoding="utf-8"?>
<worksheet xmlns="http://schemas.openxmlformats.org/spreadsheetml/2006/main">
  <sheetPr codeName="Sheet7">
    <tabColor rgb="FF1696D0"/>
    <outlinePr summaryBelow="0" summaryRight="0"/>
    <pageSetUpPr fitToPage="1"/>
  </sheetPr>
  <dimension ref="A1:CM87"/>
  <sheetViews>
    <sheetView showGridLines="0" showRowColHeaders="0" topLeftCell="A9" zoomScaleNormal="100" workbookViewId="0">
      <selection activeCell="AX33" sqref="AX33"/>
    </sheetView>
  </sheetViews>
  <sheetFormatPr baseColWidth="8" defaultColWidth="17.28515625" defaultRowHeight="15" customHeight="1"/>
  <cols>
    <col width="1.7109375" customWidth="1" style="164" min="1" max="1"/>
    <col width="21.7109375" customWidth="1" style="264" min="2" max="2"/>
    <col width="5.85546875" customWidth="1" style="264" min="3" max="3"/>
    <col width="4.7109375" customWidth="1" style="264" min="4" max="5"/>
    <col width="2.7109375" customWidth="1" style="264" min="6" max="41"/>
    <col width="2.42578125" customWidth="1" style="264" min="42" max="42"/>
    <col width="2.7109375" customWidth="1" style="264" min="43" max="43"/>
    <col hidden="1" width="5.42578125" customWidth="1" style="264" min="44" max="47"/>
    <col width="4.7109375" customWidth="1" style="264" min="48" max="48"/>
    <col width="5" customWidth="1" style="264" min="49" max="50"/>
    <col width="4.140625" customWidth="1" style="264" min="51" max="51"/>
    <col width="12.5703125" customWidth="1" style="264" min="52" max="52"/>
    <col width="5.42578125" customWidth="1" style="264" min="53" max="53"/>
    <col width="2.85546875" customWidth="1" style="264" min="54" max="54"/>
    <col width="18.85546875" customWidth="1" style="264" min="55" max="55"/>
    <col width="0.42578125" customWidth="1" style="264" min="56" max="56"/>
    <col width="4.7109375" customWidth="1" style="264" min="57" max="58"/>
    <col hidden="1" width="3.28515625" customWidth="1" style="264" min="59" max="59"/>
    <col width="0.42578125" customWidth="1" style="264" min="60" max="60"/>
    <col width="4.7109375" customWidth="1" style="264" min="61" max="62"/>
    <col hidden="1" width="3.28515625" customWidth="1" style="264" min="63" max="63"/>
    <col width="0.42578125" customWidth="1" style="264" min="64" max="64"/>
    <col width="4.7109375" customWidth="1" style="264" min="65" max="66"/>
    <col hidden="1" width="3.28515625" customWidth="1" style="264" min="67" max="67"/>
    <col width="0.42578125" customWidth="1" style="264" min="68" max="68"/>
    <col width="4.7109375" customWidth="1" style="264" min="69" max="70"/>
    <col hidden="1" width="3.28515625" customWidth="1" style="264" min="71" max="71"/>
    <col width="0.42578125" customWidth="1" style="264" min="72" max="72"/>
    <col width="4.7109375" customWidth="1" style="264" min="73" max="74"/>
    <col hidden="1" width="3.28515625" customWidth="1" style="264" min="75" max="75"/>
    <col width="0.42578125" customWidth="1" style="264" min="76" max="76"/>
    <col width="4.7109375" customWidth="1" style="264" min="77" max="78"/>
    <col hidden="1" width="3.28515625" customWidth="1" style="264" min="79" max="79"/>
    <col width="0.42578125" customWidth="1" style="264" min="80" max="80"/>
    <col width="4.7109375" customWidth="1" style="264" min="81" max="82"/>
    <col hidden="1" width="3.28515625" customWidth="1" style="264" min="83" max="83"/>
    <col width="0.42578125" customWidth="1" style="264" min="84" max="84"/>
    <col width="5.7109375" customWidth="1" style="264" min="85" max="85"/>
    <col width="0.42578125" customWidth="1" style="264" min="86" max="86"/>
    <col width="3.85546875" customWidth="1" style="264" min="87" max="90"/>
    <col width="0.85546875" customWidth="1" style="264" min="91" max="91"/>
    <col width="17.28515625" customWidth="1" style="264" min="92" max="16384"/>
  </cols>
  <sheetData>
    <row r="1" ht="6" customHeight="1" thickBot="1">
      <c r="A1" s="720">
        <f>CONCATENATE("Planning week ",IF(Access!C4="B","BASIS",IF(Access!C4="","BASIS",WEEKNUM(Access!C4,21))))</f>
        <v/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  <c r="AR1" s="112" t="n"/>
      <c r="AS1" s="112" t="n"/>
      <c r="AT1" s="112" t="n"/>
      <c r="AU1" s="112" t="n"/>
      <c r="AV1" s="113" t="n"/>
    </row>
    <row r="2" ht="14.1" customHeight="1">
      <c r="A2" s="858" t="n"/>
      <c r="B2" s="264" t="n"/>
      <c r="C2" s="264" t="n"/>
      <c r="D2" s="264" t="n"/>
      <c r="E2" s="264" t="n"/>
      <c r="F2" s="264" t="n"/>
      <c r="G2" s="264" t="n"/>
      <c r="H2" s="264" t="n"/>
      <c r="I2" s="264" t="n"/>
      <c r="J2" s="264" t="n"/>
      <c r="K2" s="724" t="n"/>
      <c r="L2" s="859" t="n"/>
      <c r="M2" s="860" t="n"/>
      <c r="N2" s="725" t="inlineStr">
        <is>
          <t>Maandag</t>
        </is>
      </c>
      <c r="O2" s="859" t="n"/>
      <c r="P2" s="860" t="n"/>
      <c r="Q2" s="725" t="inlineStr">
        <is>
          <t>Dinsdag</t>
        </is>
      </c>
      <c r="R2" s="859" t="n"/>
      <c r="S2" s="860" t="n"/>
      <c r="T2" s="725" t="inlineStr">
        <is>
          <t>Woensdag</t>
        </is>
      </c>
      <c r="U2" s="859" t="n"/>
      <c r="V2" s="860" t="n"/>
      <c r="W2" s="725" t="inlineStr">
        <is>
          <t>Donderdag</t>
        </is>
      </c>
      <c r="X2" s="859" t="n"/>
      <c r="Y2" s="860" t="n"/>
      <c r="Z2" s="725" t="inlineStr">
        <is>
          <t>Vrijdag</t>
        </is>
      </c>
      <c r="AA2" s="859" t="n"/>
      <c r="AB2" s="860" t="n"/>
      <c r="AC2" s="725" t="inlineStr">
        <is>
          <t>Zaterdag</t>
        </is>
      </c>
      <c r="AD2" s="859" t="n"/>
      <c r="AE2" s="860" t="n"/>
      <c r="AF2" s="725" t="inlineStr">
        <is>
          <t>Zondag</t>
        </is>
      </c>
      <c r="AG2" s="859" t="n"/>
      <c r="AH2" s="860" t="n"/>
      <c r="AI2" s="740" t="inlineStr">
        <is>
          <t>Totaal</t>
        </is>
      </c>
      <c r="AJ2" s="859" t="n"/>
      <c r="AK2" s="860" t="n"/>
      <c r="AL2" s="258" t="n"/>
      <c r="AM2" s="259" t="n"/>
      <c r="AN2" s="259" t="n"/>
      <c r="AO2" s="259" t="n"/>
      <c r="AP2" s="259" t="n"/>
      <c r="AQ2" s="259" t="n"/>
      <c r="AR2" s="259" t="n"/>
      <c r="AS2" s="259" t="n"/>
      <c r="AT2" s="259" t="n"/>
      <c r="AU2" s="259" t="n"/>
      <c r="AV2" s="114" t="n"/>
      <c r="AW2" s="106" t="n"/>
      <c r="AX2" s="838" t="n"/>
      <c r="AY2" s="861" t="inlineStr">
        <is>
          <t>Planning OK?</t>
        </is>
      </c>
      <c r="AZ2" s="862" t="n"/>
      <c r="BA2" s="19" t="n"/>
      <c r="BB2" s="838" t="n"/>
      <c r="BC2" s="20" t="n"/>
      <c r="BD2" s="20" t="n"/>
      <c r="BE2" s="20" t="n"/>
      <c r="BF2" s="20" t="n"/>
      <c r="BG2" s="20" t="n"/>
      <c r="BH2" s="20" t="n"/>
      <c r="BI2" s="20" t="n"/>
      <c r="BJ2" s="20" t="n"/>
      <c r="BK2" s="20" t="n"/>
      <c r="BL2" s="20" t="n"/>
      <c r="BM2" s="20" t="n"/>
      <c r="BN2" s="20" t="n"/>
      <c r="BO2" s="20" t="n"/>
      <c r="BP2" s="20" t="n"/>
      <c r="BQ2" s="20" t="n"/>
      <c r="BR2" s="20" t="n"/>
      <c r="BS2" s="20" t="n"/>
      <c r="BT2" s="20" t="n"/>
      <c r="BU2" s="20" t="n"/>
      <c r="BV2" s="20" t="n"/>
      <c r="BW2" s="20" t="n"/>
      <c r="BX2" s="20" t="n"/>
      <c r="BY2" s="20" t="n"/>
      <c r="BZ2" s="20" t="n"/>
      <c r="CA2" s="20" t="n"/>
      <c r="CB2" s="20" t="n"/>
      <c r="CC2" s="20" t="n"/>
      <c r="CD2" s="20" t="n"/>
      <c r="CE2" s="20" t="n"/>
      <c r="CF2" s="20" t="n"/>
      <c r="CG2" s="20" t="n"/>
      <c r="CH2" s="20" t="n"/>
      <c r="CI2" s="20" t="n"/>
      <c r="CJ2" s="20" t="n"/>
      <c r="CK2" s="20" t="n"/>
      <c r="CL2" s="20" t="n"/>
      <c r="CM2" s="20" t="n"/>
    </row>
    <row r="3" ht="14.1" customHeight="1">
      <c r="A3" s="858" t="n"/>
      <c r="B3" s="264" t="n"/>
      <c r="C3" s="264" t="n"/>
      <c r="D3" s="264" t="n"/>
      <c r="E3" s="264" t="n"/>
      <c r="F3" s="264" t="n"/>
      <c r="G3" s="264" t="n"/>
      <c r="H3" s="264" t="n"/>
      <c r="I3" s="264" t="n"/>
      <c r="J3" s="264" t="n"/>
      <c r="K3" s="728" t="inlineStr">
        <is>
          <t>Gepland</t>
        </is>
      </c>
      <c r="L3" s="863" t="n"/>
      <c r="M3" s="864" t="n"/>
      <c r="N3" s="731">
        <f>Ma!AV65</f>
        <v/>
      </c>
      <c r="O3" s="863" t="n"/>
      <c r="P3" s="864" t="n"/>
      <c r="Q3" s="731">
        <f>Di!AV65</f>
        <v/>
      </c>
      <c r="R3" s="863" t="n"/>
      <c r="S3" s="864" t="n"/>
      <c r="T3" s="749">
        <f>Wo!AV65</f>
        <v/>
      </c>
      <c r="U3" s="863" t="n"/>
      <c r="V3" s="864" t="n"/>
      <c r="W3" s="730">
        <f>Do!AV65</f>
        <v/>
      </c>
      <c r="X3" s="863" t="n"/>
      <c r="Y3" s="864" t="n"/>
      <c r="Z3" s="731">
        <f>Vr!AV65</f>
        <v/>
      </c>
      <c r="AA3" s="863" t="n"/>
      <c r="AB3" s="864" t="n"/>
      <c r="AC3" s="731">
        <f>Za!AV65</f>
        <v/>
      </c>
      <c r="AD3" s="863" t="n"/>
      <c r="AE3" s="864" t="n"/>
      <c r="AF3" s="731">
        <f>Zo!AV65</f>
        <v/>
      </c>
      <c r="AG3" s="863" t="n"/>
      <c r="AH3" s="864" t="n"/>
      <c r="AI3" s="713">
        <f>SUM(N3:AH3)</f>
        <v/>
      </c>
      <c r="AJ3" s="863" t="n"/>
      <c r="AK3" s="864" t="n"/>
      <c r="AL3" s="96" t="n"/>
      <c r="AM3" s="96" t="n"/>
      <c r="AN3" s="96" t="n"/>
      <c r="AO3" s="96" t="n"/>
      <c r="AP3" s="96" t="n"/>
      <c r="AQ3" s="96" t="n"/>
      <c r="AR3" s="96" t="n"/>
      <c r="AS3" s="96" t="n"/>
      <c r="AT3" s="96" t="n"/>
      <c r="AU3" s="96" t="n"/>
      <c r="AV3" s="114" t="n"/>
      <c r="AW3" s="106" t="n"/>
      <c r="AX3" s="838" t="n"/>
      <c r="AY3" s="865">
        <f>IF(SUM(A13:A63)=1326,"JA","NEE")</f>
        <v/>
      </c>
      <c r="AZ3" s="866" t="n"/>
      <c r="BA3" s="19" t="n"/>
      <c r="BB3" s="838" t="n"/>
      <c r="BC3" s="20" t="n"/>
      <c r="BD3" s="20" t="n"/>
      <c r="BE3" s="20" t="n"/>
      <c r="BF3" s="20" t="n"/>
      <c r="BG3" s="20" t="n"/>
      <c r="BH3" s="20" t="n"/>
      <c r="BI3" s="20" t="n"/>
      <c r="BJ3" s="20" t="n"/>
      <c r="BK3" s="20" t="n"/>
      <c r="BL3" s="20" t="n"/>
      <c r="BM3" s="20" t="n"/>
      <c r="BN3" s="20" t="n"/>
      <c r="BO3" s="20" t="n"/>
      <c r="BP3" s="20" t="n"/>
      <c r="BQ3" s="20" t="n"/>
      <c r="BR3" s="20" t="n"/>
      <c r="BS3" s="20" t="n"/>
      <c r="BT3" s="20" t="n"/>
      <c r="BU3" s="20" t="n"/>
      <c r="BV3" s="20" t="n"/>
      <c r="BW3" s="20" t="n"/>
      <c r="BX3" s="20" t="n"/>
      <c r="BY3" s="20" t="n"/>
      <c r="BZ3" s="20" t="n"/>
      <c r="CA3" s="20" t="n"/>
      <c r="CB3" s="20" t="n"/>
      <c r="CC3" s="20" t="n"/>
      <c r="CD3" s="20" t="n"/>
      <c r="CE3" s="20" t="n"/>
      <c r="CF3" s="20" t="n"/>
      <c r="CG3" s="20" t="n"/>
      <c r="CH3" s="20" t="n"/>
      <c r="CI3" s="20" t="n"/>
      <c r="CJ3" s="20" t="n"/>
      <c r="CK3" s="20" t="n"/>
      <c r="CL3" s="20" t="n"/>
      <c r="CM3" s="20" t="n"/>
    </row>
    <row r="4" ht="14.1" customHeight="1">
      <c r="A4" s="867">
        <f>CONCATENATE("donderdag ",IF(Access!C4="","",TEXT(Access!C4+3,"D-M-JJJJ")))</f>
        <v/>
      </c>
      <c r="B4" s="264" t="n"/>
      <c r="C4" s="264" t="n"/>
      <c r="D4" s="264" t="n"/>
      <c r="E4" s="264" t="n"/>
      <c r="F4" s="264" t="n"/>
      <c r="G4" s="264" t="n"/>
      <c r="H4" s="264" t="n"/>
      <c r="I4" s="264" t="n"/>
      <c r="J4" s="264" t="n"/>
      <c r="K4" s="728" t="inlineStr">
        <is>
          <t>Norm</t>
        </is>
      </c>
      <c r="L4" s="863" t="n"/>
      <c r="M4" s="864" t="n"/>
      <c r="N4" s="731">
        <f>Instellingen!F23</f>
        <v/>
      </c>
      <c r="O4" s="863" t="n"/>
      <c r="P4" s="864" t="n"/>
      <c r="Q4" s="731">
        <f>Instellingen!G23</f>
        <v/>
      </c>
      <c r="R4" s="863" t="n"/>
      <c r="S4" s="864" t="n"/>
      <c r="T4" s="749">
        <f>Instellingen!H23</f>
        <v/>
      </c>
      <c r="U4" s="863" t="n"/>
      <c r="V4" s="864" t="n"/>
      <c r="W4" s="730">
        <f>Instellingen!I23</f>
        <v/>
      </c>
      <c r="X4" s="863" t="n"/>
      <c r="Y4" s="864" t="n"/>
      <c r="Z4" s="731">
        <f>Instellingen!J23</f>
        <v/>
      </c>
      <c r="AA4" s="863" t="n"/>
      <c r="AB4" s="864" t="n"/>
      <c r="AC4" s="731">
        <f>Instellingen!K23</f>
        <v/>
      </c>
      <c r="AD4" s="863" t="n"/>
      <c r="AE4" s="864" t="n"/>
      <c r="AF4" s="731">
        <f>Instellingen!L23</f>
        <v/>
      </c>
      <c r="AG4" s="863" t="n"/>
      <c r="AH4" s="864" t="n"/>
      <c r="AI4" s="713">
        <f>Begroting!N71</f>
        <v/>
      </c>
      <c r="AJ4" s="863" t="n"/>
      <c r="AK4" s="864" t="n"/>
      <c r="AL4" s="96" t="n"/>
      <c r="AM4" s="96" t="n"/>
      <c r="AN4" s="96" t="n"/>
      <c r="AO4" s="96" t="n"/>
      <c r="AP4" s="96" t="n"/>
      <c r="AQ4" s="96" t="n"/>
      <c r="AR4" s="96" t="n"/>
      <c r="AS4" s="96" t="n"/>
      <c r="AT4" s="96" t="n"/>
      <c r="AU4" s="96" t="n"/>
      <c r="AV4" s="114" t="n"/>
      <c r="AW4" s="106" t="n"/>
      <c r="AX4" s="838" t="n"/>
      <c r="AY4" s="868" t="n"/>
      <c r="AZ4" s="869" t="n"/>
      <c r="BA4" s="19" t="n"/>
      <c r="BB4" s="838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20" t="n"/>
      <c r="BU4" s="20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  <c r="CE4" s="20" t="n"/>
      <c r="CF4" s="20" t="n"/>
      <c r="CG4" s="20" t="n"/>
      <c r="CH4" s="20" t="n"/>
      <c r="CI4" s="20" t="n"/>
      <c r="CJ4" s="20" t="n"/>
      <c r="CK4" s="20" t="n"/>
      <c r="CL4" s="20" t="n"/>
      <c r="CM4" s="20" t="n"/>
    </row>
    <row r="5" ht="14.1" customHeight="1" thickBot="1">
      <c r="A5" s="858" t="n"/>
      <c r="B5" s="264" t="n"/>
      <c r="C5" s="264" t="n"/>
      <c r="D5" s="264" t="n"/>
      <c r="E5" s="264" t="n"/>
      <c r="F5" s="264" t="n"/>
      <c r="G5" s="264" t="n"/>
      <c r="H5" s="264" t="n"/>
      <c r="I5" s="264" t="n"/>
      <c r="J5" s="264" t="n"/>
      <c r="K5" s="732" t="inlineStr">
        <is>
          <t>Verschil</t>
        </is>
      </c>
      <c r="L5" s="870" t="n"/>
      <c r="M5" s="871" t="n"/>
      <c r="N5" s="735">
        <f>N4-N3</f>
        <v/>
      </c>
      <c r="O5" s="870" t="n"/>
      <c r="P5" s="871" t="n"/>
      <c r="Q5" s="735">
        <f>Q4-Q3</f>
        <v/>
      </c>
      <c r="R5" s="870" t="n"/>
      <c r="S5" s="871" t="n"/>
      <c r="T5" s="750">
        <f>T4-T3</f>
        <v/>
      </c>
      <c r="U5" s="870" t="n"/>
      <c r="V5" s="871" t="n"/>
      <c r="W5" s="734">
        <f>W4-W3</f>
        <v/>
      </c>
      <c r="X5" s="870" t="n"/>
      <c r="Y5" s="871" t="n"/>
      <c r="Z5" s="735">
        <f>Z4-Z3</f>
        <v/>
      </c>
      <c r="AA5" s="870" t="n"/>
      <c r="AB5" s="871" t="n"/>
      <c r="AC5" s="735">
        <f>AC4-AC3</f>
        <v/>
      </c>
      <c r="AD5" s="870" t="n"/>
      <c r="AE5" s="871" t="n"/>
      <c r="AF5" s="735">
        <f>AF4-AF3</f>
        <v/>
      </c>
      <c r="AG5" s="870" t="n"/>
      <c r="AH5" s="871" t="n"/>
      <c r="AI5" s="742">
        <f>AI4-AI3</f>
        <v/>
      </c>
      <c r="AJ5" s="870" t="n"/>
      <c r="AK5" s="871" t="n"/>
      <c r="AL5" s="96" t="n"/>
      <c r="AM5" s="96" t="n"/>
      <c r="AN5" s="96" t="n"/>
      <c r="AO5" s="96" t="n"/>
      <c r="AP5" s="96" t="n"/>
      <c r="AQ5" s="96" t="n"/>
      <c r="AR5" s="96" t="n"/>
      <c r="AS5" s="96" t="n"/>
      <c r="AT5" s="96" t="n"/>
      <c r="AU5" s="96" t="n"/>
      <c r="AV5" s="114" t="n"/>
      <c r="AW5" s="123" t="n"/>
      <c r="AX5" s="125" t="n"/>
      <c r="AY5" s="125" t="n"/>
      <c r="AZ5" s="125" t="n"/>
      <c r="BA5" s="125" t="n"/>
      <c r="BB5" s="124" t="n"/>
      <c r="BC5" s="838" t="n"/>
      <c r="BD5" s="838" t="n"/>
      <c r="BE5" s="838" t="n"/>
      <c r="BF5" s="838" t="n"/>
      <c r="BG5" s="838" t="n"/>
      <c r="BH5" s="838" t="n"/>
      <c r="BI5" s="838" t="n"/>
      <c r="BJ5" s="838" t="n"/>
      <c r="BK5" s="838" t="n"/>
      <c r="BL5" s="838" t="n"/>
      <c r="BM5" s="838" t="n"/>
      <c r="BN5" s="838" t="n"/>
      <c r="BO5" s="838" t="n"/>
      <c r="BP5" s="838" t="n"/>
      <c r="BQ5" s="21" t="n"/>
      <c r="BR5" s="21" t="n"/>
      <c r="BS5" s="21" t="n"/>
      <c r="BT5" s="21" t="n"/>
      <c r="BU5" s="21" t="n"/>
      <c r="BV5" s="21" t="n"/>
      <c r="BW5" s="21" t="n"/>
      <c r="BX5" s="21" t="n"/>
      <c r="BY5" s="21" t="n"/>
      <c r="BZ5" s="21" t="n"/>
      <c r="CA5" s="21" t="n"/>
      <c r="CB5" s="21" t="n"/>
      <c r="CC5" s="21" t="n"/>
      <c r="CD5" s="21" t="n"/>
      <c r="CE5" s="21" t="n"/>
      <c r="CF5" s="21" t="n"/>
      <c r="CG5" s="21" t="n"/>
      <c r="CH5" s="21" t="n"/>
      <c r="CI5" s="21" t="n"/>
      <c r="CJ5" s="21" t="n"/>
      <c r="CK5" s="21" t="n"/>
      <c r="CL5" s="21" t="n"/>
      <c r="CM5" s="21" t="n"/>
    </row>
    <row r="6" ht="5.1" customHeight="1">
      <c r="A6" s="165" t="n"/>
      <c r="B6" s="96" t="n"/>
      <c r="C6" s="96" t="n"/>
      <c r="D6" s="96" t="n"/>
      <c r="E6" s="96" t="n"/>
      <c r="F6" s="96" t="n"/>
      <c r="G6" s="96" t="n"/>
      <c r="H6" s="96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  <c r="AA6" s="96" t="n"/>
      <c r="AB6" s="96" t="n"/>
      <c r="AC6" s="96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6" t="n"/>
      <c r="AM6" s="96" t="n"/>
      <c r="AN6" s="96" t="n"/>
      <c r="AO6" s="96" t="n"/>
      <c r="AP6" s="96" t="n"/>
      <c r="AQ6" s="96" t="n"/>
      <c r="AR6" s="96" t="n"/>
      <c r="AS6" s="96" t="n"/>
      <c r="AT6" s="96" t="n"/>
      <c r="AU6" s="96" t="n"/>
      <c r="AV6" s="114" t="n"/>
      <c r="AW6" s="123" t="n"/>
      <c r="AX6" s="744">
        <f>IFERROR(VLOOKUP(Access!C4+3,'Instellingen HIDE'!H:I,2,FALSE),"")</f>
        <v/>
      </c>
      <c r="AY6" s="264" t="n"/>
      <c r="AZ6" s="264" t="n"/>
      <c r="BA6" s="264" t="n"/>
      <c r="BB6" s="124" t="n"/>
      <c r="BC6" s="838" t="n"/>
      <c r="BD6" s="838" t="n"/>
      <c r="BE6" s="838" t="n"/>
      <c r="BF6" s="838" t="n"/>
      <c r="BG6" s="838" t="n"/>
      <c r="BH6" s="838" t="n"/>
      <c r="BI6" s="838" t="n"/>
      <c r="BJ6" s="838" t="n"/>
      <c r="BK6" s="838" t="n"/>
      <c r="BL6" s="838" t="n"/>
      <c r="BM6" s="838" t="n"/>
      <c r="BN6" s="838" t="n"/>
      <c r="BO6" s="838" t="n"/>
      <c r="BP6" s="838" t="n"/>
      <c r="BQ6" s="21" t="n"/>
      <c r="BR6" s="21" t="n"/>
      <c r="BS6" s="21" t="n"/>
      <c r="BT6" s="21" t="n"/>
      <c r="BU6" s="21" t="n"/>
      <c r="BV6" s="21" t="n"/>
      <c r="BW6" s="21" t="n"/>
      <c r="BX6" s="21" t="n"/>
      <c r="BY6" s="21" t="n"/>
      <c r="BZ6" s="21" t="n"/>
      <c r="CA6" s="21" t="n"/>
      <c r="CB6" s="21" t="n"/>
      <c r="CC6" s="21" t="n"/>
      <c r="CD6" s="21" t="n"/>
      <c r="CE6" s="21" t="n"/>
      <c r="CF6" s="21" t="n"/>
      <c r="CG6" s="21" t="n"/>
      <c r="CH6" s="21" t="n"/>
      <c r="CI6" s="21" t="n"/>
      <c r="CJ6" s="21" t="n"/>
      <c r="CK6" s="21" t="n"/>
      <c r="CL6" s="21" t="n"/>
      <c r="CM6" s="21" t="n"/>
    </row>
    <row r="7" ht="3" customHeight="1">
      <c r="A7" s="604" t="n"/>
      <c r="B7" s="605" t="n"/>
      <c r="C7" s="605" t="n"/>
      <c r="D7" s="605" t="n"/>
      <c r="E7" s="605" t="n"/>
      <c r="F7" s="605" t="n"/>
      <c r="G7" s="605" t="n"/>
      <c r="H7" s="605" t="n"/>
      <c r="I7" s="605" t="n"/>
      <c r="J7" s="605" t="n"/>
      <c r="K7" s="605" t="n"/>
      <c r="L7" s="605" t="n"/>
      <c r="M7" s="605" t="n"/>
      <c r="N7" s="605" t="n"/>
      <c r="O7" s="605" t="n"/>
      <c r="P7" s="605" t="n"/>
      <c r="Q7" s="605" t="n"/>
      <c r="R7" s="605" t="n"/>
      <c r="S7" s="605" t="n"/>
      <c r="T7" s="605" t="n"/>
      <c r="U7" s="605" t="n"/>
      <c r="V7" s="605" t="n"/>
      <c r="W7" s="605" t="n"/>
      <c r="X7" s="605" t="n"/>
      <c r="Y7" s="605" t="n"/>
      <c r="Z7" s="605" t="n"/>
      <c r="AA7" s="605" t="n"/>
      <c r="AB7" s="605" t="n"/>
      <c r="AC7" s="605" t="n"/>
      <c r="AD7" s="605" t="n"/>
      <c r="AE7" s="605" t="n"/>
      <c r="AF7" s="605" t="n"/>
      <c r="AG7" s="605" t="n"/>
      <c r="AH7" s="605" t="n"/>
      <c r="AI7" s="605" t="n"/>
      <c r="AJ7" s="605" t="n"/>
      <c r="AK7" s="605" t="n"/>
      <c r="AL7" s="605" t="n"/>
      <c r="AM7" s="605" t="n"/>
      <c r="AN7" s="605" t="n"/>
      <c r="AO7" s="605" t="n"/>
      <c r="AP7" s="605" t="n"/>
      <c r="AQ7" s="605" t="n"/>
      <c r="AR7" s="605" t="n"/>
      <c r="AS7" s="605" t="n"/>
      <c r="AT7" s="605" t="n"/>
      <c r="AU7" s="605" t="n"/>
      <c r="AV7" s="605" t="n"/>
      <c r="AW7" s="124" t="n"/>
      <c r="AX7" s="264" t="n"/>
      <c r="AY7" s="264" t="n"/>
      <c r="AZ7" s="264" t="n"/>
      <c r="BA7" s="264" t="n"/>
      <c r="BB7" s="124" t="n"/>
      <c r="BC7" s="838" t="n"/>
      <c r="BD7" s="838" t="n"/>
      <c r="BE7" s="838" t="n"/>
      <c r="BF7" s="838" t="n"/>
      <c r="BG7" s="838" t="n"/>
      <c r="BH7" s="838" t="n"/>
      <c r="BI7" s="838" t="n"/>
      <c r="BJ7" s="838" t="n"/>
      <c r="BK7" s="838" t="n"/>
      <c r="BL7" s="838" t="n"/>
      <c r="BM7" s="838" t="n"/>
      <c r="BN7" s="838" t="n"/>
      <c r="BO7" s="838" t="n"/>
      <c r="BP7" s="838" t="n"/>
      <c r="BQ7" s="21" t="n"/>
      <c r="BR7" s="21" t="n"/>
      <c r="BS7" s="21" t="n"/>
      <c r="BT7" s="21" t="n"/>
      <c r="BU7" s="21" t="n"/>
      <c r="BV7" s="21" t="n"/>
      <c r="BW7" s="21" t="n"/>
      <c r="BX7" s="21" t="n"/>
      <c r="BY7" s="21" t="n"/>
      <c r="BZ7" s="21" t="n"/>
      <c r="CA7" s="21" t="n"/>
      <c r="CB7" s="21" t="n"/>
      <c r="CC7" s="21" t="n"/>
      <c r="CD7" s="21" t="n"/>
      <c r="CE7" s="21" t="n"/>
      <c r="CF7" s="21" t="n"/>
      <c r="CG7" s="21" t="n"/>
      <c r="CH7" s="21" t="n"/>
      <c r="CI7" s="21" t="n"/>
      <c r="CJ7" s="21" t="n"/>
      <c r="CK7" s="21" t="n"/>
      <c r="CL7" s="21" t="n"/>
      <c r="CM7" s="21" t="n"/>
    </row>
    <row r="8" ht="3" customHeight="1">
      <c r="A8" s="602" t="n"/>
      <c r="B8" s="603" t="n"/>
      <c r="C8" s="603" t="n"/>
      <c r="D8" s="603" t="n"/>
      <c r="E8" s="603" t="n"/>
      <c r="F8" s="603" t="n"/>
      <c r="G8" s="603" t="n"/>
      <c r="H8" s="603" t="n"/>
      <c r="I8" s="603" t="n"/>
      <c r="J8" s="603" t="n"/>
      <c r="K8" s="603" t="n"/>
      <c r="L8" s="603" t="n"/>
      <c r="M8" s="603" t="n"/>
      <c r="N8" s="603" t="n"/>
      <c r="O8" s="603" t="n"/>
      <c r="P8" s="603" t="n"/>
      <c r="Q8" s="603" t="n"/>
      <c r="R8" s="603" t="n"/>
      <c r="S8" s="603" t="n"/>
      <c r="T8" s="603" t="n"/>
      <c r="U8" s="603" t="n"/>
      <c r="V8" s="603" t="n"/>
      <c r="W8" s="603" t="n"/>
      <c r="X8" s="603" t="n"/>
      <c r="Y8" s="603" t="n"/>
      <c r="Z8" s="603" t="n"/>
      <c r="AA8" s="603" t="n"/>
      <c r="AB8" s="603" t="n"/>
      <c r="AC8" s="603" t="n"/>
      <c r="AD8" s="603" t="n"/>
      <c r="AE8" s="603" t="n"/>
      <c r="AF8" s="603" t="n"/>
      <c r="AG8" s="603" t="n"/>
      <c r="AH8" s="603" t="n"/>
      <c r="AI8" s="603" t="n"/>
      <c r="AJ8" s="603" t="n"/>
      <c r="AK8" s="603" t="n"/>
      <c r="AL8" s="603" t="n"/>
      <c r="AM8" s="603" t="n"/>
      <c r="AN8" s="603" t="n"/>
      <c r="AO8" s="603" t="n"/>
      <c r="AP8" s="603" t="n"/>
      <c r="AQ8" s="603" t="n"/>
      <c r="AR8" s="603" t="n"/>
      <c r="AS8" s="603" t="n"/>
      <c r="AT8" s="603" t="n"/>
      <c r="AU8" s="603" t="n"/>
      <c r="AV8" s="603" t="n"/>
      <c r="AW8" s="124" t="n"/>
      <c r="AX8" s="264" t="n"/>
      <c r="AY8" s="264" t="n"/>
      <c r="AZ8" s="264" t="n"/>
      <c r="BA8" s="264" t="n"/>
      <c r="BB8" s="124" t="n"/>
      <c r="BC8" s="838" t="n"/>
      <c r="BD8" s="838" t="n"/>
      <c r="BE8" s="838" t="n"/>
      <c r="BF8" s="838" t="n"/>
      <c r="BG8" s="838" t="n"/>
      <c r="BH8" s="838" t="n"/>
      <c r="BI8" s="838" t="n"/>
      <c r="BJ8" s="838" t="n"/>
      <c r="BK8" s="838" t="n"/>
      <c r="BL8" s="838" t="n"/>
      <c r="BM8" s="838" t="n"/>
      <c r="BN8" s="838" t="n"/>
      <c r="BO8" s="838" t="n"/>
      <c r="BP8" s="838" t="n"/>
      <c r="BQ8" s="21" t="n"/>
      <c r="BR8" s="21" t="n"/>
      <c r="BS8" s="21" t="n"/>
      <c r="BT8" s="21" t="n"/>
      <c r="BU8" s="21" t="n"/>
      <c r="BV8" s="21" t="n"/>
      <c r="BW8" s="21" t="n"/>
      <c r="BX8" s="21" t="n"/>
      <c r="BY8" s="21" t="n"/>
      <c r="BZ8" s="21" t="n"/>
      <c r="CA8" s="21" t="n"/>
      <c r="CB8" s="21" t="n"/>
      <c r="CC8" s="21" t="n"/>
      <c r="CD8" s="21" t="n"/>
      <c r="CE8" s="21" t="n"/>
      <c r="CF8" s="21" t="n"/>
      <c r="CG8" s="21" t="n"/>
      <c r="CH8" s="21" t="n"/>
      <c r="CI8" s="21" t="n"/>
      <c r="CJ8" s="21" t="n"/>
      <c r="CK8" s="21" t="n"/>
      <c r="CL8" s="21" t="n"/>
      <c r="CM8" s="21" t="n"/>
    </row>
    <row r="9" ht="12" customHeight="1">
      <c r="A9" s="159" t="n"/>
      <c r="B9" s="838">
        <f>CONCATENATE("AH ",VLOOKUP(Access!C3,'Instellingen HIDE'!A:B,2,FALSE),", ",VLOOKUP(Access!C3,'Instellingen HIDE'!A:C,3,FALSE),", ",VLOOKUP(Access!C3,'Instellingen HIDE'!A:D,4,FALSE)," ",VLOOKUP(Access!C3,'Instellingen HIDE'!A:E,5,FALSE),", (telefoon: ",VLOOKUP(Access!C3,'Instellingen HIDE'!A:F,6,FALSE),")")</f>
        <v/>
      </c>
      <c r="C9" s="838" t="n"/>
      <c r="D9" s="838" t="n"/>
      <c r="E9" s="838" t="n"/>
      <c r="F9" s="838" t="n"/>
      <c r="G9" s="838" t="n"/>
      <c r="H9" s="838" t="n"/>
      <c r="I9" s="838" t="n"/>
      <c r="J9" s="838" t="n"/>
      <c r="K9" s="838" t="n"/>
      <c r="L9" s="838" t="n"/>
      <c r="M9" s="838" t="n"/>
      <c r="N9" s="838" t="n"/>
      <c r="O9" s="838" t="n"/>
      <c r="P9" s="838" t="n"/>
      <c r="Q9" s="838" t="n"/>
      <c r="R9" s="838" t="n"/>
      <c r="S9" s="838" t="n"/>
      <c r="T9" s="838" t="n"/>
      <c r="U9" s="838" t="n"/>
      <c r="V9" s="838" t="n"/>
      <c r="W9" s="838" t="n"/>
      <c r="X9" s="838" t="n"/>
      <c r="Y9" s="838" t="n"/>
      <c r="Z9" s="838" t="n"/>
      <c r="AA9" s="838" t="n"/>
      <c r="AB9" s="838" t="n"/>
      <c r="AC9" s="838" t="n"/>
      <c r="AD9" s="838" t="n"/>
      <c r="AE9" s="838" t="n"/>
      <c r="AF9" s="838" t="n"/>
      <c r="AG9" s="838" t="n"/>
      <c r="AH9" s="838" t="n"/>
      <c r="AI9" s="838" t="n"/>
      <c r="AJ9" s="838" t="n"/>
      <c r="AK9" s="838" t="n"/>
      <c r="AL9" s="838" t="n"/>
      <c r="AM9" s="838" t="n"/>
      <c r="AN9" s="838" t="n"/>
      <c r="AO9" s="838" t="n"/>
      <c r="AP9" s="838" t="n"/>
      <c r="AQ9" s="838" t="n"/>
      <c r="AR9" s="838" t="n"/>
      <c r="AS9" s="838" t="n"/>
      <c r="AT9" s="838" t="n"/>
      <c r="AU9" s="838" t="n"/>
      <c r="AV9" s="115" t="inlineStr">
        <is>
          <t>DagritmeONLINE Versie  100.53</t>
        </is>
      </c>
      <c r="AW9" s="123" t="n"/>
      <c r="AX9" s="264" t="n"/>
      <c r="AY9" s="264" t="n"/>
      <c r="AZ9" s="264" t="n"/>
      <c r="BA9" s="264" t="n"/>
      <c r="BB9" s="124" t="n"/>
      <c r="BC9" s="838" t="n"/>
      <c r="BD9" s="838" t="n"/>
      <c r="BE9" s="838" t="n"/>
      <c r="BF9" s="838" t="n"/>
      <c r="BG9" s="838" t="n"/>
      <c r="BH9" s="838" t="n"/>
      <c r="BI9" s="838" t="n"/>
      <c r="BJ9" s="838" t="n"/>
      <c r="BK9" s="838" t="n"/>
      <c r="BL9" s="838" t="n"/>
      <c r="BM9" s="838" t="n"/>
      <c r="BN9" s="838" t="n"/>
      <c r="BO9" s="838" t="n"/>
      <c r="BP9" s="838" t="n"/>
      <c r="BQ9" s="21" t="n"/>
      <c r="BR9" s="21" t="n"/>
      <c r="BS9" s="21" t="n"/>
      <c r="BT9" s="21" t="n"/>
      <c r="BU9" s="21" t="n"/>
      <c r="BV9" s="21" t="n"/>
      <c r="BW9" s="21" t="n"/>
      <c r="BX9" s="21" t="n"/>
      <c r="BY9" s="21" t="n"/>
      <c r="BZ9" s="21" t="n"/>
      <c r="CA9" s="21" t="n"/>
      <c r="CB9" s="21" t="n"/>
      <c r="CC9" s="21" t="n"/>
      <c r="CD9" s="21" t="n"/>
      <c r="CE9" s="21" t="n"/>
      <c r="CF9" s="21" t="n"/>
      <c r="CG9" s="21" t="n"/>
      <c r="CH9" s="21" t="n"/>
      <c r="CI9" s="21" t="n"/>
      <c r="CJ9" s="21" t="n"/>
      <c r="CK9" s="21" t="n"/>
      <c r="CL9" s="21" t="n"/>
      <c r="CM9" s="21" t="n"/>
    </row>
    <row r="10" ht="6" customHeight="1">
      <c r="A10" s="160" t="n"/>
      <c r="B10" s="95" t="n"/>
      <c r="C10" s="95" t="n"/>
      <c r="D10" s="95" t="n"/>
      <c r="E10" s="95" t="n"/>
      <c r="F10" s="95" t="n"/>
      <c r="G10" s="95" t="n"/>
      <c r="H10" s="95" t="n"/>
      <c r="I10" s="95" t="n"/>
      <c r="J10" s="95" t="n"/>
      <c r="K10" s="95" t="n"/>
      <c r="L10" s="95" t="n"/>
      <c r="M10" s="95" t="n"/>
      <c r="N10" s="95" t="n"/>
      <c r="O10" s="95" t="n"/>
      <c r="P10" s="95" t="n"/>
      <c r="Q10" s="95" t="n"/>
      <c r="R10" s="95" t="n"/>
      <c r="S10" s="95" t="n"/>
      <c r="T10" s="95" t="n"/>
      <c r="U10" s="95" t="n"/>
      <c r="V10" s="95" t="n"/>
      <c r="W10" s="95" t="n"/>
      <c r="X10" s="95" t="n"/>
      <c r="Y10" s="95" t="n"/>
      <c r="Z10" s="95" t="n"/>
      <c r="AA10" s="95" t="n"/>
      <c r="AB10" s="95" t="n"/>
      <c r="AC10" s="95" t="n"/>
      <c r="AD10" s="95" t="n"/>
      <c r="AE10" s="95" t="n"/>
      <c r="AF10" s="95" t="n"/>
      <c r="AG10" s="95" t="n"/>
      <c r="AH10" s="95" t="n"/>
      <c r="AI10" s="95" t="n"/>
      <c r="AJ10" s="95" t="n"/>
      <c r="AK10" s="95" t="n"/>
      <c r="AL10" s="95" t="n"/>
      <c r="AM10" s="95" t="n"/>
      <c r="AN10" s="95" t="n"/>
      <c r="AO10" s="95" t="n"/>
      <c r="AP10" s="95" t="n"/>
      <c r="AQ10" s="95" t="n"/>
      <c r="AR10" s="95" t="n"/>
      <c r="AS10" s="95" t="n"/>
      <c r="AT10" s="95" t="n"/>
      <c r="AU10" s="95" t="n"/>
      <c r="AV10" s="114" t="n"/>
      <c r="AW10" s="106" t="n"/>
      <c r="AX10" s="745" t="n"/>
      <c r="AY10" s="264" t="n"/>
      <c r="AZ10" s="264" t="n"/>
      <c r="BA10" s="264" t="n"/>
      <c r="BB10" s="838" t="n"/>
      <c r="BC10" s="838" t="n"/>
      <c r="BD10" s="838" t="n"/>
      <c r="BE10" s="838" t="n"/>
      <c r="BF10" s="838" t="n"/>
      <c r="BG10" s="838" t="n"/>
      <c r="BH10" s="838" t="n"/>
      <c r="BI10" s="838" t="n"/>
      <c r="BJ10" s="838" t="n"/>
      <c r="BK10" s="838" t="n"/>
      <c r="BL10" s="838" t="n"/>
      <c r="BM10" s="838" t="n"/>
      <c r="BN10" s="838" t="n"/>
      <c r="BO10" s="838" t="n"/>
      <c r="BP10" s="838" t="n"/>
      <c r="BQ10" s="21" t="n"/>
      <c r="BR10" s="21" t="n"/>
      <c r="BS10" s="21" t="n"/>
      <c r="BT10" s="21" t="n"/>
      <c r="BU10" s="21" t="n"/>
      <c r="BV10" s="21" t="n"/>
      <c r="BW10" s="21" t="n"/>
      <c r="BX10" s="21" t="n"/>
      <c r="BY10" s="21" t="n"/>
      <c r="BZ10" s="21" t="n"/>
      <c r="CA10" s="21" t="n"/>
      <c r="CB10" s="21" t="n"/>
      <c r="CC10" s="21" t="n"/>
      <c r="CD10" s="21" t="n"/>
      <c r="CE10" s="21" t="n"/>
      <c r="CF10" s="21" t="n"/>
      <c r="CG10" s="21" t="n"/>
      <c r="CH10" s="21" t="n"/>
      <c r="CI10" s="21" t="n"/>
      <c r="CJ10" s="21" t="n"/>
      <c r="CK10" s="21" t="n"/>
      <c r="CL10" s="21" t="n"/>
      <c r="CM10" s="21" t="n"/>
    </row>
    <row r="11" hidden="1" ht="13.5" customHeight="1">
      <c r="A11" s="159" t="n"/>
      <c r="B11" s="838" t="n"/>
      <c r="C11" s="95" t="n"/>
      <c r="D11" s="95" t="n"/>
      <c r="E11" s="95" t="n"/>
      <c r="F11" s="23" t="n">
        <v>0.2083333333333333</v>
      </c>
      <c r="G11" s="24" t="n">
        <v>0.2291666666666667</v>
      </c>
      <c r="H11" s="24" t="n">
        <v>0.25</v>
      </c>
      <c r="I11" s="24" t="n">
        <v>0.2708333333333333</v>
      </c>
      <c r="J11" s="24" t="n">
        <v>0.2916666666666667</v>
      </c>
      <c r="K11" s="24" t="n">
        <v>0.3125</v>
      </c>
      <c r="L11" s="24" t="n">
        <v>0.3333333333333333</v>
      </c>
      <c r="M11" s="24" t="n">
        <v>0.3541666666666667</v>
      </c>
      <c r="N11" s="24" t="n">
        <v>0.375</v>
      </c>
      <c r="O11" s="24" t="n">
        <v>0.3958333333333333</v>
      </c>
      <c r="P11" s="24" t="n">
        <v>0.4166666666666667</v>
      </c>
      <c r="Q11" s="24" t="n">
        <v>0.4375</v>
      </c>
      <c r="R11" s="24" t="n">
        <v>0.4583333333333333</v>
      </c>
      <c r="S11" s="24" t="n">
        <v>0.4791666666666667</v>
      </c>
      <c r="T11" s="24" t="n">
        <v>0.5</v>
      </c>
      <c r="U11" s="24" t="n">
        <v>0.5208333333333334</v>
      </c>
      <c r="V11" s="24" t="n">
        <v>0.5416666666666666</v>
      </c>
      <c r="W11" s="24" t="n">
        <v>0.5625</v>
      </c>
      <c r="X11" s="24" t="n">
        <v>0.5833333333333334</v>
      </c>
      <c r="Y11" s="24" t="n">
        <v>0.6041666666666666</v>
      </c>
      <c r="Z11" s="24" t="n">
        <v>0.625</v>
      </c>
      <c r="AA11" s="24" t="n">
        <v>0.6458333333333334</v>
      </c>
      <c r="AB11" s="24" t="n">
        <v>0.6666666666666666</v>
      </c>
      <c r="AC11" s="24" t="n">
        <v>0.6875</v>
      </c>
      <c r="AD11" s="53" t="n">
        <v>0.7083333333333334</v>
      </c>
      <c r="AE11" s="53" t="n">
        <v>0.7291666666666666</v>
      </c>
      <c r="AF11" s="53" t="n">
        <v>0.75</v>
      </c>
      <c r="AG11" s="53" t="n">
        <v>0.7708333333333334</v>
      </c>
      <c r="AH11" s="53" t="n">
        <v>0.7916666666666666</v>
      </c>
      <c r="AI11" s="53" t="n">
        <v>0.8125</v>
      </c>
      <c r="AJ11" s="53" t="n">
        <v>0.8333333333333334</v>
      </c>
      <c r="AK11" s="53" t="n">
        <v>0.8541666666666666</v>
      </c>
      <c r="AL11" s="54" t="n">
        <v>0.875</v>
      </c>
      <c r="AM11" s="55" t="n">
        <v>0.8958333333333334</v>
      </c>
      <c r="AN11" s="25" t="n">
        <v>0.9166666666666666</v>
      </c>
      <c r="AO11" s="55" t="n">
        <v>0.9375</v>
      </c>
      <c r="AP11" s="26" t="n">
        <v>0.9583333333333334</v>
      </c>
      <c r="AQ11" s="27" t="n">
        <v>0.9791666666666666</v>
      </c>
      <c r="AR11" s="719" t="inlineStr">
        <is>
          <t>Beschikbaarheid</t>
        </is>
      </c>
      <c r="AS11" s="264" t="n"/>
      <c r="AT11" s="719" t="n"/>
      <c r="AU11" s="106" t="n"/>
      <c r="AV11" s="116" t="n"/>
      <c r="AW11" s="106" t="n"/>
      <c r="AX11" s="838" t="n"/>
      <c r="AY11" s="17" t="n"/>
      <c r="AZ11" s="18" t="n"/>
      <c r="BA11" s="19" t="n"/>
      <c r="BB11" s="838" t="n"/>
      <c r="BC11" s="838" t="n"/>
      <c r="BD11" s="838" t="n"/>
      <c r="BE11" s="838" t="n"/>
      <c r="BF11" s="838" t="n"/>
      <c r="BG11" s="838" t="n"/>
      <c r="BH11" s="838" t="n"/>
      <c r="BI11" s="838" t="n"/>
      <c r="BJ11" s="838" t="n"/>
      <c r="BK11" s="838" t="n"/>
      <c r="BL11" s="838" t="n"/>
      <c r="BM11" s="838" t="n"/>
      <c r="BN11" s="838" t="n"/>
      <c r="BO11" s="838" t="n"/>
      <c r="BP11" s="838" t="n"/>
      <c r="BQ11" s="21" t="n"/>
      <c r="BR11" s="21" t="n"/>
      <c r="BS11" s="21" t="n"/>
      <c r="BT11" s="21" t="n"/>
      <c r="BU11" s="21" t="n"/>
      <c r="BV11" s="21" t="n"/>
      <c r="BW11" s="21" t="n"/>
      <c r="BX11" s="21" t="n"/>
      <c r="BY11" s="21" t="n"/>
      <c r="BZ11" s="21" t="n"/>
      <c r="CA11" s="21" t="n"/>
      <c r="CB11" s="21" t="n"/>
      <c r="CC11" s="21" t="n"/>
      <c r="CD11" s="21" t="n"/>
      <c r="CE11" s="21" t="n"/>
      <c r="CF11" s="21" t="n"/>
      <c r="CG11" s="21" t="n"/>
      <c r="CH11" s="21" t="n"/>
      <c r="CI11" s="21" t="n"/>
      <c r="CJ11" s="21" t="n"/>
      <c r="CK11" s="21" t="n"/>
      <c r="CL11" s="21" t="n"/>
      <c r="CM11" s="21" t="n"/>
    </row>
    <row r="12" ht="12" customHeight="1">
      <c r="A12" s="160" t="n"/>
      <c r="B12" s="107" t="n"/>
      <c r="C12" s="97" t="inlineStr">
        <is>
          <t>Functie</t>
        </is>
      </c>
      <c r="D12" s="97" t="inlineStr">
        <is>
          <t>Begin</t>
        </is>
      </c>
      <c r="E12" s="97" t="inlineStr">
        <is>
          <t>Eind</t>
        </is>
      </c>
      <c r="F12" s="872" t="n">
        <v>0.2083333333333333</v>
      </c>
      <c r="G12" s="873" t="n"/>
      <c r="H12" s="874" t="n">
        <v>0.25</v>
      </c>
      <c r="I12" s="875" t="n"/>
      <c r="J12" s="874" t="n">
        <v>0.2916666666666667</v>
      </c>
      <c r="K12" s="875" t="n"/>
      <c r="L12" s="874" t="n">
        <v>0.3333333333333333</v>
      </c>
      <c r="M12" s="875" t="n"/>
      <c r="N12" s="874" t="n">
        <v>0.375</v>
      </c>
      <c r="O12" s="875" t="n"/>
      <c r="P12" s="874" t="n">
        <v>0.4166666666666667</v>
      </c>
      <c r="Q12" s="875" t="n"/>
      <c r="R12" s="874" t="n">
        <v>0.4583333333333333</v>
      </c>
      <c r="S12" s="875" t="n"/>
      <c r="T12" s="874" t="n">
        <v>0.5</v>
      </c>
      <c r="U12" s="875" t="n"/>
      <c r="V12" s="874" t="n">
        <v>0.5416666666666666</v>
      </c>
      <c r="W12" s="875" t="n"/>
      <c r="X12" s="874" t="n">
        <v>0.5833333333333334</v>
      </c>
      <c r="Y12" s="875" t="n"/>
      <c r="Z12" s="874" t="n">
        <v>0.625</v>
      </c>
      <c r="AA12" s="875" t="n"/>
      <c r="AB12" s="874" t="n">
        <v>0.6666666666666666</v>
      </c>
      <c r="AC12" s="875" t="n"/>
      <c r="AD12" s="874" t="n">
        <v>0.7083333333333334</v>
      </c>
      <c r="AE12" s="875" t="n"/>
      <c r="AF12" s="876" t="n">
        <v>0.75</v>
      </c>
      <c r="AG12" s="875" t="n"/>
      <c r="AH12" s="874" t="n">
        <v>0.7916666666666666</v>
      </c>
      <c r="AI12" s="875" t="n"/>
      <c r="AJ12" s="874" t="n">
        <v>0.8333333333333334</v>
      </c>
      <c r="AK12" s="875" t="n"/>
      <c r="AL12" s="872" t="n">
        <v>0.875</v>
      </c>
      <c r="AM12" s="873" t="n"/>
      <c r="AN12" s="872" t="n">
        <v>0.9166666666666666</v>
      </c>
      <c r="AO12" s="873" t="n"/>
      <c r="AP12" s="872" t="n">
        <v>0.9583333333333334</v>
      </c>
      <c r="AQ12" s="873" t="n"/>
      <c r="AR12" s="98" t="inlineStr">
        <is>
          <t>Begin</t>
        </is>
      </c>
      <c r="AS12" s="98" t="inlineStr">
        <is>
          <t>Eind</t>
        </is>
      </c>
      <c r="AT12" s="99" t="n"/>
      <c r="AU12" s="432" t="inlineStr">
        <is>
          <t>Afw</t>
        </is>
      </c>
      <c r="AV12" s="433" t="inlineStr">
        <is>
          <t>Uren</t>
        </is>
      </c>
      <c r="AW12" s="100" t="inlineStr">
        <is>
          <t>Cont</t>
        </is>
      </c>
      <c r="AX12" s="101" t="inlineStr">
        <is>
          <t>Week</t>
        </is>
      </c>
      <c r="AY12" s="17" t="n"/>
      <c r="AZ12" s="28" t="n"/>
      <c r="BA12" s="29">
        <f>IF(AY12&lt;99,IF(AY12=0,"",((COUNTIF($E$13:$AQ$61,AY12))/2)),IF(AY12=0,"",((COUNTIF($E$13:$AQ$61,CONCATENATE(AY12,"*")))/2)+(COUNTIF($E$13:$AQ$61,CONCATENATE("x",AY12,"*")))/4))</f>
        <v/>
      </c>
      <c r="BB12" s="838" t="n"/>
      <c r="BC12" s="102" t="inlineStr">
        <is>
          <t>Naam</t>
        </is>
      </c>
      <c r="BD12" s="103" t="n"/>
      <c r="BE12" s="877" t="inlineStr">
        <is>
          <t>Maandag</t>
        </is>
      </c>
      <c r="BF12" s="878" t="n"/>
      <c r="BG12" s="103" t="n"/>
      <c r="BH12" s="103" t="n"/>
      <c r="BI12" s="877" t="inlineStr">
        <is>
          <t>Dinsdag</t>
        </is>
      </c>
      <c r="BJ12" s="878" t="n"/>
      <c r="BK12" s="103" t="n"/>
      <c r="BL12" s="103" t="n"/>
      <c r="BM12" s="877" t="inlineStr">
        <is>
          <t>Woensdag</t>
        </is>
      </c>
      <c r="BN12" s="878" t="n"/>
      <c r="BO12" s="103" t="n"/>
      <c r="BP12" s="103" t="n"/>
      <c r="BQ12" s="877" t="inlineStr">
        <is>
          <t>Donderdag</t>
        </is>
      </c>
      <c r="BR12" s="878" t="n"/>
      <c r="BS12" s="103" t="n"/>
      <c r="BT12" s="103" t="n"/>
      <c r="BU12" s="877" t="inlineStr">
        <is>
          <t>Vrijdag</t>
        </is>
      </c>
      <c r="BV12" s="878" t="n"/>
      <c r="BW12" s="103" t="n"/>
      <c r="BX12" s="103" t="n"/>
      <c r="BY12" s="877" t="inlineStr">
        <is>
          <t>Zaterdag</t>
        </is>
      </c>
      <c r="BZ12" s="878" t="n"/>
      <c r="CA12" s="103" t="n"/>
      <c r="CB12" s="103" t="n"/>
      <c r="CC12" s="877" t="inlineStr">
        <is>
          <t>Zondag</t>
        </is>
      </c>
      <c r="CD12" s="878" t="n"/>
      <c r="CE12" s="103" t="n"/>
      <c r="CF12" s="103" t="n"/>
      <c r="CG12" s="103" t="n"/>
      <c r="CH12" s="103" t="n"/>
      <c r="CI12" s="250">
        <f>"+/-"</f>
        <v/>
      </c>
      <c r="CJ12" s="250">
        <f>CONCATENATE("&lt;",ROUNDUP(Instellingen!$I$8,0))</f>
        <v/>
      </c>
      <c r="CK12" s="250">
        <f>CONCATENATE("&lt;",ROUNDUP(Instellingen!$I$9,0))</f>
        <v/>
      </c>
      <c r="CL12" s="104" t="inlineStr">
        <is>
          <t>Dag</t>
        </is>
      </c>
      <c r="CM12" s="21" t="n"/>
    </row>
    <row r="13" ht="12.75" customHeight="1">
      <c r="A13" s="161">
        <f>IFERROR(IF(VLOOKUP($B13,$BC$13:$CL$86,36,FALSE)&gt;5,0,IF(COUNTIF($B$13:$B$63,$B13)&gt;1,0,1)),1)+IF(B13&lt;&gt;0,0,IF(AV13&gt;0,0.000001,0))</f>
        <v/>
      </c>
      <c r="B13" s="51" t="inlineStr">
        <is>
          <t>Jacco Maas</t>
        </is>
      </c>
      <c r="C13" s="48">
        <f>IFERROR(IF($B13="","",VLOOKUP($B13,Medewerker!$C$8:$AI$107,33,FALSE)),"?")</f>
        <v/>
      </c>
      <c r="D13" s="879">
        <f t="array" ref="D13">IFERROR(IF(LEFT(INDEX($F13:$AQ13,1,SUM(SMALL(IF($F13:$AQ13&lt;&gt;"",COLUMN($F13:$AQ13)),1)-5)),1)="x",SUM(SMALL(IF($F13:$AQ13&lt;&gt;"",$F$11:$AQ$11),1)+"0:15"),SMALL(IF($F13:$AQ13&lt;&gt;"",$F$11:$AQ$11),1)),"")</f>
        <v/>
      </c>
      <c r="E13" s="879">
        <f t="array" ref="E13">IFERROR(IF(LEFT(INDEX($F13:$AQ13,1,SUM(LARGE(IF($F13:$AQ13&lt;&gt;"",COLUMN($F13:$AQ13)),1)-5)),1)="x",SUM(LARGE(IF($F13:$AQ13&lt;&gt;"",$F$11:$AQ$11+"0:30:00"),1)-"0:15"),LARGE(IF($F13:$AQ13&lt;&gt;"",$F$11:$AQ$11+"0:30:00"),1)),"")</f>
        <v/>
      </c>
      <c r="F13" s="37" t="n"/>
      <c r="G13" s="38" t="n"/>
      <c r="H13" s="40" t="inlineStr">
        <is>
          <t>sl</t>
        </is>
      </c>
      <c r="I13" s="41" t="inlineStr">
        <is>
          <t>sl</t>
        </is>
      </c>
      <c r="J13" s="40" t="inlineStr">
        <is>
          <t>sl</t>
        </is>
      </c>
      <c r="K13" s="42" t="inlineStr">
        <is>
          <t>sl</t>
        </is>
      </c>
      <c r="L13" s="43" t="inlineStr">
        <is>
          <t>sl</t>
        </is>
      </c>
      <c r="M13" s="41" t="inlineStr">
        <is>
          <t>sl</t>
        </is>
      </c>
      <c r="N13" s="40" t="inlineStr">
        <is>
          <t>sl</t>
        </is>
      </c>
      <c r="O13" s="42" t="inlineStr">
        <is>
          <t>sl</t>
        </is>
      </c>
      <c r="P13" s="43" t="inlineStr">
        <is>
          <t>p</t>
        </is>
      </c>
      <c r="Q13" s="41" t="inlineStr">
        <is>
          <t>sl</t>
        </is>
      </c>
      <c r="R13" s="40" t="inlineStr">
        <is>
          <t>sl</t>
        </is>
      </c>
      <c r="S13" s="42" t="inlineStr">
        <is>
          <t>sl</t>
        </is>
      </c>
      <c r="T13" s="43" t="inlineStr">
        <is>
          <t>sl</t>
        </is>
      </c>
      <c r="U13" s="41" t="inlineStr">
        <is>
          <t>sl</t>
        </is>
      </c>
      <c r="V13" s="40" t="inlineStr">
        <is>
          <t>sl</t>
        </is>
      </c>
      <c r="W13" s="42" t="inlineStr">
        <is>
          <t>sl</t>
        </is>
      </c>
      <c r="X13" s="43" t="n"/>
      <c r="Y13" s="41" t="n"/>
      <c r="Z13" s="40" t="n"/>
      <c r="AA13" s="42" t="n"/>
      <c r="AB13" s="43" t="n"/>
      <c r="AC13" s="41" t="n"/>
      <c r="AD13" s="40" t="n"/>
      <c r="AE13" s="42" t="n"/>
      <c r="AF13" s="43" t="n"/>
      <c r="AG13" s="41" t="n"/>
      <c r="AH13" s="40" t="n"/>
      <c r="AI13" s="42" t="n"/>
      <c r="AJ13" s="43" t="n"/>
      <c r="AK13" s="41" t="n"/>
      <c r="AL13" s="40" t="n"/>
      <c r="AM13" s="38" t="n"/>
      <c r="AN13" s="644" t="n"/>
      <c r="AO13" s="39" t="n"/>
      <c r="AP13" s="37" t="n"/>
      <c r="AQ13" s="38" t="n"/>
      <c r="AR13" s="880">
        <f>IFERROR(IF(VLOOKUP($B13,Medewerker!$C$8:$U$107,19,FALSE)="",VLOOKUP($B13,Medewerker!$C$8:$U$107,17,FALSE),0),0)</f>
        <v/>
      </c>
      <c r="AS13" s="881">
        <f>IFERROR(IF(B13="",1,IF(VLOOKUP($B13,Medewerker!$C$8:$U$107,19,FALSE)="",VLOOKUP($B13,Medewerker!$C$8:$U$107,18,FALSE),0)),0)</f>
        <v/>
      </c>
      <c r="AT13" s="49" t="n"/>
      <c r="AU13" s="49">
        <f>(COUNTIF(F13:AQ13,"afw"))/2</f>
        <v/>
      </c>
      <c r="AV13" s="111">
        <f>((38-(COUNTIF(F13:AQ13,"")))/2)-(COUNTIF(F13:AQ13,"p")/2)-(COUNTIF(F13:AQ13,CONCATENATE("x","*"))/4)</f>
        <v/>
      </c>
      <c r="AW13" s="70">
        <f>IF($B13="","",VLOOKUP($B13,Medewerker!$C$8:$E$107,3,FALSE))</f>
        <v/>
      </c>
      <c r="AX13" s="404">
        <f>IFERROR(VLOOKUP($B13,Planning!$B$6:$AG$105,32,FALSE)*24,"")</f>
        <v/>
      </c>
      <c r="AY13" s="882" t="inlineStr">
        <is>
          <t>Vullen</t>
        </is>
      </c>
      <c r="AZ13" s="883" t="n"/>
      <c r="BA13" s="884" t="n"/>
      <c r="BB13" s="838" t="n"/>
      <c r="BC13" s="31">
        <f>IF(Planning!B6="","",Planning!B6)</f>
        <v/>
      </c>
      <c r="BD13" s="105" t="n"/>
      <c r="BE13" s="885">
        <f>Planning!E6</f>
        <v/>
      </c>
      <c r="BF13" s="885">
        <f>Planning!F6</f>
        <v/>
      </c>
      <c r="BG13" s="886" t="n"/>
      <c r="BH13" s="105" t="n"/>
      <c r="BI13" s="885">
        <f>Planning!I6</f>
        <v/>
      </c>
      <c r="BJ13" s="885">
        <f>Planning!J6</f>
        <v/>
      </c>
      <c r="BK13" s="886" t="n"/>
      <c r="BL13" s="105" t="n"/>
      <c r="BM13" s="885">
        <f>Planning!M6</f>
        <v/>
      </c>
      <c r="BN13" s="885">
        <f>Planning!N6</f>
        <v/>
      </c>
      <c r="BO13" s="886" t="n"/>
      <c r="BP13" s="105" t="n"/>
      <c r="BQ13" s="885">
        <f>Planning!Q6</f>
        <v/>
      </c>
      <c r="BR13" s="885">
        <f>Planning!R6</f>
        <v/>
      </c>
      <c r="BS13" s="886" t="n"/>
      <c r="BT13" s="105" t="n"/>
      <c r="BU13" s="885">
        <f>Planning!U6</f>
        <v/>
      </c>
      <c r="BV13" s="885">
        <f>Planning!V6</f>
        <v/>
      </c>
      <c r="BW13" s="886" t="n"/>
      <c r="BX13" s="105" t="n"/>
      <c r="BY13" s="885">
        <f>Planning!Y6</f>
        <v/>
      </c>
      <c r="BZ13" s="885">
        <f>Planning!Z6</f>
        <v/>
      </c>
      <c r="CA13" s="886" t="n"/>
      <c r="CB13" s="105" t="n"/>
      <c r="CC13" s="885">
        <f>Planning!AC6</f>
        <v/>
      </c>
      <c r="CD13" s="885">
        <f>Planning!AD6</f>
        <v/>
      </c>
      <c r="CE13" s="886" t="n"/>
      <c r="CF13" s="105" t="n"/>
      <c r="CG13" s="887">
        <f>Planning!AG6</f>
        <v/>
      </c>
      <c r="CH13" s="105" t="n"/>
      <c r="CI13" s="252">
        <f>IF(BC13="","",Planning!AI6)</f>
        <v/>
      </c>
      <c r="CJ13" s="252">
        <f>IF(BC13="","",Planning!AJ6)</f>
        <v/>
      </c>
      <c r="CK13" s="252">
        <f>IF(BC13="","",Planning!AK6)</f>
        <v/>
      </c>
      <c r="CL13" s="252">
        <f>IF(BC13="","",Planning!AH6)</f>
        <v/>
      </c>
      <c r="CM13" s="21" t="n"/>
    </row>
    <row r="14" ht="12.75" customHeight="1">
      <c r="A14" s="161">
        <f>IFERROR(IF(VLOOKUP($B14,$BC$13:$CL$86,36,FALSE)&gt;5,0,IF(COUNTIF($B$13:$B$63,$B14)&gt;1,0,2)),2)+IF(B14&lt;&gt;0,0,IF(AV14&gt;0,0.000001,0))</f>
        <v/>
      </c>
      <c r="B14" s="52" t="inlineStr">
        <is>
          <t>Milan Gebruers</t>
        </is>
      </c>
      <c r="C14" s="48">
        <f>IFERROR(IF($B14="","",VLOOKUP($B14,Medewerker!$C$8:$AI$107,33,FALSE)),"?")</f>
        <v/>
      </c>
      <c r="D14" s="879">
        <f t="array" ref="D14">IFERROR(IF(LEFT(INDEX($F14:$AQ14,1,SUM(SMALL(IF($F14:$AQ14&lt;&gt;"",COLUMN($F14:$AQ14)),1)-5)),1)="x",SUM(SMALL(IF($F14:$AQ14&lt;&gt;"",$F$11:$AQ$11),1)+"0:15"),SMALL(IF($F14:$AQ14&lt;&gt;"",$F$11:$AQ$11),1)),"")</f>
        <v/>
      </c>
      <c r="E14" s="879">
        <f t="array" ref="E14">IFERROR(IF(LEFT(INDEX($F14:$AQ14,1,SUM(LARGE(IF($F14:$AQ14&lt;&gt;"",COLUMN($F14:$AQ14)),1)-5)),1)="x",SUM(LARGE(IF($F14:$AQ14&lt;&gt;"",$F$11:$AQ$11+"0:30:00"),1)-"0:15"),LARGE(IF($F14:$AQ14&lt;&gt;"",$F$11:$AQ$11+"0:30:00"),1)),"")</f>
        <v/>
      </c>
      <c r="F14" s="40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41" t="n"/>
      <c r="V14" s="40" t="inlineStr">
        <is>
          <t>sl</t>
        </is>
      </c>
      <c r="W14" s="42" t="inlineStr">
        <is>
          <t>sl</t>
        </is>
      </c>
      <c r="X14" s="43" t="inlineStr">
        <is>
          <t>sl</t>
        </is>
      </c>
      <c r="Y14" s="41" t="inlineStr">
        <is>
          <t>sl</t>
        </is>
      </c>
      <c r="Z14" s="40" t="inlineStr">
        <is>
          <t>sl</t>
        </is>
      </c>
      <c r="AA14" s="42" t="inlineStr">
        <is>
          <t>sl</t>
        </is>
      </c>
      <c r="AB14" s="43" t="inlineStr">
        <is>
          <t>sl</t>
        </is>
      </c>
      <c r="AC14" s="41" t="inlineStr">
        <is>
          <t>sl</t>
        </is>
      </c>
      <c r="AD14" s="40" t="inlineStr">
        <is>
          <t>p</t>
        </is>
      </c>
      <c r="AE14" s="42" t="inlineStr">
        <is>
          <t>sl</t>
        </is>
      </c>
      <c r="AF14" s="43" t="inlineStr">
        <is>
          <t>sl</t>
        </is>
      </c>
      <c r="AG14" s="41" t="inlineStr">
        <is>
          <t>sl</t>
        </is>
      </c>
      <c r="AH14" s="40" t="inlineStr">
        <is>
          <t>sl</t>
        </is>
      </c>
      <c r="AI14" s="42" t="inlineStr">
        <is>
          <t>sl</t>
        </is>
      </c>
      <c r="AJ14" s="43" t="inlineStr">
        <is>
          <t>sl</t>
        </is>
      </c>
      <c r="AK14" s="41" t="inlineStr">
        <is>
          <t>sl</t>
        </is>
      </c>
      <c r="AL14" s="40" t="n"/>
      <c r="AM14" s="41" t="n"/>
      <c r="AN14" s="645" t="n"/>
      <c r="AO14" s="42" t="n"/>
      <c r="AP14" s="40" t="n"/>
      <c r="AQ14" s="41" t="n"/>
      <c r="AR14" s="888">
        <f>IFERROR(IF(VLOOKUP($B14,Medewerker!$C$8:$U$107,19,FALSE)="",VLOOKUP($B14,Medewerker!$C$8:$U$107,17,FALSE),0),0)</f>
        <v/>
      </c>
      <c r="AS14" s="889">
        <f>IFERROR(IF(B14="",1,IF(VLOOKUP($B14,Medewerker!$C$8:$U$107,19,FALSE)="",VLOOKUP($B14,Medewerker!$C$8:$U$107,18,FALSE),0)),0)</f>
        <v/>
      </c>
      <c r="AT14" s="30" t="n"/>
      <c r="AU14" s="30">
        <f>(COUNTIF(F14:AQ14,"afw"))/2</f>
        <v/>
      </c>
      <c r="AV14" s="111">
        <f>((38-(COUNTIF(F14:AQ14,"")))/2)-(COUNTIF(F14:AQ14,"p")/2)-(COUNTIF(F14:AQ14,CONCATENATE("x","*"))/4)</f>
        <v/>
      </c>
      <c r="AW14" s="73">
        <f>IF($B14="","",VLOOKUP($B14,Medewerker!$C$8:$E$107,3,FALSE))</f>
        <v/>
      </c>
      <c r="AX14" s="403">
        <f>IFERROR(VLOOKUP($B14,Planning!$B$6:$AG$105,32,FALSE)*24,"")</f>
        <v/>
      </c>
      <c r="AY14" s="406" t="inlineStr">
        <is>
          <t>hv</t>
        </is>
      </c>
      <c r="AZ14" s="166" t="inlineStr">
        <is>
          <t>Houdbaar vullen</t>
        </is>
      </c>
      <c r="BA14" s="111">
        <f>COUNTIF($F$13:$AQ$63,CONCATENATE(AY14,"*"))/2+COUNTIF($F$13:$AQ$63,CONCATENATE("x",AY14,"*"))/4</f>
        <v/>
      </c>
      <c r="BB14" s="838" t="n"/>
      <c r="BC14" s="31">
        <f>IF(Planning!B7="","",Planning!B7)</f>
        <v/>
      </c>
      <c r="BD14" s="105" t="n"/>
      <c r="BE14" s="885">
        <f>Planning!E7</f>
        <v/>
      </c>
      <c r="BF14" s="885">
        <f>Planning!F7</f>
        <v/>
      </c>
      <c r="BG14" s="886" t="n"/>
      <c r="BH14" s="105" t="n"/>
      <c r="BI14" s="885">
        <f>Planning!I7</f>
        <v/>
      </c>
      <c r="BJ14" s="885">
        <f>Planning!J7</f>
        <v/>
      </c>
      <c r="BK14" s="886" t="n"/>
      <c r="BL14" s="105" t="n"/>
      <c r="BM14" s="885">
        <f>Planning!M7</f>
        <v/>
      </c>
      <c r="BN14" s="885">
        <f>Planning!N7</f>
        <v/>
      </c>
      <c r="BO14" s="886" t="n"/>
      <c r="BP14" s="105" t="n"/>
      <c r="BQ14" s="885">
        <f>Planning!Q7</f>
        <v/>
      </c>
      <c r="BR14" s="885">
        <f>Planning!R7</f>
        <v/>
      </c>
      <c r="BS14" s="886" t="n"/>
      <c r="BT14" s="105" t="n"/>
      <c r="BU14" s="885">
        <f>Planning!U7</f>
        <v/>
      </c>
      <c r="BV14" s="885">
        <f>Planning!V7</f>
        <v/>
      </c>
      <c r="BW14" s="886" t="n"/>
      <c r="BX14" s="105" t="n"/>
      <c r="BY14" s="885">
        <f>Planning!Y7</f>
        <v/>
      </c>
      <c r="BZ14" s="885">
        <f>Planning!Z7</f>
        <v/>
      </c>
      <c r="CA14" s="886" t="n"/>
      <c r="CB14" s="105" t="n"/>
      <c r="CC14" s="885">
        <f>Planning!AC7</f>
        <v/>
      </c>
      <c r="CD14" s="885">
        <f>Planning!AD7</f>
        <v/>
      </c>
      <c r="CE14" s="886" t="n"/>
      <c r="CF14" s="105" t="n"/>
      <c r="CG14" s="887">
        <f>Planning!AG7</f>
        <v/>
      </c>
      <c r="CH14" s="105" t="n"/>
      <c r="CI14" s="252">
        <f>IF(BC14="","",Planning!AI7)</f>
        <v/>
      </c>
      <c r="CJ14" s="252">
        <f>IF(BC14="","",Planning!AJ7)</f>
        <v/>
      </c>
      <c r="CK14" s="252">
        <f>IF(BC14="","",Planning!AK7)</f>
        <v/>
      </c>
      <c r="CL14" s="252">
        <f>IF(BC14="","",Planning!AH7)</f>
        <v/>
      </c>
      <c r="CM14" s="21" t="n"/>
    </row>
    <row r="15" ht="12.75" customHeight="1">
      <c r="A15" s="161">
        <f>IFERROR(IF(VLOOKUP($B15,$BC$13:$CL$86,36,FALSE)&gt;5,0,IF(COUNTIF($B$13:$B$63,$B15)&gt;1,0,3)),3)+IF(B15&lt;&gt;0,0,IF(AV15&gt;0,0.000001,0))</f>
        <v/>
      </c>
      <c r="B15" s="52" t="n"/>
      <c r="C15" s="48">
        <f>IFERROR(IF($B15="","",VLOOKUP($B15,Medewerker!$C$8:$AI$107,33,FALSE)),"?")</f>
        <v/>
      </c>
      <c r="D15" s="879">
        <f t="array" ref="D15">IFERROR(IF(LEFT(INDEX($F15:$AQ15,1,SUM(SMALL(IF($F15:$AQ15&lt;&gt;"",COLUMN($F15:$AQ15)),1)-5)),1)="x",SUM(SMALL(IF($F15:$AQ15&lt;&gt;"",$F$11:$AQ$11),1)+"0:15"),SMALL(IF($F15:$AQ15&lt;&gt;"",$F$11:$AQ$11),1)),"")</f>
        <v/>
      </c>
      <c r="E15" s="879">
        <f t="array" ref="E15">IFERROR(IF(LEFT(INDEX($F15:$AQ15,1,SUM(LARGE(IF($F15:$AQ15&lt;&gt;"",COLUMN($F15:$AQ15)),1)-5)),1)="x",SUM(LARGE(IF($F15:$AQ15&lt;&gt;"",$F$11:$AQ$11+"0:30:00"),1)-"0:15"),LARGE(IF($F15:$AQ15&lt;&gt;"",$F$11:$AQ$11+"0:30:00"),1)),"")</f>
        <v/>
      </c>
      <c r="F15" s="40" t="n"/>
      <c r="G15" s="41" t="n"/>
      <c r="H15" s="40" t="n"/>
      <c r="I15" s="41" t="n"/>
      <c r="J15" s="40" t="n"/>
      <c r="K15" s="42" t="n"/>
      <c r="L15" s="43" t="n"/>
      <c r="M15" s="41" t="n"/>
      <c r="N15" s="40" t="n"/>
      <c r="O15" s="42" t="n"/>
      <c r="P15" s="43" t="n"/>
      <c r="Q15" s="41" t="n"/>
      <c r="R15" s="40" t="n"/>
      <c r="S15" s="42" t="n"/>
      <c r="T15" s="43" t="n"/>
      <c r="U15" s="41" t="n"/>
      <c r="V15" s="41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41" t="n"/>
      <c r="AH15" s="41" t="n"/>
      <c r="AI15" s="41" t="n"/>
      <c r="AJ15" s="41" t="n"/>
      <c r="AK15" s="41" t="n"/>
      <c r="AL15" s="41" t="n"/>
      <c r="AM15" s="41" t="n"/>
      <c r="AN15" s="645" t="n"/>
      <c r="AO15" s="42" t="n"/>
      <c r="AP15" s="40" t="n"/>
      <c r="AQ15" s="41" t="n"/>
      <c r="AR15" s="888">
        <f>IFERROR(IF(VLOOKUP($B15,Medewerker!$C$8:$U$107,19,FALSE)="",VLOOKUP($B15,Medewerker!$C$8:$U$107,17,FALSE),0),0)</f>
        <v/>
      </c>
      <c r="AS15" s="889">
        <f>IFERROR(IF(B15="",1,IF(VLOOKUP($B15,Medewerker!$C$8:$U$107,19,FALSE)="",VLOOKUP($B15,Medewerker!$C$8:$U$107,18,FALSE),0)),0)</f>
        <v/>
      </c>
      <c r="AT15" s="30" t="n"/>
      <c r="AU15" s="30">
        <f>(COUNTIF(F15:AQ15,"afw"))/2</f>
        <v/>
      </c>
      <c r="AV15" s="111">
        <f>((38-(COUNTIF(F15:AQ15,"")))/2)-(COUNTIF(F15:AQ15,"p")/2)-(COUNTIF(F15:AQ15,CONCATENATE("x","*"))/4)</f>
        <v/>
      </c>
      <c r="AW15" s="73">
        <f>IF($B15="","",VLOOKUP($B15,Medewerker!$C$8:$E$107,3,FALSE))</f>
        <v/>
      </c>
      <c r="AX15" s="403">
        <f>IFERROR(VLOOKUP($B15,Planning!$B$6:$AG$105,32,FALSE)*24,"")</f>
        <v/>
      </c>
      <c r="AY15" s="406" t="inlineStr">
        <is>
          <t>dv</t>
        </is>
      </c>
      <c r="AZ15" s="166" t="inlineStr">
        <is>
          <t>Diepvries vullen</t>
        </is>
      </c>
      <c r="BA15" s="111">
        <f>COUNTIF($F$13:$AQ$63,CONCATENATE(AY15,"*"))/2+COUNTIF($F$13:$AQ$63,CONCATENATE("x",AY15,"*"))/4</f>
        <v/>
      </c>
      <c r="BB15" s="838" t="n"/>
      <c r="BC15" s="31">
        <f>IF(Planning!B8="","",Planning!B8)</f>
        <v/>
      </c>
      <c r="BD15" s="105" t="n"/>
      <c r="BE15" s="885">
        <f>Planning!E8</f>
        <v/>
      </c>
      <c r="BF15" s="885">
        <f>Planning!F8</f>
        <v/>
      </c>
      <c r="BG15" s="886" t="n"/>
      <c r="BH15" s="105" t="n"/>
      <c r="BI15" s="885">
        <f>Planning!I8</f>
        <v/>
      </c>
      <c r="BJ15" s="885">
        <f>Planning!J8</f>
        <v/>
      </c>
      <c r="BK15" s="886" t="n"/>
      <c r="BL15" s="105" t="n"/>
      <c r="BM15" s="885">
        <f>Planning!M8</f>
        <v/>
      </c>
      <c r="BN15" s="885">
        <f>Planning!N8</f>
        <v/>
      </c>
      <c r="BO15" s="886" t="n"/>
      <c r="BP15" s="105" t="n"/>
      <c r="BQ15" s="885">
        <f>Planning!Q8</f>
        <v/>
      </c>
      <c r="BR15" s="885">
        <f>Planning!R8</f>
        <v/>
      </c>
      <c r="BS15" s="886" t="n"/>
      <c r="BT15" s="105" t="n"/>
      <c r="BU15" s="885">
        <f>Planning!U8</f>
        <v/>
      </c>
      <c r="BV15" s="885">
        <f>Planning!V8</f>
        <v/>
      </c>
      <c r="BW15" s="886" t="n"/>
      <c r="BX15" s="105" t="n"/>
      <c r="BY15" s="885">
        <f>Planning!Y8</f>
        <v/>
      </c>
      <c r="BZ15" s="885">
        <f>Planning!Z8</f>
        <v/>
      </c>
      <c r="CA15" s="886" t="n"/>
      <c r="CB15" s="105" t="n"/>
      <c r="CC15" s="885">
        <f>Planning!AC8</f>
        <v/>
      </c>
      <c r="CD15" s="885">
        <f>Planning!AD8</f>
        <v/>
      </c>
      <c r="CE15" s="886" t="n"/>
      <c r="CF15" s="105" t="n"/>
      <c r="CG15" s="887">
        <f>Planning!AG8</f>
        <v/>
      </c>
      <c r="CH15" s="105" t="n"/>
      <c r="CI15" s="252">
        <f>IF(BC15="","",Planning!AI8)</f>
        <v/>
      </c>
      <c r="CJ15" s="252">
        <f>IF(BC15="","",Planning!AJ8)</f>
        <v/>
      </c>
      <c r="CK15" s="252">
        <f>IF(BC15="","",Planning!AK8)</f>
        <v/>
      </c>
      <c r="CL15" s="252">
        <f>IF(BC15="","",Planning!AH8)</f>
        <v/>
      </c>
      <c r="CM15" s="21" t="n"/>
    </row>
    <row r="16" ht="12.75" customHeight="1">
      <c r="A16" s="161">
        <f>IFERROR(IF(VLOOKUP($B16,$BC$13:$CL$86,36,FALSE)&gt;5,0,IF(COUNTIF($B$13:$B$63,$B16)&gt;1,0,4)),4)+IF(B16&lt;&gt;0,0,IF(AV16&gt;0,0.000001,0))</f>
        <v/>
      </c>
      <c r="B16" s="52" t="n"/>
      <c r="C16" s="48">
        <f>IFERROR(IF($B16="","",VLOOKUP($B16,Medewerker!$C$8:$AI$107,33,FALSE)),"?")</f>
        <v/>
      </c>
      <c r="D16" s="879">
        <f t="array" ref="D16">IFERROR(IF(LEFT(INDEX($F16:$AQ16,1,SUM(SMALL(IF($F16:$AQ16&lt;&gt;"",COLUMN($F16:$AQ16)),1)-5)),1)="x",SUM(SMALL(IF($F16:$AQ16&lt;&gt;"",$F$11:$AQ$11),1)+"0:15"),SMALL(IF($F16:$AQ16&lt;&gt;"",$F$11:$AQ$11),1)),"")</f>
        <v/>
      </c>
      <c r="E16" s="879">
        <f t="array" ref="E16">IFERROR(IF(LEFT(INDEX($F16:$AQ16,1,SUM(LARGE(IF($F16:$AQ16&lt;&gt;"",COLUMN($F16:$AQ16)),1)-5)),1)="x",SUM(LARGE(IF($F16:$AQ16&lt;&gt;"",$F$11:$AQ$11+"0:30:00"),1)-"0:15"),LARGE(IF($F16:$AQ16&lt;&gt;"",$F$11:$AQ$11+"0:30:00"),1)),"")</f>
        <v/>
      </c>
      <c r="F16" s="40" t="n"/>
      <c r="G16" s="41" t="n"/>
      <c r="H16" s="40" t="n"/>
      <c r="I16" s="41" t="n"/>
      <c r="J16" s="40" t="n"/>
      <c r="K16" s="42" t="n"/>
      <c r="L16" s="43" t="n"/>
      <c r="M16" s="41" t="n"/>
      <c r="N16" s="40" t="n"/>
      <c r="O16" s="42" t="n"/>
      <c r="P16" s="43" t="n"/>
      <c r="Q16" s="41" t="n"/>
      <c r="R16" s="40" t="n"/>
      <c r="S16" s="42" t="n"/>
      <c r="T16" s="43" t="n"/>
      <c r="U16" s="41" t="n"/>
      <c r="V16" s="40" t="n"/>
      <c r="W16" s="42" t="n"/>
      <c r="X16" s="43" t="n"/>
      <c r="Y16" s="41" t="n"/>
      <c r="Z16" s="40" t="n"/>
      <c r="AA16" s="42" t="n"/>
      <c r="AB16" s="43" t="n"/>
      <c r="AC16" s="41" t="n"/>
      <c r="AD16" s="40" t="n"/>
      <c r="AE16" s="42" t="n"/>
      <c r="AF16" s="43" t="n"/>
      <c r="AG16" s="41" t="n"/>
      <c r="AH16" s="40" t="n"/>
      <c r="AI16" s="42" t="n"/>
      <c r="AJ16" s="43" t="n"/>
      <c r="AK16" s="41" t="n"/>
      <c r="AL16" s="40" t="n"/>
      <c r="AM16" s="41" t="n"/>
      <c r="AN16" s="645" t="n"/>
      <c r="AO16" s="42" t="n"/>
      <c r="AP16" s="40" t="n"/>
      <c r="AQ16" s="41" t="n"/>
      <c r="AR16" s="888">
        <f>IFERROR(IF(VLOOKUP($B16,Medewerker!$C$8:$U$107,19,FALSE)="",VLOOKUP($B16,Medewerker!$C$8:$U$107,17,FALSE),0),0)</f>
        <v/>
      </c>
      <c r="AS16" s="889">
        <f>IFERROR(IF(B16="",1,IF(VLOOKUP($B16,Medewerker!$C$8:$U$107,19,FALSE)="",VLOOKUP($B16,Medewerker!$C$8:$U$107,18,FALSE),0)),0)</f>
        <v/>
      </c>
      <c r="AT16" s="30" t="n"/>
      <c r="AU16" s="30">
        <f>(COUNTIF(F16:AQ16,"afw"))/2</f>
        <v/>
      </c>
      <c r="AV16" s="111">
        <f>((38-(COUNTIF(F16:AQ16,"")))/2)-(COUNTIF(F16:AQ16,"p")/2)-(COUNTIF(F16:AQ16,CONCATENATE("x","*"))/4)</f>
        <v/>
      </c>
      <c r="AW16" s="73">
        <f>IF($B16="","",VLOOKUP($B16,Medewerker!$C$8:$E$107,3,FALSE))</f>
        <v/>
      </c>
      <c r="AX16" s="403">
        <f>IFERROR(VLOOKUP($B16,Planning!$B$6:$AG$105,32,FALSE)*24,"")</f>
        <v/>
      </c>
      <c r="AY16" s="406" t="inlineStr">
        <is>
          <t>vv</t>
        </is>
      </c>
      <c r="AZ16" s="166" t="inlineStr">
        <is>
          <t>Vers vullen</t>
        </is>
      </c>
      <c r="BA16" s="111">
        <f>COUNTIF($F$13:$AQ$63,CONCATENATE(AY16,"*"))/2+COUNTIF($F$13:$AQ$63,CONCATENATE("x",AY16,"*"))/4</f>
        <v/>
      </c>
      <c r="BB16" s="838" t="n"/>
      <c r="BC16" s="31">
        <f>IF(Planning!B9="","",Planning!B9)</f>
        <v/>
      </c>
      <c r="BD16" s="105" t="n"/>
      <c r="BE16" s="885">
        <f>Planning!E9</f>
        <v/>
      </c>
      <c r="BF16" s="885">
        <f>Planning!F9</f>
        <v/>
      </c>
      <c r="BG16" s="886" t="n"/>
      <c r="BH16" s="105" t="n"/>
      <c r="BI16" s="885">
        <f>Planning!I9</f>
        <v/>
      </c>
      <c r="BJ16" s="885">
        <f>Planning!J9</f>
        <v/>
      </c>
      <c r="BK16" s="886" t="n"/>
      <c r="BL16" s="105" t="n"/>
      <c r="BM16" s="885">
        <f>Planning!M9</f>
        <v/>
      </c>
      <c r="BN16" s="885">
        <f>Planning!N9</f>
        <v/>
      </c>
      <c r="BO16" s="886" t="n"/>
      <c r="BP16" s="105" t="n"/>
      <c r="BQ16" s="885">
        <f>Planning!Q9</f>
        <v/>
      </c>
      <c r="BR16" s="885">
        <f>Planning!R9</f>
        <v/>
      </c>
      <c r="BS16" s="886" t="n"/>
      <c r="BT16" s="105" t="n"/>
      <c r="BU16" s="885">
        <f>Planning!U9</f>
        <v/>
      </c>
      <c r="BV16" s="885">
        <f>Planning!V9</f>
        <v/>
      </c>
      <c r="BW16" s="886" t="n"/>
      <c r="BX16" s="105" t="n"/>
      <c r="BY16" s="885">
        <f>Planning!Y9</f>
        <v/>
      </c>
      <c r="BZ16" s="885">
        <f>Planning!Z9</f>
        <v/>
      </c>
      <c r="CA16" s="886" t="n"/>
      <c r="CB16" s="105" t="n"/>
      <c r="CC16" s="885">
        <f>Planning!AC9</f>
        <v/>
      </c>
      <c r="CD16" s="885">
        <f>Planning!AD9</f>
        <v/>
      </c>
      <c r="CE16" s="886" t="n"/>
      <c r="CF16" s="105" t="n"/>
      <c r="CG16" s="887">
        <f>Planning!AG9</f>
        <v/>
      </c>
      <c r="CH16" s="105" t="n"/>
      <c r="CI16" s="252">
        <f>IF(BC16="","",Planning!AI9)</f>
        <v/>
      </c>
      <c r="CJ16" s="252">
        <f>IF(BC16="","",Planning!AJ9)</f>
        <v/>
      </c>
      <c r="CK16" s="252">
        <f>IF(BC16="","",Planning!AK9)</f>
        <v/>
      </c>
      <c r="CL16" s="252">
        <f>IF(BC16="","",Planning!AH9)</f>
        <v/>
      </c>
      <c r="CM16" s="21" t="n"/>
    </row>
    <row r="17" ht="12.75" customHeight="1">
      <c r="A17" s="161">
        <f>IFERROR(IF(VLOOKUP($B17,$BC$13:$CL$86,36,FALSE)&gt;5,0,IF(COUNTIF($B$13:$B$63,$B17)&gt;1,0,5)),5)+IF(B17&lt;&gt;0,0,IF(AV17&gt;0,0.000001,0))</f>
        <v/>
      </c>
      <c r="B17" s="52" t="inlineStr">
        <is>
          <t>Laila Bishir</t>
        </is>
      </c>
      <c r="C17" s="48">
        <f>IFERROR(IF($B17="","",VLOOKUP($B17,Medewerker!$C$8:$AI$107,33,FALSE)),"?")</f>
        <v/>
      </c>
      <c r="D17" s="879">
        <f t="array" ref="D17">IFERROR(IF(LEFT(INDEX($F17:$AQ17,1,SUM(SMALL(IF($F17:$AQ17&lt;&gt;"",COLUMN($F17:$AQ17)),1)-5)),1)="x",SUM(SMALL(IF($F17:$AQ17&lt;&gt;"",$F$11:$AQ$11),1)+"0:15"),SMALL(IF($F17:$AQ17&lt;&gt;"",$F$11:$AQ$11),1)),"")</f>
        <v/>
      </c>
      <c r="E17" s="879">
        <f t="array" ref="E17">IFERROR(IF(LEFT(INDEX($F17:$AQ17,1,SUM(LARGE(IF($F17:$AQ17&lt;&gt;"",COLUMN($F17:$AQ17)),1)-5)),1)="x",SUM(LARGE(IF($F17:$AQ17&lt;&gt;"",$F$11:$AQ$11+"0:30:00"),1)-"0:15"),LARGE(IF($F17:$AQ17&lt;&gt;"",$F$11:$AQ$11+"0:30:00"),1)),"")</f>
        <v/>
      </c>
      <c r="F17" s="40" t="n"/>
      <c r="G17" s="41" t="n"/>
      <c r="H17" s="40" t="inlineStr">
        <is>
          <t>cb</t>
        </is>
      </c>
      <c r="I17" s="41" t="inlineStr">
        <is>
          <t>cb</t>
        </is>
      </c>
      <c r="J17" s="40" t="inlineStr">
        <is>
          <t>cb</t>
        </is>
      </c>
      <c r="K17" s="42" t="inlineStr">
        <is>
          <t>cb</t>
        </is>
      </c>
      <c r="L17" s="43" t="inlineStr">
        <is>
          <t>cb</t>
        </is>
      </c>
      <c r="M17" s="41" t="inlineStr">
        <is>
          <t>cb</t>
        </is>
      </c>
      <c r="N17" s="40" t="inlineStr">
        <is>
          <t>cb</t>
        </is>
      </c>
      <c r="O17" s="42" t="inlineStr">
        <is>
          <t>cb</t>
        </is>
      </c>
      <c r="P17" s="43" t="inlineStr">
        <is>
          <t>p</t>
        </is>
      </c>
      <c r="Q17" s="41" t="inlineStr">
        <is>
          <t>hv</t>
        </is>
      </c>
      <c r="R17" s="40" t="inlineStr">
        <is>
          <t>hv</t>
        </is>
      </c>
      <c r="S17" s="42" t="inlineStr">
        <is>
          <t>hv</t>
        </is>
      </c>
      <c r="T17" s="43" t="inlineStr">
        <is>
          <t>hv</t>
        </is>
      </c>
      <c r="U17" s="41" t="n"/>
      <c r="V17" s="40" t="n"/>
      <c r="W17" s="42" t="n"/>
      <c r="X17" s="43" t="n"/>
      <c r="Y17" s="41" t="n"/>
      <c r="Z17" s="40" t="n"/>
      <c r="AA17" s="42" t="n"/>
      <c r="AB17" s="43" t="n"/>
      <c r="AC17" s="41" t="n"/>
      <c r="AD17" s="40" t="n"/>
      <c r="AE17" s="42" t="n"/>
      <c r="AF17" s="43" t="n"/>
      <c r="AG17" s="41" t="n"/>
      <c r="AH17" s="40" t="n"/>
      <c r="AI17" s="42" t="n"/>
      <c r="AJ17" s="43" t="n"/>
      <c r="AK17" s="41" t="n"/>
      <c r="AL17" s="40" t="n"/>
      <c r="AM17" s="41" t="n"/>
      <c r="AN17" s="645" t="n"/>
      <c r="AO17" s="42" t="n"/>
      <c r="AP17" s="40" t="n"/>
      <c r="AQ17" s="41" t="n"/>
      <c r="AR17" s="888">
        <f>IFERROR(IF(VLOOKUP($B17,Medewerker!$C$8:$U$107,19,FALSE)="",VLOOKUP($B17,Medewerker!$C$8:$U$107,17,FALSE),0),0)</f>
        <v/>
      </c>
      <c r="AS17" s="889">
        <f>IFERROR(IF(B17="",1,IF(VLOOKUP($B17,Medewerker!$C$8:$U$107,19,FALSE)="",VLOOKUP($B17,Medewerker!$C$8:$U$107,18,FALSE),0)),0)</f>
        <v/>
      </c>
      <c r="AT17" s="30" t="n"/>
      <c r="AU17" s="30">
        <f>(COUNTIF(F17:AQ17,"afw"))/2</f>
        <v/>
      </c>
      <c r="AV17" s="111">
        <f>((38-(COUNTIF(F17:AQ17,"")))/2)-(COUNTIF(F17:AQ17,"p")/2)-(COUNTIF(F17:AQ17,CONCATENATE("x","*"))/4)</f>
        <v/>
      </c>
      <c r="AW17" s="73">
        <f>IF($B17="","",VLOOKUP($B17,Medewerker!$C$8:$E$107,3,FALSE))</f>
        <v/>
      </c>
      <c r="AX17" s="403">
        <f>IFERROR(VLOOKUP($B17,Planning!$B$6:$AG$105,32,FALSE)*24,"")</f>
        <v/>
      </c>
      <c r="AY17" s="406" t="inlineStr">
        <is>
          <t>nh</t>
        </is>
      </c>
      <c r="AZ17" s="166" t="inlineStr">
        <is>
          <t>Navulling HB</t>
        </is>
      </c>
      <c r="BA17" s="111">
        <f>COUNTIF($F$13:$AQ$63,CONCATENATE(AY17,"*"))/2+COUNTIF($F$13:$AQ$63,CONCATENATE("x",AY17,"*"))/4</f>
        <v/>
      </c>
      <c r="BB17" s="838" t="n"/>
      <c r="BC17" s="31">
        <f>IF(Planning!B10="","",Planning!B10)</f>
        <v/>
      </c>
      <c r="BD17" s="105" t="n"/>
      <c r="BE17" s="885">
        <f>Planning!E10</f>
        <v/>
      </c>
      <c r="BF17" s="885">
        <f>Planning!F10</f>
        <v/>
      </c>
      <c r="BG17" s="886" t="n"/>
      <c r="BH17" s="105" t="n"/>
      <c r="BI17" s="885">
        <f>Planning!I10</f>
        <v/>
      </c>
      <c r="BJ17" s="885">
        <f>Planning!J10</f>
        <v/>
      </c>
      <c r="BK17" s="886" t="n"/>
      <c r="BL17" s="105" t="n"/>
      <c r="BM17" s="885">
        <f>Planning!M10</f>
        <v/>
      </c>
      <c r="BN17" s="885">
        <f>Planning!N10</f>
        <v/>
      </c>
      <c r="BO17" s="886" t="n"/>
      <c r="BP17" s="105" t="n"/>
      <c r="BQ17" s="885">
        <f>Planning!Q10</f>
        <v/>
      </c>
      <c r="BR17" s="885">
        <f>Planning!R10</f>
        <v/>
      </c>
      <c r="BS17" s="886" t="n"/>
      <c r="BT17" s="105" t="n"/>
      <c r="BU17" s="885">
        <f>Planning!U10</f>
        <v/>
      </c>
      <c r="BV17" s="885">
        <f>Planning!V10</f>
        <v/>
      </c>
      <c r="BW17" s="886" t="n"/>
      <c r="BX17" s="105" t="n"/>
      <c r="BY17" s="885">
        <f>Planning!Y10</f>
        <v/>
      </c>
      <c r="BZ17" s="885">
        <f>Planning!Z10</f>
        <v/>
      </c>
      <c r="CA17" s="886" t="n"/>
      <c r="CB17" s="105" t="n"/>
      <c r="CC17" s="885">
        <f>Planning!AC10</f>
        <v/>
      </c>
      <c r="CD17" s="885">
        <f>Planning!AD10</f>
        <v/>
      </c>
      <c r="CE17" s="886" t="n"/>
      <c r="CF17" s="105" t="n"/>
      <c r="CG17" s="887">
        <f>Planning!AG10</f>
        <v/>
      </c>
      <c r="CH17" s="105" t="n"/>
      <c r="CI17" s="252">
        <f>IF(BC17="","",Planning!AI10)</f>
        <v/>
      </c>
      <c r="CJ17" s="252">
        <f>IF(BC17="","",Planning!AJ10)</f>
        <v/>
      </c>
      <c r="CK17" s="252">
        <f>IF(BC17="","",Planning!AK10)</f>
        <v/>
      </c>
      <c r="CL17" s="252">
        <f>IF(BC17="","",Planning!AH10)</f>
        <v/>
      </c>
      <c r="CM17" s="21" t="n"/>
    </row>
    <row r="18" ht="12.75" customHeight="1">
      <c r="A18" s="161">
        <f>IFERROR(IF(VLOOKUP($B18,$BC$13:$CL$86,36,FALSE)&gt;5,0,IF(COUNTIF($B$13:$B$63,$B18)&gt;1,0,6)),6)+IF(B18&lt;&gt;0,0,IF(AV18&gt;0,0.000001,0))</f>
        <v/>
      </c>
      <c r="B18" s="52" t="n"/>
      <c r="C18" s="48">
        <f>IFERROR(IF($B18="","",VLOOKUP($B18,Medewerker!$C$8:$AI$107,33,FALSE)),"?")</f>
        <v/>
      </c>
      <c r="D18" s="879">
        <f t="array" ref="D18">IFERROR(IF(LEFT(INDEX($F18:$AQ18,1,SUM(SMALL(IF($F18:$AQ18&lt;&gt;"",COLUMN($F18:$AQ18)),1)-5)),1)="x",SUM(SMALL(IF($F18:$AQ18&lt;&gt;"",$F$11:$AQ$11),1)+"0:15"),SMALL(IF($F18:$AQ18&lt;&gt;"",$F$11:$AQ$11),1)),"")</f>
        <v/>
      </c>
      <c r="E18" s="879">
        <f t="array" ref="E18">IFERROR(IF(LEFT(INDEX($F18:$AQ18,1,SUM(LARGE(IF($F18:$AQ18&lt;&gt;"",COLUMN($F18:$AQ18)),1)-5)),1)="x",SUM(LARGE(IF($F18:$AQ18&lt;&gt;"",$F$11:$AQ$11+"0:30:00"),1)-"0:15"),LARGE(IF($F18:$AQ18&lt;&gt;"",$F$11:$AQ$11+"0:30:00"),1)),"")</f>
        <v/>
      </c>
      <c r="F18" s="40" t="n"/>
      <c r="G18" s="41" t="n"/>
      <c r="H18" s="40" t="n"/>
      <c r="I18" s="41" t="n"/>
      <c r="J18" s="40" t="n"/>
      <c r="K18" s="42" t="n"/>
      <c r="L18" s="43" t="n"/>
      <c r="M18" s="41" t="n"/>
      <c r="N18" s="40" t="n"/>
      <c r="O18" s="42" t="n"/>
      <c r="P18" s="43" t="n"/>
      <c r="Q18" s="41" t="n"/>
      <c r="R18" s="40" t="n"/>
      <c r="S18" s="42" t="n"/>
      <c r="T18" s="43" t="n"/>
      <c r="U18" s="41" t="n"/>
      <c r="V18" s="40" t="n"/>
      <c r="W18" s="42" t="n"/>
      <c r="X18" s="43" t="n"/>
      <c r="Y18" s="41" t="n"/>
      <c r="Z18" s="40" t="n"/>
      <c r="AA18" s="42" t="n"/>
      <c r="AB18" s="43" t="n"/>
      <c r="AC18" s="41" t="n"/>
      <c r="AD18" s="40" t="n"/>
      <c r="AE18" s="42" t="n"/>
      <c r="AF18" s="43" t="n"/>
      <c r="AG18" s="41" t="n"/>
      <c r="AH18" s="40" t="n"/>
      <c r="AI18" s="42" t="n"/>
      <c r="AJ18" s="43" t="n"/>
      <c r="AK18" s="41" t="n"/>
      <c r="AL18" s="40" t="n"/>
      <c r="AM18" s="41" t="n"/>
      <c r="AN18" s="645" t="n"/>
      <c r="AO18" s="42" t="n"/>
      <c r="AP18" s="40" t="n"/>
      <c r="AQ18" s="41" t="n"/>
      <c r="AR18" s="888">
        <f>IFERROR(IF(VLOOKUP($B18,Medewerker!$C$8:$U$107,19,FALSE)="",VLOOKUP($B18,Medewerker!$C$8:$U$107,17,FALSE),0),0)</f>
        <v/>
      </c>
      <c r="AS18" s="889">
        <f>IFERROR(IF(B18="",1,IF(VLOOKUP($B18,Medewerker!$C$8:$U$107,19,FALSE)="",VLOOKUP($B18,Medewerker!$C$8:$U$107,18,FALSE),0)),0)</f>
        <v/>
      </c>
      <c r="AT18" s="30" t="n"/>
      <c r="AU18" s="30">
        <f>(COUNTIF(F18:AQ18,"afw"))/2</f>
        <v/>
      </c>
      <c r="AV18" s="111">
        <f>((38-(COUNTIF(F18:AQ18,"")))/2)-(COUNTIF(F18:AQ18,"p")/2)-(COUNTIF(F18:AQ18,CONCATENATE("x","*"))/4)</f>
        <v/>
      </c>
      <c r="AW18" s="73">
        <f>IF($B18="","",VLOOKUP($B18,Medewerker!$C$8:$E$107,3,FALSE))</f>
        <v/>
      </c>
      <c r="AX18" s="403">
        <f>IFERROR(VLOOKUP($B18,Planning!$B$6:$AG$105,32,FALSE)*24,"")</f>
        <v/>
      </c>
      <c r="AY18" s="406" t="inlineStr">
        <is>
          <t>nd</t>
        </is>
      </c>
      <c r="AZ18" s="166" t="inlineStr">
        <is>
          <t>Navulling DV</t>
        </is>
      </c>
      <c r="BA18" s="111">
        <f>COUNTIF($F$13:$AQ$63,CONCATENATE(AY18,"*"))/2+COUNTIF($F$13:$AQ$63,CONCATENATE("x",AY18,"*"))/4</f>
        <v/>
      </c>
      <c r="BB18" s="838" t="n"/>
      <c r="BC18" s="31">
        <f>IF(Planning!B11="","",Planning!B11)</f>
        <v/>
      </c>
      <c r="BD18" s="105" t="n"/>
      <c r="BE18" s="885">
        <f>Planning!E11</f>
        <v/>
      </c>
      <c r="BF18" s="885">
        <f>Planning!F11</f>
        <v/>
      </c>
      <c r="BG18" s="886" t="n"/>
      <c r="BH18" s="105" t="n"/>
      <c r="BI18" s="885">
        <f>Planning!I11</f>
        <v/>
      </c>
      <c r="BJ18" s="885">
        <f>Planning!J11</f>
        <v/>
      </c>
      <c r="BK18" s="886" t="n"/>
      <c r="BL18" s="105" t="n"/>
      <c r="BM18" s="885">
        <f>Planning!M11</f>
        <v/>
      </c>
      <c r="BN18" s="885">
        <f>Planning!N11</f>
        <v/>
      </c>
      <c r="BO18" s="886" t="n"/>
      <c r="BP18" s="105" t="n"/>
      <c r="BQ18" s="885">
        <f>Planning!Q11</f>
        <v/>
      </c>
      <c r="BR18" s="885">
        <f>Planning!R11</f>
        <v/>
      </c>
      <c r="BS18" s="886" t="n"/>
      <c r="BT18" s="105" t="n"/>
      <c r="BU18" s="885">
        <f>Planning!U11</f>
        <v/>
      </c>
      <c r="BV18" s="885">
        <f>Planning!V11</f>
        <v/>
      </c>
      <c r="BW18" s="886" t="n"/>
      <c r="BX18" s="105" t="n"/>
      <c r="BY18" s="885">
        <f>Planning!Y11</f>
        <v/>
      </c>
      <c r="BZ18" s="885">
        <f>Planning!Z11</f>
        <v/>
      </c>
      <c r="CA18" s="886" t="n"/>
      <c r="CB18" s="105" t="n"/>
      <c r="CC18" s="885">
        <f>Planning!AC11</f>
        <v/>
      </c>
      <c r="CD18" s="885">
        <f>Planning!AD11</f>
        <v/>
      </c>
      <c r="CE18" s="886" t="n"/>
      <c r="CF18" s="105" t="n"/>
      <c r="CG18" s="887">
        <f>Planning!AG11</f>
        <v/>
      </c>
      <c r="CH18" s="105" t="n"/>
      <c r="CI18" s="252">
        <f>IF(BC18="","",Planning!AI11)</f>
        <v/>
      </c>
      <c r="CJ18" s="252">
        <f>IF(BC18="","",Planning!AJ11)</f>
        <v/>
      </c>
      <c r="CK18" s="252">
        <f>IF(BC18="","",Planning!AK11)</f>
        <v/>
      </c>
      <c r="CL18" s="252">
        <f>IF(BC18="","",Planning!AH11)</f>
        <v/>
      </c>
      <c r="CM18" s="21" t="n"/>
    </row>
    <row r="19" ht="12.75" customHeight="1">
      <c r="A19" s="161">
        <f>IFERROR(IF(VLOOKUP($B19,$BC$13:$CL$86,36,FALSE)&gt;5,0,IF(COUNTIF($B$13:$B$63,$B19)&gt;1,0,7)),7)+IF(B19&lt;&gt;0,0,IF(AV19&gt;0,0.000001,0))</f>
        <v/>
      </c>
      <c r="B19" s="52" t="inlineStr">
        <is>
          <t>Gretchen</t>
        </is>
      </c>
      <c r="C19" s="48">
        <f>IFERROR(IF($B19="","",VLOOKUP($B19,Medewerker!$C$8:$AI$107,33,FALSE)),"?")</f>
        <v/>
      </c>
      <c r="D19" s="879">
        <f t="array" ref="D19">IFERROR(IF(LEFT(INDEX($F19:$AQ19,1,SUM(SMALL(IF($F19:$AQ19&lt;&gt;"",COLUMN($F19:$AQ19)),1)-5)),1)="x",SUM(SMALL(IF($F19:$AQ19&lt;&gt;"",$F$11:$AQ$11),1)+"0:15"),SMALL(IF($F19:$AQ19&lt;&gt;"",$F$11:$AQ$11),1)),"")</f>
        <v/>
      </c>
      <c r="E19" s="879">
        <f t="array" ref="E19">IFERROR(IF(LEFT(INDEX($F19:$AQ19,1,SUM(LARGE(IF($F19:$AQ19&lt;&gt;"",COLUMN($F19:$AQ19)),1)-5)),1)="x",SUM(LARGE(IF($F19:$AQ19&lt;&gt;"",$F$11:$AQ$11+"0:30:00"),1)-"0:15"),LARGE(IF($F19:$AQ19&lt;&gt;"",$F$11:$AQ$11+"0:30:00"),1)),"")</f>
        <v/>
      </c>
      <c r="F19" s="40" t="n"/>
      <c r="G19" s="41" t="n"/>
      <c r="H19" s="40" t="inlineStr">
        <is>
          <t>km</t>
        </is>
      </c>
      <c r="I19" s="41" t="inlineStr">
        <is>
          <t>km</t>
        </is>
      </c>
      <c r="J19" s="40" t="inlineStr">
        <is>
          <t>km</t>
        </is>
      </c>
      <c r="K19" s="42" t="inlineStr">
        <is>
          <t>km</t>
        </is>
      </c>
      <c r="L19" s="43" t="inlineStr">
        <is>
          <t>km</t>
        </is>
      </c>
      <c r="M19" s="41" t="inlineStr">
        <is>
          <t>km</t>
        </is>
      </c>
      <c r="N19" s="40" t="inlineStr">
        <is>
          <t>km</t>
        </is>
      </c>
      <c r="O19" s="42" t="inlineStr">
        <is>
          <t>p</t>
        </is>
      </c>
      <c r="P19" s="43" t="inlineStr">
        <is>
          <t>km</t>
        </is>
      </c>
      <c r="Q19" s="41" t="inlineStr">
        <is>
          <t>km</t>
        </is>
      </c>
      <c r="R19" s="40" t="inlineStr">
        <is>
          <t>km</t>
        </is>
      </c>
      <c r="S19" s="42" t="inlineStr">
        <is>
          <t>km</t>
        </is>
      </c>
      <c r="T19" s="43" t="inlineStr">
        <is>
          <t>km</t>
        </is>
      </c>
      <c r="U19" s="41" t="inlineStr">
        <is>
          <t>km</t>
        </is>
      </c>
      <c r="V19" s="40" t="inlineStr">
        <is>
          <t>km</t>
        </is>
      </c>
      <c r="W19" s="42" t="n"/>
      <c r="X19" s="43" t="n"/>
      <c r="Y19" s="41" t="n"/>
      <c r="Z19" s="40" t="n"/>
      <c r="AA19" s="42" t="n"/>
      <c r="AB19" s="43" t="n"/>
      <c r="AC19" s="41" t="n"/>
      <c r="AD19" s="40" t="n"/>
      <c r="AE19" s="42" t="n"/>
      <c r="AF19" s="43" t="n"/>
      <c r="AG19" s="41" t="n"/>
      <c r="AH19" s="40" t="n"/>
      <c r="AI19" s="42" t="n"/>
      <c r="AJ19" s="43" t="n"/>
      <c r="AK19" s="41" t="n"/>
      <c r="AL19" s="40" t="n"/>
      <c r="AM19" s="41" t="n"/>
      <c r="AN19" s="645" t="n"/>
      <c r="AO19" s="42" t="n"/>
      <c r="AP19" s="40" t="n"/>
      <c r="AQ19" s="41" t="n"/>
      <c r="AR19" s="888">
        <f>IFERROR(IF(VLOOKUP($B19,Medewerker!$C$8:$U$107,19,FALSE)="",VLOOKUP($B19,Medewerker!$C$8:$U$107,17,FALSE),0),0)</f>
        <v/>
      </c>
      <c r="AS19" s="889">
        <f>IFERROR(IF(B19="",1,IF(VLOOKUP($B19,Medewerker!$C$8:$U$107,19,FALSE)="",VLOOKUP($B19,Medewerker!$C$8:$U$107,18,FALSE),0)),0)</f>
        <v/>
      </c>
      <c r="AT19" s="30" t="n"/>
      <c r="AU19" s="30">
        <f>(COUNTIF(F19:AQ19,"afw"))/2</f>
        <v/>
      </c>
      <c r="AV19" s="111">
        <f>((38-(COUNTIF(F19:AQ19,"")))/2)-(COUNTIF(F19:AQ19,"p")/2)-(COUNTIF(F19:AQ19,CONCATENATE("x","*"))/4)</f>
        <v/>
      </c>
      <c r="AW19" s="73">
        <f>IF($B19="","",VLOOKUP($B19,Medewerker!$C$8:$E$107,3,FALSE))</f>
        <v/>
      </c>
      <c r="AX19" s="403">
        <f>IFERROR(VLOOKUP($B19,Planning!$B$6:$AG$105,32,FALSE)*24,"")</f>
        <v/>
      </c>
      <c r="AY19" s="406" t="inlineStr">
        <is>
          <t>nv</t>
        </is>
      </c>
      <c r="AZ19" s="166" t="inlineStr">
        <is>
          <t>Navulling Vers</t>
        </is>
      </c>
      <c r="BA19" s="111">
        <f>COUNTIF($F$13:$AQ$63,CONCATENATE(AY19,"*"))/2+COUNTIF($F$13:$AQ$63,CONCATENATE("x",AY19,"*"))/4</f>
        <v/>
      </c>
      <c r="BB19" s="838" t="n"/>
      <c r="BC19" s="31">
        <f>IF(Planning!B12="","",Planning!B12)</f>
        <v/>
      </c>
      <c r="BD19" s="105" t="n"/>
      <c r="BE19" s="885">
        <f>Planning!E12</f>
        <v/>
      </c>
      <c r="BF19" s="885">
        <f>Planning!F12</f>
        <v/>
      </c>
      <c r="BG19" s="886" t="n"/>
      <c r="BH19" s="105" t="n"/>
      <c r="BI19" s="885">
        <f>Planning!I12</f>
        <v/>
      </c>
      <c r="BJ19" s="885">
        <f>Planning!J12</f>
        <v/>
      </c>
      <c r="BK19" s="886" t="n"/>
      <c r="BL19" s="105" t="n"/>
      <c r="BM19" s="885">
        <f>Planning!M12</f>
        <v/>
      </c>
      <c r="BN19" s="885">
        <f>Planning!N12</f>
        <v/>
      </c>
      <c r="BO19" s="886" t="n"/>
      <c r="BP19" s="105" t="n"/>
      <c r="BQ19" s="885">
        <f>Planning!Q12</f>
        <v/>
      </c>
      <c r="BR19" s="885">
        <f>Planning!R12</f>
        <v/>
      </c>
      <c r="BS19" s="886" t="n"/>
      <c r="BT19" s="105" t="n"/>
      <c r="BU19" s="885">
        <f>Planning!U12</f>
        <v/>
      </c>
      <c r="BV19" s="885">
        <f>Planning!V12</f>
        <v/>
      </c>
      <c r="BW19" s="886" t="n"/>
      <c r="BX19" s="105" t="n"/>
      <c r="BY19" s="885">
        <f>Planning!Y12</f>
        <v/>
      </c>
      <c r="BZ19" s="885">
        <f>Planning!Z12</f>
        <v/>
      </c>
      <c r="CA19" s="886" t="n"/>
      <c r="CB19" s="105" t="n"/>
      <c r="CC19" s="885">
        <f>Planning!AC12</f>
        <v/>
      </c>
      <c r="CD19" s="885">
        <f>Planning!AD12</f>
        <v/>
      </c>
      <c r="CE19" s="886" t="n"/>
      <c r="CF19" s="105" t="n"/>
      <c r="CG19" s="887">
        <f>Planning!AG12</f>
        <v/>
      </c>
      <c r="CH19" s="105" t="n"/>
      <c r="CI19" s="252">
        <f>IF(BC19="","",Planning!AI12)</f>
        <v/>
      </c>
      <c r="CJ19" s="252">
        <f>IF(BC19="","",Planning!AJ12)</f>
        <v/>
      </c>
      <c r="CK19" s="252">
        <f>IF(BC19="","",Planning!AK12)</f>
        <v/>
      </c>
      <c r="CL19" s="252">
        <f>IF(BC19="","",Planning!AH12)</f>
        <v/>
      </c>
      <c r="CM19" s="21" t="n"/>
    </row>
    <row r="20" ht="12.75" customHeight="1">
      <c r="A20" s="161">
        <f>IFERROR(IF(VLOOKUP($B20,$BC$13:$CL$86,36,FALSE)&gt;5,0,IF(COUNTIF($B$13:$B$63,$B20)&gt;1,0,8)),8)+IF(B20&lt;&gt;0,0,IF(AV20&gt;0,0.000001,0))</f>
        <v/>
      </c>
      <c r="B20" s="52" t="n"/>
      <c r="C20" s="48">
        <f>IFERROR(IF($B20="","",VLOOKUP($B20,Medewerker!$C$8:$AI$107,33,FALSE)),"?")</f>
        <v/>
      </c>
      <c r="D20" s="879">
        <f t="array" ref="D20">IFERROR(IF(LEFT(INDEX($F20:$AQ20,1,SUM(SMALL(IF($F20:$AQ20&lt;&gt;"",COLUMN($F20:$AQ20)),1)-5)),1)="x",SUM(SMALL(IF($F20:$AQ20&lt;&gt;"",$F$11:$AQ$11),1)+"0:15"),SMALL(IF($F20:$AQ20&lt;&gt;"",$F$11:$AQ$11),1)),"")</f>
        <v/>
      </c>
      <c r="E20" s="879">
        <f t="array" ref="E20">IFERROR(IF(LEFT(INDEX($F20:$AQ20,1,SUM(LARGE(IF($F20:$AQ20&lt;&gt;"",COLUMN($F20:$AQ20)),1)-5)),1)="x",SUM(LARGE(IF($F20:$AQ20&lt;&gt;"",$F$11:$AQ$11+"0:30:00"),1)-"0:15"),LARGE(IF($F20:$AQ20&lt;&gt;"",$F$11:$AQ$11+"0:30:00"),1)),"")</f>
        <v/>
      </c>
      <c r="F20" s="40" t="n"/>
      <c r="G20" s="41" t="n"/>
      <c r="H20" s="40" t="n"/>
      <c r="I20" s="41" t="n"/>
      <c r="J20" s="40" t="n"/>
      <c r="K20" s="42" t="n"/>
      <c r="L20" s="43" t="n"/>
      <c r="M20" s="41" t="n"/>
      <c r="N20" s="40" t="n"/>
      <c r="O20" s="42" t="n"/>
      <c r="P20" s="43" t="n"/>
      <c r="Q20" s="41" t="n"/>
      <c r="R20" s="40" t="n"/>
      <c r="S20" s="42" t="n"/>
      <c r="T20" s="43" t="n"/>
      <c r="U20" s="41" t="n"/>
      <c r="V20" s="40" t="n"/>
      <c r="W20" s="42" t="n"/>
      <c r="X20" s="43" t="n"/>
      <c r="Y20" s="41" t="n"/>
      <c r="Z20" s="40" t="n"/>
      <c r="AA20" s="42" t="n"/>
      <c r="AB20" s="43" t="n"/>
      <c r="AC20" s="41" t="n"/>
      <c r="AD20" s="40" t="n"/>
      <c r="AE20" s="42" t="n"/>
      <c r="AF20" s="43" t="n"/>
      <c r="AG20" s="41" t="n"/>
      <c r="AH20" s="40" t="n"/>
      <c r="AI20" s="42" t="n"/>
      <c r="AJ20" s="43" t="n"/>
      <c r="AK20" s="41" t="n"/>
      <c r="AL20" s="40" t="n"/>
      <c r="AM20" s="41" t="n"/>
      <c r="AN20" s="645" t="n"/>
      <c r="AO20" s="42" t="n"/>
      <c r="AP20" s="40" t="n"/>
      <c r="AQ20" s="41" t="n"/>
      <c r="AR20" s="888">
        <f>IFERROR(IF(VLOOKUP($B20,Medewerker!$C$8:$U$107,19,FALSE)="",VLOOKUP($B20,Medewerker!$C$8:$U$107,17,FALSE),0),0)</f>
        <v/>
      </c>
      <c r="AS20" s="889">
        <f>IFERROR(IF(B20="",1,IF(VLOOKUP($B20,Medewerker!$C$8:$U$107,19,FALSE)="",VLOOKUP($B20,Medewerker!$C$8:$U$107,18,FALSE),0)),0)</f>
        <v/>
      </c>
      <c r="AT20" s="30" t="n"/>
      <c r="AU20" s="30">
        <f>(COUNTIF(F20:AQ20,"afw"))/2</f>
        <v/>
      </c>
      <c r="AV20" s="111">
        <f>((38-(COUNTIF(F20:AQ20,"")))/2)-(COUNTIF(F20:AQ20,"p")/2)-(COUNTIF(F20:AQ20,CONCATENATE("x","*"))/4)</f>
        <v/>
      </c>
      <c r="AW20" s="73">
        <f>IF($B20="","",VLOOKUP($B20,Medewerker!$C$8:$E$107,3,FALSE))</f>
        <v/>
      </c>
      <c r="AX20" s="403">
        <f>IFERROR(VLOOKUP($B20,Planning!$B$6:$AG$105,32,FALSE)*24,"")</f>
        <v/>
      </c>
      <c r="AY20" s="406" t="inlineStr">
        <is>
          <t>rh</t>
        </is>
      </c>
      <c r="AZ20" s="166" t="inlineStr">
        <is>
          <t>Restant HB</t>
        </is>
      </c>
      <c r="BA20" s="111">
        <f>COUNTIF($F$13:$AQ$63,CONCATENATE(AY20,"*"))/2+COUNTIF($F$13:$AQ$63,CONCATENATE("x",AY20,"*"))/4</f>
        <v/>
      </c>
      <c r="BB20" s="838" t="n"/>
      <c r="BC20" s="31">
        <f>IF(Planning!B13="","",Planning!B13)</f>
        <v/>
      </c>
      <c r="BD20" s="105" t="n"/>
      <c r="BE20" s="885">
        <f>Planning!E13</f>
        <v/>
      </c>
      <c r="BF20" s="885">
        <f>Planning!F13</f>
        <v/>
      </c>
      <c r="BG20" s="886" t="n"/>
      <c r="BH20" s="105" t="n"/>
      <c r="BI20" s="885">
        <f>Planning!I13</f>
        <v/>
      </c>
      <c r="BJ20" s="885">
        <f>Planning!J13</f>
        <v/>
      </c>
      <c r="BK20" s="886" t="n"/>
      <c r="BL20" s="105" t="n"/>
      <c r="BM20" s="885">
        <f>Planning!M13</f>
        <v/>
      </c>
      <c r="BN20" s="885">
        <f>Planning!N13</f>
        <v/>
      </c>
      <c r="BO20" s="886" t="n"/>
      <c r="BP20" s="105" t="n"/>
      <c r="BQ20" s="885">
        <f>Planning!Q13</f>
        <v/>
      </c>
      <c r="BR20" s="885">
        <f>Planning!R13</f>
        <v/>
      </c>
      <c r="BS20" s="886" t="n"/>
      <c r="BT20" s="105" t="n"/>
      <c r="BU20" s="885">
        <f>Planning!U13</f>
        <v/>
      </c>
      <c r="BV20" s="885">
        <f>Planning!V13</f>
        <v/>
      </c>
      <c r="BW20" s="886" t="n"/>
      <c r="BX20" s="105" t="n"/>
      <c r="BY20" s="885">
        <f>Planning!Y13</f>
        <v/>
      </c>
      <c r="BZ20" s="885">
        <f>Planning!Z13</f>
        <v/>
      </c>
      <c r="CA20" s="886" t="n"/>
      <c r="CB20" s="105" t="n"/>
      <c r="CC20" s="885">
        <f>Planning!AC13</f>
        <v/>
      </c>
      <c r="CD20" s="885">
        <f>Planning!AD13</f>
        <v/>
      </c>
      <c r="CE20" s="886" t="n"/>
      <c r="CF20" s="105" t="n"/>
      <c r="CG20" s="887">
        <f>Planning!AG13</f>
        <v/>
      </c>
      <c r="CH20" s="105" t="n"/>
      <c r="CI20" s="252">
        <f>IF(BC20="","",Planning!AI13)</f>
        <v/>
      </c>
      <c r="CJ20" s="252">
        <f>IF(BC20="","",Planning!AJ13)</f>
        <v/>
      </c>
      <c r="CK20" s="252">
        <f>IF(BC20="","",Planning!AK13)</f>
        <v/>
      </c>
      <c r="CL20" s="252">
        <f>IF(BC20="","",Planning!AH13)</f>
        <v/>
      </c>
      <c r="CM20" s="21" t="n"/>
    </row>
    <row r="21" ht="12.75" customHeight="1">
      <c r="A21" s="161">
        <f>IFERROR(IF(VLOOKUP($B21,$BC$13:$CL$86,36,FALSE)&gt;5,0,IF(COUNTIF($B$13:$B$63,$B21)&gt;1,0,9)),9)+IF(B21&lt;&gt;0,0,IF(AV21&gt;0,0.000001,0))</f>
        <v/>
      </c>
      <c r="B21" s="52" t="inlineStr">
        <is>
          <t>Mina</t>
        </is>
      </c>
      <c r="C21" s="48">
        <f>IFERROR(IF($B21="","",VLOOKUP($B21,Medewerker!$C$8:$AI$107,33,FALSE)),"?")</f>
        <v/>
      </c>
      <c r="D21" s="879">
        <f t="array" ref="D21">IFERROR(IF(LEFT(INDEX($F21:$AQ21,1,SUM(SMALL(IF($F21:$AQ21&lt;&gt;"",COLUMN($F21:$AQ21)),1)-5)),1)="x",SUM(SMALL(IF($F21:$AQ21&lt;&gt;"",$F$11:$AQ$11),1)+"0:15"),SMALL(IF($F21:$AQ21&lt;&gt;"",$F$11:$AQ$11),1)),"")</f>
        <v/>
      </c>
      <c r="E21" s="879">
        <f t="array" ref="E21">IFERROR(IF(LEFT(INDEX($F21:$AQ21,1,SUM(LARGE(IF($F21:$AQ21&lt;&gt;"",COLUMN($F21:$AQ21)),1)-5)),1)="x",SUM(LARGE(IF($F21:$AQ21&lt;&gt;"",$F$11:$AQ$11+"0:30:00"),1)-"0:15"),LARGE(IF($F21:$AQ21&lt;&gt;"",$F$11:$AQ$11+"0:30:00"),1)),"")</f>
        <v/>
      </c>
      <c r="F21" s="40" t="n"/>
      <c r="G21" s="41" t="n"/>
      <c r="H21" s="40" t="n"/>
      <c r="I21" s="41" t="n"/>
      <c r="J21" s="40" t="n"/>
      <c r="K21" s="42" t="n"/>
      <c r="L21" s="43" t="inlineStr">
        <is>
          <t>hv</t>
        </is>
      </c>
      <c r="M21" s="41" t="inlineStr">
        <is>
          <t>hv</t>
        </is>
      </c>
      <c r="N21" s="40" t="inlineStr">
        <is>
          <t>hv</t>
        </is>
      </c>
      <c r="O21" s="42" t="inlineStr">
        <is>
          <t>hv</t>
        </is>
      </c>
      <c r="P21" s="43" t="inlineStr">
        <is>
          <t>hv</t>
        </is>
      </c>
      <c r="Q21" s="41" t="inlineStr">
        <is>
          <t>hv</t>
        </is>
      </c>
      <c r="R21" s="40" t="inlineStr">
        <is>
          <t>hv</t>
        </is>
      </c>
      <c r="S21" s="42" t="inlineStr">
        <is>
          <t>hv</t>
        </is>
      </c>
      <c r="T21" s="43" t="inlineStr">
        <is>
          <t>hv</t>
        </is>
      </c>
      <c r="U21" s="41" t="inlineStr">
        <is>
          <t>p</t>
        </is>
      </c>
      <c r="V21" s="40" t="inlineStr">
        <is>
          <t>hv</t>
        </is>
      </c>
      <c r="W21" s="42" t="inlineStr">
        <is>
          <t>hv</t>
        </is>
      </c>
      <c r="X21" s="43" t="inlineStr">
        <is>
          <t>hv</t>
        </is>
      </c>
      <c r="Y21" s="41" t="inlineStr">
        <is>
          <t>hv</t>
        </is>
      </c>
      <c r="Z21" s="40" t="inlineStr">
        <is>
          <t>hv</t>
        </is>
      </c>
      <c r="AA21" s="40" t="inlineStr">
        <is>
          <t>hv</t>
        </is>
      </c>
      <c r="AB21" s="40" t="n"/>
      <c r="AC21" s="40" t="n"/>
      <c r="AD21" s="40" t="n"/>
      <c r="AE21" s="42" t="n"/>
      <c r="AF21" s="43" t="n"/>
      <c r="AG21" s="41" t="n"/>
      <c r="AH21" s="40" t="n"/>
      <c r="AI21" s="42" t="n"/>
      <c r="AJ21" s="43" t="n"/>
      <c r="AK21" s="41" t="n"/>
      <c r="AL21" s="40" t="n"/>
      <c r="AM21" s="41" t="n"/>
      <c r="AN21" s="645" t="n"/>
      <c r="AO21" s="42" t="n"/>
      <c r="AP21" s="40" t="n"/>
      <c r="AQ21" s="41" t="n"/>
      <c r="AR21" s="888">
        <f>IFERROR(IF(VLOOKUP($B21,Medewerker!$C$8:$U$107,19,FALSE)="",VLOOKUP($B21,Medewerker!$C$8:$U$107,17,FALSE),0),0)</f>
        <v/>
      </c>
      <c r="AS21" s="889">
        <f>IFERROR(IF(B21="",1,IF(VLOOKUP($B21,Medewerker!$C$8:$U$107,19,FALSE)="",VLOOKUP($B21,Medewerker!$C$8:$U$107,18,FALSE),0)),0)</f>
        <v/>
      </c>
      <c r="AT21" s="30" t="n"/>
      <c r="AU21" s="30">
        <f>(COUNTIF(F21:AQ21,"afw"))/2</f>
        <v/>
      </c>
      <c r="AV21" s="111">
        <f>((38-(COUNTIF(F21:AQ21,"")))/2)-(COUNTIF(F21:AQ21,"p")/2)-(COUNTIF(F21:AQ21,CONCATENATE("x","*"))/4)</f>
        <v/>
      </c>
      <c r="AW21" s="73">
        <f>IF($B21="","",VLOOKUP($B21,Medewerker!$C$8:$E$107,3,FALSE))</f>
        <v/>
      </c>
      <c r="AX21" s="403">
        <f>IFERROR(VLOOKUP($B21,Planning!$B$6:$AG$105,32,FALSE)*24,"")</f>
        <v/>
      </c>
      <c r="AY21" s="406" t="inlineStr">
        <is>
          <t>rd</t>
        </is>
      </c>
      <c r="AZ21" s="166" t="inlineStr">
        <is>
          <t>Restant DV</t>
        </is>
      </c>
      <c r="BA21" s="111">
        <f>COUNTIF($F$13:$AQ$63,CONCATENATE(AY21,"*"))/2+COUNTIF($F$13:$AQ$63,CONCATENATE("x",AY21,"*"))/4</f>
        <v/>
      </c>
      <c r="BB21" s="838" t="n"/>
      <c r="BC21" s="31">
        <f>IF(Planning!B14="","",Planning!B14)</f>
        <v/>
      </c>
      <c r="BD21" s="105" t="n"/>
      <c r="BE21" s="885">
        <f>Planning!E14</f>
        <v/>
      </c>
      <c r="BF21" s="885">
        <f>Planning!F14</f>
        <v/>
      </c>
      <c r="BG21" s="886" t="n"/>
      <c r="BH21" s="105" t="n"/>
      <c r="BI21" s="885">
        <f>Planning!I14</f>
        <v/>
      </c>
      <c r="BJ21" s="885">
        <f>Planning!J14</f>
        <v/>
      </c>
      <c r="BK21" s="886" t="n"/>
      <c r="BL21" s="105" t="n"/>
      <c r="BM21" s="885">
        <f>Planning!M14</f>
        <v/>
      </c>
      <c r="BN21" s="885">
        <f>Planning!N14</f>
        <v/>
      </c>
      <c r="BO21" s="886" t="n"/>
      <c r="BP21" s="105" t="n"/>
      <c r="BQ21" s="885">
        <f>Planning!Q14</f>
        <v/>
      </c>
      <c r="BR21" s="885">
        <f>Planning!R14</f>
        <v/>
      </c>
      <c r="BS21" s="886" t="n"/>
      <c r="BT21" s="105" t="n"/>
      <c r="BU21" s="885">
        <f>Planning!U14</f>
        <v/>
      </c>
      <c r="BV21" s="885">
        <f>Planning!V14</f>
        <v/>
      </c>
      <c r="BW21" s="886" t="n"/>
      <c r="BX21" s="105" t="n"/>
      <c r="BY21" s="885">
        <f>Planning!Y14</f>
        <v/>
      </c>
      <c r="BZ21" s="885">
        <f>Planning!Z14</f>
        <v/>
      </c>
      <c r="CA21" s="886" t="n"/>
      <c r="CB21" s="105" t="n"/>
      <c r="CC21" s="885">
        <f>Planning!AC14</f>
        <v/>
      </c>
      <c r="CD21" s="885">
        <f>Planning!AD14</f>
        <v/>
      </c>
      <c r="CE21" s="886" t="n"/>
      <c r="CF21" s="105" t="n"/>
      <c r="CG21" s="887">
        <f>Planning!AG14</f>
        <v/>
      </c>
      <c r="CH21" s="105" t="n"/>
      <c r="CI21" s="252">
        <f>IF(BC21="","",Planning!AI14)</f>
        <v/>
      </c>
      <c r="CJ21" s="252">
        <f>IF(BC21="","",Planning!AJ14)</f>
        <v/>
      </c>
      <c r="CK21" s="252">
        <f>IF(BC21="","",Planning!AK14)</f>
        <v/>
      </c>
      <c r="CL21" s="252">
        <f>IF(BC21="","",Planning!AH14)</f>
        <v/>
      </c>
      <c r="CM21" s="34" t="n"/>
    </row>
    <row r="22" ht="12.75" customHeight="1">
      <c r="A22" s="161">
        <f>IFERROR(IF(VLOOKUP($B22,$BC$13:$CL$86,36,FALSE)&gt;5,0,IF(COUNTIF($B$13:$B$63,$B22)&gt;1,0,10)),10)+IF(B22&lt;&gt;0,0,IF(AV22&gt;0,0.000001,0))</f>
        <v/>
      </c>
      <c r="B22" s="126" t="inlineStr">
        <is>
          <t>Saida Hadouti</t>
        </is>
      </c>
      <c r="C22" s="48">
        <f>IFERROR(IF($B22="","",VLOOKUP($B22,Medewerker!$C$8:$AI$107,33,FALSE)),"?")</f>
        <v/>
      </c>
      <c r="D22" s="879">
        <f t="array" ref="D22">IFERROR(IF(LEFT(INDEX($F22:$AQ22,1,SUM(SMALL(IF($F22:$AQ22&lt;&gt;"",COLUMN($F22:$AQ22)),1)-5)),1)="x",SUM(SMALL(IF($F22:$AQ22&lt;&gt;"",$F$11:$AQ$11),1)+"0:15"),SMALL(IF($F22:$AQ22&lt;&gt;"",$F$11:$AQ$11),1)),"")</f>
        <v/>
      </c>
      <c r="E22" s="879">
        <f t="array" ref="E22">IFERROR(IF(LEFT(INDEX($F22:$AQ22,1,SUM(LARGE(IF($F22:$AQ22&lt;&gt;"",COLUMN($F22:$AQ22)),1)-5)),1)="x",SUM(LARGE(IF($F22:$AQ22&lt;&gt;"",$F$11:$AQ$11+"0:30:00"),1)-"0:15"),LARGE(IF($F22:$AQ22&lt;&gt;"",$F$11:$AQ$11+"0:30:00"),1)),"")</f>
        <v/>
      </c>
      <c r="F22" s="40" t="n"/>
      <c r="G22" s="41" t="n"/>
      <c r="H22" s="40" t="n"/>
      <c r="I22" s="41" t="n"/>
      <c r="J22" s="40" t="n"/>
      <c r="K22" s="42" t="n"/>
      <c r="L22" s="43" t="n"/>
      <c r="M22" s="41" t="n"/>
      <c r="N22" s="40" t="n"/>
      <c r="O22" s="42" t="n"/>
      <c r="P22" s="43" t="inlineStr">
        <is>
          <t>hv</t>
        </is>
      </c>
      <c r="Q22" s="41" t="inlineStr">
        <is>
          <t>hv</t>
        </is>
      </c>
      <c r="R22" s="40" t="inlineStr">
        <is>
          <t>hv</t>
        </is>
      </c>
      <c r="S22" s="42" t="inlineStr">
        <is>
          <t>hv</t>
        </is>
      </c>
      <c r="T22" s="43" t="inlineStr">
        <is>
          <t>hv</t>
        </is>
      </c>
      <c r="U22" s="41" t="inlineStr">
        <is>
          <t>hv</t>
        </is>
      </c>
      <c r="V22" s="40" t="inlineStr">
        <is>
          <t>hv</t>
        </is>
      </c>
      <c r="W22" s="42" t="inlineStr">
        <is>
          <t>hv</t>
        </is>
      </c>
      <c r="X22" s="43" t="inlineStr">
        <is>
          <t>hv</t>
        </is>
      </c>
      <c r="Y22" s="41" t="inlineStr">
        <is>
          <t>hv</t>
        </is>
      </c>
      <c r="Z22" s="40" t="n"/>
      <c r="AA22" s="42" t="n"/>
      <c r="AB22" s="43" t="n"/>
      <c r="AC22" s="41" t="n"/>
      <c r="AD22" s="40" t="n"/>
      <c r="AE22" s="42" t="n"/>
      <c r="AF22" s="43" t="n"/>
      <c r="AG22" s="41" t="n"/>
      <c r="AH22" s="40" t="n"/>
      <c r="AI22" s="42" t="n"/>
      <c r="AJ22" s="43" t="n"/>
      <c r="AK22" s="41" t="n"/>
      <c r="AL22" s="40" t="n"/>
      <c r="AM22" s="41" t="n"/>
      <c r="AN22" s="645" t="n"/>
      <c r="AO22" s="42" t="n"/>
      <c r="AP22" s="40" t="n"/>
      <c r="AQ22" s="41" t="n"/>
      <c r="AR22" s="888">
        <f>IFERROR(IF(VLOOKUP($B22,Medewerker!$C$8:$U$107,19,FALSE)="",VLOOKUP($B22,Medewerker!$C$8:$U$107,17,FALSE),0),0)</f>
        <v/>
      </c>
      <c r="AS22" s="889">
        <f>IFERROR(IF(B22="",1,IF(VLOOKUP($B22,Medewerker!$C$8:$U$107,19,FALSE)="",VLOOKUP($B22,Medewerker!$C$8:$U$107,18,FALSE),0)),0)</f>
        <v/>
      </c>
      <c r="AT22" s="30" t="n"/>
      <c r="AU22" s="30">
        <f>(COUNTIF(F22:AQ22,"afw"))/2</f>
        <v/>
      </c>
      <c r="AV22" s="111">
        <f>((38-(COUNTIF(F22:AQ22,"")))/2)-(COUNTIF(F22:AQ22,"p")/2)-(COUNTIF(F22:AQ22,CONCATENATE("x","*"))/4)</f>
        <v/>
      </c>
      <c r="AW22" s="73">
        <f>IF($B22="","",VLOOKUP($B22,Medewerker!$C$8:$E$107,3,FALSE))</f>
        <v/>
      </c>
      <c r="AX22" s="403">
        <f>IFERROR(VLOOKUP($B22,Planning!$B$6:$AG$105,32,FALSE)*24,"")</f>
        <v/>
      </c>
      <c r="AY22" s="406" t="inlineStr">
        <is>
          <t>rv</t>
        </is>
      </c>
      <c r="AZ22" s="166" t="inlineStr">
        <is>
          <t>Restant Vers</t>
        </is>
      </c>
      <c r="BA22" s="111">
        <f>COUNTIF($F$13:$AQ$63,CONCATENATE(AY22,"*"))/2+COUNTIF($F$13:$AQ$63,CONCATENATE("x",AY22,"*"))/4</f>
        <v/>
      </c>
      <c r="BB22" s="838" t="n"/>
      <c r="BC22" s="31">
        <f>IF(Planning!B15="","",Planning!B15)</f>
        <v/>
      </c>
      <c r="BD22" s="105" t="n"/>
      <c r="BE22" s="885">
        <f>Planning!E15</f>
        <v/>
      </c>
      <c r="BF22" s="885">
        <f>Planning!F15</f>
        <v/>
      </c>
      <c r="BG22" s="886" t="n"/>
      <c r="BH22" s="105" t="n"/>
      <c r="BI22" s="885">
        <f>Planning!I15</f>
        <v/>
      </c>
      <c r="BJ22" s="885">
        <f>Planning!J15</f>
        <v/>
      </c>
      <c r="BK22" s="886" t="n"/>
      <c r="BL22" s="105" t="n"/>
      <c r="BM22" s="885">
        <f>Planning!M15</f>
        <v/>
      </c>
      <c r="BN22" s="885">
        <f>Planning!N15</f>
        <v/>
      </c>
      <c r="BO22" s="886" t="n"/>
      <c r="BP22" s="105" t="n"/>
      <c r="BQ22" s="885">
        <f>Planning!Q15</f>
        <v/>
      </c>
      <c r="BR22" s="885">
        <f>Planning!R15</f>
        <v/>
      </c>
      <c r="BS22" s="886" t="n"/>
      <c r="BT22" s="105" t="n"/>
      <c r="BU22" s="885">
        <f>Planning!U15</f>
        <v/>
      </c>
      <c r="BV22" s="885">
        <f>Planning!V15</f>
        <v/>
      </c>
      <c r="BW22" s="886" t="n"/>
      <c r="BX22" s="105" t="n"/>
      <c r="BY22" s="885">
        <f>Planning!Y15</f>
        <v/>
      </c>
      <c r="BZ22" s="885">
        <f>Planning!Z15</f>
        <v/>
      </c>
      <c r="CA22" s="886" t="n"/>
      <c r="CB22" s="105" t="n"/>
      <c r="CC22" s="885">
        <f>Planning!AC15</f>
        <v/>
      </c>
      <c r="CD22" s="885">
        <f>Planning!AD15</f>
        <v/>
      </c>
      <c r="CE22" s="886" t="n"/>
      <c r="CF22" s="105" t="n"/>
      <c r="CG22" s="887">
        <f>Planning!AG15</f>
        <v/>
      </c>
      <c r="CH22" s="105" t="n"/>
      <c r="CI22" s="252">
        <f>IF(BC22="","",Planning!AI15)</f>
        <v/>
      </c>
      <c r="CJ22" s="252">
        <f>IF(BC22="","",Planning!AJ15)</f>
        <v/>
      </c>
      <c r="CK22" s="252">
        <f>IF(BC22="","",Planning!AK15)</f>
        <v/>
      </c>
      <c r="CL22" s="252">
        <f>IF(BC22="","",Planning!AH15)</f>
        <v/>
      </c>
      <c r="CM22" s="21" t="n"/>
    </row>
    <row r="23" ht="12.75" customHeight="1">
      <c r="A23" s="161">
        <f>IFERROR(IF(VLOOKUP($B23,$BC$13:$CL$86,36,FALSE)&gt;5,0,IF(COUNTIF($B$13:$B$63,$B23)&gt;1,0,11)),11)+IF(B23&lt;&gt;0,0,IF(AV23&gt;0,0.000001,0))</f>
        <v/>
      </c>
      <c r="B23" s="126" t="inlineStr">
        <is>
          <t>Johny</t>
        </is>
      </c>
      <c r="C23" s="48">
        <f>IFERROR(IF($B23="","",VLOOKUP($B23,Medewerker!$C$8:$AI$107,33,FALSE)),"?")</f>
        <v/>
      </c>
      <c r="D23" s="879">
        <f t="array" ref="D23">IFERROR(IF(LEFT(INDEX($F23:$AQ23,1,SUM(SMALL(IF($F23:$AQ23&lt;&gt;"",COLUMN($F23:$AQ23)),1)-5)),1)="x",SUM(SMALL(IF($F23:$AQ23&lt;&gt;"",$F$11:$AQ$11),1)+"0:15"),SMALL(IF($F23:$AQ23&lt;&gt;"",$F$11:$AQ$11),1)),"")</f>
        <v/>
      </c>
      <c r="E23" s="879">
        <f t="array" ref="E23">IFERROR(IF(LEFT(INDEX($F23:$AQ23,1,SUM(LARGE(IF($F23:$AQ23&lt;&gt;"",COLUMN($F23:$AQ23)),1)-5)),1)="x",SUM(LARGE(IF($F23:$AQ23&lt;&gt;"",$F$11:$AQ$11+"0:30:00"),1)-"0:15"),LARGE(IF($F23:$AQ23&lt;&gt;"",$F$11:$AQ$11+"0:30:00"),1)),"")</f>
        <v/>
      </c>
      <c r="F23" s="40" t="n"/>
      <c r="G23" s="41" t="n"/>
      <c r="H23" s="40" t="n"/>
      <c r="I23" s="41" t="n"/>
      <c r="J23" s="40" t="n"/>
      <c r="K23" s="42" t="n"/>
      <c r="L23" s="43" t="n"/>
      <c r="M23" s="41" t="n"/>
      <c r="N23" s="40" t="n"/>
      <c r="O23" s="42" t="n"/>
      <c r="P23" s="43" t="inlineStr">
        <is>
          <t>hv</t>
        </is>
      </c>
      <c r="Q23" s="41" t="inlineStr">
        <is>
          <t>hv</t>
        </is>
      </c>
      <c r="R23" s="40" t="inlineStr">
        <is>
          <t>hv</t>
        </is>
      </c>
      <c r="S23" s="42" t="inlineStr">
        <is>
          <t>hv</t>
        </is>
      </c>
      <c r="T23" s="43" t="inlineStr">
        <is>
          <t>hv</t>
        </is>
      </c>
      <c r="U23" s="41" t="inlineStr">
        <is>
          <t>hv</t>
        </is>
      </c>
      <c r="V23" s="40" t="inlineStr">
        <is>
          <t>hv</t>
        </is>
      </c>
      <c r="W23" s="42" t="inlineStr">
        <is>
          <t>hv</t>
        </is>
      </c>
      <c r="X23" s="43" t="inlineStr">
        <is>
          <t>hv</t>
        </is>
      </c>
      <c r="Y23" s="41" t="inlineStr">
        <is>
          <t>hv</t>
        </is>
      </c>
      <c r="Z23" s="40" t="n"/>
      <c r="AA23" s="42" t="n"/>
      <c r="AB23" s="43" t="n"/>
      <c r="AC23" s="41" t="n"/>
      <c r="AD23" s="40" t="n"/>
      <c r="AE23" s="42" t="n"/>
      <c r="AF23" s="43" t="n"/>
      <c r="AG23" s="41" t="n"/>
      <c r="AH23" s="40" t="n"/>
      <c r="AI23" s="42" t="n"/>
      <c r="AJ23" s="43" t="n"/>
      <c r="AK23" s="41" t="n"/>
      <c r="AL23" s="40" t="n"/>
      <c r="AM23" s="41" t="n"/>
      <c r="AN23" s="645" t="n"/>
      <c r="AO23" s="42" t="n"/>
      <c r="AP23" s="40" t="n"/>
      <c r="AQ23" s="41" t="n"/>
      <c r="AR23" s="888">
        <f>IFERROR(IF(VLOOKUP($B23,Medewerker!$C$8:$U$107,19,FALSE)="",VLOOKUP($B23,Medewerker!$C$8:$U$107,17,FALSE),0),0)</f>
        <v/>
      </c>
      <c r="AS23" s="889">
        <f>IFERROR(IF(B23="",1,IF(VLOOKUP($B23,Medewerker!$C$8:$U$107,19,FALSE)="",VLOOKUP($B23,Medewerker!$C$8:$U$107,18,FALSE),0)),0)</f>
        <v/>
      </c>
      <c r="AT23" s="30" t="n"/>
      <c r="AU23" s="30">
        <f>(COUNTIF(F23:AQ23,"afw"))/2</f>
        <v/>
      </c>
      <c r="AV23" s="111">
        <f>((38-(COUNTIF(F23:AQ23,"")))/2)-(COUNTIF(F23:AQ23,"p")/2)-(COUNTIF(F23:AQ23,CONCATENATE("x","*"))/4)</f>
        <v/>
      </c>
      <c r="AW23" s="73">
        <f>IF($B23="","",VLOOKUP($B23,Medewerker!$C$8:$E$107,3,FALSE))</f>
        <v/>
      </c>
      <c r="AX23" s="403">
        <f>IFERROR(VLOOKUP($B23,Planning!$B$6:$AG$105,32,FALSE)*24,"")</f>
        <v/>
      </c>
      <c r="AY23" s="882" t="inlineStr">
        <is>
          <t>Restant/Telproces</t>
        </is>
      </c>
      <c r="AZ23" s="883" t="n"/>
      <c r="BA23" s="884" t="n"/>
      <c r="BB23" s="838" t="n"/>
      <c r="BC23" s="31">
        <f>IF(Planning!B16="","",Planning!B16)</f>
        <v/>
      </c>
      <c r="BD23" s="105" t="n"/>
      <c r="BE23" s="885">
        <f>Planning!E16</f>
        <v/>
      </c>
      <c r="BF23" s="885">
        <f>Planning!F16</f>
        <v/>
      </c>
      <c r="BG23" s="886" t="n"/>
      <c r="BH23" s="105" t="n"/>
      <c r="BI23" s="885">
        <f>Planning!I16</f>
        <v/>
      </c>
      <c r="BJ23" s="885">
        <f>Planning!J16</f>
        <v/>
      </c>
      <c r="BK23" s="886" t="n"/>
      <c r="BL23" s="105" t="n"/>
      <c r="BM23" s="885">
        <f>Planning!M16</f>
        <v/>
      </c>
      <c r="BN23" s="885">
        <f>Planning!N16</f>
        <v/>
      </c>
      <c r="BO23" s="886" t="n"/>
      <c r="BP23" s="105" t="n"/>
      <c r="BQ23" s="885">
        <f>Planning!Q16</f>
        <v/>
      </c>
      <c r="BR23" s="885">
        <f>Planning!R16</f>
        <v/>
      </c>
      <c r="BS23" s="886" t="n"/>
      <c r="BT23" s="105" t="n"/>
      <c r="BU23" s="885">
        <f>Planning!U16</f>
        <v/>
      </c>
      <c r="BV23" s="885">
        <f>Planning!V16</f>
        <v/>
      </c>
      <c r="BW23" s="886" t="n"/>
      <c r="BX23" s="105" t="n"/>
      <c r="BY23" s="885">
        <f>Planning!Y16</f>
        <v/>
      </c>
      <c r="BZ23" s="885">
        <f>Planning!Z16</f>
        <v/>
      </c>
      <c r="CA23" s="886" t="n"/>
      <c r="CB23" s="105" t="n"/>
      <c r="CC23" s="885">
        <f>Planning!AC16</f>
        <v/>
      </c>
      <c r="CD23" s="885">
        <f>Planning!AD16</f>
        <v/>
      </c>
      <c r="CE23" s="886" t="n"/>
      <c r="CF23" s="105" t="n"/>
      <c r="CG23" s="887">
        <f>Planning!AG16</f>
        <v/>
      </c>
      <c r="CH23" s="105" t="n"/>
      <c r="CI23" s="252">
        <f>IF(BC23="","",Planning!AI16)</f>
        <v/>
      </c>
      <c r="CJ23" s="252">
        <f>IF(BC23="","",Planning!AJ16)</f>
        <v/>
      </c>
      <c r="CK23" s="252">
        <f>IF(BC23="","",Planning!AK16)</f>
        <v/>
      </c>
      <c r="CL23" s="252">
        <f>IF(BC23="","",Planning!AH16)</f>
        <v/>
      </c>
      <c r="CM23" s="21" t="n"/>
    </row>
    <row r="24" ht="12.75" customHeight="1">
      <c r="A24" s="161">
        <f>IFERROR(IF(VLOOKUP($B24,$BC$13:$CL$86,36,FALSE)&gt;5,0,IF(COUNTIF($B$13:$B$63,$B24)&gt;1,0,12)),12)+IF(B24&lt;&gt;0,0,IF(AV24&gt;0,0.000001,0))</f>
        <v/>
      </c>
      <c r="B24" s="126" t="inlineStr">
        <is>
          <t>Yoselin</t>
        </is>
      </c>
      <c r="C24" s="48">
        <f>IFERROR(IF($B24="","",VLOOKUP($B24,Medewerker!$C$8:$AI$107,33,FALSE)),"?")</f>
        <v/>
      </c>
      <c r="D24" s="879">
        <f t="array" ref="D24">IFERROR(IF(LEFT(INDEX($F24:$AQ24,1,SUM(SMALL(IF($F24:$AQ24&lt;&gt;"",COLUMN($F24:$AQ24)),1)-5)),1)="x",SUM(SMALL(IF($F24:$AQ24&lt;&gt;"",$F$11:$AQ$11),1)+"0:15"),SMALL(IF($F24:$AQ24&lt;&gt;"",$F$11:$AQ$11),1)),"")</f>
        <v/>
      </c>
      <c r="E24" s="879">
        <f t="array" ref="E24">IFERROR(IF(LEFT(INDEX($F24:$AQ24,1,SUM(LARGE(IF($F24:$AQ24&lt;&gt;"",COLUMN($F24:$AQ24)),1)-5)),1)="x",SUM(LARGE(IF($F24:$AQ24&lt;&gt;"",$F$11:$AQ$11+"0:30:00"),1)-"0:15"),LARGE(IF($F24:$AQ24&lt;&gt;"",$F$11:$AQ$11+"0:30:00"),1)),"")</f>
        <v/>
      </c>
      <c r="F24" s="40" t="n"/>
      <c r="G24" s="41" t="n"/>
      <c r="H24" s="40" t="n"/>
      <c r="I24" s="41" t="n"/>
      <c r="J24" s="40" t="n"/>
      <c r="K24" s="42" t="n"/>
      <c r="L24" s="43" t="n"/>
      <c r="M24" s="41" t="n"/>
      <c r="N24" s="40" t="n"/>
      <c r="O24" s="42" t="n"/>
      <c r="P24" s="43" t="inlineStr">
        <is>
          <t>hv</t>
        </is>
      </c>
      <c r="Q24" s="41" t="inlineStr">
        <is>
          <t>hv</t>
        </is>
      </c>
      <c r="R24" s="40" t="inlineStr">
        <is>
          <t>hv</t>
        </is>
      </c>
      <c r="S24" s="42" t="inlineStr">
        <is>
          <t>hv</t>
        </is>
      </c>
      <c r="T24" s="43" t="inlineStr">
        <is>
          <t>hv</t>
        </is>
      </c>
      <c r="U24" s="41" t="inlineStr">
        <is>
          <t>hv</t>
        </is>
      </c>
      <c r="V24" s="40" t="inlineStr">
        <is>
          <t>hv</t>
        </is>
      </c>
      <c r="W24" s="42" t="inlineStr">
        <is>
          <t>hv</t>
        </is>
      </c>
      <c r="X24" s="43" t="inlineStr">
        <is>
          <t>hv</t>
        </is>
      </c>
      <c r="Y24" s="41" t="inlineStr">
        <is>
          <t>hv</t>
        </is>
      </c>
      <c r="Z24" s="40" t="n"/>
      <c r="AA24" s="42" t="n"/>
      <c r="AB24" s="43" t="n"/>
      <c r="AC24" s="41" t="n"/>
      <c r="AD24" s="40" t="n"/>
      <c r="AE24" s="42" t="n"/>
      <c r="AF24" s="43" t="n"/>
      <c r="AG24" s="41" t="n"/>
      <c r="AH24" s="40" t="n"/>
      <c r="AI24" s="42" t="n"/>
      <c r="AJ24" s="43" t="n"/>
      <c r="AK24" s="41" t="n"/>
      <c r="AL24" s="40" t="n"/>
      <c r="AM24" s="41" t="n"/>
      <c r="AN24" s="645" t="n"/>
      <c r="AO24" s="42" t="n"/>
      <c r="AP24" s="40" t="n"/>
      <c r="AQ24" s="41" t="n"/>
      <c r="AR24" s="888">
        <f>IFERROR(IF(VLOOKUP($B24,Medewerker!$C$8:$U$107,19,FALSE)="",VLOOKUP($B24,Medewerker!$C$8:$U$107,17,FALSE),0),0)</f>
        <v/>
      </c>
      <c r="AS24" s="889">
        <f>IFERROR(IF(B24="",1,IF(VLOOKUP($B24,Medewerker!$C$8:$U$107,19,FALSE)="",VLOOKUP($B24,Medewerker!$C$8:$U$107,18,FALSE),0)),0)</f>
        <v/>
      </c>
      <c r="AT24" s="30" t="n"/>
      <c r="AU24" s="30">
        <f>(COUNTIF(F24:AQ24,"afw"))/2</f>
        <v/>
      </c>
      <c r="AV24" s="111">
        <f>((38-(COUNTIF(F24:AQ24,"")))/2)-(COUNTIF(F24:AQ24,"p")/2)-(COUNTIF(F24:AQ24,CONCATENATE("x","*"))/4)</f>
        <v/>
      </c>
      <c r="AW24" s="73">
        <f>IF($B24="","",VLOOKUP($B24,Medewerker!$C$8:$E$107,3,FALSE))</f>
        <v/>
      </c>
      <c r="AX24" s="403">
        <f>IFERROR(VLOOKUP($B24,Planning!$B$6:$AG$105,32,FALSE)*24,"")</f>
        <v/>
      </c>
      <c r="AY24" s="562" t="inlineStr">
        <is>
          <t>br</t>
        </is>
      </c>
      <c r="AZ24" s="166" t="inlineStr">
        <is>
          <t>Bepalen restant</t>
        </is>
      </c>
      <c r="BA24" s="111">
        <f>COUNTIF($F$13:$AQ$63,CONCATENATE(AY24,"*"))/2+COUNTIF($F$13:$AQ$63,CONCATENATE("x",AY24,"*"))/4</f>
        <v/>
      </c>
      <c r="BB24" s="838" t="n"/>
      <c r="BC24" s="31">
        <f>IF(Planning!B17="","",Planning!B17)</f>
        <v/>
      </c>
      <c r="BD24" s="105" t="n"/>
      <c r="BE24" s="885">
        <f>Planning!E17</f>
        <v/>
      </c>
      <c r="BF24" s="885">
        <f>Planning!F17</f>
        <v/>
      </c>
      <c r="BG24" s="886" t="n"/>
      <c r="BH24" s="105" t="n"/>
      <c r="BI24" s="885">
        <f>Planning!I17</f>
        <v/>
      </c>
      <c r="BJ24" s="885">
        <f>Planning!J17</f>
        <v/>
      </c>
      <c r="BK24" s="886" t="n"/>
      <c r="BL24" s="105" t="n"/>
      <c r="BM24" s="885">
        <f>Planning!M17</f>
        <v/>
      </c>
      <c r="BN24" s="885">
        <f>Planning!N17</f>
        <v/>
      </c>
      <c r="BO24" s="886" t="n"/>
      <c r="BP24" s="105" t="n"/>
      <c r="BQ24" s="885">
        <f>Planning!Q17</f>
        <v/>
      </c>
      <c r="BR24" s="885">
        <f>Planning!R17</f>
        <v/>
      </c>
      <c r="BS24" s="886" t="n"/>
      <c r="BT24" s="105" t="n"/>
      <c r="BU24" s="885">
        <f>Planning!U17</f>
        <v/>
      </c>
      <c r="BV24" s="885">
        <f>Planning!V17</f>
        <v/>
      </c>
      <c r="BW24" s="886" t="n"/>
      <c r="BX24" s="105" t="n"/>
      <c r="BY24" s="885">
        <f>Planning!Y17</f>
        <v/>
      </c>
      <c r="BZ24" s="885">
        <f>Planning!Z17</f>
        <v/>
      </c>
      <c r="CA24" s="886" t="n"/>
      <c r="CB24" s="105" t="n"/>
      <c r="CC24" s="885">
        <f>Planning!AC17</f>
        <v/>
      </c>
      <c r="CD24" s="885">
        <f>Planning!AD17</f>
        <v/>
      </c>
      <c r="CE24" s="886" t="n"/>
      <c r="CF24" s="105" t="n"/>
      <c r="CG24" s="887">
        <f>Planning!AG17</f>
        <v/>
      </c>
      <c r="CH24" s="105" t="n"/>
      <c r="CI24" s="252">
        <f>IF(BC24="","",Planning!AI17)</f>
        <v/>
      </c>
      <c r="CJ24" s="252">
        <f>IF(BC24="","",Planning!AJ17)</f>
        <v/>
      </c>
      <c r="CK24" s="252">
        <f>IF(BC24="","",Planning!AK17)</f>
        <v/>
      </c>
      <c r="CL24" s="252">
        <f>IF(BC24="","",Planning!AH17)</f>
        <v/>
      </c>
      <c r="CM24" s="21" t="n"/>
    </row>
    <row r="25" ht="12.75" customHeight="1">
      <c r="A25" s="161">
        <f>IFERROR(IF(VLOOKUP($B25,$BC$13:$CL$86,36,FALSE)&gt;5,0,IF(COUNTIF($B$13:$B$63,$B25)&gt;1,0,13)),13)+IF(B25&lt;&gt;0,0,IF(AV25&gt;0,0.000001,0))</f>
        <v/>
      </c>
      <c r="B25" s="129" t="n"/>
      <c r="C25" s="48">
        <f>IFERROR(IF($B25="","",VLOOKUP($B25,Medewerker!$C$8:$AI$107,33,FALSE)),"?")</f>
        <v/>
      </c>
      <c r="D25" s="879">
        <f t="array" ref="D25">IFERROR(IF(LEFT(INDEX($F25:$AQ25,1,SUM(SMALL(IF($F25:$AQ25&lt;&gt;"",COLUMN($F25:$AQ25)),1)-5)),1)="x",SUM(SMALL(IF($F25:$AQ25&lt;&gt;"",$F$11:$AQ$11),1)+"0:15"),SMALL(IF($F25:$AQ25&lt;&gt;"",$F$11:$AQ$11),1)),"")</f>
        <v/>
      </c>
      <c r="E25" s="879">
        <f t="array" ref="E25">IFERROR(IF(LEFT(INDEX($F25:$AQ25,1,SUM(LARGE(IF($F25:$AQ25&lt;&gt;"",COLUMN($F25:$AQ25)),1)-5)),1)="x",SUM(LARGE(IF($F25:$AQ25&lt;&gt;"",$F$11:$AQ$11+"0:30:00"),1)-"0:15"),LARGE(IF($F25:$AQ25&lt;&gt;"",$F$11:$AQ$11+"0:30:00"),1)),"")</f>
        <v/>
      </c>
      <c r="F25" s="40" t="n"/>
      <c r="G25" s="41" t="n"/>
      <c r="H25" s="40" t="n"/>
      <c r="I25" s="41" t="n"/>
      <c r="J25" s="40" t="n"/>
      <c r="K25" s="42" t="n"/>
      <c r="L25" s="43" t="n"/>
      <c r="M25" s="41" t="n"/>
      <c r="N25" s="40" t="n"/>
      <c r="O25" s="42" t="n"/>
      <c r="P25" s="43" t="n"/>
      <c r="Q25" s="41" t="n"/>
      <c r="R25" s="40" t="n"/>
      <c r="S25" s="42" t="n"/>
      <c r="T25" s="43" t="n"/>
      <c r="U25" s="41" t="n"/>
      <c r="V25" s="40" t="n"/>
      <c r="W25" s="42" t="n"/>
      <c r="X25" s="43" t="n"/>
      <c r="Y25" s="41" t="n"/>
      <c r="Z25" s="40" t="n"/>
      <c r="AA25" s="42" t="n"/>
      <c r="AB25" s="43" t="n"/>
      <c r="AC25" s="41" t="n"/>
      <c r="AD25" s="40" t="n"/>
      <c r="AE25" s="42" t="n"/>
      <c r="AF25" s="43" t="n"/>
      <c r="AG25" s="41" t="n"/>
      <c r="AH25" s="40" t="n"/>
      <c r="AI25" s="42" t="n"/>
      <c r="AJ25" s="43" t="n"/>
      <c r="AK25" s="41" t="n"/>
      <c r="AL25" s="40" t="n"/>
      <c r="AM25" s="41" t="n"/>
      <c r="AN25" s="645" t="n"/>
      <c r="AO25" s="42" t="n"/>
      <c r="AP25" s="40" t="n"/>
      <c r="AQ25" s="41" t="n"/>
      <c r="AR25" s="888">
        <f>IFERROR(IF(VLOOKUP($B25,Medewerker!$C$8:$U$107,19,FALSE)="",VLOOKUP($B25,Medewerker!$C$8:$U$107,17,FALSE),0),0)</f>
        <v/>
      </c>
      <c r="AS25" s="889">
        <f>IFERROR(IF(B25="",1,IF(VLOOKUP($B25,Medewerker!$C$8:$U$107,19,FALSE)="",VLOOKUP($B25,Medewerker!$C$8:$U$107,18,FALSE),0)),0)</f>
        <v/>
      </c>
      <c r="AT25" s="30" t="n"/>
      <c r="AU25" s="30">
        <f>(COUNTIF(F25:AQ25,"afw"))/2</f>
        <v/>
      </c>
      <c r="AV25" s="111">
        <f>((38-(COUNTIF(F25:AQ25,"")))/2)-(COUNTIF(F25:AQ25,"p")/2)-(COUNTIF(F25:AQ25,CONCATENATE("x","*"))/4)</f>
        <v/>
      </c>
      <c r="AW25" s="73">
        <f>IF($B25="","",VLOOKUP($B25,Medewerker!$C$8:$E$107,3,FALSE))</f>
        <v/>
      </c>
      <c r="AX25" s="403">
        <f>IFERROR(VLOOKUP($B25,Planning!$B$6:$AG$105,32,FALSE)*24,"")</f>
        <v/>
      </c>
      <c r="AY25" s="563" t="inlineStr">
        <is>
          <t>bl</t>
        </is>
      </c>
      <c r="AZ25" s="412" t="inlineStr">
        <is>
          <t>Bepalen langrestant</t>
        </is>
      </c>
      <c r="BA25" s="111">
        <f>COUNTIF($F$13:$AQ$63,CONCATENATE(AY25,"*"))/2+COUNTIF($F$13:$AQ$63,CONCATENATE("x",AY25,"*"))/4</f>
        <v/>
      </c>
      <c r="BB25" s="838" t="n"/>
      <c r="BC25" s="31">
        <f>IF(Planning!B18="","",Planning!B18)</f>
        <v/>
      </c>
      <c r="BD25" s="105" t="n"/>
      <c r="BE25" s="885">
        <f>Planning!E18</f>
        <v/>
      </c>
      <c r="BF25" s="885">
        <f>Planning!F18</f>
        <v/>
      </c>
      <c r="BG25" s="886" t="n"/>
      <c r="BH25" s="105" t="n"/>
      <c r="BI25" s="885">
        <f>Planning!I18</f>
        <v/>
      </c>
      <c r="BJ25" s="885">
        <f>Planning!J18</f>
        <v/>
      </c>
      <c r="BK25" s="886" t="n"/>
      <c r="BL25" s="105" t="n"/>
      <c r="BM25" s="885">
        <f>Planning!M18</f>
        <v/>
      </c>
      <c r="BN25" s="885">
        <f>Planning!N18</f>
        <v/>
      </c>
      <c r="BO25" s="886" t="n"/>
      <c r="BP25" s="105" t="n"/>
      <c r="BQ25" s="885">
        <f>Planning!Q18</f>
        <v/>
      </c>
      <c r="BR25" s="885">
        <f>Planning!R18</f>
        <v/>
      </c>
      <c r="BS25" s="886" t="n"/>
      <c r="BT25" s="105" t="n"/>
      <c r="BU25" s="885">
        <f>Planning!U18</f>
        <v/>
      </c>
      <c r="BV25" s="885">
        <f>Planning!V18</f>
        <v/>
      </c>
      <c r="BW25" s="886" t="n"/>
      <c r="BX25" s="105" t="n"/>
      <c r="BY25" s="885">
        <f>Planning!Y18</f>
        <v/>
      </c>
      <c r="BZ25" s="885">
        <f>Planning!Z18</f>
        <v/>
      </c>
      <c r="CA25" s="886" t="n"/>
      <c r="CB25" s="105" t="n"/>
      <c r="CC25" s="885">
        <f>Planning!AC18</f>
        <v/>
      </c>
      <c r="CD25" s="885">
        <f>Planning!AD18</f>
        <v/>
      </c>
      <c r="CE25" s="886" t="n"/>
      <c r="CF25" s="105" t="n"/>
      <c r="CG25" s="887">
        <f>Planning!AG18</f>
        <v/>
      </c>
      <c r="CH25" s="105" t="n"/>
      <c r="CI25" s="252">
        <f>IF(BC25="","",Planning!AI18)</f>
        <v/>
      </c>
      <c r="CJ25" s="252">
        <f>IF(BC25="","",Planning!AJ18)</f>
        <v/>
      </c>
      <c r="CK25" s="252">
        <f>IF(BC25="","",Planning!AK18)</f>
        <v/>
      </c>
      <c r="CL25" s="252">
        <f>IF(BC25="","",Planning!AH18)</f>
        <v/>
      </c>
      <c r="CM25" s="21" t="n"/>
    </row>
    <row r="26" ht="12.75" customHeight="1">
      <c r="A26" s="161">
        <f>IFERROR(IF(VLOOKUP($B26,$BC$13:$CL$86,36,FALSE)&gt;5,0,IF(COUNTIF($B$13:$B$63,$B26)&gt;1,0,14)),14)+IF(B26&lt;&gt;0,0,IF(AV26&gt;0,0.000001,0))</f>
        <v/>
      </c>
      <c r="B26" s="129" t="inlineStr">
        <is>
          <t>Mike Odafe</t>
        </is>
      </c>
      <c r="C26" s="48">
        <f>IFERROR(IF($B26="","",VLOOKUP($B26,Medewerker!$C$8:$AI$107,33,FALSE)),"?")</f>
        <v/>
      </c>
      <c r="D26" s="879">
        <f t="array" ref="D26">IFERROR(IF(LEFT(INDEX($F26:$AQ26,1,SUM(SMALL(IF($F26:$AQ26&lt;&gt;"",COLUMN($F26:$AQ26)),1)-5)),1)="x",SUM(SMALL(IF($F26:$AQ26&lt;&gt;"",$F$11:$AQ$11),1)+"0:15"),SMALL(IF($F26:$AQ26&lt;&gt;"",$F$11:$AQ$11),1)),"")</f>
        <v/>
      </c>
      <c r="E26" s="879">
        <f t="array" ref="E26">IFERROR(IF(LEFT(INDEX($F26:$AQ26,1,SUM(LARGE(IF($F26:$AQ26&lt;&gt;"",COLUMN($F26:$AQ26)),1)-5)),1)="x",SUM(LARGE(IF($F26:$AQ26&lt;&gt;"",$F$11:$AQ$11+"0:30:00"),1)-"0:15"),LARGE(IF($F26:$AQ26&lt;&gt;"",$F$11:$AQ$11+"0:30:00"),1)),"")</f>
        <v/>
      </c>
      <c r="F26" s="40" t="n"/>
      <c r="G26" s="41" t="n"/>
      <c r="H26" s="40" t="n"/>
      <c r="I26" s="41" t="n"/>
      <c r="J26" s="40" t="inlineStr">
        <is>
          <t>l</t>
        </is>
      </c>
      <c r="K26" s="42" t="inlineStr">
        <is>
          <t>l</t>
        </is>
      </c>
      <c r="L26" s="43" t="inlineStr">
        <is>
          <t>l</t>
        </is>
      </c>
      <c r="M26" s="41" t="inlineStr">
        <is>
          <t>sp</t>
        </is>
      </c>
      <c r="N26" s="40" t="inlineStr">
        <is>
          <t>sp</t>
        </is>
      </c>
      <c r="O26" s="42" t="inlineStr">
        <is>
          <t>sp</t>
        </is>
      </c>
      <c r="P26" s="43" t="inlineStr">
        <is>
          <t>sp</t>
        </is>
      </c>
      <c r="Q26" s="41" t="inlineStr">
        <is>
          <t>sp</t>
        </is>
      </c>
      <c r="R26" s="40" t="inlineStr">
        <is>
          <t>p</t>
        </is>
      </c>
      <c r="S26" s="42" t="inlineStr">
        <is>
          <t>hv</t>
        </is>
      </c>
      <c r="T26" s="43" t="inlineStr">
        <is>
          <t>hv</t>
        </is>
      </c>
      <c r="U26" s="41" t="inlineStr">
        <is>
          <t>hv</t>
        </is>
      </c>
      <c r="V26" s="40" t="inlineStr">
        <is>
          <t>hv</t>
        </is>
      </c>
      <c r="W26" s="42" t="inlineStr">
        <is>
          <t>hv</t>
        </is>
      </c>
      <c r="X26" s="43" t="inlineStr">
        <is>
          <t>hv</t>
        </is>
      </c>
      <c r="Y26" s="41" t="n"/>
      <c r="Z26" s="40" t="n"/>
      <c r="AA26" s="42" t="n"/>
      <c r="AB26" s="43" t="n"/>
      <c r="AC26" s="41" t="n"/>
      <c r="AD26" s="40" t="n"/>
      <c r="AE26" s="42" t="n"/>
      <c r="AF26" s="43" t="n"/>
      <c r="AG26" s="41" t="n"/>
      <c r="AH26" s="40" t="n"/>
      <c r="AI26" s="42" t="n"/>
      <c r="AJ26" s="43" t="n"/>
      <c r="AK26" s="41" t="n"/>
      <c r="AL26" s="40" t="n"/>
      <c r="AM26" s="41" t="n"/>
      <c r="AN26" s="645" t="n"/>
      <c r="AO26" s="42" t="n"/>
      <c r="AP26" s="40" t="n"/>
      <c r="AQ26" s="41" t="n"/>
      <c r="AR26" s="888">
        <f>IFERROR(IF(VLOOKUP($B26,Medewerker!$C$8:$U$107,19,FALSE)="",VLOOKUP($B26,Medewerker!$C$8:$U$107,17,FALSE),0),0)</f>
        <v/>
      </c>
      <c r="AS26" s="889">
        <f>IFERROR(IF(B26="",1,IF(VLOOKUP($B26,Medewerker!$C$8:$U$107,19,FALSE)="",VLOOKUP($B26,Medewerker!$C$8:$U$107,18,FALSE),0)),0)</f>
        <v/>
      </c>
      <c r="AT26" s="30" t="n"/>
      <c r="AU26" s="30">
        <f>(COUNTIF(F26:AQ26,"afw"))/2</f>
        <v/>
      </c>
      <c r="AV26" s="111">
        <f>((38-(COUNTIF(F26:AQ26,"")))/2)-(COUNTIF(F26:AQ26,"p")/2)-(COUNTIF(F26:AQ26,CONCATENATE("x","*"))/4)</f>
        <v/>
      </c>
      <c r="AW26" s="73">
        <f>IF($B26="","",VLOOKUP($B26,Medewerker!$C$8:$E$107,3,FALSE))</f>
        <v/>
      </c>
      <c r="AX26" s="403">
        <f>IFERROR(VLOOKUP($B26,Planning!$B$6:$AG$105,32,FALSE)*24,"")</f>
        <v/>
      </c>
      <c r="AY26" s="562" t="inlineStr">
        <is>
          <t>hl</t>
        </is>
      </c>
      <c r="AZ26" s="166" t="inlineStr">
        <is>
          <t>Hardlopers vullen</t>
        </is>
      </c>
      <c r="BA26" s="111">
        <f>COUNTIF($F$13:$AQ$63,CONCATENATE(AY26,"*"))/2+COUNTIF($F$13:$AQ$63,CONCATENATE("x",AY26,"*"))/4</f>
        <v/>
      </c>
      <c r="BB26" s="838" t="n"/>
      <c r="BC26" s="31">
        <f>IF(Planning!B19="","",Planning!B19)</f>
        <v/>
      </c>
      <c r="BD26" s="105" t="n"/>
      <c r="BE26" s="885">
        <f>Planning!E19</f>
        <v/>
      </c>
      <c r="BF26" s="885">
        <f>Planning!F19</f>
        <v/>
      </c>
      <c r="BG26" s="886" t="n"/>
      <c r="BH26" s="105" t="n"/>
      <c r="BI26" s="885">
        <f>Planning!I19</f>
        <v/>
      </c>
      <c r="BJ26" s="885">
        <f>Planning!J19</f>
        <v/>
      </c>
      <c r="BK26" s="886" t="n"/>
      <c r="BL26" s="105" t="n"/>
      <c r="BM26" s="885">
        <f>Planning!M19</f>
        <v/>
      </c>
      <c r="BN26" s="885">
        <f>Planning!N19</f>
        <v/>
      </c>
      <c r="BO26" s="886" t="n"/>
      <c r="BP26" s="105" t="n"/>
      <c r="BQ26" s="885">
        <f>Planning!Q19</f>
        <v/>
      </c>
      <c r="BR26" s="885">
        <f>Planning!R19</f>
        <v/>
      </c>
      <c r="BS26" s="886" t="n"/>
      <c r="BT26" s="105" t="n"/>
      <c r="BU26" s="885">
        <f>Planning!U19</f>
        <v/>
      </c>
      <c r="BV26" s="885">
        <f>Planning!V19</f>
        <v/>
      </c>
      <c r="BW26" s="886" t="n"/>
      <c r="BX26" s="105" t="n"/>
      <c r="BY26" s="885">
        <f>Planning!Y19</f>
        <v/>
      </c>
      <c r="BZ26" s="885">
        <f>Planning!Z19</f>
        <v/>
      </c>
      <c r="CA26" s="886" t="n"/>
      <c r="CB26" s="105" t="n"/>
      <c r="CC26" s="885">
        <f>Planning!AC19</f>
        <v/>
      </c>
      <c r="CD26" s="885">
        <f>Planning!AD19</f>
        <v/>
      </c>
      <c r="CE26" s="886" t="n"/>
      <c r="CF26" s="105" t="n"/>
      <c r="CG26" s="887">
        <f>Planning!AG19</f>
        <v/>
      </c>
      <c r="CH26" s="105" t="n"/>
      <c r="CI26" s="252">
        <f>IF(BC26="","",Planning!AI19)</f>
        <v/>
      </c>
      <c r="CJ26" s="252">
        <f>IF(BC26="","",Planning!AJ19)</f>
        <v/>
      </c>
      <c r="CK26" s="252">
        <f>IF(BC26="","",Planning!AK19)</f>
        <v/>
      </c>
      <c r="CL26" s="252">
        <f>IF(BC26="","",Planning!AH19)</f>
        <v/>
      </c>
      <c r="CM26" s="21" t="n"/>
    </row>
    <row r="27" ht="12.75" customHeight="1">
      <c r="A27" s="161">
        <f>IFERROR(IF(VLOOKUP($B27,$BC$13:$CL$86,36,FALSE)&gt;5,0,IF(COUNTIF($B$13:$B$63,$B27)&gt;1,0,15)),15)+IF(B27&lt;&gt;0,0,IF(AV27&gt;0,0.000001,0))</f>
        <v/>
      </c>
      <c r="B27" s="129" t="inlineStr">
        <is>
          <t>Kamal</t>
        </is>
      </c>
      <c r="C27" s="48">
        <f>IFERROR(IF($B27="","",VLOOKUP($B27,Medewerker!$C$8:$AI$107,33,FALSE)),"?")</f>
        <v/>
      </c>
      <c r="D27" s="879">
        <f t="array" ref="D27">IFERROR(IF(LEFT(INDEX($F27:$AQ27,1,SUM(SMALL(IF($F27:$AQ27&lt;&gt;"",COLUMN($F27:$AQ27)),1)-5)),1)="x",SUM(SMALL(IF($F27:$AQ27&lt;&gt;"",$F$11:$AQ$11),1)+"0:15"),SMALL(IF($F27:$AQ27&lt;&gt;"",$F$11:$AQ$11),1)),"")</f>
        <v/>
      </c>
      <c r="E27" s="879">
        <f t="array" ref="E27">IFERROR(IF(LEFT(INDEX($F27:$AQ27,1,SUM(LARGE(IF($F27:$AQ27&lt;&gt;"",COLUMN($F27:$AQ27)),1)-5)),1)="x",SUM(LARGE(IF($F27:$AQ27&lt;&gt;"",$F$11:$AQ$11+"0:30:00"),1)-"0:15"),LARGE(IF($F27:$AQ27&lt;&gt;"",$F$11:$AQ$11+"0:30:00"),1)),"")</f>
        <v/>
      </c>
      <c r="F27" s="40" t="n"/>
      <c r="G27" s="41" t="n"/>
      <c r="H27" s="40" t="n"/>
      <c r="I27" s="41" t="n"/>
      <c r="J27" s="40" t="inlineStr">
        <is>
          <t>nh</t>
        </is>
      </c>
      <c r="K27" s="42" t="inlineStr">
        <is>
          <t>nh</t>
        </is>
      </c>
      <c r="L27" s="43" t="inlineStr">
        <is>
          <t>l</t>
        </is>
      </c>
      <c r="M27" s="41" t="inlineStr">
        <is>
          <t>hv</t>
        </is>
      </c>
      <c r="N27" s="40" t="inlineStr">
        <is>
          <t>hv</t>
        </is>
      </c>
      <c r="O27" s="42" t="inlineStr">
        <is>
          <t>hv</t>
        </is>
      </c>
      <c r="P27" s="43" t="inlineStr">
        <is>
          <t>hv</t>
        </is>
      </c>
      <c r="Q27" s="41" t="inlineStr">
        <is>
          <t>hv</t>
        </is>
      </c>
      <c r="R27" s="40" t="inlineStr">
        <is>
          <t>p</t>
        </is>
      </c>
      <c r="S27" s="42" t="inlineStr">
        <is>
          <t>hv</t>
        </is>
      </c>
      <c r="T27" s="43" t="inlineStr">
        <is>
          <t>hv</t>
        </is>
      </c>
      <c r="U27" s="41" t="inlineStr">
        <is>
          <t>hv</t>
        </is>
      </c>
      <c r="V27" s="40" t="inlineStr">
        <is>
          <t>hv</t>
        </is>
      </c>
      <c r="W27" s="42" t="n"/>
      <c r="X27" s="43" t="n"/>
      <c r="Y27" s="41" t="n"/>
      <c r="Z27" s="40" t="n"/>
      <c r="AA27" s="42" t="n"/>
      <c r="AB27" s="43" t="n"/>
      <c r="AC27" s="41" t="n"/>
      <c r="AD27" s="40" t="n"/>
      <c r="AE27" s="42" t="n"/>
      <c r="AF27" s="43" t="n"/>
      <c r="AG27" s="41" t="n"/>
      <c r="AH27" s="40" t="n"/>
      <c r="AI27" s="42" t="n"/>
      <c r="AJ27" s="43" t="n"/>
      <c r="AK27" s="41" t="n"/>
      <c r="AL27" s="40" t="n"/>
      <c r="AM27" s="41" t="n"/>
      <c r="AN27" s="645" t="n"/>
      <c r="AO27" s="42" t="n"/>
      <c r="AP27" s="40" t="n"/>
      <c r="AQ27" s="41" t="n"/>
      <c r="AR27" s="888">
        <f>IFERROR(IF(VLOOKUP($B27,Medewerker!$C$8:$U$107,19,FALSE)="",VLOOKUP($B27,Medewerker!$C$8:$U$107,17,FALSE),0),0)</f>
        <v/>
      </c>
      <c r="AS27" s="889">
        <f>IFERROR(IF(B27="",1,IF(VLOOKUP($B27,Medewerker!$C$8:$U$107,19,FALSE)="",VLOOKUP($B27,Medewerker!$C$8:$U$107,18,FALSE),0)),0)</f>
        <v/>
      </c>
      <c r="AT27" s="30" t="n"/>
      <c r="AU27" s="30">
        <f>(COUNTIF(F27:AQ27,"afw"))/2</f>
        <v/>
      </c>
      <c r="AV27" s="111">
        <f>((38-(COUNTIF(F27:AQ27,"")))/2)-(COUNTIF(F27:AQ27,"p")/2)-(COUNTIF(F27:AQ27,CONCATENATE("x","*"))/4)</f>
        <v/>
      </c>
      <c r="AW27" s="73">
        <f>IF($B27="","",VLOOKUP($B27,Medewerker!$C$8:$E$107,3,FALSE))</f>
        <v/>
      </c>
      <c r="AX27" s="403">
        <f>IFERROR(VLOOKUP($B27,Planning!$B$6:$AG$105,32,FALSE)*24,"")</f>
        <v/>
      </c>
      <c r="AY27" s="563" t="inlineStr">
        <is>
          <t>lhb</t>
        </is>
      </c>
      <c r="AZ27" s="71" t="inlineStr">
        <is>
          <t>Neeverkoop HB</t>
        </is>
      </c>
      <c r="BA27" s="111">
        <f>COUNTIF($F$13:$AQ$63,CONCATENATE(AY27,"*"))/2+COUNTIF($F$13:$AQ$63,CONCATENATE("x",AY27,"*"))/4</f>
        <v/>
      </c>
      <c r="BB27" s="838" t="n"/>
      <c r="BC27" s="31">
        <f>IF(Planning!B20="","",Planning!B20)</f>
        <v/>
      </c>
      <c r="BD27" s="105" t="n"/>
      <c r="BE27" s="885">
        <f>Planning!E20</f>
        <v/>
      </c>
      <c r="BF27" s="885">
        <f>Planning!F20</f>
        <v/>
      </c>
      <c r="BG27" s="886" t="n"/>
      <c r="BH27" s="105" t="n"/>
      <c r="BI27" s="885">
        <f>Planning!I20</f>
        <v/>
      </c>
      <c r="BJ27" s="885">
        <f>Planning!J20</f>
        <v/>
      </c>
      <c r="BK27" s="886" t="n"/>
      <c r="BL27" s="105" t="n"/>
      <c r="BM27" s="885">
        <f>Planning!M20</f>
        <v/>
      </c>
      <c r="BN27" s="885">
        <f>Planning!N20</f>
        <v/>
      </c>
      <c r="BO27" s="886" t="n"/>
      <c r="BP27" s="105" t="n"/>
      <c r="BQ27" s="885">
        <f>Planning!Q20</f>
        <v/>
      </c>
      <c r="BR27" s="885">
        <f>Planning!R20</f>
        <v/>
      </c>
      <c r="BS27" s="886" t="n"/>
      <c r="BT27" s="105" t="n"/>
      <c r="BU27" s="885">
        <f>Planning!U20</f>
        <v/>
      </c>
      <c r="BV27" s="885">
        <f>Planning!V20</f>
        <v/>
      </c>
      <c r="BW27" s="886" t="n"/>
      <c r="BX27" s="105" t="n"/>
      <c r="BY27" s="885">
        <f>Planning!Y20</f>
        <v/>
      </c>
      <c r="BZ27" s="885">
        <f>Planning!Z20</f>
        <v/>
      </c>
      <c r="CA27" s="886" t="n"/>
      <c r="CB27" s="105" t="n"/>
      <c r="CC27" s="885">
        <f>Planning!AC20</f>
        <v/>
      </c>
      <c r="CD27" s="885">
        <f>Planning!AD20</f>
        <v/>
      </c>
      <c r="CE27" s="886" t="n"/>
      <c r="CF27" s="105" t="n"/>
      <c r="CG27" s="887">
        <f>Planning!AG20</f>
        <v/>
      </c>
      <c r="CH27" s="105" t="n"/>
      <c r="CI27" s="252">
        <f>IF(BC27="","",Planning!AI20)</f>
        <v/>
      </c>
      <c r="CJ27" s="252">
        <f>IF(BC27="","",Planning!AJ20)</f>
        <v/>
      </c>
      <c r="CK27" s="252">
        <f>IF(BC27="","",Planning!AK20)</f>
        <v/>
      </c>
      <c r="CL27" s="252">
        <f>IF(BC27="","",Planning!AH20)</f>
        <v/>
      </c>
      <c r="CM27" s="21" t="n"/>
    </row>
    <row r="28" ht="12.75" customHeight="1">
      <c r="A28" s="161">
        <f>IFERROR(IF(VLOOKUP($B28,$BC$13:$CL$86,36,FALSE)&gt;5,0,IF(COUNTIF($B$13:$B$63,$B28)&gt;1,0,16)),16)+IF(B28&lt;&gt;0,0,IF(AV28&gt;0,0.000001,0))</f>
        <v/>
      </c>
      <c r="B28" s="129" t="n"/>
      <c r="C28" s="48">
        <f>IFERROR(IF($B28="","",VLOOKUP($B28,Medewerker!$C$8:$AI$107,33,FALSE)),"?")</f>
        <v/>
      </c>
      <c r="D28" s="879">
        <f t="array" ref="D28">IFERROR(IF(LEFT(INDEX($F28:$AQ28,1,SUM(SMALL(IF($F28:$AQ28&lt;&gt;"",COLUMN($F28:$AQ28)),1)-5)),1)="x",SUM(SMALL(IF($F28:$AQ28&lt;&gt;"",$F$11:$AQ$11),1)+"0:15"),SMALL(IF($F28:$AQ28&lt;&gt;"",$F$11:$AQ$11),1)),"")</f>
        <v/>
      </c>
      <c r="E28" s="879">
        <f t="array" ref="E28">IFERROR(IF(LEFT(INDEX($F28:$AQ28,1,SUM(LARGE(IF($F28:$AQ28&lt;&gt;"",COLUMN($F28:$AQ28)),1)-5)),1)="x",SUM(LARGE(IF($F28:$AQ28&lt;&gt;"",$F$11:$AQ$11+"0:30:00"),1)-"0:15"),LARGE(IF($F28:$AQ28&lt;&gt;"",$F$11:$AQ$11+"0:30:00"),1)),"")</f>
        <v/>
      </c>
      <c r="F28" s="40" t="n"/>
      <c r="G28" s="41" t="n"/>
      <c r="H28" s="40" t="n"/>
      <c r="I28" s="41" t="n"/>
      <c r="J28" s="40" t="n"/>
      <c r="K28" s="42" t="n"/>
      <c r="L28" s="43" t="n"/>
      <c r="M28" s="41" t="n"/>
      <c r="N28" s="40" t="n"/>
      <c r="O28" s="42" t="n"/>
      <c r="P28" s="43" t="n"/>
      <c r="Q28" s="41" t="n"/>
      <c r="R28" s="40" t="n"/>
      <c r="S28" s="42" t="n"/>
      <c r="T28" s="43" t="n"/>
      <c r="U28" s="41" t="n"/>
      <c r="V28" s="40" t="n"/>
      <c r="W28" s="42" t="n"/>
      <c r="X28" s="43" t="n"/>
      <c r="Y28" s="41" t="n"/>
      <c r="Z28" s="40" t="n"/>
      <c r="AA28" s="42" t="n"/>
      <c r="AB28" s="43" t="n"/>
      <c r="AC28" s="41" t="n"/>
      <c r="AD28" s="40" t="n"/>
      <c r="AE28" s="42" t="n"/>
      <c r="AF28" s="43" t="n"/>
      <c r="AG28" s="41" t="n"/>
      <c r="AH28" s="40" t="n"/>
      <c r="AI28" s="42" t="n"/>
      <c r="AJ28" s="43" t="n"/>
      <c r="AK28" s="41" t="n"/>
      <c r="AL28" s="40" t="n"/>
      <c r="AM28" s="41" t="n"/>
      <c r="AN28" s="645" t="n"/>
      <c r="AO28" s="42" t="n"/>
      <c r="AP28" s="40" t="n"/>
      <c r="AQ28" s="41" t="n"/>
      <c r="AR28" s="888">
        <f>IFERROR(IF(VLOOKUP($B28,Medewerker!$C$8:$U$107,19,FALSE)="",VLOOKUP($B28,Medewerker!$C$8:$U$107,17,FALSE),0),0)</f>
        <v/>
      </c>
      <c r="AS28" s="889">
        <f>IFERROR(IF(B28="",1,IF(VLOOKUP($B28,Medewerker!$C$8:$U$107,19,FALSE)="",VLOOKUP($B28,Medewerker!$C$8:$U$107,18,FALSE),0)),0)</f>
        <v/>
      </c>
      <c r="AT28" s="30" t="n"/>
      <c r="AU28" s="30">
        <f>(COUNTIF(F28:AQ28,"afw"))/2</f>
        <v/>
      </c>
      <c r="AV28" s="111">
        <f>((38-(COUNTIF(F28:AQ28,"")))/2)-(COUNTIF(F28:AQ28,"p")/2)-(COUNTIF(F28:AQ28,CONCATENATE("x","*"))/4)</f>
        <v/>
      </c>
      <c r="AW28" s="73">
        <f>IF($B28="","",VLOOKUP($B28,Medewerker!$C$8:$E$107,3,FALSE))</f>
        <v/>
      </c>
      <c r="AX28" s="403">
        <f>IFERROR(VLOOKUP($B28,Planning!$B$6:$AG$105,32,FALSE)*24,"")</f>
        <v/>
      </c>
      <c r="AY28" s="562" t="inlineStr">
        <is>
          <t>ldv</t>
        </is>
      </c>
      <c r="AZ28" s="166" t="inlineStr">
        <is>
          <t>Neeverkoop DV</t>
        </is>
      </c>
      <c r="BA28" s="111">
        <f>COUNTIF($F$13:$AQ$63,CONCATENATE(AY28,"*"))/2+COUNTIF($F$13:$AQ$63,CONCATENATE("x",AY28,"*"))/4</f>
        <v/>
      </c>
      <c r="BB28" s="838" t="n"/>
      <c r="BC28" s="31">
        <f>IF(Planning!B21="","",Planning!B21)</f>
        <v/>
      </c>
      <c r="BD28" s="105" t="n"/>
      <c r="BE28" s="885">
        <f>Planning!E21</f>
        <v/>
      </c>
      <c r="BF28" s="885">
        <f>Planning!F21</f>
        <v/>
      </c>
      <c r="BG28" s="886" t="n"/>
      <c r="BH28" s="105" t="n"/>
      <c r="BI28" s="885">
        <f>Planning!I21</f>
        <v/>
      </c>
      <c r="BJ28" s="885">
        <f>Planning!J21</f>
        <v/>
      </c>
      <c r="BK28" s="886" t="n"/>
      <c r="BL28" s="105" t="n"/>
      <c r="BM28" s="885">
        <f>Planning!M21</f>
        <v/>
      </c>
      <c r="BN28" s="885">
        <f>Planning!N21</f>
        <v/>
      </c>
      <c r="BO28" s="886" t="n"/>
      <c r="BP28" s="105" t="n"/>
      <c r="BQ28" s="885">
        <f>Planning!Q21</f>
        <v/>
      </c>
      <c r="BR28" s="885">
        <f>Planning!R21</f>
        <v/>
      </c>
      <c r="BS28" s="886" t="n"/>
      <c r="BT28" s="105" t="n"/>
      <c r="BU28" s="885">
        <f>Planning!U21</f>
        <v/>
      </c>
      <c r="BV28" s="885">
        <f>Planning!V21</f>
        <v/>
      </c>
      <c r="BW28" s="886" t="n"/>
      <c r="BX28" s="105" t="n"/>
      <c r="BY28" s="885">
        <f>Planning!Y21</f>
        <v/>
      </c>
      <c r="BZ28" s="885">
        <f>Planning!Z21</f>
        <v/>
      </c>
      <c r="CA28" s="886" t="n"/>
      <c r="CB28" s="105" t="n"/>
      <c r="CC28" s="885">
        <f>Planning!AC21</f>
        <v/>
      </c>
      <c r="CD28" s="885">
        <f>Planning!AD21</f>
        <v/>
      </c>
      <c r="CE28" s="886" t="n"/>
      <c r="CF28" s="105" t="n"/>
      <c r="CG28" s="887">
        <f>Planning!AG21</f>
        <v/>
      </c>
      <c r="CH28" s="105" t="n"/>
      <c r="CI28" s="252">
        <f>IF(BC28="","",Planning!AI21)</f>
        <v/>
      </c>
      <c r="CJ28" s="252">
        <f>IF(BC28="","",Planning!AJ21)</f>
        <v/>
      </c>
      <c r="CK28" s="252">
        <f>IF(BC28="","",Planning!AK21)</f>
        <v/>
      </c>
      <c r="CL28" s="252">
        <f>IF(BC28="","",Planning!AH21)</f>
        <v/>
      </c>
      <c r="CM28" s="21" t="n"/>
    </row>
    <row r="29" ht="12.75" customHeight="1">
      <c r="A29" s="161">
        <f>IFERROR(IF(VLOOKUP($B29,$BC$13:$CL$86,36,FALSE)&gt;5,0,IF(COUNTIF($B$13:$B$63,$B29)&gt;1,0,17)),17)+IF(B29&lt;&gt;0,0,IF(AV29&gt;0,0.000001,0))</f>
        <v/>
      </c>
      <c r="B29" s="129" t="inlineStr">
        <is>
          <t>Fatmir Bilalovski</t>
        </is>
      </c>
      <c r="C29" s="127">
        <f>IFERROR(IF($B29="","",VLOOKUP($B29,Medewerker!$C$8:$AI$107,33,FALSE)),"?")</f>
        <v/>
      </c>
      <c r="D29" s="890">
        <f t="array" ref="D29">IFERROR(IF(LEFT(INDEX($F29:$AQ29,1,SUM(SMALL(IF($F29:$AQ29&lt;&gt;"",COLUMN($F29:$AQ29)),1)-5)),1)="x",SUM(SMALL(IF($F29:$AQ29&lt;&gt;"",$F$11:$AQ$11),1)+"0:15"),SMALL(IF($F29:$AQ29&lt;&gt;"",$F$11:$AQ$11),1)),"")</f>
        <v/>
      </c>
      <c r="E29" s="890">
        <f t="array" ref="E29">IFERROR(IF(LEFT(INDEX($F29:$AQ29,1,SUM(LARGE(IF($F29:$AQ29&lt;&gt;"",COLUMN($F29:$AQ29)),1)-5)),1)="x",SUM(LARGE(IF($F29:$AQ29&lt;&gt;"",$F$11:$AQ$11+"0:30:00"),1)-"0:15"),LARGE(IF($F29:$AQ29&lt;&gt;"",$F$11:$AQ$11+"0:30:00"),1)),"")</f>
        <v/>
      </c>
      <c r="F29" s="40" t="n"/>
      <c r="G29" s="41" t="n"/>
      <c r="H29" s="43" t="n"/>
      <c r="I29" s="42" t="n"/>
      <c r="J29" s="43" t="n"/>
      <c r="K29" s="41" t="n"/>
      <c r="L29" s="40" t="inlineStr">
        <is>
          <t>rd</t>
        </is>
      </c>
      <c r="M29" s="42" t="inlineStr">
        <is>
          <t>rd</t>
        </is>
      </c>
      <c r="N29" s="43" t="inlineStr">
        <is>
          <t>dv</t>
        </is>
      </c>
      <c r="O29" s="41" t="inlineStr">
        <is>
          <t>dv</t>
        </is>
      </c>
      <c r="P29" s="40" t="inlineStr">
        <is>
          <t>dv</t>
        </is>
      </c>
      <c r="Q29" s="42" t="inlineStr">
        <is>
          <t>dv</t>
        </is>
      </c>
      <c r="R29" s="43" t="inlineStr">
        <is>
          <t>dv</t>
        </is>
      </c>
      <c r="S29" s="41" t="n"/>
      <c r="T29" s="40" t="n"/>
      <c r="U29" s="42" t="n"/>
      <c r="V29" s="43" t="n"/>
      <c r="W29" s="41" t="n"/>
      <c r="X29" s="40" t="n"/>
      <c r="Y29" s="42" t="n"/>
      <c r="Z29" s="43" t="n"/>
      <c r="AA29" s="41" t="n"/>
      <c r="AB29" s="40" t="n"/>
      <c r="AC29" s="42" t="n"/>
      <c r="AD29" s="43" t="n"/>
      <c r="AE29" s="41" t="n"/>
      <c r="AF29" s="40" t="n"/>
      <c r="AG29" s="42" t="n"/>
      <c r="AH29" s="43" t="n"/>
      <c r="AI29" s="41" t="n"/>
      <c r="AJ29" s="40" t="n"/>
      <c r="AK29" s="42" t="n"/>
      <c r="AL29" s="43" t="n"/>
      <c r="AM29" s="41" t="n"/>
      <c r="AN29" s="645" t="n"/>
      <c r="AO29" s="42" t="n"/>
      <c r="AP29" s="40" t="n"/>
      <c r="AQ29" s="41" t="n"/>
      <c r="AR29" s="888">
        <f>IFERROR(IF(VLOOKUP($B29,Medewerker!$C$8:$U$107,19,FALSE)="",VLOOKUP($B29,Medewerker!$C$8:$U$107,17,FALSE),0),0)</f>
        <v/>
      </c>
      <c r="AS29" s="889">
        <f>IFERROR(IF(B29="",1,IF(VLOOKUP($B29,Medewerker!$C$8:$U$107,19,FALSE)="",VLOOKUP($B29,Medewerker!$C$8:$U$107,18,FALSE),0)),0)</f>
        <v/>
      </c>
      <c r="AT29" s="30" t="n"/>
      <c r="AU29" s="30">
        <f>(COUNTIF(F29:AQ29,"afw"))/2</f>
        <v/>
      </c>
      <c r="AV29" s="111">
        <f>((38-(COUNTIF(F29:AQ29,"")))/2)-(COUNTIF(F29:AQ29,"p")/2)-(COUNTIF(F29:AQ29,CONCATENATE("x","*"))/4)</f>
        <v/>
      </c>
      <c r="AW29" s="73">
        <f>IF($B29="","",VLOOKUP($B29,Medewerker!$C$8:$E$107,3,FALSE))</f>
        <v/>
      </c>
      <c r="AX29" s="403">
        <f>IFERROR(VLOOKUP($B29,Planning!$B$6:$AG$105,32,FALSE)*24,"")</f>
        <v/>
      </c>
      <c r="AY29" s="563" t="inlineStr">
        <is>
          <t>lvv</t>
        </is>
      </c>
      <c r="AZ29" s="413" t="inlineStr">
        <is>
          <t>Neeverkoop Vers</t>
        </is>
      </c>
      <c r="BA29" s="111">
        <f>COUNTIF($F$13:$AQ$63,CONCATENATE(AY29,"*"))/2+COUNTIF($F$13:$AQ$63,CONCATENATE("x",AY29,"*"))/4</f>
        <v/>
      </c>
      <c r="BB29" s="838" t="n"/>
      <c r="BC29" s="31">
        <f>IF(Planning!B22="","",Planning!B22)</f>
        <v/>
      </c>
      <c r="BD29" s="105" t="n"/>
      <c r="BE29" s="885">
        <f>Planning!E22</f>
        <v/>
      </c>
      <c r="BF29" s="885">
        <f>Planning!F22</f>
        <v/>
      </c>
      <c r="BG29" s="886" t="n"/>
      <c r="BH29" s="105" t="n"/>
      <c r="BI29" s="885">
        <f>Planning!I22</f>
        <v/>
      </c>
      <c r="BJ29" s="885">
        <f>Planning!J22</f>
        <v/>
      </c>
      <c r="BK29" s="886" t="n"/>
      <c r="BL29" s="105" t="n"/>
      <c r="BM29" s="885">
        <f>Planning!M22</f>
        <v/>
      </c>
      <c r="BN29" s="885">
        <f>Planning!N22</f>
        <v/>
      </c>
      <c r="BO29" s="886" t="n"/>
      <c r="BP29" s="105" t="n"/>
      <c r="BQ29" s="885">
        <f>Planning!Q22</f>
        <v/>
      </c>
      <c r="BR29" s="885">
        <f>Planning!R22</f>
        <v/>
      </c>
      <c r="BS29" s="886" t="n"/>
      <c r="BT29" s="105" t="n"/>
      <c r="BU29" s="885">
        <f>Planning!U22</f>
        <v/>
      </c>
      <c r="BV29" s="885">
        <f>Planning!V22</f>
        <v/>
      </c>
      <c r="BW29" s="886" t="n"/>
      <c r="BX29" s="105" t="n"/>
      <c r="BY29" s="885">
        <f>Planning!Y22</f>
        <v/>
      </c>
      <c r="BZ29" s="885">
        <f>Planning!Z22</f>
        <v/>
      </c>
      <c r="CA29" s="886" t="n"/>
      <c r="CB29" s="105" t="n"/>
      <c r="CC29" s="885">
        <f>Planning!AC22</f>
        <v/>
      </c>
      <c r="CD29" s="885">
        <f>Planning!AD22</f>
        <v/>
      </c>
      <c r="CE29" s="886" t="n"/>
      <c r="CF29" s="105" t="n"/>
      <c r="CG29" s="887">
        <f>Planning!AG22</f>
        <v/>
      </c>
      <c r="CH29" s="105" t="n"/>
      <c r="CI29" s="252">
        <f>IF(BC29="","",Planning!AI22)</f>
        <v/>
      </c>
      <c r="CJ29" s="252">
        <f>IF(BC29="","",Planning!AJ22)</f>
        <v/>
      </c>
      <c r="CK29" s="252">
        <f>IF(BC29="","",Planning!AK22)</f>
        <v/>
      </c>
      <c r="CL29" s="252">
        <f>IF(BC29="","",Planning!AH22)</f>
        <v/>
      </c>
      <c r="CM29" s="21" t="n"/>
    </row>
    <row r="30" ht="12.75" customHeight="1">
      <c r="A30" s="161">
        <f>IFERROR(IF(VLOOKUP($B30,$BC$13:$CL$86,36,FALSE)&gt;5,0,IF(COUNTIF($B$13:$B$63,$B30)&gt;1,0,18)),18)+IF(B30&lt;&gt;0,0,IF(AV30&gt;0,0.000001,0))</f>
        <v/>
      </c>
      <c r="B30" s="129" t="n"/>
      <c r="C30" s="127">
        <f>IFERROR(IF($B30="","",VLOOKUP($B30,Medewerker!$C$8:$AI$107,33,FALSE)),"?")</f>
        <v/>
      </c>
      <c r="D30" s="890">
        <f t="array" ref="D30">IFERROR(IF(LEFT(INDEX($F30:$AQ30,1,SUM(SMALL(IF($F30:$AQ30&lt;&gt;"",COLUMN($F30:$AQ30)),1)-5)),1)="x",SUM(SMALL(IF($F30:$AQ30&lt;&gt;"",$F$11:$AQ$11),1)+"0:15"),SMALL(IF($F30:$AQ30&lt;&gt;"",$F$11:$AQ$11),1)),"")</f>
        <v/>
      </c>
      <c r="E30" s="890">
        <f t="array" ref="E30">IFERROR(IF(LEFT(INDEX($F30:$AQ30,1,SUM(LARGE(IF($F30:$AQ30&lt;&gt;"",COLUMN($F30:$AQ30)),1)-5)),1)="x",SUM(LARGE(IF($F30:$AQ30&lt;&gt;"",$F$11:$AQ$11+"0:30:00"),1)-"0:15"),LARGE(IF($F30:$AQ30&lt;&gt;"",$F$11:$AQ$11+"0:30:00"),1)),"")</f>
        <v/>
      </c>
      <c r="F30" s="40" t="n"/>
      <c r="G30" s="41" t="n"/>
      <c r="H30" s="43" t="n"/>
      <c r="I30" s="42" t="n"/>
      <c r="J30" s="43" t="n"/>
      <c r="K30" s="41" t="n"/>
      <c r="L30" s="40" t="n"/>
      <c r="M30" s="42" t="n"/>
      <c r="N30" s="43" t="n"/>
      <c r="O30" s="41" t="n"/>
      <c r="P30" s="40" t="n"/>
      <c r="Q30" s="42" t="n"/>
      <c r="R30" s="43" t="n"/>
      <c r="S30" s="41" t="n"/>
      <c r="T30" s="40" t="n"/>
      <c r="U30" s="42" t="n"/>
      <c r="V30" s="43" t="n"/>
      <c r="W30" s="41" t="n"/>
      <c r="X30" s="40" t="n"/>
      <c r="Y30" s="42" t="n"/>
      <c r="Z30" s="43" t="n"/>
      <c r="AA30" s="41" t="n"/>
      <c r="AB30" s="40" t="n"/>
      <c r="AC30" s="42" t="n"/>
      <c r="AD30" s="43" t="n"/>
      <c r="AE30" s="41" t="n"/>
      <c r="AF30" s="40" t="n"/>
      <c r="AG30" s="42" t="n"/>
      <c r="AH30" s="43" t="n"/>
      <c r="AI30" s="41" t="n"/>
      <c r="AJ30" s="40" t="n"/>
      <c r="AK30" s="42" t="n"/>
      <c r="AL30" s="43" t="n"/>
      <c r="AM30" s="41" t="n"/>
      <c r="AN30" s="645" t="n"/>
      <c r="AO30" s="42" t="n"/>
      <c r="AP30" s="40" t="n"/>
      <c r="AQ30" s="41" t="n"/>
      <c r="AR30" s="888">
        <f>IFERROR(IF(VLOOKUP($B30,Medewerker!$C$8:$U$107,19,FALSE)="",VLOOKUP($B30,Medewerker!$C$8:$U$107,17,FALSE),0),0)</f>
        <v/>
      </c>
      <c r="AS30" s="889">
        <f>IFERROR(IF(B30="",1,IF(VLOOKUP($B30,Medewerker!$C$8:$U$107,19,FALSE)="",VLOOKUP($B30,Medewerker!$C$8:$U$107,18,FALSE),0)),0)</f>
        <v/>
      </c>
      <c r="AT30" s="30" t="n"/>
      <c r="AU30" s="30">
        <f>(COUNTIF(F30:AQ30,"afw"))/2</f>
        <v/>
      </c>
      <c r="AV30" s="111">
        <f>((38-(COUNTIF(F30:AQ30,"")))/2)-(COUNTIF(F30:AQ30,"p")/2)-(COUNTIF(F30:AQ30,CONCATENATE("x","*"))/4)</f>
        <v/>
      </c>
      <c r="AW30" s="73">
        <f>IF($B30="","",VLOOKUP($B30,Medewerker!$C$8:$E$107,3,FALSE))</f>
        <v/>
      </c>
      <c r="AX30" s="403">
        <f>IFERROR(VLOOKUP($B30,Planning!$B$6:$AG$105,32,FALSE)*24,"")</f>
        <v/>
      </c>
      <c r="AY30" s="564" t="inlineStr">
        <is>
          <t>vcr</t>
        </is>
      </c>
      <c r="AZ30" s="561" t="inlineStr">
        <is>
          <t>Risicoartikelen tellen</t>
        </is>
      </c>
      <c r="BA30" s="140">
        <f>COUNTIF($F$13:$AQ$63,CONCATENATE(AY30,"*"))/2+COUNTIF($F$13:$AQ$63,CONCATENATE("x",AY30,"*"))/4</f>
        <v/>
      </c>
      <c r="BB30" s="838" t="n"/>
      <c r="BC30" s="31">
        <f>IF(Planning!B23="","",Planning!B23)</f>
        <v/>
      </c>
      <c r="BD30" s="105" t="n"/>
      <c r="BE30" s="885">
        <f>Planning!E23</f>
        <v/>
      </c>
      <c r="BF30" s="885">
        <f>Planning!F23</f>
        <v/>
      </c>
      <c r="BG30" s="886" t="n"/>
      <c r="BH30" s="105" t="n"/>
      <c r="BI30" s="885">
        <f>Planning!I23</f>
        <v/>
      </c>
      <c r="BJ30" s="885">
        <f>Planning!J23</f>
        <v/>
      </c>
      <c r="BK30" s="886" t="n"/>
      <c r="BL30" s="105" t="n"/>
      <c r="BM30" s="885">
        <f>Planning!M23</f>
        <v/>
      </c>
      <c r="BN30" s="885">
        <f>Planning!N23</f>
        <v/>
      </c>
      <c r="BO30" s="886" t="n"/>
      <c r="BP30" s="105" t="n"/>
      <c r="BQ30" s="885">
        <f>Planning!Q23</f>
        <v/>
      </c>
      <c r="BR30" s="885">
        <f>Planning!R23</f>
        <v/>
      </c>
      <c r="BS30" s="886" t="n"/>
      <c r="BT30" s="105" t="n"/>
      <c r="BU30" s="885">
        <f>Planning!U23</f>
        <v/>
      </c>
      <c r="BV30" s="885">
        <f>Planning!V23</f>
        <v/>
      </c>
      <c r="BW30" s="886" t="n"/>
      <c r="BX30" s="105" t="n"/>
      <c r="BY30" s="885">
        <f>Planning!Y23</f>
        <v/>
      </c>
      <c r="BZ30" s="885">
        <f>Planning!Z23</f>
        <v/>
      </c>
      <c r="CA30" s="886" t="n"/>
      <c r="CB30" s="105" t="n"/>
      <c r="CC30" s="885">
        <f>Planning!AC23</f>
        <v/>
      </c>
      <c r="CD30" s="885">
        <f>Planning!AD23</f>
        <v/>
      </c>
      <c r="CE30" s="886" t="n"/>
      <c r="CF30" s="105" t="n"/>
      <c r="CG30" s="887">
        <f>Planning!AG23</f>
        <v/>
      </c>
      <c r="CH30" s="105" t="n"/>
      <c r="CI30" s="252">
        <f>IF(BC30="","",Planning!AI23)</f>
        <v/>
      </c>
      <c r="CJ30" s="252">
        <f>IF(BC30="","",Planning!AJ23)</f>
        <v/>
      </c>
      <c r="CK30" s="252">
        <f>IF(BC30="","",Planning!AK23)</f>
        <v/>
      </c>
      <c r="CL30" s="252">
        <f>IF(BC30="","",Planning!AH23)</f>
        <v/>
      </c>
      <c r="CM30" s="21" t="n"/>
    </row>
    <row r="31" ht="12.75" customHeight="1">
      <c r="A31" s="161">
        <f>IFERROR(IF(VLOOKUP($B31,$BC$13:$CL$86,36,FALSE)&gt;5,0,IF(COUNTIF($B$13:$B$63,$B31)&gt;1,0,19)),19)+IF(B31&lt;&gt;0,0,IF(AV31&gt;0,0.000001,0))</f>
        <v/>
      </c>
      <c r="B31" s="129" t="inlineStr">
        <is>
          <t>Rachid Ahrass</t>
        </is>
      </c>
      <c r="C31" s="127">
        <f>IFERROR(IF($B31="","",VLOOKUP($B31,Medewerker!$C$8:$AI$107,33,FALSE)),"?")</f>
        <v/>
      </c>
      <c r="D31" s="890">
        <f t="array" ref="D31">IFERROR(IF(LEFT(INDEX($F31:$AQ31,1,SUM(SMALL(IF($F31:$AQ31&lt;&gt;"",COLUMN($F31:$AQ31)),1)-5)),1)="x",SUM(SMALL(IF($F31:$AQ31&lt;&gt;"",$F$11:$AQ$11),1)+"0:15"),SMALL(IF($F31:$AQ31&lt;&gt;"",$F$11:$AQ$11),1)),"")</f>
        <v/>
      </c>
      <c r="E31" s="890">
        <f t="array" ref="E31">IFERROR(IF(LEFT(INDEX($F31:$AQ31,1,SUM(LARGE(IF($F31:$AQ31&lt;&gt;"",COLUMN($F31:$AQ31)),1)-5)),1)="x",SUM(LARGE(IF($F31:$AQ31&lt;&gt;"",$F$11:$AQ$11+"0:30:00"),1)-"0:15"),LARGE(IF($F31:$AQ31&lt;&gt;"",$F$11:$AQ$11+"0:30:00"),1)),"")</f>
        <v/>
      </c>
      <c r="F31" s="40" t="n"/>
      <c r="G31" s="41" t="n"/>
      <c r="H31" s="43" t="n"/>
      <c r="I31" s="42" t="n"/>
      <c r="J31" s="43" t="n"/>
      <c r="K31" s="41" t="n"/>
      <c r="L31" s="40" t="n"/>
      <c r="M31" s="42" t="n"/>
      <c r="N31" s="43" t="n"/>
      <c r="O31" s="41" t="n"/>
      <c r="P31" s="40" t="n"/>
      <c r="Q31" s="42" t="n"/>
      <c r="R31" s="43" t="n"/>
      <c r="S31" s="41" t="n"/>
      <c r="T31" s="40" t="n"/>
      <c r="U31" s="42" t="n"/>
      <c r="V31" s="43" t="n"/>
      <c r="W31" s="41" t="inlineStr">
        <is>
          <t>nh</t>
        </is>
      </c>
      <c r="X31" s="40" t="inlineStr">
        <is>
          <t>nh</t>
        </is>
      </c>
      <c r="Y31" s="42" t="inlineStr">
        <is>
          <t>nh</t>
        </is>
      </c>
      <c r="Z31" s="43" t="inlineStr">
        <is>
          <t>nh</t>
        </is>
      </c>
      <c r="AA31" s="41" t="inlineStr">
        <is>
          <t>nh</t>
        </is>
      </c>
      <c r="AB31" s="40" t="inlineStr">
        <is>
          <t>nh</t>
        </is>
      </c>
      <c r="AC31" s="42" t="inlineStr">
        <is>
          <t>nh</t>
        </is>
      </c>
      <c r="AD31" s="43" t="inlineStr">
        <is>
          <t>nh</t>
        </is>
      </c>
      <c r="AE31" s="41" t="inlineStr">
        <is>
          <t>nh</t>
        </is>
      </c>
      <c r="AF31" s="40" t="inlineStr">
        <is>
          <t>nh</t>
        </is>
      </c>
      <c r="AG31" s="42" t="inlineStr">
        <is>
          <t>p</t>
        </is>
      </c>
      <c r="AH31" s="43" t="inlineStr">
        <is>
          <t>ma</t>
        </is>
      </c>
      <c r="AI31" s="41" t="inlineStr">
        <is>
          <t>ma</t>
        </is>
      </c>
      <c r="AJ31" s="40" t="inlineStr">
        <is>
          <t>l</t>
        </is>
      </c>
      <c r="AK31" s="42" t="inlineStr">
        <is>
          <t>sp</t>
        </is>
      </c>
      <c r="AL31" s="43" t="n"/>
      <c r="AM31" s="41" t="n"/>
      <c r="AN31" s="645" t="n"/>
      <c r="AO31" s="42" t="n"/>
      <c r="AP31" s="40" t="n"/>
      <c r="AQ31" s="41" t="n"/>
      <c r="AR31" s="888">
        <f>IFERROR(IF(VLOOKUP($B31,Medewerker!$C$8:$U$107,19,FALSE)="",VLOOKUP($B31,Medewerker!$C$8:$U$107,17,FALSE),0),0)</f>
        <v/>
      </c>
      <c r="AS31" s="889">
        <f>IFERROR(IF(B31="",1,IF(VLOOKUP($B31,Medewerker!$C$8:$U$107,19,FALSE)="",VLOOKUP($B31,Medewerker!$C$8:$U$107,18,FALSE),0)),0)</f>
        <v/>
      </c>
      <c r="AT31" s="30" t="n"/>
      <c r="AU31" s="30">
        <f>(COUNTIF(F31:AQ31,"afw"))/2</f>
        <v/>
      </c>
      <c r="AV31" s="111">
        <f>((38-(COUNTIF(F31:AQ31,"")))/2)-(COUNTIF(F31:AQ31,"p")/2)-(COUNTIF(F31:AQ31,CONCATENATE("x","*"))/4)</f>
        <v/>
      </c>
      <c r="AW31" s="73">
        <f>IF($B31="","",VLOOKUP($B31,Medewerker!$C$8:$E$107,3,FALSE))</f>
        <v/>
      </c>
      <c r="AX31" s="403">
        <f>IFERROR(VLOOKUP($B31,Planning!$B$6:$AG$105,32,FALSE)*24,"")</f>
        <v/>
      </c>
      <c r="AY31" s="882" t="inlineStr">
        <is>
          <t>Magazijn</t>
        </is>
      </c>
      <c r="AZ31" s="883" t="n"/>
      <c r="BA31" s="884" t="n"/>
      <c r="BB31" s="838" t="n"/>
      <c r="BC31" s="31">
        <f>IF(Planning!B24="","",Planning!B24)</f>
        <v/>
      </c>
      <c r="BD31" s="105" t="n"/>
      <c r="BE31" s="885">
        <f>Planning!E24</f>
        <v/>
      </c>
      <c r="BF31" s="885">
        <f>Planning!F24</f>
        <v/>
      </c>
      <c r="BG31" s="886" t="n"/>
      <c r="BH31" s="105" t="n"/>
      <c r="BI31" s="885">
        <f>Planning!I24</f>
        <v/>
      </c>
      <c r="BJ31" s="885">
        <f>Planning!J24</f>
        <v/>
      </c>
      <c r="BK31" s="886" t="n"/>
      <c r="BL31" s="105" t="n"/>
      <c r="BM31" s="885">
        <f>Planning!M24</f>
        <v/>
      </c>
      <c r="BN31" s="885">
        <f>Planning!N24</f>
        <v/>
      </c>
      <c r="BO31" s="886" t="n"/>
      <c r="BP31" s="105" t="n"/>
      <c r="BQ31" s="885">
        <f>Planning!Q24</f>
        <v/>
      </c>
      <c r="BR31" s="885">
        <f>Planning!R24</f>
        <v/>
      </c>
      <c r="BS31" s="886" t="n"/>
      <c r="BT31" s="105" t="n"/>
      <c r="BU31" s="885">
        <f>Planning!U24</f>
        <v/>
      </c>
      <c r="BV31" s="885">
        <f>Planning!V24</f>
        <v/>
      </c>
      <c r="BW31" s="886" t="n"/>
      <c r="BX31" s="105" t="n"/>
      <c r="BY31" s="885">
        <f>Planning!Y24</f>
        <v/>
      </c>
      <c r="BZ31" s="885">
        <f>Planning!Z24</f>
        <v/>
      </c>
      <c r="CA31" s="886" t="n"/>
      <c r="CB31" s="105" t="n"/>
      <c r="CC31" s="885">
        <f>Planning!AC24</f>
        <v/>
      </c>
      <c r="CD31" s="885">
        <f>Planning!AD24</f>
        <v/>
      </c>
      <c r="CE31" s="886" t="n"/>
      <c r="CF31" s="105" t="n"/>
      <c r="CG31" s="887">
        <f>Planning!AG24</f>
        <v/>
      </c>
      <c r="CH31" s="105" t="n"/>
      <c r="CI31" s="252">
        <f>IF(BC31="","",Planning!AI24)</f>
        <v/>
      </c>
      <c r="CJ31" s="252">
        <f>IF(BC31="","",Planning!AJ24)</f>
        <v/>
      </c>
      <c r="CK31" s="252">
        <f>IF(BC31="","",Planning!AK24)</f>
        <v/>
      </c>
      <c r="CL31" s="252">
        <f>IF(BC31="","",Planning!AH24)</f>
        <v/>
      </c>
      <c r="CM31" s="21" t="n"/>
    </row>
    <row r="32" ht="12.75" customHeight="1">
      <c r="A32" s="161">
        <f>IFERROR(IF(VLOOKUP($B32,$BC$13:$CL$86,36,FALSE)&gt;5,0,IF(COUNTIF($B$13:$B$63,$B32)&gt;1,0,20)),20)+IF(B32&lt;&gt;0,0,IF(AV32&gt;0,0.000001,0))</f>
        <v/>
      </c>
      <c r="B32" s="129" t="n"/>
      <c r="C32" s="48">
        <f>IFERROR(IF($B32="","",VLOOKUP($B32,Medewerker!$C$8:$AI$107,33,FALSE)),"?")</f>
        <v/>
      </c>
      <c r="D32" s="879">
        <f t="array" ref="D32">IFERROR(IF(LEFT(INDEX($F32:$AQ32,1,SUM(SMALL(IF($F32:$AQ32&lt;&gt;"",COLUMN($F32:$AQ32)),1)-5)),1)="x",SUM(SMALL(IF($F32:$AQ32&lt;&gt;"",$F$11:$AQ$11),1)+"0:15"),SMALL(IF($F32:$AQ32&lt;&gt;"",$F$11:$AQ$11),1)),"")</f>
        <v/>
      </c>
      <c r="E32" s="879">
        <f t="array" ref="E32">IFERROR(IF(LEFT(INDEX($F32:$AQ32,1,SUM(LARGE(IF($F32:$AQ32&lt;&gt;"",COLUMN($F32:$AQ32)),1)-5)),1)="x",SUM(LARGE(IF($F32:$AQ32&lt;&gt;"",$F$11:$AQ$11+"0:30:00"),1)-"0:15"),LARGE(IF($F32:$AQ32&lt;&gt;"",$F$11:$AQ$11+"0:30:00"),1)),"")</f>
        <v/>
      </c>
      <c r="F32" s="40" t="n"/>
      <c r="G32" s="41" t="n"/>
      <c r="H32" s="40" t="n"/>
      <c r="I32" s="41" t="n"/>
      <c r="J32" s="40" t="n"/>
      <c r="K32" s="42" t="n"/>
      <c r="L32" s="43" t="n"/>
      <c r="M32" s="41" t="n"/>
      <c r="N32" s="40" t="n"/>
      <c r="O32" s="42" t="n"/>
      <c r="P32" s="43" t="n"/>
      <c r="Q32" s="41" t="n"/>
      <c r="R32" s="40" t="n"/>
      <c r="S32" s="42" t="n"/>
      <c r="T32" s="43" t="n"/>
      <c r="U32" s="41" t="n"/>
      <c r="V32" s="40" t="n"/>
      <c r="W32" s="42" t="n"/>
      <c r="X32" s="43" t="n"/>
      <c r="Y32" s="41" t="n"/>
      <c r="Z32" s="40" t="n"/>
      <c r="AA32" s="42" t="n"/>
      <c r="AB32" s="43" t="n"/>
      <c r="AC32" s="41" t="n"/>
      <c r="AD32" s="40" t="n"/>
      <c r="AE32" s="42" t="n"/>
      <c r="AF32" s="43" t="n"/>
      <c r="AG32" s="41" t="n"/>
      <c r="AH32" s="40" t="n"/>
      <c r="AI32" s="42" t="n"/>
      <c r="AJ32" s="43" t="n"/>
      <c r="AK32" s="41" t="n"/>
      <c r="AL32" s="40" t="n"/>
      <c r="AM32" s="41" t="n"/>
      <c r="AN32" s="645" t="n"/>
      <c r="AO32" s="42" t="n"/>
      <c r="AP32" s="40" t="n"/>
      <c r="AQ32" s="41" t="n"/>
      <c r="AR32" s="888">
        <f>IFERROR(IF(VLOOKUP($B32,Medewerker!$C$8:$U$107,19,FALSE)="",VLOOKUP($B32,Medewerker!$C$8:$U$107,17,FALSE),0),0)</f>
        <v/>
      </c>
      <c r="AS32" s="889">
        <f>IFERROR(IF(B32="",1,IF(VLOOKUP($B32,Medewerker!$C$8:$U$107,19,FALSE)="",VLOOKUP($B32,Medewerker!$C$8:$U$107,18,FALSE),0)),0)</f>
        <v/>
      </c>
      <c r="AT32" s="30" t="n"/>
      <c r="AU32" s="30">
        <f>(COUNTIF(F32:AQ32,"afw"))/2</f>
        <v/>
      </c>
      <c r="AV32" s="111">
        <f>((38-(COUNTIF(F32:AQ32,"")))/2)-(COUNTIF(F32:AQ32,"p")/2)-(COUNTIF(F32:AQ32,CONCATENATE("x","*"))/4)</f>
        <v/>
      </c>
      <c r="AW32" s="73">
        <f>IF($B32="","",VLOOKUP($B32,Medewerker!$C$8:$E$107,3,FALSE))</f>
        <v/>
      </c>
      <c r="AX32" s="403">
        <f>IFERROR(VLOOKUP($B32,Planning!$B$6:$AG$105,32,FALSE)*24,"")</f>
        <v/>
      </c>
      <c r="AY32" s="407" t="inlineStr">
        <is>
          <t>l</t>
        </is>
      </c>
      <c r="AZ32" s="166" t="inlineStr">
        <is>
          <t>Lossen/Retouren</t>
        </is>
      </c>
      <c r="BA32" s="111">
        <f>COUNTIF($F$13:$AQ$63,CONCATENATE(AY32,"*"))/2+COUNTIF($F$13:$AQ$63,CONCATENATE("x",AY32,"*"))/4-SUM(BA27:BA29)</f>
        <v/>
      </c>
      <c r="BB32" s="838" t="n"/>
      <c r="BC32" s="31">
        <f>IF(Planning!B25="","",Planning!B25)</f>
        <v/>
      </c>
      <c r="BD32" s="105" t="n"/>
      <c r="BE32" s="885">
        <f>Planning!E25</f>
        <v/>
      </c>
      <c r="BF32" s="885">
        <f>Planning!F25</f>
        <v/>
      </c>
      <c r="BG32" s="886" t="n"/>
      <c r="BH32" s="105" t="n"/>
      <c r="BI32" s="885">
        <f>Planning!I25</f>
        <v/>
      </c>
      <c r="BJ32" s="885">
        <f>Planning!J25</f>
        <v/>
      </c>
      <c r="BK32" s="886" t="n"/>
      <c r="BL32" s="105" t="n"/>
      <c r="BM32" s="885">
        <f>Planning!M25</f>
        <v/>
      </c>
      <c r="BN32" s="885">
        <f>Planning!N25</f>
        <v/>
      </c>
      <c r="BO32" s="886" t="n"/>
      <c r="BP32" s="105" t="n"/>
      <c r="BQ32" s="885">
        <f>Planning!Q25</f>
        <v/>
      </c>
      <c r="BR32" s="885">
        <f>Planning!R25</f>
        <v/>
      </c>
      <c r="BS32" s="886" t="n"/>
      <c r="BT32" s="105" t="n"/>
      <c r="BU32" s="885">
        <f>Planning!U25</f>
        <v/>
      </c>
      <c r="BV32" s="885">
        <f>Planning!V25</f>
        <v/>
      </c>
      <c r="BW32" s="886" t="n"/>
      <c r="BX32" s="105" t="n"/>
      <c r="BY32" s="885">
        <f>Planning!Y25</f>
        <v/>
      </c>
      <c r="BZ32" s="885">
        <f>Planning!Z25</f>
        <v/>
      </c>
      <c r="CA32" s="886" t="n"/>
      <c r="CB32" s="105" t="n"/>
      <c r="CC32" s="885">
        <f>Planning!AC25</f>
        <v/>
      </c>
      <c r="CD32" s="885">
        <f>Planning!AD25</f>
        <v/>
      </c>
      <c r="CE32" s="886" t="n"/>
      <c r="CF32" s="105" t="n"/>
      <c r="CG32" s="887">
        <f>Planning!AG25</f>
        <v/>
      </c>
      <c r="CH32" s="105" t="n"/>
      <c r="CI32" s="252">
        <f>IF(BC32="","",Planning!AI25)</f>
        <v/>
      </c>
      <c r="CJ32" s="252">
        <f>IF(BC32="","",Planning!AJ25)</f>
        <v/>
      </c>
      <c r="CK32" s="252">
        <f>IF(BC32="","",Planning!AK25)</f>
        <v/>
      </c>
      <c r="CL32" s="252">
        <f>IF(BC32="","",Planning!AH25)</f>
        <v/>
      </c>
      <c r="CM32" s="21" t="n"/>
    </row>
    <row r="33" ht="12.75" customHeight="1">
      <c r="A33" s="161">
        <f>IFERROR(IF(VLOOKUP($B33,$BC$13:$CL$86,36,FALSE)&gt;5,0,IF(COUNTIF($B$13:$B$63,$B33)&gt;1,0,21)),21)+IF(B33&lt;&gt;0,0,IF(AV33&gt;0,0.000001,0))</f>
        <v/>
      </c>
      <c r="B33" s="129" t="inlineStr">
        <is>
          <t>Divine</t>
        </is>
      </c>
      <c r="C33" s="48">
        <f>IFERROR(IF($B33="","",VLOOKUP($B33,Medewerker!$C$8:$AI$107,33,FALSE)),"?")</f>
        <v/>
      </c>
      <c r="D33" s="879">
        <f t="array" ref="D33">IFERROR(IF(LEFT(INDEX($F33:$AQ33,1,SUM(SMALL(IF($F33:$AQ33&lt;&gt;"",COLUMN($F33:$AQ33)),1)-5)),1)="x",SUM(SMALL(IF($F33:$AQ33&lt;&gt;"",$F$11:$AQ$11),1)+"0:15"),SMALL(IF($F33:$AQ33&lt;&gt;"",$F$11:$AQ$11),1)),"")</f>
        <v/>
      </c>
      <c r="E33" s="879">
        <f t="array" ref="E33">IFERROR(IF(LEFT(INDEX($F33:$AQ33,1,SUM(LARGE(IF($F33:$AQ33&lt;&gt;"",COLUMN($F33:$AQ33)),1)-5)),1)="x",SUM(LARGE(IF($F33:$AQ33&lt;&gt;"",$F$11:$AQ$11+"0:30:00"),1)-"0:15"),LARGE(IF($F33:$AQ33&lt;&gt;"",$F$11:$AQ$11+"0:30:00"),1)),"")</f>
        <v/>
      </c>
      <c r="F33" s="40" t="n"/>
      <c r="G33" s="41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inlineStr">
        <is>
          <t>hv</t>
        </is>
      </c>
      <c r="S33" s="40" t="inlineStr">
        <is>
          <t>hv</t>
        </is>
      </c>
      <c r="T33" s="40" t="inlineStr">
        <is>
          <t>hv</t>
        </is>
      </c>
      <c r="U33" s="40" t="inlineStr">
        <is>
          <t>hv</t>
        </is>
      </c>
      <c r="V33" s="40" t="inlineStr">
        <is>
          <t>hv</t>
        </is>
      </c>
      <c r="W33" s="40" t="inlineStr">
        <is>
          <t>hv</t>
        </is>
      </c>
      <c r="X33" s="40" t="inlineStr">
        <is>
          <t>hv</t>
        </is>
      </c>
      <c r="Y33" s="40" t="inlineStr">
        <is>
          <t>hv</t>
        </is>
      </c>
      <c r="Z33" s="40" t="inlineStr">
        <is>
          <t>hv</t>
        </is>
      </c>
      <c r="AA33" s="41" t="inlineStr">
        <is>
          <t>hv</t>
        </is>
      </c>
      <c r="AB33" s="40" t="n"/>
      <c r="AC33" s="42" t="n"/>
      <c r="AD33" s="43" t="n"/>
      <c r="AE33" s="41" t="n"/>
      <c r="AF33" s="40" t="n"/>
      <c r="AG33" s="42" t="n"/>
      <c r="AH33" s="43" t="n"/>
      <c r="AI33" s="41" t="n"/>
      <c r="AJ33" s="40" t="n"/>
      <c r="AK33" s="42" t="n"/>
      <c r="AL33" s="43" t="n"/>
      <c r="AM33" s="41" t="n"/>
      <c r="AN33" s="645" t="n"/>
      <c r="AO33" s="42" t="n"/>
      <c r="AP33" s="40" t="n"/>
      <c r="AQ33" s="41" t="n"/>
      <c r="AR33" s="888">
        <f>IFERROR(IF(VLOOKUP($B33,Medewerker!$C$8:$U$107,19,FALSE)="",VLOOKUP($B33,Medewerker!$C$8:$U$107,17,FALSE),0),0)</f>
        <v/>
      </c>
      <c r="AS33" s="889">
        <f>IFERROR(IF(B33="",1,IF(VLOOKUP($B33,Medewerker!$C$8:$U$107,19,FALSE)="",VLOOKUP($B33,Medewerker!$C$8:$U$107,18,FALSE),0)),0)</f>
        <v/>
      </c>
      <c r="AT33" s="30" t="n"/>
      <c r="AU33" s="30">
        <f>(COUNTIF(F33:AQ33,"afw"))/2</f>
        <v/>
      </c>
      <c r="AV33" s="111">
        <f>((38-(COUNTIF(F33:AQ33,"")))/2)-(COUNTIF(F33:AQ33,"p")/2)-(COUNTIF(F33:AQ33,CONCATENATE("x","*"))/4)</f>
        <v/>
      </c>
      <c r="AW33" s="73">
        <f>IF($B33="","",VLOOKUP($B33,Medewerker!$C$8:$E$107,3,FALSE))</f>
        <v/>
      </c>
      <c r="AX33" s="403">
        <f>IFERROR(VLOOKUP($B33,Planning!$B$6:$AG$105,32,FALSE)*24,"")</f>
        <v/>
      </c>
      <c r="AY33" s="407" t="inlineStr">
        <is>
          <t>ma</t>
        </is>
      </c>
      <c r="AZ33" s="166" t="inlineStr">
        <is>
          <t>Magazijn</t>
        </is>
      </c>
      <c r="BA33" s="111">
        <f>COUNTIF($F$13:$AQ$63,CONCATENATE(AY33,"*"))/2+COUNTIF($F$13:$AQ$63,CONCATENATE("x",AY33,"*"))/4</f>
        <v/>
      </c>
      <c r="BB33" s="838" t="n"/>
      <c r="BC33" s="31">
        <f>IF(Planning!B26="","",Planning!B26)</f>
        <v/>
      </c>
      <c r="BD33" s="105" t="n"/>
      <c r="BE33" s="885">
        <f>Planning!E26</f>
        <v/>
      </c>
      <c r="BF33" s="885">
        <f>Planning!F26</f>
        <v/>
      </c>
      <c r="BG33" s="886" t="n"/>
      <c r="BH33" s="105" t="n"/>
      <c r="BI33" s="885">
        <f>Planning!I26</f>
        <v/>
      </c>
      <c r="BJ33" s="885">
        <f>Planning!J26</f>
        <v/>
      </c>
      <c r="BK33" s="886" t="n"/>
      <c r="BL33" s="105" t="n"/>
      <c r="BM33" s="885">
        <f>Planning!M26</f>
        <v/>
      </c>
      <c r="BN33" s="885">
        <f>Planning!N26</f>
        <v/>
      </c>
      <c r="BO33" s="886" t="n"/>
      <c r="BP33" s="105" t="n"/>
      <c r="BQ33" s="885">
        <f>Planning!Q26</f>
        <v/>
      </c>
      <c r="BR33" s="885">
        <f>Planning!R26</f>
        <v/>
      </c>
      <c r="BS33" s="886" t="n"/>
      <c r="BT33" s="105" t="n"/>
      <c r="BU33" s="885">
        <f>Planning!U26</f>
        <v/>
      </c>
      <c r="BV33" s="885">
        <f>Planning!V26</f>
        <v/>
      </c>
      <c r="BW33" s="886" t="n"/>
      <c r="BX33" s="105" t="n"/>
      <c r="BY33" s="885">
        <f>Planning!Y26</f>
        <v/>
      </c>
      <c r="BZ33" s="885">
        <f>Planning!Z26</f>
        <v/>
      </c>
      <c r="CA33" s="886" t="n"/>
      <c r="CB33" s="105" t="n"/>
      <c r="CC33" s="885">
        <f>Planning!AC26</f>
        <v/>
      </c>
      <c r="CD33" s="885">
        <f>Planning!AD26</f>
        <v/>
      </c>
      <c r="CE33" s="886" t="n"/>
      <c r="CF33" s="105" t="n"/>
      <c r="CG33" s="887">
        <f>Planning!AG26</f>
        <v/>
      </c>
      <c r="CH33" s="105" t="n"/>
      <c r="CI33" s="252">
        <f>IF(BC33="","",Planning!AI26)</f>
        <v/>
      </c>
      <c r="CJ33" s="252">
        <f>IF(BC33="","",Planning!AJ26)</f>
        <v/>
      </c>
      <c r="CK33" s="252">
        <f>IF(BC33="","",Planning!AK26)</f>
        <v/>
      </c>
      <c r="CL33" s="252">
        <f>IF(BC33="","",Planning!AH26)</f>
        <v/>
      </c>
      <c r="CM33" s="21" t="n"/>
    </row>
    <row r="34" ht="12.75" customHeight="1">
      <c r="A34" s="161">
        <f>IFERROR(IF(VLOOKUP($B34,$BC$13:$CL$86,36,FALSE)&gt;5,0,IF(COUNTIF($B$13:$B$63,$B34)&gt;1,0,22)),22)+IF(B34&lt;&gt;0,0,IF(AV34&gt;0,0.000001,0))</f>
        <v/>
      </c>
      <c r="B34" s="129" t="n"/>
      <c r="C34" s="48">
        <f>IFERROR(IF($B34="","",VLOOKUP($B34,Medewerker!$C$8:$AI$107,33,FALSE)),"?")</f>
        <v/>
      </c>
      <c r="D34" s="879">
        <f t="array" ref="D34">IFERROR(IF(LEFT(INDEX($F34:$AQ34,1,SUM(SMALL(IF($F34:$AQ34&lt;&gt;"",COLUMN($F34:$AQ34)),1)-5)),1)="x",SUM(SMALL(IF($F34:$AQ34&lt;&gt;"",$F$11:$AQ$11),1)+"0:15"),SMALL(IF($F34:$AQ34&lt;&gt;"",$F$11:$AQ$11),1)),"")</f>
        <v/>
      </c>
      <c r="E34" s="879">
        <f t="array" ref="E34">IFERROR(IF(LEFT(INDEX($F34:$AQ34,1,SUM(LARGE(IF($F34:$AQ34&lt;&gt;"",COLUMN($F34:$AQ34)),1)-5)),1)="x",SUM(LARGE(IF($F34:$AQ34&lt;&gt;"",$F$11:$AQ$11+"0:30:00"),1)-"0:15"),LARGE(IF($F34:$AQ34&lt;&gt;"",$F$11:$AQ$11+"0:30:00"),1)),"")</f>
        <v/>
      </c>
      <c r="F34" s="40" t="n"/>
      <c r="G34" s="41" t="n"/>
      <c r="H34" s="40" t="n"/>
      <c r="I34" s="40" t="n"/>
      <c r="J34" s="43" t="n"/>
      <c r="K34" s="41" t="n"/>
      <c r="L34" s="40" t="n"/>
      <c r="M34" s="42" t="n"/>
      <c r="N34" s="43" t="n"/>
      <c r="O34" s="41" t="n"/>
      <c r="P34" s="40" t="n"/>
      <c r="Q34" s="42" t="n"/>
      <c r="R34" s="43" t="n"/>
      <c r="S34" s="41" t="n"/>
      <c r="T34" s="40" t="n"/>
      <c r="U34" s="42" t="n"/>
      <c r="V34" s="43" t="n"/>
      <c r="W34" s="41" t="n"/>
      <c r="X34" s="40" t="n"/>
      <c r="Y34" s="42" t="n"/>
      <c r="Z34" s="43" t="n"/>
      <c r="AA34" s="41" t="n"/>
      <c r="AB34" s="40" t="n"/>
      <c r="AC34" s="42" t="n"/>
      <c r="AD34" s="43" t="n"/>
      <c r="AE34" s="41" t="n"/>
      <c r="AF34" s="40" t="n"/>
      <c r="AG34" s="42" t="n"/>
      <c r="AH34" s="43" t="n"/>
      <c r="AI34" s="41" t="n"/>
      <c r="AJ34" s="40" t="n"/>
      <c r="AK34" s="42" t="n"/>
      <c r="AL34" s="43" t="n"/>
      <c r="AM34" s="41" t="n"/>
      <c r="AN34" s="645" t="n"/>
      <c r="AO34" s="42" t="n"/>
      <c r="AP34" s="40" t="n"/>
      <c r="AQ34" s="41" t="n"/>
      <c r="AR34" s="888">
        <f>IFERROR(IF(VLOOKUP($B34,Medewerker!$C$8:$U$107,19,FALSE)="",VLOOKUP($B34,Medewerker!$C$8:$U$107,17,FALSE),0),0)</f>
        <v/>
      </c>
      <c r="AS34" s="889">
        <f>IFERROR(IF(B34="",1,IF(VLOOKUP($B34,Medewerker!$C$8:$U$107,19,FALSE)="",VLOOKUP($B34,Medewerker!$C$8:$U$107,18,FALSE),0)),0)</f>
        <v/>
      </c>
      <c r="AT34" s="30" t="n"/>
      <c r="AU34" s="30">
        <f>(COUNTIF(F34:AQ34,"afw"))/2</f>
        <v/>
      </c>
      <c r="AV34" s="111">
        <f>((38-(COUNTIF(F34:AQ34,"")))/2)-(COUNTIF(F34:AQ34,"p")/2)-(COUNTIF(F34:AQ34,CONCATENATE("x","*"))/4)</f>
        <v/>
      </c>
      <c r="AW34" s="73">
        <f>IF($B34="","",VLOOKUP($B34,Medewerker!$C$8:$E$107,3,FALSE))</f>
        <v/>
      </c>
      <c r="AX34" s="403">
        <f>IFERROR(VLOOKUP($B34,Planning!$B$6:$AG$105,32,FALSE)*24,"")</f>
        <v/>
      </c>
      <c r="AY34" s="407" t="inlineStr">
        <is>
          <t>sp</t>
        </is>
      </c>
      <c r="AZ34" s="166" t="inlineStr">
        <is>
          <t>Splitsen</t>
        </is>
      </c>
      <c r="BA34" s="111">
        <f>COUNTIF($F$13:$AQ$63,CONCATENATE(AY34,"*"))/2+COUNTIF($F$13:$AQ$63,CONCATENATE("x",AY34,"*"))/4</f>
        <v/>
      </c>
      <c r="BB34" s="838" t="n"/>
      <c r="BC34" s="31">
        <f>IF(Planning!B27="","",Planning!B27)</f>
        <v/>
      </c>
      <c r="BD34" s="105" t="n"/>
      <c r="BE34" s="885">
        <f>Planning!E27</f>
        <v/>
      </c>
      <c r="BF34" s="885">
        <f>Planning!F27</f>
        <v/>
      </c>
      <c r="BG34" s="886" t="n"/>
      <c r="BH34" s="105" t="n"/>
      <c r="BI34" s="885">
        <f>Planning!I27</f>
        <v/>
      </c>
      <c r="BJ34" s="885">
        <f>Planning!J27</f>
        <v/>
      </c>
      <c r="BK34" s="886" t="n"/>
      <c r="BL34" s="105" t="n"/>
      <c r="BM34" s="885">
        <f>Planning!M27</f>
        <v/>
      </c>
      <c r="BN34" s="885">
        <f>Planning!N27</f>
        <v/>
      </c>
      <c r="BO34" s="886" t="n"/>
      <c r="BP34" s="105" t="n"/>
      <c r="BQ34" s="885">
        <f>Planning!Q27</f>
        <v/>
      </c>
      <c r="BR34" s="885">
        <f>Planning!R27</f>
        <v/>
      </c>
      <c r="BS34" s="886" t="n"/>
      <c r="BT34" s="105" t="n"/>
      <c r="BU34" s="885">
        <f>Planning!U27</f>
        <v/>
      </c>
      <c r="BV34" s="885">
        <f>Planning!V27</f>
        <v/>
      </c>
      <c r="BW34" s="886" t="n"/>
      <c r="BX34" s="105" t="n"/>
      <c r="BY34" s="885">
        <f>Planning!Y27</f>
        <v/>
      </c>
      <c r="BZ34" s="885">
        <f>Planning!Z27</f>
        <v/>
      </c>
      <c r="CA34" s="886" t="n"/>
      <c r="CB34" s="105" t="n"/>
      <c r="CC34" s="885">
        <f>Planning!AC27</f>
        <v/>
      </c>
      <c r="CD34" s="885">
        <f>Planning!AD27</f>
        <v/>
      </c>
      <c r="CE34" s="886" t="n"/>
      <c r="CF34" s="105" t="n"/>
      <c r="CG34" s="887">
        <f>Planning!AG27</f>
        <v/>
      </c>
      <c r="CH34" s="105" t="n"/>
      <c r="CI34" s="252">
        <f>IF(BC34="","",Planning!AI27)</f>
        <v/>
      </c>
      <c r="CJ34" s="252">
        <f>IF(BC34="","",Planning!AJ27)</f>
        <v/>
      </c>
      <c r="CK34" s="252">
        <f>IF(BC34="","",Planning!AK27)</f>
        <v/>
      </c>
      <c r="CL34" s="252">
        <f>IF(BC34="","",Planning!AH27)</f>
        <v/>
      </c>
      <c r="CM34" s="21" t="n"/>
    </row>
    <row r="35" ht="12.75" customHeight="1">
      <c r="A35" s="161">
        <f>IFERROR(IF(VLOOKUP($B35,$BC$13:$CL$86,36,FALSE)&gt;5,0,IF(COUNTIF($B$13:$B$63,$B35)&gt;1,0,23)),23)+IF(B35&lt;&gt;0,0,IF(AV35&gt;0,0.000001,0))</f>
        <v/>
      </c>
      <c r="B35" s="129" t="inlineStr">
        <is>
          <t>Viktor Toth</t>
        </is>
      </c>
      <c r="C35" s="48">
        <f>IFERROR(IF($B35="","",VLOOKUP($B35,Medewerker!$C$8:$AI$107,33,FALSE)),"?")</f>
        <v/>
      </c>
      <c r="D35" s="879">
        <f t="array" ref="D35">IFERROR(IF(LEFT(INDEX($F35:$AQ35,1,SUM(SMALL(IF($F35:$AQ35&lt;&gt;"",COLUMN($F35:$AQ35)),1)-5)),1)="x",SUM(SMALL(IF($F35:$AQ35&lt;&gt;"",$F$11:$AQ$11),1)+"0:15"),SMALL(IF($F35:$AQ35&lt;&gt;"",$F$11:$AQ$11),1)),"")</f>
        <v/>
      </c>
      <c r="E35" s="879">
        <f t="array" ref="E35">IFERROR(IF(LEFT(INDEX($F35:$AQ35,1,SUM(LARGE(IF($F35:$AQ35&lt;&gt;"",COLUMN($F35:$AQ35)),1)-5)),1)="x",SUM(LARGE(IF($F35:$AQ35&lt;&gt;"",$F$11:$AQ$11+"0:30:00"),1)-"0:15"),LARGE(IF($F35:$AQ35&lt;&gt;"",$F$11:$AQ$11+"0:30:00"),1)),"")</f>
        <v/>
      </c>
      <c r="F35" s="40" t="n"/>
      <c r="G35" s="41" t="n"/>
      <c r="H35" s="40" t="n"/>
      <c r="I35" s="40" t="n"/>
      <c r="J35" s="43" t="n"/>
      <c r="K35" s="41" t="n"/>
      <c r="L35" s="40" t="n"/>
      <c r="M35" s="42" t="n"/>
      <c r="N35" s="43" t="n"/>
      <c r="O35" s="41" t="n"/>
      <c r="P35" s="40" t="n"/>
      <c r="Q35" s="42" t="n"/>
      <c r="R35" s="43" t="n"/>
      <c r="S35" s="41" t="n"/>
      <c r="T35" s="40" t="n"/>
      <c r="U35" s="42" t="n"/>
      <c r="V35" s="43" t="n"/>
      <c r="W35" s="41" t="n"/>
      <c r="X35" s="40" t="n"/>
      <c r="Y35" s="42" t="n"/>
      <c r="Z35" s="43" t="n"/>
      <c r="AA35" s="41" t="inlineStr">
        <is>
          <t>rv</t>
        </is>
      </c>
      <c r="AB35" s="40" t="inlineStr">
        <is>
          <t>rv</t>
        </is>
      </c>
      <c r="AC35" s="42" t="inlineStr">
        <is>
          <t>rv</t>
        </is>
      </c>
      <c r="AD35" s="43" t="inlineStr">
        <is>
          <t>rv</t>
        </is>
      </c>
      <c r="AE35" s="41" t="inlineStr">
        <is>
          <t>rv</t>
        </is>
      </c>
      <c r="AF35" s="40" t="inlineStr">
        <is>
          <t>rv</t>
        </is>
      </c>
      <c r="AG35" s="42" t="inlineStr">
        <is>
          <t>rv</t>
        </is>
      </c>
      <c r="AH35" s="43" t="inlineStr">
        <is>
          <t>rv</t>
        </is>
      </c>
      <c r="AI35" s="41" t="inlineStr">
        <is>
          <t>p</t>
        </is>
      </c>
      <c r="AJ35" s="40" t="inlineStr">
        <is>
          <t>l</t>
        </is>
      </c>
      <c r="AK35" s="42" t="inlineStr">
        <is>
          <t>sp</t>
        </is>
      </c>
      <c r="AL35" s="43" t="inlineStr">
        <is>
          <t>sp</t>
        </is>
      </c>
      <c r="AM35" s="41" t="inlineStr">
        <is>
          <t>vv</t>
        </is>
      </c>
      <c r="AN35" s="645" t="inlineStr">
        <is>
          <t>vv</t>
        </is>
      </c>
      <c r="AO35" s="42" t="inlineStr">
        <is>
          <t>vv</t>
        </is>
      </c>
      <c r="AP35" s="40" t="n"/>
      <c r="AQ35" s="41" t="n"/>
      <c r="AR35" s="888">
        <f>IFERROR(IF(VLOOKUP($B35,Medewerker!$C$8:$U$107,19,FALSE)="",VLOOKUP($B35,Medewerker!$C$8:$U$107,17,FALSE),0),0)</f>
        <v/>
      </c>
      <c r="AS35" s="889">
        <f>IFERROR(IF(B35="",1,IF(VLOOKUP($B35,Medewerker!$C$8:$U$107,19,FALSE)="",VLOOKUP($B35,Medewerker!$C$8:$U$107,18,FALSE),0)),0)</f>
        <v/>
      </c>
      <c r="AT35" s="30" t="n"/>
      <c r="AU35" s="30">
        <f>(COUNTIF(F35:AQ35,"afw"))/2</f>
        <v/>
      </c>
      <c r="AV35" s="111">
        <f>((38-(COUNTIF(F35:AQ35,"")))/2)-(COUNTIF(F35:AQ35,"p")/2)-(COUNTIF(F35:AQ35,CONCATENATE("x","*"))/4)</f>
        <v/>
      </c>
      <c r="AW35" s="73">
        <f>IF($B35="","",VLOOKUP($B35,Medewerker!$C$8:$E$107,3,FALSE))</f>
        <v/>
      </c>
      <c r="AX35" s="403">
        <f>IFERROR(VLOOKUP($B35,Planning!$B$6:$AG$105,32,FALSE)*24,"")</f>
        <v/>
      </c>
      <c r="AY35" s="882" t="inlineStr">
        <is>
          <t>Afprijzen</t>
        </is>
      </c>
      <c r="AZ35" s="883" t="n"/>
      <c r="BA35" s="884" t="n"/>
      <c r="BB35" s="838" t="n"/>
      <c r="BC35" s="31">
        <f>IF(Planning!B28="","",Planning!B28)</f>
        <v/>
      </c>
      <c r="BD35" s="105" t="n"/>
      <c r="BE35" s="885">
        <f>Planning!E28</f>
        <v/>
      </c>
      <c r="BF35" s="885">
        <f>Planning!F28</f>
        <v/>
      </c>
      <c r="BG35" s="886" t="n"/>
      <c r="BH35" s="105" t="n"/>
      <c r="BI35" s="885">
        <f>Planning!I28</f>
        <v/>
      </c>
      <c r="BJ35" s="885">
        <f>Planning!J28</f>
        <v/>
      </c>
      <c r="BK35" s="886" t="n"/>
      <c r="BL35" s="105" t="n"/>
      <c r="BM35" s="885">
        <f>Planning!M28</f>
        <v/>
      </c>
      <c r="BN35" s="885">
        <f>Planning!N28</f>
        <v/>
      </c>
      <c r="BO35" s="886" t="n"/>
      <c r="BP35" s="105" t="n"/>
      <c r="BQ35" s="885">
        <f>Planning!Q28</f>
        <v/>
      </c>
      <c r="BR35" s="885">
        <f>Planning!R28</f>
        <v/>
      </c>
      <c r="BS35" s="886" t="n"/>
      <c r="BT35" s="105" t="n"/>
      <c r="BU35" s="885">
        <f>Planning!U28</f>
        <v/>
      </c>
      <c r="BV35" s="885">
        <f>Planning!V28</f>
        <v/>
      </c>
      <c r="BW35" s="886" t="n"/>
      <c r="BX35" s="105" t="n"/>
      <c r="BY35" s="885">
        <f>Planning!Y28</f>
        <v/>
      </c>
      <c r="BZ35" s="885">
        <f>Planning!Z28</f>
        <v/>
      </c>
      <c r="CA35" s="886" t="n"/>
      <c r="CB35" s="105" t="n"/>
      <c r="CC35" s="885">
        <f>Planning!AC28</f>
        <v/>
      </c>
      <c r="CD35" s="885">
        <f>Planning!AD28</f>
        <v/>
      </c>
      <c r="CE35" s="886" t="n"/>
      <c r="CF35" s="105" t="n"/>
      <c r="CG35" s="887">
        <f>Planning!AG28</f>
        <v/>
      </c>
      <c r="CH35" s="105" t="n"/>
      <c r="CI35" s="252">
        <f>IF(BC35="","",Planning!AI28)</f>
        <v/>
      </c>
      <c r="CJ35" s="252">
        <f>IF(BC35="","",Planning!AJ28)</f>
        <v/>
      </c>
      <c r="CK35" s="252">
        <f>IF(BC35="","",Planning!AK28)</f>
        <v/>
      </c>
      <c r="CL35" s="252">
        <f>IF(BC35="","",Planning!AH28)</f>
        <v/>
      </c>
      <c r="CM35" s="21" t="n"/>
    </row>
    <row r="36" ht="12.75" customHeight="1">
      <c r="A36" s="161">
        <f>IFERROR(IF(VLOOKUP($B36,$BC$13:$CL$86,36,FALSE)&gt;5,0,IF(COUNTIF($B$13:$B$63,$B36)&gt;1,0,24)),24)+IF(B36&lt;&gt;0,0,IF(AV36&gt;0,0.000001,0))</f>
        <v/>
      </c>
      <c r="B36" s="129" t="inlineStr">
        <is>
          <t>Yulia</t>
        </is>
      </c>
      <c r="C36" s="48">
        <f>IFERROR(IF($B36="","",VLOOKUP($B36,Medewerker!$C$8:$AI$107,33,FALSE)),"?")</f>
        <v/>
      </c>
      <c r="D36" s="879">
        <f t="array" ref="D36">IFERROR(IF(LEFT(INDEX($F36:$AQ36,1,SUM(SMALL(IF($F36:$AQ36&lt;&gt;"",COLUMN($F36:$AQ36)),1)-5)),1)="x",SUM(SMALL(IF($F36:$AQ36&lt;&gt;"",$F$11:$AQ$11),1)+"0:15"),SMALL(IF($F36:$AQ36&lt;&gt;"",$F$11:$AQ$11),1)),"")</f>
        <v/>
      </c>
      <c r="E36" s="879">
        <f t="array" ref="E36">IFERROR(IF(LEFT(INDEX($F36:$AQ36,1,SUM(LARGE(IF($F36:$AQ36&lt;&gt;"",COLUMN($F36:$AQ36)),1)-5)),1)="x",SUM(LARGE(IF($F36:$AQ36&lt;&gt;"",$F$11:$AQ$11+"0:30:00"),1)-"0:15"),LARGE(IF($F36:$AQ36&lt;&gt;"",$F$11:$AQ$11+"0:30:00"),1)),"")</f>
        <v/>
      </c>
      <c r="F36" s="43" t="n"/>
      <c r="G36" s="42" t="n"/>
      <c r="H36" s="43" t="n"/>
      <c r="I36" s="43" t="n"/>
      <c r="J36" s="43" t="n"/>
      <c r="K36" s="41" t="n"/>
      <c r="L36" s="40" t="n"/>
      <c r="M36" s="42" t="n"/>
      <c r="N36" s="43" t="n"/>
      <c r="O36" s="41" t="n"/>
      <c r="P36" s="40" t="n"/>
      <c r="Q36" s="42" t="n"/>
      <c r="R36" s="43" t="n"/>
      <c r="S36" s="41" t="n"/>
      <c r="T36" s="40" t="n"/>
      <c r="U36" s="42" t="n"/>
      <c r="V36" s="43" t="n"/>
      <c r="W36" s="41" t="n"/>
      <c r="X36" s="40" t="n"/>
      <c r="Y36" s="42" t="n"/>
      <c r="Z36" s="43" t="n"/>
      <c r="AA36" s="41" t="n"/>
      <c r="AB36" s="40" t="inlineStr">
        <is>
          <t>rv</t>
        </is>
      </c>
      <c r="AC36" s="42" t="inlineStr">
        <is>
          <t>rv</t>
        </is>
      </c>
      <c r="AD36" s="43" t="inlineStr">
        <is>
          <t>rv</t>
        </is>
      </c>
      <c r="AE36" s="41" t="inlineStr">
        <is>
          <t>rv</t>
        </is>
      </c>
      <c r="AF36" s="40" t="inlineStr">
        <is>
          <t>rv</t>
        </is>
      </c>
      <c r="AG36" s="42" t="inlineStr">
        <is>
          <t>rv</t>
        </is>
      </c>
      <c r="AH36" s="43" t="inlineStr">
        <is>
          <t>rv</t>
        </is>
      </c>
      <c r="AI36" s="41" t="inlineStr">
        <is>
          <t>p</t>
        </is>
      </c>
      <c r="AJ36" s="40" t="inlineStr">
        <is>
          <t>l</t>
        </is>
      </c>
      <c r="AK36" s="42" t="inlineStr">
        <is>
          <t>sp</t>
        </is>
      </c>
      <c r="AL36" s="43" t="inlineStr">
        <is>
          <t>sp</t>
        </is>
      </c>
      <c r="AM36" s="41" t="inlineStr">
        <is>
          <t>vv</t>
        </is>
      </c>
      <c r="AN36" s="645" t="inlineStr">
        <is>
          <t>vv</t>
        </is>
      </c>
      <c r="AO36" s="42" t="inlineStr">
        <is>
          <t>vv</t>
        </is>
      </c>
      <c r="AP36" s="43" t="n"/>
      <c r="AQ36" s="42" t="n"/>
      <c r="AR36" s="888">
        <f>IFERROR(IF(VLOOKUP($B36,Medewerker!$C$8:$U$107,19,FALSE)="",VLOOKUP($B36,Medewerker!$C$8:$U$107,17,FALSE),0),0)</f>
        <v/>
      </c>
      <c r="AS36" s="888">
        <f>IFERROR(IF(B36="",1,IF(VLOOKUP($B36,Medewerker!$C$8:$U$107,19,FALSE)="",VLOOKUP($B36,Medewerker!$C$8:$U$107,18,FALSE),0)),0)</f>
        <v/>
      </c>
      <c r="AT36" s="45" t="n"/>
      <c r="AU36" s="46">
        <f>(COUNTIF(F36:AQ36,"afw"))/2</f>
        <v/>
      </c>
      <c r="AV36" s="111">
        <f>((38-(COUNTIF(F36:AQ36,"")))/2)-(COUNTIF(F36:AQ36,"p")/2)-(COUNTIF(F36:AQ36,CONCATENATE("x","*"))/4)</f>
        <v/>
      </c>
      <c r="AW36" s="73">
        <f>IF($B36="","",VLOOKUP($B36,Medewerker!$C$8:$E$107,3,FALSE))</f>
        <v/>
      </c>
      <c r="AX36" s="403">
        <f>IFERROR(VLOOKUP($B36,Planning!$B$6:$AG$105,32,FALSE)*24,"")</f>
        <v/>
      </c>
      <c r="AY36" s="559" t="inlineStr">
        <is>
          <t>afp</t>
        </is>
      </c>
      <c r="AZ36" s="71" t="inlineStr">
        <is>
          <t>Afprijzen</t>
        </is>
      </c>
      <c r="BA36" s="111">
        <f>COUNTIF($F$13:$AQ$63,CONCATENATE(AY36,"*"))/2+COUNTIF($F$13:$AQ$63,CONCATENATE("x",AY36,"*"))/4</f>
        <v/>
      </c>
      <c r="BB36" s="838" t="n"/>
      <c r="BC36" s="31">
        <f>IF(Planning!B29="","",Planning!B29)</f>
        <v/>
      </c>
      <c r="BD36" s="105" t="n"/>
      <c r="BE36" s="885">
        <f>Planning!E29</f>
        <v/>
      </c>
      <c r="BF36" s="885">
        <f>Planning!F29</f>
        <v/>
      </c>
      <c r="BG36" s="886" t="n"/>
      <c r="BH36" s="105" t="n"/>
      <c r="BI36" s="885">
        <f>Planning!I29</f>
        <v/>
      </c>
      <c r="BJ36" s="885">
        <f>Planning!J29</f>
        <v/>
      </c>
      <c r="BK36" s="886" t="n"/>
      <c r="BL36" s="105" t="n"/>
      <c r="BM36" s="885">
        <f>Planning!M29</f>
        <v/>
      </c>
      <c r="BN36" s="885">
        <f>Planning!N29</f>
        <v/>
      </c>
      <c r="BO36" s="886" t="n"/>
      <c r="BP36" s="105" t="n"/>
      <c r="BQ36" s="885">
        <f>Planning!Q29</f>
        <v/>
      </c>
      <c r="BR36" s="885">
        <f>Planning!R29</f>
        <v/>
      </c>
      <c r="BS36" s="886" t="n"/>
      <c r="BT36" s="105" t="n"/>
      <c r="BU36" s="885">
        <f>Planning!U29</f>
        <v/>
      </c>
      <c r="BV36" s="885">
        <f>Planning!V29</f>
        <v/>
      </c>
      <c r="BW36" s="886" t="n"/>
      <c r="BX36" s="105" t="n"/>
      <c r="BY36" s="885">
        <f>Planning!Y29</f>
        <v/>
      </c>
      <c r="BZ36" s="885">
        <f>Planning!Z29</f>
        <v/>
      </c>
      <c r="CA36" s="886" t="n"/>
      <c r="CB36" s="105" t="n"/>
      <c r="CC36" s="885">
        <f>Planning!AC29</f>
        <v/>
      </c>
      <c r="CD36" s="885">
        <f>Planning!AD29</f>
        <v/>
      </c>
      <c r="CE36" s="886" t="n"/>
      <c r="CF36" s="105" t="n"/>
      <c r="CG36" s="887">
        <f>Planning!AG29</f>
        <v/>
      </c>
      <c r="CH36" s="105" t="n"/>
      <c r="CI36" s="252">
        <f>IF(BC36="","",Planning!AI29)</f>
        <v/>
      </c>
      <c r="CJ36" s="252">
        <f>IF(BC36="","",Planning!AJ29)</f>
        <v/>
      </c>
      <c r="CK36" s="252">
        <f>IF(BC36="","",Planning!AK29)</f>
        <v/>
      </c>
      <c r="CL36" s="252">
        <f>IF(BC36="","",Planning!AH29)</f>
        <v/>
      </c>
      <c r="CM36" s="21" t="n"/>
    </row>
    <row r="37" ht="12.75" customHeight="1">
      <c r="A37" s="161">
        <f>IFERROR(IF(VLOOKUP($B37,$BC$13:$CL$86,36,FALSE)&gt;5,0,IF(COUNTIF($B$13:$B$63,$B37)&gt;1,0,25)),25)+IF(B37&lt;&gt;0,0,IF(AV37&gt;0,0.000001,0))</f>
        <v/>
      </c>
      <c r="B37" s="129" t="inlineStr">
        <is>
          <t>Yasmina ibrahimin</t>
        </is>
      </c>
      <c r="C37" s="48">
        <f>IFERROR(IF($B37="","",VLOOKUP($B37,Medewerker!$C$8:$AI$107,33,FALSE)),"?")</f>
        <v/>
      </c>
      <c r="D37" s="879">
        <f t="array" ref="D37">IFERROR(IF(LEFT(INDEX($F37:$AQ37,1,SUM(SMALL(IF($F37:$AQ37&lt;&gt;"",COLUMN($F37:$AQ37)),1)-5)),1)="x",SUM(SMALL(IF($F37:$AQ37&lt;&gt;"",$F$11:$AQ$11),1)+"0:15"),SMALL(IF($F37:$AQ37&lt;&gt;"",$F$11:$AQ$11),1)),"")</f>
        <v/>
      </c>
      <c r="E37" s="879">
        <f t="array" ref="E37">IFERROR(IF(LEFT(INDEX($F37:$AQ37,1,SUM(LARGE(IF($F37:$AQ37&lt;&gt;"",COLUMN($F37:$AQ37)),1)-5)),1)="x",SUM(LARGE(IF($F37:$AQ37&lt;&gt;"",$F$11:$AQ$11+"0:30:00"),1)-"0:15"),LARGE(IF($F37:$AQ37&lt;&gt;"",$F$11:$AQ$11+"0:30:00"),1)),"")</f>
        <v/>
      </c>
      <c r="F37" s="43" t="n"/>
      <c r="G37" s="42" t="n"/>
      <c r="H37" s="43" t="n"/>
      <c r="I37" s="43" t="n"/>
      <c r="J37" s="43" t="n"/>
      <c r="K37" s="41" t="n"/>
      <c r="L37" s="40" t="n"/>
      <c r="M37" s="42" t="n"/>
      <c r="N37" s="43" t="n"/>
      <c r="O37" s="41" t="n"/>
      <c r="P37" s="40" t="n"/>
      <c r="Q37" s="42" t="n"/>
      <c r="R37" s="43" t="n"/>
      <c r="S37" s="41" t="n"/>
      <c r="T37" s="40" t="n"/>
      <c r="U37" s="42" t="n"/>
      <c r="V37" s="43" t="n"/>
      <c r="W37" s="41" t="n"/>
      <c r="X37" s="40" t="n"/>
      <c r="Y37" s="42" t="n"/>
      <c r="Z37" s="43" t="n"/>
      <c r="AA37" s="41" t="n"/>
      <c r="AB37" s="40" t="n"/>
      <c r="AC37" s="42" t="n"/>
      <c r="AD37" s="43" t="n"/>
      <c r="AE37" s="41" t="n"/>
      <c r="AF37" s="40" t="n"/>
      <c r="AG37" s="42" t="n"/>
      <c r="AH37" s="43" t="n"/>
      <c r="AI37" s="41" t="inlineStr">
        <is>
          <t>vv</t>
        </is>
      </c>
      <c r="AJ37" s="40" t="inlineStr">
        <is>
          <t>vv</t>
        </is>
      </c>
      <c r="AK37" s="42" t="inlineStr">
        <is>
          <t>vv</t>
        </is>
      </c>
      <c r="AL37" s="43" t="inlineStr">
        <is>
          <t>vv</t>
        </is>
      </c>
      <c r="AM37" s="41" t="inlineStr">
        <is>
          <t>vv</t>
        </is>
      </c>
      <c r="AN37" s="645" t="inlineStr">
        <is>
          <t>vv</t>
        </is>
      </c>
      <c r="AO37" s="42" t="inlineStr">
        <is>
          <t>vv</t>
        </is>
      </c>
      <c r="AP37" s="43" t="n"/>
      <c r="AQ37" s="42" t="n"/>
      <c r="AR37" s="888">
        <f>IFERROR(IF(VLOOKUP($B37,Medewerker!$C$8:$U$107,19,FALSE)="",VLOOKUP($B37,Medewerker!$C$8:$U$107,17,FALSE),0),0)</f>
        <v/>
      </c>
      <c r="AS37" s="888">
        <f>IFERROR(IF(B37="",1,IF(VLOOKUP($B37,Medewerker!$C$8:$U$107,19,FALSE)="",VLOOKUP($B37,Medewerker!$C$8:$U$107,18,FALSE),0)),0)</f>
        <v/>
      </c>
      <c r="AT37" s="45" t="n"/>
      <c r="AU37" s="46">
        <f>(COUNTIF(F37:AQ37,"afw"))/2</f>
        <v/>
      </c>
      <c r="AV37" s="111">
        <f>((38-(COUNTIF(F37:AQ37,"")))/2)-(COUNTIF(F37:AQ37,"p")/2)-(COUNTIF(F37:AQ37,CONCATENATE("x","*"))/4)</f>
        <v/>
      </c>
      <c r="AW37" s="73">
        <f>IF($B37="","",VLOOKUP($B37,Medewerker!$C$8:$E$107,3,FALSE))</f>
        <v/>
      </c>
      <c r="AX37" s="403">
        <f>IFERROR(VLOOKUP($B37,Planning!$B$6:$AG$105,32,FALSE)*24,"")</f>
        <v/>
      </c>
      <c r="AY37" s="560" t="inlineStr">
        <is>
          <t>cb</t>
        </is>
      </c>
      <c r="AZ37" s="166" t="inlineStr">
        <is>
          <t>Codeboek</t>
        </is>
      </c>
      <c r="BA37" s="111">
        <f>COUNTIF($F$13:$AQ$63,CONCATENATE(AY37,"*"))/2+COUNTIF($F$13:$AQ$63,CONCATENATE("x",AY37,"*"))/4</f>
        <v/>
      </c>
      <c r="BB37" s="838" t="n"/>
      <c r="BC37" s="31">
        <f>IF(Planning!B30="","",Planning!B30)</f>
        <v/>
      </c>
      <c r="BD37" s="105" t="n"/>
      <c r="BE37" s="885">
        <f>Planning!E30</f>
        <v/>
      </c>
      <c r="BF37" s="885">
        <f>Planning!F30</f>
        <v/>
      </c>
      <c r="BG37" s="886" t="n"/>
      <c r="BH37" s="105" t="n"/>
      <c r="BI37" s="885">
        <f>Planning!I30</f>
        <v/>
      </c>
      <c r="BJ37" s="885">
        <f>Planning!J30</f>
        <v/>
      </c>
      <c r="BK37" s="886" t="n"/>
      <c r="BL37" s="105" t="n"/>
      <c r="BM37" s="885">
        <f>Planning!M30</f>
        <v/>
      </c>
      <c r="BN37" s="885">
        <f>Planning!N30</f>
        <v/>
      </c>
      <c r="BO37" s="886" t="n"/>
      <c r="BP37" s="105" t="n"/>
      <c r="BQ37" s="885">
        <f>Planning!Q30</f>
        <v/>
      </c>
      <c r="BR37" s="885">
        <f>Planning!R30</f>
        <v/>
      </c>
      <c r="BS37" s="886" t="n"/>
      <c r="BT37" s="105" t="n"/>
      <c r="BU37" s="885">
        <f>Planning!U30</f>
        <v/>
      </c>
      <c r="BV37" s="885">
        <f>Planning!V30</f>
        <v/>
      </c>
      <c r="BW37" s="886" t="n"/>
      <c r="BX37" s="105" t="n"/>
      <c r="BY37" s="885">
        <f>Planning!Y30</f>
        <v/>
      </c>
      <c r="BZ37" s="885">
        <f>Planning!Z30</f>
        <v/>
      </c>
      <c r="CA37" s="886" t="n"/>
      <c r="CB37" s="105" t="n"/>
      <c r="CC37" s="885">
        <f>Planning!AC30</f>
        <v/>
      </c>
      <c r="CD37" s="885">
        <f>Planning!AD30</f>
        <v/>
      </c>
      <c r="CE37" s="886" t="n"/>
      <c r="CF37" s="105" t="n"/>
      <c r="CG37" s="887">
        <f>Planning!AG30</f>
        <v/>
      </c>
      <c r="CH37" s="105" t="n"/>
      <c r="CI37" s="252">
        <f>IF(BC37="","",Planning!AI30)</f>
        <v/>
      </c>
      <c r="CJ37" s="252">
        <f>IF(BC37="","",Planning!AJ30)</f>
        <v/>
      </c>
      <c r="CK37" s="252">
        <f>IF(BC37="","",Planning!AK30)</f>
        <v/>
      </c>
      <c r="CL37" s="252">
        <f>IF(BC37="","",Planning!AH30)</f>
        <v/>
      </c>
      <c r="CM37" s="21" t="n"/>
    </row>
    <row r="38" ht="12.75" customHeight="1">
      <c r="A38" s="161">
        <f>IFERROR(IF(VLOOKUP($B38,$BC$13:$CL$86,36,FALSE)&gt;5,0,IF(COUNTIF($B$13:$B$63,$B38)&gt;1,0,26)),26)+IF(B38&lt;&gt;0,0,IF(AV38&gt;0,0.000001,0))</f>
        <v/>
      </c>
      <c r="B38" s="129" t="inlineStr">
        <is>
          <t>Deniz</t>
        </is>
      </c>
      <c r="C38" s="48">
        <f>IFERROR(IF($B38="","",VLOOKUP($B38,Medewerker!$C$8:$AI$107,33,FALSE)),"?")</f>
        <v/>
      </c>
      <c r="D38" s="879">
        <f t="array" ref="D38">IFERROR(IF(LEFT(INDEX($F38:$AQ38,1,SUM(SMALL(IF($F38:$AQ38&lt;&gt;"",COLUMN($F38:$AQ38)),1)-5)),1)="x",SUM(SMALL(IF($F38:$AQ38&lt;&gt;"",$F$11:$AQ$11),1)+"0:15"),SMALL(IF($F38:$AQ38&lt;&gt;"",$F$11:$AQ$11),1)),"")</f>
        <v/>
      </c>
      <c r="E38" s="879">
        <f t="array" ref="E38">IFERROR(IF(LEFT(INDEX($F38:$AQ38,1,SUM(LARGE(IF($F38:$AQ38&lt;&gt;"",COLUMN($F38:$AQ38)),1)-5)),1)="x",SUM(LARGE(IF($F38:$AQ38&lt;&gt;"",$F$11:$AQ$11+"0:30:00"),1)-"0:15"),LARGE(IF($F38:$AQ38&lt;&gt;"",$F$11:$AQ$11+"0:30:00"),1)),"")</f>
        <v/>
      </c>
      <c r="F38" s="43" t="n"/>
      <c r="G38" s="42" t="n"/>
      <c r="H38" s="43" t="n"/>
      <c r="I38" s="43" t="n"/>
      <c r="J38" s="43" t="n"/>
      <c r="K38" s="41" t="n"/>
      <c r="L38" s="40" t="n"/>
      <c r="M38" s="42" t="n"/>
      <c r="N38" s="43" t="n"/>
      <c r="O38" s="41" t="n"/>
      <c r="P38" s="40" t="n"/>
      <c r="Q38" s="42" t="n"/>
      <c r="R38" s="43" t="n"/>
      <c r="S38" s="41" t="n"/>
      <c r="T38" s="40" t="n"/>
      <c r="U38" s="42" t="n"/>
      <c r="V38" s="43" t="n"/>
      <c r="W38" s="41" t="n"/>
      <c r="X38" s="40" t="n"/>
      <c r="Y38" s="42" t="n"/>
      <c r="Z38" s="43" t="n"/>
      <c r="AA38" s="41" t="n"/>
      <c r="AB38" s="40" t="n"/>
      <c r="AC38" s="42" t="n"/>
      <c r="AD38" s="43" t="n"/>
      <c r="AE38" s="41" t="n"/>
      <c r="AF38" s="40" t="n"/>
      <c r="AG38" s="42" t="n"/>
      <c r="AH38" s="43" t="n"/>
      <c r="AI38" s="41" t="inlineStr">
        <is>
          <t>vv</t>
        </is>
      </c>
      <c r="AJ38" s="40" t="inlineStr">
        <is>
          <t>vv</t>
        </is>
      </c>
      <c r="AK38" s="42" t="inlineStr">
        <is>
          <t>vv</t>
        </is>
      </c>
      <c r="AL38" s="43" t="inlineStr">
        <is>
          <t>vv</t>
        </is>
      </c>
      <c r="AM38" s="41" t="inlineStr">
        <is>
          <t>vv</t>
        </is>
      </c>
      <c r="AN38" s="645" t="inlineStr">
        <is>
          <t>vv</t>
        </is>
      </c>
      <c r="AO38" s="42" t="inlineStr">
        <is>
          <t>vv</t>
        </is>
      </c>
      <c r="AP38" s="43" t="n"/>
      <c r="AQ38" s="42" t="n"/>
      <c r="AR38" s="888">
        <f>IFERROR(IF(VLOOKUP($B38,Medewerker!$C$8:$U$107,19,FALSE)="",VLOOKUP($B38,Medewerker!$C$8:$U$107,17,FALSE),0),0)</f>
        <v/>
      </c>
      <c r="AS38" s="888">
        <f>IFERROR(IF(B38="",1,IF(VLOOKUP($B38,Medewerker!$C$8:$U$107,19,FALSE)="",VLOOKUP($B38,Medewerker!$C$8:$U$107,18,FALSE),0)),0)</f>
        <v/>
      </c>
      <c r="AT38" s="45" t="n"/>
      <c r="AU38" s="46">
        <f>(COUNTIF(F38:AQ38,"afw"))/2</f>
        <v/>
      </c>
      <c r="AV38" s="111">
        <f>((38-(COUNTIF(F38:AQ38,"")))/2)-(COUNTIF(F38:AQ38,"p")/2)-(COUNTIF(F38:AQ38,CONCATENATE("x","*"))/4)</f>
        <v/>
      </c>
      <c r="AW38" s="73">
        <f>IF($B38="","",VLOOKUP($B38,Medewerker!$C$8:$E$107,3,FALSE))</f>
        <v/>
      </c>
      <c r="AX38" s="403">
        <f>IFERROR(VLOOKUP($B38,Planning!$B$6:$AG$105,32,FALSE)*24,"")</f>
        <v/>
      </c>
      <c r="AY38" s="560" t="inlineStr">
        <is>
          <t>nr</t>
        </is>
      </c>
      <c r="AZ38" s="166" t="inlineStr">
        <is>
          <t>Naloopronde</t>
        </is>
      </c>
      <c r="BA38" s="111">
        <f>COUNTIF($F$13:$AQ$63,CONCATENATE(AY38,"*"))/2+COUNTIF($F$13:$AQ$63,CONCATENATE("x",AY38,"*"))/4</f>
        <v/>
      </c>
      <c r="BB38" s="838" t="n"/>
      <c r="BC38" s="31">
        <f>IF(Planning!B31="","",Planning!B31)</f>
        <v/>
      </c>
      <c r="BD38" s="105" t="n"/>
      <c r="BE38" s="885">
        <f>Planning!E31</f>
        <v/>
      </c>
      <c r="BF38" s="885">
        <f>Planning!F31</f>
        <v/>
      </c>
      <c r="BG38" s="886" t="n"/>
      <c r="BH38" s="105" t="n"/>
      <c r="BI38" s="885">
        <f>Planning!I31</f>
        <v/>
      </c>
      <c r="BJ38" s="885">
        <f>Planning!J31</f>
        <v/>
      </c>
      <c r="BK38" s="886" t="n"/>
      <c r="BL38" s="105" t="n"/>
      <c r="BM38" s="885">
        <f>Planning!M31</f>
        <v/>
      </c>
      <c r="BN38" s="885">
        <f>Planning!N31</f>
        <v/>
      </c>
      <c r="BO38" s="886" t="n"/>
      <c r="BP38" s="105" t="n"/>
      <c r="BQ38" s="885">
        <f>Planning!Q31</f>
        <v/>
      </c>
      <c r="BR38" s="885">
        <f>Planning!R31</f>
        <v/>
      </c>
      <c r="BS38" s="886" t="n"/>
      <c r="BT38" s="105" t="n"/>
      <c r="BU38" s="885">
        <f>Planning!U31</f>
        <v/>
      </c>
      <c r="BV38" s="885">
        <f>Planning!V31</f>
        <v/>
      </c>
      <c r="BW38" s="886" t="n"/>
      <c r="BX38" s="105" t="n"/>
      <c r="BY38" s="885">
        <f>Planning!Y31</f>
        <v/>
      </c>
      <c r="BZ38" s="885">
        <f>Planning!Z31</f>
        <v/>
      </c>
      <c r="CA38" s="886" t="n"/>
      <c r="CB38" s="105" t="n"/>
      <c r="CC38" s="885">
        <f>Planning!AC31</f>
        <v/>
      </c>
      <c r="CD38" s="885">
        <f>Planning!AD31</f>
        <v/>
      </c>
      <c r="CE38" s="886" t="n"/>
      <c r="CF38" s="105" t="n"/>
      <c r="CG38" s="887">
        <f>Planning!AG31</f>
        <v/>
      </c>
      <c r="CH38" s="105" t="n"/>
      <c r="CI38" s="252">
        <f>IF(BC38="","",Planning!AI31)</f>
        <v/>
      </c>
      <c r="CJ38" s="252">
        <f>IF(BC38="","",Planning!AJ31)</f>
        <v/>
      </c>
      <c r="CK38" s="252">
        <f>IF(BC38="","",Planning!AK31)</f>
        <v/>
      </c>
      <c r="CL38" s="252">
        <f>IF(BC38="","",Planning!AH31)</f>
        <v/>
      </c>
      <c r="CM38" s="21" t="n"/>
    </row>
    <row r="39" ht="12.75" customHeight="1">
      <c r="A39" s="161">
        <f>IFERROR(IF(VLOOKUP($B39,$BC$13:$CL$86,36,FALSE)&gt;5,0,IF(COUNTIF($B$13:$B$63,$B39)&gt;1,0,27)),27)+IF(B39&lt;&gt;0,0,IF(AV39&gt;0,0.000001,0))</f>
        <v/>
      </c>
      <c r="B39" s="129" t="inlineStr">
        <is>
          <t>Sevgyul</t>
        </is>
      </c>
      <c r="C39" s="48">
        <f>IFERROR(IF($B39="","",VLOOKUP($B39,Medewerker!$C$8:$AI$107,33,FALSE)),"?")</f>
        <v/>
      </c>
      <c r="D39" s="879">
        <f t="array" ref="D39">IFERROR(IF(LEFT(INDEX($F39:$AQ39,1,SUM(SMALL(IF($F39:$AQ39&lt;&gt;"",COLUMN($F39:$AQ39)),1)-5)),1)="x",SUM(SMALL(IF($F39:$AQ39&lt;&gt;"",$F$11:$AQ$11),1)+"0:15"),SMALL(IF($F39:$AQ39&lt;&gt;"",$F$11:$AQ$11),1)),"")</f>
        <v/>
      </c>
      <c r="E39" s="879">
        <f t="array" ref="E39">IFERROR(IF(LEFT(INDEX($F39:$AQ39,1,SUM(LARGE(IF($F39:$AQ39&lt;&gt;"",COLUMN($F39:$AQ39)),1)-5)),1)="x",SUM(LARGE(IF($F39:$AQ39&lt;&gt;"",$F$11:$AQ$11+"0:30:00"),1)-"0:15"),LARGE(IF($F39:$AQ39&lt;&gt;"",$F$11:$AQ$11+"0:30:00"),1)),"")</f>
        <v/>
      </c>
      <c r="F39" s="43" t="n"/>
      <c r="G39" s="42" t="n"/>
      <c r="H39" s="43" t="n"/>
      <c r="I39" s="42" t="n"/>
      <c r="J39" s="43" t="n"/>
      <c r="K39" s="41" t="n"/>
      <c r="L39" s="40" t="n"/>
      <c r="M39" s="42" t="n"/>
      <c r="N39" s="43" t="n"/>
      <c r="O39" s="41" t="n"/>
      <c r="P39" s="40" t="n"/>
      <c r="Q39" s="42" t="n"/>
      <c r="R39" s="43" t="n"/>
      <c r="S39" s="41" t="n"/>
      <c r="T39" s="40" t="n"/>
      <c r="U39" s="42" t="n"/>
      <c r="V39" s="43" t="n"/>
      <c r="W39" s="41" t="n"/>
      <c r="X39" s="40" t="n"/>
      <c r="Y39" s="42" t="n"/>
      <c r="Z39" s="43" t="n"/>
      <c r="AA39" s="41" t="n"/>
      <c r="AB39" s="40" t="n"/>
      <c r="AC39" s="42" t="n"/>
      <c r="AD39" s="43" t="n"/>
      <c r="AE39" s="41" t="n"/>
      <c r="AF39" s="40" t="n"/>
      <c r="AG39" s="42" t="n"/>
      <c r="AH39" s="43" t="n"/>
      <c r="AI39" s="41" t="inlineStr">
        <is>
          <t>vv</t>
        </is>
      </c>
      <c r="AJ39" s="40" t="inlineStr">
        <is>
          <t>vv</t>
        </is>
      </c>
      <c r="AK39" s="42" t="inlineStr">
        <is>
          <t>vv</t>
        </is>
      </c>
      <c r="AL39" s="43" t="inlineStr">
        <is>
          <t>vv</t>
        </is>
      </c>
      <c r="AM39" s="41" t="inlineStr">
        <is>
          <t>vv</t>
        </is>
      </c>
      <c r="AN39" s="645" t="inlineStr">
        <is>
          <t>vv</t>
        </is>
      </c>
      <c r="AO39" s="42" t="inlineStr">
        <is>
          <t>vv</t>
        </is>
      </c>
      <c r="AP39" s="43" t="n"/>
      <c r="AQ39" s="42" t="n"/>
      <c r="AR39" s="888">
        <f>IFERROR(IF(VLOOKUP($B39,Medewerker!$C$8:$U$107,19,FALSE)="",VLOOKUP($B39,Medewerker!$C$8:$U$107,17,FALSE),0),0)</f>
        <v/>
      </c>
      <c r="AS39" s="888">
        <f>IFERROR(IF(B39="",1,IF(VLOOKUP($B39,Medewerker!$C$8:$U$107,19,FALSE)="",VLOOKUP($B39,Medewerker!$C$8:$U$107,18,FALSE),0)),0)</f>
        <v/>
      </c>
      <c r="AT39" s="45" t="n"/>
      <c r="AU39" s="46">
        <f>(COUNTIF(F39:AQ39,"afw"))/2</f>
        <v/>
      </c>
      <c r="AV39" s="111">
        <f>((38-(COUNTIF(F39:AQ39,"")))/2)-(COUNTIF(F39:AQ39,"p")/2)-(COUNTIF(F39:AQ39,CONCATENATE("x","*"))/4)</f>
        <v/>
      </c>
      <c r="AW39" s="73">
        <f>IF($B39="","",VLOOKUP($B39,Medewerker!$C$8:$E$107,3,FALSE))</f>
        <v/>
      </c>
      <c r="AX39" s="403">
        <f>IFERROR(VLOOKUP($B39,Planning!$B$6:$AG$105,32,FALSE)*24,"")</f>
        <v/>
      </c>
      <c r="AY39" s="560" t="inlineStr">
        <is>
          <t>us</t>
        </is>
      </c>
      <c r="AZ39" s="166" t="inlineStr">
        <is>
          <t>Vervallen artikelen</t>
        </is>
      </c>
      <c r="BA39" s="111">
        <f>COUNTIF($F$13:$AQ$63,CONCATENATE(AY39,"*"))/2+COUNTIF($F$13:$AQ$63,CONCATENATE("x",AY39,"*"))/4</f>
        <v/>
      </c>
      <c r="BB39" s="838" t="n"/>
      <c r="BC39" s="31">
        <f>IF(Planning!B32="","",Planning!B32)</f>
        <v/>
      </c>
      <c r="BD39" s="105" t="n"/>
      <c r="BE39" s="885">
        <f>Planning!E32</f>
        <v/>
      </c>
      <c r="BF39" s="885">
        <f>Planning!F32</f>
        <v/>
      </c>
      <c r="BG39" s="886" t="n"/>
      <c r="BH39" s="105" t="n"/>
      <c r="BI39" s="885">
        <f>Planning!I32</f>
        <v/>
      </c>
      <c r="BJ39" s="885">
        <f>Planning!J32</f>
        <v/>
      </c>
      <c r="BK39" s="886" t="n"/>
      <c r="BL39" s="105" t="n"/>
      <c r="BM39" s="885">
        <f>Planning!M32</f>
        <v/>
      </c>
      <c r="BN39" s="885">
        <f>Planning!N32</f>
        <v/>
      </c>
      <c r="BO39" s="886" t="n"/>
      <c r="BP39" s="105" t="n"/>
      <c r="BQ39" s="885">
        <f>Planning!Q32</f>
        <v/>
      </c>
      <c r="BR39" s="885">
        <f>Planning!R32</f>
        <v/>
      </c>
      <c r="BS39" s="886" t="n"/>
      <c r="BT39" s="105" t="n"/>
      <c r="BU39" s="885">
        <f>Planning!U32</f>
        <v/>
      </c>
      <c r="BV39" s="885">
        <f>Planning!V32</f>
        <v/>
      </c>
      <c r="BW39" s="886" t="n"/>
      <c r="BX39" s="105" t="n"/>
      <c r="BY39" s="885">
        <f>Planning!Y32</f>
        <v/>
      </c>
      <c r="BZ39" s="885">
        <f>Planning!Z32</f>
        <v/>
      </c>
      <c r="CA39" s="886" t="n"/>
      <c r="CB39" s="105" t="n"/>
      <c r="CC39" s="885">
        <f>Planning!AC32</f>
        <v/>
      </c>
      <c r="CD39" s="885">
        <f>Planning!AD32</f>
        <v/>
      </c>
      <c r="CE39" s="886" t="n"/>
      <c r="CF39" s="105" t="n"/>
      <c r="CG39" s="887">
        <f>Planning!AG32</f>
        <v/>
      </c>
      <c r="CH39" s="105" t="n"/>
      <c r="CI39" s="252">
        <f>IF(BC39="","",Planning!AI32)</f>
        <v/>
      </c>
      <c r="CJ39" s="252">
        <f>IF(BC39="","",Planning!AJ32)</f>
        <v/>
      </c>
      <c r="CK39" s="252">
        <f>IF(BC39="","",Planning!AK32)</f>
        <v/>
      </c>
      <c r="CL39" s="252">
        <f>IF(BC39="","",Planning!AH32)</f>
        <v/>
      </c>
      <c r="CM39" s="21" t="n"/>
    </row>
    <row r="40" ht="12.75" customHeight="1">
      <c r="A40" s="161">
        <f>IFERROR(IF(VLOOKUP($B40,$BC$13:$CL$86,36,FALSE)&gt;5,0,IF(COUNTIF($B$13:$B$63,$B40)&gt;1,0,28)),28)+IF(B40&lt;&gt;0,0,IF(AV40&gt;0,0.000001,0))</f>
        <v/>
      </c>
      <c r="B40" s="129" t="n"/>
      <c r="C40" s="48">
        <f>IFERROR(IF($B40="","",VLOOKUP($B40,Medewerker!$C$8:$AI$107,33,FALSE)),"?")</f>
        <v/>
      </c>
      <c r="D40" s="879">
        <f t="array" ref="D40">IFERROR(IF(LEFT(INDEX($F40:$AQ40,1,SUM(SMALL(IF($F40:$AQ40&lt;&gt;"",COLUMN($F40:$AQ40)),1)-5)),1)="x",SUM(SMALL(IF($F40:$AQ40&lt;&gt;"",$F$11:$AQ$11),1)+"0:15"),SMALL(IF($F40:$AQ40&lt;&gt;"",$F$11:$AQ$11),1)),"")</f>
        <v/>
      </c>
      <c r="E40" s="879">
        <f t="array" ref="E40">IFERROR(IF(LEFT(INDEX($F40:$AQ40,1,SUM(LARGE(IF($F40:$AQ40&lt;&gt;"",COLUMN($F40:$AQ40)),1)-5)),1)="x",SUM(LARGE(IF($F40:$AQ40&lt;&gt;"",$F$11:$AQ$11+"0:30:00"),1)-"0:15"),LARGE(IF($F40:$AQ40&lt;&gt;"",$F$11:$AQ$11+"0:30:00"),1)),"")</f>
        <v/>
      </c>
      <c r="F40" s="43" t="n"/>
      <c r="G40" s="42" t="n"/>
      <c r="H40" s="43" t="n"/>
      <c r="I40" s="42" t="n"/>
      <c r="J40" s="43" t="n"/>
      <c r="K40" s="41" t="n"/>
      <c r="L40" s="40" t="n"/>
      <c r="M40" s="42" t="n"/>
      <c r="N40" s="43" t="n"/>
      <c r="O40" s="41" t="n"/>
      <c r="P40" s="40" t="n"/>
      <c r="Q40" s="42" t="n"/>
      <c r="R40" s="43" t="n"/>
      <c r="S40" s="41" t="n"/>
      <c r="T40" s="40" t="n"/>
      <c r="U40" s="42" t="n"/>
      <c r="V40" s="43" t="n"/>
      <c r="W40" s="41" t="n"/>
      <c r="X40" s="40" t="n"/>
      <c r="Y40" s="42" t="n"/>
      <c r="Z40" s="43" t="n"/>
      <c r="AA40" s="41" t="n"/>
      <c r="AB40" s="40" t="n"/>
      <c r="AC40" s="42" t="n"/>
      <c r="AD40" s="43" t="n"/>
      <c r="AE40" s="41" t="n"/>
      <c r="AF40" s="40" t="n"/>
      <c r="AG40" s="42" t="n"/>
      <c r="AH40" s="43" t="n"/>
      <c r="AI40" s="41" t="n"/>
      <c r="AJ40" s="40" t="n"/>
      <c r="AK40" s="42" t="n"/>
      <c r="AL40" s="43" t="n"/>
      <c r="AM40" s="41" t="n"/>
      <c r="AN40" s="645" t="n"/>
      <c r="AO40" s="42" t="n"/>
      <c r="AP40" s="43" t="n"/>
      <c r="AQ40" s="42" t="n"/>
      <c r="AR40" s="888">
        <f>IFERROR(IF(VLOOKUP($B40,Medewerker!$C$8:$U$107,19,FALSE)="",VLOOKUP($B40,Medewerker!$C$8:$U$107,17,FALSE),0),0)</f>
        <v/>
      </c>
      <c r="AS40" s="888">
        <f>IFERROR(IF(B40="",1,IF(VLOOKUP($B40,Medewerker!$C$8:$U$107,19,FALSE)="",VLOOKUP($B40,Medewerker!$C$8:$U$107,18,FALSE),0)),0)</f>
        <v/>
      </c>
      <c r="AT40" s="45" t="n"/>
      <c r="AU40" s="46">
        <f>(COUNTIF(F40:AQ40,"afw"))/2</f>
        <v/>
      </c>
      <c r="AV40" s="111">
        <f>((38-(COUNTIF(F40:AQ40,"")))/2)-(COUNTIF(F40:AQ40,"p")/2)-(COUNTIF(F40:AQ40,CONCATENATE("x","*"))/4)</f>
        <v/>
      </c>
      <c r="AW40" s="73">
        <f>IF($B40="","",VLOOKUP($B40,Medewerker!$C$8:$E$107,3,FALSE))</f>
        <v/>
      </c>
      <c r="AX40" s="403">
        <f>IFERROR(VLOOKUP($B40,Planning!$B$6:$AG$105,32,FALSE)*24,"")</f>
        <v/>
      </c>
      <c r="AY40" s="559" t="inlineStr">
        <is>
          <t>ver</t>
        </is>
      </c>
      <c r="AZ40" s="414" t="inlineStr">
        <is>
          <t>Vernietigen/Reststoffen</t>
        </is>
      </c>
      <c r="BA40" s="111">
        <f>COUNTIF($F$13:$AQ$63,CONCATENATE(AY40,"*"))/2+COUNTIF($F$13:$AQ$63,CONCATENATE("x",AY40,"*"))/4</f>
        <v/>
      </c>
      <c r="BB40" s="838" t="n"/>
      <c r="BC40" s="31">
        <f>IF(Planning!B33="","",Planning!B33)</f>
        <v/>
      </c>
      <c r="BD40" s="105" t="n"/>
      <c r="BE40" s="885">
        <f>Planning!E33</f>
        <v/>
      </c>
      <c r="BF40" s="885">
        <f>Planning!F33</f>
        <v/>
      </c>
      <c r="BG40" s="886" t="n"/>
      <c r="BH40" s="105" t="n"/>
      <c r="BI40" s="885">
        <f>Planning!I33</f>
        <v/>
      </c>
      <c r="BJ40" s="885">
        <f>Planning!J33</f>
        <v/>
      </c>
      <c r="BK40" s="886" t="n"/>
      <c r="BL40" s="105" t="n"/>
      <c r="BM40" s="885">
        <f>Planning!M33</f>
        <v/>
      </c>
      <c r="BN40" s="885">
        <f>Planning!N33</f>
        <v/>
      </c>
      <c r="BO40" s="886" t="n"/>
      <c r="BP40" s="105" t="n"/>
      <c r="BQ40" s="885">
        <f>Planning!Q33</f>
        <v/>
      </c>
      <c r="BR40" s="885">
        <f>Planning!R33</f>
        <v/>
      </c>
      <c r="BS40" s="886" t="n"/>
      <c r="BT40" s="105" t="n"/>
      <c r="BU40" s="885">
        <f>Planning!U33</f>
        <v/>
      </c>
      <c r="BV40" s="885">
        <f>Planning!V33</f>
        <v/>
      </c>
      <c r="BW40" s="886" t="n"/>
      <c r="BX40" s="105" t="n"/>
      <c r="BY40" s="885">
        <f>Planning!Y33</f>
        <v/>
      </c>
      <c r="BZ40" s="885">
        <f>Planning!Z33</f>
        <v/>
      </c>
      <c r="CA40" s="886" t="n"/>
      <c r="CB40" s="105" t="n"/>
      <c r="CC40" s="885">
        <f>Planning!AC33</f>
        <v/>
      </c>
      <c r="CD40" s="885">
        <f>Planning!AD33</f>
        <v/>
      </c>
      <c r="CE40" s="886" t="n"/>
      <c r="CF40" s="105" t="n"/>
      <c r="CG40" s="887">
        <f>Planning!AG33</f>
        <v/>
      </c>
      <c r="CH40" s="105" t="n"/>
      <c r="CI40" s="252">
        <f>IF(BC40="","",Planning!AI33)</f>
        <v/>
      </c>
      <c r="CJ40" s="252">
        <f>IF(BC40="","",Planning!AJ33)</f>
        <v/>
      </c>
      <c r="CK40" s="252">
        <f>IF(BC40="","",Planning!AK33)</f>
        <v/>
      </c>
      <c r="CL40" s="252">
        <f>IF(BC40="","",Planning!AH33)</f>
        <v/>
      </c>
      <c r="CM40" s="21" t="n"/>
    </row>
    <row r="41" ht="12.75" customHeight="1">
      <c r="A41" s="161">
        <f>IFERROR(IF(VLOOKUP($B41,$BC$13:$CL$86,36,FALSE)&gt;5,0,IF(COUNTIF($B$13:$B$63,$B41)&gt;1,0,29)),29)+IF(B41&lt;&gt;0,0,IF(AV41&gt;0,0.000001,0))</f>
        <v/>
      </c>
      <c r="B41" s="129" t="n"/>
      <c r="C41" s="48">
        <f>IFERROR(IF($B41="","",VLOOKUP($B41,Medewerker!$C$8:$AI$107,33,FALSE)),"?")</f>
        <v/>
      </c>
      <c r="D41" s="879">
        <f t="array" ref="D41">IFERROR(IF(LEFT(INDEX($F41:$AQ41,1,SUM(SMALL(IF($F41:$AQ41&lt;&gt;"",COLUMN($F41:$AQ41)),1)-5)),1)="x",SUM(SMALL(IF($F41:$AQ41&lt;&gt;"",$F$11:$AQ$11),1)+"0:15"),SMALL(IF($F41:$AQ41&lt;&gt;"",$F$11:$AQ$11),1)),"")</f>
        <v/>
      </c>
      <c r="E41" s="879">
        <f t="array" ref="E41">IFERROR(IF(LEFT(INDEX($F41:$AQ41,1,SUM(LARGE(IF($F41:$AQ41&lt;&gt;"",COLUMN($F41:$AQ41)),1)-5)),1)="x",SUM(LARGE(IF($F41:$AQ41&lt;&gt;"",$F$11:$AQ$11+"0:30:00"),1)-"0:15"),LARGE(IF($F41:$AQ41&lt;&gt;"",$F$11:$AQ$11+"0:30:00"),1)),"")</f>
        <v/>
      </c>
      <c r="F41" s="43" t="n"/>
      <c r="G41" s="42" t="n"/>
      <c r="H41" s="43" t="n"/>
      <c r="I41" s="42" t="n"/>
      <c r="J41" s="43" t="n"/>
      <c r="K41" s="41" t="n"/>
      <c r="L41" s="40" t="n"/>
      <c r="M41" s="42" t="n"/>
      <c r="N41" s="43" t="n"/>
      <c r="O41" s="41" t="n"/>
      <c r="P41" s="40" t="n"/>
      <c r="Q41" s="42" t="n"/>
      <c r="R41" s="43" t="n"/>
      <c r="S41" s="41" t="n"/>
      <c r="T41" s="40" t="n"/>
      <c r="U41" s="42" t="n"/>
      <c r="V41" s="43" t="n"/>
      <c r="W41" s="41" t="n"/>
      <c r="X41" s="40" t="n"/>
      <c r="Y41" s="42" t="n"/>
      <c r="Z41" s="43" t="n"/>
      <c r="AA41" s="41" t="n"/>
      <c r="AB41" s="40" t="n"/>
      <c r="AC41" s="42" t="n"/>
      <c r="AD41" s="43" t="n"/>
      <c r="AE41" s="41" t="n"/>
      <c r="AF41" s="40" t="n"/>
      <c r="AG41" s="42" t="n"/>
      <c r="AH41" s="43" t="n"/>
      <c r="AI41" s="41" t="n"/>
      <c r="AJ41" s="40" t="n"/>
      <c r="AK41" s="42" t="n"/>
      <c r="AL41" s="43" t="n"/>
      <c r="AM41" s="41" t="n"/>
      <c r="AN41" s="645" t="n"/>
      <c r="AO41" s="42" t="n"/>
      <c r="AP41" s="43" t="n"/>
      <c r="AQ41" s="42" t="n"/>
      <c r="AR41" s="888">
        <f>IFERROR(IF(VLOOKUP($B41,Medewerker!$C$8:$U$107,19,FALSE)="",VLOOKUP($B41,Medewerker!$C$8:$U$107,17,FALSE),0),0)</f>
        <v/>
      </c>
      <c r="AS41" s="888">
        <f>IFERROR(IF(B41="",1,IF(VLOOKUP($B41,Medewerker!$C$8:$U$107,19,FALSE)="",VLOOKUP($B41,Medewerker!$C$8:$U$107,18,FALSE),0)),0)</f>
        <v/>
      </c>
      <c r="AT41" s="45" t="n"/>
      <c r="AU41" s="46">
        <f>(COUNTIF(F41:AQ41,"afw"))/2</f>
        <v/>
      </c>
      <c r="AV41" s="111">
        <f>((38-(COUNTIF(F41:AQ41,"")))/2)-(COUNTIF(F41:AQ41,"p")/2)-(COUNTIF(F41:AQ41,CONCATENATE("x","*"))/4)</f>
        <v/>
      </c>
      <c r="AW41" s="73">
        <f>IF($B41="","",VLOOKUP($B41,Medewerker!$C$8:$E$107,3,FALSE))</f>
        <v/>
      </c>
      <c r="AX41" s="403">
        <f>IFERROR(VLOOKUP($B41,Planning!$B$6:$AG$105,32,FALSE)*24,"")</f>
        <v/>
      </c>
      <c r="AY41" s="891" t="inlineStr">
        <is>
          <t>Promo/Presentatie</t>
        </is>
      </c>
      <c r="AZ41" s="883" t="n"/>
      <c r="BA41" s="884" t="n"/>
      <c r="BB41" s="838" t="n"/>
      <c r="BC41" s="31">
        <f>IF(Planning!B34="","",Planning!B34)</f>
        <v/>
      </c>
      <c r="BD41" s="105" t="n"/>
      <c r="BE41" s="885">
        <f>Planning!E34</f>
        <v/>
      </c>
      <c r="BF41" s="885">
        <f>Planning!F34</f>
        <v/>
      </c>
      <c r="BG41" s="886" t="n"/>
      <c r="BH41" s="105" t="n"/>
      <c r="BI41" s="885">
        <f>Planning!I34</f>
        <v/>
      </c>
      <c r="BJ41" s="885">
        <f>Planning!J34</f>
        <v/>
      </c>
      <c r="BK41" s="886" t="n"/>
      <c r="BL41" s="105" t="n"/>
      <c r="BM41" s="885">
        <f>Planning!M34</f>
        <v/>
      </c>
      <c r="BN41" s="885">
        <f>Planning!N34</f>
        <v/>
      </c>
      <c r="BO41" s="886" t="n"/>
      <c r="BP41" s="105" t="n"/>
      <c r="BQ41" s="885">
        <f>Planning!Q34</f>
        <v/>
      </c>
      <c r="BR41" s="885">
        <f>Planning!R34</f>
        <v/>
      </c>
      <c r="BS41" s="886" t="n"/>
      <c r="BT41" s="105" t="n"/>
      <c r="BU41" s="885">
        <f>Planning!U34</f>
        <v/>
      </c>
      <c r="BV41" s="885">
        <f>Planning!V34</f>
        <v/>
      </c>
      <c r="BW41" s="886" t="n"/>
      <c r="BX41" s="105" t="n"/>
      <c r="BY41" s="885">
        <f>Planning!Y34</f>
        <v/>
      </c>
      <c r="BZ41" s="885">
        <f>Planning!Z34</f>
        <v/>
      </c>
      <c r="CA41" s="886" t="n"/>
      <c r="CB41" s="105" t="n"/>
      <c r="CC41" s="885">
        <f>Planning!AC34</f>
        <v/>
      </c>
      <c r="CD41" s="885">
        <f>Planning!AD34</f>
        <v/>
      </c>
      <c r="CE41" s="886" t="n"/>
      <c r="CF41" s="105" t="n"/>
      <c r="CG41" s="887">
        <f>Planning!AG34</f>
        <v/>
      </c>
      <c r="CH41" s="105" t="n"/>
      <c r="CI41" s="252">
        <f>IF(BC41="","",Planning!AI34)</f>
        <v/>
      </c>
      <c r="CJ41" s="252">
        <f>IF(BC41="","",Planning!AJ34)</f>
        <v/>
      </c>
      <c r="CK41" s="252">
        <f>IF(BC41="","",Planning!AK34)</f>
        <v/>
      </c>
      <c r="CL41" s="252">
        <f>IF(BC41="","",Planning!AH34)</f>
        <v/>
      </c>
      <c r="CM41" s="21" t="n"/>
    </row>
    <row r="42" ht="12.75" customHeight="1">
      <c r="A42" s="161">
        <f>IFERROR(IF(VLOOKUP($B42,$BC$13:$CL$86,36,FALSE)&gt;5,0,IF(COUNTIF($B$13:$B$63,$B42)&gt;1,0,30)),30)+IF(B42&lt;&gt;0,0,IF(AV42&gt;0,0.000001,0))</f>
        <v/>
      </c>
      <c r="B42" s="129" t="n"/>
      <c r="C42" s="48">
        <f>IFERROR(IF($B42="","",VLOOKUP($B42,Medewerker!$C$8:$AI$107,33,FALSE)),"?")</f>
        <v/>
      </c>
      <c r="D42" s="879">
        <f t="array" ref="D42">IFERROR(IF(LEFT(INDEX($F42:$AQ42,1,SUM(SMALL(IF($F42:$AQ42&lt;&gt;"",COLUMN($F42:$AQ42)),1)-5)),1)="x",SUM(SMALL(IF($F42:$AQ42&lt;&gt;"",$F$11:$AQ$11),1)+"0:15"),SMALL(IF($F42:$AQ42&lt;&gt;"",$F$11:$AQ$11),1)),"")</f>
        <v/>
      </c>
      <c r="E42" s="879">
        <f t="array" ref="E42">IFERROR(IF(LEFT(INDEX($F42:$AQ42,1,SUM(LARGE(IF($F42:$AQ42&lt;&gt;"",COLUMN($F42:$AQ42)),1)-5)),1)="x",SUM(LARGE(IF($F42:$AQ42&lt;&gt;"",$F$11:$AQ$11+"0:30:00"),1)-"0:15"),LARGE(IF($F42:$AQ42&lt;&gt;"",$F$11:$AQ$11+"0:30:00"),1)),"")</f>
        <v/>
      </c>
      <c r="F42" s="43" t="n"/>
      <c r="G42" s="42" t="n"/>
      <c r="H42" s="43" t="n"/>
      <c r="I42" s="42" t="n"/>
      <c r="J42" s="43" t="n"/>
      <c r="K42" s="41" t="n"/>
      <c r="L42" s="40" t="n"/>
      <c r="M42" s="42" t="n"/>
      <c r="N42" s="43" t="n"/>
      <c r="O42" s="41" t="n"/>
      <c r="P42" s="40" t="n"/>
      <c r="Q42" s="42" t="n"/>
      <c r="R42" s="43" t="n"/>
      <c r="S42" s="41" t="n"/>
      <c r="T42" s="40" t="n"/>
      <c r="U42" s="42" t="n"/>
      <c r="V42" s="43" t="n"/>
      <c r="W42" s="41" t="n"/>
      <c r="X42" s="40" t="n"/>
      <c r="Y42" s="42" t="n"/>
      <c r="Z42" s="43" t="n"/>
      <c r="AA42" s="41" t="n"/>
      <c r="AB42" s="40" t="n"/>
      <c r="AC42" s="42" t="n"/>
      <c r="AD42" s="43" t="n"/>
      <c r="AE42" s="41" t="n"/>
      <c r="AF42" s="40" t="n"/>
      <c r="AG42" s="42" t="n"/>
      <c r="AH42" s="43" t="n"/>
      <c r="AI42" s="41" t="n"/>
      <c r="AJ42" s="40" t="n"/>
      <c r="AK42" s="42" t="n"/>
      <c r="AL42" s="43" t="n"/>
      <c r="AM42" s="41" t="n"/>
      <c r="AN42" s="645" t="n"/>
      <c r="AO42" s="42" t="n"/>
      <c r="AP42" s="43" t="n"/>
      <c r="AQ42" s="42" t="n"/>
      <c r="AR42" s="888">
        <f>IFERROR(IF(VLOOKUP($B42,Medewerker!$C$8:$U$107,19,FALSE)="",VLOOKUP($B42,Medewerker!$C$8:$U$107,17,FALSE),0),0)</f>
        <v/>
      </c>
      <c r="AS42" s="888">
        <f>IFERROR(IF(B42="",1,IF(VLOOKUP($B42,Medewerker!$C$8:$U$107,19,FALSE)="",VLOOKUP($B42,Medewerker!$C$8:$U$107,18,FALSE),0)),0)</f>
        <v/>
      </c>
      <c r="AT42" s="45" t="n"/>
      <c r="AU42" s="46">
        <f>(COUNTIF(F42:AQ42,"afw"))/2</f>
        <v/>
      </c>
      <c r="AV42" s="111">
        <f>((38-(COUNTIF(F42:AQ42,"")))/2)-(COUNTIF(F42:AQ42,"p")/2)-(COUNTIF(F42:AQ42,CONCATENATE("x","*"))/4)</f>
        <v/>
      </c>
      <c r="AW42" s="73">
        <f>IF($B42="","",VLOOKUP($B42,Medewerker!$C$8:$E$107,3,FALSE))</f>
        <v/>
      </c>
      <c r="AX42" s="403">
        <f>IFERROR(VLOOKUP($B42,Planning!$B$6:$AG$105,32,FALSE)*24,"")</f>
        <v/>
      </c>
      <c r="AY42" s="559" t="inlineStr">
        <is>
          <t>act</t>
        </is>
      </c>
      <c r="AZ42" s="71" t="inlineStr">
        <is>
          <t>Actieopbouw</t>
        </is>
      </c>
      <c r="BA42" s="111">
        <f>COUNTIF($F$13:$AQ$63,CONCATENATE(AY42,"*"))/2+COUNTIF($F$13:$AQ$63,CONCATENATE("x",AY42,"*"))/4</f>
        <v/>
      </c>
      <c r="BB42" s="838" t="n"/>
      <c r="BC42" s="31">
        <f>IF(Planning!B35="","",Planning!B35)</f>
        <v/>
      </c>
      <c r="BD42" s="105" t="n"/>
      <c r="BE42" s="885">
        <f>Planning!E35</f>
        <v/>
      </c>
      <c r="BF42" s="885">
        <f>Planning!F35</f>
        <v/>
      </c>
      <c r="BG42" s="886" t="n"/>
      <c r="BH42" s="105" t="n"/>
      <c r="BI42" s="885">
        <f>Planning!I35</f>
        <v/>
      </c>
      <c r="BJ42" s="885">
        <f>Planning!J35</f>
        <v/>
      </c>
      <c r="BK42" s="886" t="n"/>
      <c r="BL42" s="105" t="n"/>
      <c r="BM42" s="885">
        <f>Planning!M35</f>
        <v/>
      </c>
      <c r="BN42" s="885">
        <f>Planning!N35</f>
        <v/>
      </c>
      <c r="BO42" s="886" t="n"/>
      <c r="BP42" s="105" t="n"/>
      <c r="BQ42" s="885">
        <f>Planning!Q35</f>
        <v/>
      </c>
      <c r="BR42" s="885">
        <f>Planning!R35</f>
        <v/>
      </c>
      <c r="BS42" s="886" t="n"/>
      <c r="BT42" s="105" t="n"/>
      <c r="BU42" s="885">
        <f>Planning!U35</f>
        <v/>
      </c>
      <c r="BV42" s="885">
        <f>Planning!V35</f>
        <v/>
      </c>
      <c r="BW42" s="886" t="n"/>
      <c r="BX42" s="105" t="n"/>
      <c r="BY42" s="885">
        <f>Planning!Y35</f>
        <v/>
      </c>
      <c r="BZ42" s="885">
        <f>Planning!Z35</f>
        <v/>
      </c>
      <c r="CA42" s="886" t="n"/>
      <c r="CB42" s="105" t="n"/>
      <c r="CC42" s="885">
        <f>Planning!AC35</f>
        <v/>
      </c>
      <c r="CD42" s="885">
        <f>Planning!AD35</f>
        <v/>
      </c>
      <c r="CE42" s="886" t="n"/>
      <c r="CF42" s="105" t="n"/>
      <c r="CG42" s="887">
        <f>Planning!AG35</f>
        <v/>
      </c>
      <c r="CH42" s="105" t="n"/>
      <c r="CI42" s="252">
        <f>IF(BC42="","",Planning!AI35)</f>
        <v/>
      </c>
      <c r="CJ42" s="252">
        <f>IF(BC42="","",Planning!AJ35)</f>
        <v/>
      </c>
      <c r="CK42" s="252">
        <f>IF(BC42="","",Planning!AK35)</f>
        <v/>
      </c>
      <c r="CL42" s="252">
        <f>IF(BC42="","",Planning!AH35)</f>
        <v/>
      </c>
      <c r="CM42" s="21" t="n"/>
    </row>
    <row r="43" ht="12.75" customHeight="1">
      <c r="A43" s="161">
        <f>IFERROR(IF(VLOOKUP($B43,$BC$13:$CL$86,36,FALSE)&gt;5,0,IF(COUNTIF($B$13:$B$63,$B43)&gt;1,0,31)),31)+IF(B43&lt;&gt;0,0,IF(AV43&gt;0,0.000001,0))</f>
        <v/>
      </c>
      <c r="B43" s="129" t="n"/>
      <c r="C43" s="48">
        <f>IFERROR(IF($B43="","",VLOOKUP($B43,Medewerker!$C$8:$AI$107,33,FALSE)),"?")</f>
        <v/>
      </c>
      <c r="D43" s="879">
        <f t="array" ref="D43">IFERROR(IF(LEFT(INDEX($F43:$AQ43,1,SUM(SMALL(IF($F43:$AQ43&lt;&gt;"",COLUMN($F43:$AQ43)),1)-5)),1)="x",SUM(SMALL(IF($F43:$AQ43&lt;&gt;"",$F$11:$AQ$11),1)+"0:15"),SMALL(IF($F43:$AQ43&lt;&gt;"",$F$11:$AQ$11),1)),"")</f>
        <v/>
      </c>
      <c r="E43" s="879">
        <f t="array" ref="E43">IFERROR(IF(LEFT(INDEX($F43:$AQ43,1,SUM(LARGE(IF($F43:$AQ43&lt;&gt;"",COLUMN($F43:$AQ43)),1)-5)),1)="x",SUM(LARGE(IF($F43:$AQ43&lt;&gt;"",$F$11:$AQ$11+"0:30:00"),1)-"0:15"),LARGE(IF($F43:$AQ43&lt;&gt;"",$F$11:$AQ$11+"0:30:00"),1)),"")</f>
        <v/>
      </c>
      <c r="F43" s="43" t="n"/>
      <c r="G43" s="42" t="n"/>
      <c r="H43" s="43" t="n"/>
      <c r="I43" s="42" t="n"/>
      <c r="J43" s="43" t="n"/>
      <c r="K43" s="41" t="n"/>
      <c r="L43" s="40" t="n"/>
      <c r="M43" s="42" t="n"/>
      <c r="N43" s="43" t="n"/>
      <c r="O43" s="41" t="n"/>
      <c r="P43" s="40" t="n"/>
      <c r="Q43" s="42" t="n"/>
      <c r="R43" s="43" t="n"/>
      <c r="S43" s="41" t="n"/>
      <c r="T43" s="40" t="n"/>
      <c r="U43" s="42" t="n"/>
      <c r="V43" s="43" t="n"/>
      <c r="W43" s="41" t="n"/>
      <c r="X43" s="40" t="n"/>
      <c r="Y43" s="42" t="n"/>
      <c r="Z43" s="43" t="n"/>
      <c r="AA43" s="41" t="n"/>
      <c r="AB43" s="40" t="n"/>
      <c r="AC43" s="42" t="n"/>
      <c r="AD43" s="43" t="n"/>
      <c r="AE43" s="41" t="n"/>
      <c r="AF43" s="40" t="n"/>
      <c r="AG43" s="42" t="n"/>
      <c r="AH43" s="43" t="n"/>
      <c r="AI43" s="41" t="n"/>
      <c r="AJ43" s="40" t="n"/>
      <c r="AK43" s="42" t="n"/>
      <c r="AL43" s="43" t="n"/>
      <c r="AM43" s="41" t="n"/>
      <c r="AN43" s="645" t="n"/>
      <c r="AO43" s="42" t="n"/>
      <c r="AP43" s="43" t="n"/>
      <c r="AQ43" s="42" t="n"/>
      <c r="AR43" s="888">
        <f>IFERROR(IF(VLOOKUP($B43,Medewerker!$C$8:$U$107,19,FALSE)="",VLOOKUP($B43,Medewerker!$C$8:$U$107,17,FALSE),0),0)</f>
        <v/>
      </c>
      <c r="AS43" s="888">
        <f>IFERROR(IF(B43="",1,IF(VLOOKUP($B43,Medewerker!$C$8:$U$107,19,FALSE)="",VLOOKUP($B43,Medewerker!$C$8:$U$107,18,FALSE),0)),0)</f>
        <v/>
      </c>
      <c r="AT43" s="45" t="n"/>
      <c r="AU43" s="46">
        <f>(COUNTIF(F43:AQ43,"afw"))/2</f>
        <v/>
      </c>
      <c r="AV43" s="111">
        <f>((38-(COUNTIF(F43:AQ43,"")))/2)-(COUNTIF(F43:AQ43,"p")/2)-(COUNTIF(F43:AQ43,CONCATENATE("x","*"))/4)</f>
        <v/>
      </c>
      <c r="AW43" s="73">
        <f>IF($B43="","",VLOOKUP($B43,Medewerker!$C$8:$E$107,3,FALSE))</f>
        <v/>
      </c>
      <c r="AX43" s="403">
        <f>IFERROR(VLOOKUP($B43,Planning!$B$6:$AG$105,32,FALSE)*24,"")</f>
        <v/>
      </c>
      <c r="AY43" s="559" t="inlineStr">
        <is>
          <t>com</t>
        </is>
      </c>
      <c r="AZ43" s="71" t="inlineStr">
        <is>
          <t>Comco sorteren</t>
        </is>
      </c>
      <c r="BA43" s="111">
        <f>COUNTIF($F$13:$AQ$63,CONCATENATE(AY43,"*"))/2+COUNTIF($F$13:$AQ$63,CONCATENATE("x",AY43,"*"))/4</f>
        <v/>
      </c>
      <c r="BB43" s="838" t="n"/>
      <c r="BC43" s="31">
        <f>IF(Planning!B36="","",Planning!B36)</f>
        <v/>
      </c>
      <c r="BD43" s="105" t="n"/>
      <c r="BE43" s="885">
        <f>Planning!E36</f>
        <v/>
      </c>
      <c r="BF43" s="885">
        <f>Planning!F36</f>
        <v/>
      </c>
      <c r="BG43" s="886" t="n"/>
      <c r="BH43" s="105" t="n"/>
      <c r="BI43" s="885">
        <f>Planning!I36</f>
        <v/>
      </c>
      <c r="BJ43" s="885">
        <f>Planning!J36</f>
        <v/>
      </c>
      <c r="BK43" s="886" t="n"/>
      <c r="BL43" s="105" t="n"/>
      <c r="BM43" s="885">
        <f>Planning!M36</f>
        <v/>
      </c>
      <c r="BN43" s="885">
        <f>Planning!N36</f>
        <v/>
      </c>
      <c r="BO43" s="886" t="n"/>
      <c r="BP43" s="105" t="n"/>
      <c r="BQ43" s="885">
        <f>Planning!Q36</f>
        <v/>
      </c>
      <c r="BR43" s="885">
        <f>Planning!R36</f>
        <v/>
      </c>
      <c r="BS43" s="886" t="n"/>
      <c r="BT43" s="105" t="n"/>
      <c r="BU43" s="885">
        <f>Planning!U36</f>
        <v/>
      </c>
      <c r="BV43" s="885">
        <f>Planning!V36</f>
        <v/>
      </c>
      <c r="BW43" s="886" t="n"/>
      <c r="BX43" s="105" t="n"/>
      <c r="BY43" s="885">
        <f>Planning!Y36</f>
        <v/>
      </c>
      <c r="BZ43" s="885">
        <f>Planning!Z36</f>
        <v/>
      </c>
      <c r="CA43" s="886" t="n"/>
      <c r="CB43" s="105" t="n"/>
      <c r="CC43" s="885">
        <f>Planning!AC36</f>
        <v/>
      </c>
      <c r="CD43" s="885">
        <f>Planning!AD36</f>
        <v/>
      </c>
      <c r="CE43" s="886" t="n"/>
      <c r="CF43" s="105" t="n"/>
      <c r="CG43" s="887">
        <f>Planning!AG36</f>
        <v/>
      </c>
      <c r="CH43" s="105" t="n"/>
      <c r="CI43" s="252">
        <f>IF(BC43="","",Planning!AI36)</f>
        <v/>
      </c>
      <c r="CJ43" s="252">
        <f>IF(BC43="","",Planning!AJ36)</f>
        <v/>
      </c>
      <c r="CK43" s="252">
        <f>IF(BC43="","",Planning!AK36)</f>
        <v/>
      </c>
      <c r="CL43" s="252">
        <f>IF(BC43="","",Planning!AH36)</f>
        <v/>
      </c>
      <c r="CM43" s="21" t="n"/>
    </row>
    <row r="44" ht="12.75" customHeight="1">
      <c r="A44" s="161">
        <f>IFERROR(IF(VLOOKUP($B44,$BC$13:$CL$86,36,FALSE)&gt;5,0,IF(COUNTIF($B$13:$B$63,$B44)&gt;1,0,32)),32)+IF(B44&lt;&gt;0,0,IF(AV44&gt;0,0.000001,0))</f>
        <v/>
      </c>
      <c r="B44" s="129" t="n"/>
      <c r="C44" s="48">
        <f>IFERROR(IF($B44="","",VLOOKUP($B44,Medewerker!$C$8:$AI$107,33,FALSE)),"?")</f>
        <v/>
      </c>
      <c r="D44" s="879">
        <f t="array" ref="D44">IFERROR(IF(LEFT(INDEX($F44:$AQ44,1,SUM(SMALL(IF($F44:$AQ44&lt;&gt;"",COLUMN($F44:$AQ44)),1)-5)),1)="x",SUM(SMALL(IF($F44:$AQ44&lt;&gt;"",$F$11:$AQ$11),1)+"0:15"),SMALL(IF($F44:$AQ44&lt;&gt;"",$F$11:$AQ$11),1)),"")</f>
        <v/>
      </c>
      <c r="E44" s="879">
        <f t="array" ref="E44">IFERROR(IF(LEFT(INDEX($F44:$AQ44,1,SUM(LARGE(IF($F44:$AQ44&lt;&gt;"",COLUMN($F44:$AQ44)),1)-5)),1)="x",SUM(LARGE(IF($F44:$AQ44&lt;&gt;"",$F$11:$AQ$11+"0:30:00"),1)-"0:15"),LARGE(IF($F44:$AQ44&lt;&gt;"",$F$11:$AQ$11+"0:30:00"),1)),"")</f>
        <v/>
      </c>
      <c r="F44" s="43" t="n"/>
      <c r="G44" s="42" t="n"/>
      <c r="H44" s="43" t="n"/>
      <c r="I44" s="42" t="n"/>
      <c r="J44" s="43" t="n"/>
      <c r="K44" s="41" t="n"/>
      <c r="L44" s="40" t="n"/>
      <c r="M44" s="42" t="n"/>
      <c r="N44" s="43" t="n"/>
      <c r="O44" s="41" t="n"/>
      <c r="P44" s="40" t="n"/>
      <c r="Q44" s="42" t="n"/>
      <c r="R44" s="43" t="n"/>
      <c r="S44" s="41" t="n"/>
      <c r="T44" s="40" t="n"/>
      <c r="U44" s="42" t="n"/>
      <c r="V44" s="43" t="n"/>
      <c r="W44" s="41" t="n"/>
      <c r="X44" s="40" t="n"/>
      <c r="Y44" s="42" t="n"/>
      <c r="Z44" s="43" t="n"/>
      <c r="AA44" s="41" t="n"/>
      <c r="AB44" s="40" t="n"/>
      <c r="AC44" s="42" t="n"/>
      <c r="AD44" s="43" t="n"/>
      <c r="AE44" s="41" t="n"/>
      <c r="AF44" s="40" t="n"/>
      <c r="AG44" s="42" t="n"/>
      <c r="AH44" s="43" t="n"/>
      <c r="AI44" s="41" t="n"/>
      <c r="AJ44" s="40" t="n"/>
      <c r="AK44" s="42" t="n"/>
      <c r="AL44" s="43" t="n"/>
      <c r="AM44" s="41" t="n"/>
      <c r="AN44" s="645" t="n"/>
      <c r="AO44" s="42" t="n"/>
      <c r="AP44" s="43" t="n"/>
      <c r="AQ44" s="42" t="n"/>
      <c r="AR44" s="888">
        <f>IFERROR(IF(VLOOKUP($B44,Medewerker!$C$8:$U$107,19,FALSE)="",VLOOKUP($B44,Medewerker!$C$8:$U$107,17,FALSE),0),0)</f>
        <v/>
      </c>
      <c r="AS44" s="888">
        <f>IFERROR(IF(B44="",1,IF(VLOOKUP($B44,Medewerker!$C$8:$U$107,19,FALSE)="",VLOOKUP($B44,Medewerker!$C$8:$U$107,18,FALSE),0)),0)</f>
        <v/>
      </c>
      <c r="AT44" s="45" t="n"/>
      <c r="AU44" s="46">
        <f>(COUNTIF(F44:AQ44,"afw"))/2</f>
        <v/>
      </c>
      <c r="AV44" s="111">
        <f>((38-(COUNTIF(F44:AQ44,"")))/2)-(COUNTIF(F44:AQ44,"p")/2)-(COUNTIF(F44:AQ44,CONCATENATE("x","*"))/4)</f>
        <v/>
      </c>
      <c r="AW44" s="73">
        <f>IF($B44="","",VLOOKUP($B44,Medewerker!$C$8:$E$107,3,FALSE))</f>
        <v/>
      </c>
      <c r="AX44" s="403">
        <f>IFERROR(VLOOKUP($B44,Planning!$B$6:$AG$105,32,FALSE)*24,"")</f>
        <v/>
      </c>
      <c r="AY44" s="558" t="inlineStr">
        <is>
          <t>pro</t>
        </is>
      </c>
      <c r="AZ44" s="71" t="inlineStr">
        <is>
          <t>Promotie</t>
        </is>
      </c>
      <c r="BA44" s="111">
        <f>COUNTIF($F$13:$AQ$63,CONCATENATE(AY44,"*"))/2+COUNTIF($F$13:$AQ$63,CONCATENATE("x",AY44,"*"))/4</f>
        <v/>
      </c>
      <c r="BB44" s="838" t="n"/>
      <c r="BC44" s="31">
        <f>IF(Planning!B37="","",Planning!B37)</f>
        <v/>
      </c>
      <c r="BD44" s="105" t="n"/>
      <c r="BE44" s="885">
        <f>Planning!E37</f>
        <v/>
      </c>
      <c r="BF44" s="885">
        <f>Planning!F37</f>
        <v/>
      </c>
      <c r="BG44" s="886" t="n"/>
      <c r="BH44" s="105" t="n"/>
      <c r="BI44" s="885">
        <f>Planning!I37</f>
        <v/>
      </c>
      <c r="BJ44" s="885">
        <f>Planning!J37</f>
        <v/>
      </c>
      <c r="BK44" s="886" t="n"/>
      <c r="BL44" s="105" t="n"/>
      <c r="BM44" s="885">
        <f>Planning!M37</f>
        <v/>
      </c>
      <c r="BN44" s="885">
        <f>Planning!N37</f>
        <v/>
      </c>
      <c r="BO44" s="886" t="n"/>
      <c r="BP44" s="105" t="n"/>
      <c r="BQ44" s="885">
        <f>Planning!Q37</f>
        <v/>
      </c>
      <c r="BR44" s="885">
        <f>Planning!R37</f>
        <v/>
      </c>
      <c r="BS44" s="886" t="n"/>
      <c r="BT44" s="105" t="n"/>
      <c r="BU44" s="885">
        <f>Planning!U37</f>
        <v/>
      </c>
      <c r="BV44" s="885">
        <f>Planning!V37</f>
        <v/>
      </c>
      <c r="BW44" s="886" t="n"/>
      <c r="BX44" s="105" t="n"/>
      <c r="BY44" s="885">
        <f>Planning!Y37</f>
        <v/>
      </c>
      <c r="BZ44" s="885">
        <f>Planning!Z37</f>
        <v/>
      </c>
      <c r="CA44" s="886" t="n"/>
      <c r="CB44" s="105" t="n"/>
      <c r="CC44" s="885">
        <f>Planning!AC37</f>
        <v/>
      </c>
      <c r="CD44" s="885">
        <f>Planning!AD37</f>
        <v/>
      </c>
      <c r="CE44" s="886" t="n"/>
      <c r="CF44" s="105" t="n"/>
      <c r="CG44" s="887">
        <f>Planning!AG37</f>
        <v/>
      </c>
      <c r="CH44" s="105" t="n"/>
      <c r="CI44" s="252">
        <f>IF(BC44="","",Planning!AI37)</f>
        <v/>
      </c>
      <c r="CJ44" s="252">
        <f>IF(BC44="","",Planning!AJ37)</f>
        <v/>
      </c>
      <c r="CK44" s="252">
        <f>IF(BC44="","",Planning!AK37)</f>
        <v/>
      </c>
      <c r="CL44" s="252">
        <f>IF(BC44="","",Planning!AH37)</f>
        <v/>
      </c>
      <c r="CM44" s="21" t="n"/>
    </row>
    <row r="45" ht="12.75" customHeight="1">
      <c r="A45" s="161">
        <f>IFERROR(IF(VLOOKUP($B45,$BC$13:$CL$86,36,FALSE)&gt;5,0,IF(COUNTIF($B$13:$B$63,$B45)&gt;1,0,33)),33)+IF(B45&lt;&gt;0,0,IF(AV45&gt;0,0.000001,0))</f>
        <v/>
      </c>
      <c r="B45" s="129" t="n"/>
      <c r="C45" s="48">
        <f>IFERROR(IF($B45="","",VLOOKUP($B45,Medewerker!$C$8:$AI$107,33,FALSE)),"?")</f>
        <v/>
      </c>
      <c r="D45" s="879">
        <f t="array" ref="D45">IFERROR(IF(LEFT(INDEX($F45:$AQ45,1,SUM(SMALL(IF($F45:$AQ45&lt;&gt;"",COLUMN($F45:$AQ45)),1)-5)),1)="x",SUM(SMALL(IF($F45:$AQ45&lt;&gt;"",$F$11:$AQ$11),1)+"0:15"),SMALL(IF($F45:$AQ45&lt;&gt;"",$F$11:$AQ$11),1)),"")</f>
        <v/>
      </c>
      <c r="E45" s="879">
        <f t="array" ref="E45">IFERROR(IF(LEFT(INDEX($F45:$AQ45,1,SUM(LARGE(IF($F45:$AQ45&lt;&gt;"",COLUMN($F45:$AQ45)),1)-5)),1)="x",SUM(LARGE(IF($F45:$AQ45&lt;&gt;"",$F$11:$AQ$11+"0:30:00"),1)-"0:15"),LARGE(IF($F45:$AQ45&lt;&gt;"",$F$11:$AQ$11+"0:30:00"),1)),"")</f>
        <v/>
      </c>
      <c r="F45" s="43" t="n"/>
      <c r="G45" s="42" t="n"/>
      <c r="H45" s="43" t="n"/>
      <c r="I45" s="42" t="n"/>
      <c r="J45" s="43" t="n"/>
      <c r="K45" s="41" t="n"/>
      <c r="L45" s="40" t="n"/>
      <c r="M45" s="42" t="n"/>
      <c r="N45" s="43" t="n"/>
      <c r="O45" s="41" t="n"/>
      <c r="P45" s="40" t="n"/>
      <c r="Q45" s="42" t="n"/>
      <c r="R45" s="43" t="n"/>
      <c r="S45" s="41" t="n"/>
      <c r="T45" s="40" t="n"/>
      <c r="U45" s="42" t="n"/>
      <c r="V45" s="43" t="n"/>
      <c r="W45" s="41" t="n"/>
      <c r="X45" s="40" t="n"/>
      <c r="Y45" s="42" t="n"/>
      <c r="Z45" s="43" t="n"/>
      <c r="AA45" s="41" t="n"/>
      <c r="AB45" s="40" t="n"/>
      <c r="AC45" s="42" t="n"/>
      <c r="AD45" s="43" t="n"/>
      <c r="AE45" s="41" t="n"/>
      <c r="AF45" s="40" t="n"/>
      <c r="AG45" s="42" t="n"/>
      <c r="AH45" s="43" t="n"/>
      <c r="AI45" s="41" t="n"/>
      <c r="AJ45" s="40" t="n"/>
      <c r="AK45" s="42" t="n"/>
      <c r="AL45" s="43" t="n"/>
      <c r="AM45" s="41" t="n"/>
      <c r="AN45" s="645" t="n"/>
      <c r="AO45" s="42" t="n"/>
      <c r="AP45" s="43" t="n"/>
      <c r="AQ45" s="42" t="n"/>
      <c r="AR45" s="888">
        <f>IFERROR(IF(VLOOKUP($B45,Medewerker!$C$8:$U$107,19,FALSE)="",VLOOKUP($B45,Medewerker!$C$8:$U$107,17,FALSE),0),0)</f>
        <v/>
      </c>
      <c r="AS45" s="888">
        <f>IFERROR(IF(B45="",1,IF(VLOOKUP($B45,Medewerker!$C$8:$U$107,19,FALSE)="",VLOOKUP($B45,Medewerker!$C$8:$U$107,18,FALSE),0)),0)</f>
        <v/>
      </c>
      <c r="AT45" s="45" t="n"/>
      <c r="AU45" s="46">
        <f>(COUNTIF(F45:AQ45,"afw"))/2</f>
        <v/>
      </c>
      <c r="AV45" s="111">
        <f>((38-(COUNTIF(F45:AQ45,"")))/2)-(COUNTIF(F45:AQ45,"p")/2)-(COUNTIF(F45:AQ45,CONCATENATE("x","*"))/4)</f>
        <v/>
      </c>
      <c r="AW45" s="73">
        <f>IF($B45="","",VLOOKUP($B45,Medewerker!$C$8:$E$107,3,FALSE))</f>
        <v/>
      </c>
      <c r="AX45" s="403">
        <f>IFERROR(VLOOKUP($B45,Planning!$B$6:$AG$105,32,FALSE)*24,"")</f>
        <v/>
      </c>
      <c r="AY45" s="558" t="inlineStr">
        <is>
          <t>pw</t>
        </is>
      </c>
      <c r="AZ45" s="71" t="inlineStr">
        <is>
          <t>Prijswijzigingen</t>
        </is>
      </c>
      <c r="BA45" s="111">
        <f>COUNTIF($F$13:$AQ$63,CONCATENATE(AY45,"*"))/2+COUNTIF($F$13:$AQ$63,CONCATENATE("x",AY45,"*"))/4</f>
        <v/>
      </c>
      <c r="BB45" s="838" t="n"/>
      <c r="BC45" s="31">
        <f>IF(Planning!B38="","",Planning!B38)</f>
        <v/>
      </c>
      <c r="BD45" s="105" t="n"/>
      <c r="BE45" s="885">
        <f>Planning!E38</f>
        <v/>
      </c>
      <c r="BF45" s="885">
        <f>Planning!F38</f>
        <v/>
      </c>
      <c r="BG45" s="886" t="n"/>
      <c r="BH45" s="105" t="n"/>
      <c r="BI45" s="885">
        <f>Planning!I38</f>
        <v/>
      </c>
      <c r="BJ45" s="885">
        <f>Planning!J38</f>
        <v/>
      </c>
      <c r="BK45" s="886" t="n"/>
      <c r="BL45" s="105" t="n"/>
      <c r="BM45" s="885">
        <f>Planning!M38</f>
        <v/>
      </c>
      <c r="BN45" s="885">
        <f>Planning!N38</f>
        <v/>
      </c>
      <c r="BO45" s="886" t="n"/>
      <c r="BP45" s="105" t="n"/>
      <c r="BQ45" s="885">
        <f>Planning!Q38</f>
        <v/>
      </c>
      <c r="BR45" s="885">
        <f>Planning!R38</f>
        <v/>
      </c>
      <c r="BS45" s="886" t="n"/>
      <c r="BT45" s="105" t="n"/>
      <c r="BU45" s="885">
        <f>Planning!U38</f>
        <v/>
      </c>
      <c r="BV45" s="885">
        <f>Planning!V38</f>
        <v/>
      </c>
      <c r="BW45" s="886" t="n"/>
      <c r="BX45" s="105" t="n"/>
      <c r="BY45" s="885">
        <f>Planning!Y38</f>
        <v/>
      </c>
      <c r="BZ45" s="885">
        <f>Planning!Z38</f>
        <v/>
      </c>
      <c r="CA45" s="886" t="n"/>
      <c r="CB45" s="105" t="n"/>
      <c r="CC45" s="885">
        <f>Planning!AC38</f>
        <v/>
      </c>
      <c r="CD45" s="885">
        <f>Planning!AD38</f>
        <v/>
      </c>
      <c r="CE45" s="886" t="n"/>
      <c r="CF45" s="105" t="n"/>
      <c r="CG45" s="887">
        <f>Planning!AG38</f>
        <v/>
      </c>
      <c r="CH45" s="105" t="n"/>
      <c r="CI45" s="252">
        <f>IF(BC45="","",Planning!AI38)</f>
        <v/>
      </c>
      <c r="CJ45" s="252">
        <f>IF(BC45="","",Planning!AJ38)</f>
        <v/>
      </c>
      <c r="CK45" s="252">
        <f>IF(BC45="","",Planning!AK38)</f>
        <v/>
      </c>
      <c r="CL45" s="252">
        <f>IF(BC45="","",Planning!AH38)</f>
        <v/>
      </c>
      <c r="CM45" s="21" t="n"/>
    </row>
    <row r="46" ht="12.75" customHeight="1">
      <c r="A46" s="161">
        <f>IFERROR(IF(VLOOKUP($B46,$BC$13:$CL$86,36,FALSE)&gt;5,0,IF(COUNTIF($B$13:$B$63,$B46)&gt;1,0,34)),34)+IF(B46&lt;&gt;0,0,IF(AV46&gt;0,0.000001,0))</f>
        <v/>
      </c>
      <c r="B46" s="129" t="n"/>
      <c r="C46" s="48">
        <f>IFERROR(IF($B46="","",VLOOKUP($B46,Medewerker!$C$8:$AI$107,33,FALSE)),"?")</f>
        <v/>
      </c>
      <c r="D46" s="879">
        <f t="array" ref="D46">IFERROR(IF(LEFT(INDEX($F46:$AQ46,1,SUM(SMALL(IF($F46:$AQ46&lt;&gt;"",COLUMN($F46:$AQ46)),1)-5)),1)="x",SUM(SMALL(IF($F46:$AQ46&lt;&gt;"",$F$11:$AQ$11),1)+"0:15"),SMALL(IF($F46:$AQ46&lt;&gt;"",$F$11:$AQ$11),1)),"")</f>
        <v/>
      </c>
      <c r="E46" s="879">
        <f t="array" ref="E46">IFERROR(IF(LEFT(INDEX($F46:$AQ46,1,SUM(LARGE(IF($F46:$AQ46&lt;&gt;"",COLUMN($F46:$AQ46)),1)-5)),1)="x",SUM(LARGE(IF($F46:$AQ46&lt;&gt;"",$F$11:$AQ$11+"0:30:00"),1)-"0:15"),LARGE(IF($F46:$AQ46&lt;&gt;"",$F$11:$AQ$11+"0:30:00"),1)),"")</f>
        <v/>
      </c>
      <c r="F46" s="43" t="n"/>
      <c r="G46" s="42" t="n"/>
      <c r="H46" s="43" t="n"/>
      <c r="I46" s="42" t="n"/>
      <c r="J46" s="43" t="n"/>
      <c r="K46" s="41" t="n"/>
      <c r="L46" s="40" t="n"/>
      <c r="M46" s="42" t="n"/>
      <c r="N46" s="43" t="n"/>
      <c r="O46" s="41" t="n"/>
      <c r="P46" s="40" t="n"/>
      <c r="Q46" s="42" t="n"/>
      <c r="R46" s="43" t="n"/>
      <c r="S46" s="41" t="n"/>
      <c r="T46" s="40" t="n"/>
      <c r="U46" s="42" t="n"/>
      <c r="V46" s="43" t="n"/>
      <c r="W46" s="41" t="n"/>
      <c r="X46" s="40" t="n"/>
      <c r="Y46" s="42" t="n"/>
      <c r="Z46" s="43" t="n"/>
      <c r="AA46" s="41" t="n"/>
      <c r="AB46" s="40" t="n"/>
      <c r="AC46" s="42" t="n"/>
      <c r="AD46" s="43" t="n"/>
      <c r="AE46" s="41" t="n"/>
      <c r="AF46" s="40" t="n"/>
      <c r="AG46" s="42" t="n"/>
      <c r="AH46" s="43" t="n"/>
      <c r="AI46" s="41" t="n"/>
      <c r="AJ46" s="40" t="n"/>
      <c r="AK46" s="42" t="n"/>
      <c r="AL46" s="43" t="n"/>
      <c r="AM46" s="41" t="n"/>
      <c r="AN46" s="645" t="n"/>
      <c r="AO46" s="42" t="n"/>
      <c r="AP46" s="43" t="n"/>
      <c r="AQ46" s="42" t="n"/>
      <c r="AR46" s="888">
        <f>IFERROR(IF(VLOOKUP($B46,Medewerker!$C$8:$U$107,19,FALSE)="",VLOOKUP($B46,Medewerker!$C$8:$U$107,17,FALSE),0),0)</f>
        <v/>
      </c>
      <c r="AS46" s="888">
        <f>IFERROR(IF(B46="",1,IF(VLOOKUP($B46,Medewerker!$C$8:$U$107,19,FALSE)="",VLOOKUP($B46,Medewerker!$C$8:$U$107,18,FALSE),0)),0)</f>
        <v/>
      </c>
      <c r="AT46" s="45" t="n"/>
      <c r="AU46" s="46">
        <f>(COUNTIF(F46:AQ46,"afw"))/2</f>
        <v/>
      </c>
      <c r="AV46" s="111">
        <f>((38-(COUNTIF(F46:AQ46,"")))/2)-(COUNTIF(F46:AQ46,"p")/2)-(COUNTIF(F46:AQ46,CONCATENATE("x","*"))/4)</f>
        <v/>
      </c>
      <c r="AW46" s="73">
        <f>IF($B46="","",VLOOKUP($B46,Medewerker!$C$8:$E$107,3,FALSE))</f>
        <v/>
      </c>
      <c r="AX46" s="403">
        <f>IFERROR(VLOOKUP($B46,Planning!$B$6:$AG$105,32,FALSE)*24,"")</f>
        <v/>
      </c>
      <c r="AY46" s="558" t="inlineStr">
        <is>
          <t>wap</t>
        </is>
      </c>
      <c r="AZ46" s="71" t="inlineStr">
        <is>
          <t>WAP uitvoeren</t>
        </is>
      </c>
      <c r="BA46" s="111">
        <f>COUNTIF($F$13:$AQ$63,CONCATENATE(AY46,"*"))/2+COUNTIF($F$13:$AQ$63,CONCATENATE("x",AY46,"*"))/4</f>
        <v/>
      </c>
      <c r="BB46" s="838" t="n"/>
      <c r="BC46" s="31">
        <f>IF(Planning!B39="","",Planning!B39)</f>
        <v/>
      </c>
      <c r="BD46" s="105" t="n"/>
      <c r="BE46" s="885">
        <f>Planning!E39</f>
        <v/>
      </c>
      <c r="BF46" s="885">
        <f>Planning!F39</f>
        <v/>
      </c>
      <c r="BG46" s="886" t="n"/>
      <c r="BH46" s="105" t="n"/>
      <c r="BI46" s="885">
        <f>Planning!I39</f>
        <v/>
      </c>
      <c r="BJ46" s="885">
        <f>Planning!J39</f>
        <v/>
      </c>
      <c r="BK46" s="886" t="n"/>
      <c r="BL46" s="105" t="n"/>
      <c r="BM46" s="885">
        <f>Planning!M39</f>
        <v/>
      </c>
      <c r="BN46" s="885">
        <f>Planning!N39</f>
        <v/>
      </c>
      <c r="BO46" s="886" t="n"/>
      <c r="BP46" s="105" t="n"/>
      <c r="BQ46" s="885">
        <f>Planning!Q39</f>
        <v/>
      </c>
      <c r="BR46" s="885">
        <f>Planning!R39</f>
        <v/>
      </c>
      <c r="BS46" s="886" t="n"/>
      <c r="BT46" s="105" t="n"/>
      <c r="BU46" s="885">
        <f>Planning!U39</f>
        <v/>
      </c>
      <c r="BV46" s="885">
        <f>Planning!V39</f>
        <v/>
      </c>
      <c r="BW46" s="886" t="n"/>
      <c r="BX46" s="105" t="n"/>
      <c r="BY46" s="885">
        <f>Planning!Y39</f>
        <v/>
      </c>
      <c r="BZ46" s="885">
        <f>Planning!Z39</f>
        <v/>
      </c>
      <c r="CA46" s="886" t="n"/>
      <c r="CB46" s="105" t="n"/>
      <c r="CC46" s="885">
        <f>Planning!AC39</f>
        <v/>
      </c>
      <c r="CD46" s="885">
        <f>Planning!AD39</f>
        <v/>
      </c>
      <c r="CE46" s="886" t="n"/>
      <c r="CF46" s="105" t="n"/>
      <c r="CG46" s="887">
        <f>Planning!AG39</f>
        <v/>
      </c>
      <c r="CH46" s="105" t="n"/>
      <c r="CI46" s="252">
        <f>IF(BC46="","",Planning!AI39)</f>
        <v/>
      </c>
      <c r="CJ46" s="252">
        <f>IF(BC46="","",Planning!AJ39)</f>
        <v/>
      </c>
      <c r="CK46" s="252">
        <f>IF(BC46="","",Planning!AK39)</f>
        <v/>
      </c>
      <c r="CL46" s="252">
        <f>IF(BC46="","",Planning!AH39)</f>
        <v/>
      </c>
      <c r="CM46" s="21" t="n"/>
    </row>
    <row r="47" ht="12.75" customHeight="1">
      <c r="A47" s="161">
        <f>IFERROR(IF(VLOOKUP($B47,$BC$13:$CL$86,36,FALSE)&gt;5,0,IF(COUNTIF($B$13:$B$63,$B47)&gt;1,0,35)),35)+IF(B47&lt;&gt;0,0,IF(AV47&gt;0,0.000001,0))</f>
        <v/>
      </c>
      <c r="B47" s="129" t="n"/>
      <c r="C47" s="48">
        <f>IFERROR(IF($B47="","",VLOOKUP($B47,Medewerker!$C$8:$AI$107,33,FALSE)),"?")</f>
        <v/>
      </c>
      <c r="D47" s="879">
        <f t="array" ref="D47">IFERROR(IF(LEFT(INDEX($F47:$AQ47,1,SUM(SMALL(IF($F47:$AQ47&lt;&gt;"",COLUMN($F47:$AQ47)),1)-5)),1)="x",SUM(SMALL(IF($F47:$AQ47&lt;&gt;"",$F$11:$AQ$11),1)+"0:15"),SMALL(IF($F47:$AQ47&lt;&gt;"",$F$11:$AQ$11),1)),"")</f>
        <v/>
      </c>
      <c r="E47" s="879">
        <f t="array" ref="E47">IFERROR(IF(LEFT(INDEX($F47:$AQ47,1,SUM(LARGE(IF($F47:$AQ47&lt;&gt;"",COLUMN($F47:$AQ47)),1)-5)),1)="x",SUM(LARGE(IF($F47:$AQ47&lt;&gt;"",$F$11:$AQ$11+"0:30:00"),1)-"0:15"),LARGE(IF($F47:$AQ47&lt;&gt;"",$F$11:$AQ$11+"0:30:00"),1)),"")</f>
        <v/>
      </c>
      <c r="F47" s="43" t="n"/>
      <c r="G47" s="42" t="n"/>
      <c r="H47" s="43" t="n"/>
      <c r="I47" s="42" t="n"/>
      <c r="J47" s="43" t="n"/>
      <c r="K47" s="41" t="n"/>
      <c r="L47" s="40" t="n"/>
      <c r="M47" s="42" t="n"/>
      <c r="N47" s="43" t="n"/>
      <c r="O47" s="41" t="n"/>
      <c r="P47" s="40" t="n"/>
      <c r="Q47" s="42" t="n"/>
      <c r="R47" s="43" t="n"/>
      <c r="S47" s="41" t="n"/>
      <c r="T47" s="40" t="n"/>
      <c r="U47" s="42" t="n"/>
      <c r="V47" s="43" t="n"/>
      <c r="W47" s="41" t="n"/>
      <c r="X47" s="40" t="n"/>
      <c r="Y47" s="42" t="n"/>
      <c r="Z47" s="43" t="n"/>
      <c r="AA47" s="41" t="n"/>
      <c r="AB47" s="40" t="n"/>
      <c r="AC47" s="42" t="n"/>
      <c r="AD47" s="43" t="n"/>
      <c r="AE47" s="41" t="n"/>
      <c r="AF47" s="40" t="n"/>
      <c r="AG47" s="42" t="n"/>
      <c r="AH47" s="43" t="n"/>
      <c r="AI47" s="41" t="n"/>
      <c r="AJ47" s="40" t="n"/>
      <c r="AK47" s="42" t="n"/>
      <c r="AL47" s="43" t="n"/>
      <c r="AM47" s="41" t="n"/>
      <c r="AN47" s="645" t="n"/>
      <c r="AO47" s="42" t="n"/>
      <c r="AP47" s="43" t="n"/>
      <c r="AQ47" s="42" t="n"/>
      <c r="AR47" s="888">
        <f>IFERROR(IF(VLOOKUP($B47,Medewerker!$C$8:$U$107,19,FALSE)="",VLOOKUP($B47,Medewerker!$C$8:$U$107,17,FALSE),0),0)</f>
        <v/>
      </c>
      <c r="AS47" s="888">
        <f>IFERROR(IF(B47="",1,IF(VLOOKUP($B47,Medewerker!$C$8:$U$107,19,FALSE)="",VLOOKUP($B47,Medewerker!$C$8:$U$107,18,FALSE),0)),0)</f>
        <v/>
      </c>
      <c r="AT47" s="45" t="n"/>
      <c r="AU47" s="46">
        <f>(COUNTIF(F47:AQ47,"afw"))/2</f>
        <v/>
      </c>
      <c r="AV47" s="111">
        <f>((38-(COUNTIF(F47:AQ47,"")))/2)-(COUNTIF(F47:AQ47,"p")/2)-(COUNTIF(F47:AQ47,CONCATENATE("x","*"))/4)</f>
        <v/>
      </c>
      <c r="AW47" s="73">
        <f>IF($B47="","",VLOOKUP($B47,Medewerker!$C$8:$E$107,3,FALSE))</f>
        <v/>
      </c>
      <c r="AX47" s="403">
        <f>IFERROR(VLOOKUP($B47,Planning!$B$6:$AG$105,32,FALSE)*24,"")</f>
        <v/>
      </c>
      <c r="AY47" s="891" t="inlineStr">
        <is>
          <t>Overig</t>
        </is>
      </c>
      <c r="AZ47" s="883" t="n"/>
      <c r="BA47" s="884" t="n"/>
      <c r="BB47" s="838" t="n"/>
      <c r="BC47" s="31">
        <f>IF(Planning!B40="","",Planning!B40)</f>
        <v/>
      </c>
      <c r="BD47" s="105" t="n"/>
      <c r="BE47" s="885">
        <f>Planning!E40</f>
        <v/>
      </c>
      <c r="BF47" s="885">
        <f>Planning!F40</f>
        <v/>
      </c>
      <c r="BG47" s="886" t="n"/>
      <c r="BH47" s="105" t="n"/>
      <c r="BI47" s="885">
        <f>Planning!I40</f>
        <v/>
      </c>
      <c r="BJ47" s="885">
        <f>Planning!J40</f>
        <v/>
      </c>
      <c r="BK47" s="886" t="n"/>
      <c r="BL47" s="105" t="n"/>
      <c r="BM47" s="885">
        <f>Planning!M40</f>
        <v/>
      </c>
      <c r="BN47" s="885">
        <f>Planning!N40</f>
        <v/>
      </c>
      <c r="BO47" s="886" t="n"/>
      <c r="BP47" s="105" t="n"/>
      <c r="BQ47" s="885">
        <f>Planning!Q40</f>
        <v/>
      </c>
      <c r="BR47" s="885">
        <f>Planning!R40</f>
        <v/>
      </c>
      <c r="BS47" s="886" t="n"/>
      <c r="BT47" s="105" t="n"/>
      <c r="BU47" s="885">
        <f>Planning!U40</f>
        <v/>
      </c>
      <c r="BV47" s="885">
        <f>Planning!V40</f>
        <v/>
      </c>
      <c r="BW47" s="886" t="n"/>
      <c r="BX47" s="105" t="n"/>
      <c r="BY47" s="885">
        <f>Planning!Y40</f>
        <v/>
      </c>
      <c r="BZ47" s="885">
        <f>Planning!Z40</f>
        <v/>
      </c>
      <c r="CA47" s="886" t="n"/>
      <c r="CB47" s="105" t="n"/>
      <c r="CC47" s="885">
        <f>Planning!AC40</f>
        <v/>
      </c>
      <c r="CD47" s="885">
        <f>Planning!AD40</f>
        <v/>
      </c>
      <c r="CE47" s="886" t="n"/>
      <c r="CF47" s="105" t="n"/>
      <c r="CG47" s="887">
        <f>Planning!AG40</f>
        <v/>
      </c>
      <c r="CH47" s="105" t="n"/>
      <c r="CI47" s="252">
        <f>IF(BC47="","",Planning!AI40)</f>
        <v/>
      </c>
      <c r="CJ47" s="252">
        <f>IF(BC47="","",Planning!AJ40)</f>
        <v/>
      </c>
      <c r="CK47" s="252">
        <f>IF(BC47="","",Planning!AK40)</f>
        <v/>
      </c>
      <c r="CL47" s="252">
        <f>IF(BC47="","",Planning!AH40)</f>
        <v/>
      </c>
      <c r="CM47" s="21" t="n"/>
    </row>
    <row r="48" ht="12.75" customHeight="1">
      <c r="A48" s="161">
        <f>IFERROR(IF(VLOOKUP($B48,$BC$13:$CL$86,36,FALSE)&gt;5,0,IF(COUNTIF($B$13:$B$63,$B48)&gt;1,0,36)),36)+IF(B48&lt;&gt;0,0,IF(AV48&gt;0,0.000001,0))</f>
        <v/>
      </c>
      <c r="B48" s="129" t="n"/>
      <c r="C48" s="48">
        <f>IFERROR(IF($B48="","",VLOOKUP($B48,Medewerker!$C$8:$AI$107,33,FALSE)),"?")</f>
        <v/>
      </c>
      <c r="D48" s="879">
        <f t="array" ref="D48">IFERROR(IF(LEFT(INDEX($F48:$AQ48,1,SUM(SMALL(IF($F48:$AQ48&lt;&gt;"",COLUMN($F48:$AQ48)),1)-5)),1)="x",SUM(SMALL(IF($F48:$AQ48&lt;&gt;"",$F$11:$AQ$11),1)+"0:15"),SMALL(IF($F48:$AQ48&lt;&gt;"",$F$11:$AQ$11),1)),"")</f>
        <v/>
      </c>
      <c r="E48" s="879">
        <f t="array" ref="E48">IFERROR(IF(LEFT(INDEX($F48:$AQ48,1,SUM(LARGE(IF($F48:$AQ48&lt;&gt;"",COLUMN($F48:$AQ48)),1)-5)),1)="x",SUM(LARGE(IF($F48:$AQ48&lt;&gt;"",$F$11:$AQ$11+"0:30:00"),1)-"0:15"),LARGE(IF($F48:$AQ48&lt;&gt;"",$F$11:$AQ$11+"0:30:00"),1)),"")</f>
        <v/>
      </c>
      <c r="F48" s="43" t="n"/>
      <c r="G48" s="42" t="n"/>
      <c r="H48" s="43" t="n"/>
      <c r="I48" s="42" t="n"/>
      <c r="J48" s="43" t="n"/>
      <c r="K48" s="42" t="n"/>
      <c r="L48" s="43" t="n"/>
      <c r="M48" s="42" t="n"/>
      <c r="N48" s="43" t="n"/>
      <c r="O48" s="42" t="n"/>
      <c r="P48" s="43" t="n"/>
      <c r="Q48" s="42" t="n"/>
      <c r="R48" s="43" t="n"/>
      <c r="S48" s="42" t="n"/>
      <c r="T48" s="43" t="n"/>
      <c r="U48" s="42" t="n"/>
      <c r="V48" s="43" t="n"/>
      <c r="W48" s="42" t="n"/>
      <c r="X48" s="43" t="n"/>
      <c r="Y48" s="42" t="n"/>
      <c r="Z48" s="43" t="n"/>
      <c r="AA48" s="42" t="n"/>
      <c r="AB48" s="43" t="n"/>
      <c r="AC48" s="42" t="n"/>
      <c r="AD48" s="43" t="n"/>
      <c r="AE48" s="42" t="n"/>
      <c r="AF48" s="43" t="n"/>
      <c r="AG48" s="42" t="n"/>
      <c r="AH48" s="43" t="n"/>
      <c r="AI48" s="42" t="n"/>
      <c r="AJ48" s="43" t="n"/>
      <c r="AK48" s="42" t="n"/>
      <c r="AL48" s="43" t="n"/>
      <c r="AM48" s="42" t="n"/>
      <c r="AN48" s="43" t="n"/>
      <c r="AO48" s="42" t="n"/>
      <c r="AP48" s="43" t="n"/>
      <c r="AQ48" s="42" t="n"/>
      <c r="AR48" s="888">
        <f>IFERROR(IF(VLOOKUP($B48,Medewerker!$C$8:$U$107,19,FALSE)="",VLOOKUP($B48,Medewerker!$C$8:$U$107,17,FALSE),0),0)</f>
        <v/>
      </c>
      <c r="AS48" s="888">
        <f>IFERROR(IF(B48="",1,IF(VLOOKUP($B48,Medewerker!$C$8:$U$107,19,FALSE)="",VLOOKUP($B48,Medewerker!$C$8:$U$107,18,FALSE),0)),0)</f>
        <v/>
      </c>
      <c r="AT48" s="45" t="n"/>
      <c r="AU48" s="46">
        <f>(COUNTIF(F48:AQ48,"afw"))/2</f>
        <v/>
      </c>
      <c r="AV48" s="111">
        <f>((38-(COUNTIF(F48:AQ48,"")))/2)-(COUNTIF(F48:AQ48,"p")/2)-(COUNTIF(F48:AQ48,CONCATENATE("x","*"))/4)</f>
        <v/>
      </c>
      <c r="AW48" s="73">
        <f>IF($B48="","",VLOOKUP($B48,Medewerker!$C$8:$E$107,3,FALSE))</f>
        <v/>
      </c>
      <c r="AX48" s="403">
        <f>IFERROR(VLOOKUP($B48,Planning!$B$6:$AG$105,32,FALSE)*24,"")</f>
        <v/>
      </c>
      <c r="AY48" s="837" t="inlineStr">
        <is>
          <t>km</t>
        </is>
      </c>
      <c r="AZ48" s="414" t="inlineStr">
        <is>
          <t>Kwaliteitsmedewerker</t>
        </is>
      </c>
      <c r="BA48" s="111">
        <f>COUNTIF($F$13:$AQ$63,CONCATENATE(AY48,"*"))/2+COUNTIF($F$13:$AQ$63,CONCATENATE("x",AY48,"*"))/4</f>
        <v/>
      </c>
      <c r="BB48" s="838" t="n"/>
      <c r="BC48" s="31">
        <f>IF(Planning!B41="","",Planning!B41)</f>
        <v/>
      </c>
      <c r="BD48" s="105" t="n"/>
      <c r="BE48" s="885">
        <f>Planning!E41</f>
        <v/>
      </c>
      <c r="BF48" s="885">
        <f>Planning!F41</f>
        <v/>
      </c>
      <c r="BG48" s="886" t="n"/>
      <c r="BH48" s="105" t="n"/>
      <c r="BI48" s="885">
        <f>Planning!I41</f>
        <v/>
      </c>
      <c r="BJ48" s="885">
        <f>Planning!J41</f>
        <v/>
      </c>
      <c r="BK48" s="886" t="n"/>
      <c r="BL48" s="105" t="n"/>
      <c r="BM48" s="885">
        <f>Planning!M41</f>
        <v/>
      </c>
      <c r="BN48" s="885">
        <f>Planning!N41</f>
        <v/>
      </c>
      <c r="BO48" s="886" t="n"/>
      <c r="BP48" s="105" t="n"/>
      <c r="BQ48" s="885">
        <f>Planning!Q41</f>
        <v/>
      </c>
      <c r="BR48" s="885">
        <f>Planning!R41</f>
        <v/>
      </c>
      <c r="BS48" s="886" t="n"/>
      <c r="BT48" s="105" t="n"/>
      <c r="BU48" s="885">
        <f>Planning!U41</f>
        <v/>
      </c>
      <c r="BV48" s="885">
        <f>Planning!V41</f>
        <v/>
      </c>
      <c r="BW48" s="886" t="n"/>
      <c r="BX48" s="105" t="n"/>
      <c r="BY48" s="885">
        <f>Planning!Y41</f>
        <v/>
      </c>
      <c r="BZ48" s="885">
        <f>Planning!Z41</f>
        <v/>
      </c>
      <c r="CA48" s="886" t="n"/>
      <c r="CB48" s="105" t="n"/>
      <c r="CC48" s="885">
        <f>Planning!AC41</f>
        <v/>
      </c>
      <c r="CD48" s="885">
        <f>Planning!AD41</f>
        <v/>
      </c>
      <c r="CE48" s="886" t="n"/>
      <c r="CF48" s="105" t="n"/>
      <c r="CG48" s="887">
        <f>Planning!AG41</f>
        <v/>
      </c>
      <c r="CH48" s="105" t="n"/>
      <c r="CI48" s="252">
        <f>IF(BC48="","",Planning!AI41)</f>
        <v/>
      </c>
      <c r="CJ48" s="252">
        <f>IF(BC48="","",Planning!AJ41)</f>
        <v/>
      </c>
      <c r="CK48" s="252">
        <f>IF(BC48="","",Planning!AK41)</f>
        <v/>
      </c>
      <c r="CL48" s="252">
        <f>IF(BC48="","",Planning!AH41)</f>
        <v/>
      </c>
      <c r="CM48" s="21" t="n"/>
    </row>
    <row r="49" ht="12.75" customHeight="1">
      <c r="A49" s="161">
        <f>IFERROR(IF(VLOOKUP($B49,$BC$13:$CL$86,36,FALSE)&gt;5,0,IF(COUNTIF($B$13:$B$63,$B49)&gt;1,0,37)),37)+IF(B49&lt;&gt;0,0,IF(AV49&gt;0,0.000001,0))</f>
        <v/>
      </c>
      <c r="B49" s="129" t="n"/>
      <c r="C49" s="48">
        <f>IFERROR(IF($B49="","",VLOOKUP($B49,Medewerker!$C$8:$AI$107,33,FALSE)),"?")</f>
        <v/>
      </c>
      <c r="D49" s="879">
        <f t="array" ref="D49">IFERROR(IF(LEFT(INDEX($F49:$AQ49,1,SUM(SMALL(IF($F49:$AQ49&lt;&gt;"",COLUMN($F49:$AQ49)),1)-5)),1)="x",SUM(SMALL(IF($F49:$AQ49&lt;&gt;"",$F$11:$AQ$11),1)+"0:15"),SMALL(IF($F49:$AQ49&lt;&gt;"",$F$11:$AQ$11),1)),"")</f>
        <v/>
      </c>
      <c r="E49" s="879">
        <f t="array" ref="E49">IFERROR(IF(LEFT(INDEX($F49:$AQ49,1,SUM(LARGE(IF($F49:$AQ49&lt;&gt;"",COLUMN($F49:$AQ49)),1)-5)),1)="x",SUM(LARGE(IF($F49:$AQ49&lt;&gt;"",$F$11:$AQ$11+"0:30:00"),1)-"0:15"),LARGE(IF($F49:$AQ49&lt;&gt;"",$F$11:$AQ$11+"0:30:00"),1)),"")</f>
        <v/>
      </c>
      <c r="F49" s="43" t="n"/>
      <c r="G49" s="42" t="n"/>
      <c r="H49" s="43" t="n"/>
      <c r="I49" s="42" t="n"/>
      <c r="J49" s="43" t="n"/>
      <c r="K49" s="42" t="n"/>
      <c r="L49" s="43" t="n"/>
      <c r="M49" s="42" t="n"/>
      <c r="N49" s="43" t="n"/>
      <c r="O49" s="42" t="n"/>
      <c r="P49" s="43" t="n"/>
      <c r="Q49" s="42" t="n"/>
      <c r="R49" s="43" t="n"/>
      <c r="S49" s="42" t="n"/>
      <c r="T49" s="43" t="n"/>
      <c r="U49" s="42" t="n"/>
      <c r="V49" s="43" t="n"/>
      <c r="W49" s="42" t="n"/>
      <c r="X49" s="43" t="n"/>
      <c r="Y49" s="42" t="n"/>
      <c r="Z49" s="43" t="n"/>
      <c r="AA49" s="42" t="n"/>
      <c r="AB49" s="43" t="n"/>
      <c r="AC49" s="42" t="n"/>
      <c r="AD49" s="43" t="n"/>
      <c r="AE49" s="42" t="n"/>
      <c r="AF49" s="43" t="n"/>
      <c r="AG49" s="42" t="n"/>
      <c r="AH49" s="43" t="n"/>
      <c r="AI49" s="42" t="n"/>
      <c r="AJ49" s="43" t="n"/>
      <c r="AK49" s="42" t="n"/>
      <c r="AL49" s="43" t="n"/>
      <c r="AM49" s="42" t="n"/>
      <c r="AN49" s="43" t="n"/>
      <c r="AO49" s="42" t="n"/>
      <c r="AP49" s="43" t="n"/>
      <c r="AQ49" s="42" t="n"/>
      <c r="AR49" s="888">
        <f>IFERROR(IF(VLOOKUP($B49,Medewerker!$C$8:$U$107,19,FALSE)="",VLOOKUP($B49,Medewerker!$C$8:$U$107,17,FALSE),0),0)</f>
        <v/>
      </c>
      <c r="AS49" s="888">
        <f>IFERROR(IF(B49="",1,IF(VLOOKUP($B49,Medewerker!$C$8:$U$107,19,FALSE)="",VLOOKUP($B49,Medewerker!$C$8:$U$107,18,FALSE),0)),0)</f>
        <v/>
      </c>
      <c r="AT49" s="45" t="n"/>
      <c r="AU49" s="46">
        <f>(COUNTIF(F49:AQ49,"afw"))/2</f>
        <v/>
      </c>
      <c r="AV49" s="111">
        <f>((38-(COUNTIF(F49:AQ49,"")))/2)-(COUNTIF(F49:AQ49,"p")/2)-(COUNTIF(F49:AQ49,CONCATENATE("x","*"))/4)</f>
        <v/>
      </c>
      <c r="AW49" s="73">
        <f>IF($B49="","",VLOOKUP($B49,Medewerker!$C$8:$E$107,3,FALSE))</f>
        <v/>
      </c>
      <c r="AX49" s="403">
        <f>IFERROR(VLOOKUP($B49,Planning!$B$6:$AG$105,32,FALSE)*24,"")</f>
        <v/>
      </c>
      <c r="AY49" s="837" t="inlineStr">
        <is>
          <t>mt</t>
        </is>
      </c>
      <c r="AZ49" s="413" t="inlineStr">
        <is>
          <t>MT of CKW-overleg</t>
        </is>
      </c>
      <c r="BA49" s="111">
        <f>COUNTIF($F$13:$AQ$63,CONCATENATE(AY49,"*"))/2+COUNTIF($F$13:$AQ$63,CONCATENATE("x",AY49,"*"))/4</f>
        <v/>
      </c>
      <c r="BB49" s="838" t="n"/>
      <c r="BC49" s="31">
        <f>IF(Planning!B42="","",Planning!B42)</f>
        <v/>
      </c>
      <c r="BD49" s="105" t="n"/>
      <c r="BE49" s="885">
        <f>Planning!E42</f>
        <v/>
      </c>
      <c r="BF49" s="885">
        <f>Planning!F42</f>
        <v/>
      </c>
      <c r="BG49" s="886" t="n"/>
      <c r="BH49" s="105" t="n"/>
      <c r="BI49" s="885">
        <f>Planning!I42</f>
        <v/>
      </c>
      <c r="BJ49" s="885">
        <f>Planning!J42</f>
        <v/>
      </c>
      <c r="BK49" s="886" t="n"/>
      <c r="BL49" s="105" t="n"/>
      <c r="BM49" s="885">
        <f>Planning!M42</f>
        <v/>
      </c>
      <c r="BN49" s="885">
        <f>Planning!N42</f>
        <v/>
      </c>
      <c r="BO49" s="886" t="n"/>
      <c r="BP49" s="105" t="n"/>
      <c r="BQ49" s="885">
        <f>Planning!Q42</f>
        <v/>
      </c>
      <c r="BR49" s="885">
        <f>Planning!R42</f>
        <v/>
      </c>
      <c r="BS49" s="886" t="n"/>
      <c r="BT49" s="105" t="n"/>
      <c r="BU49" s="885">
        <f>Planning!U42</f>
        <v/>
      </c>
      <c r="BV49" s="885">
        <f>Planning!V42</f>
        <v/>
      </c>
      <c r="BW49" s="886" t="n"/>
      <c r="BX49" s="105" t="n"/>
      <c r="BY49" s="885">
        <f>Planning!Y42</f>
        <v/>
      </c>
      <c r="BZ49" s="885">
        <f>Planning!Z42</f>
        <v/>
      </c>
      <c r="CA49" s="886" t="n"/>
      <c r="CB49" s="105" t="n"/>
      <c r="CC49" s="885">
        <f>Planning!AC42</f>
        <v/>
      </c>
      <c r="CD49" s="885">
        <f>Planning!AD42</f>
        <v/>
      </c>
      <c r="CE49" s="886" t="n"/>
      <c r="CF49" s="105" t="n"/>
      <c r="CG49" s="887">
        <f>Planning!AG42</f>
        <v/>
      </c>
      <c r="CH49" s="105" t="n"/>
      <c r="CI49" s="252">
        <f>IF(BC49="","",Planning!AI42)</f>
        <v/>
      </c>
      <c r="CJ49" s="252">
        <f>IF(BC49="","",Planning!AJ42)</f>
        <v/>
      </c>
      <c r="CK49" s="252">
        <f>IF(BC49="","",Planning!AK42)</f>
        <v/>
      </c>
      <c r="CL49" s="252">
        <f>IF(BC49="","",Planning!AH42)</f>
        <v/>
      </c>
      <c r="CM49" s="21" t="n"/>
    </row>
    <row r="50" ht="12.75" customHeight="1">
      <c r="A50" s="161">
        <f>IFERROR(IF(VLOOKUP($B50,$BC$13:$CL$86,36,FALSE)&gt;5,0,IF(COUNTIF($B$13:$B$63,$B50)&gt;1,0,38)),38)+IF(B50&lt;&gt;0,0,IF(AV50&gt;0,0.000001,0))</f>
        <v/>
      </c>
      <c r="B50" s="129" t="n"/>
      <c r="C50" s="48">
        <f>IFERROR(IF($B50="","",VLOOKUP($B50,Medewerker!$C$8:$AI$107,33,FALSE)),"?")</f>
        <v/>
      </c>
      <c r="D50" s="879">
        <f t="array" ref="D50">IFERROR(IF(LEFT(INDEX($F50:$AQ50,1,SUM(SMALL(IF($F50:$AQ50&lt;&gt;"",COLUMN($F50:$AQ50)),1)-5)),1)="x",SUM(SMALL(IF($F50:$AQ50&lt;&gt;"",$F$11:$AQ$11),1)+"0:15"),SMALL(IF($F50:$AQ50&lt;&gt;"",$F$11:$AQ$11),1)),"")</f>
        <v/>
      </c>
      <c r="E50" s="879">
        <f t="array" ref="E50">IFERROR(IF(LEFT(INDEX($F50:$AQ50,1,SUM(LARGE(IF($F50:$AQ50&lt;&gt;"",COLUMN($F50:$AQ50)),1)-5)),1)="x",SUM(LARGE(IF($F50:$AQ50&lt;&gt;"",$F$11:$AQ$11+"0:30:00"),1)-"0:15"),LARGE(IF($F50:$AQ50&lt;&gt;"",$F$11:$AQ$11+"0:30:00"),1)),"")</f>
        <v/>
      </c>
      <c r="F50" s="43" t="n"/>
      <c r="G50" s="42" t="n"/>
      <c r="H50" s="43" t="n"/>
      <c r="I50" s="42" t="n"/>
      <c r="J50" s="43" t="n"/>
      <c r="K50" s="42" t="n"/>
      <c r="L50" s="43" t="n"/>
      <c r="M50" s="42" t="n"/>
      <c r="N50" s="43" t="n"/>
      <c r="O50" s="42" t="n"/>
      <c r="P50" s="43" t="n"/>
      <c r="Q50" s="42" t="n"/>
      <c r="R50" s="43" t="n"/>
      <c r="S50" s="42" t="n"/>
      <c r="T50" s="43" t="n"/>
      <c r="U50" s="42" t="n"/>
      <c r="V50" s="43" t="n"/>
      <c r="W50" s="42" t="n"/>
      <c r="X50" s="43" t="n"/>
      <c r="Y50" s="42" t="n"/>
      <c r="Z50" s="43" t="n"/>
      <c r="AA50" s="42" t="n"/>
      <c r="AB50" s="43" t="n"/>
      <c r="AC50" s="42" t="n"/>
      <c r="AD50" s="43" t="n"/>
      <c r="AE50" s="42" t="n"/>
      <c r="AF50" s="43" t="n"/>
      <c r="AG50" s="42" t="n"/>
      <c r="AH50" s="43" t="n"/>
      <c r="AI50" s="42" t="n"/>
      <c r="AJ50" s="43" t="n"/>
      <c r="AK50" s="42" t="n"/>
      <c r="AL50" s="43" t="n"/>
      <c r="AM50" s="42" t="n"/>
      <c r="AN50" s="43" t="n"/>
      <c r="AO50" s="42" t="n"/>
      <c r="AP50" s="43" t="n"/>
      <c r="AQ50" s="42" t="n"/>
      <c r="AR50" s="888">
        <f>IFERROR(IF(VLOOKUP($B50,Medewerker!$C$8:$U$107,19,FALSE)="",VLOOKUP($B50,Medewerker!$C$8:$U$107,17,FALSE),0),0)</f>
        <v/>
      </c>
      <c r="AS50" s="888">
        <f>IFERROR(IF(B50="",1,IF(VLOOKUP($B50,Medewerker!$C$8:$U$107,19,FALSE)="",VLOOKUP($B50,Medewerker!$C$8:$U$107,18,FALSE),0)),0)</f>
        <v/>
      </c>
      <c r="AT50" s="45" t="n"/>
      <c r="AU50" s="46">
        <f>(COUNTIF(F50:AQ50,"afw"))/2</f>
        <v/>
      </c>
      <c r="AV50" s="111">
        <f>((38-(COUNTIF(F50:AQ50,"")))/2)-(COUNTIF(F50:AQ50,"p")/2)-(COUNTIF(F50:AQ50,CONCATENATE("x","*"))/4)</f>
        <v/>
      </c>
      <c r="AW50" s="73">
        <f>IF($B50="","",VLOOKUP($B50,Medewerker!$C$8:$E$107,3,FALSE))</f>
        <v/>
      </c>
      <c r="AX50" s="403">
        <f>IFERROR(VLOOKUP($B50,Planning!$B$6:$AG$105,32,FALSE)*24,"")</f>
        <v/>
      </c>
      <c r="AY50" s="837" t="inlineStr">
        <is>
          <t>ov</t>
        </is>
      </c>
      <c r="AZ50" s="71" t="inlineStr">
        <is>
          <t>Overig</t>
        </is>
      </c>
      <c r="BA50" s="111">
        <f>COUNTIF($F$13:$AQ$63,CONCATENATE(AY50,"*"))/2+COUNTIF($F$13:$AQ$63,CONCATENATE("x",AY50,"*"))/4</f>
        <v/>
      </c>
      <c r="BB50" s="838" t="n"/>
      <c r="BC50" s="31">
        <f>IF(Planning!B43="","",Planning!B43)</f>
        <v/>
      </c>
      <c r="BD50" s="105" t="n"/>
      <c r="BE50" s="885">
        <f>Planning!E43</f>
        <v/>
      </c>
      <c r="BF50" s="885">
        <f>Planning!F43</f>
        <v/>
      </c>
      <c r="BG50" s="886" t="n"/>
      <c r="BH50" s="105" t="n"/>
      <c r="BI50" s="885">
        <f>Planning!I43</f>
        <v/>
      </c>
      <c r="BJ50" s="885">
        <f>Planning!J43</f>
        <v/>
      </c>
      <c r="BK50" s="886" t="n"/>
      <c r="BL50" s="105" t="n"/>
      <c r="BM50" s="885">
        <f>Planning!M43</f>
        <v/>
      </c>
      <c r="BN50" s="885">
        <f>Planning!N43</f>
        <v/>
      </c>
      <c r="BO50" s="886" t="n"/>
      <c r="BP50" s="105" t="n"/>
      <c r="BQ50" s="885">
        <f>Planning!Q43</f>
        <v/>
      </c>
      <c r="BR50" s="885">
        <f>Planning!R43</f>
        <v/>
      </c>
      <c r="BS50" s="886" t="n"/>
      <c r="BT50" s="105" t="n"/>
      <c r="BU50" s="885">
        <f>Planning!U43</f>
        <v/>
      </c>
      <c r="BV50" s="885">
        <f>Planning!V43</f>
        <v/>
      </c>
      <c r="BW50" s="886" t="n"/>
      <c r="BX50" s="105" t="n"/>
      <c r="BY50" s="885">
        <f>Planning!Y43</f>
        <v/>
      </c>
      <c r="BZ50" s="885">
        <f>Planning!Z43</f>
        <v/>
      </c>
      <c r="CA50" s="886" t="n"/>
      <c r="CB50" s="105" t="n"/>
      <c r="CC50" s="885">
        <f>Planning!AC43</f>
        <v/>
      </c>
      <c r="CD50" s="885">
        <f>Planning!AD43</f>
        <v/>
      </c>
      <c r="CE50" s="886" t="n"/>
      <c r="CF50" s="105" t="n"/>
      <c r="CG50" s="887">
        <f>Planning!AG43</f>
        <v/>
      </c>
      <c r="CH50" s="105" t="n"/>
      <c r="CI50" s="252">
        <f>IF(BC50="","",Planning!AI43)</f>
        <v/>
      </c>
      <c r="CJ50" s="252">
        <f>IF(BC50="","",Planning!AJ43)</f>
        <v/>
      </c>
      <c r="CK50" s="252">
        <f>IF(BC50="","",Planning!AK43)</f>
        <v/>
      </c>
      <c r="CL50" s="252">
        <f>IF(BC50="","",Planning!AH43)</f>
        <v/>
      </c>
      <c r="CM50" s="21" t="n"/>
    </row>
    <row r="51" ht="12.75" customHeight="1">
      <c r="A51" s="161">
        <f>IFERROR(IF(VLOOKUP($B51,$BC$13:$CL$86,36,FALSE)&gt;5,0,IF(COUNTIF($B$13:$B$63,$B51)&gt;1,0,39)),39)+IF(B51&lt;&gt;0,0,IF(AV51&gt;0,0.000001,0))</f>
        <v/>
      </c>
      <c r="B51" s="129" t="n"/>
      <c r="C51" s="48">
        <f>IFERROR(IF($B51="","",VLOOKUP($B51,Medewerker!$C$8:$AI$107,33,FALSE)),"?")</f>
        <v/>
      </c>
      <c r="D51" s="879">
        <f t="array" ref="D51">IFERROR(IF(LEFT(INDEX($F51:$AQ51,1,SUM(SMALL(IF($F51:$AQ51&lt;&gt;"",COLUMN($F51:$AQ51)),1)-5)),1)="x",SUM(SMALL(IF($F51:$AQ51&lt;&gt;"",$F$11:$AQ$11),1)+"0:15"),SMALL(IF($F51:$AQ51&lt;&gt;"",$F$11:$AQ$11),1)),"")</f>
        <v/>
      </c>
      <c r="E51" s="879">
        <f t="array" ref="E51">IFERROR(IF(LEFT(INDEX($F51:$AQ51,1,SUM(LARGE(IF($F51:$AQ51&lt;&gt;"",COLUMN($F51:$AQ51)),1)-5)),1)="x",SUM(LARGE(IF($F51:$AQ51&lt;&gt;"",$F$11:$AQ$11+"0:30:00"),1)-"0:15"),LARGE(IF($F51:$AQ51&lt;&gt;"",$F$11:$AQ$11+"0:30:00"),1)),"")</f>
        <v/>
      </c>
      <c r="F51" s="43" t="n"/>
      <c r="G51" s="42" t="n"/>
      <c r="H51" s="43" t="n"/>
      <c r="I51" s="42" t="n"/>
      <c r="J51" s="43" t="n"/>
      <c r="K51" s="42" t="n"/>
      <c r="L51" s="43" t="n"/>
      <c r="M51" s="42" t="n"/>
      <c r="N51" s="43" t="n"/>
      <c r="O51" s="42" t="n"/>
      <c r="P51" s="43" t="n"/>
      <c r="Q51" s="42" t="n"/>
      <c r="R51" s="43" t="n"/>
      <c r="S51" s="42" t="n"/>
      <c r="T51" s="43" t="n"/>
      <c r="U51" s="42" t="n"/>
      <c r="V51" s="43" t="n"/>
      <c r="W51" s="42" t="n"/>
      <c r="X51" s="43" t="n"/>
      <c r="Y51" s="42" t="n"/>
      <c r="Z51" s="43" t="n"/>
      <c r="AA51" s="42" t="n"/>
      <c r="AB51" s="43" t="n"/>
      <c r="AC51" s="42" t="n"/>
      <c r="AD51" s="43" t="n"/>
      <c r="AE51" s="42" t="n"/>
      <c r="AF51" s="43" t="n"/>
      <c r="AG51" s="42" t="n"/>
      <c r="AH51" s="43" t="n"/>
      <c r="AI51" s="42" t="n"/>
      <c r="AJ51" s="43" t="n"/>
      <c r="AK51" s="42" t="n"/>
      <c r="AL51" s="43" t="n"/>
      <c r="AM51" s="42" t="n"/>
      <c r="AN51" s="43" t="n"/>
      <c r="AO51" s="42" t="n"/>
      <c r="AP51" s="43" t="n"/>
      <c r="AQ51" s="42" t="n"/>
      <c r="AR51" s="888">
        <f>IFERROR(IF(VLOOKUP($B51,Medewerker!$C$8:$U$107,19,FALSE)="",VLOOKUP($B51,Medewerker!$C$8:$U$107,17,FALSE),0),0)</f>
        <v/>
      </c>
      <c r="AS51" s="888">
        <f>IFERROR(IF(B51="",1,IF(VLOOKUP($B51,Medewerker!$C$8:$U$107,19,FALSE)="",VLOOKUP($B51,Medewerker!$C$8:$U$107,18,FALSE),0)),0)</f>
        <v/>
      </c>
      <c r="AT51" s="45" t="n"/>
      <c r="AU51" s="46">
        <f>(COUNTIF(F51:AQ51,"afw"))/2</f>
        <v/>
      </c>
      <c r="AV51" s="111">
        <f>((38-(COUNTIF(F51:AQ51,"")))/2)-(COUNTIF(F51:AQ51,"p")/2)-(COUNTIF(F51:AQ51,CONCATENATE("x","*"))/4)</f>
        <v/>
      </c>
      <c r="AW51" s="73">
        <f>IF($B51="","",VLOOKUP($B51,Medewerker!$C$8:$E$107,3,FALSE))</f>
        <v/>
      </c>
      <c r="AX51" s="403">
        <f>IFERROR(VLOOKUP($B51,Planning!$B$6:$AG$105,32,FALSE)*24,"")</f>
        <v/>
      </c>
      <c r="AY51" s="837" t="inlineStr">
        <is>
          <t>prt</t>
        </is>
      </c>
      <c r="AZ51" s="71" t="inlineStr">
        <is>
          <t>Protime</t>
        </is>
      </c>
      <c r="BA51" s="111">
        <f>COUNTIF($F$13:$AQ$63,CONCATENATE(AY51,"*"))/2+COUNTIF($F$13:$AQ$63,CONCATENATE("x",AY51,"*"))/4</f>
        <v/>
      </c>
      <c r="BB51" s="838" t="n"/>
      <c r="BC51" s="31">
        <f>IF(Planning!B44="","",Planning!B44)</f>
        <v/>
      </c>
      <c r="BD51" s="105" t="n"/>
      <c r="BE51" s="885">
        <f>Planning!E44</f>
        <v/>
      </c>
      <c r="BF51" s="885">
        <f>Planning!F44</f>
        <v/>
      </c>
      <c r="BG51" s="886" t="n"/>
      <c r="BH51" s="105" t="n"/>
      <c r="BI51" s="885">
        <f>Planning!I44</f>
        <v/>
      </c>
      <c r="BJ51" s="885">
        <f>Planning!J44</f>
        <v/>
      </c>
      <c r="BK51" s="886" t="n"/>
      <c r="BL51" s="105" t="n"/>
      <c r="BM51" s="885">
        <f>Planning!M44</f>
        <v/>
      </c>
      <c r="BN51" s="885">
        <f>Planning!N44</f>
        <v/>
      </c>
      <c r="BO51" s="886" t="n"/>
      <c r="BP51" s="105" t="n"/>
      <c r="BQ51" s="885">
        <f>Planning!Q44</f>
        <v/>
      </c>
      <c r="BR51" s="885">
        <f>Planning!R44</f>
        <v/>
      </c>
      <c r="BS51" s="886" t="n"/>
      <c r="BT51" s="105" t="n"/>
      <c r="BU51" s="885">
        <f>Planning!U44</f>
        <v/>
      </c>
      <c r="BV51" s="885">
        <f>Planning!V44</f>
        <v/>
      </c>
      <c r="BW51" s="886" t="n"/>
      <c r="BX51" s="105" t="n"/>
      <c r="BY51" s="885">
        <f>Planning!Y44</f>
        <v/>
      </c>
      <c r="BZ51" s="885">
        <f>Planning!Z44</f>
        <v/>
      </c>
      <c r="CA51" s="886" t="n"/>
      <c r="CB51" s="105" t="n"/>
      <c r="CC51" s="885">
        <f>Planning!AC44</f>
        <v/>
      </c>
      <c r="CD51" s="885">
        <f>Planning!AD44</f>
        <v/>
      </c>
      <c r="CE51" s="886" t="n"/>
      <c r="CF51" s="105" t="n"/>
      <c r="CG51" s="887">
        <f>Planning!AG44</f>
        <v/>
      </c>
      <c r="CH51" s="105" t="n"/>
      <c r="CI51" s="252">
        <f>IF(BC51="","",Planning!AI44)</f>
        <v/>
      </c>
      <c r="CJ51" s="252">
        <f>IF(BC51="","",Planning!AJ44)</f>
        <v/>
      </c>
      <c r="CK51" s="252">
        <f>IF(BC51="","",Planning!AK44)</f>
        <v/>
      </c>
      <c r="CL51" s="252">
        <f>IF(BC51="","",Planning!AH44)</f>
        <v/>
      </c>
      <c r="CM51" s="21" t="n"/>
    </row>
    <row r="52" ht="12.75" customHeight="1">
      <c r="A52" s="161">
        <f>IFERROR(IF(VLOOKUP($B52,$BC$13:$CL$86,36,FALSE)&gt;5,0,IF(COUNTIF($B$13:$B$63,$B52)&gt;1,0,40)),40)+IF(B52&lt;&gt;0,0,IF(AV52&gt;0,0.000001,0))</f>
        <v/>
      </c>
      <c r="B52" s="129" t="n"/>
      <c r="C52" s="48">
        <f>IFERROR(IF($B52="","",VLOOKUP($B52,Medewerker!$C$8:$AI$107,33,FALSE)),"?")</f>
        <v/>
      </c>
      <c r="D52" s="879">
        <f t="array" ref="D52">IFERROR(IF(LEFT(INDEX($F52:$AQ52,1,SUM(SMALL(IF($F52:$AQ52&lt;&gt;"",COLUMN($F52:$AQ52)),1)-5)),1)="x",SUM(SMALL(IF($F52:$AQ52&lt;&gt;"",$F$11:$AQ$11),1)+"0:15"),SMALL(IF($F52:$AQ52&lt;&gt;"",$F$11:$AQ$11),1)),"")</f>
        <v/>
      </c>
      <c r="E52" s="879">
        <f t="array" ref="E52">IFERROR(IF(LEFT(INDEX($F52:$AQ52,1,SUM(LARGE(IF($F52:$AQ52&lt;&gt;"",COLUMN($F52:$AQ52)),1)-5)),1)="x",SUM(LARGE(IF($F52:$AQ52&lt;&gt;"",$F$11:$AQ$11+"0:30:00"),1)-"0:15"),LARGE(IF($F52:$AQ52&lt;&gt;"",$F$11:$AQ$11+"0:30:00"),1)),"")</f>
        <v/>
      </c>
      <c r="F52" s="43" t="n"/>
      <c r="G52" s="42" t="n"/>
      <c r="H52" s="43" t="n"/>
      <c r="I52" s="42" t="n"/>
      <c r="J52" s="43" t="n"/>
      <c r="K52" s="42" t="n"/>
      <c r="L52" s="43" t="n"/>
      <c r="M52" s="42" t="n"/>
      <c r="N52" s="43" t="n"/>
      <c r="O52" s="42" t="n"/>
      <c r="P52" s="43" t="n"/>
      <c r="Q52" s="42" t="n"/>
      <c r="R52" s="43" t="n"/>
      <c r="S52" s="42" t="n"/>
      <c r="T52" s="43" t="n"/>
      <c r="U52" s="42" t="n"/>
      <c r="V52" s="43" t="n"/>
      <c r="W52" s="42" t="n"/>
      <c r="X52" s="43" t="n"/>
      <c r="Y52" s="42" t="n"/>
      <c r="Z52" s="43" t="n"/>
      <c r="AA52" s="42" t="n"/>
      <c r="AB52" s="43" t="n"/>
      <c r="AC52" s="42" t="n"/>
      <c r="AD52" s="43" t="n"/>
      <c r="AE52" s="42" t="n"/>
      <c r="AF52" s="43" t="n"/>
      <c r="AG52" s="42" t="n"/>
      <c r="AH52" s="43" t="n"/>
      <c r="AI52" s="42" t="n"/>
      <c r="AJ52" s="43" t="n"/>
      <c r="AK52" s="42" t="n"/>
      <c r="AL52" s="43" t="n"/>
      <c r="AM52" s="42" t="n"/>
      <c r="AN52" s="43" t="n"/>
      <c r="AO52" s="42" t="n"/>
      <c r="AP52" s="43" t="n"/>
      <c r="AQ52" s="42" t="n"/>
      <c r="AR52" s="888">
        <f>IFERROR(IF(VLOOKUP($B52,Medewerker!$C$8:$U$107,19,FALSE)="",VLOOKUP($B52,Medewerker!$C$8:$U$107,17,FALSE),0),0)</f>
        <v/>
      </c>
      <c r="AS52" s="888">
        <f>IFERROR(IF(B52="",1,IF(VLOOKUP($B52,Medewerker!$C$8:$U$107,19,FALSE)="",VLOOKUP($B52,Medewerker!$C$8:$U$107,18,FALSE),0)),0)</f>
        <v/>
      </c>
      <c r="AT52" s="45" t="n"/>
      <c r="AU52" s="46">
        <f>(COUNTIF(F52:AQ52,"afw"))/2</f>
        <v/>
      </c>
      <c r="AV52" s="111">
        <f>((38-(COUNTIF(F52:AQ52,"")))/2)-(COUNTIF(F52:AQ52,"p")/2)-(COUNTIF(F52:AQ52,CONCATENATE("x","*"))/4)</f>
        <v/>
      </c>
      <c r="AW52" s="73">
        <f>IF($B52="","",VLOOKUP($B52,Medewerker!$C$8:$E$107,3,FALSE))</f>
        <v/>
      </c>
      <c r="AX52" s="403">
        <f>IFERROR(VLOOKUP($B52,Planning!$B$6:$AG$105,32,FALSE)*24,"")</f>
        <v/>
      </c>
      <c r="AY52" s="837" t="inlineStr">
        <is>
          <t>sl</t>
        </is>
      </c>
      <c r="AZ52" s="71" t="inlineStr">
        <is>
          <t>Shift leiden</t>
        </is>
      </c>
      <c r="BA52" s="111">
        <f>COUNTIF($F$13:$AQ$63,CONCATENATE(AY52,"*"))/2+COUNTIF($F$13:$AQ$63,CONCATENATE("x",AY52,"*"))/4</f>
        <v/>
      </c>
      <c r="BB52" s="838" t="n"/>
      <c r="BC52" s="31">
        <f>IF(Planning!B45="","",Planning!B45)</f>
        <v/>
      </c>
      <c r="BD52" s="105" t="n"/>
      <c r="BE52" s="885">
        <f>Planning!E45</f>
        <v/>
      </c>
      <c r="BF52" s="885">
        <f>Planning!F45</f>
        <v/>
      </c>
      <c r="BG52" s="886" t="n"/>
      <c r="BH52" s="105" t="n"/>
      <c r="BI52" s="885">
        <f>Planning!I45</f>
        <v/>
      </c>
      <c r="BJ52" s="885">
        <f>Planning!J45</f>
        <v/>
      </c>
      <c r="BK52" s="886" t="n"/>
      <c r="BL52" s="105" t="n"/>
      <c r="BM52" s="885">
        <f>Planning!M45</f>
        <v/>
      </c>
      <c r="BN52" s="885">
        <f>Planning!N45</f>
        <v/>
      </c>
      <c r="BO52" s="886" t="n"/>
      <c r="BP52" s="105" t="n"/>
      <c r="BQ52" s="885">
        <f>Planning!Q45</f>
        <v/>
      </c>
      <c r="BR52" s="885">
        <f>Planning!R45</f>
        <v/>
      </c>
      <c r="BS52" s="886" t="n"/>
      <c r="BT52" s="105" t="n"/>
      <c r="BU52" s="885">
        <f>Planning!U45</f>
        <v/>
      </c>
      <c r="BV52" s="885">
        <f>Planning!V45</f>
        <v/>
      </c>
      <c r="BW52" s="886" t="n"/>
      <c r="BX52" s="105" t="n"/>
      <c r="BY52" s="885">
        <f>Planning!Y45</f>
        <v/>
      </c>
      <c r="BZ52" s="885">
        <f>Planning!Z45</f>
        <v/>
      </c>
      <c r="CA52" s="886" t="n"/>
      <c r="CB52" s="105" t="n"/>
      <c r="CC52" s="885">
        <f>Planning!AC45</f>
        <v/>
      </c>
      <c r="CD52" s="885">
        <f>Planning!AD45</f>
        <v/>
      </c>
      <c r="CE52" s="886" t="n"/>
      <c r="CF52" s="105" t="n"/>
      <c r="CG52" s="887">
        <f>Planning!AG45</f>
        <v/>
      </c>
      <c r="CH52" s="105" t="n"/>
      <c r="CI52" s="252">
        <f>IF(BC52="","",Planning!AI45)</f>
        <v/>
      </c>
      <c r="CJ52" s="252">
        <f>IF(BC52="","",Planning!AJ45)</f>
        <v/>
      </c>
      <c r="CK52" s="252">
        <f>IF(BC52="","",Planning!AK45)</f>
        <v/>
      </c>
      <c r="CL52" s="252">
        <f>IF(BC52="","",Planning!AH45)</f>
        <v/>
      </c>
      <c r="CM52" s="21" t="n"/>
    </row>
    <row r="53" ht="12.75" customHeight="1">
      <c r="A53" s="161">
        <f>IFERROR(IF(VLOOKUP($B53,$BC$13:$CL$86,36,FALSE)&gt;5,0,IF(COUNTIF($B$13:$B$63,$B53)&gt;1,0,41)),41)+IF(B53&lt;&gt;0,0,IF(AV53&gt;0,0.000001,0))</f>
        <v/>
      </c>
      <c r="B53" s="129" t="n"/>
      <c r="C53" s="48">
        <f>IFERROR(IF($B53="","",VLOOKUP($B53,Medewerker!$C$8:$AI$107,33,FALSE)),"?")</f>
        <v/>
      </c>
      <c r="D53" s="879">
        <f t="array" ref="D53">IFERROR(IF(LEFT(INDEX($F53:$AQ53,1,SUM(SMALL(IF($F53:$AQ53&lt;&gt;"",COLUMN($F53:$AQ53)),1)-5)),1)="x",SUM(SMALL(IF($F53:$AQ53&lt;&gt;"",$F$11:$AQ$11),1)+"0:15"),SMALL(IF($F53:$AQ53&lt;&gt;"",$F$11:$AQ$11),1)),"")</f>
        <v/>
      </c>
      <c r="E53" s="879">
        <f t="array" ref="E53">IFERROR(IF(LEFT(INDEX($F53:$AQ53,1,SUM(LARGE(IF($F53:$AQ53&lt;&gt;"",COLUMN($F53:$AQ53)),1)-5)),1)="x",SUM(LARGE(IF($F53:$AQ53&lt;&gt;"",$F$11:$AQ$11+"0:30:00"),1)-"0:15"),LARGE(IF($F53:$AQ53&lt;&gt;"",$F$11:$AQ$11+"0:30:00"),1)),"")</f>
        <v/>
      </c>
      <c r="F53" s="43" t="n"/>
      <c r="G53" s="42" t="n"/>
      <c r="H53" s="43" t="n"/>
      <c r="I53" s="42" t="n"/>
      <c r="J53" s="43" t="n"/>
      <c r="K53" s="42" t="n"/>
      <c r="L53" s="43" t="n"/>
      <c r="M53" s="42" t="n"/>
      <c r="N53" s="43" t="n"/>
      <c r="O53" s="42" t="n"/>
      <c r="P53" s="43" t="n"/>
      <c r="Q53" s="42" t="n"/>
      <c r="R53" s="43" t="n"/>
      <c r="S53" s="42" t="n"/>
      <c r="T53" s="43" t="n"/>
      <c r="U53" s="42" t="n"/>
      <c r="V53" s="43" t="n"/>
      <c r="W53" s="42" t="n"/>
      <c r="X53" s="43" t="n"/>
      <c r="Y53" s="42" t="n"/>
      <c r="Z53" s="43" t="n"/>
      <c r="AA53" s="42" t="n"/>
      <c r="AB53" s="43" t="n"/>
      <c r="AC53" s="42" t="n"/>
      <c r="AD53" s="43" t="n"/>
      <c r="AE53" s="42" t="n"/>
      <c r="AF53" s="43" t="n"/>
      <c r="AG53" s="42" t="n"/>
      <c r="AH53" s="43" t="n"/>
      <c r="AI53" s="42" t="n"/>
      <c r="AJ53" s="43" t="n"/>
      <c r="AK53" s="42" t="n"/>
      <c r="AL53" s="43" t="n"/>
      <c r="AM53" s="42" t="n"/>
      <c r="AN53" s="43" t="n"/>
      <c r="AO53" s="42" t="n"/>
      <c r="AP53" s="43" t="n"/>
      <c r="AQ53" s="42" t="n"/>
      <c r="AR53" s="888">
        <f>IFERROR(IF(VLOOKUP($B53,Medewerker!$C$8:$U$107,19,FALSE)="",VLOOKUP($B53,Medewerker!$C$8:$U$107,17,FALSE),0),0)</f>
        <v/>
      </c>
      <c r="AS53" s="888">
        <f>IFERROR(IF(B53="",1,IF(VLOOKUP($B53,Medewerker!$C$8:$U$107,19,FALSE)="",VLOOKUP($B53,Medewerker!$C$8:$U$107,18,FALSE),0)),0)</f>
        <v/>
      </c>
      <c r="AT53" s="45" t="n"/>
      <c r="AU53" s="46">
        <f>(COUNTIF(F53:AQ53,"afw"))/2</f>
        <v/>
      </c>
      <c r="AV53" s="111">
        <f>((38-(COUNTIF(F53:AQ53,"")))/2)-(COUNTIF(F53:AQ53,"p")/2)-(COUNTIF(F53:AQ53,CONCATENATE("x","*"))/4)</f>
        <v/>
      </c>
      <c r="AW53" s="73">
        <f>IF($B53="","",VLOOKUP($B53,Medewerker!$C$8:$E$107,3,FALSE))</f>
        <v/>
      </c>
      <c r="AX53" s="403">
        <f>IFERROR(VLOOKUP($B53,Planning!$B$6:$AG$105,32,FALSE)*24,"")</f>
        <v/>
      </c>
      <c r="AY53" s="837" t="inlineStr">
        <is>
          <t>vp</t>
        </is>
      </c>
      <c r="AZ53" s="71" t="inlineStr">
        <is>
          <t>Vulshiftplanning</t>
        </is>
      </c>
      <c r="BA53" s="111">
        <f>COUNTIF($F$13:$AQ$63,CONCATENATE(AY53,"*"))/2+COUNTIF($F$13:$AQ$63,CONCATENATE("x",AY53,"*"))/4</f>
        <v/>
      </c>
      <c r="BB53" s="838" t="n"/>
      <c r="BC53" s="31">
        <f>IF(Planning!B46="","",Planning!B46)</f>
        <v/>
      </c>
      <c r="BD53" s="105" t="n"/>
      <c r="BE53" s="885">
        <f>Planning!E46</f>
        <v/>
      </c>
      <c r="BF53" s="885">
        <f>Planning!F46</f>
        <v/>
      </c>
      <c r="BG53" s="886" t="n"/>
      <c r="BH53" s="105" t="n"/>
      <c r="BI53" s="885">
        <f>Planning!I46</f>
        <v/>
      </c>
      <c r="BJ53" s="885">
        <f>Planning!J46</f>
        <v/>
      </c>
      <c r="BK53" s="886" t="n"/>
      <c r="BL53" s="105" t="n"/>
      <c r="BM53" s="885">
        <f>Planning!M46</f>
        <v/>
      </c>
      <c r="BN53" s="885">
        <f>Planning!N46</f>
        <v/>
      </c>
      <c r="BO53" s="886" t="n"/>
      <c r="BP53" s="105" t="n"/>
      <c r="BQ53" s="885">
        <f>Planning!Q46</f>
        <v/>
      </c>
      <c r="BR53" s="885">
        <f>Planning!R46</f>
        <v/>
      </c>
      <c r="BS53" s="886" t="n"/>
      <c r="BT53" s="105" t="n"/>
      <c r="BU53" s="885">
        <f>Planning!U46</f>
        <v/>
      </c>
      <c r="BV53" s="885">
        <f>Planning!V46</f>
        <v/>
      </c>
      <c r="BW53" s="886" t="n"/>
      <c r="BX53" s="105" t="n"/>
      <c r="BY53" s="885">
        <f>Planning!Y46</f>
        <v/>
      </c>
      <c r="BZ53" s="885">
        <f>Planning!Z46</f>
        <v/>
      </c>
      <c r="CA53" s="886" t="n"/>
      <c r="CB53" s="105" t="n"/>
      <c r="CC53" s="885">
        <f>Planning!AC46</f>
        <v/>
      </c>
      <c r="CD53" s="885">
        <f>Planning!AD46</f>
        <v/>
      </c>
      <c r="CE53" s="886" t="n"/>
      <c r="CF53" s="105" t="n"/>
      <c r="CG53" s="887">
        <f>Planning!AG46</f>
        <v/>
      </c>
      <c r="CH53" s="105" t="n"/>
      <c r="CI53" s="252">
        <f>IF(BC53="","",Planning!AI46)</f>
        <v/>
      </c>
      <c r="CJ53" s="252">
        <f>IF(BC53="","",Planning!AJ46)</f>
        <v/>
      </c>
      <c r="CK53" s="252">
        <f>IF(BC53="","",Planning!AK46)</f>
        <v/>
      </c>
      <c r="CL53" s="252">
        <f>IF(BC53="","",Planning!AH46)</f>
        <v/>
      </c>
      <c r="CM53" s="21" t="n"/>
    </row>
    <row r="54" ht="12.75" customHeight="1">
      <c r="A54" s="161">
        <f>IFERROR(IF(VLOOKUP($B54,$BC$13:$CL$86,36,FALSE)&gt;5,0,IF(COUNTIF($B$13:$B$63,$B54)&gt;1,0,42)),42)+IF(B54&lt;&gt;0,0,IF(AV54&gt;0,0.000001,0))</f>
        <v/>
      </c>
      <c r="B54" s="129" t="n"/>
      <c r="C54" s="48">
        <f>IFERROR(IF($B54="","",VLOOKUP($B54,Medewerker!$C$8:$AI$107,33,FALSE)),"?")</f>
        <v/>
      </c>
      <c r="D54" s="879">
        <f t="array" ref="D54">IFERROR(IF(LEFT(INDEX($F54:$AQ54,1,SUM(SMALL(IF($F54:$AQ54&lt;&gt;"",COLUMN($F54:$AQ54)),1)-5)),1)="x",SUM(SMALL(IF($F54:$AQ54&lt;&gt;"",$F$11:$AQ$11),1)+"0:15"),SMALL(IF($F54:$AQ54&lt;&gt;"",$F$11:$AQ$11),1)),"")</f>
        <v/>
      </c>
      <c r="E54" s="879">
        <f t="array" ref="E54">IFERROR(IF(LEFT(INDEX($F54:$AQ54,1,SUM(LARGE(IF($F54:$AQ54&lt;&gt;"",COLUMN($F54:$AQ54)),1)-5)),1)="x",SUM(LARGE(IF($F54:$AQ54&lt;&gt;"",$F$11:$AQ$11+"0:30:00"),1)-"0:15"),LARGE(IF($F54:$AQ54&lt;&gt;"",$F$11:$AQ$11+"0:30:00"),1)),"")</f>
        <v/>
      </c>
      <c r="F54" s="43" t="n"/>
      <c r="G54" s="42" t="n"/>
      <c r="H54" s="43" t="n"/>
      <c r="I54" s="42" t="n"/>
      <c r="J54" s="43" t="n"/>
      <c r="K54" s="42" t="n"/>
      <c r="L54" s="43" t="n"/>
      <c r="M54" s="42" t="n"/>
      <c r="N54" s="43" t="n"/>
      <c r="O54" s="42" t="n"/>
      <c r="P54" s="43" t="n"/>
      <c r="Q54" s="42" t="n"/>
      <c r="R54" s="43" t="n"/>
      <c r="S54" s="42" t="n"/>
      <c r="T54" s="43" t="n"/>
      <c r="U54" s="42" t="n"/>
      <c r="V54" s="43" t="n"/>
      <c r="W54" s="42" t="n"/>
      <c r="X54" s="43" t="n"/>
      <c r="Y54" s="42" t="n"/>
      <c r="Z54" s="43" t="n"/>
      <c r="AA54" s="42" t="n"/>
      <c r="AB54" s="43" t="n"/>
      <c r="AC54" s="42" t="n"/>
      <c r="AD54" s="43" t="n"/>
      <c r="AE54" s="42" t="n"/>
      <c r="AF54" s="43" t="n"/>
      <c r="AG54" s="42" t="n"/>
      <c r="AH54" s="43" t="n"/>
      <c r="AI54" s="42" t="n"/>
      <c r="AJ54" s="43" t="n"/>
      <c r="AK54" s="42" t="n"/>
      <c r="AL54" s="43" t="n"/>
      <c r="AM54" s="42" t="n"/>
      <c r="AN54" s="43" t="n"/>
      <c r="AO54" s="42" t="n"/>
      <c r="AP54" s="43" t="n"/>
      <c r="AQ54" s="42" t="n"/>
      <c r="AR54" s="888">
        <f>IFERROR(IF(VLOOKUP($B54,Medewerker!$C$8:$U$107,19,FALSE)="",VLOOKUP($B54,Medewerker!$C$8:$U$107,17,FALSE),0),0)</f>
        <v/>
      </c>
      <c r="AS54" s="888">
        <f>IFERROR(IF(B54="",1,IF(VLOOKUP($B54,Medewerker!$C$8:$U$107,19,FALSE)="",VLOOKUP($B54,Medewerker!$C$8:$U$107,18,FALSE),0)),0)</f>
        <v/>
      </c>
      <c r="AT54" s="45" t="n"/>
      <c r="AU54" s="46">
        <f>(COUNTIF(F54:AQ54,"afw"))/2</f>
        <v/>
      </c>
      <c r="AV54" s="111">
        <f>((38-(COUNTIF(F54:AQ54,"")))/2)-(COUNTIF(F54:AQ54,"p")/2)-(COUNTIF(F54:AQ54,CONCATENATE("x","*"))/4)</f>
        <v/>
      </c>
      <c r="AW54" s="73">
        <f>IF($B54="","",VLOOKUP($B54,Medewerker!$C$8:$E$107,3,FALSE))</f>
        <v/>
      </c>
      <c r="AX54" s="403">
        <f>IFERROR(VLOOKUP($B54,Planning!$B$6:$AG$105,32,FALSE)*24,"")</f>
        <v/>
      </c>
      <c r="AY54" s="837" t="inlineStr">
        <is>
          <t>wh</t>
        </is>
      </c>
      <c r="AZ54" s="413" t="inlineStr">
        <is>
          <t>Winkelwagens halen</t>
        </is>
      </c>
      <c r="BA54" s="111">
        <f>COUNTIF($F$13:$AQ$63,CONCATENATE(AY54,"*"))/2+COUNTIF($F$13:$AQ$63,CONCATENATE("x",AY54,"*"))/4</f>
        <v/>
      </c>
      <c r="BB54" s="838" t="n"/>
      <c r="BC54" s="31">
        <f>IF(Planning!B47="","",Planning!B47)</f>
        <v/>
      </c>
      <c r="BD54" s="105" t="n"/>
      <c r="BE54" s="885">
        <f>Planning!E47</f>
        <v/>
      </c>
      <c r="BF54" s="885">
        <f>Planning!F47</f>
        <v/>
      </c>
      <c r="BG54" s="886" t="n"/>
      <c r="BH54" s="105" t="n"/>
      <c r="BI54" s="885">
        <f>Planning!I47</f>
        <v/>
      </c>
      <c r="BJ54" s="885">
        <f>Planning!J47</f>
        <v/>
      </c>
      <c r="BK54" s="886" t="n"/>
      <c r="BL54" s="105" t="n"/>
      <c r="BM54" s="885">
        <f>Planning!M47</f>
        <v/>
      </c>
      <c r="BN54" s="885">
        <f>Planning!N47</f>
        <v/>
      </c>
      <c r="BO54" s="886" t="n"/>
      <c r="BP54" s="105" t="n"/>
      <c r="BQ54" s="885">
        <f>Planning!Q47</f>
        <v/>
      </c>
      <c r="BR54" s="885">
        <f>Planning!R47</f>
        <v/>
      </c>
      <c r="BS54" s="886" t="n"/>
      <c r="BT54" s="105" t="n"/>
      <c r="BU54" s="885">
        <f>Planning!U47</f>
        <v/>
      </c>
      <c r="BV54" s="885">
        <f>Planning!V47</f>
        <v/>
      </c>
      <c r="BW54" s="886" t="n"/>
      <c r="BX54" s="105" t="n"/>
      <c r="BY54" s="885">
        <f>Planning!Y47</f>
        <v/>
      </c>
      <c r="BZ54" s="885">
        <f>Planning!Z47</f>
        <v/>
      </c>
      <c r="CA54" s="886" t="n"/>
      <c r="CB54" s="105" t="n"/>
      <c r="CC54" s="885">
        <f>Planning!AC47</f>
        <v/>
      </c>
      <c r="CD54" s="885">
        <f>Planning!AD47</f>
        <v/>
      </c>
      <c r="CE54" s="886" t="n"/>
      <c r="CF54" s="105" t="n"/>
      <c r="CG54" s="887">
        <f>Planning!AG47</f>
        <v/>
      </c>
      <c r="CH54" s="105" t="n"/>
      <c r="CI54" s="252">
        <f>IF(BC54="","",Planning!AI47)</f>
        <v/>
      </c>
      <c r="CJ54" s="252">
        <f>IF(BC54="","",Planning!AJ47)</f>
        <v/>
      </c>
      <c r="CK54" s="252">
        <f>IF(BC54="","",Planning!AK47)</f>
        <v/>
      </c>
      <c r="CL54" s="252">
        <f>IF(BC54="","",Planning!AH47)</f>
        <v/>
      </c>
      <c r="CM54" s="21" t="n"/>
    </row>
    <row r="55" ht="12.75" customHeight="1">
      <c r="A55" s="161">
        <f>IFERROR(IF(VLOOKUP($B55,$BC$13:$CL$86,36,FALSE)&gt;5,0,IF(COUNTIF($B$13:$B$63,$B55)&gt;1,0,43)),43)+IF(B55&lt;&gt;0,0,IF(AV55&gt;0,0.000001,0))</f>
        <v/>
      </c>
      <c r="B55" s="129" t="n"/>
      <c r="C55" s="48">
        <f>IFERROR(IF($B55="","",VLOOKUP($B55,Medewerker!$C$8:$AI$107,33,FALSE)),"?")</f>
        <v/>
      </c>
      <c r="D55" s="879">
        <f t="array" ref="D55">IFERROR(IF(LEFT(INDEX($F55:$AQ55,1,SUM(SMALL(IF($F55:$AQ55&lt;&gt;"",COLUMN($F55:$AQ55)),1)-5)),1)="x",SUM(SMALL(IF($F55:$AQ55&lt;&gt;"",$F$11:$AQ$11),1)+"0:15"),SMALL(IF($F55:$AQ55&lt;&gt;"",$F$11:$AQ$11),1)),"")</f>
        <v/>
      </c>
      <c r="E55" s="879">
        <f t="array" ref="E55">IFERROR(IF(LEFT(INDEX($F55:$AQ55,1,SUM(LARGE(IF($F55:$AQ55&lt;&gt;"",COLUMN($F55:$AQ55)),1)-5)),1)="x",SUM(LARGE(IF($F55:$AQ55&lt;&gt;"",$F$11:$AQ$11+"0:30:00"),1)-"0:15"),LARGE(IF($F55:$AQ55&lt;&gt;"",$F$11:$AQ$11+"0:30:00"),1)),"")</f>
        <v/>
      </c>
      <c r="F55" s="43" t="n"/>
      <c r="G55" s="42" t="n"/>
      <c r="H55" s="43" t="n"/>
      <c r="I55" s="42" t="n"/>
      <c r="J55" s="43" t="n"/>
      <c r="K55" s="42" t="n"/>
      <c r="L55" s="43" t="n"/>
      <c r="M55" s="42" t="n"/>
      <c r="N55" s="43" t="n"/>
      <c r="O55" s="42" t="n"/>
      <c r="P55" s="43" t="n"/>
      <c r="Q55" s="42" t="n"/>
      <c r="R55" s="43" t="n"/>
      <c r="S55" s="42" t="n"/>
      <c r="T55" s="43" t="n"/>
      <c r="U55" s="42" t="n"/>
      <c r="V55" s="43" t="n"/>
      <c r="W55" s="42" t="n"/>
      <c r="X55" s="43" t="n"/>
      <c r="Y55" s="42" t="n"/>
      <c r="Z55" s="43" t="n"/>
      <c r="AA55" s="42" t="n"/>
      <c r="AB55" s="43" t="n"/>
      <c r="AC55" s="42" t="n"/>
      <c r="AD55" s="43" t="n"/>
      <c r="AE55" s="42" t="n"/>
      <c r="AF55" s="43" t="n"/>
      <c r="AG55" s="42" t="n"/>
      <c r="AH55" s="43" t="n"/>
      <c r="AI55" s="42" t="n"/>
      <c r="AJ55" s="43" t="n"/>
      <c r="AK55" s="42" t="n"/>
      <c r="AL55" s="43" t="n"/>
      <c r="AM55" s="42" t="n"/>
      <c r="AN55" s="43" t="n"/>
      <c r="AO55" s="42" t="n"/>
      <c r="AP55" s="43" t="n"/>
      <c r="AQ55" s="42" t="n"/>
      <c r="AR55" s="888">
        <f>IFERROR(IF(VLOOKUP($B55,Medewerker!$C$8:$U$107,19,FALSE)="",VLOOKUP($B55,Medewerker!$C$8:$U$107,17,FALSE),0),0)</f>
        <v/>
      </c>
      <c r="AS55" s="888">
        <f>IFERROR(IF(B55="",1,IF(VLOOKUP($B55,Medewerker!$C$8:$U$107,19,FALSE)="",VLOOKUP($B55,Medewerker!$C$8:$U$107,18,FALSE),0)),0)</f>
        <v/>
      </c>
      <c r="AT55" s="45" t="n"/>
      <c r="AU55" s="46">
        <f>(COUNTIF(F55:AQ55,"afw"))/2</f>
        <v/>
      </c>
      <c r="AV55" s="111">
        <f>((38-(COUNTIF(F55:AQ55,"")))/2)-(COUNTIF(F55:AQ55,"p")/2)-(COUNTIF(F55:AQ55,CONCATENATE("x","*"))/4)</f>
        <v/>
      </c>
      <c r="AW55" s="73">
        <f>IF($B55="","",VLOOKUP($B55,Medewerker!$C$8:$E$107,3,FALSE))</f>
        <v/>
      </c>
      <c r="AX55" s="403">
        <f>IFERROR(VLOOKUP($B55,Planning!$B$6:$AG$105,32,FALSE)*24,"")</f>
        <v/>
      </c>
      <c r="AY55" s="837" t="inlineStr">
        <is>
          <t>wp</t>
        </is>
      </c>
      <c r="AZ55" s="71" t="inlineStr">
        <is>
          <t>Weekplanning</t>
        </is>
      </c>
      <c r="BA55" s="111">
        <f>COUNTIF($F$13:$AQ$63,CONCATENATE(AY55,"*"))/2+COUNTIF($F$13:$AQ$63,CONCATENATE("x",AY55,"*"))/4</f>
        <v/>
      </c>
      <c r="BB55" s="838" t="n"/>
      <c r="BC55" s="31">
        <f>IF(Planning!B48="","",Planning!B48)</f>
        <v/>
      </c>
      <c r="BD55" s="105" t="n"/>
      <c r="BE55" s="885">
        <f>Planning!E48</f>
        <v/>
      </c>
      <c r="BF55" s="885">
        <f>Planning!F48</f>
        <v/>
      </c>
      <c r="BG55" s="886" t="n"/>
      <c r="BH55" s="105" t="n"/>
      <c r="BI55" s="885">
        <f>Planning!I48</f>
        <v/>
      </c>
      <c r="BJ55" s="885">
        <f>Planning!J48</f>
        <v/>
      </c>
      <c r="BK55" s="886" t="n"/>
      <c r="BL55" s="105" t="n"/>
      <c r="BM55" s="885">
        <f>Planning!M48</f>
        <v/>
      </c>
      <c r="BN55" s="885">
        <f>Planning!N48</f>
        <v/>
      </c>
      <c r="BO55" s="886" t="n"/>
      <c r="BP55" s="105" t="n"/>
      <c r="BQ55" s="885">
        <f>Planning!Q48</f>
        <v/>
      </c>
      <c r="BR55" s="885">
        <f>Planning!R48</f>
        <v/>
      </c>
      <c r="BS55" s="886" t="n"/>
      <c r="BT55" s="105" t="n"/>
      <c r="BU55" s="885">
        <f>Planning!U48</f>
        <v/>
      </c>
      <c r="BV55" s="885">
        <f>Planning!V48</f>
        <v/>
      </c>
      <c r="BW55" s="886" t="n"/>
      <c r="BX55" s="105" t="n"/>
      <c r="BY55" s="885">
        <f>Planning!Y48</f>
        <v/>
      </c>
      <c r="BZ55" s="885">
        <f>Planning!Z48</f>
        <v/>
      </c>
      <c r="CA55" s="886" t="n"/>
      <c r="CB55" s="105" t="n"/>
      <c r="CC55" s="885">
        <f>Planning!AC48</f>
        <v/>
      </c>
      <c r="CD55" s="885">
        <f>Planning!AD48</f>
        <v/>
      </c>
      <c r="CE55" s="886" t="n"/>
      <c r="CF55" s="105" t="n"/>
      <c r="CG55" s="887">
        <f>Planning!AG48</f>
        <v/>
      </c>
      <c r="CH55" s="105" t="n"/>
      <c r="CI55" s="252">
        <f>IF(BC55="","",Planning!AI48)</f>
        <v/>
      </c>
      <c r="CJ55" s="252">
        <f>IF(BC55="","",Planning!AJ48)</f>
        <v/>
      </c>
      <c r="CK55" s="252">
        <f>IF(BC55="","",Planning!AK48)</f>
        <v/>
      </c>
      <c r="CL55" s="252">
        <f>IF(BC55="","",Planning!AH48)</f>
        <v/>
      </c>
      <c r="CM55" s="21" t="n"/>
    </row>
    <row r="56" ht="12.75" customHeight="1">
      <c r="A56" s="161">
        <f>IFERROR(IF(VLOOKUP($B56,$BC$13:$CL$86,36,FALSE)&gt;5,0,IF(COUNTIF($B$13:$B$63,$B56)&gt;1,0,44)),44)+IF(B56&lt;&gt;0,0,IF(AV56&gt;0,0.000001,0))</f>
        <v/>
      </c>
      <c r="B56" s="129" t="n"/>
      <c r="C56" s="48">
        <f>IFERROR(IF($B56="","",VLOOKUP($B56,Medewerker!$C$8:$AI$107,33,FALSE)),"?")</f>
        <v/>
      </c>
      <c r="D56" s="879">
        <f t="array" ref="D56">IFERROR(IF(LEFT(INDEX($F56:$AQ56,1,SUM(SMALL(IF($F56:$AQ56&lt;&gt;"",COLUMN($F56:$AQ56)),1)-5)),1)="x",SUM(SMALL(IF($F56:$AQ56&lt;&gt;"",$F$11:$AQ$11),1)+"0:15"),SMALL(IF($F56:$AQ56&lt;&gt;"",$F$11:$AQ$11),1)),"")</f>
        <v/>
      </c>
      <c r="E56" s="879">
        <f t="array" ref="E56">IFERROR(IF(LEFT(INDEX($F56:$AQ56,1,SUM(LARGE(IF($F56:$AQ56&lt;&gt;"",COLUMN($F56:$AQ56)),1)-5)),1)="x",SUM(LARGE(IF($F56:$AQ56&lt;&gt;"",$F$11:$AQ$11+"0:30:00"),1)-"0:15"),LARGE(IF($F56:$AQ56&lt;&gt;"",$F$11:$AQ$11+"0:30:00"),1)),"")</f>
        <v/>
      </c>
      <c r="F56" s="43" t="n"/>
      <c r="G56" s="42" t="n"/>
      <c r="H56" s="43" t="n"/>
      <c r="I56" s="42" t="n"/>
      <c r="J56" s="43" t="n"/>
      <c r="K56" s="41" t="n"/>
      <c r="L56" s="40" t="n"/>
      <c r="M56" s="42" t="n"/>
      <c r="N56" s="43" t="n"/>
      <c r="O56" s="41" t="n"/>
      <c r="P56" s="40" t="n"/>
      <c r="Q56" s="42" t="n"/>
      <c r="R56" s="43" t="n"/>
      <c r="S56" s="41" t="n"/>
      <c r="T56" s="40" t="n"/>
      <c r="U56" s="42" t="n"/>
      <c r="V56" s="43" t="n"/>
      <c r="W56" s="41" t="n"/>
      <c r="X56" s="40" t="n"/>
      <c r="Y56" s="42" t="n"/>
      <c r="Z56" s="43" t="n"/>
      <c r="AA56" s="41" t="n"/>
      <c r="AB56" s="40" t="n"/>
      <c r="AC56" s="42" t="n"/>
      <c r="AD56" s="43" t="n"/>
      <c r="AE56" s="41" t="n"/>
      <c r="AF56" s="40" t="n"/>
      <c r="AG56" s="42" t="n"/>
      <c r="AH56" s="43" t="n"/>
      <c r="AI56" s="41" t="n"/>
      <c r="AJ56" s="40" t="n"/>
      <c r="AK56" s="42" t="n"/>
      <c r="AL56" s="43" t="n"/>
      <c r="AM56" s="41" t="n"/>
      <c r="AN56" s="645" t="n"/>
      <c r="AO56" s="42" t="n"/>
      <c r="AP56" s="43" t="n"/>
      <c r="AQ56" s="42" t="n"/>
      <c r="AR56" s="888">
        <f>IFERROR(IF(VLOOKUP($B56,Medewerker!$C$8:$U$107,19,FALSE)="",VLOOKUP($B56,Medewerker!$C$8:$U$107,17,FALSE),0),0)</f>
        <v/>
      </c>
      <c r="AS56" s="888">
        <f>IFERROR(IF(B56="",1,IF(VLOOKUP($B56,Medewerker!$C$8:$U$107,19,FALSE)="",VLOOKUP($B56,Medewerker!$C$8:$U$107,18,FALSE),0)),0)</f>
        <v/>
      </c>
      <c r="AT56" s="45" t="n"/>
      <c r="AU56" s="46">
        <f>(COUNTIF(F56:AQ56,"afw"))/2</f>
        <v/>
      </c>
      <c r="AV56" s="111">
        <f>((38-(COUNTIF(F56:AQ56,"")))/2)-(COUNTIF(F56:AQ56,"p")/2)-(COUNTIF(F56:AQ56,CONCATENATE("x","*"))/4)</f>
        <v/>
      </c>
      <c r="AW56" s="73">
        <f>IF($B56="","",VLOOKUP($B56,Medewerker!$C$8:$E$107,3,FALSE))</f>
        <v/>
      </c>
      <c r="AX56" s="403">
        <f>IFERROR(VLOOKUP($B56,Planning!$B$6:$AG$105,32,FALSE)*24,"")</f>
        <v/>
      </c>
      <c r="AY56" s="558" t="inlineStr">
        <is>
          <t>wv</t>
        </is>
      </c>
      <c r="AZ56" s="71" t="inlineStr">
        <is>
          <t>Winkelverzorging</t>
        </is>
      </c>
      <c r="BA56" s="111">
        <f>COUNTIF($F$13:$AQ$63,CONCATENATE(AY56,"*"))/2+COUNTIF($F$13:$AQ$63,CONCATENATE("x",AY56,"*"))/4</f>
        <v/>
      </c>
      <c r="BB56" s="838" t="n"/>
      <c r="BC56" s="31">
        <f>IF(Planning!B49="","",Planning!B49)</f>
        <v/>
      </c>
      <c r="BD56" s="105" t="n"/>
      <c r="BE56" s="885">
        <f>Planning!E49</f>
        <v/>
      </c>
      <c r="BF56" s="885">
        <f>Planning!F49</f>
        <v/>
      </c>
      <c r="BG56" s="886" t="n"/>
      <c r="BH56" s="105" t="n"/>
      <c r="BI56" s="885">
        <f>Planning!I49</f>
        <v/>
      </c>
      <c r="BJ56" s="885">
        <f>Planning!J49</f>
        <v/>
      </c>
      <c r="BK56" s="886" t="n"/>
      <c r="BL56" s="105" t="n"/>
      <c r="BM56" s="885">
        <f>Planning!M49</f>
        <v/>
      </c>
      <c r="BN56" s="885">
        <f>Planning!N49</f>
        <v/>
      </c>
      <c r="BO56" s="886" t="n"/>
      <c r="BP56" s="105" t="n"/>
      <c r="BQ56" s="885">
        <f>Planning!Q49</f>
        <v/>
      </c>
      <c r="BR56" s="885">
        <f>Planning!R49</f>
        <v/>
      </c>
      <c r="BS56" s="886" t="n"/>
      <c r="BT56" s="105" t="n"/>
      <c r="BU56" s="885">
        <f>Planning!U49</f>
        <v/>
      </c>
      <c r="BV56" s="885">
        <f>Planning!V49</f>
        <v/>
      </c>
      <c r="BW56" s="886" t="n"/>
      <c r="BX56" s="105" t="n"/>
      <c r="BY56" s="885">
        <f>Planning!Y49</f>
        <v/>
      </c>
      <c r="BZ56" s="885">
        <f>Planning!Z49</f>
        <v/>
      </c>
      <c r="CA56" s="886" t="n"/>
      <c r="CB56" s="105" t="n"/>
      <c r="CC56" s="885">
        <f>Planning!AC49</f>
        <v/>
      </c>
      <c r="CD56" s="885">
        <f>Planning!AD49</f>
        <v/>
      </c>
      <c r="CE56" s="886" t="n"/>
      <c r="CF56" s="105" t="n"/>
      <c r="CG56" s="887">
        <f>Planning!AG49</f>
        <v/>
      </c>
      <c r="CH56" s="105" t="n"/>
      <c r="CI56" s="252">
        <f>IF(BC56="","",Planning!AI49)</f>
        <v/>
      </c>
      <c r="CJ56" s="252">
        <f>IF(BC56="","",Planning!AJ49)</f>
        <v/>
      </c>
      <c r="CK56" s="252">
        <f>IF(BC56="","",Planning!AK49)</f>
        <v/>
      </c>
      <c r="CL56" s="252">
        <f>IF(BC56="","",Planning!AH49)</f>
        <v/>
      </c>
      <c r="CM56" s="21" t="n"/>
    </row>
    <row r="57" ht="12.75" customHeight="1">
      <c r="A57" s="161">
        <f>IFERROR(IF(VLOOKUP($B57,$BC$13:$CL$86,36,FALSE)&gt;5,0,IF(COUNTIF($B$13:$B$63,$B57)&gt;1,0,45)),45)+IF(B57&lt;&gt;0,0,IF(AV57&gt;0,0.000001,0))</f>
        <v/>
      </c>
      <c r="B57" s="129" t="n"/>
      <c r="C57" s="48">
        <f>IFERROR(IF($B57="","",VLOOKUP($B57,Medewerker!$C$8:$AI$107,33,FALSE)),"?")</f>
        <v/>
      </c>
      <c r="D57" s="879">
        <f t="array" ref="D57">IFERROR(IF(LEFT(INDEX($F57:$AQ57,1,SUM(SMALL(IF($F57:$AQ57&lt;&gt;"",COLUMN($F57:$AQ57)),1)-5)),1)="x",SUM(SMALL(IF($F57:$AQ57&lt;&gt;"",$F$11:$AQ$11),1)+"0:15"),SMALL(IF($F57:$AQ57&lt;&gt;"",$F$11:$AQ$11),1)),"")</f>
        <v/>
      </c>
      <c r="E57" s="879">
        <f t="array" ref="E57">IFERROR(IF(LEFT(INDEX($F57:$AQ57,1,SUM(LARGE(IF($F57:$AQ57&lt;&gt;"",COLUMN($F57:$AQ57)),1)-5)),1)="x",SUM(LARGE(IF($F57:$AQ57&lt;&gt;"",$F$11:$AQ$11+"0:30:00"),1)-"0:15"),LARGE(IF($F57:$AQ57&lt;&gt;"",$F$11:$AQ$11+"0:30:00"),1)),"")</f>
        <v/>
      </c>
      <c r="F57" s="43" t="n"/>
      <c r="G57" s="42" t="n"/>
      <c r="H57" s="43" t="n"/>
      <c r="I57" s="42" t="n"/>
      <c r="J57" s="43" t="n"/>
      <c r="K57" s="41" t="n"/>
      <c r="L57" s="40" t="n"/>
      <c r="M57" s="42" t="n"/>
      <c r="N57" s="43" t="n"/>
      <c r="O57" s="41" t="n"/>
      <c r="P57" s="40" t="n"/>
      <c r="Q57" s="42" t="n"/>
      <c r="R57" s="43" t="n"/>
      <c r="S57" s="41" t="n"/>
      <c r="T57" s="40" t="n"/>
      <c r="U57" s="42" t="n"/>
      <c r="V57" s="43" t="n"/>
      <c r="W57" s="41" t="n"/>
      <c r="X57" s="40" t="n"/>
      <c r="Y57" s="42" t="n"/>
      <c r="Z57" s="43" t="n"/>
      <c r="AA57" s="41" t="n"/>
      <c r="AB57" s="40" t="n"/>
      <c r="AC57" s="42" t="n"/>
      <c r="AD57" s="43" t="n"/>
      <c r="AE57" s="41" t="n"/>
      <c r="AF57" s="40" t="n"/>
      <c r="AG57" s="42" t="n"/>
      <c r="AH57" s="43" t="n"/>
      <c r="AI57" s="41" t="n"/>
      <c r="AJ57" s="40" t="n"/>
      <c r="AK57" s="42" t="n"/>
      <c r="AL57" s="43" t="n"/>
      <c r="AM57" s="41" t="n"/>
      <c r="AN57" s="645" t="n"/>
      <c r="AO57" s="42" t="n"/>
      <c r="AP57" s="43" t="n"/>
      <c r="AQ57" s="42" t="n"/>
      <c r="AR57" s="888">
        <f>IFERROR(IF(VLOOKUP($B57,Medewerker!$C$8:$U$107,19,FALSE)="",VLOOKUP($B57,Medewerker!$C$8:$U$107,17,FALSE),0),0)</f>
        <v/>
      </c>
      <c r="AS57" s="888">
        <f>IFERROR(IF(B57="",1,IF(VLOOKUP($B57,Medewerker!$C$8:$U$107,19,FALSE)="",VLOOKUP($B57,Medewerker!$C$8:$U$107,18,FALSE),0)),0)</f>
        <v/>
      </c>
      <c r="AT57" s="45" t="n"/>
      <c r="AU57" s="46">
        <f>(COUNTIF(F57:AQ57,"afw"))/2</f>
        <v/>
      </c>
      <c r="AV57" s="111">
        <f>((38-(COUNTIF(F57:AQ57,"")))/2)-(COUNTIF(F57:AQ57,"p")/2)-(COUNTIF(F57:AQ57,CONCATENATE("x","*"))/4)</f>
        <v/>
      </c>
      <c r="AW57" s="73">
        <f>IF($B57="","",VLOOKUP($B57,Medewerker!$C$8:$E$107,3,FALSE))</f>
        <v/>
      </c>
      <c r="AX57" s="403">
        <f>IFERROR(VLOOKUP($B57,Planning!$B$6:$AG$105,32,FALSE)*24,"")</f>
        <v/>
      </c>
      <c r="AY57" s="837">
        <f>IF(Instellingen!I7="ja","pup","")</f>
        <v/>
      </c>
      <c r="AZ57" s="71">
        <f>IF(Instellingen!I7="ja","Pick-Up-Point","")</f>
        <v/>
      </c>
      <c r="BA57" s="111">
        <f>IF(Instellingen!I7="ja",COUNTIF($F$13:$AQ$63,CONCATENATE(AY57,"*"))/2+COUNTIF($F$13:$AQ$63,CONCATENATE("x",AY57,"*"))/4,"")</f>
        <v/>
      </c>
      <c r="BB57" s="838" t="n"/>
      <c r="BC57" s="31">
        <f>IF(Planning!B50="","",Planning!B50)</f>
        <v/>
      </c>
      <c r="BD57" s="105" t="n"/>
      <c r="BE57" s="885">
        <f>Planning!E50</f>
        <v/>
      </c>
      <c r="BF57" s="885">
        <f>Planning!F50</f>
        <v/>
      </c>
      <c r="BG57" s="886" t="n"/>
      <c r="BH57" s="105" t="n"/>
      <c r="BI57" s="885">
        <f>Planning!I50</f>
        <v/>
      </c>
      <c r="BJ57" s="885">
        <f>Planning!J50</f>
        <v/>
      </c>
      <c r="BK57" s="886" t="n"/>
      <c r="BL57" s="105" t="n"/>
      <c r="BM57" s="885">
        <f>Planning!M50</f>
        <v/>
      </c>
      <c r="BN57" s="885">
        <f>Planning!N50</f>
        <v/>
      </c>
      <c r="BO57" s="886" t="n"/>
      <c r="BP57" s="105" t="n"/>
      <c r="BQ57" s="885">
        <f>Planning!Q50</f>
        <v/>
      </c>
      <c r="BR57" s="885">
        <f>Planning!R50</f>
        <v/>
      </c>
      <c r="BS57" s="886" t="n"/>
      <c r="BT57" s="105" t="n"/>
      <c r="BU57" s="885">
        <f>Planning!U50</f>
        <v/>
      </c>
      <c r="BV57" s="885">
        <f>Planning!V50</f>
        <v/>
      </c>
      <c r="BW57" s="886" t="n"/>
      <c r="BX57" s="105" t="n"/>
      <c r="BY57" s="885">
        <f>Planning!Y50</f>
        <v/>
      </c>
      <c r="BZ57" s="885">
        <f>Planning!Z50</f>
        <v/>
      </c>
      <c r="CA57" s="886" t="n"/>
      <c r="CB57" s="105" t="n"/>
      <c r="CC57" s="885">
        <f>Planning!AC50</f>
        <v/>
      </c>
      <c r="CD57" s="885">
        <f>Planning!AD50</f>
        <v/>
      </c>
      <c r="CE57" s="886" t="n"/>
      <c r="CF57" s="105" t="n"/>
      <c r="CG57" s="887">
        <f>Planning!AG50</f>
        <v/>
      </c>
      <c r="CH57" s="105" t="n"/>
      <c r="CI57" s="252">
        <f>IF(BC57="","",Planning!AI50)</f>
        <v/>
      </c>
      <c r="CJ57" s="252">
        <f>IF(BC57="","",Planning!AJ50)</f>
        <v/>
      </c>
      <c r="CK57" s="252">
        <f>IF(BC57="","",Planning!AK50)</f>
        <v/>
      </c>
      <c r="CL57" s="252">
        <f>IF(BC57="","",Planning!AH50)</f>
        <v/>
      </c>
      <c r="CM57" s="21" t="n"/>
    </row>
    <row r="58" ht="12.75" customHeight="1">
      <c r="A58" s="161">
        <f>IFERROR(IF(VLOOKUP($B58,$BC$13:$CL$86,36,FALSE)&gt;5,0,IF(COUNTIF($B$13:$B$63,$B58)&gt;1,0,46)),46)+IF(B58&lt;&gt;0,0,IF(AV58&gt;0,0.000001,0))</f>
        <v/>
      </c>
      <c r="B58" s="129" t="n"/>
      <c r="C58" s="48">
        <f>IFERROR(IF($B58="","",VLOOKUP($B58,Medewerker!$C$8:$AI$107,33,FALSE)),"?")</f>
        <v/>
      </c>
      <c r="D58" s="879">
        <f t="array" ref="D58">IFERROR(IF(LEFT(INDEX($F58:$AQ58,1,SUM(SMALL(IF($F58:$AQ58&lt;&gt;"",COLUMN($F58:$AQ58)),1)-5)),1)="x",SUM(SMALL(IF($F58:$AQ58&lt;&gt;"",$F$11:$AQ$11),1)+"0:15"),SMALL(IF($F58:$AQ58&lt;&gt;"",$F$11:$AQ$11),1)),"")</f>
        <v/>
      </c>
      <c r="E58" s="879">
        <f t="array" ref="E58">IFERROR(IF(LEFT(INDEX($F58:$AQ58,1,SUM(LARGE(IF($F58:$AQ58&lt;&gt;"",COLUMN($F58:$AQ58)),1)-5)),1)="x",SUM(LARGE(IF($F58:$AQ58&lt;&gt;"",$F$11:$AQ$11+"0:30:00"),1)-"0:15"),LARGE(IF($F58:$AQ58&lt;&gt;"",$F$11:$AQ$11+"0:30:00"),1)),"")</f>
        <v/>
      </c>
      <c r="F58" s="43" t="n"/>
      <c r="G58" s="42" t="n"/>
      <c r="H58" s="43" t="n"/>
      <c r="I58" s="42" t="n"/>
      <c r="J58" s="43" t="n"/>
      <c r="K58" s="41" t="n"/>
      <c r="L58" s="40" t="n"/>
      <c r="M58" s="42" t="n"/>
      <c r="N58" s="43" t="n"/>
      <c r="O58" s="41" t="n"/>
      <c r="P58" s="40" t="n"/>
      <c r="Q58" s="42" t="n"/>
      <c r="R58" s="43" t="n"/>
      <c r="S58" s="41" t="n"/>
      <c r="T58" s="40" t="n"/>
      <c r="U58" s="42" t="n"/>
      <c r="V58" s="43" t="n"/>
      <c r="W58" s="41" t="n"/>
      <c r="X58" s="40" t="n"/>
      <c r="Y58" s="42" t="n"/>
      <c r="Z58" s="43" t="n"/>
      <c r="AA58" s="41" t="n"/>
      <c r="AB58" s="40" t="n"/>
      <c r="AC58" s="42" t="n"/>
      <c r="AD58" s="43" t="n"/>
      <c r="AE58" s="41" t="n"/>
      <c r="AF58" s="40" t="n"/>
      <c r="AG58" s="42" t="n"/>
      <c r="AH58" s="43" t="n"/>
      <c r="AI58" s="41" t="n"/>
      <c r="AJ58" s="40" t="n"/>
      <c r="AK58" s="42" t="n"/>
      <c r="AL58" s="43" t="n"/>
      <c r="AM58" s="41" t="n"/>
      <c r="AN58" s="645" t="n"/>
      <c r="AO58" s="42" t="n"/>
      <c r="AP58" s="43" t="n"/>
      <c r="AQ58" s="42" t="n"/>
      <c r="AR58" s="888">
        <f>IFERROR(IF(VLOOKUP($B58,Medewerker!$C$8:$U$107,19,FALSE)="",VLOOKUP($B58,Medewerker!$C$8:$U$107,17,FALSE),0),0)</f>
        <v/>
      </c>
      <c r="AS58" s="888">
        <f>IFERROR(IF(B58="",1,IF(VLOOKUP($B58,Medewerker!$C$8:$U$107,19,FALSE)="",VLOOKUP($B58,Medewerker!$C$8:$U$107,18,FALSE),0)),0)</f>
        <v/>
      </c>
      <c r="AT58" s="45" t="n"/>
      <c r="AU58" s="46">
        <f>(COUNTIF(F58:AQ58,"afw"))/2</f>
        <v/>
      </c>
      <c r="AV58" s="111">
        <f>((38-(COUNTIF(F58:AQ58,"")))/2)-(COUNTIF(F58:AQ58,"p")/2)-(COUNTIF(F58:AQ58,CONCATENATE("x","*"))/4)</f>
        <v/>
      </c>
      <c r="AW58" s="73">
        <f>IF($B58="","",VLOOKUP($B58,Medewerker!$C$8:$E$107,3,FALSE))</f>
        <v/>
      </c>
      <c r="AX58" s="403">
        <f>IFERROR(VLOOKUP($B58,Planning!$B$6:$AG$105,32,FALSE)*24,"")</f>
        <v/>
      </c>
      <c r="AY58" s="411">
        <f>IF(Ma!AY58="","",Ma!AY58)</f>
        <v/>
      </c>
      <c r="AZ58" s="166">
        <f>IF(Ma!AZ58="","",Ma!AZ58)</f>
        <v/>
      </c>
      <c r="BA58" s="111">
        <f>IFERROR(IF(AY58="","",(COUNTIF($F$13:$AQ$63,CONCATENATE(AY58,"*"))/2+COUNTIF($F$13:$AQ$63,CONCATENATE("x",AY58,"*"))/4)),"")</f>
        <v/>
      </c>
      <c r="BB58" s="838" t="n"/>
      <c r="BC58" s="31">
        <f>IF(Planning!B51="","",Planning!B51)</f>
        <v/>
      </c>
      <c r="BD58" s="105" t="n"/>
      <c r="BE58" s="885">
        <f>Planning!E51</f>
        <v/>
      </c>
      <c r="BF58" s="885">
        <f>Planning!F51</f>
        <v/>
      </c>
      <c r="BG58" s="886" t="n"/>
      <c r="BH58" s="105" t="n"/>
      <c r="BI58" s="885">
        <f>Planning!I51</f>
        <v/>
      </c>
      <c r="BJ58" s="885">
        <f>Planning!J51</f>
        <v/>
      </c>
      <c r="BK58" s="886" t="n"/>
      <c r="BL58" s="105" t="n"/>
      <c r="BM58" s="885">
        <f>Planning!M51</f>
        <v/>
      </c>
      <c r="BN58" s="885">
        <f>Planning!N51</f>
        <v/>
      </c>
      <c r="BO58" s="886" t="n"/>
      <c r="BP58" s="105" t="n"/>
      <c r="BQ58" s="885">
        <f>Planning!Q51</f>
        <v/>
      </c>
      <c r="BR58" s="885">
        <f>Planning!R51</f>
        <v/>
      </c>
      <c r="BS58" s="886" t="n"/>
      <c r="BT58" s="105" t="n"/>
      <c r="BU58" s="885">
        <f>Planning!U51</f>
        <v/>
      </c>
      <c r="BV58" s="885">
        <f>Planning!V51</f>
        <v/>
      </c>
      <c r="BW58" s="886" t="n"/>
      <c r="BX58" s="105" t="n"/>
      <c r="BY58" s="885">
        <f>Planning!Y51</f>
        <v/>
      </c>
      <c r="BZ58" s="885">
        <f>Planning!Z51</f>
        <v/>
      </c>
      <c r="CA58" s="886" t="n"/>
      <c r="CB58" s="105" t="n"/>
      <c r="CC58" s="885">
        <f>Planning!AC51</f>
        <v/>
      </c>
      <c r="CD58" s="885">
        <f>Planning!AD51</f>
        <v/>
      </c>
      <c r="CE58" s="886" t="n"/>
      <c r="CF58" s="105" t="n"/>
      <c r="CG58" s="887">
        <f>Planning!AG51</f>
        <v/>
      </c>
      <c r="CH58" s="105" t="n"/>
      <c r="CI58" s="252">
        <f>IF(BC58="","",Planning!AI51)</f>
        <v/>
      </c>
      <c r="CJ58" s="252">
        <f>IF(BC58="","",Planning!AJ51)</f>
        <v/>
      </c>
      <c r="CK58" s="252">
        <f>IF(BC58="","",Planning!AK51)</f>
        <v/>
      </c>
      <c r="CL58" s="252">
        <f>IF(BC58="","",Planning!AH51)</f>
        <v/>
      </c>
      <c r="CM58" s="21" t="n"/>
    </row>
    <row r="59" ht="12.75" customHeight="1">
      <c r="A59" s="161">
        <f>IFERROR(IF(VLOOKUP($B59,$BC$13:$CL$86,36,FALSE)&gt;5,0,IF(COUNTIF($B$13:$B$63,$B59)&gt;1,0,47)),47)+IF(B59&lt;&gt;0,0,IF(AV59&gt;0,0.000001,0))</f>
        <v/>
      </c>
      <c r="B59" s="129" t="n"/>
      <c r="C59" s="48">
        <f>IFERROR(IF($B59="","",VLOOKUP($B59,Medewerker!$C$8:$AI$107,33,FALSE)),"?")</f>
        <v/>
      </c>
      <c r="D59" s="879">
        <f t="array" ref="D59">IFERROR(IF(LEFT(INDEX($F59:$AQ59,1,SUM(SMALL(IF($F59:$AQ59&lt;&gt;"",COLUMN($F59:$AQ59)),1)-5)),1)="x",SUM(SMALL(IF($F59:$AQ59&lt;&gt;"",$F$11:$AQ$11),1)+"0:15"),SMALL(IF($F59:$AQ59&lt;&gt;"",$F$11:$AQ$11),1)),"")</f>
        <v/>
      </c>
      <c r="E59" s="879">
        <f t="array" ref="E59">IFERROR(IF(LEFT(INDEX($F59:$AQ59,1,SUM(LARGE(IF($F59:$AQ59&lt;&gt;"",COLUMN($F59:$AQ59)),1)-5)),1)="x",SUM(LARGE(IF($F59:$AQ59&lt;&gt;"",$F$11:$AQ$11+"0:30:00"),1)-"0:15"),LARGE(IF($F59:$AQ59&lt;&gt;"",$F$11:$AQ$11+"0:30:00"),1)),"")</f>
        <v/>
      </c>
      <c r="F59" s="43" t="n"/>
      <c r="G59" s="42" t="n"/>
      <c r="H59" s="43" t="n"/>
      <c r="I59" s="42" t="n"/>
      <c r="J59" s="43" t="n"/>
      <c r="K59" s="41" t="n"/>
      <c r="L59" s="40" t="n"/>
      <c r="M59" s="42" t="n"/>
      <c r="N59" s="43" t="n"/>
      <c r="O59" s="41" t="n"/>
      <c r="P59" s="40" t="n"/>
      <c r="Q59" s="42" t="n"/>
      <c r="R59" s="43" t="n"/>
      <c r="S59" s="41" t="n"/>
      <c r="T59" s="40" t="n"/>
      <c r="U59" s="42" t="n"/>
      <c r="V59" s="43" t="n"/>
      <c r="W59" s="41" t="n"/>
      <c r="X59" s="40" t="n"/>
      <c r="Y59" s="42" t="n"/>
      <c r="Z59" s="43" t="n"/>
      <c r="AA59" s="41" t="n"/>
      <c r="AB59" s="40" t="n"/>
      <c r="AC59" s="42" t="n"/>
      <c r="AD59" s="43" t="n"/>
      <c r="AE59" s="41" t="n"/>
      <c r="AF59" s="40" t="n"/>
      <c r="AG59" s="42" t="n"/>
      <c r="AH59" s="43" t="n"/>
      <c r="AI59" s="41" t="n"/>
      <c r="AJ59" s="40" t="n"/>
      <c r="AK59" s="42" t="n"/>
      <c r="AL59" s="43" t="n"/>
      <c r="AM59" s="41" t="n"/>
      <c r="AN59" s="645" t="n"/>
      <c r="AO59" s="42" t="n"/>
      <c r="AP59" s="43" t="n"/>
      <c r="AQ59" s="42" t="n"/>
      <c r="AR59" s="888">
        <f>IFERROR(IF(VLOOKUP($B59,Medewerker!$C$8:$U$107,19,FALSE)="",VLOOKUP($B59,Medewerker!$C$8:$U$107,17,FALSE),0),0)</f>
        <v/>
      </c>
      <c r="AS59" s="888">
        <f>IFERROR(IF(B59="",1,IF(VLOOKUP($B59,Medewerker!$C$8:$U$107,19,FALSE)="",VLOOKUP($B59,Medewerker!$C$8:$U$107,18,FALSE),0)),0)</f>
        <v/>
      </c>
      <c r="AT59" s="45" t="n"/>
      <c r="AU59" s="46">
        <f>(COUNTIF(F59:AQ59,"afw"))/2</f>
        <v/>
      </c>
      <c r="AV59" s="111">
        <f>((38-(COUNTIF(F59:AQ59,"")))/2)-(COUNTIF(F59:AQ59,"p")/2)-(COUNTIF(F59:AQ59,CONCATENATE("x","*"))/4)</f>
        <v/>
      </c>
      <c r="AW59" s="73">
        <f>IF($B59="","",VLOOKUP($B59,Medewerker!$C$8:$E$107,3,FALSE))</f>
        <v/>
      </c>
      <c r="AX59" s="403">
        <f>IFERROR(VLOOKUP($B59,Planning!$B$6:$AG$105,32,FALSE)*24,"")</f>
        <v/>
      </c>
      <c r="AY59" s="411">
        <f>IF(Ma!AY59="","",Ma!AY59)</f>
        <v/>
      </c>
      <c r="AZ59" s="166">
        <f>IF(Ma!AZ59="","",Ma!AZ59)</f>
        <v/>
      </c>
      <c r="BA59" s="111">
        <f>IFERROR(IF(AY59="","",(COUNTIF($F$13:$AQ$63,CONCATENATE(AY59,"*"))/2+COUNTIF($F$13:$AQ$63,CONCATENATE("x",AY59,"*"))/4)),"")</f>
        <v/>
      </c>
      <c r="BB59" s="838" t="n"/>
      <c r="BC59" s="31">
        <f>IF(Planning!B52="","",Planning!B52)</f>
        <v/>
      </c>
      <c r="BD59" s="105" t="n"/>
      <c r="BE59" s="885">
        <f>Planning!E52</f>
        <v/>
      </c>
      <c r="BF59" s="885">
        <f>Planning!F52</f>
        <v/>
      </c>
      <c r="BG59" s="886" t="n"/>
      <c r="BH59" s="105" t="n"/>
      <c r="BI59" s="885">
        <f>Planning!I52</f>
        <v/>
      </c>
      <c r="BJ59" s="885">
        <f>Planning!J52</f>
        <v/>
      </c>
      <c r="BK59" s="886" t="n"/>
      <c r="BL59" s="105" t="n"/>
      <c r="BM59" s="885">
        <f>Planning!M52</f>
        <v/>
      </c>
      <c r="BN59" s="885">
        <f>Planning!N52</f>
        <v/>
      </c>
      <c r="BO59" s="886" t="n"/>
      <c r="BP59" s="105" t="n"/>
      <c r="BQ59" s="885">
        <f>Planning!Q52</f>
        <v/>
      </c>
      <c r="BR59" s="885">
        <f>Planning!R52</f>
        <v/>
      </c>
      <c r="BS59" s="886" t="n"/>
      <c r="BT59" s="105" t="n"/>
      <c r="BU59" s="885">
        <f>Planning!U52</f>
        <v/>
      </c>
      <c r="BV59" s="885">
        <f>Planning!V52</f>
        <v/>
      </c>
      <c r="BW59" s="886" t="n"/>
      <c r="BX59" s="105" t="n"/>
      <c r="BY59" s="885">
        <f>Planning!Y52</f>
        <v/>
      </c>
      <c r="BZ59" s="885">
        <f>Planning!Z52</f>
        <v/>
      </c>
      <c r="CA59" s="886" t="n"/>
      <c r="CB59" s="105" t="n"/>
      <c r="CC59" s="885">
        <f>Planning!AC52</f>
        <v/>
      </c>
      <c r="CD59" s="885">
        <f>Planning!AD52</f>
        <v/>
      </c>
      <c r="CE59" s="886" t="n"/>
      <c r="CF59" s="105" t="n"/>
      <c r="CG59" s="887">
        <f>Planning!AG52</f>
        <v/>
      </c>
      <c r="CH59" s="105" t="n"/>
      <c r="CI59" s="252">
        <f>IF(BC59="","",Planning!AI52)</f>
        <v/>
      </c>
      <c r="CJ59" s="252">
        <f>IF(BC59="","",Planning!AJ52)</f>
        <v/>
      </c>
      <c r="CK59" s="252">
        <f>IF(BC59="","",Planning!AK52)</f>
        <v/>
      </c>
      <c r="CL59" s="252">
        <f>IF(BC59="","",Planning!AH52)</f>
        <v/>
      </c>
      <c r="CM59" s="21" t="n"/>
    </row>
    <row r="60" ht="12.75" customHeight="1">
      <c r="A60" s="161">
        <f>IFERROR(IF(VLOOKUP($B60,$BC$13:$CL$86,36,FALSE)&gt;5,0,IF(COUNTIF($B$13:$B$63,$B60)&gt;1,0,48)),48)+IF(B60&lt;&gt;0,0,IF(AV60&gt;0,0.000001,0))</f>
        <v/>
      </c>
      <c r="B60" s="129" t="n"/>
      <c r="C60" s="48">
        <f>IFERROR(IF($B60="","",VLOOKUP($B60,Medewerker!$C$8:$AI$107,33,FALSE)),"?")</f>
        <v/>
      </c>
      <c r="D60" s="879">
        <f t="array" ref="D60">IFERROR(IF(LEFT(INDEX($F60:$AQ60,1,SUM(SMALL(IF($F60:$AQ60&lt;&gt;"",COLUMN($F60:$AQ60)),1)-5)),1)="x",SUM(SMALL(IF($F60:$AQ60&lt;&gt;"",$F$11:$AQ$11),1)+"0:15"),SMALL(IF($F60:$AQ60&lt;&gt;"",$F$11:$AQ$11),1)),"")</f>
        <v/>
      </c>
      <c r="E60" s="879">
        <f t="array" ref="E60">IFERROR(IF(LEFT(INDEX($F60:$AQ60,1,SUM(LARGE(IF($F60:$AQ60&lt;&gt;"",COLUMN($F60:$AQ60)),1)-5)),1)="x",SUM(LARGE(IF($F60:$AQ60&lt;&gt;"",$F$11:$AQ$11+"0:30:00"),1)-"0:15"),LARGE(IF($F60:$AQ60&lt;&gt;"",$F$11:$AQ$11+"0:30:00"),1)),"")</f>
        <v/>
      </c>
      <c r="F60" s="43" t="n"/>
      <c r="G60" s="42" t="n"/>
      <c r="H60" s="43" t="n"/>
      <c r="I60" s="42" t="n"/>
      <c r="J60" s="43" t="n"/>
      <c r="K60" s="41" t="n"/>
      <c r="L60" s="40" t="n"/>
      <c r="M60" s="42" t="n"/>
      <c r="N60" s="43" t="n"/>
      <c r="O60" s="41" t="n"/>
      <c r="P60" s="40" t="n"/>
      <c r="Q60" s="42" t="n"/>
      <c r="R60" s="43" t="n"/>
      <c r="S60" s="41" t="n"/>
      <c r="T60" s="40" t="n"/>
      <c r="U60" s="42" t="n"/>
      <c r="V60" s="43" t="n"/>
      <c r="W60" s="41" t="n"/>
      <c r="X60" s="40" t="n"/>
      <c r="Y60" s="42" t="n"/>
      <c r="Z60" s="43" t="n"/>
      <c r="AA60" s="41" t="n"/>
      <c r="AB60" s="40" t="n"/>
      <c r="AC60" s="42" t="n"/>
      <c r="AD60" s="43" t="n"/>
      <c r="AE60" s="41" t="n"/>
      <c r="AF60" s="40" t="n"/>
      <c r="AG60" s="42" t="n"/>
      <c r="AH60" s="43" t="n"/>
      <c r="AI60" s="41" t="n"/>
      <c r="AJ60" s="40" t="n"/>
      <c r="AK60" s="42" t="n"/>
      <c r="AL60" s="43" t="n"/>
      <c r="AM60" s="41" t="n"/>
      <c r="AN60" s="645" t="n"/>
      <c r="AO60" s="42" t="n"/>
      <c r="AP60" s="43" t="n"/>
      <c r="AQ60" s="42" t="n"/>
      <c r="AR60" s="888">
        <f>IFERROR(IF(VLOOKUP($B60,Medewerker!$C$8:$U$107,19,FALSE)="",VLOOKUP($B60,Medewerker!$C$8:$U$107,17,FALSE),0),0)</f>
        <v/>
      </c>
      <c r="AS60" s="888">
        <f>IFERROR(IF(B60="",1,IF(VLOOKUP($B60,Medewerker!$C$8:$U$107,19,FALSE)="",VLOOKUP($B60,Medewerker!$C$8:$U$107,18,FALSE),0)),0)</f>
        <v/>
      </c>
      <c r="AT60" s="45" t="n"/>
      <c r="AU60" s="46">
        <f>(COUNTIF(F60:AQ60,"afw"))/2</f>
        <v/>
      </c>
      <c r="AV60" s="111">
        <f>((38-(COUNTIF(F60:AQ60,"")))/2)-(COUNTIF(F60:AQ60,"p")/2)-(COUNTIF(F60:AQ60,CONCATENATE("x","*"))/4)</f>
        <v/>
      </c>
      <c r="AW60" s="73">
        <f>IF($B60="","",VLOOKUP($B60,Medewerker!$C$8:$E$107,3,FALSE))</f>
        <v/>
      </c>
      <c r="AX60" s="403">
        <f>IFERROR(VLOOKUP($B60,Planning!$B$6:$AG$105,32,FALSE)*24,"")</f>
        <v/>
      </c>
      <c r="AY60" s="411">
        <f>IF(Ma!AY60="","",Ma!AY60)</f>
        <v/>
      </c>
      <c r="AZ60" s="166">
        <f>IF(Ma!AZ60="","",Ma!AZ60)</f>
        <v/>
      </c>
      <c r="BA60" s="111">
        <f>IFERROR(IF(AY60="","",(COUNTIF($F$13:$AQ$63,CONCATENATE(AY60,"*"))/2+COUNTIF($F$13:$AQ$63,CONCATENATE("x",AY60,"*"))/4)),"")</f>
        <v/>
      </c>
      <c r="BB60" s="838" t="n"/>
      <c r="BC60" s="31">
        <f>IF(Planning!B53="","",Planning!B53)</f>
        <v/>
      </c>
      <c r="BD60" s="105" t="n"/>
      <c r="BE60" s="885">
        <f>Planning!E53</f>
        <v/>
      </c>
      <c r="BF60" s="885">
        <f>Planning!F53</f>
        <v/>
      </c>
      <c r="BG60" s="886" t="n"/>
      <c r="BH60" s="105" t="n"/>
      <c r="BI60" s="885">
        <f>Planning!I53</f>
        <v/>
      </c>
      <c r="BJ60" s="885">
        <f>Planning!J53</f>
        <v/>
      </c>
      <c r="BK60" s="886" t="n"/>
      <c r="BL60" s="105" t="n"/>
      <c r="BM60" s="885">
        <f>Planning!M53</f>
        <v/>
      </c>
      <c r="BN60" s="885">
        <f>Planning!N53</f>
        <v/>
      </c>
      <c r="BO60" s="886" t="n"/>
      <c r="BP60" s="105" t="n"/>
      <c r="BQ60" s="885">
        <f>Planning!Q53</f>
        <v/>
      </c>
      <c r="BR60" s="885">
        <f>Planning!R53</f>
        <v/>
      </c>
      <c r="BS60" s="886" t="n"/>
      <c r="BT60" s="105" t="n"/>
      <c r="BU60" s="885">
        <f>Planning!U53</f>
        <v/>
      </c>
      <c r="BV60" s="885">
        <f>Planning!V53</f>
        <v/>
      </c>
      <c r="BW60" s="886" t="n"/>
      <c r="BX60" s="105" t="n"/>
      <c r="BY60" s="885">
        <f>Planning!Y53</f>
        <v/>
      </c>
      <c r="BZ60" s="885">
        <f>Planning!Z53</f>
        <v/>
      </c>
      <c r="CA60" s="886" t="n"/>
      <c r="CB60" s="105" t="n"/>
      <c r="CC60" s="885">
        <f>Planning!AC53</f>
        <v/>
      </c>
      <c r="CD60" s="885">
        <f>Planning!AD53</f>
        <v/>
      </c>
      <c r="CE60" s="886" t="n"/>
      <c r="CF60" s="105" t="n"/>
      <c r="CG60" s="887">
        <f>Planning!AG53</f>
        <v/>
      </c>
      <c r="CH60" s="105" t="n"/>
      <c r="CI60" s="252">
        <f>IF(BC60="","",Planning!AI53)</f>
        <v/>
      </c>
      <c r="CJ60" s="252">
        <f>IF(BC60="","",Planning!AJ53)</f>
        <v/>
      </c>
      <c r="CK60" s="252">
        <f>IF(BC60="","",Planning!AK53)</f>
        <v/>
      </c>
      <c r="CL60" s="252">
        <f>IF(BC60="","",Planning!AH53)</f>
        <v/>
      </c>
      <c r="CM60" s="21" t="n"/>
    </row>
    <row r="61" ht="12.75" customHeight="1">
      <c r="A61" s="161">
        <f>IFERROR(IF(VLOOKUP($B61,$BC$13:$CL$86,36,FALSE)&gt;5,0,IF(COUNTIF($B$13:$B$63,$B61)&gt;1,0,49)),49)+IF(B61&lt;&gt;0,0,IF(AV61&gt;0,0.000001,0))</f>
        <v/>
      </c>
      <c r="B61" s="129" t="n"/>
      <c r="C61" s="48">
        <f>IFERROR(IF($B61="","",VLOOKUP($B61,Medewerker!$C$8:$AI$107,33,FALSE)),"?")</f>
        <v/>
      </c>
      <c r="D61" s="879">
        <f t="array" ref="D61">IFERROR(IF(LEFT(INDEX($F61:$AQ61,1,SUM(SMALL(IF($F61:$AQ61&lt;&gt;"",COLUMN($F61:$AQ61)),1)-5)),1)="x",SUM(SMALL(IF($F61:$AQ61&lt;&gt;"",$F$11:$AQ$11),1)+"0:15"),SMALL(IF($F61:$AQ61&lt;&gt;"",$F$11:$AQ$11),1)),"")</f>
        <v/>
      </c>
      <c r="E61" s="879">
        <f t="array" ref="E61">IFERROR(IF(LEFT(INDEX($F61:$AQ61,1,SUM(LARGE(IF($F61:$AQ61&lt;&gt;"",COLUMN($F61:$AQ61)),1)-5)),1)="x",SUM(LARGE(IF($F61:$AQ61&lt;&gt;"",$F$11:$AQ$11+"0:30:00"),1)-"0:15"),LARGE(IF($F61:$AQ61&lt;&gt;"",$F$11:$AQ$11+"0:30:00"),1)),"")</f>
        <v/>
      </c>
      <c r="F61" s="43" t="n"/>
      <c r="G61" s="42" t="n"/>
      <c r="H61" s="43" t="n"/>
      <c r="I61" s="42" t="n"/>
      <c r="J61" s="43" t="n"/>
      <c r="K61" s="41" t="n"/>
      <c r="L61" s="40" t="n"/>
      <c r="M61" s="42" t="n"/>
      <c r="N61" s="43" t="n"/>
      <c r="O61" s="41" t="n"/>
      <c r="P61" s="40" t="n"/>
      <c r="Q61" s="42" t="n"/>
      <c r="R61" s="43" t="n"/>
      <c r="S61" s="41" t="n"/>
      <c r="T61" s="40" t="n"/>
      <c r="U61" s="42" t="n"/>
      <c r="V61" s="43" t="n"/>
      <c r="W61" s="41" t="n"/>
      <c r="X61" s="40" t="n"/>
      <c r="Y61" s="42" t="n"/>
      <c r="Z61" s="43" t="n"/>
      <c r="AA61" s="41" t="n"/>
      <c r="AB61" s="40" t="n"/>
      <c r="AC61" s="42" t="n"/>
      <c r="AD61" s="43" t="n"/>
      <c r="AE61" s="41" t="n"/>
      <c r="AF61" s="40" t="n"/>
      <c r="AG61" s="42" t="n"/>
      <c r="AH61" s="43" t="n"/>
      <c r="AI61" s="41" t="n"/>
      <c r="AJ61" s="40" t="n"/>
      <c r="AK61" s="42" t="n"/>
      <c r="AL61" s="43" t="n"/>
      <c r="AM61" s="41" t="n"/>
      <c r="AN61" s="645" t="n"/>
      <c r="AO61" s="42" t="n"/>
      <c r="AP61" s="43" t="n"/>
      <c r="AQ61" s="42" t="n"/>
      <c r="AR61" s="888">
        <f>IFERROR(IF(VLOOKUP($B61,Medewerker!$C$8:$U$107,19,FALSE)="",VLOOKUP($B61,Medewerker!$C$8:$U$107,17,FALSE),0),0)</f>
        <v/>
      </c>
      <c r="AS61" s="888">
        <f>IFERROR(IF(B61="",1,IF(VLOOKUP($B61,Medewerker!$C$8:$U$107,19,FALSE)="",VLOOKUP($B61,Medewerker!$C$8:$U$107,18,FALSE),0)),0)</f>
        <v/>
      </c>
      <c r="AT61" s="45" t="n"/>
      <c r="AU61" s="46">
        <f>(COUNTIF(F61:AQ61,"afw"))/2</f>
        <v/>
      </c>
      <c r="AV61" s="111">
        <f>((38-(COUNTIF(F61:AQ61,"")))/2)-(COUNTIF(F61:AQ61,"p")/2)-(COUNTIF(F61:AQ61,CONCATENATE("x","*"))/4)</f>
        <v/>
      </c>
      <c r="AW61" s="73">
        <f>IF($B61="","",VLOOKUP($B61,Medewerker!$C$8:$E$107,3,FALSE))</f>
        <v/>
      </c>
      <c r="AX61" s="403">
        <f>IFERROR(VLOOKUP($B61,Planning!$B$6:$AG$105,32,FALSE)*24,"")</f>
        <v/>
      </c>
      <c r="AY61" s="892" t="inlineStr">
        <is>
          <t>Taken zonder legenda</t>
        </is>
      </c>
      <c r="AZ61" s="893" t="n"/>
      <c r="BA61" s="565">
        <f>$BA$65</f>
        <v/>
      </c>
      <c r="BB61" s="838" t="n"/>
      <c r="BC61" s="31">
        <f>IF(Planning!B54="","",Planning!B54)</f>
        <v/>
      </c>
      <c r="BD61" s="105" t="n"/>
      <c r="BE61" s="885">
        <f>Planning!E54</f>
        <v/>
      </c>
      <c r="BF61" s="885">
        <f>Planning!F54</f>
        <v/>
      </c>
      <c r="BG61" s="886" t="n"/>
      <c r="BH61" s="105" t="n"/>
      <c r="BI61" s="885">
        <f>Planning!I54</f>
        <v/>
      </c>
      <c r="BJ61" s="885">
        <f>Planning!J54</f>
        <v/>
      </c>
      <c r="BK61" s="886" t="n"/>
      <c r="BL61" s="105" t="n"/>
      <c r="BM61" s="885">
        <f>Planning!M54</f>
        <v/>
      </c>
      <c r="BN61" s="885">
        <f>Planning!N54</f>
        <v/>
      </c>
      <c r="BO61" s="886" t="n"/>
      <c r="BP61" s="105" t="n"/>
      <c r="BQ61" s="885">
        <f>Planning!Q54</f>
        <v/>
      </c>
      <c r="BR61" s="885">
        <f>Planning!R54</f>
        <v/>
      </c>
      <c r="BS61" s="886" t="n"/>
      <c r="BT61" s="105" t="n"/>
      <c r="BU61" s="885">
        <f>Planning!U54</f>
        <v/>
      </c>
      <c r="BV61" s="885">
        <f>Planning!V54</f>
        <v/>
      </c>
      <c r="BW61" s="886" t="n"/>
      <c r="BX61" s="105" t="n"/>
      <c r="BY61" s="885">
        <f>Planning!Y54</f>
        <v/>
      </c>
      <c r="BZ61" s="885">
        <f>Planning!Z54</f>
        <v/>
      </c>
      <c r="CA61" s="886" t="n"/>
      <c r="CB61" s="105" t="n"/>
      <c r="CC61" s="885">
        <f>Planning!AC54</f>
        <v/>
      </c>
      <c r="CD61" s="885">
        <f>Planning!AD54</f>
        <v/>
      </c>
      <c r="CE61" s="886" t="n"/>
      <c r="CF61" s="105" t="n"/>
      <c r="CG61" s="887">
        <f>Planning!AG54</f>
        <v/>
      </c>
      <c r="CH61" s="105" t="n"/>
      <c r="CI61" s="252">
        <f>IF(BC61="","",Planning!AI54)</f>
        <v/>
      </c>
      <c r="CJ61" s="252">
        <f>IF(BC61="","",Planning!AJ54)</f>
        <v/>
      </c>
      <c r="CK61" s="252">
        <f>IF(BC61="","",Planning!AK54)</f>
        <v/>
      </c>
      <c r="CL61" s="252">
        <f>IF(BC61="","",Planning!AH54)</f>
        <v/>
      </c>
      <c r="CM61" s="21" t="n"/>
    </row>
    <row r="62" ht="12.75" customHeight="1">
      <c r="A62" s="161">
        <f>IFERROR(IF(VLOOKUP($B62,$BC$13:$CL$86,36,FALSE)&gt;5,0,IF(COUNTIF($B$13:$B$63,$B62)&gt;1,0,50)),50)+IF(B62&lt;&gt;0,0,IF(AV62&gt;0,0.000001,0))</f>
        <v/>
      </c>
      <c r="B62" s="129" t="n"/>
      <c r="C62" s="48">
        <f>IFERROR(IF($B62="","",VLOOKUP($B62,Medewerker!$C$8:$AI$107,33,FALSE)),"?")</f>
        <v/>
      </c>
      <c r="D62" s="879">
        <f t="array" ref="D62">IFERROR(IF(LEFT(INDEX($F62:$AQ62,1,SUM(SMALL(IF($F62:$AQ62&lt;&gt;"",COLUMN($F62:$AQ62)),1)-5)),1)="x",SUM(SMALL(IF($F62:$AQ62&lt;&gt;"",$F$11:$AQ$11),1)+"0:15"),SMALL(IF($F62:$AQ62&lt;&gt;"",$F$11:$AQ$11),1)),"")</f>
        <v/>
      </c>
      <c r="E62" s="879">
        <f t="array" ref="E62">IFERROR(IF(LEFT(INDEX($F62:$AQ62,1,SUM(LARGE(IF($F62:$AQ62&lt;&gt;"",COLUMN($F62:$AQ62)),1)-5)),1)="x",SUM(LARGE(IF($F62:$AQ62&lt;&gt;"",$F$11:$AQ$11+"0:30:00"),1)-"0:15"),LARGE(IF($F62:$AQ62&lt;&gt;"",$F$11:$AQ$11+"0:30:00"),1)),"")</f>
        <v/>
      </c>
      <c r="F62" s="43" t="n"/>
      <c r="G62" s="42" t="n"/>
      <c r="H62" s="43" t="n"/>
      <c r="I62" s="42" t="n"/>
      <c r="J62" s="43" t="n"/>
      <c r="K62" s="41" t="n"/>
      <c r="L62" s="40" t="n"/>
      <c r="M62" s="42" t="n"/>
      <c r="N62" s="43" t="n"/>
      <c r="O62" s="41" t="n"/>
      <c r="P62" s="40" t="n"/>
      <c r="Q62" s="42" t="n"/>
      <c r="R62" s="43" t="n"/>
      <c r="S62" s="41" t="n"/>
      <c r="T62" s="40" t="n"/>
      <c r="U62" s="42" t="n"/>
      <c r="V62" s="43" t="n"/>
      <c r="W62" s="41" t="n"/>
      <c r="X62" s="40" t="n"/>
      <c r="Y62" s="42" t="n"/>
      <c r="Z62" s="43" t="n"/>
      <c r="AA62" s="41" t="n"/>
      <c r="AB62" s="40" t="n"/>
      <c r="AC62" s="42" t="n"/>
      <c r="AD62" s="43" t="n"/>
      <c r="AE62" s="41" t="n"/>
      <c r="AF62" s="40" t="n"/>
      <c r="AG62" s="42" t="n"/>
      <c r="AH62" s="43" t="n"/>
      <c r="AI62" s="41" t="n"/>
      <c r="AJ62" s="40" t="n"/>
      <c r="AK62" s="42" t="n"/>
      <c r="AL62" s="43" t="n"/>
      <c r="AM62" s="41" t="n"/>
      <c r="AN62" s="645" t="n"/>
      <c r="AO62" s="42" t="n"/>
      <c r="AP62" s="43" t="n"/>
      <c r="AQ62" s="42" t="n"/>
      <c r="AR62" s="888">
        <f>IFERROR(IF(VLOOKUP($B62,Medewerker!$C$8:$U$107,19,FALSE)="",VLOOKUP($B62,Medewerker!$C$8:$U$107,17,FALSE),0),0)</f>
        <v/>
      </c>
      <c r="AS62" s="888">
        <f>IFERROR(IF(B62="",1,IF(VLOOKUP($B62,Medewerker!$C$8:$U$107,19,FALSE)="",VLOOKUP($B62,Medewerker!$C$8:$U$107,18,FALSE),0)),0)</f>
        <v/>
      </c>
      <c r="AT62" s="45" t="n"/>
      <c r="AU62" s="46">
        <f>(COUNTIF(F62:AQ62,"afw"))/2</f>
        <v/>
      </c>
      <c r="AV62" s="111">
        <f>((38-(COUNTIF(F62:AQ62,"")))/2)-(COUNTIF(F62:AQ62,"p")/2)-(COUNTIF(F62:AQ62,CONCATENATE("x","*"))/4)</f>
        <v/>
      </c>
      <c r="AW62" s="73">
        <f>IF($B62="","",VLOOKUP($B62,Medewerker!$C$8:$E$107,3,FALSE))</f>
        <v/>
      </c>
      <c r="AX62" s="403">
        <f>IFERROR(VLOOKUP($B62,Planning!$B$6:$AG$105,32,FALSE)*24,"")</f>
        <v/>
      </c>
      <c r="AY62" s="409" t="inlineStr">
        <is>
          <t>p</t>
        </is>
      </c>
      <c r="AZ62" s="167" t="inlineStr">
        <is>
          <t>Pauze (onbetaald)</t>
        </is>
      </c>
      <c r="BA62" s="410">
        <f>MAX((COUNTIF($F$13:$AQ$63,CONCATENATE(AY62,"*"))/2+COUNTIF($F$13:$AQ$63,CONCATENATE("x",AY62,"*"))/4)-SUM(BA57,BA51,BA45,BA44),0)</f>
        <v/>
      </c>
      <c r="BB62" s="838" t="n"/>
      <c r="BC62" s="31">
        <f>IF(Planning!B55="","",Planning!B55)</f>
        <v/>
      </c>
      <c r="BD62" s="105" t="n"/>
      <c r="BE62" s="885">
        <f>Planning!E55</f>
        <v/>
      </c>
      <c r="BF62" s="885">
        <f>Planning!F55</f>
        <v/>
      </c>
      <c r="BG62" s="886" t="n"/>
      <c r="BH62" s="105" t="n"/>
      <c r="BI62" s="885">
        <f>Planning!I55</f>
        <v/>
      </c>
      <c r="BJ62" s="885">
        <f>Planning!J55</f>
        <v/>
      </c>
      <c r="BK62" s="886" t="n"/>
      <c r="BL62" s="105" t="n"/>
      <c r="BM62" s="885">
        <f>Planning!M55</f>
        <v/>
      </c>
      <c r="BN62" s="885">
        <f>Planning!N55</f>
        <v/>
      </c>
      <c r="BO62" s="886" t="n"/>
      <c r="BP62" s="105" t="n"/>
      <c r="BQ62" s="885">
        <f>Planning!Q55</f>
        <v/>
      </c>
      <c r="BR62" s="885">
        <f>Planning!R55</f>
        <v/>
      </c>
      <c r="BS62" s="886" t="n"/>
      <c r="BT62" s="105" t="n"/>
      <c r="BU62" s="885">
        <f>Planning!U55</f>
        <v/>
      </c>
      <c r="BV62" s="885">
        <f>Planning!V55</f>
        <v/>
      </c>
      <c r="BW62" s="886" t="n"/>
      <c r="BX62" s="105" t="n"/>
      <c r="BY62" s="885">
        <f>Planning!Y55</f>
        <v/>
      </c>
      <c r="BZ62" s="885">
        <f>Planning!Z55</f>
        <v/>
      </c>
      <c r="CA62" s="886" t="n"/>
      <c r="CB62" s="105" t="n"/>
      <c r="CC62" s="885">
        <f>Planning!AC55</f>
        <v/>
      </c>
      <c r="CD62" s="885">
        <f>Planning!AD55</f>
        <v/>
      </c>
      <c r="CE62" s="886" t="n"/>
      <c r="CF62" s="105" t="n"/>
      <c r="CG62" s="887">
        <f>Planning!AG55</f>
        <v/>
      </c>
      <c r="CH62" s="105" t="n"/>
      <c r="CI62" s="252">
        <f>IF(BC62="","",Planning!AI55)</f>
        <v/>
      </c>
      <c r="CJ62" s="252">
        <f>IF(BC62="","",Planning!AJ55)</f>
        <v/>
      </c>
      <c r="CK62" s="252">
        <f>IF(BC62="","",Planning!AK55)</f>
        <v/>
      </c>
      <c r="CL62" s="252">
        <f>IF(BC62="","",Planning!AH55)</f>
        <v/>
      </c>
      <c r="CM62" s="21" t="n"/>
    </row>
    <row r="63" ht="12.75" customHeight="1">
      <c r="A63" s="161">
        <f>IFERROR(IF(VLOOKUP($B63,$BC$13:$CL$86,36,FALSE)&gt;5,0,IF(COUNTIF($B$13:$B$63,$B63)&gt;1,0,51)),51)+IF(B63&lt;&gt;0,0,IF(AV63&gt;0,0.000001,0))</f>
        <v/>
      </c>
      <c r="B63" s="130" t="n"/>
      <c r="C63" s="131">
        <f>IFERROR(IF($B63="","",VLOOKUP($B63,Medewerker!$C$8:$AI$107,33,FALSE)),"?")</f>
        <v/>
      </c>
      <c r="D63" s="894">
        <f t="array" ref="D63">IFERROR(IF(LEFT(INDEX($F63:$AQ63,1,SUM(SMALL(IF($F63:$AQ63&lt;&gt;"",COLUMN($F63:$AQ63)),1)-5)),1)="x",SUM(SMALL(IF($F63:$AQ63&lt;&gt;"",$F$11:$AQ$11),1)+"0:15"),SMALL(IF($F63:$AQ63&lt;&gt;"",$F$11:$AQ$11),1)),"")</f>
        <v/>
      </c>
      <c r="E63" s="894">
        <f t="array" ref="E63">IFERROR(IF(LEFT(INDEX($F63:$AQ63,1,SUM(LARGE(IF($F63:$AQ63&lt;&gt;"",COLUMN($F63:$AQ63)),1)-5)),1)="x",SUM(LARGE(IF($F63:$AQ63&lt;&gt;"",$F$11:$AQ$11+"0:30:00"),1)-"0:15"),LARGE(IF($F63:$AQ63&lt;&gt;"",$F$11:$AQ$11+"0:30:00"),1)),"")</f>
        <v/>
      </c>
      <c r="F63" s="133" t="n"/>
      <c r="G63" s="134" t="n"/>
      <c r="H63" s="133" t="n"/>
      <c r="I63" s="134" t="n"/>
      <c r="J63" s="133" t="n"/>
      <c r="K63" s="135" t="n"/>
      <c r="L63" s="136" t="n"/>
      <c r="M63" s="134" t="n"/>
      <c r="N63" s="133" t="n"/>
      <c r="O63" s="135" t="n"/>
      <c r="P63" s="136" t="n"/>
      <c r="Q63" s="134" t="n"/>
      <c r="R63" s="133" t="n"/>
      <c r="S63" s="135" t="n"/>
      <c r="T63" s="136" t="n"/>
      <c r="U63" s="134" t="n"/>
      <c r="V63" s="133" t="n"/>
      <c r="W63" s="135" t="n"/>
      <c r="X63" s="136" t="n"/>
      <c r="Y63" s="134" t="n"/>
      <c r="Z63" s="133" t="n"/>
      <c r="AA63" s="135" t="n"/>
      <c r="AB63" s="136" t="n"/>
      <c r="AC63" s="134" t="n"/>
      <c r="AD63" s="133" t="n"/>
      <c r="AE63" s="135" t="n"/>
      <c r="AF63" s="136" t="n"/>
      <c r="AG63" s="134" t="n"/>
      <c r="AH63" s="133" t="n"/>
      <c r="AI63" s="135" t="n"/>
      <c r="AJ63" s="136" t="n"/>
      <c r="AK63" s="134" t="n"/>
      <c r="AL63" s="133" t="n"/>
      <c r="AM63" s="135" t="n"/>
      <c r="AN63" s="646" t="n"/>
      <c r="AO63" s="134" t="n"/>
      <c r="AP63" s="133" t="n"/>
      <c r="AQ63" s="134" t="n"/>
      <c r="AR63" s="895">
        <f>IFERROR(IF(VLOOKUP($B63,Medewerker!$C$8:$U$107,19,FALSE)="",VLOOKUP($B63,Medewerker!$C$8:$U$107,17,FALSE),0),0)</f>
        <v/>
      </c>
      <c r="AS63" s="895">
        <f>IFERROR(IF(B63="",1,IF(VLOOKUP($B63,Medewerker!$C$8:$U$107,19,FALSE)="",VLOOKUP($B63,Medewerker!$C$8:$U$107,18,FALSE),0)),0)</f>
        <v/>
      </c>
      <c r="AT63" s="138" t="n"/>
      <c r="AU63" s="139">
        <f>(COUNTIF(F63:AQ63,"afw"))/2</f>
        <v/>
      </c>
      <c r="AV63" s="140">
        <f>((38-(COUNTIF(F63:AQ63,"")))/2)-(COUNTIF(F63:AQ63,"p")/2)-(COUNTIF(F63:AQ63,CONCATENATE("x","*"))/4)</f>
        <v/>
      </c>
      <c r="AW63" s="402">
        <f>IF($B63="","",VLOOKUP($B63,Medewerker!$C$8:$E$107,3,FALSE))</f>
        <v/>
      </c>
      <c r="AX63" s="405">
        <f>IFERROR(VLOOKUP($B63,Planning!$B$6:$AG$105,32,FALSE)*24,"")</f>
        <v/>
      </c>
      <c r="AY63" s="462" t="inlineStr">
        <is>
          <t>afw</t>
        </is>
      </c>
      <c r="AZ63" s="463" t="inlineStr">
        <is>
          <t>Afwezig / ziek</t>
        </is>
      </c>
      <c r="BA63" s="464">
        <f>SUM(AU13:AU63)</f>
        <v/>
      </c>
      <c r="BB63" s="838" t="n"/>
      <c r="BC63" s="31">
        <f>IF(Planning!B56="","",Planning!B56)</f>
        <v/>
      </c>
      <c r="BD63" s="105" t="n"/>
      <c r="BE63" s="885">
        <f>Planning!E56</f>
        <v/>
      </c>
      <c r="BF63" s="885">
        <f>Planning!F56</f>
        <v/>
      </c>
      <c r="BG63" s="886" t="n"/>
      <c r="BH63" s="105" t="n"/>
      <c r="BI63" s="885">
        <f>Planning!I56</f>
        <v/>
      </c>
      <c r="BJ63" s="885">
        <f>Planning!J56</f>
        <v/>
      </c>
      <c r="BK63" s="886" t="n"/>
      <c r="BL63" s="105" t="n"/>
      <c r="BM63" s="885">
        <f>Planning!M56</f>
        <v/>
      </c>
      <c r="BN63" s="885">
        <f>Planning!N56</f>
        <v/>
      </c>
      <c r="BO63" s="886" t="n"/>
      <c r="BP63" s="105" t="n"/>
      <c r="BQ63" s="885">
        <f>Planning!Q56</f>
        <v/>
      </c>
      <c r="BR63" s="885">
        <f>Planning!R56</f>
        <v/>
      </c>
      <c r="BS63" s="886" t="n"/>
      <c r="BT63" s="105" t="n"/>
      <c r="BU63" s="885">
        <f>Planning!U56</f>
        <v/>
      </c>
      <c r="BV63" s="885">
        <f>Planning!V56</f>
        <v/>
      </c>
      <c r="BW63" s="886" t="n"/>
      <c r="BX63" s="105" t="n"/>
      <c r="BY63" s="885">
        <f>Planning!Y56</f>
        <v/>
      </c>
      <c r="BZ63" s="885">
        <f>Planning!Z56</f>
        <v/>
      </c>
      <c r="CA63" s="886" t="n"/>
      <c r="CB63" s="105" t="n"/>
      <c r="CC63" s="885">
        <f>Planning!AC56</f>
        <v/>
      </c>
      <c r="CD63" s="885">
        <f>Planning!AD56</f>
        <v/>
      </c>
      <c r="CE63" s="886" t="n"/>
      <c r="CF63" s="105" t="n"/>
      <c r="CG63" s="887">
        <f>Planning!AG56</f>
        <v/>
      </c>
      <c r="CH63" s="105" t="n"/>
      <c r="CI63" s="252">
        <f>IF(BC63="","",Planning!AI56)</f>
        <v/>
      </c>
      <c r="CJ63" s="252">
        <f>IF(BC63="","",Planning!AJ56)</f>
        <v/>
      </c>
      <c r="CK63" s="252">
        <f>IF(BC63="","",Planning!AK56)</f>
        <v/>
      </c>
      <c r="CL63" s="252">
        <f>IF(BC63="","",Planning!AH56)</f>
        <v/>
      </c>
      <c r="CM63" s="21" t="n"/>
    </row>
    <row r="64" ht="13.5" customHeight="1">
      <c r="A64" s="401" t="n"/>
      <c r="B64" s="108" t="n"/>
      <c r="C64" s="109" t="n"/>
      <c r="D64" s="109" t="n"/>
      <c r="E64" s="109" t="n"/>
      <c r="F64" s="109" t="n"/>
      <c r="G64" s="109" t="n"/>
      <c r="H64" s="260" t="n"/>
      <c r="I64" s="260" t="n"/>
      <c r="J64" s="261" t="n"/>
      <c r="K64" s="261" t="n"/>
      <c r="L64" s="261" t="n"/>
      <c r="M64" s="261" t="n"/>
      <c r="N64" s="261" t="n"/>
      <c r="O64" s="261" t="n"/>
      <c r="P64" s="261" t="n"/>
      <c r="Q64" s="261" t="n"/>
      <c r="R64" s="261" t="n"/>
      <c r="S64" s="261" t="n"/>
      <c r="T64" s="261" t="n"/>
      <c r="U64" s="262" t="n"/>
      <c r="V64" s="261" t="n"/>
      <c r="W64" s="261" t="n"/>
      <c r="X64" s="261" t="n"/>
      <c r="Y64" s="261" t="n"/>
      <c r="Z64" s="261" t="n"/>
      <c r="AA64" s="261" t="n"/>
      <c r="AB64" s="261" t="n"/>
      <c r="AC64" s="261" t="n"/>
      <c r="AD64" s="261" t="n"/>
      <c r="AE64" s="261" t="n"/>
      <c r="AF64" s="261" t="n"/>
      <c r="AG64" s="261" t="n"/>
      <c r="AH64" s="262" t="n"/>
      <c r="AI64" s="262" t="n"/>
      <c r="AJ64" s="262" t="n"/>
      <c r="AK64" s="262" t="n"/>
      <c r="AL64" s="47" t="n"/>
      <c r="AM64" s="47" t="n"/>
      <c r="AN64" s="47" t="n"/>
      <c r="AO64" s="47" t="n"/>
      <c r="AP64" s="47" t="n"/>
      <c r="AQ64" s="47" t="n"/>
      <c r="AR64" s="47" t="n"/>
      <c r="AS64" s="47" t="n"/>
      <c r="AT64" s="47" t="n"/>
      <c r="AU64" s="47" t="n"/>
      <c r="AV64" s="117" t="n"/>
      <c r="AW64" s="35" t="n"/>
      <c r="AX64" s="35" t="n"/>
      <c r="AY64" s="831" t="n"/>
      <c r="AZ64" s="50" t="n"/>
      <c r="BC64" s="31">
        <f>IF(Planning!B57="","",Planning!B57)</f>
        <v/>
      </c>
      <c r="BD64" s="105" t="n"/>
      <c r="BE64" s="885">
        <f>Planning!E57</f>
        <v/>
      </c>
      <c r="BF64" s="885">
        <f>Planning!F57</f>
        <v/>
      </c>
      <c r="BG64" s="886" t="n"/>
      <c r="BH64" s="105" t="n"/>
      <c r="BI64" s="885">
        <f>Planning!I57</f>
        <v/>
      </c>
      <c r="BJ64" s="885">
        <f>Planning!J57</f>
        <v/>
      </c>
      <c r="BK64" s="886" t="n"/>
      <c r="BL64" s="105" t="n"/>
      <c r="BM64" s="885">
        <f>Planning!M57</f>
        <v/>
      </c>
      <c r="BN64" s="885">
        <f>Planning!N57</f>
        <v/>
      </c>
      <c r="BO64" s="886" t="n"/>
      <c r="BP64" s="105" t="n"/>
      <c r="BQ64" s="885">
        <f>Planning!Q57</f>
        <v/>
      </c>
      <c r="BR64" s="885">
        <f>Planning!R57</f>
        <v/>
      </c>
      <c r="BS64" s="886" t="n"/>
      <c r="BT64" s="105" t="n"/>
      <c r="BU64" s="885">
        <f>Planning!U57</f>
        <v/>
      </c>
      <c r="BV64" s="885">
        <f>Planning!V57</f>
        <v/>
      </c>
      <c r="BW64" s="886" t="n"/>
      <c r="BX64" s="105" t="n"/>
      <c r="BY64" s="885">
        <f>Planning!Y57</f>
        <v/>
      </c>
      <c r="BZ64" s="885">
        <f>Planning!Z57</f>
        <v/>
      </c>
      <c r="CA64" s="886" t="n"/>
      <c r="CB64" s="105" t="n"/>
      <c r="CC64" s="885">
        <f>Planning!AC57</f>
        <v/>
      </c>
      <c r="CD64" s="885">
        <f>Planning!AD57</f>
        <v/>
      </c>
      <c r="CE64" s="886" t="n"/>
      <c r="CF64" s="105" t="n"/>
      <c r="CG64" s="887">
        <f>Planning!AG57</f>
        <v/>
      </c>
      <c r="CH64" s="105" t="n"/>
      <c r="CI64" s="252">
        <f>IF(BC64="","",Planning!AI57)</f>
        <v/>
      </c>
      <c r="CJ64" s="252">
        <f>IF(BC64="","",Planning!AJ57)</f>
        <v/>
      </c>
      <c r="CK64" s="252">
        <f>IF(BC64="","",Planning!AK57)</f>
        <v/>
      </c>
      <c r="CL64" s="252">
        <f>IF(BC64="","",Planning!AH57)</f>
        <v/>
      </c>
      <c r="CM64" s="21" t="n"/>
    </row>
    <row r="65" ht="13.5" customHeight="1">
      <c r="A65" s="162" t="n"/>
      <c r="B65" s="896" t="inlineStr">
        <is>
          <t>Spoorboekje</t>
        </is>
      </c>
      <c r="C65" s="897" t="n"/>
      <c r="D65" s="862" t="n"/>
      <c r="E65" s="109" t="n"/>
      <c r="F65" s="109" t="n"/>
      <c r="G65" s="109" t="n"/>
      <c r="H65" s="898" t="inlineStr">
        <is>
          <t>Legenda</t>
        </is>
      </c>
      <c r="I65" s="897" t="n"/>
      <c r="J65" s="897" t="n"/>
      <c r="K65" s="897" t="n"/>
      <c r="L65" s="897" t="n"/>
      <c r="M65" s="897" t="n"/>
      <c r="N65" s="897" t="n"/>
      <c r="O65" s="897" t="n"/>
      <c r="P65" s="897" t="n"/>
      <c r="Q65" s="897" t="n"/>
      <c r="R65" s="897" t="n"/>
      <c r="S65" s="897" t="n"/>
      <c r="T65" s="897" t="n"/>
      <c r="U65" s="897" t="n"/>
      <c r="V65" s="897" t="n"/>
      <c r="W65" s="897" t="n"/>
      <c r="X65" s="897" t="n"/>
      <c r="Y65" s="897" t="n"/>
      <c r="Z65" s="897" t="n"/>
      <c r="AA65" s="897" t="n"/>
      <c r="AB65" s="897" t="n"/>
      <c r="AC65" s="897" t="n"/>
      <c r="AD65" s="897" t="n"/>
      <c r="AE65" s="897" t="n"/>
      <c r="AF65" s="897" t="n"/>
      <c r="AG65" s="897" t="n"/>
      <c r="AH65" s="897" t="n"/>
      <c r="AI65" s="897" t="n"/>
      <c r="AJ65" s="897" t="n"/>
      <c r="AK65" s="862" t="n"/>
      <c r="AL65" s="47" t="n"/>
      <c r="AM65" s="47" t="n"/>
      <c r="AN65" s="47" t="n"/>
      <c r="AO65" s="47" t="n"/>
      <c r="AP65" s="47" t="n"/>
      <c r="AQ65" s="501" t="n"/>
      <c r="AR65" s="501" t="n"/>
      <c r="AS65" s="501" t="n"/>
      <c r="AT65" s="501" t="n"/>
      <c r="AU65" s="501" t="n"/>
      <c r="AV65" s="507">
        <f>SUM(AV13:AV63)-BA63</f>
        <v/>
      </c>
      <c r="AW65" s="508" t="n"/>
      <c r="AX65" s="509" t="n"/>
      <c r="AY65" s="508" t="n"/>
      <c r="AZ65" s="510" t="n"/>
      <c r="BA65" s="511">
        <f>AV65-SUM(BA14:BA22,BA24:BA30,BA32:BA34,BA36:BA40,BA42:BA46,BA48:BA60)</f>
        <v/>
      </c>
      <c r="BC65" s="31">
        <f>IF(Planning!B58="","",Planning!B58)</f>
        <v/>
      </c>
      <c r="BD65" s="105" t="n"/>
      <c r="BE65" s="885">
        <f>Planning!E58</f>
        <v/>
      </c>
      <c r="BF65" s="885">
        <f>Planning!F58</f>
        <v/>
      </c>
      <c r="BG65" s="886" t="n"/>
      <c r="BH65" s="105" t="n"/>
      <c r="BI65" s="885">
        <f>Planning!I58</f>
        <v/>
      </c>
      <c r="BJ65" s="885">
        <f>Planning!J58</f>
        <v/>
      </c>
      <c r="BK65" s="886" t="n"/>
      <c r="BL65" s="105" t="n"/>
      <c r="BM65" s="885">
        <f>Planning!M58</f>
        <v/>
      </c>
      <c r="BN65" s="885">
        <f>Planning!N58</f>
        <v/>
      </c>
      <c r="BO65" s="886" t="n"/>
      <c r="BP65" s="105" t="n"/>
      <c r="BQ65" s="885">
        <f>Planning!Q58</f>
        <v/>
      </c>
      <c r="BR65" s="885">
        <f>Planning!R58</f>
        <v/>
      </c>
      <c r="BS65" s="886" t="n"/>
      <c r="BT65" s="105" t="n"/>
      <c r="BU65" s="885">
        <f>Planning!U58</f>
        <v/>
      </c>
      <c r="BV65" s="885">
        <f>Planning!V58</f>
        <v/>
      </c>
      <c r="BW65" s="886" t="n"/>
      <c r="BX65" s="105" t="n"/>
      <c r="BY65" s="885">
        <f>Planning!Y58</f>
        <v/>
      </c>
      <c r="BZ65" s="885">
        <f>Planning!Z58</f>
        <v/>
      </c>
      <c r="CA65" s="886" t="n"/>
      <c r="CB65" s="105" t="n"/>
      <c r="CC65" s="885">
        <f>Planning!AC58</f>
        <v/>
      </c>
      <c r="CD65" s="885">
        <f>Planning!AD58</f>
        <v/>
      </c>
      <c r="CE65" s="886" t="n"/>
      <c r="CF65" s="105" t="n"/>
      <c r="CG65" s="887">
        <f>Planning!AG58</f>
        <v/>
      </c>
      <c r="CH65" s="105" t="n"/>
      <c r="CI65" s="252">
        <f>IF(BC65="","",Planning!AI58)</f>
        <v/>
      </c>
      <c r="CJ65" s="252">
        <f>IF(BC65="","",Planning!AJ58)</f>
        <v/>
      </c>
      <c r="CK65" s="252">
        <f>IF(BC65="","",Planning!AK58)</f>
        <v/>
      </c>
      <c r="CL65" s="252">
        <f>IF(BC65="","",Planning!AH58)</f>
        <v/>
      </c>
      <c r="CM65" s="21" t="n"/>
    </row>
    <row r="66" ht="13.5" customHeight="1">
      <c r="A66" s="162" t="n"/>
      <c r="B66" s="442">
        <f>IFERROR(IF(COUNTIF(Instellingen!$P$30:$P$37,"")&gt;7,"",VLOOKUP(SMALL(Instellingen!$P$30:$P$37,1),Instellingen!$P$30:$T$37,5,FALSE)),"")</f>
        <v/>
      </c>
      <c r="C66" s="899">
        <f>IFERROR(IF(B66="","",VLOOKUP(B66,Instellingen!$B$30:$I$37,8,FALSE)),"")</f>
        <v/>
      </c>
      <c r="D66" s="862" t="n"/>
      <c r="E66" s="109" t="n"/>
      <c r="F66" s="109" t="n"/>
      <c r="G66" s="109" t="n"/>
      <c r="H66" s="900" t="inlineStr">
        <is>
          <t>Vullen</t>
        </is>
      </c>
      <c r="I66" s="883" t="n"/>
      <c r="J66" s="883" t="n"/>
      <c r="K66" s="883" t="n"/>
      <c r="L66" s="883" t="n"/>
      <c r="M66" s="883" t="n"/>
      <c r="N66" s="883" t="n"/>
      <c r="O66" s="883" t="n"/>
      <c r="P66" s="883" t="n"/>
      <c r="Q66" s="884" t="n"/>
      <c r="R66" s="673" t="inlineStr">
        <is>
          <t>vcr - Risicoartikelen tellen</t>
        </is>
      </c>
      <c r="S66" s="264" t="n"/>
      <c r="T66" s="264" t="n"/>
      <c r="U66" s="264" t="n"/>
      <c r="V66" s="264" t="n"/>
      <c r="W66" s="264" t="n"/>
      <c r="X66" s="264" t="n"/>
      <c r="Y66" s="264" t="n"/>
      <c r="Z66" s="901">
        <f>BA30</f>
        <v/>
      </c>
      <c r="AA66" s="866" t="n"/>
      <c r="AB66" s="900" t="inlineStr">
        <is>
          <t>Overig</t>
        </is>
      </c>
      <c r="AC66" s="883" t="n"/>
      <c r="AD66" s="883" t="n"/>
      <c r="AE66" s="883" t="n"/>
      <c r="AF66" s="883" t="n"/>
      <c r="AG66" s="883" t="n"/>
      <c r="AH66" s="883" t="n"/>
      <c r="AI66" s="883" t="n"/>
      <c r="AJ66" s="883" t="n"/>
      <c r="AK66" s="884" t="n"/>
      <c r="AL66" s="47" t="n"/>
      <c r="AM66" s="47" t="n"/>
      <c r="AN66" s="47" t="n"/>
      <c r="AO66" s="47" t="n"/>
      <c r="AP66" s="47" t="n"/>
      <c r="AQ66" s="501" t="n"/>
      <c r="AR66" s="501" t="n"/>
      <c r="AS66" s="501" t="n"/>
      <c r="AT66" s="501" t="n"/>
      <c r="AU66" s="501" t="n"/>
      <c r="AV66" s="514" t="n"/>
      <c r="AW66" s="508" t="n"/>
      <c r="AX66" s="509" t="n"/>
      <c r="AY66" s="508" t="n"/>
      <c r="AZ66" s="510" t="n"/>
      <c r="BA66" s="299" t="n"/>
      <c r="BC66" s="31">
        <f>IF(Planning!B59="","",Planning!B59)</f>
        <v/>
      </c>
      <c r="BD66" s="105" t="n"/>
      <c r="BE66" s="885">
        <f>Planning!E59</f>
        <v/>
      </c>
      <c r="BF66" s="885">
        <f>Planning!F59</f>
        <v/>
      </c>
      <c r="BG66" s="886" t="n"/>
      <c r="BH66" s="105" t="n"/>
      <c r="BI66" s="885">
        <f>Planning!I59</f>
        <v/>
      </c>
      <c r="BJ66" s="885">
        <f>Planning!J59</f>
        <v/>
      </c>
      <c r="BK66" s="886" t="n"/>
      <c r="BL66" s="105" t="n"/>
      <c r="BM66" s="885">
        <f>Planning!M59</f>
        <v/>
      </c>
      <c r="BN66" s="885">
        <f>Planning!N59</f>
        <v/>
      </c>
      <c r="BO66" s="886" t="n"/>
      <c r="BP66" s="105" t="n"/>
      <c r="BQ66" s="885">
        <f>Planning!Q59</f>
        <v/>
      </c>
      <c r="BR66" s="885">
        <f>Planning!R59</f>
        <v/>
      </c>
      <c r="BS66" s="886" t="n"/>
      <c r="BT66" s="105" t="n"/>
      <c r="BU66" s="885">
        <f>Planning!U59</f>
        <v/>
      </c>
      <c r="BV66" s="885">
        <f>Planning!V59</f>
        <v/>
      </c>
      <c r="BW66" s="886" t="n"/>
      <c r="BX66" s="105" t="n"/>
      <c r="BY66" s="885">
        <f>Planning!Y59</f>
        <v/>
      </c>
      <c r="BZ66" s="885">
        <f>Planning!Z59</f>
        <v/>
      </c>
      <c r="CA66" s="886" t="n"/>
      <c r="CB66" s="105" t="n"/>
      <c r="CC66" s="885">
        <f>Planning!AC59</f>
        <v/>
      </c>
      <c r="CD66" s="885">
        <f>Planning!AD59</f>
        <v/>
      </c>
      <c r="CE66" s="886" t="n"/>
      <c r="CF66" s="105" t="n"/>
      <c r="CG66" s="887">
        <f>Planning!AG59</f>
        <v/>
      </c>
      <c r="CH66" s="105" t="n"/>
      <c r="CI66" s="252">
        <f>IF(BC66="","",Planning!AI59)</f>
        <v/>
      </c>
      <c r="CJ66" s="252">
        <f>IF(BC66="","",Planning!AJ59)</f>
        <v/>
      </c>
      <c r="CK66" s="252">
        <f>IF(BC66="","",Planning!AK59)</f>
        <v/>
      </c>
      <c r="CL66" s="252">
        <f>IF(BC66="","",Planning!AH59)</f>
        <v/>
      </c>
      <c r="CM66" s="21" t="n"/>
    </row>
    <row r="67" ht="13.5" customHeight="1">
      <c r="A67" s="162" t="n"/>
      <c r="B67" s="440">
        <f>IFERROR(IF(COUNTIF(Instellingen!$P$30:$P$37,"")&gt;6,"",VLOOKUP(SMALL(Instellingen!$P$30:$P$37,2),Instellingen!$P$30:$T$37,5,FALSE)),"")</f>
        <v/>
      </c>
      <c r="C67" s="902">
        <f>IFERROR(IF(B67="","",VLOOKUP(B67,Instellingen!$B$30:$I$37,8,FALSE)),"")</f>
        <v/>
      </c>
      <c r="D67" s="866" t="n"/>
      <c r="E67" s="109" t="n"/>
      <c r="F67" s="109" t="n"/>
      <c r="G67" s="109" t="n"/>
      <c r="H67" s="673" t="inlineStr">
        <is>
          <t>hv - Houdbaar vullen</t>
        </is>
      </c>
      <c r="I67" s="264" t="n"/>
      <c r="J67" s="264" t="n"/>
      <c r="K67" s="264" t="n"/>
      <c r="L67" s="264" t="n"/>
      <c r="M67" s="264" t="n"/>
      <c r="N67" s="264" t="n"/>
      <c r="O67" s="264" t="n"/>
      <c r="P67" s="901">
        <f>BA14</f>
        <v/>
      </c>
      <c r="Q67" s="866" t="n"/>
      <c r="R67" s="687" t="inlineStr">
        <is>
          <t>Magazijn</t>
        </is>
      </c>
      <c r="S67" s="883" t="n"/>
      <c r="T67" s="883" t="n"/>
      <c r="U67" s="883" t="n"/>
      <c r="V67" s="883" t="n"/>
      <c r="W67" s="883" t="n"/>
      <c r="X67" s="883" t="n"/>
      <c r="Y67" s="883" t="n"/>
      <c r="Z67" s="883" t="n"/>
      <c r="AA67" s="883" t="n"/>
      <c r="AB67" s="924" t="inlineStr">
        <is>
          <t>km - Kwaliteitsmedewerker</t>
        </is>
      </c>
      <c r="AC67" s="897" t="n"/>
      <c r="AD67" s="897" t="n"/>
      <c r="AE67" s="897" t="n"/>
      <c r="AF67" s="897" t="n"/>
      <c r="AG67" s="897" t="n"/>
      <c r="AH67" s="897" t="n"/>
      <c r="AI67" s="862" t="n"/>
      <c r="AJ67" s="904">
        <f>BA48</f>
        <v/>
      </c>
      <c r="AK67" s="866" t="n"/>
      <c r="AL67" s="47" t="n"/>
      <c r="AM67" s="47" t="n"/>
      <c r="AN67" s="47" t="n"/>
      <c r="AO67" s="47" t="n"/>
      <c r="AP67" s="47" t="n"/>
      <c r="AQ67" s="501" t="n"/>
      <c r="AR67" s="501" t="n"/>
      <c r="AS67" s="501" t="n"/>
      <c r="AT67" s="501" t="n"/>
      <c r="AU67" s="501" t="n"/>
      <c r="AV67" s="504" t="n"/>
      <c r="AW67" s="502" t="n"/>
      <c r="AX67" s="503" t="n"/>
      <c r="AY67" s="502" t="n"/>
      <c r="AZ67" s="512" t="n"/>
      <c r="BA67" s="263" t="n"/>
      <c r="BC67" s="31">
        <f>IF(Planning!B60="","",Planning!B60)</f>
        <v/>
      </c>
      <c r="BD67" s="105" t="n"/>
      <c r="BE67" s="885">
        <f>Planning!E60</f>
        <v/>
      </c>
      <c r="BF67" s="885">
        <f>Planning!F60</f>
        <v/>
      </c>
      <c r="BG67" s="886" t="n"/>
      <c r="BH67" s="105" t="n"/>
      <c r="BI67" s="885">
        <f>Planning!I60</f>
        <v/>
      </c>
      <c r="BJ67" s="885">
        <f>Planning!J60</f>
        <v/>
      </c>
      <c r="BK67" s="886" t="n"/>
      <c r="BL67" s="105" t="n"/>
      <c r="BM67" s="885">
        <f>Planning!M60</f>
        <v/>
      </c>
      <c r="BN67" s="885">
        <f>Planning!N60</f>
        <v/>
      </c>
      <c r="BO67" s="886" t="n"/>
      <c r="BP67" s="105" t="n"/>
      <c r="BQ67" s="885">
        <f>Planning!Q60</f>
        <v/>
      </c>
      <c r="BR67" s="885">
        <f>Planning!R60</f>
        <v/>
      </c>
      <c r="BS67" s="886" t="n"/>
      <c r="BT67" s="105" t="n"/>
      <c r="BU67" s="885">
        <f>Planning!U60</f>
        <v/>
      </c>
      <c r="BV67" s="885">
        <f>Planning!V60</f>
        <v/>
      </c>
      <c r="BW67" s="886" t="n"/>
      <c r="BX67" s="105" t="n"/>
      <c r="BY67" s="885">
        <f>Planning!Y60</f>
        <v/>
      </c>
      <c r="BZ67" s="885">
        <f>Planning!Z60</f>
        <v/>
      </c>
      <c r="CA67" s="886" t="n"/>
      <c r="CB67" s="105" t="n"/>
      <c r="CC67" s="885">
        <f>Planning!AC60</f>
        <v/>
      </c>
      <c r="CD67" s="885">
        <f>Planning!AD60</f>
        <v/>
      </c>
      <c r="CE67" s="886" t="n"/>
      <c r="CF67" s="105" t="n"/>
      <c r="CG67" s="887">
        <f>Planning!AG60</f>
        <v/>
      </c>
      <c r="CH67" s="105" t="n"/>
      <c r="CI67" s="252">
        <f>IF(BC67="","",Planning!AI60)</f>
        <v/>
      </c>
      <c r="CJ67" s="252">
        <f>IF(BC67="","",Planning!AJ60)</f>
        <v/>
      </c>
      <c r="CK67" s="252">
        <f>IF(BC67="","",Planning!AK60)</f>
        <v/>
      </c>
      <c r="CL67" s="252">
        <f>IF(BC67="","",Planning!AH60)</f>
        <v/>
      </c>
      <c r="CM67" s="21" t="n"/>
    </row>
    <row r="68" ht="13.5" customHeight="1">
      <c r="A68" s="159" t="n"/>
      <c r="B68" s="440">
        <f>IFERROR(IF(COUNTIF(Instellingen!$P$30:$P$37,"")&gt;5,"",VLOOKUP(SMALL(Instellingen!$P$30:$P$37,3),Instellingen!$P$30:$T$37,5,FALSE)),"")</f>
        <v/>
      </c>
      <c r="C68" s="902">
        <f>IFERROR(IF(B68="","",VLOOKUP(B68,Instellingen!$B$30:$I$37,8,FALSE)),"")</f>
        <v/>
      </c>
      <c r="D68" s="866" t="n"/>
      <c r="E68" s="109" t="n"/>
      <c r="F68" s="109" t="n"/>
      <c r="G68" s="109" t="n"/>
      <c r="H68" s="673" t="inlineStr">
        <is>
          <t>dv - Diepvries vullen</t>
        </is>
      </c>
      <c r="I68" s="264" t="n"/>
      <c r="J68" s="264" t="n"/>
      <c r="K68" s="264" t="n"/>
      <c r="L68" s="264" t="n"/>
      <c r="M68" s="264" t="n"/>
      <c r="N68" s="264" t="n"/>
      <c r="O68" s="264" t="n"/>
      <c r="P68" s="901">
        <f>BA15</f>
        <v/>
      </c>
      <c r="Q68" s="866" t="n"/>
      <c r="R68" s="673" t="inlineStr">
        <is>
          <t>l - Lossen/Retouren</t>
        </is>
      </c>
      <c r="S68" s="264" t="n"/>
      <c r="T68" s="264" t="n"/>
      <c r="U68" s="264" t="n"/>
      <c r="V68" s="264" t="n"/>
      <c r="W68" s="264" t="n"/>
      <c r="X68" s="264" t="n"/>
      <c r="Y68" s="264" t="n"/>
      <c r="Z68" s="675">
        <f>BA32</f>
        <v/>
      </c>
      <c r="AA68" s="264" t="n"/>
      <c r="AB68" s="907" t="inlineStr">
        <is>
          <t>mt - MT of CKW-overleg</t>
        </is>
      </c>
      <c r="AC68" s="264" t="n"/>
      <c r="AD68" s="264" t="n"/>
      <c r="AE68" s="264" t="n"/>
      <c r="AF68" s="264" t="n"/>
      <c r="AG68" s="264" t="n"/>
      <c r="AH68" s="264" t="n"/>
      <c r="AI68" s="866" t="n"/>
      <c r="AJ68" s="904">
        <f>BA49</f>
        <v/>
      </c>
      <c r="AK68" s="866" t="n"/>
      <c r="AL68" s="47" t="n"/>
      <c r="AM68" s="47" t="n"/>
      <c r="AN68" s="47" t="n"/>
      <c r="AO68" s="47" t="n"/>
      <c r="AP68" s="47" t="n"/>
      <c r="AQ68" s="501" t="n"/>
      <c r="AR68" s="501" t="n"/>
      <c r="AS68" s="501" t="n"/>
      <c r="AT68" s="501" t="n"/>
      <c r="AU68" s="501" t="n"/>
      <c r="AV68" s="504" t="n"/>
      <c r="AW68" s="502" t="n"/>
      <c r="AX68" s="503" t="n"/>
      <c r="AY68" s="502" t="n"/>
      <c r="AZ68" s="512" t="n"/>
      <c r="BA68" s="263" t="n"/>
      <c r="BC68" s="31">
        <f>IF(Planning!B61="","",Planning!B61)</f>
        <v/>
      </c>
      <c r="BD68" s="105" t="n"/>
      <c r="BE68" s="885">
        <f>Planning!E61</f>
        <v/>
      </c>
      <c r="BF68" s="885">
        <f>Planning!F61</f>
        <v/>
      </c>
      <c r="BG68" s="886" t="n"/>
      <c r="BH68" s="105" t="n"/>
      <c r="BI68" s="885">
        <f>Planning!I61</f>
        <v/>
      </c>
      <c r="BJ68" s="885">
        <f>Planning!J61</f>
        <v/>
      </c>
      <c r="BK68" s="886" t="n"/>
      <c r="BL68" s="105" t="n"/>
      <c r="BM68" s="885">
        <f>Planning!M61</f>
        <v/>
      </c>
      <c r="BN68" s="885">
        <f>Planning!N61</f>
        <v/>
      </c>
      <c r="BO68" s="886" t="n"/>
      <c r="BP68" s="105" t="n"/>
      <c r="BQ68" s="885">
        <f>Planning!Q61</f>
        <v/>
      </c>
      <c r="BR68" s="885">
        <f>Planning!R61</f>
        <v/>
      </c>
      <c r="BS68" s="886" t="n"/>
      <c r="BT68" s="105" t="n"/>
      <c r="BU68" s="885">
        <f>Planning!U61</f>
        <v/>
      </c>
      <c r="BV68" s="885">
        <f>Planning!V61</f>
        <v/>
      </c>
      <c r="BW68" s="886" t="n"/>
      <c r="BX68" s="105" t="n"/>
      <c r="BY68" s="885">
        <f>Planning!Y61</f>
        <v/>
      </c>
      <c r="BZ68" s="885">
        <f>Planning!Z61</f>
        <v/>
      </c>
      <c r="CA68" s="886" t="n"/>
      <c r="CB68" s="105" t="n"/>
      <c r="CC68" s="885">
        <f>Planning!AC61</f>
        <v/>
      </c>
      <c r="CD68" s="885">
        <f>Planning!AD61</f>
        <v/>
      </c>
      <c r="CE68" s="886" t="n"/>
      <c r="CF68" s="105" t="n"/>
      <c r="CG68" s="887">
        <f>Planning!AG61</f>
        <v/>
      </c>
      <c r="CH68" s="105" t="n"/>
      <c r="CI68" s="252">
        <f>IF(BC68="","",Planning!AI61)</f>
        <v/>
      </c>
      <c r="CJ68" s="252">
        <f>IF(BC68="","",Planning!AJ61)</f>
        <v/>
      </c>
      <c r="CK68" s="252">
        <f>IF(BC68="","",Planning!AK61)</f>
        <v/>
      </c>
      <c r="CL68" s="252">
        <f>IF(BC68="","",Planning!AH61)</f>
        <v/>
      </c>
      <c r="CM68" s="21" t="n"/>
    </row>
    <row r="69" ht="13.5" customHeight="1">
      <c r="A69" s="159" t="n"/>
      <c r="B69" s="440">
        <f>IFERROR(IF(COUNTIF(Instellingen!$P$30:$P$37,"")&gt;4,"",VLOOKUP(SMALL(Instellingen!$P$30:$P$37,4),Instellingen!$P$30:$T$37,5,FALSE)),"")</f>
        <v/>
      </c>
      <c r="C69" s="902">
        <f>IFERROR(IF(B69="","",VLOOKUP(B69,Instellingen!$B$30:$I$37,8,FALSE)),"")</f>
        <v/>
      </c>
      <c r="D69" s="866" t="n"/>
      <c r="E69" s="109" t="n"/>
      <c r="F69" s="109" t="n"/>
      <c r="G69" s="109" t="n"/>
      <c r="H69" s="673" t="inlineStr">
        <is>
          <t>vv - Vers vullen</t>
        </is>
      </c>
      <c r="I69" s="264" t="n"/>
      <c r="J69" s="264" t="n"/>
      <c r="K69" s="264" t="n"/>
      <c r="L69" s="264" t="n"/>
      <c r="M69" s="264" t="n"/>
      <c r="N69" s="264" t="n"/>
      <c r="O69" s="264" t="n"/>
      <c r="P69" s="901">
        <f>BA16</f>
        <v/>
      </c>
      <c r="Q69" s="866" t="n"/>
      <c r="R69" s="673" t="inlineStr">
        <is>
          <t>ma - Magazijn</t>
        </is>
      </c>
      <c r="S69" s="264" t="n"/>
      <c r="T69" s="264" t="n"/>
      <c r="U69" s="264" t="n"/>
      <c r="V69" s="264" t="n"/>
      <c r="W69" s="264" t="n"/>
      <c r="X69" s="264" t="n"/>
      <c r="Y69" s="264" t="n"/>
      <c r="Z69" s="675">
        <f>BA33</f>
        <v/>
      </c>
      <c r="AA69" s="264" t="n"/>
      <c r="AB69" s="907" t="inlineStr">
        <is>
          <t>ov - Overig</t>
        </is>
      </c>
      <c r="AC69" s="264" t="n"/>
      <c r="AD69" s="264" t="n"/>
      <c r="AE69" s="264" t="n"/>
      <c r="AF69" s="264" t="n"/>
      <c r="AG69" s="264" t="n"/>
      <c r="AH69" s="264" t="n"/>
      <c r="AI69" s="866" t="n"/>
      <c r="AJ69" s="904">
        <f>BA50</f>
        <v/>
      </c>
      <c r="AK69" s="866" t="n"/>
      <c r="AL69" s="47" t="n"/>
      <c r="AM69" s="47" t="n"/>
      <c r="AN69" s="47" t="n"/>
      <c r="AO69" s="47" t="n"/>
      <c r="AP69" s="47" t="n"/>
      <c r="AQ69" s="501" t="n"/>
      <c r="AR69" s="501" t="n"/>
      <c r="AS69" s="501" t="n"/>
      <c r="AT69" s="501" t="n"/>
      <c r="AU69" s="501" t="n"/>
      <c r="AV69" s="504" t="n"/>
      <c r="AW69" s="502" t="n"/>
      <c r="AX69" s="505" t="n"/>
      <c r="AY69" s="263" t="n"/>
      <c r="AZ69" s="513" t="n"/>
      <c r="BA69" s="263" t="n"/>
      <c r="BC69" s="31">
        <f>IF(Planning!B62="","",Planning!B62)</f>
        <v/>
      </c>
      <c r="BD69" s="105" t="n"/>
      <c r="BE69" s="885">
        <f>Planning!E62</f>
        <v/>
      </c>
      <c r="BF69" s="885">
        <f>Planning!F62</f>
        <v/>
      </c>
      <c r="BG69" s="886" t="n"/>
      <c r="BH69" s="105" t="n"/>
      <c r="BI69" s="885">
        <f>Planning!I62</f>
        <v/>
      </c>
      <c r="BJ69" s="885">
        <f>Planning!J62</f>
        <v/>
      </c>
      <c r="BK69" s="886" t="n"/>
      <c r="BL69" s="105" t="n"/>
      <c r="BM69" s="885">
        <f>Planning!M62</f>
        <v/>
      </c>
      <c r="BN69" s="885">
        <f>Planning!N62</f>
        <v/>
      </c>
      <c r="BO69" s="886" t="n"/>
      <c r="BP69" s="105" t="n"/>
      <c r="BQ69" s="885">
        <f>Planning!Q62</f>
        <v/>
      </c>
      <c r="BR69" s="885">
        <f>Planning!R62</f>
        <v/>
      </c>
      <c r="BS69" s="886" t="n"/>
      <c r="BT69" s="105" t="n"/>
      <c r="BU69" s="885">
        <f>Planning!U62</f>
        <v/>
      </c>
      <c r="BV69" s="885">
        <f>Planning!V62</f>
        <v/>
      </c>
      <c r="BW69" s="886" t="n"/>
      <c r="BX69" s="105" t="n"/>
      <c r="BY69" s="885">
        <f>Planning!Y62</f>
        <v/>
      </c>
      <c r="BZ69" s="885">
        <f>Planning!Z62</f>
        <v/>
      </c>
      <c r="CA69" s="886" t="n"/>
      <c r="CB69" s="105" t="n"/>
      <c r="CC69" s="885">
        <f>Planning!AC62</f>
        <v/>
      </c>
      <c r="CD69" s="885">
        <f>Planning!AD62</f>
        <v/>
      </c>
      <c r="CE69" s="886" t="n"/>
      <c r="CF69" s="105" t="n"/>
      <c r="CG69" s="887">
        <f>Planning!AG62</f>
        <v/>
      </c>
      <c r="CH69" s="105" t="n"/>
      <c r="CI69" s="252">
        <f>IF(BC69="","",Planning!AI62)</f>
        <v/>
      </c>
      <c r="CJ69" s="252">
        <f>IF(BC69="","",Planning!AJ62)</f>
        <v/>
      </c>
      <c r="CK69" s="252">
        <f>IF(BC69="","",Planning!AK62)</f>
        <v/>
      </c>
      <c r="CL69" s="252">
        <f>IF(BC69="","",Planning!AH62)</f>
        <v/>
      </c>
      <c r="CM69" s="21" t="n"/>
    </row>
    <row r="70" ht="13.5" customHeight="1">
      <c r="A70" s="159" t="n"/>
      <c r="B70" s="440">
        <f>IFERROR(IF(COUNTIF(Instellingen!$P$30:$P$37,"")&gt;3,"",VLOOKUP(SMALL(Instellingen!$P$30:$P$37,5),Instellingen!$P$30:$T$37,5,FALSE)),"")</f>
        <v/>
      </c>
      <c r="C70" s="902">
        <f>IFERROR(IF(B70="","",VLOOKUP(B70,Instellingen!$B$30:$I$37,8,FALSE)),"")</f>
        <v/>
      </c>
      <c r="D70" s="866" t="n"/>
      <c r="E70" s="109" t="n"/>
      <c r="F70" s="109" t="n"/>
      <c r="G70" s="109" t="n"/>
      <c r="H70" s="673" t="inlineStr">
        <is>
          <t>nh - Navulling HB</t>
        </is>
      </c>
      <c r="I70" s="264" t="n"/>
      <c r="J70" s="264" t="n"/>
      <c r="K70" s="264" t="n"/>
      <c r="L70" s="264" t="n"/>
      <c r="M70" s="264" t="n"/>
      <c r="N70" s="264" t="n"/>
      <c r="O70" s="264" t="n"/>
      <c r="P70" s="901">
        <f>BA17</f>
        <v/>
      </c>
      <c r="Q70" s="866" t="n"/>
      <c r="R70" s="661" t="inlineStr">
        <is>
          <t>sp - Splitsen</t>
        </is>
      </c>
      <c r="S70" s="906" t="n"/>
      <c r="T70" s="906" t="n"/>
      <c r="U70" s="906" t="n"/>
      <c r="V70" s="906" t="n"/>
      <c r="W70" s="906" t="n"/>
      <c r="X70" s="906" t="n"/>
      <c r="Y70" s="906" t="n"/>
      <c r="Z70" s="675">
        <f>BA34</f>
        <v/>
      </c>
      <c r="AA70" s="264" t="n"/>
      <c r="AB70" s="907" t="inlineStr">
        <is>
          <t>prt - Protime</t>
        </is>
      </c>
      <c r="AC70" s="264" t="n"/>
      <c r="AD70" s="264" t="n"/>
      <c r="AE70" s="264" t="n"/>
      <c r="AF70" s="264" t="n"/>
      <c r="AG70" s="264" t="n"/>
      <c r="AH70" s="264" t="n"/>
      <c r="AI70" s="866" t="n"/>
      <c r="AJ70" s="904">
        <f>BA51</f>
        <v/>
      </c>
      <c r="AK70" s="866" t="n"/>
      <c r="AL70" s="47" t="n"/>
      <c r="AM70" s="47" t="n"/>
      <c r="AN70" s="47" t="n"/>
      <c r="AO70" s="47" t="n"/>
      <c r="AP70" s="47" t="n"/>
      <c r="AQ70" s="501" t="n"/>
      <c r="AR70" s="501" t="n"/>
      <c r="AS70" s="501" t="n"/>
      <c r="AT70" s="501" t="n"/>
      <c r="AU70" s="501" t="n"/>
      <c r="AV70" s="504" t="n"/>
      <c r="AW70" s="502" t="n"/>
      <c r="AX70" s="505" t="n"/>
      <c r="AY70" s="263" t="n"/>
      <c r="AZ70" s="513" t="n"/>
      <c r="BA70" s="263" t="n"/>
      <c r="BC70" s="31">
        <f>IF(Planning!B63="","",Planning!B63)</f>
        <v/>
      </c>
      <c r="BD70" s="105" t="n"/>
      <c r="BE70" s="885">
        <f>Planning!E63</f>
        <v/>
      </c>
      <c r="BF70" s="885">
        <f>Planning!F63</f>
        <v/>
      </c>
      <c r="BG70" s="886" t="n"/>
      <c r="BH70" s="105" t="n"/>
      <c r="BI70" s="885">
        <f>Planning!I63</f>
        <v/>
      </c>
      <c r="BJ70" s="885">
        <f>Planning!J63</f>
        <v/>
      </c>
      <c r="BK70" s="886" t="n"/>
      <c r="BL70" s="105" t="n"/>
      <c r="BM70" s="885">
        <f>Planning!M63</f>
        <v/>
      </c>
      <c r="BN70" s="885">
        <f>Planning!N63</f>
        <v/>
      </c>
      <c r="BO70" s="886" t="n"/>
      <c r="BP70" s="105" t="n"/>
      <c r="BQ70" s="885">
        <f>Planning!Q63</f>
        <v/>
      </c>
      <c r="BR70" s="885">
        <f>Planning!R63</f>
        <v/>
      </c>
      <c r="BS70" s="886" t="n"/>
      <c r="BT70" s="105" t="n"/>
      <c r="BU70" s="885">
        <f>Planning!U63</f>
        <v/>
      </c>
      <c r="BV70" s="885">
        <f>Planning!V63</f>
        <v/>
      </c>
      <c r="BW70" s="886" t="n"/>
      <c r="BX70" s="105" t="n"/>
      <c r="BY70" s="885">
        <f>Planning!Y63</f>
        <v/>
      </c>
      <c r="BZ70" s="885">
        <f>Planning!Z63</f>
        <v/>
      </c>
      <c r="CA70" s="886" t="n"/>
      <c r="CB70" s="105" t="n"/>
      <c r="CC70" s="885">
        <f>Planning!AC63</f>
        <v/>
      </c>
      <c r="CD70" s="885">
        <f>Planning!AD63</f>
        <v/>
      </c>
      <c r="CE70" s="886" t="n"/>
      <c r="CF70" s="105" t="n"/>
      <c r="CG70" s="887">
        <f>Planning!AG63</f>
        <v/>
      </c>
      <c r="CH70" s="105" t="n"/>
      <c r="CI70" s="252">
        <f>IF(BC70="","",Planning!AI63)</f>
        <v/>
      </c>
      <c r="CJ70" s="252">
        <f>IF(BC70="","",Planning!AJ63)</f>
        <v/>
      </c>
      <c r="CK70" s="252">
        <f>IF(BC70="","",Planning!AK63)</f>
        <v/>
      </c>
      <c r="CL70" s="252">
        <f>IF(BC70="","",Planning!AH63)</f>
        <v/>
      </c>
      <c r="CM70" s="21" t="n"/>
    </row>
    <row r="71" ht="13.5" customHeight="1">
      <c r="A71" s="159" t="n"/>
      <c r="B71" s="251">
        <f>IFERROR(IF(COUNTIF(Instellingen!$P$30:$P$37,"")&gt;2,"",VLOOKUP(SMALL(Instellingen!$P$30:$P$37,6),Instellingen!$P$30:$T$37,5,FALSE)),"")</f>
        <v/>
      </c>
      <c r="C71" s="902">
        <f>IFERROR(IF(B71="","",VLOOKUP(B71,Instellingen!$B$30:$I$37,8,FALSE)),"")</f>
        <v/>
      </c>
      <c r="D71" s="866" t="n"/>
      <c r="E71" s="109" t="n"/>
      <c r="F71" s="109" t="n"/>
      <c r="G71" s="109" t="n"/>
      <c r="H71" s="673" t="inlineStr">
        <is>
          <t>nd - Navulling DV</t>
        </is>
      </c>
      <c r="I71" s="264" t="n"/>
      <c r="J71" s="264" t="n"/>
      <c r="K71" s="264" t="n"/>
      <c r="L71" s="264" t="n"/>
      <c r="M71" s="264" t="n"/>
      <c r="N71" s="264" t="n"/>
      <c r="O71" s="264" t="n"/>
      <c r="P71" s="901">
        <f>BA18</f>
        <v/>
      </c>
      <c r="Q71" s="866" t="n"/>
      <c r="R71" s="687" t="inlineStr">
        <is>
          <t>Afprijzen</t>
        </is>
      </c>
      <c r="S71" s="883" t="n"/>
      <c r="T71" s="883" t="n"/>
      <c r="U71" s="883" t="n"/>
      <c r="V71" s="883" t="n"/>
      <c r="W71" s="883" t="n"/>
      <c r="X71" s="883" t="n"/>
      <c r="Y71" s="883" t="n"/>
      <c r="Z71" s="883" t="n"/>
      <c r="AA71" s="883" t="n"/>
      <c r="AB71" s="907" t="inlineStr">
        <is>
          <t>sl - Shift leiden</t>
        </is>
      </c>
      <c r="AC71" s="264" t="n"/>
      <c r="AD71" s="264" t="n"/>
      <c r="AE71" s="264" t="n"/>
      <c r="AF71" s="264" t="n"/>
      <c r="AG71" s="264" t="n"/>
      <c r="AH71" s="264" t="n"/>
      <c r="AI71" s="866" t="n"/>
      <c r="AJ71" s="904">
        <f>BA52</f>
        <v/>
      </c>
      <c r="AK71" s="866" t="n"/>
      <c r="AL71" s="47" t="n"/>
      <c r="AM71" s="47" t="n"/>
      <c r="AN71" s="47" t="n"/>
      <c r="AO71" s="47" t="n"/>
      <c r="AP71" s="47" t="n"/>
      <c r="AQ71" s="501" t="n"/>
      <c r="AR71" s="501" t="n"/>
      <c r="AS71" s="501" t="n"/>
      <c r="AT71" s="501" t="n"/>
      <c r="AU71" s="501" t="n"/>
      <c r="AV71" s="504" t="n"/>
      <c r="AW71" s="502" t="n"/>
      <c r="AX71" s="505" t="n"/>
      <c r="AY71" s="263" t="n"/>
      <c r="AZ71" s="513" t="n"/>
      <c r="BA71" s="263" t="n"/>
      <c r="BC71" s="31">
        <f>IF(Planning!B64="","",Planning!B64)</f>
        <v/>
      </c>
      <c r="BD71" s="105" t="n"/>
      <c r="BE71" s="885">
        <f>Planning!E64</f>
        <v/>
      </c>
      <c r="BF71" s="885">
        <f>Planning!F64</f>
        <v/>
      </c>
      <c r="BG71" s="886" t="n"/>
      <c r="BH71" s="105" t="n"/>
      <c r="BI71" s="885">
        <f>Planning!I64</f>
        <v/>
      </c>
      <c r="BJ71" s="885">
        <f>Planning!J64</f>
        <v/>
      </c>
      <c r="BK71" s="886" t="n"/>
      <c r="BL71" s="105" t="n"/>
      <c r="BM71" s="885">
        <f>Planning!M64</f>
        <v/>
      </c>
      <c r="BN71" s="885">
        <f>Planning!N64</f>
        <v/>
      </c>
      <c r="BO71" s="886" t="n"/>
      <c r="BP71" s="105" t="n"/>
      <c r="BQ71" s="885">
        <f>Planning!Q64</f>
        <v/>
      </c>
      <c r="BR71" s="885">
        <f>Planning!R64</f>
        <v/>
      </c>
      <c r="BS71" s="886" t="n"/>
      <c r="BT71" s="105" t="n"/>
      <c r="BU71" s="885">
        <f>Planning!U64</f>
        <v/>
      </c>
      <c r="BV71" s="885">
        <f>Planning!V64</f>
        <v/>
      </c>
      <c r="BW71" s="886" t="n"/>
      <c r="BX71" s="105" t="n"/>
      <c r="BY71" s="885">
        <f>Planning!Y64</f>
        <v/>
      </c>
      <c r="BZ71" s="885">
        <f>Planning!Z64</f>
        <v/>
      </c>
      <c r="CA71" s="886" t="n"/>
      <c r="CB71" s="105" t="n"/>
      <c r="CC71" s="885">
        <f>Planning!AC64</f>
        <v/>
      </c>
      <c r="CD71" s="885">
        <f>Planning!AD64</f>
        <v/>
      </c>
      <c r="CE71" s="886" t="n"/>
      <c r="CF71" s="105" t="n"/>
      <c r="CG71" s="887">
        <f>Planning!AG64</f>
        <v/>
      </c>
      <c r="CH71" s="105" t="n"/>
      <c r="CI71" s="252">
        <f>IF(BC71="","",Planning!AI64)</f>
        <v/>
      </c>
      <c r="CJ71" s="252">
        <f>IF(BC71="","",Planning!AJ64)</f>
        <v/>
      </c>
      <c r="CK71" s="252">
        <f>IF(BC71="","",Planning!AK64)</f>
        <v/>
      </c>
      <c r="CL71" s="252">
        <f>IF(BC71="","",Planning!AH64)</f>
        <v/>
      </c>
      <c r="CM71" s="21" t="n"/>
    </row>
    <row r="72" ht="13.5" customHeight="1">
      <c r="A72" s="159" t="n"/>
      <c r="B72" s="441">
        <f>IFERROR(IF(COUNTIF(Instellingen!$P$30:$P$37,"")&gt;1,"",VLOOKUP(SMALL(Instellingen!$P$30:$P$37,7),Instellingen!$P$30:$T$37,5,FALSE)),"")</f>
        <v/>
      </c>
      <c r="C72" s="908">
        <f>IFERROR(IF(B72="","",VLOOKUP(B72,Instellingen!$B$30:$I$37,8,FALSE)),"")</f>
        <v/>
      </c>
      <c r="D72" s="869" t="n"/>
      <c r="E72" s="109" t="n"/>
      <c r="F72" s="109" t="n"/>
      <c r="G72" s="109" t="n"/>
      <c r="H72" s="673" t="inlineStr">
        <is>
          <t>nv - Navulling Vers</t>
        </is>
      </c>
      <c r="I72" s="264" t="n"/>
      <c r="J72" s="264" t="n"/>
      <c r="K72" s="264" t="n"/>
      <c r="L72" s="264" t="n"/>
      <c r="M72" s="264" t="n"/>
      <c r="N72" s="264" t="n"/>
      <c r="O72" s="264" t="n"/>
      <c r="P72" s="901">
        <f>BA19</f>
        <v/>
      </c>
      <c r="Q72" s="866" t="n"/>
      <c r="R72" s="673" t="inlineStr">
        <is>
          <t>afp - Afprijzen</t>
        </is>
      </c>
      <c r="S72" s="264" t="n"/>
      <c r="T72" s="264" t="n"/>
      <c r="U72" s="264" t="n"/>
      <c r="V72" s="264" t="n"/>
      <c r="W72" s="264" t="n"/>
      <c r="X72" s="264" t="n"/>
      <c r="Y72" s="264" t="n"/>
      <c r="Z72" s="675">
        <f>BA36</f>
        <v/>
      </c>
      <c r="AA72" s="264" t="n"/>
      <c r="AB72" s="907" t="inlineStr">
        <is>
          <t>vp - Vulshiftplanning</t>
        </is>
      </c>
      <c r="AC72" s="264" t="n"/>
      <c r="AD72" s="264" t="n"/>
      <c r="AE72" s="264" t="n"/>
      <c r="AF72" s="264" t="n"/>
      <c r="AG72" s="264" t="n"/>
      <c r="AH72" s="264" t="n"/>
      <c r="AI72" s="866" t="n"/>
      <c r="AJ72" s="904">
        <f>BA53</f>
        <v/>
      </c>
      <c r="AK72" s="866" t="n"/>
      <c r="AL72" s="47" t="n"/>
      <c r="AM72" s="47" t="n"/>
      <c r="AN72" s="47" t="n"/>
      <c r="AO72" s="47" t="n"/>
      <c r="AP72" s="47" t="n"/>
      <c r="AQ72" s="501" t="n"/>
      <c r="AR72" s="501" t="n"/>
      <c r="AS72" s="501" t="n"/>
      <c r="AT72" s="501" t="n"/>
      <c r="AU72" s="501" t="n"/>
      <c r="AV72" s="504" t="n"/>
      <c r="AW72" s="502" t="n"/>
      <c r="AX72" s="505" t="n"/>
      <c r="AY72" s="263" t="n"/>
      <c r="AZ72" s="513" t="n"/>
      <c r="BA72" s="263" t="n"/>
      <c r="BC72" s="31">
        <f>IF(Planning!B65="","",Planning!B65)</f>
        <v/>
      </c>
      <c r="BD72" s="105" t="n"/>
      <c r="BE72" s="885">
        <f>Planning!E65</f>
        <v/>
      </c>
      <c r="BF72" s="885">
        <f>Planning!F65</f>
        <v/>
      </c>
      <c r="BG72" s="886" t="n"/>
      <c r="BH72" s="105" t="n"/>
      <c r="BI72" s="885">
        <f>Planning!I65</f>
        <v/>
      </c>
      <c r="BJ72" s="885">
        <f>Planning!J65</f>
        <v/>
      </c>
      <c r="BK72" s="886" t="n"/>
      <c r="BL72" s="105" t="n"/>
      <c r="BM72" s="885">
        <f>Planning!M65</f>
        <v/>
      </c>
      <c r="BN72" s="885">
        <f>Planning!N65</f>
        <v/>
      </c>
      <c r="BO72" s="886" t="n"/>
      <c r="BP72" s="105" t="n"/>
      <c r="BQ72" s="885">
        <f>Planning!Q65</f>
        <v/>
      </c>
      <c r="BR72" s="885">
        <f>Planning!R65</f>
        <v/>
      </c>
      <c r="BS72" s="886" t="n"/>
      <c r="BT72" s="105" t="n"/>
      <c r="BU72" s="885">
        <f>Planning!U65</f>
        <v/>
      </c>
      <c r="BV72" s="885">
        <f>Planning!V65</f>
        <v/>
      </c>
      <c r="BW72" s="886" t="n"/>
      <c r="BX72" s="105" t="n"/>
      <c r="BY72" s="885">
        <f>Planning!Y65</f>
        <v/>
      </c>
      <c r="BZ72" s="885">
        <f>Planning!Z65</f>
        <v/>
      </c>
      <c r="CA72" s="886" t="n"/>
      <c r="CB72" s="105" t="n"/>
      <c r="CC72" s="885">
        <f>Planning!AC65</f>
        <v/>
      </c>
      <c r="CD72" s="885">
        <f>Planning!AD65</f>
        <v/>
      </c>
      <c r="CE72" s="886" t="n"/>
      <c r="CF72" s="105" t="n"/>
      <c r="CG72" s="887">
        <f>Planning!AG65</f>
        <v/>
      </c>
      <c r="CH72" s="105" t="n"/>
      <c r="CI72" s="252">
        <f>IF(BC72="","",Planning!AI65)</f>
        <v/>
      </c>
      <c r="CJ72" s="252">
        <f>IF(BC72="","",Planning!AJ65)</f>
        <v/>
      </c>
      <c r="CK72" s="252">
        <f>IF(BC72="","",Planning!AK65)</f>
        <v/>
      </c>
      <c r="CL72" s="252">
        <f>IF(BC72="","",Planning!AH65)</f>
        <v/>
      </c>
      <c r="CM72" s="21" t="n"/>
    </row>
    <row r="73" ht="13.5" customHeight="1">
      <c r="A73" s="159" t="n"/>
      <c r="B73" s="109" t="n"/>
      <c r="C73" s="109" t="n"/>
      <c r="D73" s="109" t="n"/>
      <c r="E73" s="109" t="n"/>
      <c r="F73" s="109" t="n"/>
      <c r="G73" s="109" t="n"/>
      <c r="H73" s="673" t="inlineStr">
        <is>
          <t>rh - Restant HB</t>
        </is>
      </c>
      <c r="I73" s="264" t="n"/>
      <c r="J73" s="264" t="n"/>
      <c r="K73" s="264" t="n"/>
      <c r="L73" s="264" t="n"/>
      <c r="M73" s="264" t="n"/>
      <c r="N73" s="264" t="n"/>
      <c r="O73" s="264" t="n"/>
      <c r="P73" s="901">
        <f>BA20</f>
        <v/>
      </c>
      <c r="Q73" s="866" t="n"/>
      <c r="R73" s="673" t="inlineStr">
        <is>
          <t>cb - Codeboek</t>
        </is>
      </c>
      <c r="S73" s="264" t="n"/>
      <c r="T73" s="264" t="n"/>
      <c r="U73" s="264" t="n"/>
      <c r="V73" s="264" t="n"/>
      <c r="W73" s="264" t="n"/>
      <c r="X73" s="264" t="n"/>
      <c r="Y73" s="264" t="n"/>
      <c r="Z73" s="675">
        <f>BA37</f>
        <v/>
      </c>
      <c r="AA73" s="264" t="n"/>
      <c r="AB73" s="907" t="inlineStr">
        <is>
          <t>wh - Winkelwagens halen</t>
        </is>
      </c>
      <c r="AC73" s="264" t="n"/>
      <c r="AD73" s="264" t="n"/>
      <c r="AE73" s="264" t="n"/>
      <c r="AF73" s="264" t="n"/>
      <c r="AG73" s="264" t="n"/>
      <c r="AH73" s="264" t="n"/>
      <c r="AI73" s="866" t="n"/>
      <c r="AJ73" s="901">
        <f>BA54</f>
        <v/>
      </c>
      <c r="AK73" s="866" t="n"/>
      <c r="AL73" s="47" t="n"/>
      <c r="AM73" s="47" t="n"/>
      <c r="AN73" s="47" t="n"/>
      <c r="AO73" s="47" t="n"/>
      <c r="AP73" s="47" t="n"/>
      <c r="AQ73" s="501" t="n"/>
      <c r="AR73" s="501" t="n"/>
      <c r="AS73" s="501" t="n"/>
      <c r="AT73" s="501" t="n"/>
      <c r="AU73" s="501" t="n"/>
      <c r="AV73" s="504" t="n"/>
      <c r="AW73" s="502" t="n"/>
      <c r="AX73" s="505" t="n"/>
      <c r="AY73" s="506" t="n"/>
      <c r="AZ73" s="501" t="n"/>
      <c r="BA73" s="263" t="n"/>
      <c r="BC73" s="31">
        <f>IF(Planning!B66="","",Planning!B66)</f>
        <v/>
      </c>
      <c r="BD73" s="105" t="n"/>
      <c r="BE73" s="885">
        <f>Planning!E66</f>
        <v/>
      </c>
      <c r="BF73" s="885">
        <f>Planning!F66</f>
        <v/>
      </c>
      <c r="BG73" s="886" t="n"/>
      <c r="BH73" s="105" t="n"/>
      <c r="BI73" s="885">
        <f>Planning!I66</f>
        <v/>
      </c>
      <c r="BJ73" s="885">
        <f>Planning!J66</f>
        <v/>
      </c>
      <c r="BK73" s="886" t="n"/>
      <c r="BL73" s="105" t="n"/>
      <c r="BM73" s="885">
        <f>Planning!M66</f>
        <v/>
      </c>
      <c r="BN73" s="885">
        <f>Planning!N66</f>
        <v/>
      </c>
      <c r="BO73" s="886" t="n"/>
      <c r="BP73" s="105" t="n"/>
      <c r="BQ73" s="885">
        <f>Planning!Q66</f>
        <v/>
      </c>
      <c r="BR73" s="885">
        <f>Planning!R66</f>
        <v/>
      </c>
      <c r="BS73" s="886" t="n"/>
      <c r="BT73" s="105" t="n"/>
      <c r="BU73" s="885">
        <f>Planning!U66</f>
        <v/>
      </c>
      <c r="BV73" s="885">
        <f>Planning!V66</f>
        <v/>
      </c>
      <c r="BW73" s="886" t="n"/>
      <c r="BX73" s="105" t="n"/>
      <c r="BY73" s="885">
        <f>Planning!Y66</f>
        <v/>
      </c>
      <c r="BZ73" s="885">
        <f>Planning!Z66</f>
        <v/>
      </c>
      <c r="CA73" s="886" t="n"/>
      <c r="CB73" s="105" t="n"/>
      <c r="CC73" s="885">
        <f>Planning!AC66</f>
        <v/>
      </c>
      <c r="CD73" s="885">
        <f>Planning!AD66</f>
        <v/>
      </c>
      <c r="CE73" s="886" t="n"/>
      <c r="CF73" s="105" t="n"/>
      <c r="CG73" s="887">
        <f>Planning!AG66</f>
        <v/>
      </c>
      <c r="CH73" s="105" t="n"/>
      <c r="CI73" s="252">
        <f>IF(BC73="","",Planning!AI66)</f>
        <v/>
      </c>
      <c r="CJ73" s="252">
        <f>IF(BC73="","",Planning!AJ66)</f>
        <v/>
      </c>
      <c r="CK73" s="252">
        <f>IF(BC73="","",Planning!AK66)</f>
        <v/>
      </c>
      <c r="CL73" s="252">
        <f>IF(BC73="","",Planning!AH66)</f>
        <v/>
      </c>
      <c r="CM73" s="21" t="n"/>
    </row>
    <row r="74" ht="13.5" customHeight="1">
      <c r="A74" s="159" t="n"/>
      <c r="B74" s="896" t="inlineStr">
        <is>
          <t>OBM's</t>
        </is>
      </c>
      <c r="C74" s="897" t="n"/>
      <c r="D74" s="862" t="n"/>
      <c r="E74" s="109" t="n"/>
      <c r="F74" s="109" t="n"/>
      <c r="G74" s="109" t="n"/>
      <c r="H74" s="673" t="inlineStr">
        <is>
          <t>rd - Restant DV</t>
        </is>
      </c>
      <c r="I74" s="264" t="n"/>
      <c r="J74" s="264" t="n"/>
      <c r="K74" s="264" t="n"/>
      <c r="L74" s="264" t="n"/>
      <c r="M74" s="264" t="n"/>
      <c r="N74" s="264" t="n"/>
      <c r="O74" s="264" t="n"/>
      <c r="P74" s="901">
        <f>BA21</f>
        <v/>
      </c>
      <c r="Q74" s="866" t="n"/>
      <c r="R74" s="673" t="inlineStr">
        <is>
          <t>nr - Naloopronde</t>
        </is>
      </c>
      <c r="S74" s="264" t="n"/>
      <c r="T74" s="264" t="n"/>
      <c r="U74" s="264" t="n"/>
      <c r="V74" s="264" t="n"/>
      <c r="W74" s="264" t="n"/>
      <c r="X74" s="264" t="n"/>
      <c r="Y74" s="264" t="n"/>
      <c r="Z74" s="675">
        <f>BA38</f>
        <v/>
      </c>
      <c r="AA74" s="264" t="n"/>
      <c r="AB74" s="907" t="inlineStr">
        <is>
          <t>wp - Weekplanning</t>
        </is>
      </c>
      <c r="AC74" s="264" t="n"/>
      <c r="AD74" s="264" t="n"/>
      <c r="AE74" s="264" t="n"/>
      <c r="AF74" s="264" t="n"/>
      <c r="AG74" s="264" t="n"/>
      <c r="AH74" s="264" t="n"/>
      <c r="AI74" s="866" t="n"/>
      <c r="AJ74" s="901">
        <f>BA55</f>
        <v/>
      </c>
      <c r="AK74" s="866" t="n"/>
      <c r="AL74" s="47" t="n"/>
      <c r="AM74" s="47" t="n"/>
      <c r="AN74" s="47" t="n"/>
      <c r="AO74" s="47" t="n"/>
      <c r="AP74" s="47" t="n"/>
      <c r="AQ74" s="501" t="n"/>
      <c r="AR74" s="501" t="n"/>
      <c r="AS74" s="501" t="n"/>
      <c r="AT74" s="501" t="n"/>
      <c r="AU74" s="501" t="n"/>
      <c r="AV74" s="504" t="n"/>
      <c r="AW74" s="502" t="n"/>
      <c r="AX74" s="505" t="n"/>
      <c r="AY74" s="263" t="n"/>
      <c r="AZ74" s="501" t="n"/>
      <c r="BA74" s="263" t="n"/>
      <c r="BC74" s="31">
        <f>IF(Planning!B67="","",Planning!B67)</f>
        <v/>
      </c>
      <c r="BD74" s="105" t="n"/>
      <c r="BE74" s="885">
        <f>Planning!E67</f>
        <v/>
      </c>
      <c r="BF74" s="885">
        <f>Planning!F67</f>
        <v/>
      </c>
      <c r="BG74" s="886" t="n"/>
      <c r="BH74" s="105" t="n"/>
      <c r="BI74" s="885">
        <f>Planning!I67</f>
        <v/>
      </c>
      <c r="BJ74" s="885">
        <f>Planning!J67</f>
        <v/>
      </c>
      <c r="BK74" s="886" t="n"/>
      <c r="BL74" s="105" t="n"/>
      <c r="BM74" s="885">
        <f>Planning!M67</f>
        <v/>
      </c>
      <c r="BN74" s="885">
        <f>Planning!N67</f>
        <v/>
      </c>
      <c r="BO74" s="886" t="n"/>
      <c r="BP74" s="105" t="n"/>
      <c r="BQ74" s="885">
        <f>Planning!Q67</f>
        <v/>
      </c>
      <c r="BR74" s="885">
        <f>Planning!R67</f>
        <v/>
      </c>
      <c r="BS74" s="886" t="n"/>
      <c r="BT74" s="105" t="n"/>
      <c r="BU74" s="885">
        <f>Planning!U67</f>
        <v/>
      </c>
      <c r="BV74" s="885">
        <f>Planning!V67</f>
        <v/>
      </c>
      <c r="BW74" s="886" t="n"/>
      <c r="BX74" s="105" t="n"/>
      <c r="BY74" s="885">
        <f>Planning!Y67</f>
        <v/>
      </c>
      <c r="BZ74" s="885">
        <f>Planning!Z67</f>
        <v/>
      </c>
      <c r="CA74" s="886" t="n"/>
      <c r="CB74" s="105" t="n"/>
      <c r="CC74" s="885">
        <f>Planning!AC67</f>
        <v/>
      </c>
      <c r="CD74" s="885">
        <f>Planning!AD67</f>
        <v/>
      </c>
      <c r="CE74" s="886" t="n"/>
      <c r="CF74" s="105" t="n"/>
      <c r="CG74" s="887">
        <f>Planning!AG67</f>
        <v/>
      </c>
      <c r="CH74" s="105" t="n"/>
      <c r="CI74" s="252">
        <f>IF(BC74="","",Planning!AI67)</f>
        <v/>
      </c>
      <c r="CJ74" s="252">
        <f>IF(BC74="","",Planning!AJ67)</f>
        <v/>
      </c>
      <c r="CK74" s="252">
        <f>IF(BC74="","",Planning!AK67)</f>
        <v/>
      </c>
      <c r="CL74" s="252">
        <f>IF(BC74="","",Planning!AH67)</f>
        <v/>
      </c>
      <c r="CM74" s="21" t="n"/>
    </row>
    <row r="75" ht="13.5" customHeight="1">
      <c r="A75" s="159" t="n"/>
      <c r="B75" s="442">
        <f>IFERROR(IF(COUNTIF(Instellingen!$P$40:$P$47,"")&gt;7,"",VLOOKUP(SMALL(Instellingen!$P$40:$P$47,1),Instellingen!$P$40:$T$47,5,FALSE)),"")</f>
        <v/>
      </c>
      <c r="C75" s="899">
        <f>IFERROR(IF(B75="","",VLOOKUP(B75,Instellingen!$B$40:$I$47,8,FALSE)),"")</f>
        <v/>
      </c>
      <c r="D75" s="862" t="n"/>
      <c r="E75" s="109" t="n"/>
      <c r="F75" s="109" t="n"/>
      <c r="G75" s="109" t="n"/>
      <c r="H75" s="673" t="inlineStr">
        <is>
          <t>rv - Restant Vers</t>
        </is>
      </c>
      <c r="I75" s="264" t="n"/>
      <c r="J75" s="264" t="n"/>
      <c r="K75" s="264" t="n"/>
      <c r="L75" s="264" t="n"/>
      <c r="M75" s="264" t="n"/>
      <c r="N75" s="264" t="n"/>
      <c r="O75" s="264" t="n"/>
      <c r="P75" s="901">
        <f>BA22</f>
        <v/>
      </c>
      <c r="Q75" s="866" t="n"/>
      <c r="R75" s="673" t="inlineStr">
        <is>
          <t>us - Vervallen artikelen</t>
        </is>
      </c>
      <c r="S75" s="264" t="n"/>
      <c r="T75" s="264" t="n"/>
      <c r="U75" s="264" t="n"/>
      <c r="V75" s="264" t="n"/>
      <c r="W75" s="264" t="n"/>
      <c r="X75" s="264" t="n"/>
      <c r="Y75" s="264" t="n"/>
      <c r="Z75" s="675">
        <f>BA39</f>
        <v/>
      </c>
      <c r="AA75" s="264" t="n"/>
      <c r="AB75" s="907" t="inlineStr">
        <is>
          <t>wv - Winkelverzorging</t>
        </is>
      </c>
      <c r="AC75" s="264" t="n"/>
      <c r="AD75" s="264" t="n"/>
      <c r="AE75" s="264" t="n"/>
      <c r="AF75" s="264" t="n"/>
      <c r="AG75" s="264" t="n"/>
      <c r="AH75" s="264" t="n"/>
      <c r="AI75" s="866" t="n"/>
      <c r="AJ75" s="901">
        <f>BA56</f>
        <v/>
      </c>
      <c r="AK75" s="866" t="n"/>
      <c r="AL75" s="47" t="n"/>
      <c r="AM75" s="47" t="n"/>
      <c r="AN75" s="47" t="n"/>
      <c r="AO75" s="47" t="n"/>
      <c r="AP75" s="47" t="n"/>
      <c r="AQ75" s="501" t="n"/>
      <c r="AR75" s="501" t="n"/>
      <c r="AS75" s="501" t="n"/>
      <c r="AT75" s="501" t="n"/>
      <c r="AU75" s="501" t="n"/>
      <c r="AV75" s="504" t="n"/>
      <c r="AW75" s="502" t="n"/>
      <c r="AX75" s="505" t="n"/>
      <c r="AY75" s="263" t="n"/>
      <c r="AZ75" s="501" t="n"/>
      <c r="BA75" s="263" t="n"/>
      <c r="BC75" s="31">
        <f>IF(Planning!B68="","",Planning!B68)</f>
        <v/>
      </c>
      <c r="BD75" s="105" t="n"/>
      <c r="BE75" s="885">
        <f>Planning!E68</f>
        <v/>
      </c>
      <c r="BF75" s="885">
        <f>Planning!F68</f>
        <v/>
      </c>
      <c r="BG75" s="886" t="n"/>
      <c r="BH75" s="105" t="n"/>
      <c r="BI75" s="885">
        <f>Planning!I68</f>
        <v/>
      </c>
      <c r="BJ75" s="885">
        <f>Planning!J68</f>
        <v/>
      </c>
      <c r="BK75" s="886" t="n"/>
      <c r="BL75" s="105" t="n"/>
      <c r="BM75" s="885">
        <f>Planning!M68</f>
        <v/>
      </c>
      <c r="BN75" s="885">
        <f>Planning!N68</f>
        <v/>
      </c>
      <c r="BO75" s="886" t="n"/>
      <c r="BP75" s="105" t="n"/>
      <c r="BQ75" s="885">
        <f>Planning!Q68</f>
        <v/>
      </c>
      <c r="BR75" s="885">
        <f>Planning!R68</f>
        <v/>
      </c>
      <c r="BS75" s="886" t="n"/>
      <c r="BT75" s="105" t="n"/>
      <c r="BU75" s="885">
        <f>Planning!U68</f>
        <v/>
      </c>
      <c r="BV75" s="885">
        <f>Planning!V68</f>
        <v/>
      </c>
      <c r="BW75" s="886" t="n"/>
      <c r="BX75" s="105" t="n"/>
      <c r="BY75" s="885">
        <f>Planning!Y68</f>
        <v/>
      </c>
      <c r="BZ75" s="885">
        <f>Planning!Z68</f>
        <v/>
      </c>
      <c r="CA75" s="886" t="n"/>
      <c r="CB75" s="105" t="n"/>
      <c r="CC75" s="885">
        <f>Planning!AC68</f>
        <v/>
      </c>
      <c r="CD75" s="885">
        <f>Planning!AD68</f>
        <v/>
      </c>
      <c r="CE75" s="886" t="n"/>
      <c r="CF75" s="105" t="n"/>
      <c r="CG75" s="887">
        <f>Planning!AG68</f>
        <v/>
      </c>
      <c r="CH75" s="105" t="n"/>
      <c r="CI75" s="252">
        <f>IF(BC75="","",Planning!AI68)</f>
        <v/>
      </c>
      <c r="CJ75" s="252">
        <f>IF(BC75="","",Planning!AJ68)</f>
        <v/>
      </c>
      <c r="CK75" s="252">
        <f>IF(BC75="","",Planning!AK68)</f>
        <v/>
      </c>
      <c r="CL75" s="252">
        <f>IF(BC75="","",Planning!AH68)</f>
        <v/>
      </c>
      <c r="CM75" s="21" t="n"/>
    </row>
    <row r="76" ht="13.5" customHeight="1">
      <c r="A76" s="159" t="n"/>
      <c r="B76" s="440">
        <f>IFERROR(IF(COUNTIF(Instellingen!$P$40:$P$47,"")&gt;6,"",VLOOKUP(SMALL(Instellingen!$P$40:$P$47,2),Instellingen!$P$40:$T$47,5,FALSE)),"")</f>
        <v/>
      </c>
      <c r="C76" s="902">
        <f>IFERROR(IF(B76="","",VLOOKUP(B76,Instellingen!$B$40:$I$47,8,FALSE)),"")</f>
        <v/>
      </c>
      <c r="D76" s="866" t="n"/>
      <c r="H76" s="900" t="inlineStr">
        <is>
          <t>Restant/Telproces</t>
        </is>
      </c>
      <c r="I76" s="883" t="n"/>
      <c r="J76" s="883" t="n"/>
      <c r="K76" s="883" t="n"/>
      <c r="L76" s="883" t="n"/>
      <c r="M76" s="883" t="n"/>
      <c r="N76" s="883" t="n"/>
      <c r="O76" s="883" t="n"/>
      <c r="P76" s="883" t="n"/>
      <c r="Q76" s="884" t="n"/>
      <c r="R76" s="673" t="inlineStr">
        <is>
          <t>ver - Vernietigen/Reststoffen</t>
        </is>
      </c>
      <c r="S76" s="264" t="n"/>
      <c r="T76" s="264" t="n"/>
      <c r="U76" s="264" t="n"/>
      <c r="V76" s="264" t="n"/>
      <c r="W76" s="264" t="n"/>
      <c r="X76" s="264" t="n"/>
      <c r="Y76" s="264" t="n"/>
      <c r="Z76" s="675">
        <f>BA40</f>
        <v/>
      </c>
      <c r="AA76" s="264" t="n"/>
      <c r="AB76" s="907">
        <f>IF(Instellingen!I7="ja","pup - Pick-Up-Point","")</f>
        <v/>
      </c>
      <c r="AC76" s="264" t="n"/>
      <c r="AD76" s="264" t="n"/>
      <c r="AE76" s="264" t="n"/>
      <c r="AF76" s="264" t="n"/>
      <c r="AG76" s="264" t="n"/>
      <c r="AH76" s="264" t="n"/>
      <c r="AI76" s="866" t="n"/>
      <c r="AJ76" s="901">
        <f>IF(Instellingen!I7="ja",BA57,"")</f>
        <v/>
      </c>
      <c r="AK76" s="866" t="n"/>
      <c r="AL76" s="47" t="n"/>
      <c r="AM76" s="47" t="n"/>
      <c r="AN76" s="47" t="n"/>
      <c r="AO76" s="47" t="n"/>
      <c r="AP76" s="47" t="n"/>
      <c r="AQ76" s="501" t="n"/>
      <c r="AR76" s="501" t="n"/>
      <c r="AS76" s="501" t="n"/>
      <c r="AT76" s="501" t="n"/>
      <c r="AU76" s="501" t="n"/>
      <c r="AV76" s="504" t="n"/>
      <c r="AW76" s="502" t="n"/>
      <c r="AX76" s="505" t="n"/>
      <c r="AY76" s="263" t="n"/>
      <c r="AZ76" s="501" t="n"/>
      <c r="BA76" s="263" t="n"/>
      <c r="BC76" s="31">
        <f>IF(Planning!B69="","",Planning!B69)</f>
        <v/>
      </c>
      <c r="BD76" s="105" t="n"/>
      <c r="BE76" s="885">
        <f>Planning!E69</f>
        <v/>
      </c>
      <c r="BF76" s="885">
        <f>Planning!F69</f>
        <v/>
      </c>
      <c r="BG76" s="886" t="n"/>
      <c r="BH76" s="105" t="n"/>
      <c r="BI76" s="885">
        <f>Planning!I69</f>
        <v/>
      </c>
      <c r="BJ76" s="885">
        <f>Planning!J69</f>
        <v/>
      </c>
      <c r="BK76" s="886" t="n"/>
      <c r="BL76" s="105" t="n"/>
      <c r="BM76" s="885">
        <f>Planning!M69</f>
        <v/>
      </c>
      <c r="BN76" s="885">
        <f>Planning!N69</f>
        <v/>
      </c>
      <c r="BO76" s="886" t="n"/>
      <c r="BP76" s="105" t="n"/>
      <c r="BQ76" s="885">
        <f>Planning!Q69</f>
        <v/>
      </c>
      <c r="BR76" s="885">
        <f>Planning!R69</f>
        <v/>
      </c>
      <c r="BS76" s="886" t="n"/>
      <c r="BT76" s="105" t="n"/>
      <c r="BU76" s="885">
        <f>Planning!U69</f>
        <v/>
      </c>
      <c r="BV76" s="885">
        <f>Planning!V69</f>
        <v/>
      </c>
      <c r="BW76" s="886" t="n"/>
      <c r="BX76" s="105" t="n"/>
      <c r="BY76" s="885">
        <f>Planning!Y69</f>
        <v/>
      </c>
      <c r="BZ76" s="885">
        <f>Planning!Z69</f>
        <v/>
      </c>
      <c r="CA76" s="886" t="n"/>
      <c r="CB76" s="105" t="n"/>
      <c r="CC76" s="885">
        <f>Planning!AC69</f>
        <v/>
      </c>
      <c r="CD76" s="885">
        <f>Planning!AD69</f>
        <v/>
      </c>
      <c r="CE76" s="886" t="n"/>
      <c r="CF76" s="105" t="n"/>
      <c r="CG76" s="887">
        <f>Planning!AG69</f>
        <v/>
      </c>
      <c r="CH76" s="105" t="n"/>
      <c r="CI76" s="252">
        <f>IF(BC76="","",Planning!AI69)</f>
        <v/>
      </c>
      <c r="CJ76" s="252">
        <f>IF(BC76="","",Planning!AJ69)</f>
        <v/>
      </c>
      <c r="CK76" s="252">
        <f>IF(BC76="","",Planning!AK69)</f>
        <v/>
      </c>
      <c r="CL76" s="252">
        <f>IF(BC76="","",Planning!AH69)</f>
        <v/>
      </c>
      <c r="CM76" s="21" t="n"/>
    </row>
    <row r="77" ht="13.5" customHeight="1">
      <c r="A77" s="159" t="n"/>
      <c r="B77" s="440">
        <f>IFERROR(IF(COUNTIF(Instellingen!$P$40:$P$47,"")&gt;5,"",VLOOKUP(SMALL(Instellingen!$P$40:$P$47,3),Instellingen!$P$40:$T$47,5,FALSE)),"")</f>
        <v/>
      </c>
      <c r="C77" s="902">
        <f>IFERROR(IF(B77="","",VLOOKUP(B77,Instellingen!$B$40:$I$47,8,FALSE)),"")</f>
        <v/>
      </c>
      <c r="D77" s="866" t="n"/>
      <c r="H77" s="673" t="inlineStr">
        <is>
          <t>br - Bepalen restant</t>
        </is>
      </c>
      <c r="I77" s="264" t="n"/>
      <c r="J77" s="264" t="n"/>
      <c r="K77" s="264" t="n"/>
      <c r="L77" s="264" t="n"/>
      <c r="M77" s="264" t="n"/>
      <c r="N77" s="264" t="n"/>
      <c r="O77" s="264" t="n"/>
      <c r="P77" s="901">
        <f>BA24</f>
        <v/>
      </c>
      <c r="Q77" s="866" t="n"/>
      <c r="R77" s="687" t="inlineStr">
        <is>
          <t>Promo/Presentatie</t>
        </is>
      </c>
      <c r="S77" s="883" t="n"/>
      <c r="T77" s="883" t="n"/>
      <c r="U77" s="883" t="n"/>
      <c r="V77" s="883" t="n"/>
      <c r="W77" s="883" t="n"/>
      <c r="X77" s="883" t="n"/>
      <c r="Y77" s="883" t="n"/>
      <c r="Z77" s="883" t="n"/>
      <c r="AA77" s="883" t="n"/>
      <c r="AB77" s="907">
        <f>IF(AY58="","",CONCATENATE(AY58," - ",AZ58))</f>
        <v/>
      </c>
      <c r="AC77" s="264" t="n"/>
      <c r="AD77" s="264" t="n"/>
      <c r="AE77" s="264" t="n"/>
      <c r="AF77" s="264" t="n"/>
      <c r="AG77" s="264" t="n"/>
      <c r="AH77" s="264" t="n"/>
      <c r="AI77" s="866" t="n"/>
      <c r="AJ77" s="901">
        <f>IF(AY58="","",BA58)</f>
        <v/>
      </c>
      <c r="AK77" s="866" t="n"/>
      <c r="AL77" s="47" t="n"/>
      <c r="AM77" s="47" t="n"/>
      <c r="AN77" s="47" t="n"/>
      <c r="AO77" s="47" t="n"/>
      <c r="AP77" s="47" t="n"/>
      <c r="AQ77" s="47" t="n"/>
      <c r="AR77" s="47" t="n"/>
      <c r="AS77" s="47" t="n"/>
      <c r="AT77" s="47" t="n"/>
      <c r="AU77" s="47" t="n"/>
      <c r="AV77" s="118" t="n"/>
      <c r="AW77" s="310" t="n"/>
      <c r="AX77" s="36" t="n"/>
      <c r="AY77" s="64" t="n"/>
      <c r="AZ77" s="838" t="n"/>
      <c r="BC77" s="31">
        <f>IF(Planning!B70="","",Planning!B70)</f>
        <v/>
      </c>
      <c r="BD77" s="105" t="n"/>
      <c r="BE77" s="885">
        <f>Planning!E70</f>
        <v/>
      </c>
      <c r="BF77" s="885">
        <f>Planning!F70</f>
        <v/>
      </c>
      <c r="BG77" s="886" t="n"/>
      <c r="BH77" s="105" t="n"/>
      <c r="BI77" s="885">
        <f>Planning!I70</f>
        <v/>
      </c>
      <c r="BJ77" s="885">
        <f>Planning!J70</f>
        <v/>
      </c>
      <c r="BK77" s="886" t="n"/>
      <c r="BL77" s="105" t="n"/>
      <c r="BM77" s="885">
        <f>Planning!M70</f>
        <v/>
      </c>
      <c r="BN77" s="885">
        <f>Planning!N70</f>
        <v/>
      </c>
      <c r="BO77" s="886" t="n"/>
      <c r="BP77" s="105" t="n"/>
      <c r="BQ77" s="885">
        <f>Planning!Q70</f>
        <v/>
      </c>
      <c r="BR77" s="885">
        <f>Planning!R70</f>
        <v/>
      </c>
      <c r="BS77" s="886" t="n"/>
      <c r="BT77" s="105" t="n"/>
      <c r="BU77" s="885">
        <f>Planning!U70</f>
        <v/>
      </c>
      <c r="BV77" s="885">
        <f>Planning!V70</f>
        <v/>
      </c>
      <c r="BW77" s="886" t="n"/>
      <c r="BX77" s="105" t="n"/>
      <c r="BY77" s="885">
        <f>Planning!Y70</f>
        <v/>
      </c>
      <c r="BZ77" s="885">
        <f>Planning!Z70</f>
        <v/>
      </c>
      <c r="CA77" s="886" t="n"/>
      <c r="CB77" s="105" t="n"/>
      <c r="CC77" s="885">
        <f>Planning!AC70</f>
        <v/>
      </c>
      <c r="CD77" s="885">
        <f>Planning!AD70</f>
        <v/>
      </c>
      <c r="CE77" s="886" t="n"/>
      <c r="CF77" s="105" t="n"/>
      <c r="CG77" s="887">
        <f>Planning!AG70</f>
        <v/>
      </c>
      <c r="CH77" s="105" t="n"/>
      <c r="CI77" s="252">
        <f>IF(BC77="","",Planning!AI70)</f>
        <v/>
      </c>
      <c r="CJ77" s="252">
        <f>IF(BC77="","",Planning!AJ70)</f>
        <v/>
      </c>
      <c r="CK77" s="252">
        <f>IF(BC77="","",Planning!AK70)</f>
        <v/>
      </c>
      <c r="CL77" s="252">
        <f>IF(BC77="","",Planning!AH70)</f>
        <v/>
      </c>
      <c r="CM77" s="21" t="n"/>
    </row>
    <row r="78" ht="13.5" customHeight="1">
      <c r="A78" s="159" t="n"/>
      <c r="B78" s="440">
        <f>IFERROR(IF(COUNTIF(Instellingen!$P$40:$P$47,"")&gt;4,"",VLOOKUP(SMALL(Instellingen!$P$40:$P$47,4),Instellingen!$P$40:$T$47,5,FALSE)),"")</f>
        <v/>
      </c>
      <c r="C78" s="902">
        <f>IFERROR(IF(B78="","",VLOOKUP(B78,Instellingen!$B$40:$I$47,8,FALSE)),"")</f>
        <v/>
      </c>
      <c r="D78" s="866" t="n"/>
      <c r="H78" s="673" t="inlineStr">
        <is>
          <t>bl - Bepalen langrestant</t>
        </is>
      </c>
      <c r="I78" s="264" t="n"/>
      <c r="J78" s="264" t="n"/>
      <c r="K78" s="264" t="n"/>
      <c r="L78" s="264" t="n"/>
      <c r="M78" s="264" t="n"/>
      <c r="N78" s="264" t="n"/>
      <c r="O78" s="264" t="n"/>
      <c r="P78" s="901">
        <f>BA25</f>
        <v/>
      </c>
      <c r="Q78" s="866" t="n"/>
      <c r="R78" s="673" t="inlineStr">
        <is>
          <t>act - Actieopbouw</t>
        </is>
      </c>
      <c r="S78" s="264" t="n"/>
      <c r="T78" s="264" t="n"/>
      <c r="U78" s="264" t="n"/>
      <c r="V78" s="264" t="n"/>
      <c r="W78" s="264" t="n"/>
      <c r="X78" s="264" t="n"/>
      <c r="Y78" s="264" t="n"/>
      <c r="Z78" s="675">
        <f>BA42</f>
        <v/>
      </c>
      <c r="AA78" s="264" t="n"/>
      <c r="AB78" s="907">
        <f>IF(AY59="","",CONCATENATE(AY59," - ",AZ59))</f>
        <v/>
      </c>
      <c r="AC78" s="264" t="n"/>
      <c r="AD78" s="264" t="n"/>
      <c r="AE78" s="264" t="n"/>
      <c r="AF78" s="264" t="n"/>
      <c r="AG78" s="264" t="n"/>
      <c r="AH78" s="264" t="n"/>
      <c r="AI78" s="866" t="n"/>
      <c r="AJ78" s="901">
        <f>IF(AY59="","",BA59)</f>
        <v/>
      </c>
      <c r="AK78" s="866" t="n"/>
      <c r="AL78" s="47" t="n"/>
      <c r="AM78" s="47" t="n"/>
      <c r="AN78" s="47" t="n"/>
      <c r="AO78" s="47" t="n"/>
      <c r="AP78" s="47" t="n"/>
      <c r="AQ78" s="47" t="n"/>
      <c r="AR78" s="47" t="n"/>
      <c r="AS78" s="47" t="n"/>
      <c r="AT78" s="47" t="n"/>
      <c r="AU78" s="47" t="n"/>
      <c r="AV78" s="118" t="n"/>
      <c r="AW78" s="310" t="n"/>
      <c r="AX78" s="36" t="n"/>
      <c r="AY78" s="64" t="n"/>
      <c r="AZ78" s="838" t="n"/>
      <c r="BC78" s="31">
        <f>IF(Planning!B71="","",Planning!B71)</f>
        <v/>
      </c>
      <c r="BD78" s="105" t="n"/>
      <c r="BE78" s="885">
        <f>Planning!E71</f>
        <v/>
      </c>
      <c r="BF78" s="885">
        <f>Planning!F71</f>
        <v/>
      </c>
      <c r="BG78" s="886" t="n"/>
      <c r="BH78" s="105" t="n"/>
      <c r="BI78" s="885">
        <f>Planning!I71</f>
        <v/>
      </c>
      <c r="BJ78" s="885">
        <f>Planning!J71</f>
        <v/>
      </c>
      <c r="BK78" s="886" t="n"/>
      <c r="BL78" s="105" t="n"/>
      <c r="BM78" s="885">
        <f>Planning!M71</f>
        <v/>
      </c>
      <c r="BN78" s="885">
        <f>Planning!N71</f>
        <v/>
      </c>
      <c r="BO78" s="886" t="n"/>
      <c r="BP78" s="105" t="n"/>
      <c r="BQ78" s="885">
        <f>Planning!Q71</f>
        <v/>
      </c>
      <c r="BR78" s="885">
        <f>Planning!R71</f>
        <v/>
      </c>
      <c r="BS78" s="886" t="n"/>
      <c r="BT78" s="105" t="n"/>
      <c r="BU78" s="885">
        <f>Planning!U71</f>
        <v/>
      </c>
      <c r="BV78" s="885">
        <f>Planning!V71</f>
        <v/>
      </c>
      <c r="BW78" s="886" t="n"/>
      <c r="BX78" s="105" t="n"/>
      <c r="BY78" s="885">
        <f>Planning!Y71</f>
        <v/>
      </c>
      <c r="BZ78" s="885">
        <f>Planning!Z71</f>
        <v/>
      </c>
      <c r="CA78" s="886" t="n"/>
      <c r="CB78" s="105" t="n"/>
      <c r="CC78" s="885">
        <f>Planning!AC71</f>
        <v/>
      </c>
      <c r="CD78" s="885">
        <f>Planning!AD71</f>
        <v/>
      </c>
      <c r="CE78" s="886" t="n"/>
      <c r="CF78" s="105" t="n"/>
      <c r="CG78" s="887">
        <f>Planning!AG71</f>
        <v/>
      </c>
      <c r="CH78" s="105" t="n"/>
      <c r="CI78" s="252">
        <f>IF(BC78="","",Planning!AI71)</f>
        <v/>
      </c>
      <c r="CJ78" s="252">
        <f>IF(BC78="","",Planning!AJ71)</f>
        <v/>
      </c>
      <c r="CK78" s="252">
        <f>IF(BC78="","",Planning!AK71)</f>
        <v/>
      </c>
      <c r="CL78" s="252">
        <f>IF(BC78="","",Planning!AH71)</f>
        <v/>
      </c>
      <c r="CM78" s="21" t="n"/>
    </row>
    <row r="79" ht="13.5" customHeight="1">
      <c r="A79" s="159" t="n"/>
      <c r="B79" s="440">
        <f>IFERROR(IF(COUNTIF(Instellingen!$P$40:$P$47,"")&gt;3,"",VLOOKUP(SMALL(Instellingen!$P$40:$P$47,5),Instellingen!$P$40:$T$47,5,FALSE)),"")</f>
        <v/>
      </c>
      <c r="C79" s="902">
        <f>IFERROR(IF(B79="","",VLOOKUP(B79,Instellingen!$B$40:$I$47,8,FALSE)),"")</f>
        <v/>
      </c>
      <c r="D79" s="866" t="n"/>
      <c r="H79" s="673" t="inlineStr">
        <is>
          <t>hl - Hardlopers vullen</t>
        </is>
      </c>
      <c r="I79" s="264" t="n"/>
      <c r="J79" s="264" t="n"/>
      <c r="K79" s="264" t="n"/>
      <c r="L79" s="264" t="n"/>
      <c r="M79" s="264" t="n"/>
      <c r="N79" s="264" t="n"/>
      <c r="O79" s="264" t="n"/>
      <c r="P79" s="901">
        <f>BA26</f>
        <v/>
      </c>
      <c r="Q79" s="866" t="n"/>
      <c r="R79" s="673" t="inlineStr">
        <is>
          <t>com - Comco sorteren</t>
        </is>
      </c>
      <c r="S79" s="264" t="n"/>
      <c r="T79" s="264" t="n"/>
      <c r="U79" s="264" t="n"/>
      <c r="V79" s="264" t="n"/>
      <c r="W79" s="264" t="n"/>
      <c r="X79" s="264" t="n"/>
      <c r="Y79" s="264" t="n"/>
      <c r="Z79" s="675">
        <f>BA43</f>
        <v/>
      </c>
      <c r="AA79" s="264" t="n"/>
      <c r="AB79" s="907">
        <f>IF(AY60="","",CONCATENATE(AY60," - ",AZ60))</f>
        <v/>
      </c>
      <c r="AC79" s="264" t="n"/>
      <c r="AD79" s="264" t="n"/>
      <c r="AE79" s="264" t="n"/>
      <c r="AF79" s="264" t="n"/>
      <c r="AG79" s="264" t="n"/>
      <c r="AH79" s="264" t="n"/>
      <c r="AI79" s="866" t="n"/>
      <c r="AJ79" s="901">
        <f>IF(AY60="","",BA60)</f>
        <v/>
      </c>
      <c r="AK79" s="866" t="n"/>
      <c r="AL79" s="47" t="n"/>
      <c r="AM79" s="47" t="n"/>
      <c r="AN79" s="47" t="n"/>
      <c r="AO79" s="47" t="n"/>
      <c r="AP79" s="47" t="n"/>
      <c r="AQ79" s="47" t="n"/>
      <c r="AR79" s="47" t="n"/>
      <c r="AS79" s="47" t="n"/>
      <c r="AT79" s="47" t="n"/>
      <c r="AU79" s="47" t="n"/>
      <c r="AV79" s="118" t="n"/>
      <c r="AW79" s="310" t="n"/>
      <c r="AX79" s="36" t="n"/>
      <c r="AY79" s="64" t="n"/>
      <c r="AZ79" s="838" t="n"/>
      <c r="BC79" s="31">
        <f>IF(Planning!B72="","",Planning!B72)</f>
        <v/>
      </c>
      <c r="BD79" s="105" t="n"/>
      <c r="BE79" s="885">
        <f>Planning!E72</f>
        <v/>
      </c>
      <c r="BF79" s="885">
        <f>Planning!F72</f>
        <v/>
      </c>
      <c r="BG79" s="886" t="n"/>
      <c r="BH79" s="105" t="n"/>
      <c r="BI79" s="885">
        <f>Planning!I72</f>
        <v/>
      </c>
      <c r="BJ79" s="885">
        <f>Planning!J72</f>
        <v/>
      </c>
      <c r="BK79" s="886" t="n"/>
      <c r="BL79" s="105" t="n"/>
      <c r="BM79" s="885">
        <f>Planning!M72</f>
        <v/>
      </c>
      <c r="BN79" s="885">
        <f>Planning!N72</f>
        <v/>
      </c>
      <c r="BO79" s="886" t="n"/>
      <c r="BP79" s="105" t="n"/>
      <c r="BQ79" s="885">
        <f>Planning!Q72</f>
        <v/>
      </c>
      <c r="BR79" s="885">
        <f>Planning!R72</f>
        <v/>
      </c>
      <c r="BS79" s="886" t="n"/>
      <c r="BT79" s="105" t="n"/>
      <c r="BU79" s="885">
        <f>Planning!U72</f>
        <v/>
      </c>
      <c r="BV79" s="885">
        <f>Planning!V72</f>
        <v/>
      </c>
      <c r="BW79" s="886" t="n"/>
      <c r="BX79" s="105" t="n"/>
      <c r="BY79" s="885">
        <f>Planning!Y72</f>
        <v/>
      </c>
      <c r="BZ79" s="885">
        <f>Planning!Z72</f>
        <v/>
      </c>
      <c r="CA79" s="886" t="n"/>
      <c r="CB79" s="105" t="n"/>
      <c r="CC79" s="885">
        <f>Planning!AC72</f>
        <v/>
      </c>
      <c r="CD79" s="885">
        <f>Planning!AD72</f>
        <v/>
      </c>
      <c r="CE79" s="886" t="n"/>
      <c r="CF79" s="105" t="n"/>
      <c r="CG79" s="887">
        <f>Planning!AG72</f>
        <v/>
      </c>
      <c r="CH79" s="105" t="n"/>
      <c r="CI79" s="252">
        <f>IF(BC79="","",Planning!AI72)</f>
        <v/>
      </c>
      <c r="CJ79" s="252">
        <f>IF(BC79="","",Planning!AJ72)</f>
        <v/>
      </c>
      <c r="CK79" s="252">
        <f>IF(BC79="","",Planning!AK72)</f>
        <v/>
      </c>
      <c r="CL79" s="252">
        <f>IF(BC79="","",Planning!AH72)</f>
        <v/>
      </c>
      <c r="CM79" s="21" t="n"/>
    </row>
    <row r="80" ht="13.5" customHeight="1">
      <c r="A80" s="159" t="n"/>
      <c r="B80" s="251">
        <f>IFERROR(IF(COUNTIF(Instellingen!$P$40:$P$47,"")&gt;2,"",VLOOKUP(SMALL(Instellingen!$P$40:$P$47,6),Instellingen!$P$40:$T$47,5,FALSE)),"")</f>
        <v/>
      </c>
      <c r="C80" s="902">
        <f>IFERROR(IF(B80="","",VLOOKUP(B80,Instellingen!$B$40:$I$47,8,FALSE)),"")</f>
        <v/>
      </c>
      <c r="D80" s="866" t="n"/>
      <c r="H80" s="673" t="inlineStr">
        <is>
          <t>lhb - Neeverkoop HB</t>
        </is>
      </c>
      <c r="I80" s="264" t="n"/>
      <c r="J80" s="264" t="n"/>
      <c r="K80" s="264" t="n"/>
      <c r="L80" s="264" t="n"/>
      <c r="M80" s="264" t="n"/>
      <c r="N80" s="264" t="n"/>
      <c r="O80" s="264" t="n"/>
      <c r="P80" s="901">
        <f>BA27</f>
        <v/>
      </c>
      <c r="Q80" s="866" t="n"/>
      <c r="R80" s="673" t="inlineStr">
        <is>
          <t>pro - Promotie</t>
        </is>
      </c>
      <c r="S80" s="264" t="n"/>
      <c r="T80" s="264" t="n"/>
      <c r="U80" s="264" t="n"/>
      <c r="V80" s="264" t="n"/>
      <c r="W80" s="264" t="n"/>
      <c r="X80" s="264" t="n"/>
      <c r="Y80" s="264" t="n"/>
      <c r="Z80" s="675">
        <f>BA44</f>
        <v/>
      </c>
      <c r="AA80" s="264" t="n"/>
      <c r="AB80" s="909">
        <f>IF(BA61=0,"","Taken zonder legenda")</f>
        <v/>
      </c>
      <c r="AC80" s="264" t="n"/>
      <c r="AD80" s="264" t="n"/>
      <c r="AE80" s="264" t="n"/>
      <c r="AF80" s="264" t="n"/>
      <c r="AG80" s="264" t="n"/>
      <c r="AH80" s="264" t="n"/>
      <c r="AI80" s="866" t="n"/>
      <c r="AJ80" s="910">
        <f>IF(BA61=0,"",BA61)</f>
        <v/>
      </c>
      <c r="AK80" s="866" t="n"/>
      <c r="AL80" s="47" t="n"/>
      <c r="AM80" s="47" t="n"/>
      <c r="AN80" s="47" t="n"/>
      <c r="AO80" s="47" t="n"/>
      <c r="AP80" s="47" t="n"/>
      <c r="AQ80" s="47" t="n"/>
      <c r="AR80" s="47" t="n"/>
      <c r="AS80" s="47" t="n"/>
      <c r="AT80" s="47" t="n"/>
      <c r="AU80" s="47" t="n"/>
      <c r="AV80" s="118" t="n"/>
      <c r="AW80" s="310" t="n"/>
      <c r="AX80" s="36" t="n"/>
      <c r="AY80" s="64" t="n"/>
      <c r="AZ80" s="838" t="n"/>
      <c r="BC80" s="31">
        <f>IF(Planning!B73="","",Planning!B73)</f>
        <v/>
      </c>
      <c r="BD80" s="105" t="n"/>
      <c r="BE80" s="885">
        <f>Planning!E73</f>
        <v/>
      </c>
      <c r="BF80" s="885">
        <f>Planning!F73</f>
        <v/>
      </c>
      <c r="BG80" s="886" t="n"/>
      <c r="BH80" s="105" t="n"/>
      <c r="BI80" s="885">
        <f>Planning!I73</f>
        <v/>
      </c>
      <c r="BJ80" s="885">
        <f>Planning!J73</f>
        <v/>
      </c>
      <c r="BK80" s="886" t="n"/>
      <c r="BL80" s="105" t="n"/>
      <c r="BM80" s="885">
        <f>Planning!M73</f>
        <v/>
      </c>
      <c r="BN80" s="885">
        <f>Planning!N73</f>
        <v/>
      </c>
      <c r="BO80" s="886" t="n"/>
      <c r="BP80" s="105" t="n"/>
      <c r="BQ80" s="885">
        <f>Planning!Q73</f>
        <v/>
      </c>
      <c r="BR80" s="885">
        <f>Planning!R73</f>
        <v/>
      </c>
      <c r="BS80" s="886" t="n"/>
      <c r="BT80" s="105" t="n"/>
      <c r="BU80" s="885">
        <f>Planning!U73</f>
        <v/>
      </c>
      <c r="BV80" s="885">
        <f>Planning!V73</f>
        <v/>
      </c>
      <c r="BW80" s="886" t="n"/>
      <c r="BX80" s="105" t="n"/>
      <c r="BY80" s="885">
        <f>Planning!Y73</f>
        <v/>
      </c>
      <c r="BZ80" s="885">
        <f>Planning!Z73</f>
        <v/>
      </c>
      <c r="CA80" s="886" t="n"/>
      <c r="CB80" s="105" t="n"/>
      <c r="CC80" s="885">
        <f>Planning!AC73</f>
        <v/>
      </c>
      <c r="CD80" s="885">
        <f>Planning!AD73</f>
        <v/>
      </c>
      <c r="CE80" s="886" t="n"/>
      <c r="CF80" s="105" t="n"/>
      <c r="CG80" s="887">
        <f>Planning!AG73</f>
        <v/>
      </c>
      <c r="CH80" s="105" t="n"/>
      <c r="CI80" s="252">
        <f>IF(BC80="","",Planning!AI73)</f>
        <v/>
      </c>
      <c r="CJ80" s="252">
        <f>IF(BC80="","",Planning!AJ73)</f>
        <v/>
      </c>
      <c r="CK80" s="252">
        <f>IF(BC80="","",Planning!AK73)</f>
        <v/>
      </c>
      <c r="CL80" s="252">
        <f>IF(BC80="","",Planning!AH73)</f>
        <v/>
      </c>
      <c r="CM80" s="21" t="n"/>
    </row>
    <row r="81" ht="13.5" customHeight="1">
      <c r="A81" s="159" t="n"/>
      <c r="B81" s="440">
        <f>IFERROR(IF(COUNTIF(Instellingen!$P$40:$P$47,"")&gt;1,"",VLOOKUP(SMALL(Instellingen!$P$40:$P$47,7),Instellingen!$P$40:$T$47,5,FALSE)),"")</f>
        <v/>
      </c>
      <c r="C81" s="902">
        <f>IFERROR(IF(B81="","",VLOOKUP(B81,Instellingen!$B$40:$I$47,8,FALSE)),"")</f>
        <v/>
      </c>
      <c r="D81" s="866" t="n"/>
      <c r="H81" s="673" t="inlineStr">
        <is>
          <t>ldv - Neeverkoop DV</t>
        </is>
      </c>
      <c r="I81" s="264" t="n"/>
      <c r="J81" s="264" t="n"/>
      <c r="K81" s="264" t="n"/>
      <c r="L81" s="264" t="n"/>
      <c r="M81" s="264" t="n"/>
      <c r="N81" s="264" t="n"/>
      <c r="O81" s="264" t="n"/>
      <c r="P81" s="901">
        <f>BA28</f>
        <v/>
      </c>
      <c r="Q81" s="866" t="n"/>
      <c r="R81" s="673" t="inlineStr">
        <is>
          <t>pw - Prijswijzigingen</t>
        </is>
      </c>
      <c r="S81" s="264" t="n"/>
      <c r="T81" s="264" t="n"/>
      <c r="U81" s="264" t="n"/>
      <c r="V81" s="264" t="n"/>
      <c r="W81" s="264" t="n"/>
      <c r="X81" s="264" t="n"/>
      <c r="Y81" s="264" t="n"/>
      <c r="Z81" s="675">
        <f>BA45</f>
        <v/>
      </c>
      <c r="AA81" s="264" t="n"/>
      <c r="AB81" s="911" t="inlineStr">
        <is>
          <t>p - Pauze (onbetaald)</t>
        </is>
      </c>
      <c r="AC81" s="264" t="n"/>
      <c r="AD81" s="264" t="n"/>
      <c r="AE81" s="264" t="n"/>
      <c r="AF81" s="264" t="n"/>
      <c r="AG81" s="264" t="n"/>
      <c r="AH81" s="264" t="n"/>
      <c r="AI81" s="866" t="n"/>
      <c r="AJ81" s="912">
        <f>BA62</f>
        <v/>
      </c>
      <c r="AK81" s="866" t="n"/>
      <c r="AL81" s="47" t="n"/>
      <c r="AM81" s="47" t="n"/>
      <c r="AN81" s="47" t="n"/>
      <c r="AO81" s="47" t="n"/>
      <c r="AP81" s="47" t="n"/>
      <c r="AQ81" s="47" t="n"/>
      <c r="AR81" s="47" t="n"/>
      <c r="AS81" s="47" t="n"/>
      <c r="AT81" s="47" t="n"/>
      <c r="AU81" s="47" t="n"/>
      <c r="AV81" s="118" t="n"/>
      <c r="AW81" s="310" t="n"/>
      <c r="AX81" s="36" t="n"/>
      <c r="AY81" s="64" t="n"/>
      <c r="AZ81" s="838" t="n"/>
      <c r="BC81" s="31">
        <f>IF(Planning!B74="","",Planning!B74)</f>
        <v/>
      </c>
      <c r="BD81" s="105" t="n"/>
      <c r="BE81" s="885">
        <f>Planning!E74</f>
        <v/>
      </c>
      <c r="BF81" s="885">
        <f>Planning!F74</f>
        <v/>
      </c>
      <c r="BG81" s="886" t="n"/>
      <c r="BH81" s="105" t="n"/>
      <c r="BI81" s="885">
        <f>Planning!I74</f>
        <v/>
      </c>
      <c r="BJ81" s="885">
        <f>Planning!J74</f>
        <v/>
      </c>
      <c r="BK81" s="886" t="n"/>
      <c r="BL81" s="105" t="n"/>
      <c r="BM81" s="885">
        <f>Planning!M74</f>
        <v/>
      </c>
      <c r="BN81" s="885">
        <f>Planning!N74</f>
        <v/>
      </c>
      <c r="BO81" s="886" t="n"/>
      <c r="BP81" s="105" t="n"/>
      <c r="BQ81" s="885">
        <f>Planning!Q74</f>
        <v/>
      </c>
      <c r="BR81" s="885">
        <f>Planning!R74</f>
        <v/>
      </c>
      <c r="BS81" s="886" t="n"/>
      <c r="BT81" s="105" t="n"/>
      <c r="BU81" s="885">
        <f>Planning!U74</f>
        <v/>
      </c>
      <c r="BV81" s="885">
        <f>Planning!V74</f>
        <v/>
      </c>
      <c r="BW81" s="886" t="n"/>
      <c r="BX81" s="105" t="n"/>
      <c r="BY81" s="885">
        <f>Planning!Y74</f>
        <v/>
      </c>
      <c r="BZ81" s="885">
        <f>Planning!Z74</f>
        <v/>
      </c>
      <c r="CA81" s="886" t="n"/>
      <c r="CB81" s="105" t="n"/>
      <c r="CC81" s="885">
        <f>Planning!AC74</f>
        <v/>
      </c>
      <c r="CD81" s="885">
        <f>Planning!AD74</f>
        <v/>
      </c>
      <c r="CE81" s="886" t="n"/>
      <c r="CF81" s="105" t="n"/>
      <c r="CG81" s="887">
        <f>Planning!AG74</f>
        <v/>
      </c>
      <c r="CH81" s="105" t="n"/>
      <c r="CI81" s="252">
        <f>IF(BC81="","",Planning!AI74)</f>
        <v/>
      </c>
      <c r="CJ81" s="252">
        <f>IF(BC81="","",Planning!AJ74)</f>
        <v/>
      </c>
      <c r="CK81" s="252">
        <f>IF(BC81="","",Planning!AK74)</f>
        <v/>
      </c>
      <c r="CL81" s="252">
        <f>IF(BC81="","",Planning!AH74)</f>
        <v/>
      </c>
      <c r="CM81" s="21" t="n"/>
    </row>
    <row r="82" ht="13.5" customHeight="1">
      <c r="A82" s="159" t="n"/>
      <c r="B82" s="441">
        <f>IFERROR(IF(COUNTIF(Instellingen!$P$40:$P$47,"")&gt;0,"",VLOOKUP(SMALL(Instellingen!$P$40:$P$47,8),Instellingen!$P$40:$T$47,5,FALSE)),"")</f>
        <v/>
      </c>
      <c r="C82" s="908">
        <f>IFERROR(IF(B82="","",VLOOKUP(B82,Instellingen!$B$40:$I$47,8,FALSE)),"")</f>
        <v/>
      </c>
      <c r="D82" s="869" t="n"/>
      <c r="H82" s="661" t="inlineStr">
        <is>
          <t>lvv - Neeverkoop Vers</t>
        </is>
      </c>
      <c r="I82" s="906" t="n"/>
      <c r="J82" s="906" t="n"/>
      <c r="K82" s="906" t="n"/>
      <c r="L82" s="906" t="n"/>
      <c r="M82" s="906" t="n"/>
      <c r="N82" s="906" t="n"/>
      <c r="O82" s="906" t="n"/>
      <c r="P82" s="913">
        <f>BA29</f>
        <v/>
      </c>
      <c r="Q82" s="869" t="n"/>
      <c r="R82" s="661" t="inlineStr">
        <is>
          <t>wap - WAP uitvoeren</t>
        </is>
      </c>
      <c r="S82" s="906" t="n"/>
      <c r="T82" s="906" t="n"/>
      <c r="U82" s="906" t="n"/>
      <c r="V82" s="906" t="n"/>
      <c r="W82" s="906" t="n"/>
      <c r="X82" s="906" t="n"/>
      <c r="Y82" s="906" t="n"/>
      <c r="Z82" s="663">
        <f>BA46</f>
        <v/>
      </c>
      <c r="AA82" s="906" t="n"/>
      <c r="AB82" s="914" t="inlineStr">
        <is>
          <t>afw - Afwezig / ziek</t>
        </is>
      </c>
      <c r="AC82" s="906" t="n"/>
      <c r="AD82" s="906" t="n"/>
      <c r="AE82" s="906" t="n"/>
      <c r="AF82" s="906" t="n"/>
      <c r="AG82" s="906" t="n"/>
      <c r="AH82" s="906" t="n"/>
      <c r="AI82" s="869" t="n"/>
      <c r="AJ82" s="915">
        <f>BA63</f>
        <v/>
      </c>
      <c r="AK82" s="869" t="n"/>
      <c r="AL82" s="47" t="n"/>
      <c r="AM82" s="47" t="n"/>
      <c r="AN82" s="47" t="n"/>
      <c r="AO82" s="47" t="n"/>
      <c r="AP82" s="47" t="n"/>
      <c r="AQ82" s="47" t="n"/>
      <c r="AR82" s="47" t="n"/>
      <c r="AS82" s="47" t="n"/>
      <c r="AT82" s="47" t="n"/>
      <c r="AU82" s="47" t="n"/>
      <c r="AV82" s="118" t="n"/>
      <c r="AW82" s="310" t="n"/>
      <c r="AX82" s="36" t="n"/>
      <c r="AY82" s="64" t="n"/>
      <c r="AZ82" s="838" t="n"/>
      <c r="BC82" s="31">
        <f>IF(Planning!B75="","",Planning!B75)</f>
        <v/>
      </c>
      <c r="BD82" s="105" t="n"/>
      <c r="BE82" s="885">
        <f>Planning!E75</f>
        <v/>
      </c>
      <c r="BF82" s="885">
        <f>Planning!F75</f>
        <v/>
      </c>
      <c r="BG82" s="886" t="n"/>
      <c r="BH82" s="105" t="n"/>
      <c r="BI82" s="885">
        <f>Planning!I75</f>
        <v/>
      </c>
      <c r="BJ82" s="885">
        <f>Planning!J75</f>
        <v/>
      </c>
      <c r="BK82" s="886" t="n"/>
      <c r="BL82" s="105" t="n"/>
      <c r="BM82" s="885">
        <f>Planning!M75</f>
        <v/>
      </c>
      <c r="BN82" s="885">
        <f>Planning!N75</f>
        <v/>
      </c>
      <c r="BO82" s="886" t="n"/>
      <c r="BP82" s="105" t="n"/>
      <c r="BQ82" s="885">
        <f>Planning!Q75</f>
        <v/>
      </c>
      <c r="BR82" s="885">
        <f>Planning!R75</f>
        <v/>
      </c>
      <c r="BS82" s="886" t="n"/>
      <c r="BT82" s="105" t="n"/>
      <c r="BU82" s="885">
        <f>Planning!U75</f>
        <v/>
      </c>
      <c r="BV82" s="885">
        <f>Planning!V75</f>
        <v/>
      </c>
      <c r="BW82" s="886" t="n"/>
      <c r="BX82" s="105" t="n"/>
      <c r="BY82" s="885">
        <f>Planning!Y75</f>
        <v/>
      </c>
      <c r="BZ82" s="885">
        <f>Planning!Z75</f>
        <v/>
      </c>
      <c r="CA82" s="886" t="n"/>
      <c r="CB82" s="105" t="n"/>
      <c r="CC82" s="885">
        <f>Planning!AC75</f>
        <v/>
      </c>
      <c r="CD82" s="885">
        <f>Planning!AD75</f>
        <v/>
      </c>
      <c r="CE82" s="886" t="n"/>
      <c r="CF82" s="105" t="n"/>
      <c r="CG82" s="887">
        <f>Planning!AG75</f>
        <v/>
      </c>
      <c r="CH82" s="105" t="n"/>
      <c r="CI82" s="252">
        <f>IF(BC82="","",Planning!AI75)</f>
        <v/>
      </c>
      <c r="CJ82" s="252">
        <f>IF(BC82="","",Planning!AJ75)</f>
        <v/>
      </c>
      <c r="CK82" s="252">
        <f>IF(BC82="","",Planning!AK75)</f>
        <v/>
      </c>
      <c r="CL82" s="252">
        <f>IF(BC82="","",Planning!AH75)</f>
        <v/>
      </c>
      <c r="CM82" s="21" t="n"/>
    </row>
    <row r="83" ht="6" customHeight="1">
      <c r="A83" s="159" t="n"/>
      <c r="P83" s="310" t="n"/>
      <c r="Q83" s="310" t="n"/>
      <c r="W83" s="110" t="n"/>
      <c r="X83" s="109" t="n"/>
      <c r="Y83" s="109" t="n"/>
      <c r="Z83" s="109" t="n"/>
      <c r="AA83" s="109" t="n"/>
      <c r="AB83" s="109" t="n"/>
      <c r="AC83" s="109" t="n"/>
      <c r="AD83" s="109" t="n"/>
      <c r="AE83" s="109" t="n"/>
      <c r="AF83" s="109" t="n"/>
      <c r="AG83" s="109" t="n"/>
      <c r="AH83" s="47" t="n"/>
      <c r="AI83" s="47" t="n"/>
      <c r="AJ83" s="47" t="n"/>
      <c r="AK83" s="47" t="n"/>
      <c r="AL83" s="47" t="n"/>
      <c r="AM83" s="47" t="n"/>
      <c r="AN83" s="47" t="n"/>
      <c r="AO83" s="47" t="n"/>
      <c r="AP83" s="47" t="n"/>
      <c r="AQ83" s="47" t="n"/>
      <c r="AR83" s="47" t="n"/>
      <c r="AS83" s="47" t="n"/>
      <c r="AT83" s="47" t="n"/>
      <c r="AU83" s="47" t="n"/>
      <c r="AV83" s="118" t="n"/>
      <c r="AW83" s="310" t="n"/>
      <c r="AX83" s="36" t="n"/>
      <c r="AY83" s="64" t="n"/>
      <c r="AZ83" s="838" t="n"/>
      <c r="CM83" s="21" t="n"/>
    </row>
    <row r="84" ht="13.5" customHeight="1">
      <c r="A84" s="159" t="n"/>
      <c r="B84" s="916" t="inlineStr">
        <is>
          <t>Opmerkingen</t>
        </is>
      </c>
      <c r="C84" s="883" t="n"/>
      <c r="D84" s="883" t="n"/>
      <c r="E84" s="883" t="n"/>
      <c r="F84" s="883" t="n"/>
      <c r="G84" s="883" t="n"/>
      <c r="H84" s="883" t="n"/>
      <c r="I84" s="883" t="n"/>
      <c r="J84" s="883" t="n"/>
      <c r="K84" s="883" t="n"/>
      <c r="L84" s="883" t="n"/>
      <c r="M84" s="883" t="n"/>
      <c r="N84" s="883" t="n"/>
      <c r="O84" s="883" t="n"/>
      <c r="P84" s="883" t="n"/>
      <c r="Q84" s="883" t="n"/>
      <c r="R84" s="883" t="n"/>
      <c r="S84" s="883" t="n"/>
      <c r="T84" s="883" t="n"/>
      <c r="U84" s="883" t="n"/>
      <c r="V84" s="883" t="n"/>
      <c r="W84" s="883" t="n"/>
      <c r="X84" s="883" t="n"/>
      <c r="Y84" s="883" t="n"/>
      <c r="Z84" s="883" t="n"/>
      <c r="AA84" s="883" t="n"/>
      <c r="AB84" s="883" t="n"/>
      <c r="AC84" s="883" t="n"/>
      <c r="AD84" s="883" t="n"/>
      <c r="AE84" s="883" t="n"/>
      <c r="AF84" s="883" t="n"/>
      <c r="AG84" s="883" t="n"/>
      <c r="AH84" s="883" t="n"/>
      <c r="AI84" s="883" t="n"/>
      <c r="AJ84" s="883" t="n"/>
      <c r="AK84" s="884" t="n"/>
      <c r="AL84" s="47" t="n"/>
      <c r="AM84" s="47" t="n"/>
      <c r="AN84" s="47" t="n"/>
      <c r="AO84" s="47" t="n"/>
      <c r="AP84" s="47" t="n"/>
      <c r="AQ84" s="47" t="n"/>
      <c r="AR84" s="47" t="n"/>
      <c r="AS84" s="47" t="n"/>
      <c r="AT84" s="47" t="n"/>
      <c r="AU84" s="47" t="n"/>
      <c r="AV84" s="118" t="n"/>
      <c r="AW84" s="310" t="n"/>
      <c r="AX84" s="36" t="n"/>
      <c r="AY84" s="64" t="n"/>
      <c r="AZ84" s="838" t="n"/>
      <c r="CM84" s="21" t="n"/>
    </row>
    <row r="85" ht="13.5" customHeight="1">
      <c r="A85" s="159" t="n"/>
      <c r="B85" s="917" t="n"/>
      <c r="C85" s="918" t="n"/>
      <c r="D85" s="918" t="n"/>
      <c r="E85" s="918" t="n"/>
      <c r="F85" s="918" t="n"/>
      <c r="G85" s="918" t="n"/>
      <c r="H85" s="918" t="n"/>
      <c r="I85" s="918" t="n"/>
      <c r="J85" s="918" t="n"/>
      <c r="K85" s="918" t="n"/>
      <c r="L85" s="918" t="n"/>
      <c r="M85" s="918" t="n"/>
      <c r="N85" s="918" t="n"/>
      <c r="O85" s="918" t="n"/>
      <c r="P85" s="918" t="n"/>
      <c r="Q85" s="918" t="n"/>
      <c r="R85" s="918" t="n"/>
      <c r="S85" s="918" t="n"/>
      <c r="T85" s="918" t="n"/>
      <c r="U85" s="918" t="n"/>
      <c r="V85" s="918" t="n"/>
      <c r="W85" s="918" t="n"/>
      <c r="X85" s="918" t="n"/>
      <c r="Y85" s="918" t="n"/>
      <c r="Z85" s="918" t="n"/>
      <c r="AA85" s="918" t="n"/>
      <c r="AB85" s="918" t="n"/>
      <c r="AC85" s="918" t="n"/>
      <c r="AD85" s="918" t="n"/>
      <c r="AE85" s="918" t="n"/>
      <c r="AF85" s="918" t="n"/>
      <c r="AG85" s="918" t="n"/>
      <c r="AH85" s="918" t="n"/>
      <c r="AI85" s="918" t="n"/>
      <c r="AJ85" s="918" t="n"/>
      <c r="AK85" s="919" t="n"/>
      <c r="AL85" s="47" t="n"/>
      <c r="AM85" s="47" t="n"/>
      <c r="AN85" s="47" t="n"/>
      <c r="AO85" s="47" t="n"/>
      <c r="AP85" s="47" t="n"/>
      <c r="AQ85" s="47" t="n"/>
      <c r="AR85" s="47" t="n"/>
      <c r="AS85" s="47" t="n"/>
      <c r="AT85" s="47" t="n"/>
      <c r="AU85" s="47" t="n"/>
      <c r="AV85" s="118" t="n"/>
      <c r="AW85" s="310" t="n"/>
      <c r="AX85" s="36" t="n"/>
      <c r="AY85" s="64" t="n"/>
      <c r="AZ85" s="838" t="n"/>
      <c r="CM85" s="21" t="n"/>
    </row>
    <row r="86" ht="13.5" customHeight="1">
      <c r="A86" s="159" t="n"/>
      <c r="B86" s="920" t="n"/>
      <c r="C86" s="921" t="n"/>
      <c r="D86" s="921" t="n"/>
      <c r="E86" s="921" t="n"/>
      <c r="F86" s="921" t="n"/>
      <c r="G86" s="921" t="n"/>
      <c r="H86" s="921" t="n"/>
      <c r="I86" s="921" t="n"/>
      <c r="J86" s="921" t="n"/>
      <c r="K86" s="921" t="n"/>
      <c r="L86" s="921" t="n"/>
      <c r="M86" s="921" t="n"/>
      <c r="N86" s="921" t="n"/>
      <c r="O86" s="921" t="n"/>
      <c r="P86" s="921" t="n"/>
      <c r="Q86" s="921" t="n"/>
      <c r="R86" s="921" t="n"/>
      <c r="S86" s="921" t="n"/>
      <c r="T86" s="921" t="n"/>
      <c r="U86" s="921" t="n"/>
      <c r="V86" s="921" t="n"/>
      <c r="W86" s="921" t="n"/>
      <c r="X86" s="921" t="n"/>
      <c r="Y86" s="921" t="n"/>
      <c r="Z86" s="921" t="n"/>
      <c r="AA86" s="921" t="n"/>
      <c r="AB86" s="921" t="n"/>
      <c r="AC86" s="921" t="n"/>
      <c r="AD86" s="921" t="n"/>
      <c r="AE86" s="921" t="n"/>
      <c r="AF86" s="921" t="n"/>
      <c r="AG86" s="921" t="n"/>
      <c r="AH86" s="921" t="n"/>
      <c r="AI86" s="921" t="n"/>
      <c r="AJ86" s="921" t="n"/>
      <c r="AK86" s="922" t="n"/>
      <c r="AL86" s="47" t="n"/>
      <c r="AM86" s="47" t="n"/>
      <c r="AN86" s="47" t="n"/>
      <c r="AO86" s="47" t="n"/>
      <c r="AP86" s="47" t="n"/>
      <c r="AQ86" s="47" t="n"/>
      <c r="AR86" s="47" t="n"/>
      <c r="AS86" s="47" t="n"/>
      <c r="AT86" s="47" t="n"/>
      <c r="AU86" s="47" t="n"/>
      <c r="AV86" s="118" t="n"/>
      <c r="AW86" s="310" t="n"/>
      <c r="AX86" s="36" t="n"/>
      <c r="AY86" s="64" t="n"/>
      <c r="AZ86" s="838" t="n"/>
      <c r="CM86" s="21" t="n"/>
    </row>
    <row r="87" ht="6" customHeight="1">
      <c r="A87" s="163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 t="n"/>
      <c r="P87" s="119" t="n"/>
      <c r="Q87" s="119" t="n"/>
      <c r="R87" s="119" t="n"/>
      <c r="S87" s="119" t="n"/>
      <c r="T87" s="119" t="n"/>
      <c r="U87" s="120" t="n"/>
      <c r="V87" s="121" t="n"/>
      <c r="W87" s="121" t="n"/>
      <c r="X87" s="121" t="n"/>
      <c r="Y87" s="121" t="n"/>
      <c r="Z87" s="121" t="n"/>
      <c r="AA87" s="121" t="n"/>
      <c r="AB87" s="121" t="n"/>
      <c r="AC87" s="121" t="n"/>
      <c r="AD87" s="121" t="n"/>
      <c r="AE87" s="121" t="n"/>
      <c r="AF87" s="121" t="n"/>
      <c r="AG87" s="121" t="n"/>
      <c r="AH87" s="121" t="n"/>
      <c r="AI87" s="121" t="n"/>
      <c r="AJ87" s="121" t="n"/>
      <c r="AK87" s="121" t="n"/>
      <c r="AL87" s="121" t="n"/>
      <c r="AM87" s="121" t="n"/>
      <c r="AN87" s="121" t="n"/>
      <c r="AO87" s="121" t="n"/>
      <c r="AP87" s="121" t="n"/>
      <c r="AQ87" s="121" t="n"/>
      <c r="AR87" s="121" t="n"/>
      <c r="AS87" s="121" t="n"/>
      <c r="AT87" s="121" t="n"/>
      <c r="AU87" s="121" t="n"/>
      <c r="AV87" s="923" t="n"/>
      <c r="AW87" s="310" t="n"/>
      <c r="AX87" s="36" t="n"/>
      <c r="AY87" s="64" t="n"/>
      <c r="AZ87" s="838" t="n"/>
      <c r="CM87" s="21" t="n"/>
    </row>
  </sheetData>
  <mergeCells count="192">
    <mergeCell ref="H66:Q66"/>
    <mergeCell ref="AY61:AZ61"/>
    <mergeCell ref="N2:P2"/>
    <mergeCell ref="AC5:AE5"/>
    <mergeCell ref="H78:O78"/>
    <mergeCell ref="Q4:S4"/>
    <mergeCell ref="BM12:BN12"/>
    <mergeCell ref="Z76:AA76"/>
    <mergeCell ref="AB80:AI80"/>
    <mergeCell ref="Z3:AB3"/>
    <mergeCell ref="AC4:AE4"/>
    <mergeCell ref="R79:Y79"/>
    <mergeCell ref="C79:D79"/>
    <mergeCell ref="P69:Q69"/>
    <mergeCell ref="Z66:AA66"/>
    <mergeCell ref="T2:V2"/>
    <mergeCell ref="AB79:AI79"/>
    <mergeCell ref="Z75:AA75"/>
    <mergeCell ref="L12:M12"/>
    <mergeCell ref="AF5:AH5"/>
    <mergeCell ref="N12:O12"/>
    <mergeCell ref="AF2:AH2"/>
    <mergeCell ref="Z5:AB5"/>
    <mergeCell ref="AJ67:AK67"/>
    <mergeCell ref="H73:O73"/>
    <mergeCell ref="AB72:AI72"/>
    <mergeCell ref="P80:Q80"/>
    <mergeCell ref="AB81:AI81"/>
    <mergeCell ref="H70:O70"/>
    <mergeCell ref="R74:Y74"/>
    <mergeCell ref="W2:Y2"/>
    <mergeCell ref="R12:S12"/>
    <mergeCell ref="AJ69:AK69"/>
    <mergeCell ref="T12:U12"/>
    <mergeCell ref="P70:Q70"/>
    <mergeCell ref="AB71:AI71"/>
    <mergeCell ref="AL12:AM12"/>
    <mergeCell ref="AJ78:AK78"/>
    <mergeCell ref="AN12:AO12"/>
    <mergeCell ref="AF12:AG12"/>
    <mergeCell ref="C76:D76"/>
    <mergeCell ref="R76:Y76"/>
    <mergeCell ref="AF3:AH3"/>
    <mergeCell ref="K3:M3"/>
    <mergeCell ref="N4:P4"/>
    <mergeCell ref="AJ80:AK80"/>
    <mergeCell ref="R66:Y66"/>
    <mergeCell ref="C67:D67"/>
    <mergeCell ref="K5:M5"/>
    <mergeCell ref="H77:O77"/>
    <mergeCell ref="T4:V4"/>
    <mergeCell ref="R68:Y68"/>
    <mergeCell ref="Z80:AA80"/>
    <mergeCell ref="AF4:AH4"/>
    <mergeCell ref="P79:Q79"/>
    <mergeCell ref="C69:D69"/>
    <mergeCell ref="P73:Q73"/>
    <mergeCell ref="Q5:S5"/>
    <mergeCell ref="AJ81:AK81"/>
    <mergeCell ref="BI12:BJ12"/>
    <mergeCell ref="H67:O67"/>
    <mergeCell ref="AB66:AK66"/>
    <mergeCell ref="AJ71:AK71"/>
    <mergeCell ref="BU12:BV12"/>
    <mergeCell ref="AX6:BA9"/>
    <mergeCell ref="AI4:AK4"/>
    <mergeCell ref="R77:AA77"/>
    <mergeCell ref="Z2:AB2"/>
    <mergeCell ref="R78:Y78"/>
    <mergeCell ref="AJ73:AK73"/>
    <mergeCell ref="AB75:AI75"/>
    <mergeCell ref="BY12:BZ12"/>
    <mergeCell ref="AJ82:AK82"/>
    <mergeCell ref="B74:D74"/>
    <mergeCell ref="B85:AK86"/>
    <mergeCell ref="R80:Y80"/>
    <mergeCell ref="AX10:BA10"/>
    <mergeCell ref="AY31:BA31"/>
    <mergeCell ref="H79:O79"/>
    <mergeCell ref="P77:Q77"/>
    <mergeCell ref="Z12:AA12"/>
    <mergeCell ref="Z68:AA68"/>
    <mergeCell ref="R70:Y70"/>
    <mergeCell ref="AB12:AC12"/>
    <mergeCell ref="K4:M4"/>
    <mergeCell ref="AJ68:AK68"/>
    <mergeCell ref="AB70:AI70"/>
    <mergeCell ref="H72:O72"/>
    <mergeCell ref="C71:D71"/>
    <mergeCell ref="H81:O81"/>
    <mergeCell ref="T3:V3"/>
    <mergeCell ref="W4:Y4"/>
    <mergeCell ref="H12:I12"/>
    <mergeCell ref="P78:Q78"/>
    <mergeCell ref="Z69:AA69"/>
    <mergeCell ref="J12:K12"/>
    <mergeCell ref="T5:V5"/>
    <mergeCell ref="AR11:AS11"/>
    <mergeCell ref="Z78:AA78"/>
    <mergeCell ref="C82:D82"/>
    <mergeCell ref="AY23:BA23"/>
    <mergeCell ref="H71:O71"/>
    <mergeCell ref="C66:D66"/>
    <mergeCell ref="P71:Q71"/>
    <mergeCell ref="AY13:BA13"/>
    <mergeCell ref="C77:D77"/>
    <mergeCell ref="AH12:AI12"/>
    <mergeCell ref="AJ12:AK12"/>
    <mergeCell ref="C68:D68"/>
    <mergeCell ref="AB74:AI74"/>
    <mergeCell ref="H82:O82"/>
    <mergeCell ref="W3:Y3"/>
    <mergeCell ref="AJ70:AK70"/>
    <mergeCell ref="AB76:AI76"/>
    <mergeCell ref="AY35:BA35"/>
    <mergeCell ref="H76:Q76"/>
    <mergeCell ref="R69:Y69"/>
    <mergeCell ref="Z81:AA81"/>
    <mergeCell ref="C75:D75"/>
    <mergeCell ref="B65:D65"/>
    <mergeCell ref="AI3:AK3"/>
    <mergeCell ref="C80:D80"/>
    <mergeCell ref="P67:Q67"/>
    <mergeCell ref="R67:AA67"/>
    <mergeCell ref="B84:AK84"/>
    <mergeCell ref="A1:J3"/>
    <mergeCell ref="BE12:BF12"/>
    <mergeCell ref="AB77:AI77"/>
    <mergeCell ref="Z73:AA73"/>
    <mergeCell ref="AJ77:AK77"/>
    <mergeCell ref="AI5:AK5"/>
    <mergeCell ref="P82:Q82"/>
    <mergeCell ref="Z82:AA82"/>
    <mergeCell ref="BQ12:BR12"/>
    <mergeCell ref="AB67:AI67"/>
    <mergeCell ref="C70:D70"/>
    <mergeCell ref="P75:Q75"/>
    <mergeCell ref="AJ74:AK74"/>
    <mergeCell ref="H80:O80"/>
    <mergeCell ref="R72:Y72"/>
    <mergeCell ref="P12:Q12"/>
    <mergeCell ref="P68:Q68"/>
    <mergeCell ref="AB69:AI69"/>
    <mergeCell ref="R81:Y81"/>
    <mergeCell ref="AJ76:AK76"/>
    <mergeCell ref="AB78:AI78"/>
    <mergeCell ref="AY41:BA41"/>
    <mergeCell ref="AY47:BA47"/>
    <mergeCell ref="N3:P3"/>
    <mergeCell ref="AD12:AE12"/>
    <mergeCell ref="AJ75:AK75"/>
    <mergeCell ref="V12:W12"/>
    <mergeCell ref="X12:Y12"/>
    <mergeCell ref="AP12:AQ12"/>
    <mergeCell ref="R73:Y73"/>
    <mergeCell ref="R82:Y82"/>
    <mergeCell ref="N5:P5"/>
    <mergeCell ref="AB73:AI73"/>
    <mergeCell ref="Z70:AA70"/>
    <mergeCell ref="R71:AA71"/>
    <mergeCell ref="K2:M2"/>
    <mergeCell ref="F12:G12"/>
    <mergeCell ref="P72:Q72"/>
    <mergeCell ref="H74:O74"/>
    <mergeCell ref="H68:O68"/>
    <mergeCell ref="P81:Q81"/>
    <mergeCell ref="Z72:AA72"/>
    <mergeCell ref="AJ72:AK72"/>
    <mergeCell ref="Z4:AB4"/>
    <mergeCell ref="Q2:S2"/>
    <mergeCell ref="AI2:AK2"/>
    <mergeCell ref="H65:AK65"/>
    <mergeCell ref="AC2:AE2"/>
    <mergeCell ref="AY3:AZ4"/>
    <mergeCell ref="H69:O69"/>
    <mergeCell ref="AB82:AI82"/>
    <mergeCell ref="AY2:AZ2"/>
    <mergeCell ref="A4:J5"/>
    <mergeCell ref="Z79:AA79"/>
    <mergeCell ref="H75:O75"/>
    <mergeCell ref="R75:Y75"/>
    <mergeCell ref="Q3:S3"/>
    <mergeCell ref="AJ79:AK79"/>
    <mergeCell ref="C72:D72"/>
    <mergeCell ref="CC12:CD12"/>
    <mergeCell ref="W5:Y5"/>
    <mergeCell ref="C81:D81"/>
    <mergeCell ref="AB68:AI68"/>
    <mergeCell ref="AC3:AE3"/>
    <mergeCell ref="P74:Q74"/>
    <mergeCell ref="C78:D78"/>
    <mergeCell ref="Z74:AA74"/>
  </mergeCells>
  <conditionalFormatting sqref="A13:A63">
    <cfRule type="cellIs" priority="56" operator="equal" dxfId="50">
      <formula>0</formula>
    </cfRule>
  </conditionalFormatting>
  <conditionalFormatting sqref="D13:D63">
    <cfRule type="expression" priority="23" dxfId="48">
      <formula>IF(D13&lt;AR13,TRUE,FALSE)</formula>
    </cfRule>
    <cfRule type="expression" priority="24" dxfId="48">
      <formula>IF(D13&gt;AS13,TRUE,FALSE)</formula>
    </cfRule>
  </conditionalFormatting>
  <conditionalFormatting sqref="D13:E63">
    <cfRule type="containsBlanks" priority="20" dxfId="47">
      <formula>LEN(TRIM(D13))=0</formula>
    </cfRule>
  </conditionalFormatting>
  <conditionalFormatting sqref="E13:E63">
    <cfRule type="expression" priority="21" dxfId="28">
      <formula>IF(E13&gt;AS13,TRUE,FALSE)</formula>
    </cfRule>
    <cfRule type="expression" priority="22" dxfId="28">
      <formula>IF(E13&lt;AR13,TRUE,FALSE)</formula>
    </cfRule>
  </conditionalFormatting>
  <conditionalFormatting sqref="F13:AQ63">
    <cfRule type="cellIs" priority="18" operator="equal" dxfId="44">
      <formula>"p"</formula>
    </cfRule>
    <cfRule type="cellIs" priority="19" operator="equal" dxfId="43">
      <formula>"afw"</formula>
    </cfRule>
  </conditionalFormatting>
  <conditionalFormatting sqref="N5:AK5">
    <cfRule type="cellIs" priority="41" operator="lessThan" dxfId="18">
      <formula>0</formula>
    </cfRule>
  </conditionalFormatting>
  <conditionalFormatting sqref="AX6:BA9">
    <cfRule type="notContainsBlanks" priority="53" dxfId="41">
      <formula>LEN(TRIM(AX6))&gt;0</formula>
    </cfRule>
  </conditionalFormatting>
  <conditionalFormatting sqref="AY2:AZ4">
    <cfRule type="expression" priority="54" dxfId="28">
      <formula>IF($AY$3="nee",TRUE,FALSE)</formula>
    </cfRule>
  </conditionalFormatting>
  <conditionalFormatting sqref="AY61:BA61">
    <cfRule type="expression" priority="8" dxfId="6">
      <formula>IF($BA$61=0,TRUE,FALSE)</formula>
    </cfRule>
  </conditionalFormatting>
  <conditionalFormatting sqref="CI13:CI86">
    <cfRule type="cellIs" priority="25" operator="notBetween" dxfId="36">
      <formula>-3</formula>
      <formula>3</formula>
    </cfRule>
  </conditionalFormatting>
  <conditionalFormatting sqref="CJ13:CK86">
    <cfRule type="containsText" priority="26" operator="containsText" dxfId="36" text="nee">
      <formula>NOT(ISERROR(SEARCH("nee",CJ13)))</formula>
    </cfRule>
  </conditionalFormatting>
  <conditionalFormatting sqref="CL13:CL86">
    <cfRule type="cellIs" priority="27" operator="greaterThan" dxfId="36">
      <formula>5</formula>
    </cfRule>
  </conditionalFormatting>
  <dataValidations count="2">
    <dataValidation sqref="B29:B63" showDropDown="0" showInputMessage="0" showErrorMessage="1" allowBlank="1" type="list">
      <formula1>namenlijst</formula1>
    </dataValidation>
    <dataValidation sqref="B14:B28" showDropDown="0" showInputMessage="1" showErrorMessage="1" allowBlank="1" prompt=" - " type="list">
      <formula1>namenlijst</formula1>
    </dataValidation>
  </dataValidations>
  <pageMargins left="0.7" right="0.7" top="0.75" bottom="0.75" header="0.3" footer="0.3"/>
  <pageSetup orientation="portrait" paperSize="9" scale="26" fitToHeight="0"/>
</worksheet>
</file>

<file path=xl/worksheets/sheet8.xml><?xml version="1.0" encoding="utf-8"?>
<worksheet xmlns="http://schemas.openxmlformats.org/spreadsheetml/2006/main">
  <sheetPr codeName="Sheet8">
    <tabColor rgb="FF1696D0"/>
    <outlinePr summaryBelow="0" summaryRight="0"/>
    <pageSetUpPr fitToPage="1"/>
  </sheetPr>
  <dimension ref="A1:CM87"/>
  <sheetViews>
    <sheetView showGridLines="0" showRowColHeaders="0" topLeftCell="A9" zoomScaleNormal="100" workbookViewId="0">
      <selection activeCell="B42" sqref="B42"/>
    </sheetView>
  </sheetViews>
  <sheetFormatPr baseColWidth="8" defaultColWidth="17.28515625" defaultRowHeight="15" customHeight="1"/>
  <cols>
    <col width="1.7109375" customWidth="1" style="164" min="1" max="1"/>
    <col width="21.7109375" customWidth="1" style="264" min="2" max="2"/>
    <col width="5.85546875" customWidth="1" style="264" min="3" max="3"/>
    <col width="4.7109375" customWidth="1" style="264" min="4" max="5"/>
    <col width="2.7109375" customWidth="1" style="264" min="6" max="41"/>
    <col width="2.42578125" customWidth="1" style="264" min="42" max="42"/>
    <col width="2.7109375" customWidth="1" style="264" min="43" max="43"/>
    <col hidden="1" width="5.42578125" customWidth="1" style="264" min="44" max="47"/>
    <col width="4.7109375" customWidth="1" style="264" min="48" max="48"/>
    <col width="5" customWidth="1" style="264" min="49" max="50"/>
    <col width="4.140625" customWidth="1" style="264" min="51" max="51"/>
    <col width="12.5703125" customWidth="1" style="264" min="52" max="52"/>
    <col width="5.42578125" customWidth="1" style="264" min="53" max="53"/>
    <col width="2.85546875" customWidth="1" style="264" min="54" max="54"/>
    <col width="18.85546875" customWidth="1" style="264" min="55" max="55"/>
    <col width="0.42578125" customWidth="1" style="264" min="56" max="56"/>
    <col width="4.7109375" customWidth="1" style="264" min="57" max="58"/>
    <col hidden="1" width="3.28515625" customWidth="1" style="264" min="59" max="59"/>
    <col width="0.42578125" customWidth="1" style="264" min="60" max="60"/>
    <col width="4.7109375" customWidth="1" style="264" min="61" max="62"/>
    <col hidden="1" width="3.28515625" customWidth="1" style="264" min="63" max="63"/>
    <col width="0.42578125" customWidth="1" style="264" min="64" max="64"/>
    <col width="4.7109375" customWidth="1" style="264" min="65" max="66"/>
    <col hidden="1" width="3.28515625" customWidth="1" style="264" min="67" max="67"/>
    <col width="0.42578125" customWidth="1" style="264" min="68" max="68"/>
    <col width="4.7109375" customWidth="1" style="264" min="69" max="70"/>
    <col hidden="1" width="3.28515625" customWidth="1" style="264" min="71" max="71"/>
    <col width="0.42578125" customWidth="1" style="264" min="72" max="72"/>
    <col width="4.7109375" customWidth="1" style="264" min="73" max="74"/>
    <col hidden="1" width="3.28515625" customWidth="1" style="264" min="75" max="75"/>
    <col width="0.42578125" customWidth="1" style="264" min="76" max="76"/>
    <col width="4.7109375" customWidth="1" style="264" min="77" max="78"/>
    <col hidden="1" width="3.28515625" customWidth="1" style="264" min="79" max="79"/>
    <col width="0.42578125" customWidth="1" style="264" min="80" max="80"/>
    <col width="4.7109375" customWidth="1" style="264" min="81" max="82"/>
    <col hidden="1" width="3.28515625" customWidth="1" style="264" min="83" max="83"/>
    <col width="0.42578125" customWidth="1" style="264" min="84" max="84"/>
    <col width="5.7109375" customWidth="1" style="264" min="85" max="85"/>
    <col width="0.42578125" customWidth="1" style="264" min="86" max="86"/>
    <col width="3.85546875" customWidth="1" style="264" min="87" max="90"/>
    <col width="0.85546875" customWidth="1" style="264" min="91" max="91"/>
    <col width="17.28515625" customWidth="1" style="264" min="92" max="16384"/>
  </cols>
  <sheetData>
    <row r="1" ht="6" customHeight="1" thickBot="1">
      <c r="A1" s="720">
        <f>CONCATENATE("Planning week ",IF(Access!C4="B","BASIS",IF(Access!C4="","BASIS",WEEKNUM(Access!C4,21))))</f>
        <v/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  <c r="AR1" s="112" t="n"/>
      <c r="AS1" s="112" t="n"/>
      <c r="AT1" s="112" t="n"/>
      <c r="AU1" s="112" t="n"/>
      <c r="AV1" s="113" t="n"/>
    </row>
    <row r="2" ht="14.1" customHeight="1">
      <c r="A2" s="858" t="n"/>
      <c r="B2" s="264" t="n"/>
      <c r="C2" s="264" t="n"/>
      <c r="D2" s="264" t="n"/>
      <c r="E2" s="264" t="n"/>
      <c r="F2" s="264" t="n"/>
      <c r="G2" s="264" t="n"/>
      <c r="H2" s="264" t="n"/>
      <c r="I2" s="264" t="n"/>
      <c r="J2" s="264" t="n"/>
      <c r="K2" s="724" t="n"/>
      <c r="L2" s="859" t="n"/>
      <c r="M2" s="860" t="n"/>
      <c r="N2" s="725" t="inlineStr">
        <is>
          <t>Maandag</t>
        </is>
      </c>
      <c r="O2" s="859" t="n"/>
      <c r="P2" s="860" t="n"/>
      <c r="Q2" s="725" t="inlineStr">
        <is>
          <t>Dinsdag</t>
        </is>
      </c>
      <c r="R2" s="859" t="n"/>
      <c r="S2" s="860" t="n"/>
      <c r="T2" s="725" t="inlineStr">
        <is>
          <t>Woensdag</t>
        </is>
      </c>
      <c r="U2" s="859" t="n"/>
      <c r="V2" s="860" t="n"/>
      <c r="W2" s="725" t="inlineStr">
        <is>
          <t>Donderdag</t>
        </is>
      </c>
      <c r="X2" s="859" t="n"/>
      <c r="Y2" s="860" t="n"/>
      <c r="Z2" s="725" t="inlineStr">
        <is>
          <t>Vrijdag</t>
        </is>
      </c>
      <c r="AA2" s="859" t="n"/>
      <c r="AB2" s="860" t="n"/>
      <c r="AC2" s="725" t="inlineStr">
        <is>
          <t>Zaterdag</t>
        </is>
      </c>
      <c r="AD2" s="859" t="n"/>
      <c r="AE2" s="860" t="n"/>
      <c r="AF2" s="725" t="inlineStr">
        <is>
          <t>Zondag</t>
        </is>
      </c>
      <c r="AG2" s="859" t="n"/>
      <c r="AH2" s="860" t="n"/>
      <c r="AI2" s="740" t="inlineStr">
        <is>
          <t>Totaal</t>
        </is>
      </c>
      <c r="AJ2" s="859" t="n"/>
      <c r="AK2" s="860" t="n"/>
      <c r="AL2" s="258" t="n"/>
      <c r="AM2" s="259" t="n"/>
      <c r="AN2" s="259" t="n"/>
      <c r="AO2" s="259" t="n"/>
      <c r="AP2" s="259" t="n"/>
      <c r="AQ2" s="259" t="n"/>
      <c r="AR2" s="259" t="n"/>
      <c r="AS2" s="259" t="n"/>
      <c r="AT2" s="259" t="n"/>
      <c r="AU2" s="259" t="n"/>
      <c r="AV2" s="114" t="n"/>
      <c r="AW2" s="106" t="n"/>
      <c r="AX2" s="838" t="n"/>
      <c r="AY2" s="861" t="inlineStr">
        <is>
          <t>Planning OK?</t>
        </is>
      </c>
      <c r="AZ2" s="862" t="n"/>
      <c r="BA2" s="19" t="n"/>
      <c r="BB2" s="838" t="n"/>
      <c r="BC2" s="20" t="n"/>
      <c r="BD2" s="20" t="n"/>
      <c r="BE2" s="20" t="n"/>
      <c r="BF2" s="20" t="n"/>
      <c r="BG2" s="20" t="n"/>
      <c r="BH2" s="20" t="n"/>
      <c r="BI2" s="20" t="n"/>
      <c r="BJ2" s="20" t="n"/>
      <c r="BK2" s="20" t="n"/>
      <c r="BL2" s="20" t="n"/>
      <c r="BM2" s="20" t="n"/>
      <c r="BN2" s="20" t="n"/>
      <c r="BO2" s="20" t="n"/>
      <c r="BP2" s="20" t="n"/>
      <c r="BQ2" s="20" t="n"/>
      <c r="BR2" s="20" t="n"/>
      <c r="BS2" s="20" t="n"/>
      <c r="BT2" s="20" t="n"/>
      <c r="BU2" s="20" t="n"/>
      <c r="BV2" s="20" t="n"/>
      <c r="BW2" s="20" t="n"/>
      <c r="BX2" s="20" t="n"/>
      <c r="BY2" s="20" t="n"/>
      <c r="BZ2" s="20" t="n"/>
      <c r="CA2" s="20" t="n"/>
      <c r="CB2" s="20" t="n"/>
      <c r="CC2" s="20" t="n"/>
      <c r="CD2" s="20" t="n"/>
      <c r="CE2" s="20" t="n"/>
      <c r="CF2" s="20" t="n"/>
      <c r="CG2" s="20" t="n"/>
      <c r="CH2" s="20" t="n"/>
      <c r="CI2" s="20" t="n"/>
      <c r="CJ2" s="20" t="n"/>
      <c r="CK2" s="20" t="n"/>
      <c r="CL2" s="20" t="n"/>
      <c r="CM2" s="20" t="n"/>
    </row>
    <row r="3" ht="14.1" customHeight="1">
      <c r="A3" s="858" t="n"/>
      <c r="B3" s="264" t="n"/>
      <c r="C3" s="264" t="n"/>
      <c r="D3" s="264" t="n"/>
      <c r="E3" s="264" t="n"/>
      <c r="F3" s="264" t="n"/>
      <c r="G3" s="264" t="n"/>
      <c r="H3" s="264" t="n"/>
      <c r="I3" s="264" t="n"/>
      <c r="J3" s="264" t="n"/>
      <c r="K3" s="728" t="inlineStr">
        <is>
          <t>Gepland</t>
        </is>
      </c>
      <c r="L3" s="863" t="n"/>
      <c r="M3" s="864" t="n"/>
      <c r="N3" s="731">
        <f>Ma!AV65</f>
        <v/>
      </c>
      <c r="O3" s="863" t="n"/>
      <c r="P3" s="864" t="n"/>
      <c r="Q3" s="731">
        <f>Di!AV65</f>
        <v/>
      </c>
      <c r="R3" s="863" t="n"/>
      <c r="S3" s="864" t="n"/>
      <c r="T3" s="731">
        <f>Wo!AV65</f>
        <v/>
      </c>
      <c r="U3" s="863" t="n"/>
      <c r="V3" s="864" t="n"/>
      <c r="W3" s="731">
        <f>Do!AV65</f>
        <v/>
      </c>
      <c r="X3" s="863" t="n"/>
      <c r="Y3" s="864" t="n"/>
      <c r="Z3" s="730">
        <f>Vr!AV65</f>
        <v/>
      </c>
      <c r="AA3" s="863" t="n"/>
      <c r="AB3" s="864" t="n"/>
      <c r="AC3" s="731">
        <f>Za!AV65</f>
        <v/>
      </c>
      <c r="AD3" s="863" t="n"/>
      <c r="AE3" s="864" t="n"/>
      <c r="AF3" s="731">
        <f>Zo!AV65</f>
        <v/>
      </c>
      <c r="AG3" s="863" t="n"/>
      <c r="AH3" s="864" t="n"/>
      <c r="AI3" s="713">
        <f>SUM(N3:AH3)</f>
        <v/>
      </c>
      <c r="AJ3" s="863" t="n"/>
      <c r="AK3" s="864" t="n"/>
      <c r="AL3" s="96" t="n"/>
      <c r="AM3" s="96" t="n"/>
      <c r="AN3" s="96" t="n"/>
      <c r="AO3" s="96" t="n"/>
      <c r="AP3" s="96" t="n"/>
      <c r="AQ3" s="96" t="n"/>
      <c r="AR3" s="96" t="n"/>
      <c r="AS3" s="96" t="n"/>
      <c r="AT3" s="96" t="n"/>
      <c r="AU3" s="96" t="n"/>
      <c r="AV3" s="114" t="n"/>
      <c r="AW3" s="106" t="n"/>
      <c r="AX3" s="838" t="n"/>
      <c r="AY3" s="865">
        <f>IF(SUM(A13:A63)=1326,"JA","NEE")</f>
        <v/>
      </c>
      <c r="AZ3" s="866" t="n"/>
      <c r="BA3" s="19" t="n"/>
      <c r="BB3" s="838" t="n"/>
      <c r="BC3" s="20" t="n"/>
      <c r="BD3" s="20" t="n"/>
      <c r="BE3" s="20" t="n"/>
      <c r="BF3" s="20" t="n"/>
      <c r="BG3" s="20" t="n"/>
      <c r="BH3" s="20" t="n"/>
      <c r="BI3" s="20" t="n"/>
      <c r="BJ3" s="20" t="n"/>
      <c r="BK3" s="20" t="n"/>
      <c r="BL3" s="20" t="n"/>
      <c r="BM3" s="20" t="n"/>
      <c r="BN3" s="20" t="n"/>
      <c r="BO3" s="20" t="n"/>
      <c r="BP3" s="20" t="n"/>
      <c r="BQ3" s="20" t="n"/>
      <c r="BR3" s="20" t="n"/>
      <c r="BS3" s="20" t="n"/>
      <c r="BT3" s="20" t="n"/>
      <c r="BU3" s="20" t="n"/>
      <c r="BV3" s="20" t="n"/>
      <c r="BW3" s="20" t="n"/>
      <c r="BX3" s="20" t="n"/>
      <c r="BY3" s="20" t="n"/>
      <c r="BZ3" s="20" t="n"/>
      <c r="CA3" s="20" t="n"/>
      <c r="CB3" s="20" t="n"/>
      <c r="CC3" s="20" t="n"/>
      <c r="CD3" s="20" t="n"/>
      <c r="CE3" s="20" t="n"/>
      <c r="CF3" s="20" t="n"/>
      <c r="CG3" s="20" t="n"/>
      <c r="CH3" s="20" t="n"/>
      <c r="CI3" s="20" t="n"/>
      <c r="CJ3" s="20" t="n"/>
      <c r="CK3" s="20" t="n"/>
      <c r="CL3" s="20" t="n"/>
      <c r="CM3" s="20" t="n"/>
    </row>
    <row r="4" ht="14.1" customHeight="1">
      <c r="A4" s="867">
        <f>CONCATENATE("vrijdag ",IF(Access!C4="","",TEXT(Access!C4+4,"D-M-JJJJ")))</f>
        <v/>
      </c>
      <c r="B4" s="264" t="n"/>
      <c r="C4" s="264" t="n"/>
      <c r="D4" s="264" t="n"/>
      <c r="E4" s="264" t="n"/>
      <c r="F4" s="264" t="n"/>
      <c r="G4" s="264" t="n"/>
      <c r="H4" s="264" t="n"/>
      <c r="I4" s="264" t="n"/>
      <c r="J4" s="264" t="n"/>
      <c r="K4" s="728" t="inlineStr">
        <is>
          <t>Norm</t>
        </is>
      </c>
      <c r="L4" s="863" t="n"/>
      <c r="M4" s="864" t="n"/>
      <c r="N4" s="731">
        <f>Instellingen!F23</f>
        <v/>
      </c>
      <c r="O4" s="863" t="n"/>
      <c r="P4" s="864" t="n"/>
      <c r="Q4" s="731">
        <f>Instellingen!G23</f>
        <v/>
      </c>
      <c r="R4" s="863" t="n"/>
      <c r="S4" s="864" t="n"/>
      <c r="T4" s="731">
        <f>Instellingen!H23</f>
        <v/>
      </c>
      <c r="U4" s="863" t="n"/>
      <c r="V4" s="864" t="n"/>
      <c r="W4" s="731">
        <f>Instellingen!I23</f>
        <v/>
      </c>
      <c r="X4" s="863" t="n"/>
      <c r="Y4" s="864" t="n"/>
      <c r="Z4" s="730">
        <f>Instellingen!J23</f>
        <v/>
      </c>
      <c r="AA4" s="863" t="n"/>
      <c r="AB4" s="864" t="n"/>
      <c r="AC4" s="731">
        <f>Instellingen!K23</f>
        <v/>
      </c>
      <c r="AD4" s="863" t="n"/>
      <c r="AE4" s="864" t="n"/>
      <c r="AF4" s="731">
        <f>Instellingen!L23</f>
        <v/>
      </c>
      <c r="AG4" s="863" t="n"/>
      <c r="AH4" s="864" t="n"/>
      <c r="AI4" s="713">
        <f>Begroting!N71</f>
        <v/>
      </c>
      <c r="AJ4" s="863" t="n"/>
      <c r="AK4" s="864" t="n"/>
      <c r="AL4" s="96" t="n"/>
      <c r="AM4" s="96" t="n"/>
      <c r="AN4" s="96" t="n"/>
      <c r="AO4" s="96" t="n"/>
      <c r="AP4" s="96" t="n"/>
      <c r="AQ4" s="96" t="n"/>
      <c r="AR4" s="96" t="n"/>
      <c r="AS4" s="96" t="n"/>
      <c r="AT4" s="96" t="n"/>
      <c r="AU4" s="96" t="n"/>
      <c r="AV4" s="114" t="n"/>
      <c r="AW4" s="106" t="n"/>
      <c r="AX4" s="838" t="n"/>
      <c r="AY4" s="868" t="n"/>
      <c r="AZ4" s="869" t="n"/>
      <c r="BA4" s="19" t="n"/>
      <c r="BB4" s="838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20" t="n"/>
      <c r="BU4" s="20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  <c r="CE4" s="20" t="n"/>
      <c r="CF4" s="20" t="n"/>
      <c r="CG4" s="20" t="n"/>
      <c r="CH4" s="20" t="n"/>
      <c r="CI4" s="20" t="n"/>
      <c r="CJ4" s="20" t="n"/>
      <c r="CK4" s="20" t="n"/>
      <c r="CL4" s="20" t="n"/>
      <c r="CM4" s="20" t="n"/>
    </row>
    <row r="5" ht="14.1" customHeight="1" thickBot="1">
      <c r="A5" s="858" t="n"/>
      <c r="B5" s="264" t="n"/>
      <c r="C5" s="264" t="n"/>
      <c r="D5" s="264" t="n"/>
      <c r="E5" s="264" t="n"/>
      <c r="F5" s="264" t="n"/>
      <c r="G5" s="264" t="n"/>
      <c r="H5" s="264" t="n"/>
      <c r="I5" s="264" t="n"/>
      <c r="J5" s="264" t="n"/>
      <c r="K5" s="732" t="inlineStr">
        <is>
          <t>Verschil</t>
        </is>
      </c>
      <c r="L5" s="870" t="n"/>
      <c r="M5" s="871" t="n"/>
      <c r="N5" s="735">
        <f>N4-N3</f>
        <v/>
      </c>
      <c r="O5" s="870" t="n"/>
      <c r="P5" s="871" t="n"/>
      <c r="Q5" s="735">
        <f>Q4-Q3</f>
        <v/>
      </c>
      <c r="R5" s="870" t="n"/>
      <c r="S5" s="871" t="n"/>
      <c r="T5" s="735">
        <f>T4-T3</f>
        <v/>
      </c>
      <c r="U5" s="870" t="n"/>
      <c r="V5" s="871" t="n"/>
      <c r="W5" s="735">
        <f>W4-W3</f>
        <v/>
      </c>
      <c r="X5" s="870" t="n"/>
      <c r="Y5" s="871" t="n"/>
      <c r="Z5" s="734">
        <f>Z4-Z3</f>
        <v/>
      </c>
      <c r="AA5" s="870" t="n"/>
      <c r="AB5" s="871" t="n"/>
      <c r="AC5" s="735">
        <f>AC4-AC3</f>
        <v/>
      </c>
      <c r="AD5" s="870" t="n"/>
      <c r="AE5" s="871" t="n"/>
      <c r="AF5" s="735">
        <f>AF4-AF3</f>
        <v/>
      </c>
      <c r="AG5" s="870" t="n"/>
      <c r="AH5" s="871" t="n"/>
      <c r="AI5" s="742">
        <f>AI4-AI3</f>
        <v/>
      </c>
      <c r="AJ5" s="870" t="n"/>
      <c r="AK5" s="871" t="n"/>
      <c r="AL5" s="96" t="n"/>
      <c r="AM5" s="96" t="n"/>
      <c r="AN5" s="96" t="n"/>
      <c r="AO5" s="96" t="n"/>
      <c r="AP5" s="96" t="n"/>
      <c r="AQ5" s="96" t="n"/>
      <c r="AR5" s="96" t="n"/>
      <c r="AS5" s="96" t="n"/>
      <c r="AT5" s="96" t="n"/>
      <c r="AU5" s="96" t="n"/>
      <c r="AV5" s="114" t="n"/>
      <c r="AW5" s="123" t="n"/>
      <c r="AX5" s="125" t="n"/>
      <c r="AY5" s="125" t="n"/>
      <c r="AZ5" s="125" t="n"/>
      <c r="BA5" s="125" t="n"/>
      <c r="BB5" s="124" t="n"/>
      <c r="BC5" s="838" t="n"/>
      <c r="BD5" s="838" t="n"/>
      <c r="BE5" s="838" t="n"/>
      <c r="BF5" s="838" t="n"/>
      <c r="BG5" s="838" t="n"/>
      <c r="BH5" s="838" t="n"/>
      <c r="BI5" s="838" t="n"/>
      <c r="BJ5" s="838" t="n"/>
      <c r="BK5" s="838" t="n"/>
      <c r="BL5" s="838" t="n"/>
      <c r="BM5" s="838" t="n"/>
      <c r="BN5" s="838" t="n"/>
      <c r="BO5" s="838" t="n"/>
      <c r="BP5" s="838" t="n"/>
      <c r="BQ5" s="21" t="n"/>
      <c r="BR5" s="21" t="n"/>
      <c r="BS5" s="21" t="n"/>
      <c r="BT5" s="21" t="n"/>
      <c r="BU5" s="21" t="n"/>
      <c r="BV5" s="21" t="n"/>
      <c r="BW5" s="21" t="n"/>
      <c r="BX5" s="21" t="n"/>
      <c r="BY5" s="21" t="n"/>
      <c r="BZ5" s="21" t="n"/>
      <c r="CA5" s="21" t="n"/>
      <c r="CB5" s="21" t="n"/>
      <c r="CC5" s="21" t="n"/>
      <c r="CD5" s="21" t="n"/>
      <c r="CE5" s="21" t="n"/>
      <c r="CF5" s="21" t="n"/>
      <c r="CG5" s="21" t="n"/>
      <c r="CH5" s="21" t="n"/>
      <c r="CI5" s="21" t="n"/>
      <c r="CJ5" s="21" t="n"/>
      <c r="CK5" s="21" t="n"/>
      <c r="CL5" s="21" t="n"/>
      <c r="CM5" s="21" t="n"/>
    </row>
    <row r="6" ht="5.1" customHeight="1">
      <c r="A6" s="165" t="n"/>
      <c r="B6" s="96" t="n"/>
      <c r="C6" s="96" t="n"/>
      <c r="D6" s="96" t="n"/>
      <c r="E6" s="96" t="n"/>
      <c r="F6" s="96" t="n"/>
      <c r="G6" s="96" t="n"/>
      <c r="H6" s="96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  <c r="AA6" s="96" t="n"/>
      <c r="AB6" s="96" t="n"/>
      <c r="AC6" s="96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6" t="n"/>
      <c r="AM6" s="96" t="n"/>
      <c r="AN6" s="96" t="n"/>
      <c r="AO6" s="96" t="n"/>
      <c r="AP6" s="96" t="n"/>
      <c r="AQ6" s="96" t="n"/>
      <c r="AR6" s="96" t="n"/>
      <c r="AS6" s="96" t="n"/>
      <c r="AT6" s="96" t="n"/>
      <c r="AU6" s="96" t="n"/>
      <c r="AV6" s="114" t="n"/>
      <c r="AW6" s="123" t="n"/>
      <c r="AX6" s="744">
        <f>IFERROR(VLOOKUP(Access!C4+4,'Instellingen HIDE'!H:I,2,FALSE),"")</f>
        <v/>
      </c>
      <c r="AY6" s="264" t="n"/>
      <c r="AZ6" s="264" t="n"/>
      <c r="BA6" s="264" t="n"/>
      <c r="BB6" s="124" t="n"/>
      <c r="BC6" s="838" t="n"/>
      <c r="BD6" s="838" t="n"/>
      <c r="BE6" s="838" t="n"/>
      <c r="BF6" s="838" t="n"/>
      <c r="BG6" s="838" t="n"/>
      <c r="BH6" s="838" t="n"/>
      <c r="BI6" s="838" t="n"/>
      <c r="BJ6" s="838" t="n"/>
      <c r="BK6" s="838" t="n"/>
      <c r="BL6" s="838" t="n"/>
      <c r="BM6" s="838" t="n"/>
      <c r="BN6" s="838" t="n"/>
      <c r="BO6" s="838" t="n"/>
      <c r="BP6" s="838" t="n"/>
      <c r="BQ6" s="21" t="n"/>
      <c r="BR6" s="21" t="n"/>
      <c r="BS6" s="21" t="n"/>
      <c r="BT6" s="21" t="n"/>
      <c r="BU6" s="21" t="n"/>
      <c r="BV6" s="21" t="n"/>
      <c r="BW6" s="21" t="n"/>
      <c r="BX6" s="21" t="n"/>
      <c r="BY6" s="21" t="n"/>
      <c r="BZ6" s="21" t="n"/>
      <c r="CA6" s="21" t="n"/>
      <c r="CB6" s="21" t="n"/>
      <c r="CC6" s="21" t="n"/>
      <c r="CD6" s="21" t="n"/>
      <c r="CE6" s="21" t="n"/>
      <c r="CF6" s="21" t="n"/>
      <c r="CG6" s="21" t="n"/>
      <c r="CH6" s="21" t="n"/>
      <c r="CI6" s="21" t="n"/>
      <c r="CJ6" s="21" t="n"/>
      <c r="CK6" s="21" t="n"/>
      <c r="CL6" s="21" t="n"/>
      <c r="CM6" s="21" t="n"/>
    </row>
    <row r="7" ht="3" customHeight="1">
      <c r="A7" s="604" t="n"/>
      <c r="B7" s="605" t="n"/>
      <c r="C7" s="605" t="n"/>
      <c r="D7" s="605" t="n"/>
      <c r="E7" s="605" t="n"/>
      <c r="F7" s="605" t="n"/>
      <c r="G7" s="605" t="n"/>
      <c r="H7" s="605" t="n"/>
      <c r="I7" s="605" t="n"/>
      <c r="J7" s="605" t="n"/>
      <c r="K7" s="605" t="n"/>
      <c r="L7" s="605" t="n"/>
      <c r="M7" s="605" t="n"/>
      <c r="N7" s="605" t="n"/>
      <c r="O7" s="605" t="n"/>
      <c r="P7" s="605" t="n"/>
      <c r="Q7" s="605" t="n"/>
      <c r="R7" s="605" t="n"/>
      <c r="S7" s="605" t="n"/>
      <c r="T7" s="605" t="n"/>
      <c r="U7" s="605" t="n"/>
      <c r="V7" s="605" t="n"/>
      <c r="W7" s="605" t="n"/>
      <c r="X7" s="605" t="n"/>
      <c r="Y7" s="605" t="n"/>
      <c r="Z7" s="605" t="n"/>
      <c r="AA7" s="605" t="n"/>
      <c r="AB7" s="605" t="n"/>
      <c r="AC7" s="605" t="n"/>
      <c r="AD7" s="605" t="n"/>
      <c r="AE7" s="605" t="n"/>
      <c r="AF7" s="605" t="n"/>
      <c r="AG7" s="605" t="n"/>
      <c r="AH7" s="605" t="n"/>
      <c r="AI7" s="605" t="n"/>
      <c r="AJ7" s="605" t="n"/>
      <c r="AK7" s="605" t="n"/>
      <c r="AL7" s="605" t="n"/>
      <c r="AM7" s="605" t="n"/>
      <c r="AN7" s="605" t="n"/>
      <c r="AO7" s="605" t="n"/>
      <c r="AP7" s="605" t="n"/>
      <c r="AQ7" s="605" t="n"/>
      <c r="AR7" s="605" t="n"/>
      <c r="AS7" s="605" t="n"/>
      <c r="AT7" s="605" t="n"/>
      <c r="AU7" s="605" t="n"/>
      <c r="AV7" s="605" t="n"/>
      <c r="AW7" s="124" t="n"/>
      <c r="AX7" s="264" t="n"/>
      <c r="AY7" s="264" t="n"/>
      <c r="AZ7" s="264" t="n"/>
      <c r="BA7" s="264" t="n"/>
      <c r="BB7" s="124" t="n"/>
      <c r="BC7" s="838" t="n"/>
      <c r="BD7" s="838" t="n"/>
      <c r="BE7" s="838" t="n"/>
      <c r="BF7" s="838" t="n"/>
      <c r="BG7" s="838" t="n"/>
      <c r="BH7" s="838" t="n"/>
      <c r="BI7" s="838" t="n"/>
      <c r="BJ7" s="838" t="n"/>
      <c r="BK7" s="838" t="n"/>
      <c r="BL7" s="838" t="n"/>
      <c r="BM7" s="838" t="n"/>
      <c r="BN7" s="838" t="n"/>
      <c r="BO7" s="838" t="n"/>
      <c r="BP7" s="838" t="n"/>
      <c r="BQ7" s="21" t="n"/>
      <c r="BR7" s="21" t="n"/>
      <c r="BS7" s="21" t="n"/>
      <c r="BT7" s="21" t="n"/>
      <c r="BU7" s="21" t="n"/>
      <c r="BV7" s="21" t="n"/>
      <c r="BW7" s="21" t="n"/>
      <c r="BX7" s="21" t="n"/>
      <c r="BY7" s="21" t="n"/>
      <c r="BZ7" s="21" t="n"/>
      <c r="CA7" s="21" t="n"/>
      <c r="CB7" s="21" t="n"/>
      <c r="CC7" s="21" t="n"/>
      <c r="CD7" s="21" t="n"/>
      <c r="CE7" s="21" t="n"/>
      <c r="CF7" s="21" t="n"/>
      <c r="CG7" s="21" t="n"/>
      <c r="CH7" s="21" t="n"/>
      <c r="CI7" s="21" t="n"/>
      <c r="CJ7" s="21" t="n"/>
      <c r="CK7" s="21" t="n"/>
      <c r="CL7" s="21" t="n"/>
      <c r="CM7" s="21" t="n"/>
    </row>
    <row r="8" ht="3" customHeight="1">
      <c r="A8" s="602" t="n"/>
      <c r="B8" s="603" t="n"/>
      <c r="C8" s="603" t="n"/>
      <c r="D8" s="603" t="n"/>
      <c r="E8" s="603" t="n"/>
      <c r="F8" s="603" t="n"/>
      <c r="G8" s="603" t="n"/>
      <c r="H8" s="603" t="n"/>
      <c r="I8" s="603" t="n"/>
      <c r="J8" s="603" t="n"/>
      <c r="K8" s="603" t="n"/>
      <c r="L8" s="603" t="n"/>
      <c r="M8" s="603" t="n"/>
      <c r="N8" s="603" t="n"/>
      <c r="O8" s="603" t="n"/>
      <c r="P8" s="603" t="n"/>
      <c r="Q8" s="603" t="n"/>
      <c r="R8" s="603" t="n"/>
      <c r="S8" s="603" t="n"/>
      <c r="T8" s="603" t="n"/>
      <c r="U8" s="603" t="n"/>
      <c r="V8" s="603" t="n"/>
      <c r="W8" s="603" t="n"/>
      <c r="X8" s="603" t="n"/>
      <c r="Y8" s="603" t="n"/>
      <c r="Z8" s="603" t="n"/>
      <c r="AA8" s="603" t="n"/>
      <c r="AB8" s="603" t="n"/>
      <c r="AC8" s="603" t="n"/>
      <c r="AD8" s="603" t="n"/>
      <c r="AE8" s="603" t="n"/>
      <c r="AF8" s="603" t="n"/>
      <c r="AG8" s="603" t="n"/>
      <c r="AH8" s="603" t="n"/>
      <c r="AI8" s="603" t="n"/>
      <c r="AJ8" s="603" t="n"/>
      <c r="AK8" s="603" t="n"/>
      <c r="AL8" s="603" t="n"/>
      <c r="AM8" s="603" t="n"/>
      <c r="AN8" s="603" t="n"/>
      <c r="AO8" s="603" t="n"/>
      <c r="AP8" s="603" t="n"/>
      <c r="AQ8" s="603" t="n"/>
      <c r="AR8" s="603" t="n"/>
      <c r="AS8" s="603" t="n"/>
      <c r="AT8" s="603" t="n"/>
      <c r="AU8" s="603" t="n"/>
      <c r="AV8" s="603" t="n"/>
      <c r="AW8" s="124" t="n"/>
      <c r="AX8" s="264" t="n"/>
      <c r="AY8" s="264" t="n"/>
      <c r="AZ8" s="264" t="n"/>
      <c r="BA8" s="264" t="n"/>
      <c r="BB8" s="124" t="n"/>
      <c r="BC8" s="838" t="n"/>
      <c r="BD8" s="838" t="n"/>
      <c r="BE8" s="838" t="n"/>
      <c r="BF8" s="838" t="n"/>
      <c r="BG8" s="838" t="n"/>
      <c r="BH8" s="838" t="n"/>
      <c r="BI8" s="838" t="n"/>
      <c r="BJ8" s="838" t="n"/>
      <c r="BK8" s="838" t="n"/>
      <c r="BL8" s="838" t="n"/>
      <c r="BM8" s="838" t="n"/>
      <c r="BN8" s="838" t="n"/>
      <c r="BO8" s="838" t="n"/>
      <c r="BP8" s="838" t="n"/>
      <c r="BQ8" s="21" t="n"/>
      <c r="BR8" s="21" t="n"/>
      <c r="BS8" s="21" t="n"/>
      <c r="BT8" s="21" t="n"/>
      <c r="BU8" s="21" t="n"/>
      <c r="BV8" s="21" t="n"/>
      <c r="BW8" s="21" t="n"/>
      <c r="BX8" s="21" t="n"/>
      <c r="BY8" s="21" t="n"/>
      <c r="BZ8" s="21" t="n"/>
      <c r="CA8" s="21" t="n"/>
      <c r="CB8" s="21" t="n"/>
      <c r="CC8" s="21" t="n"/>
      <c r="CD8" s="21" t="n"/>
      <c r="CE8" s="21" t="n"/>
      <c r="CF8" s="21" t="n"/>
      <c r="CG8" s="21" t="n"/>
      <c r="CH8" s="21" t="n"/>
      <c r="CI8" s="21" t="n"/>
      <c r="CJ8" s="21" t="n"/>
      <c r="CK8" s="21" t="n"/>
      <c r="CL8" s="21" t="n"/>
      <c r="CM8" s="21" t="n"/>
    </row>
    <row r="9" ht="12" customHeight="1">
      <c r="A9" s="159" t="n"/>
      <c r="B9" s="838">
        <f>CONCATENATE("AH ",VLOOKUP(Access!C3,'Instellingen HIDE'!A:B,2,FALSE),", ",VLOOKUP(Access!C3,'Instellingen HIDE'!A:C,3,FALSE),", ",VLOOKUP(Access!C3,'Instellingen HIDE'!A:D,4,FALSE)," ",VLOOKUP(Access!C3,'Instellingen HIDE'!A:E,5,FALSE),", (telefoon: ",VLOOKUP(Access!C3,'Instellingen HIDE'!A:F,6,FALSE),")")</f>
        <v/>
      </c>
      <c r="C9" s="838" t="n"/>
      <c r="D9" s="838" t="n"/>
      <c r="E9" s="838" t="n"/>
      <c r="F9" s="838" t="n"/>
      <c r="G9" s="838" t="n"/>
      <c r="H9" s="838" t="n"/>
      <c r="I9" s="838" t="n"/>
      <c r="J9" s="838" t="n"/>
      <c r="K9" s="838" t="n"/>
      <c r="L9" s="838" t="n"/>
      <c r="M9" s="838" t="n"/>
      <c r="N9" s="838" t="n"/>
      <c r="O9" s="838" t="n"/>
      <c r="P9" s="838" t="n"/>
      <c r="Q9" s="838" t="n"/>
      <c r="R9" s="838" t="n"/>
      <c r="S9" s="838" t="n"/>
      <c r="T9" s="838" t="n"/>
      <c r="U9" s="838" t="n"/>
      <c r="V9" s="838" t="n"/>
      <c r="W9" s="838" t="n"/>
      <c r="X9" s="838" t="n"/>
      <c r="Y9" s="838" t="n"/>
      <c r="Z9" s="838" t="n"/>
      <c r="AA9" s="838" t="n"/>
      <c r="AB9" s="838" t="n"/>
      <c r="AC9" s="838" t="n"/>
      <c r="AD9" s="838" t="n"/>
      <c r="AE9" s="838" t="n"/>
      <c r="AF9" s="838" t="n"/>
      <c r="AG9" s="838" t="n"/>
      <c r="AH9" s="838" t="n"/>
      <c r="AI9" s="838" t="n"/>
      <c r="AJ9" s="838" t="n"/>
      <c r="AK9" s="838" t="n"/>
      <c r="AL9" s="838" t="n"/>
      <c r="AM9" s="838" t="n"/>
      <c r="AN9" s="838" t="n"/>
      <c r="AO9" s="838" t="n"/>
      <c r="AP9" s="838" t="n"/>
      <c r="AQ9" s="838" t="n"/>
      <c r="AR9" s="838" t="n"/>
      <c r="AS9" s="838" t="n"/>
      <c r="AT9" s="838" t="n"/>
      <c r="AU9" s="838" t="n"/>
      <c r="AV9" s="115" t="inlineStr">
        <is>
          <t>DagritmeONLINE Versie  100.53</t>
        </is>
      </c>
      <c r="AW9" s="123" t="n"/>
      <c r="AX9" s="264" t="n"/>
      <c r="AY9" s="264" t="n"/>
      <c r="AZ9" s="264" t="n"/>
      <c r="BA9" s="264" t="n"/>
      <c r="BB9" s="124" t="n"/>
      <c r="BC9" s="838" t="n"/>
      <c r="BD9" s="838" t="n"/>
      <c r="BE9" s="838" t="n"/>
      <c r="BF9" s="838" t="n"/>
      <c r="BG9" s="838" t="n"/>
      <c r="BH9" s="838" t="n"/>
      <c r="BI9" s="838" t="n"/>
      <c r="BJ9" s="838" t="n"/>
      <c r="BK9" s="838" t="n"/>
      <c r="BL9" s="838" t="n"/>
      <c r="BM9" s="838" t="n"/>
      <c r="BN9" s="838" t="n"/>
      <c r="BO9" s="838" t="n"/>
      <c r="BP9" s="838" t="n"/>
      <c r="BQ9" s="21" t="n"/>
      <c r="BR9" s="21" t="n"/>
      <c r="BS9" s="21" t="n"/>
      <c r="BT9" s="21" t="n"/>
      <c r="BU9" s="21" t="n"/>
      <c r="BV9" s="21" t="n"/>
      <c r="BW9" s="21" t="n"/>
      <c r="BX9" s="21" t="n"/>
      <c r="BY9" s="21" t="n"/>
      <c r="BZ9" s="21" t="n"/>
      <c r="CA9" s="21" t="n"/>
      <c r="CB9" s="21" t="n"/>
      <c r="CC9" s="21" t="n"/>
      <c r="CD9" s="21" t="n"/>
      <c r="CE9" s="21" t="n"/>
      <c r="CF9" s="21" t="n"/>
      <c r="CG9" s="21" t="n"/>
      <c r="CH9" s="21" t="n"/>
      <c r="CI9" s="21" t="n"/>
      <c r="CJ9" s="21" t="n"/>
      <c r="CK9" s="21" t="n"/>
      <c r="CL9" s="21" t="n"/>
      <c r="CM9" s="21" t="n"/>
    </row>
    <row r="10" ht="6" customHeight="1">
      <c r="A10" s="160" t="n"/>
      <c r="B10" s="95" t="n"/>
      <c r="C10" s="95" t="n"/>
      <c r="D10" s="95" t="n"/>
      <c r="E10" s="95" t="n"/>
      <c r="F10" s="95" t="n"/>
      <c r="G10" s="95" t="n"/>
      <c r="H10" s="95" t="n"/>
      <c r="I10" s="95" t="n"/>
      <c r="J10" s="95" t="n"/>
      <c r="K10" s="95" t="n"/>
      <c r="L10" s="95" t="n"/>
      <c r="M10" s="95" t="n"/>
      <c r="N10" s="95" t="n"/>
      <c r="O10" s="95" t="n"/>
      <c r="P10" s="95" t="n"/>
      <c r="Q10" s="95" t="n"/>
      <c r="R10" s="95" t="n"/>
      <c r="S10" s="95" t="n"/>
      <c r="T10" s="95" t="n"/>
      <c r="U10" s="95" t="n"/>
      <c r="V10" s="95" t="n"/>
      <c r="W10" s="95" t="n"/>
      <c r="X10" s="95" t="n"/>
      <c r="Y10" s="95" t="n"/>
      <c r="Z10" s="95" t="n"/>
      <c r="AA10" s="95" t="n"/>
      <c r="AB10" s="95" t="n"/>
      <c r="AC10" s="95" t="n"/>
      <c r="AD10" s="95" t="n"/>
      <c r="AE10" s="95" t="n"/>
      <c r="AF10" s="95" t="n"/>
      <c r="AG10" s="95" t="n"/>
      <c r="AH10" s="95" t="n"/>
      <c r="AI10" s="95" t="n"/>
      <c r="AJ10" s="95" t="n"/>
      <c r="AK10" s="95" t="n"/>
      <c r="AL10" s="95" t="n"/>
      <c r="AM10" s="95" t="n"/>
      <c r="AN10" s="95" t="n"/>
      <c r="AO10" s="95" t="n"/>
      <c r="AP10" s="95" t="n"/>
      <c r="AQ10" s="95" t="n"/>
      <c r="AR10" s="95" t="n"/>
      <c r="AS10" s="95" t="n"/>
      <c r="AT10" s="95" t="n"/>
      <c r="AU10" s="95" t="n"/>
      <c r="AV10" s="114" t="n"/>
      <c r="AW10" s="106" t="n"/>
      <c r="AX10" s="745" t="n"/>
      <c r="AY10" s="264" t="n"/>
      <c r="AZ10" s="264" t="n"/>
      <c r="BA10" s="264" t="n"/>
      <c r="BB10" s="838" t="n"/>
      <c r="BC10" s="838" t="n"/>
      <c r="BD10" s="838" t="n"/>
      <c r="BE10" s="838" t="n"/>
      <c r="BF10" s="838" t="n"/>
      <c r="BG10" s="838" t="n"/>
      <c r="BH10" s="838" t="n"/>
      <c r="BI10" s="838" t="n"/>
      <c r="BJ10" s="838" t="n"/>
      <c r="BK10" s="838" t="n"/>
      <c r="BL10" s="838" t="n"/>
      <c r="BM10" s="838" t="n"/>
      <c r="BN10" s="838" t="n"/>
      <c r="BO10" s="838" t="n"/>
      <c r="BP10" s="838" t="n"/>
      <c r="BQ10" s="21" t="n"/>
      <c r="BR10" s="21" t="n"/>
      <c r="BS10" s="21" t="n"/>
      <c r="BT10" s="21" t="n"/>
      <c r="BU10" s="21" t="n"/>
      <c r="BV10" s="21" t="n"/>
      <c r="BW10" s="21" t="n"/>
      <c r="BX10" s="21" t="n"/>
      <c r="BY10" s="21" t="n"/>
      <c r="BZ10" s="21" t="n"/>
      <c r="CA10" s="21" t="n"/>
      <c r="CB10" s="21" t="n"/>
      <c r="CC10" s="21" t="n"/>
      <c r="CD10" s="21" t="n"/>
      <c r="CE10" s="21" t="n"/>
      <c r="CF10" s="21" t="n"/>
      <c r="CG10" s="21" t="n"/>
      <c r="CH10" s="21" t="n"/>
      <c r="CI10" s="21" t="n"/>
      <c r="CJ10" s="21" t="n"/>
      <c r="CK10" s="21" t="n"/>
      <c r="CL10" s="21" t="n"/>
      <c r="CM10" s="21" t="n"/>
    </row>
    <row r="11" hidden="1" ht="13.5" customHeight="1">
      <c r="A11" s="159" t="n"/>
      <c r="B11" s="838" t="n"/>
      <c r="C11" s="95" t="n"/>
      <c r="D11" s="95" t="n"/>
      <c r="E11" s="95" t="n"/>
      <c r="F11" s="23" t="n">
        <v>0.2083333333333333</v>
      </c>
      <c r="G11" s="24" t="n">
        <v>0.2291666666666667</v>
      </c>
      <c r="H11" s="24" t="n">
        <v>0.25</v>
      </c>
      <c r="I11" s="24" t="n">
        <v>0.2708333333333333</v>
      </c>
      <c r="J11" s="24" t="n">
        <v>0.2916666666666667</v>
      </c>
      <c r="K11" s="24" t="n">
        <v>0.3125</v>
      </c>
      <c r="L11" s="24" t="n">
        <v>0.3333333333333333</v>
      </c>
      <c r="M11" s="24" t="n">
        <v>0.3541666666666667</v>
      </c>
      <c r="N11" s="24" t="n">
        <v>0.375</v>
      </c>
      <c r="O11" s="24" t="n">
        <v>0.3958333333333333</v>
      </c>
      <c r="P11" s="24" t="n">
        <v>0.4166666666666667</v>
      </c>
      <c r="Q11" s="24" t="n">
        <v>0.4375</v>
      </c>
      <c r="R11" s="24" t="n">
        <v>0.4583333333333333</v>
      </c>
      <c r="S11" s="24" t="n">
        <v>0.4791666666666667</v>
      </c>
      <c r="T11" s="24" t="n">
        <v>0.5</v>
      </c>
      <c r="U11" s="24" t="n">
        <v>0.5208333333333334</v>
      </c>
      <c r="V11" s="24" t="n">
        <v>0.5416666666666666</v>
      </c>
      <c r="W11" s="24" t="n">
        <v>0.5625</v>
      </c>
      <c r="X11" s="24" t="n">
        <v>0.5833333333333334</v>
      </c>
      <c r="Y11" s="24" t="n">
        <v>0.6041666666666666</v>
      </c>
      <c r="Z11" s="24" t="n">
        <v>0.625</v>
      </c>
      <c r="AA11" s="24" t="n">
        <v>0.6458333333333334</v>
      </c>
      <c r="AB11" s="24" t="n">
        <v>0.6666666666666666</v>
      </c>
      <c r="AC11" s="24" t="n">
        <v>0.6875</v>
      </c>
      <c r="AD11" s="53" t="n">
        <v>0.7083333333333334</v>
      </c>
      <c r="AE11" s="53" t="n">
        <v>0.7291666666666666</v>
      </c>
      <c r="AF11" s="53" t="n">
        <v>0.75</v>
      </c>
      <c r="AG11" s="53" t="n">
        <v>0.7708333333333334</v>
      </c>
      <c r="AH11" s="53" t="n">
        <v>0.7916666666666666</v>
      </c>
      <c r="AI11" s="53" t="n">
        <v>0.8125</v>
      </c>
      <c r="AJ11" s="53" t="n">
        <v>0.8333333333333334</v>
      </c>
      <c r="AK11" s="53" t="n">
        <v>0.8541666666666666</v>
      </c>
      <c r="AL11" s="54" t="n">
        <v>0.875</v>
      </c>
      <c r="AM11" s="55" t="n">
        <v>0.8958333333333334</v>
      </c>
      <c r="AN11" s="25" t="n">
        <v>0.9166666666666666</v>
      </c>
      <c r="AO11" s="55" t="n">
        <v>0.9375</v>
      </c>
      <c r="AP11" s="26" t="n">
        <v>0.9583333333333334</v>
      </c>
      <c r="AQ11" s="27" t="n">
        <v>0.9791666666666666</v>
      </c>
      <c r="AR11" s="719" t="inlineStr">
        <is>
          <t>Beschikbaarheid</t>
        </is>
      </c>
      <c r="AS11" s="264" t="n"/>
      <c r="AT11" s="719" t="n"/>
      <c r="AU11" s="106" t="n"/>
      <c r="AV11" s="116" t="n"/>
      <c r="AW11" s="106" t="n"/>
      <c r="AX11" s="838" t="n"/>
      <c r="AY11" s="17" t="n"/>
      <c r="AZ11" s="18" t="n"/>
      <c r="BA11" s="19" t="n"/>
      <c r="BB11" s="838" t="n"/>
      <c r="BC11" s="838" t="n"/>
      <c r="BD11" s="838" t="n"/>
      <c r="BE11" s="838" t="n"/>
      <c r="BF11" s="838" t="n"/>
      <c r="BG11" s="838" t="n"/>
      <c r="BH11" s="838" t="n"/>
      <c r="BI11" s="838" t="n"/>
      <c r="BJ11" s="838" t="n"/>
      <c r="BK11" s="838" t="n"/>
      <c r="BL11" s="838" t="n"/>
      <c r="BM11" s="838" t="n"/>
      <c r="BN11" s="838" t="n"/>
      <c r="BO11" s="838" t="n"/>
      <c r="BP11" s="838" t="n"/>
      <c r="BQ11" s="21" t="n"/>
      <c r="BR11" s="21" t="n"/>
      <c r="BS11" s="21" t="n"/>
      <c r="BT11" s="21" t="n"/>
      <c r="BU11" s="21" t="n"/>
      <c r="BV11" s="21" t="n"/>
      <c r="BW11" s="21" t="n"/>
      <c r="BX11" s="21" t="n"/>
      <c r="BY11" s="21" t="n"/>
      <c r="BZ11" s="21" t="n"/>
      <c r="CA11" s="21" t="n"/>
      <c r="CB11" s="21" t="n"/>
      <c r="CC11" s="21" t="n"/>
      <c r="CD11" s="21" t="n"/>
      <c r="CE11" s="21" t="n"/>
      <c r="CF11" s="21" t="n"/>
      <c r="CG11" s="21" t="n"/>
      <c r="CH11" s="21" t="n"/>
      <c r="CI11" s="21" t="n"/>
      <c r="CJ11" s="21" t="n"/>
      <c r="CK11" s="21" t="n"/>
      <c r="CL11" s="21" t="n"/>
      <c r="CM11" s="21" t="n"/>
    </row>
    <row r="12" ht="12" customHeight="1">
      <c r="A12" s="160" t="n"/>
      <c r="B12" s="107" t="n"/>
      <c r="C12" s="97" t="inlineStr">
        <is>
          <t>Functie</t>
        </is>
      </c>
      <c r="D12" s="97" t="inlineStr">
        <is>
          <t>Begin</t>
        </is>
      </c>
      <c r="E12" s="97" t="inlineStr">
        <is>
          <t>Eind</t>
        </is>
      </c>
      <c r="F12" s="872" t="n">
        <v>0.2083333333333333</v>
      </c>
      <c r="G12" s="873" t="n"/>
      <c r="H12" s="874" t="n">
        <v>0.25</v>
      </c>
      <c r="I12" s="875" t="n"/>
      <c r="J12" s="874" t="n">
        <v>0.2916666666666667</v>
      </c>
      <c r="K12" s="875" t="n"/>
      <c r="L12" s="874" t="n">
        <v>0.3333333333333333</v>
      </c>
      <c r="M12" s="875" t="n"/>
      <c r="N12" s="874" t="n">
        <v>0.375</v>
      </c>
      <c r="O12" s="875" t="n"/>
      <c r="P12" s="874" t="n">
        <v>0.4166666666666667</v>
      </c>
      <c r="Q12" s="875" t="n"/>
      <c r="R12" s="874" t="n">
        <v>0.4583333333333333</v>
      </c>
      <c r="S12" s="875" t="n"/>
      <c r="T12" s="874" t="n">
        <v>0.5</v>
      </c>
      <c r="U12" s="875" t="n"/>
      <c r="V12" s="874" t="n">
        <v>0.5416666666666666</v>
      </c>
      <c r="W12" s="875" t="n"/>
      <c r="X12" s="874" t="n">
        <v>0.5833333333333334</v>
      </c>
      <c r="Y12" s="875" t="n"/>
      <c r="Z12" s="874" t="n">
        <v>0.625</v>
      </c>
      <c r="AA12" s="875" t="n"/>
      <c r="AB12" s="874" t="n">
        <v>0.6666666666666666</v>
      </c>
      <c r="AC12" s="875" t="n"/>
      <c r="AD12" s="874" t="n">
        <v>0.7083333333333334</v>
      </c>
      <c r="AE12" s="875" t="n"/>
      <c r="AF12" s="876" t="n">
        <v>0.75</v>
      </c>
      <c r="AG12" s="875" t="n"/>
      <c r="AH12" s="874" t="n">
        <v>0.7916666666666666</v>
      </c>
      <c r="AI12" s="875" t="n"/>
      <c r="AJ12" s="874" t="n">
        <v>0.8333333333333334</v>
      </c>
      <c r="AK12" s="875" t="n"/>
      <c r="AL12" s="872" t="n">
        <v>0.875</v>
      </c>
      <c r="AM12" s="873" t="n"/>
      <c r="AN12" s="872" t="n">
        <v>0.9166666666666666</v>
      </c>
      <c r="AO12" s="873" t="n"/>
      <c r="AP12" s="872" t="n">
        <v>0.9583333333333334</v>
      </c>
      <c r="AQ12" s="873" t="n"/>
      <c r="AR12" s="98" t="inlineStr">
        <is>
          <t>Begin</t>
        </is>
      </c>
      <c r="AS12" s="98" t="inlineStr">
        <is>
          <t>Eind</t>
        </is>
      </c>
      <c r="AT12" s="99" t="n"/>
      <c r="AU12" s="432" t="inlineStr">
        <is>
          <t>Afw</t>
        </is>
      </c>
      <c r="AV12" s="433" t="inlineStr">
        <is>
          <t>Uren</t>
        </is>
      </c>
      <c r="AW12" s="100" t="inlineStr">
        <is>
          <t>Cont</t>
        </is>
      </c>
      <c r="AX12" s="101" t="inlineStr">
        <is>
          <t>Week</t>
        </is>
      </c>
      <c r="AY12" s="17" t="n"/>
      <c r="AZ12" s="28" t="n"/>
      <c r="BA12" s="29">
        <f>IF(AY12&lt;99,IF(AY12=0,"",((COUNTIF($E$13:$AQ$61,AY12))/2)),IF(AY12=0,"",((COUNTIF($E$13:$AQ$61,CONCATENATE(AY12,"*")))/2)+(COUNTIF($E$13:$AQ$61,CONCATENATE("x",AY12,"*")))/4))</f>
        <v/>
      </c>
      <c r="BB12" s="838" t="n"/>
      <c r="BC12" s="102" t="inlineStr">
        <is>
          <t>Naam</t>
        </is>
      </c>
      <c r="BD12" s="103" t="n"/>
      <c r="BE12" s="877" t="inlineStr">
        <is>
          <t>Maandag</t>
        </is>
      </c>
      <c r="BF12" s="878" t="n"/>
      <c r="BG12" s="103" t="n"/>
      <c r="BH12" s="103" t="n"/>
      <c r="BI12" s="877" t="inlineStr">
        <is>
          <t>Dinsdag</t>
        </is>
      </c>
      <c r="BJ12" s="878" t="n"/>
      <c r="BK12" s="103" t="n"/>
      <c r="BL12" s="103" t="n"/>
      <c r="BM12" s="877" t="inlineStr">
        <is>
          <t>Woensdag</t>
        </is>
      </c>
      <c r="BN12" s="878" t="n"/>
      <c r="BO12" s="103" t="n"/>
      <c r="BP12" s="103" t="n"/>
      <c r="BQ12" s="877" t="inlineStr">
        <is>
          <t>Donderdag</t>
        </is>
      </c>
      <c r="BR12" s="878" t="n"/>
      <c r="BS12" s="103" t="n"/>
      <c r="BT12" s="103" t="n"/>
      <c r="BU12" s="877" t="inlineStr">
        <is>
          <t>Vrijdag</t>
        </is>
      </c>
      <c r="BV12" s="878" t="n"/>
      <c r="BW12" s="103" t="n"/>
      <c r="BX12" s="103" t="n"/>
      <c r="BY12" s="877" t="inlineStr">
        <is>
          <t>Zaterdag</t>
        </is>
      </c>
      <c r="BZ12" s="878" t="n"/>
      <c r="CA12" s="103" t="n"/>
      <c r="CB12" s="103" t="n"/>
      <c r="CC12" s="877" t="inlineStr">
        <is>
          <t>Zondag</t>
        </is>
      </c>
      <c r="CD12" s="878" t="n"/>
      <c r="CE12" s="103" t="n"/>
      <c r="CF12" s="103" t="n"/>
      <c r="CG12" s="103" t="n"/>
      <c r="CH12" s="103" t="n"/>
      <c r="CI12" s="250">
        <f>"+/-"</f>
        <v/>
      </c>
      <c r="CJ12" s="250">
        <f>CONCATENATE("&lt;",ROUNDUP(Instellingen!$I$8,0))</f>
        <v/>
      </c>
      <c r="CK12" s="250">
        <f>CONCATENATE("&lt;",ROUNDUP(Instellingen!$I$9,0))</f>
        <v/>
      </c>
      <c r="CL12" s="104" t="inlineStr">
        <is>
          <t>Dag</t>
        </is>
      </c>
      <c r="CM12" s="21" t="n"/>
    </row>
    <row r="13" ht="12.75" customHeight="1">
      <c r="A13" s="161">
        <f>IFERROR(IF(VLOOKUP($B13,$BC$13:$CL$86,36,FALSE)&gt;5,0,IF(COUNTIF($B$13:$B$63,$B13)&gt;1,0,1)),1)+IF(B13&lt;&gt;0,0,IF(AV13&gt;0,0.000001,0))</f>
        <v/>
      </c>
      <c r="B13" s="51" t="inlineStr">
        <is>
          <t>Jacco Maas</t>
        </is>
      </c>
      <c r="C13" s="48">
        <f>IFERROR(IF($B13="","",VLOOKUP($B13,Medewerker!$C$8:$AI$107,33,FALSE)),"?")</f>
        <v/>
      </c>
      <c r="D13" s="879">
        <f t="array" ref="D13">IFERROR(IF(LEFT(INDEX($F13:$AQ13,1,SUM(SMALL(IF($F13:$AQ13&lt;&gt;"",COLUMN($F13:$AQ13)),1)-5)),1)="x",SUM(SMALL(IF($F13:$AQ13&lt;&gt;"",$F$11:$AQ$11),1)+"0:15"),SMALL(IF($F13:$AQ13&lt;&gt;"",$F$11:$AQ$11),1)),"")</f>
        <v/>
      </c>
      <c r="E13" s="879">
        <f t="array" ref="E13">IFERROR(IF(LEFT(INDEX($F13:$AQ13,1,SUM(LARGE(IF($F13:$AQ13&lt;&gt;"",COLUMN($F13:$AQ13)),1)-5)),1)="x",SUM(LARGE(IF($F13:$AQ13&lt;&gt;"",$F$11:$AQ$11+"0:30:00"),1)-"0:15"),LARGE(IF($F13:$AQ13&lt;&gt;"",$F$11:$AQ$11+"0:30:00"),1)),"")</f>
        <v/>
      </c>
      <c r="F13" s="37" t="n"/>
      <c r="G13" s="38" t="n"/>
      <c r="H13" s="40" t="inlineStr">
        <is>
          <t>bl</t>
        </is>
      </c>
      <c r="I13" s="41" t="inlineStr">
        <is>
          <t>bl</t>
        </is>
      </c>
      <c r="J13" s="40" t="inlineStr">
        <is>
          <t>bl</t>
        </is>
      </c>
      <c r="K13" s="42" t="inlineStr">
        <is>
          <t>bl</t>
        </is>
      </c>
      <c r="L13" s="43" t="inlineStr">
        <is>
          <t>bl</t>
        </is>
      </c>
      <c r="M13" s="41" t="inlineStr">
        <is>
          <t>sl</t>
        </is>
      </c>
      <c r="N13" s="40" t="inlineStr">
        <is>
          <t>sl</t>
        </is>
      </c>
      <c r="O13" s="42" t="inlineStr">
        <is>
          <t>sl</t>
        </is>
      </c>
      <c r="P13" s="43" t="inlineStr">
        <is>
          <t>p</t>
        </is>
      </c>
      <c r="Q13" s="41" t="inlineStr">
        <is>
          <t>sl</t>
        </is>
      </c>
      <c r="R13" s="40" t="inlineStr">
        <is>
          <t>sl</t>
        </is>
      </c>
      <c r="S13" s="42" t="inlineStr">
        <is>
          <t>sl</t>
        </is>
      </c>
      <c r="T13" s="43" t="inlineStr">
        <is>
          <t>sl</t>
        </is>
      </c>
      <c r="U13" s="41" t="inlineStr">
        <is>
          <t>sl</t>
        </is>
      </c>
      <c r="V13" s="40" t="inlineStr">
        <is>
          <t>sl</t>
        </is>
      </c>
      <c r="W13" s="42" t="inlineStr">
        <is>
          <t>sl</t>
        </is>
      </c>
      <c r="X13" s="43" t="n"/>
      <c r="Y13" s="41" t="n"/>
      <c r="Z13" s="40" t="n"/>
      <c r="AA13" s="42" t="n"/>
      <c r="AB13" s="43" t="n"/>
      <c r="AC13" s="41" t="n"/>
      <c r="AD13" s="40" t="n"/>
      <c r="AE13" s="42" t="n"/>
      <c r="AF13" s="43" t="n"/>
      <c r="AG13" s="41" t="n"/>
      <c r="AH13" s="40" t="n"/>
      <c r="AI13" s="42" t="n"/>
      <c r="AJ13" s="43" t="n"/>
      <c r="AK13" s="41" t="n"/>
      <c r="AL13" s="37" t="n"/>
      <c r="AM13" s="38" t="n"/>
      <c r="AN13" s="644" t="n"/>
      <c r="AO13" s="39" t="n"/>
      <c r="AP13" s="37" t="n"/>
      <c r="AQ13" s="38" t="n"/>
      <c r="AR13" s="880">
        <f>IFERROR(IF(VLOOKUP($B13,Medewerker!$C$8:$Y$107,23,FALSE)="",VLOOKUP($B13,Medewerker!$C$8:$Y$107,21,FALSE),0),0)</f>
        <v/>
      </c>
      <c r="AS13" s="881">
        <f>IFERROR(IF(B13="",1,IF(VLOOKUP($B13,Medewerker!$C$8:$Y$107,23,FALSE)="",VLOOKUP($B13,Medewerker!$C$8:$Y$107,22,FALSE),0)),0)</f>
        <v/>
      </c>
      <c r="AT13" s="49" t="n"/>
      <c r="AU13" s="49">
        <f>(COUNTIF(F13:AQ13,"afw"))/2</f>
        <v/>
      </c>
      <c r="AV13" s="111">
        <f>((38-(COUNTIF(F13:AQ13,"")))/2)-(COUNTIF(F13:AQ13,"p")/2)-(COUNTIF(F13:AQ13,CONCATENATE("x","*"))/4)</f>
        <v/>
      </c>
      <c r="AW13" s="70">
        <f>IF($B13="","",VLOOKUP($B13,Medewerker!$C$8:$E$107,3,FALSE))</f>
        <v/>
      </c>
      <c r="AX13" s="404">
        <f>IFERROR(VLOOKUP($B13,Planning!$B$6:$AG$105,32,FALSE)*24,"")</f>
        <v/>
      </c>
      <c r="AY13" s="882" t="inlineStr">
        <is>
          <t>Vullen</t>
        </is>
      </c>
      <c r="AZ13" s="883" t="n"/>
      <c r="BA13" s="884" t="n"/>
      <c r="BB13" s="838" t="n"/>
      <c r="BC13" s="31">
        <f>IF(Planning!B6="","",Planning!B6)</f>
        <v/>
      </c>
      <c r="BD13" s="105" t="n"/>
      <c r="BE13" s="885">
        <f>Planning!E6</f>
        <v/>
      </c>
      <c r="BF13" s="885">
        <f>Planning!F6</f>
        <v/>
      </c>
      <c r="BG13" s="886" t="n"/>
      <c r="BH13" s="105" t="n"/>
      <c r="BI13" s="885">
        <f>Planning!I6</f>
        <v/>
      </c>
      <c r="BJ13" s="885">
        <f>Planning!J6</f>
        <v/>
      </c>
      <c r="BK13" s="886" t="n"/>
      <c r="BL13" s="105" t="n"/>
      <c r="BM13" s="885">
        <f>Planning!M6</f>
        <v/>
      </c>
      <c r="BN13" s="885">
        <f>Planning!N6</f>
        <v/>
      </c>
      <c r="BO13" s="886" t="n"/>
      <c r="BP13" s="105" t="n"/>
      <c r="BQ13" s="885">
        <f>Planning!Q6</f>
        <v/>
      </c>
      <c r="BR13" s="885">
        <f>Planning!R6</f>
        <v/>
      </c>
      <c r="BS13" s="886" t="n"/>
      <c r="BT13" s="105" t="n"/>
      <c r="BU13" s="885">
        <f>Planning!U6</f>
        <v/>
      </c>
      <c r="BV13" s="885">
        <f>Planning!V6</f>
        <v/>
      </c>
      <c r="BW13" s="886" t="n"/>
      <c r="BX13" s="105" t="n"/>
      <c r="BY13" s="885">
        <f>Planning!Y6</f>
        <v/>
      </c>
      <c r="BZ13" s="885">
        <f>Planning!Z6</f>
        <v/>
      </c>
      <c r="CA13" s="886" t="n"/>
      <c r="CB13" s="105" t="n"/>
      <c r="CC13" s="885">
        <f>Planning!AC6</f>
        <v/>
      </c>
      <c r="CD13" s="885">
        <f>Planning!AD6</f>
        <v/>
      </c>
      <c r="CE13" s="886" t="n"/>
      <c r="CF13" s="105" t="n"/>
      <c r="CG13" s="887">
        <f>Planning!AG6</f>
        <v/>
      </c>
      <c r="CH13" s="105" t="n"/>
      <c r="CI13" s="252">
        <f>IF(BC13="","",Planning!AI6)</f>
        <v/>
      </c>
      <c r="CJ13" s="252">
        <f>IF(BC13="","",Planning!AJ6)</f>
        <v/>
      </c>
      <c r="CK13" s="252">
        <f>IF(BC13="","",Planning!AK6)</f>
        <v/>
      </c>
      <c r="CL13" s="252">
        <f>IF(BC13="","",Planning!AH6)</f>
        <v/>
      </c>
      <c r="CM13" s="21" t="n"/>
    </row>
    <row r="14" ht="12.75" customHeight="1">
      <c r="A14" s="161">
        <f>IFERROR(IF(VLOOKUP($B14,$BC$13:$CL$86,36,FALSE)&gt;5,0,IF(COUNTIF($B$13:$B$63,$B14)&gt;1,0,2)),2)+IF(B14&lt;&gt;0,0,IF(AV14&gt;0,0.000001,0))</f>
        <v/>
      </c>
      <c r="B14" s="52" t="inlineStr">
        <is>
          <t>Sam Viravouth</t>
        </is>
      </c>
      <c r="C14" s="48">
        <f>IFERROR(IF($B14="","",VLOOKUP($B14,Medewerker!$C$8:$AI$107,33,FALSE)),"?")</f>
        <v/>
      </c>
      <c r="D14" s="879">
        <f t="array" ref="D14">IFERROR(IF(LEFT(INDEX($F14:$AQ14,1,SUM(SMALL(IF($F14:$AQ14&lt;&gt;"",COLUMN($F14:$AQ14)),1)-5)),1)="x",SUM(SMALL(IF($F14:$AQ14&lt;&gt;"",$F$11:$AQ$11),1)+"0:15"),SMALL(IF($F14:$AQ14&lt;&gt;"",$F$11:$AQ$11),1)),"")</f>
        <v/>
      </c>
      <c r="E14" s="879">
        <f t="array" ref="E14">IFERROR(IF(LEFT(INDEX($F14:$AQ14,1,SUM(LARGE(IF($F14:$AQ14&lt;&gt;"",COLUMN($F14:$AQ14)),1)-5)),1)="x",SUM(LARGE(IF($F14:$AQ14&lt;&gt;"",$F$11:$AQ$11+"0:30:00"),1)-"0:15"),LARGE(IF($F14:$AQ14&lt;&gt;"",$F$11:$AQ$11+"0:30:00"),1)),"")</f>
        <v/>
      </c>
      <c r="F14" s="40" t="n"/>
      <c r="G14" s="41" t="n"/>
      <c r="H14" s="40" t="n"/>
      <c r="I14" s="41" t="n"/>
      <c r="J14" s="40" t="n"/>
      <c r="K14" s="41" t="n"/>
      <c r="L14" s="40" t="n"/>
      <c r="M14" s="41" t="n"/>
      <c r="N14" s="40" t="n"/>
      <c r="O14" s="41" t="n"/>
      <c r="P14" s="40" t="n"/>
      <c r="Q14" s="41" t="n"/>
      <c r="R14" s="40" t="n"/>
      <c r="S14" s="41" t="n"/>
      <c r="T14" s="40" t="n"/>
      <c r="U14" s="41" t="n"/>
      <c r="V14" s="40" t="inlineStr">
        <is>
          <t>sl</t>
        </is>
      </c>
      <c r="W14" s="40" t="inlineStr">
        <is>
          <t>sl</t>
        </is>
      </c>
      <c r="X14" s="40" t="inlineStr">
        <is>
          <t>sl</t>
        </is>
      </c>
      <c r="Y14" s="40" t="inlineStr">
        <is>
          <t>sl</t>
        </is>
      </c>
      <c r="Z14" s="40" t="inlineStr">
        <is>
          <t>sl</t>
        </is>
      </c>
      <c r="AA14" s="42" t="inlineStr">
        <is>
          <t>sl</t>
        </is>
      </c>
      <c r="AB14" s="43" t="inlineStr">
        <is>
          <t>sl</t>
        </is>
      </c>
      <c r="AC14" s="41" t="inlineStr">
        <is>
          <t>sl</t>
        </is>
      </c>
      <c r="AD14" s="40" t="inlineStr">
        <is>
          <t>p</t>
        </is>
      </c>
      <c r="AE14" s="42" t="inlineStr">
        <is>
          <t>sl</t>
        </is>
      </c>
      <c r="AF14" s="43" t="inlineStr">
        <is>
          <t>sl</t>
        </is>
      </c>
      <c r="AG14" s="41" t="inlineStr">
        <is>
          <t>sl</t>
        </is>
      </c>
      <c r="AH14" s="40" t="inlineStr">
        <is>
          <t>sl</t>
        </is>
      </c>
      <c r="AI14" s="42" t="inlineStr">
        <is>
          <t>sl</t>
        </is>
      </c>
      <c r="AJ14" s="43" t="inlineStr">
        <is>
          <t>sl</t>
        </is>
      </c>
      <c r="AK14" s="41" t="inlineStr">
        <is>
          <t>sl</t>
        </is>
      </c>
      <c r="AL14" s="40" t="n"/>
      <c r="AM14" s="41" t="n"/>
      <c r="AN14" s="645" t="n"/>
      <c r="AO14" s="42" t="n"/>
      <c r="AP14" s="40" t="n"/>
      <c r="AQ14" s="41" t="n"/>
      <c r="AR14" s="888">
        <f>IFERROR(IF(VLOOKUP($B14,Medewerker!$C$8:$Y$107,23,FALSE)="",VLOOKUP($B14,Medewerker!$C$8:$Y$107,21,FALSE),0),0)</f>
        <v/>
      </c>
      <c r="AS14" s="889">
        <f>IFERROR(IF(B14="",1,IF(VLOOKUP($B14,Medewerker!$C$8:$Y$107,23,FALSE)="",VLOOKUP($B14,Medewerker!$C$8:$Y$107,22,FALSE),0)),0)</f>
        <v/>
      </c>
      <c r="AT14" s="30" t="n"/>
      <c r="AU14" s="30">
        <f>(COUNTIF(F14:AQ14,"afw"))/2</f>
        <v/>
      </c>
      <c r="AV14" s="111">
        <f>((38-(COUNTIF(F14:AQ14,"")))/2)-(COUNTIF(F14:AQ14,"p")/2)-(COUNTIF(F14:AQ14,CONCATENATE("x","*"))/4)</f>
        <v/>
      </c>
      <c r="AW14" s="73">
        <f>IF($B14="","",VLOOKUP($B14,Medewerker!$C$8:$E$107,3,FALSE))</f>
        <v/>
      </c>
      <c r="AX14" s="403">
        <f>IFERROR(VLOOKUP($B14,Planning!$B$6:$AG$105,32,FALSE)*24,"")</f>
        <v/>
      </c>
      <c r="AY14" s="406" t="inlineStr">
        <is>
          <t>hv</t>
        </is>
      </c>
      <c r="AZ14" s="166" t="inlineStr">
        <is>
          <t>Houdbaar vullen</t>
        </is>
      </c>
      <c r="BA14" s="111">
        <f>COUNTIF($F$13:$AQ$63,CONCATENATE(AY14,"*"))/2+COUNTIF($F$13:$AQ$63,CONCATENATE("x",AY14,"*"))/4</f>
        <v/>
      </c>
      <c r="BB14" s="838" t="n"/>
      <c r="BC14" s="31">
        <f>IF(Planning!B7="","",Planning!B7)</f>
        <v/>
      </c>
      <c r="BD14" s="105" t="n"/>
      <c r="BE14" s="885">
        <f>Planning!E7</f>
        <v/>
      </c>
      <c r="BF14" s="885">
        <f>Planning!F7</f>
        <v/>
      </c>
      <c r="BG14" s="886" t="n"/>
      <c r="BH14" s="105" t="n"/>
      <c r="BI14" s="885">
        <f>Planning!I7</f>
        <v/>
      </c>
      <c r="BJ14" s="885">
        <f>Planning!J7</f>
        <v/>
      </c>
      <c r="BK14" s="886" t="n"/>
      <c r="BL14" s="105" t="n"/>
      <c r="BM14" s="885">
        <f>Planning!M7</f>
        <v/>
      </c>
      <c r="BN14" s="885">
        <f>Planning!N7</f>
        <v/>
      </c>
      <c r="BO14" s="886" t="n"/>
      <c r="BP14" s="105" t="n"/>
      <c r="BQ14" s="885">
        <f>Planning!Q7</f>
        <v/>
      </c>
      <c r="BR14" s="885">
        <f>Planning!R7</f>
        <v/>
      </c>
      <c r="BS14" s="886" t="n"/>
      <c r="BT14" s="105" t="n"/>
      <c r="BU14" s="885">
        <f>Planning!U7</f>
        <v/>
      </c>
      <c r="BV14" s="885">
        <f>Planning!V7</f>
        <v/>
      </c>
      <c r="BW14" s="886" t="n"/>
      <c r="BX14" s="105" t="n"/>
      <c r="BY14" s="885">
        <f>Planning!Y7</f>
        <v/>
      </c>
      <c r="BZ14" s="885">
        <f>Planning!Z7</f>
        <v/>
      </c>
      <c r="CA14" s="886" t="n"/>
      <c r="CB14" s="105" t="n"/>
      <c r="CC14" s="885">
        <f>Planning!AC7</f>
        <v/>
      </c>
      <c r="CD14" s="885">
        <f>Planning!AD7</f>
        <v/>
      </c>
      <c r="CE14" s="886" t="n"/>
      <c r="CF14" s="105" t="n"/>
      <c r="CG14" s="887">
        <f>Planning!AG7</f>
        <v/>
      </c>
      <c r="CH14" s="105" t="n"/>
      <c r="CI14" s="252">
        <f>IF(BC14="","",Planning!AI7)</f>
        <v/>
      </c>
      <c r="CJ14" s="252">
        <f>IF(BC14="","",Planning!AJ7)</f>
        <v/>
      </c>
      <c r="CK14" s="252">
        <f>IF(BC14="","",Planning!AK7)</f>
        <v/>
      </c>
      <c r="CL14" s="252">
        <f>IF(BC14="","",Planning!AH7)</f>
        <v/>
      </c>
      <c r="CM14" s="21" t="n"/>
    </row>
    <row r="15" ht="12.75" customHeight="1">
      <c r="A15" s="161">
        <f>IFERROR(IF(VLOOKUP($B15,$BC$13:$CL$86,36,FALSE)&gt;5,0,IF(COUNTIF($B$13:$B$63,$B15)&gt;1,0,3)),3)+IF(B15&lt;&gt;0,0,IF(AV15&gt;0,0.000001,0))</f>
        <v/>
      </c>
      <c r="B15" s="52" t="n"/>
      <c r="C15" s="48">
        <f>IFERROR(IF($B15="","",VLOOKUP($B15,Medewerker!$C$8:$AI$107,33,FALSE)),"?")</f>
        <v/>
      </c>
      <c r="D15" s="879">
        <f t="array" ref="D15">IFERROR(IF(LEFT(INDEX($F15:$AQ15,1,SUM(SMALL(IF($F15:$AQ15&lt;&gt;"",COLUMN($F15:$AQ15)),1)-5)),1)="x",SUM(SMALL(IF($F15:$AQ15&lt;&gt;"",$F$11:$AQ$11),1)+"0:15"),SMALL(IF($F15:$AQ15&lt;&gt;"",$F$11:$AQ$11),1)),"")</f>
        <v/>
      </c>
      <c r="E15" s="879">
        <f t="array" ref="E15">IFERROR(IF(LEFT(INDEX($F15:$AQ15,1,SUM(LARGE(IF($F15:$AQ15&lt;&gt;"",COLUMN($F15:$AQ15)),1)-5)),1)="x",SUM(LARGE(IF($F15:$AQ15&lt;&gt;"",$F$11:$AQ$11+"0:30:00"),1)-"0:15"),LARGE(IF($F15:$AQ15&lt;&gt;"",$F$11:$AQ$11+"0:30:00"),1)),"")</f>
        <v/>
      </c>
      <c r="F15" s="40" t="n"/>
      <c r="G15" s="41" t="n"/>
      <c r="H15" s="40" t="n"/>
      <c r="I15" s="41" t="n"/>
      <c r="J15" s="40" t="n"/>
      <c r="K15" s="42" t="n"/>
      <c r="L15" s="43" t="n"/>
      <c r="M15" s="41" t="n"/>
      <c r="N15" s="40" t="n"/>
      <c r="O15" s="42" t="n"/>
      <c r="P15" s="43" t="n"/>
      <c r="Q15" s="41" t="n"/>
      <c r="R15" s="40" t="n"/>
      <c r="S15" s="42" t="n"/>
      <c r="T15" s="43" t="n"/>
      <c r="U15" s="41" t="n"/>
      <c r="V15" s="41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41" t="n"/>
      <c r="AH15" s="41" t="n"/>
      <c r="AI15" s="41" t="n"/>
      <c r="AJ15" s="41" t="n"/>
      <c r="AK15" s="41" t="n"/>
      <c r="AL15" s="41" t="n"/>
      <c r="AM15" s="41" t="n"/>
      <c r="AN15" s="645" t="n"/>
      <c r="AO15" s="42" t="n"/>
      <c r="AP15" s="40" t="n"/>
      <c r="AQ15" s="41" t="n"/>
      <c r="AR15" s="888">
        <f>IFERROR(IF(VLOOKUP($B15,Medewerker!$C$8:$Y$107,23,FALSE)="",VLOOKUP($B15,Medewerker!$C$8:$Y$107,21,FALSE),0),0)</f>
        <v/>
      </c>
      <c r="AS15" s="889">
        <f>IFERROR(IF(B15="",1,IF(VLOOKUP($B15,Medewerker!$C$8:$Y$107,23,FALSE)="",VLOOKUP($B15,Medewerker!$C$8:$Y$107,22,FALSE),0)),0)</f>
        <v/>
      </c>
      <c r="AT15" s="30" t="n"/>
      <c r="AU15" s="30">
        <f>(COUNTIF(F15:AQ15,"afw"))/2</f>
        <v/>
      </c>
      <c r="AV15" s="111">
        <f>((38-(COUNTIF(F15:AQ15,"")))/2)-(COUNTIF(F15:AQ15,"p")/2)-(COUNTIF(F15:AQ15,CONCATENATE("x","*"))/4)</f>
        <v/>
      </c>
      <c r="AW15" s="73">
        <f>IF($B15="","",VLOOKUP($B15,Medewerker!$C$8:$E$107,3,FALSE))</f>
        <v/>
      </c>
      <c r="AX15" s="403">
        <f>IFERROR(VLOOKUP($B15,Planning!$B$6:$AG$105,32,FALSE)*24,"")</f>
        <v/>
      </c>
      <c r="AY15" s="406" t="inlineStr">
        <is>
          <t>dv</t>
        </is>
      </c>
      <c r="AZ15" s="166" t="inlineStr">
        <is>
          <t>Diepvries vullen</t>
        </is>
      </c>
      <c r="BA15" s="111">
        <f>COUNTIF($F$13:$AQ$63,CONCATENATE(AY15,"*"))/2+COUNTIF($F$13:$AQ$63,CONCATENATE("x",AY15,"*"))/4</f>
        <v/>
      </c>
      <c r="BB15" s="838" t="n"/>
      <c r="BC15" s="31">
        <f>IF(Planning!B8="","",Planning!B8)</f>
        <v/>
      </c>
      <c r="BD15" s="105" t="n"/>
      <c r="BE15" s="885">
        <f>Planning!E8</f>
        <v/>
      </c>
      <c r="BF15" s="885">
        <f>Planning!F8</f>
        <v/>
      </c>
      <c r="BG15" s="886" t="n"/>
      <c r="BH15" s="105" t="n"/>
      <c r="BI15" s="885">
        <f>Planning!I8</f>
        <v/>
      </c>
      <c r="BJ15" s="885">
        <f>Planning!J8</f>
        <v/>
      </c>
      <c r="BK15" s="886" t="n"/>
      <c r="BL15" s="105" t="n"/>
      <c r="BM15" s="885">
        <f>Planning!M8</f>
        <v/>
      </c>
      <c r="BN15" s="885">
        <f>Planning!N8</f>
        <v/>
      </c>
      <c r="BO15" s="886" t="n"/>
      <c r="BP15" s="105" t="n"/>
      <c r="BQ15" s="885">
        <f>Planning!Q8</f>
        <v/>
      </c>
      <c r="BR15" s="885">
        <f>Planning!R8</f>
        <v/>
      </c>
      <c r="BS15" s="886" t="n"/>
      <c r="BT15" s="105" t="n"/>
      <c r="BU15" s="885">
        <f>Planning!U8</f>
        <v/>
      </c>
      <c r="BV15" s="885">
        <f>Planning!V8</f>
        <v/>
      </c>
      <c r="BW15" s="886" t="n"/>
      <c r="BX15" s="105" t="n"/>
      <c r="BY15" s="885">
        <f>Planning!Y8</f>
        <v/>
      </c>
      <c r="BZ15" s="885">
        <f>Planning!Z8</f>
        <v/>
      </c>
      <c r="CA15" s="886" t="n"/>
      <c r="CB15" s="105" t="n"/>
      <c r="CC15" s="885">
        <f>Planning!AC8</f>
        <v/>
      </c>
      <c r="CD15" s="885">
        <f>Planning!AD8</f>
        <v/>
      </c>
      <c r="CE15" s="886" t="n"/>
      <c r="CF15" s="105" t="n"/>
      <c r="CG15" s="887">
        <f>Planning!AG8</f>
        <v/>
      </c>
      <c r="CH15" s="105" t="n"/>
      <c r="CI15" s="252">
        <f>IF(BC15="","",Planning!AI8)</f>
        <v/>
      </c>
      <c r="CJ15" s="252">
        <f>IF(BC15="","",Planning!AJ8)</f>
        <v/>
      </c>
      <c r="CK15" s="252">
        <f>IF(BC15="","",Planning!AK8)</f>
        <v/>
      </c>
      <c r="CL15" s="252">
        <f>IF(BC15="","",Planning!AH8)</f>
        <v/>
      </c>
      <c r="CM15" s="21" t="n"/>
    </row>
    <row r="16" ht="12.75" customHeight="1">
      <c r="A16" s="161">
        <f>IFERROR(IF(VLOOKUP($B16,$BC$13:$CL$86,36,FALSE)&gt;5,0,IF(COUNTIF($B$13:$B$63,$B16)&gt;1,0,4)),4)+IF(B16&lt;&gt;0,0,IF(AV16&gt;0,0.000001,0))</f>
        <v/>
      </c>
      <c r="B16" s="52" t="n"/>
      <c r="C16" s="48">
        <f>IFERROR(IF($B16="","",VLOOKUP($B16,Medewerker!$C$8:$AI$107,33,FALSE)),"?")</f>
        <v/>
      </c>
      <c r="D16" s="879">
        <f t="array" ref="D16">IFERROR(IF(LEFT(INDEX($F16:$AQ16,1,SUM(SMALL(IF($F16:$AQ16&lt;&gt;"",COLUMN($F16:$AQ16)),1)-5)),1)="x",SUM(SMALL(IF($F16:$AQ16&lt;&gt;"",$F$11:$AQ$11),1)+"0:15"),SMALL(IF($F16:$AQ16&lt;&gt;"",$F$11:$AQ$11),1)),"")</f>
        <v/>
      </c>
      <c r="E16" s="879">
        <f t="array" ref="E16">IFERROR(IF(LEFT(INDEX($F16:$AQ16,1,SUM(LARGE(IF($F16:$AQ16&lt;&gt;"",COLUMN($F16:$AQ16)),1)-5)),1)="x",SUM(LARGE(IF($F16:$AQ16&lt;&gt;"",$F$11:$AQ$11+"0:30:00"),1)-"0:15"),LARGE(IF($F16:$AQ16&lt;&gt;"",$F$11:$AQ$11+"0:30:00"),1)),"")</f>
        <v/>
      </c>
      <c r="F16" s="40" t="n"/>
      <c r="G16" s="41" t="n"/>
      <c r="H16" s="40" t="n"/>
      <c r="I16" s="41" t="n"/>
      <c r="J16" s="40" t="n"/>
      <c r="K16" s="42" t="n"/>
      <c r="L16" s="43" t="n"/>
      <c r="M16" s="41" t="n"/>
      <c r="N16" s="40" t="n"/>
      <c r="O16" s="42" t="n"/>
      <c r="P16" s="43" t="n"/>
      <c r="Q16" s="41" t="n"/>
      <c r="R16" s="40" t="n"/>
      <c r="S16" s="42" t="n"/>
      <c r="T16" s="43" t="n"/>
      <c r="U16" s="41" t="n"/>
      <c r="V16" s="40" t="n"/>
      <c r="W16" s="42" t="n"/>
      <c r="X16" s="43" t="n"/>
      <c r="Y16" s="41" t="n"/>
      <c r="Z16" s="40" t="n"/>
      <c r="AA16" s="42" t="n"/>
      <c r="AB16" s="43" t="n"/>
      <c r="AC16" s="41" t="n"/>
      <c r="AD16" s="40" t="n"/>
      <c r="AE16" s="42" t="n"/>
      <c r="AF16" s="43" t="n"/>
      <c r="AG16" s="41" t="n"/>
      <c r="AH16" s="40" t="n"/>
      <c r="AI16" s="42" t="n"/>
      <c r="AJ16" s="43" t="n"/>
      <c r="AK16" s="41" t="n"/>
      <c r="AL16" s="40" t="n"/>
      <c r="AM16" s="41" t="n"/>
      <c r="AN16" s="645" t="n"/>
      <c r="AO16" s="42" t="n"/>
      <c r="AP16" s="40" t="n"/>
      <c r="AQ16" s="41" t="n"/>
      <c r="AR16" s="888">
        <f>IFERROR(IF(VLOOKUP($B16,Medewerker!$C$8:$Y$107,23,FALSE)="",VLOOKUP($B16,Medewerker!$C$8:$Y$107,21,FALSE),0),0)</f>
        <v/>
      </c>
      <c r="AS16" s="889">
        <f>IFERROR(IF(B16="",1,IF(VLOOKUP($B16,Medewerker!$C$8:$Y$107,23,FALSE)="",VLOOKUP($B16,Medewerker!$C$8:$Y$107,22,FALSE),0)),0)</f>
        <v/>
      </c>
      <c r="AT16" s="30" t="n"/>
      <c r="AU16" s="30">
        <f>(COUNTIF(F16:AQ16,"afw"))/2</f>
        <v/>
      </c>
      <c r="AV16" s="111">
        <f>((38-(COUNTIF(F16:AQ16,"")))/2)-(COUNTIF(F16:AQ16,"p")/2)-(COUNTIF(F16:AQ16,CONCATENATE("x","*"))/4)</f>
        <v/>
      </c>
      <c r="AW16" s="73">
        <f>IF($B16="","",VLOOKUP($B16,Medewerker!$C$8:$E$107,3,FALSE))</f>
        <v/>
      </c>
      <c r="AX16" s="403">
        <f>IFERROR(VLOOKUP($B16,Planning!$B$6:$AG$105,32,FALSE)*24,"")</f>
        <v/>
      </c>
      <c r="AY16" s="406" t="inlineStr">
        <is>
          <t>vv</t>
        </is>
      </c>
      <c r="AZ16" s="166" t="inlineStr">
        <is>
          <t>Vers vullen</t>
        </is>
      </c>
      <c r="BA16" s="111">
        <f>COUNTIF($F$13:$AQ$63,CONCATENATE(AY16,"*"))/2+COUNTIF($F$13:$AQ$63,CONCATENATE("x",AY16,"*"))/4</f>
        <v/>
      </c>
      <c r="BB16" s="838" t="n"/>
      <c r="BC16" s="31">
        <f>IF(Planning!B9="","",Planning!B9)</f>
        <v/>
      </c>
      <c r="BD16" s="105" t="n"/>
      <c r="BE16" s="885">
        <f>Planning!E9</f>
        <v/>
      </c>
      <c r="BF16" s="885">
        <f>Planning!F9</f>
        <v/>
      </c>
      <c r="BG16" s="886" t="n"/>
      <c r="BH16" s="105" t="n"/>
      <c r="BI16" s="885">
        <f>Planning!I9</f>
        <v/>
      </c>
      <c r="BJ16" s="885">
        <f>Planning!J9</f>
        <v/>
      </c>
      <c r="BK16" s="886" t="n"/>
      <c r="BL16" s="105" t="n"/>
      <c r="BM16" s="885">
        <f>Planning!M9</f>
        <v/>
      </c>
      <c r="BN16" s="885">
        <f>Planning!N9</f>
        <v/>
      </c>
      <c r="BO16" s="886" t="n"/>
      <c r="BP16" s="105" t="n"/>
      <c r="BQ16" s="885">
        <f>Planning!Q9</f>
        <v/>
      </c>
      <c r="BR16" s="885">
        <f>Planning!R9</f>
        <v/>
      </c>
      <c r="BS16" s="886" t="n"/>
      <c r="BT16" s="105" t="n"/>
      <c r="BU16" s="885">
        <f>Planning!U9</f>
        <v/>
      </c>
      <c r="BV16" s="885">
        <f>Planning!V9</f>
        <v/>
      </c>
      <c r="BW16" s="886" t="n"/>
      <c r="BX16" s="105" t="n"/>
      <c r="BY16" s="885">
        <f>Planning!Y9</f>
        <v/>
      </c>
      <c r="BZ16" s="885">
        <f>Planning!Z9</f>
        <v/>
      </c>
      <c r="CA16" s="886" t="n"/>
      <c r="CB16" s="105" t="n"/>
      <c r="CC16" s="885">
        <f>Planning!AC9</f>
        <v/>
      </c>
      <c r="CD16" s="885">
        <f>Planning!AD9</f>
        <v/>
      </c>
      <c r="CE16" s="886" t="n"/>
      <c r="CF16" s="105" t="n"/>
      <c r="CG16" s="887">
        <f>Planning!AG9</f>
        <v/>
      </c>
      <c r="CH16" s="105" t="n"/>
      <c r="CI16" s="252">
        <f>IF(BC16="","",Planning!AI9)</f>
        <v/>
      </c>
      <c r="CJ16" s="252">
        <f>IF(BC16="","",Planning!AJ9)</f>
        <v/>
      </c>
      <c r="CK16" s="252">
        <f>IF(BC16="","",Planning!AK9)</f>
        <v/>
      </c>
      <c r="CL16" s="252">
        <f>IF(BC16="","",Planning!AH9)</f>
        <v/>
      </c>
      <c r="CM16" s="21" t="n"/>
    </row>
    <row r="17" ht="12.75" customHeight="1">
      <c r="A17" s="161">
        <f>IFERROR(IF(VLOOKUP($B17,$BC$13:$CL$86,36,FALSE)&gt;5,0,IF(COUNTIF($B$13:$B$63,$B17)&gt;1,0,5)),5)+IF(B17&lt;&gt;0,0,IF(AV17&gt;0,0.000001,0))</f>
        <v/>
      </c>
      <c r="B17" s="52" t="inlineStr">
        <is>
          <t>Nermeen Mamlouk</t>
        </is>
      </c>
      <c r="C17" s="48">
        <f>IFERROR(IF($B17="","",VLOOKUP($B17,Medewerker!$C$8:$AI$107,33,FALSE)),"?")</f>
        <v/>
      </c>
      <c r="D17" s="879">
        <f t="array" ref="D17">IFERROR(IF(LEFT(INDEX($F17:$AQ17,1,SUM(SMALL(IF($F17:$AQ17&lt;&gt;"",COLUMN($F17:$AQ17)),1)-5)),1)="x",SUM(SMALL(IF($F17:$AQ17&lt;&gt;"",$F$11:$AQ$11),1)+"0:15"),SMALL(IF($F17:$AQ17&lt;&gt;"",$F$11:$AQ$11),1)),"")</f>
        <v/>
      </c>
      <c r="E17" s="879">
        <f t="array" ref="E17">IFERROR(IF(LEFT(INDEX($F17:$AQ17,1,SUM(LARGE(IF($F17:$AQ17&lt;&gt;"",COLUMN($F17:$AQ17)),1)-5)),1)="x",SUM(LARGE(IF($F17:$AQ17&lt;&gt;"",$F$11:$AQ$11+"0:30:00"),1)-"0:15"),LARGE(IF($F17:$AQ17&lt;&gt;"",$F$11:$AQ$11+"0:30:00"),1)),"")</f>
        <v/>
      </c>
      <c r="F17" s="40" t="n"/>
      <c r="G17" s="41" t="n"/>
      <c r="H17" s="40" t="inlineStr">
        <is>
          <t>cb</t>
        </is>
      </c>
      <c r="I17" s="41" t="inlineStr">
        <is>
          <t>cb</t>
        </is>
      </c>
      <c r="J17" s="40" t="inlineStr">
        <is>
          <t>cb</t>
        </is>
      </c>
      <c r="K17" s="42" t="inlineStr">
        <is>
          <t>cb</t>
        </is>
      </c>
      <c r="L17" s="43" t="inlineStr">
        <is>
          <t>cb</t>
        </is>
      </c>
      <c r="M17" s="41" t="inlineStr">
        <is>
          <t>cb</t>
        </is>
      </c>
      <c r="N17" s="40" t="inlineStr">
        <is>
          <t>cb</t>
        </is>
      </c>
      <c r="O17" s="42" t="inlineStr">
        <is>
          <t>cb</t>
        </is>
      </c>
      <c r="P17" s="43" t="inlineStr">
        <is>
          <t>p</t>
        </is>
      </c>
      <c r="Q17" s="41" t="inlineStr">
        <is>
          <t>hv</t>
        </is>
      </c>
      <c r="R17" s="40" t="inlineStr">
        <is>
          <t>hv</t>
        </is>
      </c>
      <c r="S17" s="42" t="inlineStr">
        <is>
          <t>hv</t>
        </is>
      </c>
      <c r="T17" s="43" t="inlineStr">
        <is>
          <t>hv</t>
        </is>
      </c>
      <c r="U17" s="41" t="n"/>
      <c r="V17" s="40" t="n"/>
      <c r="W17" s="42" t="n"/>
      <c r="X17" s="43" t="n"/>
      <c r="Y17" s="41" t="n"/>
      <c r="Z17" s="40" t="n"/>
      <c r="AA17" s="42" t="n"/>
      <c r="AB17" s="43" t="n"/>
      <c r="AC17" s="41" t="n"/>
      <c r="AD17" s="40" t="n"/>
      <c r="AE17" s="42" t="n"/>
      <c r="AF17" s="43" t="n"/>
      <c r="AG17" s="41" t="n"/>
      <c r="AH17" s="40" t="n"/>
      <c r="AI17" s="42" t="n"/>
      <c r="AJ17" s="43" t="n"/>
      <c r="AK17" s="41" t="n"/>
      <c r="AL17" s="40" t="n"/>
      <c r="AM17" s="41" t="n"/>
      <c r="AN17" s="645" t="n"/>
      <c r="AO17" s="42" t="n"/>
      <c r="AP17" s="40" t="n"/>
      <c r="AQ17" s="41" t="n"/>
      <c r="AR17" s="888">
        <f>IFERROR(IF(VLOOKUP($B17,Medewerker!$C$8:$Y$107,23,FALSE)="",VLOOKUP($B17,Medewerker!$C$8:$Y$107,21,FALSE),0),0)</f>
        <v/>
      </c>
      <c r="AS17" s="889">
        <f>IFERROR(IF(B17="",1,IF(VLOOKUP($B17,Medewerker!$C$8:$Y$107,23,FALSE)="",VLOOKUP($B17,Medewerker!$C$8:$Y$107,22,FALSE),0)),0)</f>
        <v/>
      </c>
      <c r="AT17" s="30" t="n"/>
      <c r="AU17" s="30">
        <f>(COUNTIF(F17:AQ17,"afw"))/2</f>
        <v/>
      </c>
      <c r="AV17" s="111">
        <f>((38-(COUNTIF(F17:AQ17,"")))/2)-(COUNTIF(F17:AQ17,"p")/2)-(COUNTIF(F17:AQ17,CONCATENATE("x","*"))/4)</f>
        <v/>
      </c>
      <c r="AW17" s="73">
        <f>IF($B17="","",VLOOKUP($B17,Medewerker!$C$8:$E$107,3,FALSE))</f>
        <v/>
      </c>
      <c r="AX17" s="403">
        <f>IFERROR(VLOOKUP($B17,Planning!$B$6:$AG$105,32,FALSE)*24,"")</f>
        <v/>
      </c>
      <c r="AY17" s="406" t="inlineStr">
        <is>
          <t>nh</t>
        </is>
      </c>
      <c r="AZ17" s="166" t="inlineStr">
        <is>
          <t>Navulling HB</t>
        </is>
      </c>
      <c r="BA17" s="111">
        <f>COUNTIF($F$13:$AQ$63,CONCATENATE(AY17,"*"))/2+COUNTIF($F$13:$AQ$63,CONCATENATE("x",AY17,"*"))/4</f>
        <v/>
      </c>
      <c r="BB17" s="838" t="n"/>
      <c r="BC17" s="31">
        <f>IF(Planning!B10="","",Planning!B10)</f>
        <v/>
      </c>
      <c r="BD17" s="105" t="n"/>
      <c r="BE17" s="885">
        <f>Planning!E10</f>
        <v/>
      </c>
      <c r="BF17" s="885">
        <f>Planning!F10</f>
        <v/>
      </c>
      <c r="BG17" s="886" t="n"/>
      <c r="BH17" s="105" t="n"/>
      <c r="BI17" s="885">
        <f>Planning!I10</f>
        <v/>
      </c>
      <c r="BJ17" s="885">
        <f>Planning!J10</f>
        <v/>
      </c>
      <c r="BK17" s="886" t="n"/>
      <c r="BL17" s="105" t="n"/>
      <c r="BM17" s="885">
        <f>Planning!M10</f>
        <v/>
      </c>
      <c r="BN17" s="885">
        <f>Planning!N10</f>
        <v/>
      </c>
      <c r="BO17" s="886" t="n"/>
      <c r="BP17" s="105" t="n"/>
      <c r="BQ17" s="885">
        <f>Planning!Q10</f>
        <v/>
      </c>
      <c r="BR17" s="885">
        <f>Planning!R10</f>
        <v/>
      </c>
      <c r="BS17" s="886" t="n"/>
      <c r="BT17" s="105" t="n"/>
      <c r="BU17" s="885">
        <f>Planning!U10</f>
        <v/>
      </c>
      <c r="BV17" s="885">
        <f>Planning!V10</f>
        <v/>
      </c>
      <c r="BW17" s="886" t="n"/>
      <c r="BX17" s="105" t="n"/>
      <c r="BY17" s="885">
        <f>Planning!Y10</f>
        <v/>
      </c>
      <c r="BZ17" s="885">
        <f>Planning!Z10</f>
        <v/>
      </c>
      <c r="CA17" s="886" t="n"/>
      <c r="CB17" s="105" t="n"/>
      <c r="CC17" s="885">
        <f>Planning!AC10</f>
        <v/>
      </c>
      <c r="CD17" s="885">
        <f>Planning!AD10</f>
        <v/>
      </c>
      <c r="CE17" s="886" t="n"/>
      <c r="CF17" s="105" t="n"/>
      <c r="CG17" s="887">
        <f>Planning!AG10</f>
        <v/>
      </c>
      <c r="CH17" s="105" t="n"/>
      <c r="CI17" s="252">
        <f>IF(BC17="","",Planning!AI10)</f>
        <v/>
      </c>
      <c r="CJ17" s="252">
        <f>IF(BC17="","",Planning!AJ10)</f>
        <v/>
      </c>
      <c r="CK17" s="252">
        <f>IF(BC17="","",Planning!AK10)</f>
        <v/>
      </c>
      <c r="CL17" s="252">
        <f>IF(BC17="","",Planning!AH10)</f>
        <v/>
      </c>
      <c r="CM17" s="21" t="n"/>
    </row>
    <row r="18" ht="12.75" customHeight="1">
      <c r="A18" s="161">
        <f>IFERROR(IF(VLOOKUP($B18,$BC$13:$CL$86,36,FALSE)&gt;5,0,IF(COUNTIF($B$13:$B$63,$B18)&gt;1,0,6)),6)+IF(B18&lt;&gt;0,0,IF(AV18&gt;0,0.000001,0))</f>
        <v/>
      </c>
      <c r="B18" s="52" t="n"/>
      <c r="C18" s="48">
        <f>IFERROR(IF($B18="","",VLOOKUP($B18,Medewerker!$C$8:$AI$107,33,FALSE)),"?")</f>
        <v/>
      </c>
      <c r="D18" s="879">
        <f t="array" ref="D18">IFERROR(IF(LEFT(INDEX($F18:$AQ18,1,SUM(SMALL(IF($F18:$AQ18&lt;&gt;"",COLUMN($F18:$AQ18)),1)-5)),1)="x",SUM(SMALL(IF($F18:$AQ18&lt;&gt;"",$F$11:$AQ$11),1)+"0:15"),SMALL(IF($F18:$AQ18&lt;&gt;"",$F$11:$AQ$11),1)),"")</f>
        <v/>
      </c>
      <c r="E18" s="879">
        <f t="array" ref="E18">IFERROR(IF(LEFT(INDEX($F18:$AQ18,1,SUM(LARGE(IF($F18:$AQ18&lt;&gt;"",COLUMN($F18:$AQ18)),1)-5)),1)="x",SUM(LARGE(IF($F18:$AQ18&lt;&gt;"",$F$11:$AQ$11+"0:30:00"),1)-"0:15"),LARGE(IF($F18:$AQ18&lt;&gt;"",$F$11:$AQ$11+"0:30:00"),1)),"")</f>
        <v/>
      </c>
      <c r="F18" s="40" t="n"/>
      <c r="G18" s="41" t="n"/>
      <c r="H18" s="40" t="n"/>
      <c r="I18" s="41" t="n"/>
      <c r="J18" s="40" t="n"/>
      <c r="K18" s="42" t="n"/>
      <c r="L18" s="43" t="n"/>
      <c r="M18" s="41" t="n"/>
      <c r="N18" s="40" t="n"/>
      <c r="O18" s="42" t="n"/>
      <c r="P18" s="43" t="n"/>
      <c r="Q18" s="41" t="n"/>
      <c r="R18" s="40" t="n"/>
      <c r="S18" s="42" t="n"/>
      <c r="T18" s="43" t="n"/>
      <c r="U18" s="41" t="n"/>
      <c r="V18" s="40" t="n"/>
      <c r="W18" s="42" t="n"/>
      <c r="X18" s="43" t="n"/>
      <c r="Y18" s="41" t="n"/>
      <c r="Z18" s="40" t="n"/>
      <c r="AA18" s="42" t="n"/>
      <c r="AB18" s="43" t="n"/>
      <c r="AC18" s="41" t="n"/>
      <c r="AD18" s="40" t="n"/>
      <c r="AE18" s="42" t="n"/>
      <c r="AF18" s="43" t="n"/>
      <c r="AG18" s="41" t="n"/>
      <c r="AH18" s="40" t="n"/>
      <c r="AI18" s="42" t="n"/>
      <c r="AJ18" s="43" t="n"/>
      <c r="AK18" s="41" t="n"/>
      <c r="AL18" s="40" t="n"/>
      <c r="AM18" s="41" t="n"/>
      <c r="AN18" s="645" t="n"/>
      <c r="AO18" s="42" t="n"/>
      <c r="AP18" s="40" t="n"/>
      <c r="AQ18" s="41" t="n"/>
      <c r="AR18" s="888">
        <f>IFERROR(IF(VLOOKUP($B18,Medewerker!$C$8:$Y$107,23,FALSE)="",VLOOKUP($B18,Medewerker!$C$8:$Y$107,21,FALSE),0),0)</f>
        <v/>
      </c>
      <c r="AS18" s="889">
        <f>IFERROR(IF(B18="",1,IF(VLOOKUP($B18,Medewerker!$C$8:$Y$107,23,FALSE)="",VLOOKUP($B18,Medewerker!$C$8:$Y$107,22,FALSE),0)),0)</f>
        <v/>
      </c>
      <c r="AT18" s="30" t="n"/>
      <c r="AU18" s="30">
        <f>(COUNTIF(F18:AQ18,"afw"))/2</f>
        <v/>
      </c>
      <c r="AV18" s="111">
        <f>((38-(COUNTIF(F18:AQ18,"")))/2)-(COUNTIF(F18:AQ18,"p")/2)-(COUNTIF(F18:AQ18,CONCATENATE("x","*"))/4)</f>
        <v/>
      </c>
      <c r="AW18" s="73">
        <f>IF($B18="","",VLOOKUP($B18,Medewerker!$C$8:$E$107,3,FALSE))</f>
        <v/>
      </c>
      <c r="AX18" s="403">
        <f>IFERROR(VLOOKUP($B18,Planning!$B$6:$AG$105,32,FALSE)*24,"")</f>
        <v/>
      </c>
      <c r="AY18" s="406" t="inlineStr">
        <is>
          <t>nd</t>
        </is>
      </c>
      <c r="AZ18" s="166" t="inlineStr">
        <is>
          <t>Navulling DV</t>
        </is>
      </c>
      <c r="BA18" s="111">
        <f>COUNTIF($F$13:$AQ$63,CONCATENATE(AY18,"*"))/2+COUNTIF($F$13:$AQ$63,CONCATENATE("x",AY18,"*"))/4</f>
        <v/>
      </c>
      <c r="BB18" s="838" t="n"/>
      <c r="BC18" s="31">
        <f>IF(Planning!B11="","",Planning!B11)</f>
        <v/>
      </c>
      <c r="BD18" s="105" t="n"/>
      <c r="BE18" s="885">
        <f>Planning!E11</f>
        <v/>
      </c>
      <c r="BF18" s="885">
        <f>Planning!F11</f>
        <v/>
      </c>
      <c r="BG18" s="886" t="n"/>
      <c r="BH18" s="105" t="n"/>
      <c r="BI18" s="885">
        <f>Planning!I11</f>
        <v/>
      </c>
      <c r="BJ18" s="885">
        <f>Planning!J11</f>
        <v/>
      </c>
      <c r="BK18" s="886" t="n"/>
      <c r="BL18" s="105" t="n"/>
      <c r="BM18" s="885">
        <f>Planning!M11</f>
        <v/>
      </c>
      <c r="BN18" s="885">
        <f>Planning!N11</f>
        <v/>
      </c>
      <c r="BO18" s="886" t="n"/>
      <c r="BP18" s="105" t="n"/>
      <c r="BQ18" s="885">
        <f>Planning!Q11</f>
        <v/>
      </c>
      <c r="BR18" s="885">
        <f>Planning!R11</f>
        <v/>
      </c>
      <c r="BS18" s="886" t="n"/>
      <c r="BT18" s="105" t="n"/>
      <c r="BU18" s="885">
        <f>Planning!U11</f>
        <v/>
      </c>
      <c r="BV18" s="885">
        <f>Planning!V11</f>
        <v/>
      </c>
      <c r="BW18" s="886" t="n"/>
      <c r="BX18" s="105" t="n"/>
      <c r="BY18" s="885">
        <f>Planning!Y11</f>
        <v/>
      </c>
      <c r="BZ18" s="885">
        <f>Planning!Z11</f>
        <v/>
      </c>
      <c r="CA18" s="886" t="n"/>
      <c r="CB18" s="105" t="n"/>
      <c r="CC18" s="885">
        <f>Planning!AC11</f>
        <v/>
      </c>
      <c r="CD18" s="885">
        <f>Planning!AD11</f>
        <v/>
      </c>
      <c r="CE18" s="886" t="n"/>
      <c r="CF18" s="105" t="n"/>
      <c r="CG18" s="887">
        <f>Planning!AG11</f>
        <v/>
      </c>
      <c r="CH18" s="105" t="n"/>
      <c r="CI18" s="252">
        <f>IF(BC18="","",Planning!AI11)</f>
        <v/>
      </c>
      <c r="CJ18" s="252">
        <f>IF(BC18="","",Planning!AJ11)</f>
        <v/>
      </c>
      <c r="CK18" s="252">
        <f>IF(BC18="","",Planning!AK11)</f>
        <v/>
      </c>
      <c r="CL18" s="252">
        <f>IF(BC18="","",Planning!AH11)</f>
        <v/>
      </c>
      <c r="CM18" s="21" t="n"/>
    </row>
    <row r="19" ht="12.75" customHeight="1">
      <c r="A19" s="161">
        <f>IFERROR(IF(VLOOKUP($B19,$BC$13:$CL$86,36,FALSE)&gt;5,0,IF(COUNTIF($B$13:$B$63,$B19)&gt;1,0,7)),7)+IF(B19&lt;&gt;0,0,IF(AV19&gt;0,0.000001,0))</f>
        <v/>
      </c>
      <c r="B19" s="52" t="inlineStr">
        <is>
          <t>Nataliia</t>
        </is>
      </c>
      <c r="C19" s="48">
        <f>IFERROR(IF($B19="","",VLOOKUP($B19,Medewerker!$C$8:$AI$107,33,FALSE)),"?")</f>
        <v/>
      </c>
      <c r="D19" s="879">
        <f t="array" ref="D19">IFERROR(IF(LEFT(INDEX($F19:$AQ19,1,SUM(SMALL(IF($F19:$AQ19&lt;&gt;"",COLUMN($F19:$AQ19)),1)-5)),1)="x",SUM(SMALL(IF($F19:$AQ19&lt;&gt;"",$F$11:$AQ$11),1)+"0:15"),SMALL(IF($F19:$AQ19&lt;&gt;"",$F$11:$AQ$11),1)),"")</f>
        <v/>
      </c>
      <c r="E19" s="879">
        <f t="array" ref="E19">IFERROR(IF(LEFT(INDEX($F19:$AQ19,1,SUM(LARGE(IF($F19:$AQ19&lt;&gt;"",COLUMN($F19:$AQ19)),1)-5)),1)="x",SUM(LARGE(IF($F19:$AQ19&lt;&gt;"",$F$11:$AQ$11+"0:30:00"),1)-"0:15"),LARGE(IF($F19:$AQ19&lt;&gt;"",$F$11:$AQ$11+"0:30:00"),1)),"")</f>
        <v/>
      </c>
      <c r="F19" s="40" t="n"/>
      <c r="G19" s="41" t="n"/>
      <c r="H19" s="40" t="inlineStr">
        <is>
          <t>km</t>
        </is>
      </c>
      <c r="I19" s="41" t="inlineStr">
        <is>
          <t>km</t>
        </is>
      </c>
      <c r="J19" s="40" t="inlineStr">
        <is>
          <t>km</t>
        </is>
      </c>
      <c r="K19" s="42" t="inlineStr">
        <is>
          <t>km</t>
        </is>
      </c>
      <c r="L19" s="43" t="inlineStr">
        <is>
          <t>km</t>
        </is>
      </c>
      <c r="M19" s="41" t="inlineStr">
        <is>
          <t>km</t>
        </is>
      </c>
      <c r="N19" s="40" t="inlineStr">
        <is>
          <t>km</t>
        </is>
      </c>
      <c r="O19" s="42" t="inlineStr">
        <is>
          <t>p</t>
        </is>
      </c>
      <c r="P19" s="43" t="inlineStr">
        <is>
          <t>km</t>
        </is>
      </c>
      <c r="Q19" s="41" t="inlineStr">
        <is>
          <t>km</t>
        </is>
      </c>
      <c r="R19" s="40" t="inlineStr">
        <is>
          <t>km</t>
        </is>
      </c>
      <c r="S19" s="42" t="inlineStr">
        <is>
          <t>km</t>
        </is>
      </c>
      <c r="T19" s="43" t="inlineStr">
        <is>
          <t>km</t>
        </is>
      </c>
      <c r="U19" s="41" t="inlineStr">
        <is>
          <t>km</t>
        </is>
      </c>
      <c r="V19" s="40" t="inlineStr">
        <is>
          <t>km</t>
        </is>
      </c>
      <c r="W19" s="42" t="n"/>
      <c r="X19" s="43" t="n"/>
      <c r="Y19" s="41" t="n"/>
      <c r="Z19" s="40" t="n"/>
      <c r="AA19" s="42" t="n"/>
      <c r="AB19" s="43" t="n"/>
      <c r="AC19" s="41" t="n"/>
      <c r="AD19" s="40" t="n"/>
      <c r="AE19" s="42" t="n"/>
      <c r="AF19" s="43" t="n"/>
      <c r="AG19" s="41" t="n"/>
      <c r="AH19" s="40" t="n"/>
      <c r="AI19" s="42" t="n"/>
      <c r="AJ19" s="43" t="n"/>
      <c r="AK19" s="41" t="n"/>
      <c r="AL19" s="40" t="n"/>
      <c r="AM19" s="41" t="n"/>
      <c r="AN19" s="645" t="n"/>
      <c r="AO19" s="42" t="n"/>
      <c r="AP19" s="40" t="n"/>
      <c r="AQ19" s="41" t="n"/>
      <c r="AR19" s="888">
        <f>IFERROR(IF(VLOOKUP($B19,Medewerker!$C$8:$Y$107,23,FALSE)="",VLOOKUP($B19,Medewerker!$C$8:$Y$107,21,FALSE),0),0)</f>
        <v/>
      </c>
      <c r="AS19" s="889">
        <f>IFERROR(IF(B19="",1,IF(VLOOKUP($B19,Medewerker!$C$8:$Y$107,23,FALSE)="",VLOOKUP($B19,Medewerker!$C$8:$Y$107,22,FALSE),0)),0)</f>
        <v/>
      </c>
      <c r="AT19" s="30" t="n"/>
      <c r="AU19" s="30">
        <f>(COUNTIF(F19:AQ19,"afw"))/2</f>
        <v/>
      </c>
      <c r="AV19" s="111">
        <f>((38-(COUNTIF(F19:AQ19,"")))/2)-(COUNTIF(F19:AQ19,"p")/2)-(COUNTIF(F19:AQ19,CONCATENATE("x","*"))/4)</f>
        <v/>
      </c>
      <c r="AW19" s="73">
        <f>IF($B19="","",VLOOKUP($B19,Medewerker!$C$8:$E$107,3,FALSE))</f>
        <v/>
      </c>
      <c r="AX19" s="403">
        <f>IFERROR(VLOOKUP($B19,Planning!$B$6:$AG$105,32,FALSE)*24,"")</f>
        <v/>
      </c>
      <c r="AY19" s="406" t="inlineStr">
        <is>
          <t>nv</t>
        </is>
      </c>
      <c r="AZ19" s="166" t="inlineStr">
        <is>
          <t>Navulling Vers</t>
        </is>
      </c>
      <c r="BA19" s="111">
        <f>COUNTIF($F$13:$AQ$63,CONCATENATE(AY19,"*"))/2+COUNTIF($F$13:$AQ$63,CONCATENATE("x",AY19,"*"))/4</f>
        <v/>
      </c>
      <c r="BB19" s="838" t="n"/>
      <c r="BC19" s="31">
        <f>IF(Planning!B12="","",Planning!B12)</f>
        <v/>
      </c>
      <c r="BD19" s="105" t="n"/>
      <c r="BE19" s="885">
        <f>Planning!E12</f>
        <v/>
      </c>
      <c r="BF19" s="885">
        <f>Planning!F12</f>
        <v/>
      </c>
      <c r="BG19" s="886" t="n"/>
      <c r="BH19" s="105" t="n"/>
      <c r="BI19" s="885">
        <f>Planning!I12</f>
        <v/>
      </c>
      <c r="BJ19" s="885">
        <f>Planning!J12</f>
        <v/>
      </c>
      <c r="BK19" s="886" t="n"/>
      <c r="BL19" s="105" t="n"/>
      <c r="BM19" s="885">
        <f>Planning!M12</f>
        <v/>
      </c>
      <c r="BN19" s="885">
        <f>Planning!N12</f>
        <v/>
      </c>
      <c r="BO19" s="886" t="n"/>
      <c r="BP19" s="105" t="n"/>
      <c r="BQ19" s="885">
        <f>Planning!Q12</f>
        <v/>
      </c>
      <c r="BR19" s="885">
        <f>Planning!R12</f>
        <v/>
      </c>
      <c r="BS19" s="886" t="n"/>
      <c r="BT19" s="105" t="n"/>
      <c r="BU19" s="885">
        <f>Planning!U12</f>
        <v/>
      </c>
      <c r="BV19" s="885">
        <f>Planning!V12</f>
        <v/>
      </c>
      <c r="BW19" s="886" t="n"/>
      <c r="BX19" s="105" t="n"/>
      <c r="BY19" s="885">
        <f>Planning!Y12</f>
        <v/>
      </c>
      <c r="BZ19" s="885">
        <f>Planning!Z12</f>
        <v/>
      </c>
      <c r="CA19" s="886" t="n"/>
      <c r="CB19" s="105" t="n"/>
      <c r="CC19" s="885">
        <f>Planning!AC12</f>
        <v/>
      </c>
      <c r="CD19" s="885">
        <f>Planning!AD12</f>
        <v/>
      </c>
      <c r="CE19" s="886" t="n"/>
      <c r="CF19" s="105" t="n"/>
      <c r="CG19" s="887">
        <f>Planning!AG12</f>
        <v/>
      </c>
      <c r="CH19" s="105" t="n"/>
      <c r="CI19" s="252">
        <f>IF(BC19="","",Planning!AI12)</f>
        <v/>
      </c>
      <c r="CJ19" s="252">
        <f>IF(BC19="","",Planning!AJ12)</f>
        <v/>
      </c>
      <c r="CK19" s="252">
        <f>IF(BC19="","",Planning!AK12)</f>
        <v/>
      </c>
      <c r="CL19" s="252">
        <f>IF(BC19="","",Planning!AH12)</f>
        <v/>
      </c>
      <c r="CM19" s="21" t="n"/>
    </row>
    <row r="20" ht="12.75" customHeight="1">
      <c r="A20" s="161">
        <f>IFERROR(IF(VLOOKUP($B20,$BC$13:$CL$86,36,FALSE)&gt;5,0,IF(COUNTIF($B$13:$B$63,$B20)&gt;1,0,8)),8)+IF(B20&lt;&gt;0,0,IF(AV20&gt;0,0.000001,0))</f>
        <v/>
      </c>
      <c r="B20" s="52" t="n"/>
      <c r="C20" s="48">
        <f>IFERROR(IF($B20="","",VLOOKUP($B20,Medewerker!$C$8:$AI$107,33,FALSE)),"?")</f>
        <v/>
      </c>
      <c r="D20" s="879">
        <f t="array" ref="D20">IFERROR(IF(LEFT(INDEX($F20:$AQ20,1,SUM(SMALL(IF($F20:$AQ20&lt;&gt;"",COLUMN($F20:$AQ20)),1)-5)),1)="x",SUM(SMALL(IF($F20:$AQ20&lt;&gt;"",$F$11:$AQ$11),1)+"0:15"),SMALL(IF($F20:$AQ20&lt;&gt;"",$F$11:$AQ$11),1)),"")</f>
        <v/>
      </c>
      <c r="E20" s="879">
        <f t="array" ref="E20">IFERROR(IF(LEFT(INDEX($F20:$AQ20,1,SUM(LARGE(IF($F20:$AQ20&lt;&gt;"",COLUMN($F20:$AQ20)),1)-5)),1)="x",SUM(LARGE(IF($F20:$AQ20&lt;&gt;"",$F$11:$AQ$11+"0:30:00"),1)-"0:15"),LARGE(IF($F20:$AQ20&lt;&gt;"",$F$11:$AQ$11+"0:30:00"),1)),"")</f>
        <v/>
      </c>
      <c r="F20" s="40" t="n"/>
      <c r="G20" s="41" t="n"/>
      <c r="H20" s="40" t="n"/>
      <c r="I20" s="41" t="n"/>
      <c r="J20" s="40" t="n"/>
      <c r="K20" s="42" t="n"/>
      <c r="L20" s="43" t="n"/>
      <c r="M20" s="41" t="n"/>
      <c r="N20" s="40" t="n"/>
      <c r="O20" s="42" t="n"/>
      <c r="P20" s="43" t="n"/>
      <c r="Q20" s="41" t="n"/>
      <c r="R20" s="40" t="n"/>
      <c r="S20" s="42" t="n"/>
      <c r="T20" s="43" t="n"/>
      <c r="U20" s="41" t="n"/>
      <c r="V20" s="40" t="n"/>
      <c r="W20" s="42" t="n"/>
      <c r="X20" s="43" t="n"/>
      <c r="Y20" s="41" t="n"/>
      <c r="Z20" s="40" t="n"/>
      <c r="AA20" s="42" t="n"/>
      <c r="AB20" s="43" t="n"/>
      <c r="AC20" s="41" t="n"/>
      <c r="AD20" s="40" t="n"/>
      <c r="AE20" s="42" t="n"/>
      <c r="AF20" s="43" t="n"/>
      <c r="AG20" s="41" t="n"/>
      <c r="AH20" s="40" t="n"/>
      <c r="AI20" s="42" t="n"/>
      <c r="AJ20" s="43" t="n"/>
      <c r="AK20" s="41" t="n"/>
      <c r="AL20" s="40" t="n"/>
      <c r="AM20" s="41" t="n"/>
      <c r="AN20" s="645" t="n"/>
      <c r="AO20" s="42" t="n"/>
      <c r="AP20" s="40" t="n"/>
      <c r="AQ20" s="41" t="n"/>
      <c r="AR20" s="888">
        <f>IFERROR(IF(VLOOKUP($B20,Medewerker!$C$8:$Y$107,23,FALSE)="",VLOOKUP($B20,Medewerker!$C$8:$Y$107,21,FALSE),0),0)</f>
        <v/>
      </c>
      <c r="AS20" s="889">
        <f>IFERROR(IF(B20="",1,IF(VLOOKUP($B20,Medewerker!$C$8:$Y$107,23,FALSE)="",VLOOKUP($B20,Medewerker!$C$8:$Y$107,22,FALSE),0)),0)</f>
        <v/>
      </c>
      <c r="AT20" s="30" t="n"/>
      <c r="AU20" s="30">
        <f>(COUNTIF(F20:AQ20,"afw"))/2</f>
        <v/>
      </c>
      <c r="AV20" s="111">
        <f>((38-(COUNTIF(F20:AQ20,"")))/2)-(COUNTIF(F20:AQ20,"p")/2)-(COUNTIF(F20:AQ20,CONCATENATE("x","*"))/4)</f>
        <v/>
      </c>
      <c r="AW20" s="73">
        <f>IF($B20="","",VLOOKUP($B20,Medewerker!$C$8:$E$107,3,FALSE))</f>
        <v/>
      </c>
      <c r="AX20" s="403">
        <f>IFERROR(VLOOKUP($B20,Planning!$B$6:$AG$105,32,FALSE)*24,"")</f>
        <v/>
      </c>
      <c r="AY20" s="406" t="inlineStr">
        <is>
          <t>rh</t>
        </is>
      </c>
      <c r="AZ20" s="166" t="inlineStr">
        <is>
          <t>Restant HB</t>
        </is>
      </c>
      <c r="BA20" s="111">
        <f>COUNTIF($F$13:$AQ$63,CONCATENATE(AY20,"*"))/2+COUNTIF($F$13:$AQ$63,CONCATENATE("x",AY20,"*"))/4</f>
        <v/>
      </c>
      <c r="BB20" s="838" t="n"/>
      <c r="BC20" s="31">
        <f>IF(Planning!B13="","",Planning!B13)</f>
        <v/>
      </c>
      <c r="BD20" s="105" t="n"/>
      <c r="BE20" s="885">
        <f>Planning!E13</f>
        <v/>
      </c>
      <c r="BF20" s="885">
        <f>Planning!F13</f>
        <v/>
      </c>
      <c r="BG20" s="886" t="n"/>
      <c r="BH20" s="105" t="n"/>
      <c r="BI20" s="885">
        <f>Planning!I13</f>
        <v/>
      </c>
      <c r="BJ20" s="885">
        <f>Planning!J13</f>
        <v/>
      </c>
      <c r="BK20" s="886" t="n"/>
      <c r="BL20" s="105" t="n"/>
      <c r="BM20" s="885">
        <f>Planning!M13</f>
        <v/>
      </c>
      <c r="BN20" s="885">
        <f>Planning!N13</f>
        <v/>
      </c>
      <c r="BO20" s="886" t="n"/>
      <c r="BP20" s="105" t="n"/>
      <c r="BQ20" s="885">
        <f>Planning!Q13</f>
        <v/>
      </c>
      <c r="BR20" s="885">
        <f>Planning!R13</f>
        <v/>
      </c>
      <c r="BS20" s="886" t="n"/>
      <c r="BT20" s="105" t="n"/>
      <c r="BU20" s="885">
        <f>Planning!U13</f>
        <v/>
      </c>
      <c r="BV20" s="885">
        <f>Planning!V13</f>
        <v/>
      </c>
      <c r="BW20" s="886" t="n"/>
      <c r="BX20" s="105" t="n"/>
      <c r="BY20" s="885">
        <f>Planning!Y13</f>
        <v/>
      </c>
      <c r="BZ20" s="885">
        <f>Planning!Z13</f>
        <v/>
      </c>
      <c r="CA20" s="886" t="n"/>
      <c r="CB20" s="105" t="n"/>
      <c r="CC20" s="885">
        <f>Planning!AC13</f>
        <v/>
      </c>
      <c r="CD20" s="885">
        <f>Planning!AD13</f>
        <v/>
      </c>
      <c r="CE20" s="886" t="n"/>
      <c r="CF20" s="105" t="n"/>
      <c r="CG20" s="887">
        <f>Planning!AG13</f>
        <v/>
      </c>
      <c r="CH20" s="105" t="n"/>
      <c r="CI20" s="252">
        <f>IF(BC20="","",Planning!AI13)</f>
        <v/>
      </c>
      <c r="CJ20" s="252">
        <f>IF(BC20="","",Planning!AJ13)</f>
        <v/>
      </c>
      <c r="CK20" s="252">
        <f>IF(BC20="","",Planning!AK13)</f>
        <v/>
      </c>
      <c r="CL20" s="252">
        <f>IF(BC20="","",Planning!AH13)</f>
        <v/>
      </c>
      <c r="CM20" s="21" t="n"/>
    </row>
    <row r="21" ht="12.75" customHeight="1">
      <c r="A21" s="161">
        <f>IFERROR(IF(VLOOKUP($B21,$BC$13:$CL$86,36,FALSE)&gt;5,0,IF(COUNTIF($B$13:$B$63,$B21)&gt;1,0,9)),9)+IF(B21&lt;&gt;0,0,IF(AV21&gt;0,0.000001,0))</f>
        <v/>
      </c>
      <c r="B21" s="52" t="inlineStr">
        <is>
          <t>Mina</t>
        </is>
      </c>
      <c r="C21" s="48">
        <f>IFERROR(IF($B21="","",VLOOKUP($B21,Medewerker!$C$8:$AI$107,33,FALSE)),"?")</f>
        <v/>
      </c>
      <c r="D21" s="879">
        <f t="array" ref="D21">IFERROR(IF(LEFT(INDEX($F21:$AQ21,1,SUM(SMALL(IF($F21:$AQ21&lt;&gt;"",COLUMN($F21:$AQ21)),1)-5)),1)="x",SUM(SMALL(IF($F21:$AQ21&lt;&gt;"",$F$11:$AQ$11),1)+"0:15"),SMALL(IF($F21:$AQ21&lt;&gt;"",$F$11:$AQ$11),1)),"")</f>
        <v/>
      </c>
      <c r="E21" s="879">
        <f t="array" ref="E21">IFERROR(IF(LEFT(INDEX($F21:$AQ21,1,SUM(LARGE(IF($F21:$AQ21&lt;&gt;"",COLUMN($F21:$AQ21)),1)-5)),1)="x",SUM(LARGE(IF($F21:$AQ21&lt;&gt;"",$F$11:$AQ$11+"0:30:00"),1)-"0:15"),LARGE(IF($F21:$AQ21&lt;&gt;"",$F$11:$AQ$11+"0:30:00"),1)),"")</f>
        <v/>
      </c>
      <c r="F21" s="40" t="n"/>
      <c r="G21" s="41" t="n"/>
      <c r="H21" s="40" t="n"/>
      <c r="I21" s="41" t="n"/>
      <c r="J21" s="40" t="n"/>
      <c r="K21" s="42" t="n"/>
      <c r="L21" s="43" t="inlineStr">
        <is>
          <t>vv</t>
        </is>
      </c>
      <c r="M21" s="43" t="inlineStr">
        <is>
          <t>vv</t>
        </is>
      </c>
      <c r="N21" s="43" t="inlineStr">
        <is>
          <t>vv</t>
        </is>
      </c>
      <c r="O21" s="43" t="inlineStr">
        <is>
          <t>vv</t>
        </is>
      </c>
      <c r="P21" s="43" t="inlineStr">
        <is>
          <t>hv</t>
        </is>
      </c>
      <c r="Q21" s="41" t="inlineStr">
        <is>
          <t>hv</t>
        </is>
      </c>
      <c r="R21" s="40" t="inlineStr">
        <is>
          <t>hv</t>
        </is>
      </c>
      <c r="S21" s="42" t="inlineStr">
        <is>
          <t>hv</t>
        </is>
      </c>
      <c r="T21" s="43" t="inlineStr">
        <is>
          <t>hv</t>
        </is>
      </c>
      <c r="U21" s="41" t="inlineStr">
        <is>
          <t>p</t>
        </is>
      </c>
      <c r="V21" s="40" t="inlineStr">
        <is>
          <t>hv</t>
        </is>
      </c>
      <c r="W21" s="42" t="inlineStr">
        <is>
          <t>hv</t>
        </is>
      </c>
      <c r="X21" s="43" t="inlineStr">
        <is>
          <t>hv</t>
        </is>
      </c>
      <c r="Y21" s="41" t="inlineStr">
        <is>
          <t>hv</t>
        </is>
      </c>
      <c r="Z21" s="40" t="inlineStr">
        <is>
          <t>hv</t>
        </is>
      </c>
      <c r="AA21" s="40" t="inlineStr">
        <is>
          <t>hv</t>
        </is>
      </c>
      <c r="AB21" s="40" t="n"/>
      <c r="AC21" s="40" t="n"/>
      <c r="AD21" s="40" t="n"/>
      <c r="AE21" s="40" t="n"/>
      <c r="AF21" s="43" t="n"/>
      <c r="AG21" s="41" t="n"/>
      <c r="AH21" s="40" t="n"/>
      <c r="AI21" s="42" t="n"/>
      <c r="AJ21" s="43" t="n"/>
      <c r="AK21" s="41" t="n"/>
      <c r="AL21" s="40" t="n"/>
      <c r="AM21" s="41" t="n"/>
      <c r="AN21" s="645" t="n"/>
      <c r="AO21" s="42" t="n"/>
      <c r="AP21" s="40" t="n"/>
      <c r="AQ21" s="41" t="n"/>
      <c r="AR21" s="888">
        <f>IFERROR(IF(VLOOKUP($B21,Medewerker!$C$8:$Y$107,23,FALSE)="",VLOOKUP($B21,Medewerker!$C$8:$Y$107,21,FALSE),0),0)</f>
        <v/>
      </c>
      <c r="AS21" s="889">
        <f>IFERROR(IF(B21="",1,IF(VLOOKUP($B21,Medewerker!$C$8:$Y$107,23,FALSE)="",VLOOKUP($B21,Medewerker!$C$8:$Y$107,22,FALSE),0)),0)</f>
        <v/>
      </c>
      <c r="AT21" s="30" t="n"/>
      <c r="AU21" s="30">
        <f>(COUNTIF(F21:AQ21,"afw"))/2</f>
        <v/>
      </c>
      <c r="AV21" s="111">
        <f>((38-(COUNTIF(F21:AQ21,"")))/2)-(COUNTIF(F21:AQ21,"p")/2)-(COUNTIF(F21:AQ21,CONCATENATE("x","*"))/4)</f>
        <v/>
      </c>
      <c r="AW21" s="73">
        <f>IF($B21="","",VLOOKUP($B21,Medewerker!$C$8:$E$107,3,FALSE))</f>
        <v/>
      </c>
      <c r="AX21" s="403">
        <f>IFERROR(VLOOKUP($B21,Planning!$B$6:$AG$105,32,FALSE)*24,"")</f>
        <v/>
      </c>
      <c r="AY21" s="406" t="inlineStr">
        <is>
          <t>rd</t>
        </is>
      </c>
      <c r="AZ21" s="166" t="inlineStr">
        <is>
          <t>Restant DV</t>
        </is>
      </c>
      <c r="BA21" s="111">
        <f>COUNTIF($F$13:$AQ$63,CONCATENATE(AY21,"*"))/2+COUNTIF($F$13:$AQ$63,CONCATENATE("x",AY21,"*"))/4</f>
        <v/>
      </c>
      <c r="BB21" s="838" t="n"/>
      <c r="BC21" s="31">
        <f>IF(Planning!B14="","",Planning!B14)</f>
        <v/>
      </c>
      <c r="BD21" s="105" t="n"/>
      <c r="BE21" s="885">
        <f>Planning!E14</f>
        <v/>
      </c>
      <c r="BF21" s="885">
        <f>Planning!F14</f>
        <v/>
      </c>
      <c r="BG21" s="886" t="n"/>
      <c r="BH21" s="105" t="n"/>
      <c r="BI21" s="885">
        <f>Planning!I14</f>
        <v/>
      </c>
      <c r="BJ21" s="885">
        <f>Planning!J14</f>
        <v/>
      </c>
      <c r="BK21" s="886" t="n"/>
      <c r="BL21" s="105" t="n"/>
      <c r="BM21" s="885">
        <f>Planning!M14</f>
        <v/>
      </c>
      <c r="BN21" s="885">
        <f>Planning!N14</f>
        <v/>
      </c>
      <c r="BO21" s="886" t="n"/>
      <c r="BP21" s="105" t="n"/>
      <c r="BQ21" s="885">
        <f>Planning!Q14</f>
        <v/>
      </c>
      <c r="BR21" s="885">
        <f>Planning!R14</f>
        <v/>
      </c>
      <c r="BS21" s="886" t="n"/>
      <c r="BT21" s="105" t="n"/>
      <c r="BU21" s="885">
        <f>Planning!U14</f>
        <v/>
      </c>
      <c r="BV21" s="885">
        <f>Planning!V14</f>
        <v/>
      </c>
      <c r="BW21" s="886" t="n"/>
      <c r="BX21" s="105" t="n"/>
      <c r="BY21" s="885">
        <f>Planning!Y14</f>
        <v/>
      </c>
      <c r="BZ21" s="885">
        <f>Planning!Z14</f>
        <v/>
      </c>
      <c r="CA21" s="886" t="n"/>
      <c r="CB21" s="105" t="n"/>
      <c r="CC21" s="885">
        <f>Planning!AC14</f>
        <v/>
      </c>
      <c r="CD21" s="885">
        <f>Planning!AD14</f>
        <v/>
      </c>
      <c r="CE21" s="886" t="n"/>
      <c r="CF21" s="105" t="n"/>
      <c r="CG21" s="887">
        <f>Planning!AG14</f>
        <v/>
      </c>
      <c r="CH21" s="105" t="n"/>
      <c r="CI21" s="252">
        <f>IF(BC21="","",Planning!AI14)</f>
        <v/>
      </c>
      <c r="CJ21" s="252">
        <f>IF(BC21="","",Planning!AJ14)</f>
        <v/>
      </c>
      <c r="CK21" s="252">
        <f>IF(BC21="","",Planning!AK14)</f>
        <v/>
      </c>
      <c r="CL21" s="252">
        <f>IF(BC21="","",Planning!AH14)</f>
        <v/>
      </c>
      <c r="CM21" s="34" t="n"/>
    </row>
    <row r="22" ht="12.75" customHeight="1">
      <c r="A22" s="161">
        <f>IFERROR(IF(VLOOKUP($B22,$BC$13:$CL$86,36,FALSE)&gt;5,0,IF(COUNTIF($B$13:$B$63,$B22)&gt;1,0,10)),10)+IF(B22&lt;&gt;0,0,IF(AV22&gt;0,0.000001,0))</f>
        <v/>
      </c>
      <c r="B22" s="126" t="inlineStr">
        <is>
          <t>Johny</t>
        </is>
      </c>
      <c r="C22" s="48">
        <f>IFERROR(IF($B22="","",VLOOKUP($B22,Medewerker!$C$8:$AI$107,33,FALSE)),"?")</f>
        <v/>
      </c>
      <c r="D22" s="879">
        <f t="array" ref="D22">IFERROR(IF(LEFT(INDEX($F22:$AQ22,1,SUM(SMALL(IF($F22:$AQ22&lt;&gt;"",COLUMN($F22:$AQ22)),1)-5)),1)="x",SUM(SMALL(IF($F22:$AQ22&lt;&gt;"",$F$11:$AQ$11),1)+"0:15"),SMALL(IF($F22:$AQ22&lt;&gt;"",$F$11:$AQ$11),1)),"")</f>
        <v/>
      </c>
      <c r="E22" s="879">
        <f t="array" ref="E22">IFERROR(IF(LEFT(INDEX($F22:$AQ22,1,SUM(LARGE(IF($F22:$AQ22&lt;&gt;"",COLUMN($F22:$AQ22)),1)-5)),1)="x",SUM(LARGE(IF($F22:$AQ22&lt;&gt;"",$F$11:$AQ$11+"0:30:00"),1)-"0:15"),LARGE(IF($F22:$AQ22&lt;&gt;"",$F$11:$AQ$11+"0:30:00"),1)),"")</f>
        <v/>
      </c>
      <c r="F22" s="40" t="n"/>
      <c r="G22" s="41" t="n"/>
      <c r="H22" s="40" t="n"/>
      <c r="I22" s="41" t="n"/>
      <c r="J22" s="40" t="n"/>
      <c r="K22" s="42" t="n"/>
      <c r="L22" s="43" t="n"/>
      <c r="M22" s="41" t="n"/>
      <c r="N22" s="40" t="n"/>
      <c r="O22" s="42" t="n"/>
      <c r="P22" s="43" t="inlineStr">
        <is>
          <t>hv</t>
        </is>
      </c>
      <c r="Q22" s="41" t="inlineStr">
        <is>
          <t>hv</t>
        </is>
      </c>
      <c r="R22" s="41" t="inlineStr">
        <is>
          <t>hv</t>
        </is>
      </c>
      <c r="S22" s="41" t="inlineStr">
        <is>
          <t>hv</t>
        </is>
      </c>
      <c r="T22" s="41" t="inlineStr">
        <is>
          <t>hv</t>
        </is>
      </c>
      <c r="U22" s="41" t="inlineStr">
        <is>
          <t>hv</t>
        </is>
      </c>
      <c r="V22" s="41" t="inlineStr">
        <is>
          <t>hv</t>
        </is>
      </c>
      <c r="W22" s="41" t="inlineStr">
        <is>
          <t>hv</t>
        </is>
      </c>
      <c r="X22" s="43" t="inlineStr">
        <is>
          <t>hv</t>
        </is>
      </c>
      <c r="Y22" s="41" t="inlineStr">
        <is>
          <t>hv</t>
        </is>
      </c>
      <c r="Z22" s="40" t="n"/>
      <c r="AA22" s="42" t="n"/>
      <c r="AB22" s="43" t="n"/>
      <c r="AC22" s="41" t="n"/>
      <c r="AD22" s="40" t="n"/>
      <c r="AE22" s="42" t="n"/>
      <c r="AF22" s="43" t="n"/>
      <c r="AG22" s="41" t="n"/>
      <c r="AH22" s="40" t="n"/>
      <c r="AI22" s="42" t="n"/>
      <c r="AJ22" s="43" t="n"/>
      <c r="AK22" s="41" t="n"/>
      <c r="AL22" s="40" t="n"/>
      <c r="AM22" s="41" t="n"/>
      <c r="AN22" s="645" t="n"/>
      <c r="AO22" s="42" t="n"/>
      <c r="AP22" s="40" t="n"/>
      <c r="AQ22" s="41" t="n"/>
      <c r="AR22" s="888">
        <f>IFERROR(IF(VLOOKUP($B22,Medewerker!$C$8:$Y$107,23,FALSE)="",VLOOKUP($B22,Medewerker!$C$8:$Y$107,21,FALSE),0),0)</f>
        <v/>
      </c>
      <c r="AS22" s="889">
        <f>IFERROR(IF(B22="",1,IF(VLOOKUP($B22,Medewerker!$C$8:$Y$107,23,FALSE)="",VLOOKUP($B22,Medewerker!$C$8:$Y$107,22,FALSE),0)),0)</f>
        <v/>
      </c>
      <c r="AT22" s="30" t="n"/>
      <c r="AU22" s="30">
        <f>(COUNTIF(F22:AQ22,"afw"))/2</f>
        <v/>
      </c>
      <c r="AV22" s="111">
        <f>((38-(COUNTIF(F22:AQ22,"")))/2)-(COUNTIF(F22:AQ22,"p")/2)-(COUNTIF(F22:AQ22,CONCATENATE("x","*"))/4)</f>
        <v/>
      </c>
      <c r="AW22" s="73">
        <f>IF($B22="","",VLOOKUP($B22,Medewerker!$C$8:$E$107,3,FALSE))</f>
        <v/>
      </c>
      <c r="AX22" s="403">
        <f>IFERROR(VLOOKUP($B22,Planning!$B$6:$AG$105,32,FALSE)*24,"")</f>
        <v/>
      </c>
      <c r="AY22" s="406" t="inlineStr">
        <is>
          <t>rv</t>
        </is>
      </c>
      <c r="AZ22" s="166" t="inlineStr">
        <is>
          <t>Restant Vers</t>
        </is>
      </c>
      <c r="BA22" s="111">
        <f>COUNTIF($F$13:$AQ$63,CONCATENATE(AY22,"*"))/2+COUNTIF($F$13:$AQ$63,CONCATENATE("x",AY22,"*"))/4</f>
        <v/>
      </c>
      <c r="BB22" s="838" t="n"/>
      <c r="BC22" s="31">
        <f>IF(Planning!B15="","",Planning!B15)</f>
        <v/>
      </c>
      <c r="BD22" s="105" t="n"/>
      <c r="BE22" s="885">
        <f>Planning!E15</f>
        <v/>
      </c>
      <c r="BF22" s="885">
        <f>Planning!F15</f>
        <v/>
      </c>
      <c r="BG22" s="886" t="n"/>
      <c r="BH22" s="105" t="n"/>
      <c r="BI22" s="885">
        <f>Planning!I15</f>
        <v/>
      </c>
      <c r="BJ22" s="885">
        <f>Planning!J15</f>
        <v/>
      </c>
      <c r="BK22" s="886" t="n"/>
      <c r="BL22" s="105" t="n"/>
      <c r="BM22" s="885">
        <f>Planning!M15</f>
        <v/>
      </c>
      <c r="BN22" s="885">
        <f>Planning!N15</f>
        <v/>
      </c>
      <c r="BO22" s="886" t="n"/>
      <c r="BP22" s="105" t="n"/>
      <c r="BQ22" s="885">
        <f>Planning!Q15</f>
        <v/>
      </c>
      <c r="BR22" s="885">
        <f>Planning!R15</f>
        <v/>
      </c>
      <c r="BS22" s="886" t="n"/>
      <c r="BT22" s="105" t="n"/>
      <c r="BU22" s="885">
        <f>Planning!U15</f>
        <v/>
      </c>
      <c r="BV22" s="885">
        <f>Planning!V15</f>
        <v/>
      </c>
      <c r="BW22" s="886" t="n"/>
      <c r="BX22" s="105" t="n"/>
      <c r="BY22" s="885">
        <f>Planning!Y15</f>
        <v/>
      </c>
      <c r="BZ22" s="885">
        <f>Planning!Z15</f>
        <v/>
      </c>
      <c r="CA22" s="886" t="n"/>
      <c r="CB22" s="105" t="n"/>
      <c r="CC22" s="885">
        <f>Planning!AC15</f>
        <v/>
      </c>
      <c r="CD22" s="885">
        <f>Planning!AD15</f>
        <v/>
      </c>
      <c r="CE22" s="886" t="n"/>
      <c r="CF22" s="105" t="n"/>
      <c r="CG22" s="887">
        <f>Planning!AG15</f>
        <v/>
      </c>
      <c r="CH22" s="105" t="n"/>
      <c r="CI22" s="252">
        <f>IF(BC22="","",Planning!AI15)</f>
        <v/>
      </c>
      <c r="CJ22" s="252">
        <f>IF(BC22="","",Planning!AJ15)</f>
        <v/>
      </c>
      <c r="CK22" s="252">
        <f>IF(BC22="","",Planning!AK15)</f>
        <v/>
      </c>
      <c r="CL22" s="252">
        <f>IF(BC22="","",Planning!AH15)</f>
        <v/>
      </c>
      <c r="CM22" s="21" t="n"/>
    </row>
    <row r="23" ht="12.75" customHeight="1">
      <c r="A23" s="161">
        <f>IFERROR(IF(VLOOKUP($B23,$BC$13:$CL$86,36,FALSE)&gt;5,0,IF(COUNTIF($B$13:$B$63,$B23)&gt;1,0,11)),11)+IF(B23&lt;&gt;0,0,IF(AV23&gt;0,0.000001,0))</f>
        <v/>
      </c>
      <c r="B23" s="126" t="inlineStr">
        <is>
          <t>Oemaima</t>
        </is>
      </c>
      <c r="C23" s="48">
        <f>IFERROR(IF($B23="","",VLOOKUP($B23,Medewerker!$C$8:$AI$107,33,FALSE)),"?")</f>
        <v/>
      </c>
      <c r="D23" s="879">
        <f t="array" ref="D23">IFERROR(IF(LEFT(INDEX($F23:$AQ23,1,SUM(SMALL(IF($F23:$AQ23&lt;&gt;"",COLUMN($F23:$AQ23)),1)-5)),1)="x",SUM(SMALL(IF($F23:$AQ23&lt;&gt;"",$F$11:$AQ$11),1)+"0:15"),SMALL(IF($F23:$AQ23&lt;&gt;"",$F$11:$AQ$11),1)),"")</f>
        <v/>
      </c>
      <c r="E23" s="879">
        <f t="array" ref="E23">IFERROR(IF(LEFT(INDEX($F23:$AQ23,1,SUM(LARGE(IF($F23:$AQ23&lt;&gt;"",COLUMN($F23:$AQ23)),1)-5)),1)="x",SUM(LARGE(IF($F23:$AQ23&lt;&gt;"",$F$11:$AQ$11+"0:30:00"),1)-"0:15"),LARGE(IF($F23:$AQ23&lt;&gt;"",$F$11:$AQ$11+"0:30:00"),1)),"")</f>
        <v/>
      </c>
      <c r="F23" s="40" t="n"/>
      <c r="G23" s="41" t="n"/>
      <c r="H23" s="40" t="n"/>
      <c r="I23" s="41" t="n"/>
      <c r="J23" s="42" t="n"/>
      <c r="K23" s="42" t="n"/>
      <c r="L23" s="42" t="inlineStr">
        <is>
          <t>vv</t>
        </is>
      </c>
      <c r="M23" s="42" t="inlineStr">
        <is>
          <t>vv</t>
        </is>
      </c>
      <c r="N23" s="42" t="inlineStr">
        <is>
          <t>vv</t>
        </is>
      </c>
      <c r="O23" s="42" t="inlineStr">
        <is>
          <t>vv</t>
        </is>
      </c>
      <c r="P23" s="43" t="inlineStr">
        <is>
          <t>p</t>
        </is>
      </c>
      <c r="Q23" s="41" t="inlineStr">
        <is>
          <t>hv</t>
        </is>
      </c>
      <c r="R23" s="40" t="inlineStr">
        <is>
          <t>hv</t>
        </is>
      </c>
      <c r="S23" s="42" t="inlineStr">
        <is>
          <t>hv</t>
        </is>
      </c>
      <c r="T23" s="43" t="inlineStr">
        <is>
          <t>hv</t>
        </is>
      </c>
      <c r="U23" s="41" t="inlineStr">
        <is>
          <t>hv</t>
        </is>
      </c>
      <c r="V23" s="40" t="inlineStr">
        <is>
          <t>hv</t>
        </is>
      </c>
      <c r="W23" s="42" t="inlineStr">
        <is>
          <t>hv</t>
        </is>
      </c>
      <c r="X23" s="43" t="inlineStr">
        <is>
          <t>hv</t>
        </is>
      </c>
      <c r="Y23" s="41" t="inlineStr">
        <is>
          <t>hv</t>
        </is>
      </c>
      <c r="Z23" s="40" t="n"/>
      <c r="AA23" s="42" t="n"/>
      <c r="AB23" s="43" t="n"/>
      <c r="AC23" s="41" t="n"/>
      <c r="AD23" s="40" t="n"/>
      <c r="AE23" s="42" t="n"/>
      <c r="AF23" s="43" t="n"/>
      <c r="AG23" s="41" t="n"/>
      <c r="AH23" s="40" t="n"/>
      <c r="AI23" s="42" t="n"/>
      <c r="AJ23" s="43" t="n"/>
      <c r="AK23" s="41" t="n"/>
      <c r="AL23" s="40" t="n"/>
      <c r="AM23" s="41" t="n"/>
      <c r="AN23" s="645" t="n"/>
      <c r="AO23" s="42" t="n"/>
      <c r="AP23" s="40" t="n"/>
      <c r="AQ23" s="41" t="n"/>
      <c r="AR23" s="888">
        <f>IFERROR(IF(VLOOKUP($B23,Medewerker!$C$8:$Y$107,23,FALSE)="",VLOOKUP($B23,Medewerker!$C$8:$Y$107,21,FALSE),0),0)</f>
        <v/>
      </c>
      <c r="AS23" s="889">
        <f>IFERROR(IF(B23="",1,IF(VLOOKUP($B23,Medewerker!$C$8:$Y$107,23,FALSE)="",VLOOKUP($B23,Medewerker!$C$8:$Y$107,22,FALSE),0)),0)</f>
        <v/>
      </c>
      <c r="AT23" s="30" t="n"/>
      <c r="AU23" s="30">
        <f>(COUNTIF(F23:AQ23,"afw"))/2</f>
        <v/>
      </c>
      <c r="AV23" s="111">
        <f>((38-(COUNTIF(F23:AQ23,"")))/2)-(COUNTIF(F23:AQ23,"p")/2)-(COUNTIF(F23:AQ23,CONCATENATE("x","*"))/4)</f>
        <v/>
      </c>
      <c r="AW23" s="73">
        <f>IF($B23="","",VLOOKUP($B23,Medewerker!$C$8:$E$107,3,FALSE))</f>
        <v/>
      </c>
      <c r="AX23" s="403">
        <f>IFERROR(VLOOKUP($B23,Planning!$B$6:$AG$105,32,FALSE)*24,"")</f>
        <v/>
      </c>
      <c r="AY23" s="882" t="inlineStr">
        <is>
          <t>Restant/Telproces</t>
        </is>
      </c>
      <c r="AZ23" s="883" t="n"/>
      <c r="BA23" s="884" t="n"/>
      <c r="BB23" s="838" t="n"/>
      <c r="BC23" s="31">
        <f>IF(Planning!B16="","",Planning!B16)</f>
        <v/>
      </c>
      <c r="BD23" s="105" t="n"/>
      <c r="BE23" s="885">
        <f>Planning!E16</f>
        <v/>
      </c>
      <c r="BF23" s="885">
        <f>Planning!F16</f>
        <v/>
      </c>
      <c r="BG23" s="886" t="n"/>
      <c r="BH23" s="105" t="n"/>
      <c r="BI23" s="885">
        <f>Planning!I16</f>
        <v/>
      </c>
      <c r="BJ23" s="885">
        <f>Planning!J16</f>
        <v/>
      </c>
      <c r="BK23" s="886" t="n"/>
      <c r="BL23" s="105" t="n"/>
      <c r="BM23" s="885">
        <f>Planning!M16</f>
        <v/>
      </c>
      <c r="BN23" s="885">
        <f>Planning!N16</f>
        <v/>
      </c>
      <c r="BO23" s="886" t="n"/>
      <c r="BP23" s="105" t="n"/>
      <c r="BQ23" s="885">
        <f>Planning!Q16</f>
        <v/>
      </c>
      <c r="BR23" s="885">
        <f>Planning!R16</f>
        <v/>
      </c>
      <c r="BS23" s="886" t="n"/>
      <c r="BT23" s="105" t="n"/>
      <c r="BU23" s="885">
        <f>Planning!U16</f>
        <v/>
      </c>
      <c r="BV23" s="885">
        <f>Planning!V16</f>
        <v/>
      </c>
      <c r="BW23" s="886" t="n"/>
      <c r="BX23" s="105" t="n"/>
      <c r="BY23" s="885">
        <f>Planning!Y16</f>
        <v/>
      </c>
      <c r="BZ23" s="885">
        <f>Planning!Z16</f>
        <v/>
      </c>
      <c r="CA23" s="886" t="n"/>
      <c r="CB23" s="105" t="n"/>
      <c r="CC23" s="885">
        <f>Planning!AC16</f>
        <v/>
      </c>
      <c r="CD23" s="885">
        <f>Planning!AD16</f>
        <v/>
      </c>
      <c r="CE23" s="886" t="n"/>
      <c r="CF23" s="105" t="n"/>
      <c r="CG23" s="887">
        <f>Planning!AG16</f>
        <v/>
      </c>
      <c r="CH23" s="105" t="n"/>
      <c r="CI23" s="252">
        <f>IF(BC23="","",Planning!AI16)</f>
        <v/>
      </c>
      <c r="CJ23" s="252">
        <f>IF(BC23="","",Planning!AJ16)</f>
        <v/>
      </c>
      <c r="CK23" s="252">
        <f>IF(BC23="","",Planning!AK16)</f>
        <v/>
      </c>
      <c r="CL23" s="252">
        <f>IF(BC23="","",Planning!AH16)</f>
        <v/>
      </c>
      <c r="CM23" s="21" t="n"/>
    </row>
    <row r="24" ht="12.75" customHeight="1">
      <c r="A24" s="161">
        <f>IFERROR(IF(VLOOKUP($B24,$BC$13:$CL$86,36,FALSE)&gt;5,0,IF(COUNTIF($B$13:$B$63,$B24)&gt;1,0,12)),12)+IF(B24&lt;&gt;0,0,IF(AV24&gt;0,0.000001,0))</f>
        <v/>
      </c>
      <c r="B24" s="126" t="inlineStr">
        <is>
          <t>Snesjana</t>
        </is>
      </c>
      <c r="C24" s="48">
        <f>IFERROR(IF($B24="","",VLOOKUP($B24,Medewerker!$C$8:$AI$107,33,FALSE)),"?")</f>
        <v/>
      </c>
      <c r="D24" s="879">
        <f t="array" ref="D24">IFERROR(IF(LEFT(INDEX($F24:$AQ24,1,SUM(SMALL(IF($F24:$AQ24&lt;&gt;"",COLUMN($F24:$AQ24)),1)-5)),1)="x",SUM(SMALL(IF($F24:$AQ24&lt;&gt;"",$F$11:$AQ$11),1)+"0:15"),SMALL(IF($F24:$AQ24&lt;&gt;"",$F$11:$AQ$11),1)),"")</f>
        <v/>
      </c>
      <c r="E24" s="879">
        <f t="array" ref="E24">IFERROR(IF(LEFT(INDEX($F24:$AQ24,1,SUM(LARGE(IF($F24:$AQ24&lt;&gt;"",COLUMN($F24:$AQ24)),1)-5)),1)="x",SUM(LARGE(IF($F24:$AQ24&lt;&gt;"",$F$11:$AQ$11+"0:30:00"),1)-"0:15"),LARGE(IF($F24:$AQ24&lt;&gt;"",$F$11:$AQ$11+"0:30:00"),1)),"")</f>
        <v/>
      </c>
      <c r="F24" s="40" t="n"/>
      <c r="G24" s="41" t="n"/>
      <c r="H24" s="40" t="n"/>
      <c r="I24" s="41" t="n"/>
      <c r="J24" s="40" t="n"/>
      <c r="K24" s="42" t="n"/>
      <c r="L24" s="43" t="n"/>
      <c r="M24" s="41" t="n"/>
      <c r="N24" s="40" t="n"/>
      <c r="O24" s="42" t="n"/>
      <c r="P24" s="43" t="inlineStr">
        <is>
          <t>hv</t>
        </is>
      </c>
      <c r="Q24" s="41" t="inlineStr">
        <is>
          <t>hv</t>
        </is>
      </c>
      <c r="R24" s="40" t="inlineStr">
        <is>
          <t>hv</t>
        </is>
      </c>
      <c r="S24" s="42" t="inlineStr">
        <is>
          <t>hv</t>
        </is>
      </c>
      <c r="T24" s="43" t="inlineStr">
        <is>
          <t>hv</t>
        </is>
      </c>
      <c r="U24" s="41" t="inlineStr">
        <is>
          <t>hv</t>
        </is>
      </c>
      <c r="V24" s="40" t="inlineStr">
        <is>
          <t>hv</t>
        </is>
      </c>
      <c r="W24" s="42" t="inlineStr">
        <is>
          <t>hv</t>
        </is>
      </c>
      <c r="X24" s="43" t="inlineStr">
        <is>
          <t>hv</t>
        </is>
      </c>
      <c r="Y24" s="41" t="inlineStr">
        <is>
          <t>hv</t>
        </is>
      </c>
      <c r="Z24" s="40" t="n"/>
      <c r="AA24" s="42" t="n"/>
      <c r="AB24" s="43" t="n"/>
      <c r="AC24" s="41" t="n"/>
      <c r="AD24" s="40" t="n"/>
      <c r="AE24" s="42" t="n"/>
      <c r="AF24" s="43" t="n"/>
      <c r="AG24" s="41" t="n"/>
      <c r="AH24" s="40" t="n"/>
      <c r="AI24" s="42" t="n"/>
      <c r="AJ24" s="43" t="n"/>
      <c r="AK24" s="41" t="n"/>
      <c r="AL24" s="40" t="n"/>
      <c r="AM24" s="41" t="n"/>
      <c r="AN24" s="645" t="n"/>
      <c r="AO24" s="42" t="n"/>
      <c r="AP24" s="40" t="n"/>
      <c r="AQ24" s="41" t="n"/>
      <c r="AR24" s="888">
        <f>IFERROR(IF(VLOOKUP($B24,Medewerker!$C$8:$Y$107,23,FALSE)="",VLOOKUP($B24,Medewerker!$C$8:$Y$107,21,FALSE),0),0)</f>
        <v/>
      </c>
      <c r="AS24" s="889">
        <f>IFERROR(IF(B24="",1,IF(VLOOKUP($B24,Medewerker!$C$8:$Y$107,23,FALSE)="",VLOOKUP($B24,Medewerker!$C$8:$Y$107,22,FALSE),0)),0)</f>
        <v/>
      </c>
      <c r="AT24" s="30" t="n"/>
      <c r="AU24" s="30">
        <f>(COUNTIF(F24:AQ24,"afw"))/2</f>
        <v/>
      </c>
      <c r="AV24" s="111">
        <f>((38-(COUNTIF(F24:AQ24,"")))/2)-(COUNTIF(F24:AQ24,"p")/2)-(COUNTIF(F24:AQ24,CONCATENATE("x","*"))/4)</f>
        <v/>
      </c>
      <c r="AW24" s="73">
        <f>IF($B24="","",VLOOKUP($B24,Medewerker!$C$8:$E$107,3,FALSE))</f>
        <v/>
      </c>
      <c r="AX24" s="403">
        <f>IFERROR(VLOOKUP($B24,Planning!$B$6:$AG$105,32,FALSE)*24,"")</f>
        <v/>
      </c>
      <c r="AY24" s="562" t="inlineStr">
        <is>
          <t>br</t>
        </is>
      </c>
      <c r="AZ24" s="166" t="inlineStr">
        <is>
          <t>Bepalen restant</t>
        </is>
      </c>
      <c r="BA24" s="111">
        <f>COUNTIF($F$13:$AQ$63,CONCATENATE(AY24,"*"))/2+COUNTIF($F$13:$AQ$63,CONCATENATE("x",AY24,"*"))/4</f>
        <v/>
      </c>
      <c r="BB24" s="838" t="n"/>
      <c r="BC24" s="31">
        <f>IF(Planning!B17="","",Planning!B17)</f>
        <v/>
      </c>
      <c r="BD24" s="105" t="n"/>
      <c r="BE24" s="885">
        <f>Planning!E17</f>
        <v/>
      </c>
      <c r="BF24" s="885">
        <f>Planning!F17</f>
        <v/>
      </c>
      <c r="BG24" s="886" t="n"/>
      <c r="BH24" s="105" t="n"/>
      <c r="BI24" s="885">
        <f>Planning!I17</f>
        <v/>
      </c>
      <c r="BJ24" s="885">
        <f>Planning!J17</f>
        <v/>
      </c>
      <c r="BK24" s="886" t="n"/>
      <c r="BL24" s="105" t="n"/>
      <c r="BM24" s="885">
        <f>Planning!M17</f>
        <v/>
      </c>
      <c r="BN24" s="885">
        <f>Planning!N17</f>
        <v/>
      </c>
      <c r="BO24" s="886" t="n"/>
      <c r="BP24" s="105" t="n"/>
      <c r="BQ24" s="885">
        <f>Planning!Q17</f>
        <v/>
      </c>
      <c r="BR24" s="885">
        <f>Planning!R17</f>
        <v/>
      </c>
      <c r="BS24" s="886" t="n"/>
      <c r="BT24" s="105" t="n"/>
      <c r="BU24" s="885">
        <f>Planning!U17</f>
        <v/>
      </c>
      <c r="BV24" s="885">
        <f>Planning!V17</f>
        <v/>
      </c>
      <c r="BW24" s="886" t="n"/>
      <c r="BX24" s="105" t="n"/>
      <c r="BY24" s="885">
        <f>Planning!Y17</f>
        <v/>
      </c>
      <c r="BZ24" s="885">
        <f>Planning!Z17</f>
        <v/>
      </c>
      <c r="CA24" s="886" t="n"/>
      <c r="CB24" s="105" t="n"/>
      <c r="CC24" s="885">
        <f>Planning!AC17</f>
        <v/>
      </c>
      <c r="CD24" s="885">
        <f>Planning!AD17</f>
        <v/>
      </c>
      <c r="CE24" s="886" t="n"/>
      <c r="CF24" s="105" t="n"/>
      <c r="CG24" s="887">
        <f>Planning!AG17</f>
        <v/>
      </c>
      <c r="CH24" s="105" t="n"/>
      <c r="CI24" s="252">
        <f>IF(BC24="","",Planning!AI17)</f>
        <v/>
      </c>
      <c r="CJ24" s="252">
        <f>IF(BC24="","",Planning!AJ17)</f>
        <v/>
      </c>
      <c r="CK24" s="252">
        <f>IF(BC24="","",Planning!AK17)</f>
        <v/>
      </c>
      <c r="CL24" s="252">
        <f>IF(BC24="","",Planning!AH17)</f>
        <v/>
      </c>
      <c r="CM24" s="21" t="n"/>
    </row>
    <row r="25" ht="12.75" customHeight="1">
      <c r="A25" s="161">
        <f>IFERROR(IF(VLOOKUP($B25,$BC$13:$CL$86,36,FALSE)&gt;5,0,IF(COUNTIF($B$13:$B$63,$B25)&gt;1,0,13)),13)+IF(B25&lt;&gt;0,0,IF(AV25&gt;0,0.000001,0))</f>
        <v/>
      </c>
      <c r="B25" s="129" t="inlineStr">
        <is>
          <t>Soumia</t>
        </is>
      </c>
      <c r="C25" s="48">
        <f>IFERROR(IF($B25="","",VLOOKUP($B25,Medewerker!$C$8:$AI$107,33,FALSE)),"?")</f>
        <v/>
      </c>
      <c r="D25" s="879">
        <f t="array" ref="D25">IFERROR(IF(LEFT(INDEX($F25:$AQ25,1,SUM(SMALL(IF($F25:$AQ25&lt;&gt;"",COLUMN($F25:$AQ25)),1)-5)),1)="x",SUM(SMALL(IF($F25:$AQ25&lt;&gt;"",$F$11:$AQ$11),1)+"0:15"),SMALL(IF($F25:$AQ25&lt;&gt;"",$F$11:$AQ$11),1)),"")</f>
        <v/>
      </c>
      <c r="E25" s="879">
        <f t="array" ref="E25">IFERROR(IF(LEFT(INDEX($F25:$AQ25,1,SUM(LARGE(IF($F25:$AQ25&lt;&gt;"",COLUMN($F25:$AQ25)),1)-5)),1)="x",SUM(LARGE(IF($F25:$AQ25&lt;&gt;"",$F$11:$AQ$11+"0:30:00"),1)-"0:15"),LARGE(IF($F25:$AQ25&lt;&gt;"",$F$11:$AQ$11+"0:30:00"),1)),"")</f>
        <v/>
      </c>
      <c r="F25" s="40" t="n"/>
      <c r="G25" s="41" t="n"/>
      <c r="H25" s="40" t="n"/>
      <c r="I25" s="41" t="n"/>
      <c r="J25" s="40" t="n"/>
      <c r="K25" s="42" t="n"/>
      <c r="L25" s="43" t="n"/>
      <c r="M25" s="41" t="n"/>
      <c r="N25" s="40" t="n"/>
      <c r="O25" s="42" t="n"/>
      <c r="P25" s="43" t="inlineStr">
        <is>
          <t>hv</t>
        </is>
      </c>
      <c r="Q25" s="41" t="inlineStr">
        <is>
          <t>hv</t>
        </is>
      </c>
      <c r="R25" s="40" t="inlineStr">
        <is>
          <t>hv</t>
        </is>
      </c>
      <c r="S25" s="42" t="inlineStr">
        <is>
          <t>hv</t>
        </is>
      </c>
      <c r="T25" s="43" t="inlineStr">
        <is>
          <t>hv</t>
        </is>
      </c>
      <c r="U25" s="41" t="inlineStr">
        <is>
          <t>hv</t>
        </is>
      </c>
      <c r="V25" s="40" t="inlineStr">
        <is>
          <t>hv</t>
        </is>
      </c>
      <c r="W25" s="42" t="inlineStr">
        <is>
          <t>hv</t>
        </is>
      </c>
      <c r="X25" s="43" t="inlineStr">
        <is>
          <t>hv</t>
        </is>
      </c>
      <c r="Y25" s="41" t="inlineStr">
        <is>
          <t>hv</t>
        </is>
      </c>
      <c r="Z25" s="40" t="n"/>
      <c r="AA25" s="42" t="n"/>
      <c r="AB25" s="43" t="n"/>
      <c r="AC25" s="41" t="n"/>
      <c r="AD25" s="40" t="n"/>
      <c r="AE25" s="42" t="n"/>
      <c r="AF25" s="43" t="n"/>
      <c r="AG25" s="41" t="n"/>
      <c r="AH25" s="40" t="n"/>
      <c r="AI25" s="42" t="n"/>
      <c r="AJ25" s="43" t="n"/>
      <c r="AK25" s="41" t="n"/>
      <c r="AL25" s="40" t="n"/>
      <c r="AM25" s="41" t="n"/>
      <c r="AN25" s="645" t="n"/>
      <c r="AO25" s="42" t="n"/>
      <c r="AP25" s="40" t="n"/>
      <c r="AQ25" s="41" t="n"/>
      <c r="AR25" s="888">
        <f>IFERROR(IF(VLOOKUP($B25,Medewerker!$C$8:$Y$107,23,FALSE)="",VLOOKUP($B25,Medewerker!$C$8:$Y$107,21,FALSE),0),0)</f>
        <v/>
      </c>
      <c r="AS25" s="889">
        <f>IFERROR(IF(B25="",1,IF(VLOOKUP($B25,Medewerker!$C$8:$Y$107,23,FALSE)="",VLOOKUP($B25,Medewerker!$C$8:$Y$107,22,FALSE),0)),0)</f>
        <v/>
      </c>
      <c r="AT25" s="30" t="n"/>
      <c r="AU25" s="30">
        <f>(COUNTIF(F25:AQ25,"afw"))/2</f>
        <v/>
      </c>
      <c r="AV25" s="111">
        <f>((38-(COUNTIF(F25:AQ25,"")))/2)-(COUNTIF(F25:AQ25,"p")/2)-(COUNTIF(F25:AQ25,CONCATENATE("x","*"))/4)</f>
        <v/>
      </c>
      <c r="AW25" s="73">
        <f>IF($B25="","",VLOOKUP($B25,Medewerker!$C$8:$E$107,3,FALSE))</f>
        <v/>
      </c>
      <c r="AX25" s="403">
        <f>IFERROR(VLOOKUP($B25,Planning!$B$6:$AG$105,32,FALSE)*24,"")</f>
        <v/>
      </c>
      <c r="AY25" s="563" t="inlineStr">
        <is>
          <t>bl</t>
        </is>
      </c>
      <c r="AZ25" s="412" t="inlineStr">
        <is>
          <t>Bepalen langrestant</t>
        </is>
      </c>
      <c r="BA25" s="111">
        <f>COUNTIF($F$13:$AQ$63,CONCATENATE(AY25,"*"))/2+COUNTIF($F$13:$AQ$63,CONCATENATE("x",AY25,"*"))/4</f>
        <v/>
      </c>
      <c r="BB25" s="838" t="n"/>
      <c r="BC25" s="31">
        <f>IF(Planning!B18="","",Planning!B18)</f>
        <v/>
      </c>
      <c r="BD25" s="105" t="n"/>
      <c r="BE25" s="885">
        <f>Planning!E18</f>
        <v/>
      </c>
      <c r="BF25" s="885">
        <f>Planning!F18</f>
        <v/>
      </c>
      <c r="BG25" s="886" t="n"/>
      <c r="BH25" s="105" t="n"/>
      <c r="BI25" s="885">
        <f>Planning!I18</f>
        <v/>
      </c>
      <c r="BJ25" s="885">
        <f>Planning!J18</f>
        <v/>
      </c>
      <c r="BK25" s="886" t="n"/>
      <c r="BL25" s="105" t="n"/>
      <c r="BM25" s="885">
        <f>Planning!M18</f>
        <v/>
      </c>
      <c r="BN25" s="885">
        <f>Planning!N18</f>
        <v/>
      </c>
      <c r="BO25" s="886" t="n"/>
      <c r="BP25" s="105" t="n"/>
      <c r="BQ25" s="885">
        <f>Planning!Q18</f>
        <v/>
      </c>
      <c r="BR25" s="885">
        <f>Planning!R18</f>
        <v/>
      </c>
      <c r="BS25" s="886" t="n"/>
      <c r="BT25" s="105" t="n"/>
      <c r="BU25" s="885">
        <f>Planning!U18</f>
        <v/>
      </c>
      <c r="BV25" s="885">
        <f>Planning!V18</f>
        <v/>
      </c>
      <c r="BW25" s="886" t="n"/>
      <c r="BX25" s="105" t="n"/>
      <c r="BY25" s="885">
        <f>Planning!Y18</f>
        <v/>
      </c>
      <c r="BZ25" s="885">
        <f>Planning!Z18</f>
        <v/>
      </c>
      <c r="CA25" s="886" t="n"/>
      <c r="CB25" s="105" t="n"/>
      <c r="CC25" s="885">
        <f>Planning!AC18</f>
        <v/>
      </c>
      <c r="CD25" s="885">
        <f>Planning!AD18</f>
        <v/>
      </c>
      <c r="CE25" s="886" t="n"/>
      <c r="CF25" s="105" t="n"/>
      <c r="CG25" s="887">
        <f>Planning!AG18</f>
        <v/>
      </c>
      <c r="CH25" s="105" t="n"/>
      <c r="CI25" s="252">
        <f>IF(BC25="","",Planning!AI18)</f>
        <v/>
      </c>
      <c r="CJ25" s="252">
        <f>IF(BC25="","",Planning!AJ18)</f>
        <v/>
      </c>
      <c r="CK25" s="252">
        <f>IF(BC25="","",Planning!AK18)</f>
        <v/>
      </c>
      <c r="CL25" s="252">
        <f>IF(BC25="","",Planning!AH18)</f>
        <v/>
      </c>
      <c r="CM25" s="21" t="n"/>
    </row>
    <row r="26" ht="12.75" customHeight="1">
      <c r="A26" s="161">
        <f>IFERROR(IF(VLOOKUP($B26,$BC$13:$CL$86,36,FALSE)&gt;5,0,IF(COUNTIF($B$13:$B$63,$B26)&gt;1,0,14)),14)+IF(B26&lt;&gt;0,0,IF(AV26&gt;0,0.000001,0))</f>
        <v/>
      </c>
      <c r="B26" s="129" t="n"/>
      <c r="C26" s="48">
        <f>IFERROR(IF($B26="","",VLOOKUP($B26,Medewerker!$C$8:$AI$107,33,FALSE)),"?")</f>
        <v/>
      </c>
      <c r="D26" s="879">
        <f t="array" ref="D26">IFERROR(IF(LEFT(INDEX($F26:$AQ26,1,SUM(SMALL(IF($F26:$AQ26&lt;&gt;"",COLUMN($F26:$AQ26)),1)-5)),1)="x",SUM(SMALL(IF($F26:$AQ26&lt;&gt;"",$F$11:$AQ$11),1)+"0:15"),SMALL(IF($F26:$AQ26&lt;&gt;"",$F$11:$AQ$11),1)),"")</f>
        <v/>
      </c>
      <c r="E26" s="879">
        <f t="array" ref="E26">IFERROR(IF(LEFT(INDEX($F26:$AQ26,1,SUM(LARGE(IF($F26:$AQ26&lt;&gt;"",COLUMN($F26:$AQ26)),1)-5)),1)="x",SUM(LARGE(IF($F26:$AQ26&lt;&gt;"",$F$11:$AQ$11+"0:30:00"),1)-"0:15"),LARGE(IF($F26:$AQ26&lt;&gt;"",$F$11:$AQ$11+"0:30:00"),1)),"")</f>
        <v/>
      </c>
      <c r="F26" s="40" t="n"/>
      <c r="G26" s="41" t="n"/>
      <c r="H26" s="40" t="n"/>
      <c r="I26" s="41" t="n"/>
      <c r="J26" s="41" t="n"/>
      <c r="K26" s="41" t="n"/>
      <c r="L26" s="41" t="n"/>
      <c r="M26" s="41" t="n"/>
      <c r="N26" s="41" t="n"/>
      <c r="O26" s="41" t="n"/>
      <c r="P26" s="41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  <c r="AA26" s="41" t="n"/>
      <c r="AB26" s="43" t="n"/>
      <c r="AC26" s="41" t="n"/>
      <c r="AD26" s="40" t="n"/>
      <c r="AE26" s="42" t="n"/>
      <c r="AF26" s="43" t="n"/>
      <c r="AG26" s="41" t="n"/>
      <c r="AH26" s="40" t="n"/>
      <c r="AI26" s="42" t="n"/>
      <c r="AJ26" s="43" t="n"/>
      <c r="AK26" s="41" t="n"/>
      <c r="AL26" s="40" t="n"/>
      <c r="AM26" s="41" t="n"/>
      <c r="AN26" s="645" t="n"/>
      <c r="AO26" s="42" t="n"/>
      <c r="AP26" s="40" t="n"/>
      <c r="AQ26" s="41" t="n"/>
      <c r="AR26" s="888">
        <f>IFERROR(IF(VLOOKUP($B26,Medewerker!$C$8:$Y$107,23,FALSE)="",VLOOKUP($B26,Medewerker!$C$8:$Y$107,21,FALSE),0),0)</f>
        <v/>
      </c>
      <c r="AS26" s="889">
        <f>IFERROR(IF(B26="",1,IF(VLOOKUP($B26,Medewerker!$C$8:$Y$107,23,FALSE)="",VLOOKUP($B26,Medewerker!$C$8:$Y$107,22,FALSE),0)),0)</f>
        <v/>
      </c>
      <c r="AT26" s="30" t="n"/>
      <c r="AU26" s="30">
        <f>(COUNTIF(F26:AQ26,"afw"))/2</f>
        <v/>
      </c>
      <c r="AV26" s="111">
        <f>((38-(COUNTIF(F26:AQ26,"")))/2)-(COUNTIF(F26:AQ26,"p")/2)-(COUNTIF(F26:AQ26,CONCATENATE("x","*"))/4)</f>
        <v/>
      </c>
      <c r="AW26" s="73">
        <f>IF($B26="","",VLOOKUP($B26,Medewerker!$C$8:$E$107,3,FALSE))</f>
        <v/>
      </c>
      <c r="AX26" s="403">
        <f>IFERROR(VLOOKUP($B26,Planning!$B$6:$AG$105,32,FALSE)*24,"")</f>
        <v/>
      </c>
      <c r="AY26" s="562" t="inlineStr">
        <is>
          <t>hl</t>
        </is>
      </c>
      <c r="AZ26" s="166" t="inlineStr">
        <is>
          <t>Hardlopers vullen</t>
        </is>
      </c>
      <c r="BA26" s="111">
        <f>COUNTIF($F$13:$AQ$63,CONCATENATE(AY26,"*"))/2+COUNTIF($F$13:$AQ$63,CONCATENATE("x",AY26,"*"))/4</f>
        <v/>
      </c>
      <c r="BB26" s="838" t="n"/>
      <c r="BC26" s="31">
        <f>IF(Planning!B19="","",Planning!B19)</f>
        <v/>
      </c>
      <c r="BD26" s="105" t="n"/>
      <c r="BE26" s="885">
        <f>Planning!E19</f>
        <v/>
      </c>
      <c r="BF26" s="885">
        <f>Planning!F19</f>
        <v/>
      </c>
      <c r="BG26" s="886" t="n"/>
      <c r="BH26" s="105" t="n"/>
      <c r="BI26" s="885">
        <f>Planning!I19</f>
        <v/>
      </c>
      <c r="BJ26" s="885">
        <f>Planning!J19</f>
        <v/>
      </c>
      <c r="BK26" s="886" t="n"/>
      <c r="BL26" s="105" t="n"/>
      <c r="BM26" s="885">
        <f>Planning!M19</f>
        <v/>
      </c>
      <c r="BN26" s="885">
        <f>Planning!N19</f>
        <v/>
      </c>
      <c r="BO26" s="886" t="n"/>
      <c r="BP26" s="105" t="n"/>
      <c r="BQ26" s="885">
        <f>Planning!Q19</f>
        <v/>
      </c>
      <c r="BR26" s="885">
        <f>Planning!R19</f>
        <v/>
      </c>
      <c r="BS26" s="886" t="n"/>
      <c r="BT26" s="105" t="n"/>
      <c r="BU26" s="885">
        <f>Planning!U19</f>
        <v/>
      </c>
      <c r="BV26" s="885">
        <f>Planning!V19</f>
        <v/>
      </c>
      <c r="BW26" s="886" t="n"/>
      <c r="BX26" s="105" t="n"/>
      <c r="BY26" s="885">
        <f>Planning!Y19</f>
        <v/>
      </c>
      <c r="BZ26" s="885">
        <f>Planning!Z19</f>
        <v/>
      </c>
      <c r="CA26" s="886" t="n"/>
      <c r="CB26" s="105" t="n"/>
      <c r="CC26" s="885">
        <f>Planning!AC19</f>
        <v/>
      </c>
      <c r="CD26" s="885">
        <f>Planning!AD19</f>
        <v/>
      </c>
      <c r="CE26" s="886" t="n"/>
      <c r="CF26" s="105" t="n"/>
      <c r="CG26" s="887">
        <f>Planning!AG19</f>
        <v/>
      </c>
      <c r="CH26" s="105" t="n"/>
      <c r="CI26" s="252">
        <f>IF(BC26="","",Planning!AI19)</f>
        <v/>
      </c>
      <c r="CJ26" s="252">
        <f>IF(BC26="","",Planning!AJ19)</f>
        <v/>
      </c>
      <c r="CK26" s="252">
        <f>IF(BC26="","",Planning!AK19)</f>
        <v/>
      </c>
      <c r="CL26" s="252">
        <f>IF(BC26="","",Planning!AH19)</f>
        <v/>
      </c>
      <c r="CM26" s="21" t="n"/>
    </row>
    <row r="27" ht="12.75" customHeight="1">
      <c r="A27" s="161">
        <f>IFERROR(IF(VLOOKUP($B27,$BC$13:$CL$86,36,FALSE)&gt;5,0,IF(COUNTIF($B$13:$B$63,$B27)&gt;1,0,15)),15)+IF(B27&lt;&gt;0,0,IF(AV27&gt;0,0.000001,0))</f>
        <v/>
      </c>
      <c r="B27" s="129" t="n"/>
      <c r="C27" s="48">
        <f>IFERROR(IF($B27="","",VLOOKUP($B27,Medewerker!$C$8:$AI$107,33,FALSE)),"?")</f>
        <v/>
      </c>
      <c r="D27" s="879">
        <f t="array" ref="D27">IFERROR(IF(LEFT(INDEX($F27:$AQ27,1,SUM(SMALL(IF($F27:$AQ27&lt;&gt;"",COLUMN($F27:$AQ27)),1)-5)),1)="x",SUM(SMALL(IF($F27:$AQ27&lt;&gt;"",$F$11:$AQ$11),1)+"0:15"),SMALL(IF($F27:$AQ27&lt;&gt;"",$F$11:$AQ$11),1)),"")</f>
        <v/>
      </c>
      <c r="E27" s="879">
        <f t="array" ref="E27">IFERROR(IF(LEFT(INDEX($F27:$AQ27,1,SUM(LARGE(IF($F27:$AQ27&lt;&gt;"",COLUMN($F27:$AQ27)),1)-5)),1)="x",SUM(LARGE(IF($F27:$AQ27&lt;&gt;"",$F$11:$AQ$11+"0:30:00"),1)-"0:15"),LARGE(IF($F27:$AQ27&lt;&gt;"",$F$11:$AQ$11+"0:30:00"),1)),"")</f>
        <v/>
      </c>
      <c r="F27" s="40" t="n"/>
      <c r="G27" s="41" t="n"/>
      <c r="H27" s="40" t="n"/>
      <c r="I27" s="41" t="n"/>
      <c r="J27" s="41" t="n"/>
      <c r="K27" s="41" t="n"/>
      <c r="L27" s="41" t="n"/>
      <c r="M27" s="41" t="n"/>
      <c r="N27" s="41" t="n"/>
      <c r="O27" s="41" t="n"/>
      <c r="P27" s="41" t="n"/>
      <c r="Q27" s="41" t="n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n"/>
      <c r="AA27" s="41" t="n"/>
      <c r="AB27" s="43" t="n"/>
      <c r="AC27" s="41" t="n"/>
      <c r="AD27" s="40" t="n"/>
      <c r="AE27" s="42" t="n"/>
      <c r="AF27" s="43" t="n"/>
      <c r="AG27" s="41" t="n"/>
      <c r="AH27" s="40" t="n"/>
      <c r="AI27" s="42" t="n"/>
      <c r="AJ27" s="43" t="n"/>
      <c r="AK27" s="41" t="n"/>
      <c r="AL27" s="40" t="n"/>
      <c r="AM27" s="41" t="n"/>
      <c r="AN27" s="645" t="n"/>
      <c r="AO27" s="42" t="n"/>
      <c r="AP27" s="40" t="n"/>
      <c r="AQ27" s="41" t="n"/>
      <c r="AR27" s="888">
        <f>IFERROR(IF(VLOOKUP($B27,Medewerker!$C$8:$Y$107,23,FALSE)="",VLOOKUP($B27,Medewerker!$C$8:$Y$107,21,FALSE),0),0)</f>
        <v/>
      </c>
      <c r="AS27" s="889">
        <f>IFERROR(IF(B27="",1,IF(VLOOKUP($B27,Medewerker!$C$8:$Y$107,23,FALSE)="",VLOOKUP($B27,Medewerker!$C$8:$Y$107,22,FALSE),0)),0)</f>
        <v/>
      </c>
      <c r="AT27" s="30" t="n"/>
      <c r="AU27" s="30">
        <f>(COUNTIF(F27:AQ27,"afw"))/2</f>
        <v/>
      </c>
      <c r="AV27" s="111">
        <f>((38-(COUNTIF(F27:AQ27,"")))/2)-(COUNTIF(F27:AQ27,"p")/2)-(COUNTIF(F27:AQ27,CONCATENATE("x","*"))/4)</f>
        <v/>
      </c>
      <c r="AW27" s="73">
        <f>IF($B27="","",VLOOKUP($B27,Medewerker!$C$8:$E$107,3,FALSE))</f>
        <v/>
      </c>
      <c r="AX27" s="403">
        <f>IFERROR(VLOOKUP($B27,Planning!$B$6:$AG$105,32,FALSE)*24,"")</f>
        <v/>
      </c>
      <c r="AY27" s="563" t="inlineStr">
        <is>
          <t>lhb</t>
        </is>
      </c>
      <c r="AZ27" s="71" t="inlineStr">
        <is>
          <t>Neeverkoop HB</t>
        </is>
      </c>
      <c r="BA27" s="111">
        <f>COUNTIF($F$13:$AQ$63,CONCATENATE(AY27,"*"))/2+COUNTIF($F$13:$AQ$63,CONCATENATE("x",AY27,"*"))/4</f>
        <v/>
      </c>
      <c r="BB27" s="838" t="n"/>
      <c r="BC27" s="31">
        <f>IF(Planning!B20="","",Planning!B20)</f>
        <v/>
      </c>
      <c r="BD27" s="105" t="n"/>
      <c r="BE27" s="885">
        <f>Planning!E20</f>
        <v/>
      </c>
      <c r="BF27" s="885">
        <f>Planning!F20</f>
        <v/>
      </c>
      <c r="BG27" s="886" t="n"/>
      <c r="BH27" s="105" t="n"/>
      <c r="BI27" s="885">
        <f>Planning!I20</f>
        <v/>
      </c>
      <c r="BJ27" s="885">
        <f>Planning!J20</f>
        <v/>
      </c>
      <c r="BK27" s="886" t="n"/>
      <c r="BL27" s="105" t="n"/>
      <c r="BM27" s="885">
        <f>Planning!M20</f>
        <v/>
      </c>
      <c r="BN27" s="885">
        <f>Planning!N20</f>
        <v/>
      </c>
      <c r="BO27" s="886" t="n"/>
      <c r="BP27" s="105" t="n"/>
      <c r="BQ27" s="885">
        <f>Planning!Q20</f>
        <v/>
      </c>
      <c r="BR27" s="885">
        <f>Planning!R20</f>
        <v/>
      </c>
      <c r="BS27" s="886" t="n"/>
      <c r="BT27" s="105" t="n"/>
      <c r="BU27" s="885">
        <f>Planning!U20</f>
        <v/>
      </c>
      <c r="BV27" s="885">
        <f>Planning!V20</f>
        <v/>
      </c>
      <c r="BW27" s="886" t="n"/>
      <c r="BX27" s="105" t="n"/>
      <c r="BY27" s="885">
        <f>Planning!Y20</f>
        <v/>
      </c>
      <c r="BZ27" s="885">
        <f>Planning!Z20</f>
        <v/>
      </c>
      <c r="CA27" s="886" t="n"/>
      <c r="CB27" s="105" t="n"/>
      <c r="CC27" s="885">
        <f>Planning!AC20</f>
        <v/>
      </c>
      <c r="CD27" s="885">
        <f>Planning!AD20</f>
        <v/>
      </c>
      <c r="CE27" s="886" t="n"/>
      <c r="CF27" s="105" t="n"/>
      <c r="CG27" s="887">
        <f>Planning!AG20</f>
        <v/>
      </c>
      <c r="CH27" s="105" t="n"/>
      <c r="CI27" s="252">
        <f>IF(BC27="","",Planning!AI20)</f>
        <v/>
      </c>
      <c r="CJ27" s="252">
        <f>IF(BC27="","",Planning!AJ20)</f>
        <v/>
      </c>
      <c r="CK27" s="252">
        <f>IF(BC27="","",Planning!AK20)</f>
        <v/>
      </c>
      <c r="CL27" s="252">
        <f>IF(BC27="","",Planning!AH20)</f>
        <v/>
      </c>
      <c r="CM27" s="21" t="n"/>
    </row>
    <row r="28" ht="12.75" customHeight="1">
      <c r="A28" s="161">
        <f>IFERROR(IF(VLOOKUP($B28,$BC$13:$CL$86,36,FALSE)&gt;5,0,IF(COUNTIF($B$13:$B$63,$B28)&gt;1,0,16)),16)+IF(B28&lt;&gt;0,0,IF(AV28&gt;0,0.000001,0))</f>
        <v/>
      </c>
      <c r="B28" s="129" t="inlineStr">
        <is>
          <t>Mike Odafe</t>
        </is>
      </c>
      <c r="C28" s="48">
        <f>IFERROR(IF($B28="","",VLOOKUP($B28,Medewerker!$C$8:$AI$107,33,FALSE)),"?")</f>
        <v/>
      </c>
      <c r="D28" s="879">
        <f t="array" ref="D28">IFERROR(IF(LEFT(INDEX($F28:$AQ28,1,SUM(SMALL(IF($F28:$AQ28&lt;&gt;"",COLUMN($F28:$AQ28)),1)-5)),1)="x",SUM(SMALL(IF($F28:$AQ28&lt;&gt;"",$F$11:$AQ$11),1)+"0:15"),SMALL(IF($F28:$AQ28&lt;&gt;"",$F$11:$AQ$11),1)),"")</f>
        <v/>
      </c>
      <c r="E28" s="879">
        <f t="array" ref="E28">IFERROR(IF(LEFT(INDEX($F28:$AQ28,1,SUM(LARGE(IF($F28:$AQ28&lt;&gt;"",COLUMN($F28:$AQ28)),1)-5)),1)="x",SUM(LARGE(IF($F28:$AQ28&lt;&gt;"",$F$11:$AQ$11+"0:30:00"),1)-"0:15"),LARGE(IF($F28:$AQ28&lt;&gt;"",$F$11:$AQ$11+"0:30:00"),1)),"")</f>
        <v/>
      </c>
      <c r="F28" s="40" t="n"/>
      <c r="G28" s="41" t="n"/>
      <c r="H28" s="40" t="n"/>
      <c r="I28" s="41" t="n"/>
      <c r="J28" s="40" t="inlineStr">
        <is>
          <t>nh</t>
        </is>
      </c>
      <c r="K28" s="42" t="inlineStr">
        <is>
          <t>nh</t>
        </is>
      </c>
      <c r="L28" s="43" t="inlineStr">
        <is>
          <t>l</t>
        </is>
      </c>
      <c r="M28" s="41" t="inlineStr">
        <is>
          <t>sp</t>
        </is>
      </c>
      <c r="N28" s="40" t="inlineStr">
        <is>
          <t>sp</t>
        </is>
      </c>
      <c r="O28" s="42" t="inlineStr">
        <is>
          <t>sp</t>
        </is>
      </c>
      <c r="P28" s="43" t="inlineStr">
        <is>
          <t>sp</t>
        </is>
      </c>
      <c r="Q28" s="41" t="inlineStr">
        <is>
          <t>sp</t>
        </is>
      </c>
      <c r="R28" s="40" t="inlineStr">
        <is>
          <t>p</t>
        </is>
      </c>
      <c r="S28" s="42" t="inlineStr">
        <is>
          <t>hv</t>
        </is>
      </c>
      <c r="T28" s="43" t="inlineStr">
        <is>
          <t>hv</t>
        </is>
      </c>
      <c r="U28" s="41" t="inlineStr">
        <is>
          <t>hv</t>
        </is>
      </c>
      <c r="V28" s="40" t="inlineStr">
        <is>
          <t>hv</t>
        </is>
      </c>
      <c r="W28" s="42" t="inlineStr">
        <is>
          <t>hv</t>
        </is>
      </c>
      <c r="X28" s="43" t="inlineStr">
        <is>
          <t>hv</t>
        </is>
      </c>
      <c r="Y28" s="41" t="n"/>
      <c r="Z28" s="40" t="n"/>
      <c r="AA28" s="42" t="n"/>
      <c r="AB28" s="43" t="n"/>
      <c r="AC28" s="41" t="n"/>
      <c r="AD28" s="40" t="n"/>
      <c r="AE28" s="42" t="n"/>
      <c r="AF28" s="43" t="n"/>
      <c r="AG28" s="41" t="n"/>
      <c r="AH28" s="40" t="n"/>
      <c r="AI28" s="42" t="n"/>
      <c r="AJ28" s="43" t="n"/>
      <c r="AK28" s="41" t="n"/>
      <c r="AL28" s="40" t="n"/>
      <c r="AM28" s="41" t="n"/>
      <c r="AN28" s="645" t="n"/>
      <c r="AO28" s="42" t="n"/>
      <c r="AP28" s="40" t="n"/>
      <c r="AQ28" s="41" t="n"/>
      <c r="AR28" s="888">
        <f>IFERROR(IF(VLOOKUP($B28,Medewerker!$C$8:$Y$107,23,FALSE)="",VLOOKUP($B28,Medewerker!$C$8:$Y$107,21,FALSE),0),0)</f>
        <v/>
      </c>
      <c r="AS28" s="889">
        <f>IFERROR(IF(B28="",1,IF(VLOOKUP($B28,Medewerker!$C$8:$Y$107,23,FALSE)="",VLOOKUP($B28,Medewerker!$C$8:$Y$107,22,FALSE),0)),0)</f>
        <v/>
      </c>
      <c r="AT28" s="30" t="n"/>
      <c r="AU28" s="30">
        <f>(COUNTIF(F28:AQ28,"afw"))/2</f>
        <v/>
      </c>
      <c r="AV28" s="111">
        <f>((38-(COUNTIF(F28:AQ28,"")))/2)-(COUNTIF(F28:AQ28,"p")/2)-(COUNTIF(F28:AQ28,CONCATENATE("x","*"))/4)</f>
        <v/>
      </c>
      <c r="AW28" s="73">
        <f>IF($B28="","",VLOOKUP($B28,Medewerker!$C$8:$E$107,3,FALSE))</f>
        <v/>
      </c>
      <c r="AX28" s="403">
        <f>IFERROR(VLOOKUP($B28,Planning!$B$6:$AG$105,32,FALSE)*24,"")</f>
        <v/>
      </c>
      <c r="AY28" s="562" t="inlineStr">
        <is>
          <t>ldv</t>
        </is>
      </c>
      <c r="AZ28" s="166" t="inlineStr">
        <is>
          <t>Neeverkoop DV</t>
        </is>
      </c>
      <c r="BA28" s="111">
        <f>COUNTIF($F$13:$AQ$63,CONCATENATE(AY28,"*"))/2+COUNTIF($F$13:$AQ$63,CONCATENATE("x",AY28,"*"))/4</f>
        <v/>
      </c>
      <c r="BB28" s="838" t="n"/>
      <c r="BC28" s="31">
        <f>IF(Planning!B21="","",Planning!B21)</f>
        <v/>
      </c>
      <c r="BD28" s="105" t="n"/>
      <c r="BE28" s="885">
        <f>Planning!E21</f>
        <v/>
      </c>
      <c r="BF28" s="885">
        <f>Planning!F21</f>
        <v/>
      </c>
      <c r="BG28" s="886" t="n"/>
      <c r="BH28" s="105" t="n"/>
      <c r="BI28" s="885">
        <f>Planning!I21</f>
        <v/>
      </c>
      <c r="BJ28" s="885">
        <f>Planning!J21</f>
        <v/>
      </c>
      <c r="BK28" s="886" t="n"/>
      <c r="BL28" s="105" t="n"/>
      <c r="BM28" s="885">
        <f>Planning!M21</f>
        <v/>
      </c>
      <c r="BN28" s="885">
        <f>Planning!N21</f>
        <v/>
      </c>
      <c r="BO28" s="886" t="n"/>
      <c r="BP28" s="105" t="n"/>
      <c r="BQ28" s="885">
        <f>Planning!Q21</f>
        <v/>
      </c>
      <c r="BR28" s="885">
        <f>Planning!R21</f>
        <v/>
      </c>
      <c r="BS28" s="886" t="n"/>
      <c r="BT28" s="105" t="n"/>
      <c r="BU28" s="885">
        <f>Planning!U21</f>
        <v/>
      </c>
      <c r="BV28" s="885">
        <f>Planning!V21</f>
        <v/>
      </c>
      <c r="BW28" s="886" t="n"/>
      <c r="BX28" s="105" t="n"/>
      <c r="BY28" s="885">
        <f>Planning!Y21</f>
        <v/>
      </c>
      <c r="BZ28" s="885">
        <f>Planning!Z21</f>
        <v/>
      </c>
      <c r="CA28" s="886" t="n"/>
      <c r="CB28" s="105" t="n"/>
      <c r="CC28" s="885">
        <f>Planning!AC21</f>
        <v/>
      </c>
      <c r="CD28" s="885">
        <f>Planning!AD21</f>
        <v/>
      </c>
      <c r="CE28" s="886" t="n"/>
      <c r="CF28" s="105" t="n"/>
      <c r="CG28" s="887">
        <f>Planning!AG21</f>
        <v/>
      </c>
      <c r="CH28" s="105" t="n"/>
      <c r="CI28" s="252">
        <f>IF(BC28="","",Planning!AI21)</f>
        <v/>
      </c>
      <c r="CJ28" s="252">
        <f>IF(BC28="","",Planning!AJ21)</f>
        <v/>
      </c>
      <c r="CK28" s="252">
        <f>IF(BC28="","",Planning!AK21)</f>
        <v/>
      </c>
      <c r="CL28" s="252">
        <f>IF(BC28="","",Planning!AH21)</f>
        <v/>
      </c>
      <c r="CM28" s="21" t="n"/>
    </row>
    <row r="29" ht="12.75" customHeight="1">
      <c r="A29" s="161">
        <f>IFERROR(IF(VLOOKUP($B29,$BC$13:$CL$86,36,FALSE)&gt;5,0,IF(COUNTIF($B$13:$B$63,$B29)&gt;1,0,17)),17)+IF(B29&lt;&gt;0,0,IF(AV29&gt;0,0.000001,0))</f>
        <v/>
      </c>
      <c r="B29" s="129" t="inlineStr">
        <is>
          <t>Tony Zogo</t>
        </is>
      </c>
      <c r="C29" s="127">
        <f>IFERROR(IF($B29="","",VLOOKUP($B29,Medewerker!$C$8:$AI$107,33,FALSE)),"?")</f>
        <v/>
      </c>
      <c r="D29" s="890">
        <f t="array" ref="D29">IFERROR(IF(LEFT(INDEX($F29:$AQ29,1,SUM(SMALL(IF($F29:$AQ29&lt;&gt;"",COLUMN($F29:$AQ29)),1)-5)),1)="x",SUM(SMALL(IF($F29:$AQ29&lt;&gt;"",$F$11:$AQ$11),1)+"0:15"),SMALL(IF($F29:$AQ29&lt;&gt;"",$F$11:$AQ$11),1)),"")</f>
        <v/>
      </c>
      <c r="E29" s="890">
        <f t="array" ref="E29">IFERROR(IF(LEFT(INDEX($F29:$AQ29,1,SUM(LARGE(IF($F29:$AQ29&lt;&gt;"",COLUMN($F29:$AQ29)),1)-5)),1)="x",SUM(LARGE(IF($F29:$AQ29&lt;&gt;"",$F$11:$AQ$11+"0:30:00"),1)-"0:15"),LARGE(IF($F29:$AQ29&lt;&gt;"",$F$11:$AQ$11+"0:30:00"),1)),"")</f>
        <v/>
      </c>
      <c r="F29" s="40" t="n"/>
      <c r="G29" s="41" t="n"/>
      <c r="H29" s="41" t="n"/>
      <c r="I29" s="42" t="n"/>
      <c r="J29" s="40" t="inlineStr">
        <is>
          <t>nh</t>
        </is>
      </c>
      <c r="K29" s="42" t="inlineStr">
        <is>
          <t>nh</t>
        </is>
      </c>
      <c r="L29" s="43" t="inlineStr">
        <is>
          <t>l</t>
        </is>
      </c>
      <c r="M29" s="41" t="inlineStr">
        <is>
          <t>hv</t>
        </is>
      </c>
      <c r="N29" s="40" t="inlineStr">
        <is>
          <t>hv</t>
        </is>
      </c>
      <c r="O29" s="42" t="inlineStr">
        <is>
          <t>hv</t>
        </is>
      </c>
      <c r="P29" s="43" t="inlineStr">
        <is>
          <t>hv</t>
        </is>
      </c>
      <c r="Q29" s="41" t="inlineStr">
        <is>
          <t>hv</t>
        </is>
      </c>
      <c r="R29" s="40" t="inlineStr">
        <is>
          <t>p</t>
        </is>
      </c>
      <c r="S29" s="42" t="inlineStr">
        <is>
          <t>hv</t>
        </is>
      </c>
      <c r="T29" s="43" t="inlineStr">
        <is>
          <t>hv</t>
        </is>
      </c>
      <c r="U29" s="41" t="inlineStr">
        <is>
          <t>hv</t>
        </is>
      </c>
      <c r="V29" s="40" t="inlineStr">
        <is>
          <t>hv</t>
        </is>
      </c>
      <c r="W29" s="42" t="n"/>
      <c r="X29" s="43" t="n"/>
      <c r="Y29" s="41" t="n"/>
      <c r="Z29" s="43" t="n"/>
      <c r="AA29" s="41" t="n"/>
      <c r="AB29" s="40" t="n"/>
      <c r="AC29" s="42" t="n"/>
      <c r="AD29" s="43" t="n"/>
      <c r="AE29" s="41" t="n"/>
      <c r="AF29" s="40" t="n"/>
      <c r="AG29" s="42" t="n"/>
      <c r="AH29" s="43" t="n"/>
      <c r="AI29" s="41" t="n"/>
      <c r="AJ29" s="40" t="n"/>
      <c r="AK29" s="42" t="n"/>
      <c r="AL29" s="40" t="n"/>
      <c r="AM29" s="41" t="n"/>
      <c r="AN29" s="645" t="n"/>
      <c r="AO29" s="42" t="n"/>
      <c r="AP29" s="40" t="n"/>
      <c r="AQ29" s="41" t="n"/>
      <c r="AR29" s="888">
        <f>IFERROR(IF(VLOOKUP($B29,Medewerker!$C$8:$Y$107,23,FALSE)="",VLOOKUP($B29,Medewerker!$C$8:$Y$107,21,FALSE),0),0)</f>
        <v/>
      </c>
      <c r="AS29" s="889">
        <f>IFERROR(IF(B29="",1,IF(VLOOKUP($B29,Medewerker!$C$8:$Y$107,23,FALSE)="",VLOOKUP($B29,Medewerker!$C$8:$Y$107,22,FALSE),0)),0)</f>
        <v/>
      </c>
      <c r="AT29" s="30" t="n"/>
      <c r="AU29" s="30">
        <f>(COUNTIF(F29:AQ29,"afw"))/2</f>
        <v/>
      </c>
      <c r="AV29" s="111">
        <f>((38-(COUNTIF(F29:AQ29,"")))/2)-(COUNTIF(F29:AQ29,"p")/2)-(COUNTIF(F29:AQ29,CONCATENATE("x","*"))/4)</f>
        <v/>
      </c>
      <c r="AW29" s="73">
        <f>IF($B29="","",VLOOKUP($B29,Medewerker!$C$8:$E$107,3,FALSE))</f>
        <v/>
      </c>
      <c r="AX29" s="403">
        <f>IFERROR(VLOOKUP($B29,Planning!$B$6:$AG$105,32,FALSE)*24,"")</f>
        <v/>
      </c>
      <c r="AY29" s="563" t="inlineStr">
        <is>
          <t>lvv</t>
        </is>
      </c>
      <c r="AZ29" s="413" t="inlineStr">
        <is>
          <t>Neeverkoop Vers</t>
        </is>
      </c>
      <c r="BA29" s="111">
        <f>COUNTIF($F$13:$AQ$63,CONCATENATE(AY29,"*"))/2+COUNTIF($F$13:$AQ$63,CONCATENATE("x",AY29,"*"))/4</f>
        <v/>
      </c>
      <c r="BB29" s="838" t="n"/>
      <c r="BC29" s="31">
        <f>IF(Planning!B22="","",Planning!B22)</f>
        <v/>
      </c>
      <c r="BD29" s="105" t="n"/>
      <c r="BE29" s="885">
        <f>Planning!E22</f>
        <v/>
      </c>
      <c r="BF29" s="885">
        <f>Planning!F22</f>
        <v/>
      </c>
      <c r="BG29" s="886" t="n"/>
      <c r="BH29" s="105" t="n"/>
      <c r="BI29" s="885">
        <f>Planning!I22</f>
        <v/>
      </c>
      <c r="BJ29" s="885">
        <f>Planning!J22</f>
        <v/>
      </c>
      <c r="BK29" s="886" t="n"/>
      <c r="BL29" s="105" t="n"/>
      <c r="BM29" s="885">
        <f>Planning!M22</f>
        <v/>
      </c>
      <c r="BN29" s="885">
        <f>Planning!N22</f>
        <v/>
      </c>
      <c r="BO29" s="886" t="n"/>
      <c r="BP29" s="105" t="n"/>
      <c r="BQ29" s="885">
        <f>Planning!Q22</f>
        <v/>
      </c>
      <c r="BR29" s="885">
        <f>Planning!R22</f>
        <v/>
      </c>
      <c r="BS29" s="886" t="n"/>
      <c r="BT29" s="105" t="n"/>
      <c r="BU29" s="885">
        <f>Planning!U22</f>
        <v/>
      </c>
      <c r="BV29" s="885">
        <f>Planning!V22</f>
        <v/>
      </c>
      <c r="BW29" s="886" t="n"/>
      <c r="BX29" s="105" t="n"/>
      <c r="BY29" s="885">
        <f>Planning!Y22</f>
        <v/>
      </c>
      <c r="BZ29" s="885">
        <f>Planning!Z22</f>
        <v/>
      </c>
      <c r="CA29" s="886" t="n"/>
      <c r="CB29" s="105" t="n"/>
      <c r="CC29" s="885">
        <f>Planning!AC22</f>
        <v/>
      </c>
      <c r="CD29" s="885">
        <f>Planning!AD22</f>
        <v/>
      </c>
      <c r="CE29" s="886" t="n"/>
      <c r="CF29" s="105" t="n"/>
      <c r="CG29" s="887">
        <f>Planning!AG22</f>
        <v/>
      </c>
      <c r="CH29" s="105" t="n"/>
      <c r="CI29" s="252">
        <f>IF(BC29="","",Planning!AI22)</f>
        <v/>
      </c>
      <c r="CJ29" s="252">
        <f>IF(BC29="","",Planning!AJ22)</f>
        <v/>
      </c>
      <c r="CK29" s="252">
        <f>IF(BC29="","",Planning!AK22)</f>
        <v/>
      </c>
      <c r="CL29" s="252">
        <f>IF(BC29="","",Planning!AH22)</f>
        <v/>
      </c>
      <c r="CM29" s="21" t="n"/>
    </row>
    <row r="30" ht="12.75" customHeight="1">
      <c r="A30" s="161">
        <f>IFERROR(IF(VLOOKUP($B30,$BC$13:$CL$86,36,FALSE)&gt;5,0,IF(COUNTIF($B$13:$B$63,$B30)&gt;1,0,18)),18)+IF(B30&lt;&gt;0,0,IF(AV30&gt;0,0.000001,0))</f>
        <v/>
      </c>
      <c r="B30" s="129" t="n"/>
      <c r="C30" s="127">
        <f>IFERROR(IF($B30="","",VLOOKUP($B30,Medewerker!$C$8:$AI$107,33,FALSE)),"?")</f>
        <v/>
      </c>
      <c r="D30" s="890">
        <f t="array" ref="D30">IFERROR(IF(LEFT(INDEX($F30:$AQ30,1,SUM(SMALL(IF($F30:$AQ30&lt;&gt;"",COLUMN($F30:$AQ30)),1)-5)),1)="x",SUM(SMALL(IF($F30:$AQ30&lt;&gt;"",$F$11:$AQ$11),1)+"0:15"),SMALL(IF($F30:$AQ30&lt;&gt;"",$F$11:$AQ$11),1)),"")</f>
        <v/>
      </c>
      <c r="E30" s="890">
        <f t="array" ref="E30">IFERROR(IF(LEFT(INDEX($F30:$AQ30,1,SUM(LARGE(IF($F30:$AQ30&lt;&gt;"",COLUMN($F30:$AQ30)),1)-5)),1)="x",SUM(LARGE(IF($F30:$AQ30&lt;&gt;"",$F$11:$AQ$11+"0:30:00"),1)-"0:15"),LARGE(IF($F30:$AQ30&lt;&gt;"",$F$11:$AQ$11+"0:30:00"),1)),"")</f>
        <v/>
      </c>
      <c r="F30" s="40" t="n"/>
      <c r="G30" s="41" t="n"/>
      <c r="H30" s="41" t="n"/>
      <c r="I30" s="42" t="n"/>
      <c r="J30" s="43" t="n"/>
      <c r="K30" s="41" t="n"/>
      <c r="L30" s="40" t="n"/>
      <c r="M30" s="42" t="n"/>
      <c r="N30" s="43" t="n"/>
      <c r="O30" s="41" t="n"/>
      <c r="P30" s="40" t="n"/>
      <c r="Q30" s="42" t="n"/>
      <c r="R30" s="43" t="n"/>
      <c r="S30" s="41" t="n"/>
      <c r="T30" s="40" t="n"/>
      <c r="U30" s="42" t="n"/>
      <c r="V30" s="43" t="n"/>
      <c r="W30" s="41" t="n"/>
      <c r="X30" s="40" t="n"/>
      <c r="Y30" s="42" t="n"/>
      <c r="Z30" s="43" t="n"/>
      <c r="AA30" s="41" t="n"/>
      <c r="AB30" s="40" t="n"/>
      <c r="AC30" s="42" t="n"/>
      <c r="AD30" s="43" t="n"/>
      <c r="AE30" s="41" t="n"/>
      <c r="AF30" s="40" t="n"/>
      <c r="AG30" s="42" t="n"/>
      <c r="AH30" s="43" t="n"/>
      <c r="AI30" s="41" t="n"/>
      <c r="AJ30" s="40" t="n"/>
      <c r="AK30" s="42" t="n"/>
      <c r="AL30" s="40" t="n"/>
      <c r="AM30" s="41" t="n"/>
      <c r="AN30" s="645" t="n"/>
      <c r="AO30" s="42" t="n"/>
      <c r="AP30" s="40" t="n"/>
      <c r="AQ30" s="41" t="n"/>
      <c r="AR30" s="888">
        <f>IFERROR(IF(VLOOKUP($B30,Medewerker!$C$8:$Y$107,23,FALSE)="",VLOOKUP($B30,Medewerker!$C$8:$Y$107,21,FALSE),0),0)</f>
        <v/>
      </c>
      <c r="AS30" s="889">
        <f>IFERROR(IF(B30="",1,IF(VLOOKUP($B30,Medewerker!$C$8:$Y$107,23,FALSE)="",VLOOKUP($B30,Medewerker!$C$8:$Y$107,22,FALSE),0)),0)</f>
        <v/>
      </c>
      <c r="AT30" s="30" t="n"/>
      <c r="AU30" s="30">
        <f>(COUNTIF(F30:AQ30,"afw"))/2</f>
        <v/>
      </c>
      <c r="AV30" s="111">
        <f>((38-(COUNTIF(F30:AQ30,"")))/2)-(COUNTIF(F30:AQ30,"p")/2)-(COUNTIF(F30:AQ30,CONCATENATE("x","*"))/4)</f>
        <v/>
      </c>
      <c r="AW30" s="73">
        <f>IF($B30="","",VLOOKUP($B30,Medewerker!$C$8:$E$107,3,FALSE))</f>
        <v/>
      </c>
      <c r="AX30" s="403">
        <f>IFERROR(VLOOKUP($B30,Planning!$B$6:$AG$105,32,FALSE)*24,"")</f>
        <v/>
      </c>
      <c r="AY30" s="564" t="inlineStr">
        <is>
          <t>vcr</t>
        </is>
      </c>
      <c r="AZ30" s="561" t="inlineStr">
        <is>
          <t>Risicoartikelen tellen</t>
        </is>
      </c>
      <c r="BA30" s="140">
        <f>COUNTIF($F$13:$AQ$63,CONCATENATE(AY30,"*"))/2+COUNTIF($F$13:$AQ$63,CONCATENATE("x",AY30,"*"))/4</f>
        <v/>
      </c>
      <c r="BB30" s="838" t="n"/>
      <c r="BC30" s="31">
        <f>IF(Planning!B23="","",Planning!B23)</f>
        <v/>
      </c>
      <c r="BD30" s="105" t="n"/>
      <c r="BE30" s="885">
        <f>Planning!E23</f>
        <v/>
      </c>
      <c r="BF30" s="885">
        <f>Planning!F23</f>
        <v/>
      </c>
      <c r="BG30" s="886" t="n"/>
      <c r="BH30" s="105" t="n"/>
      <c r="BI30" s="885">
        <f>Planning!I23</f>
        <v/>
      </c>
      <c r="BJ30" s="885">
        <f>Planning!J23</f>
        <v/>
      </c>
      <c r="BK30" s="886" t="n"/>
      <c r="BL30" s="105" t="n"/>
      <c r="BM30" s="885">
        <f>Planning!M23</f>
        <v/>
      </c>
      <c r="BN30" s="885">
        <f>Planning!N23</f>
        <v/>
      </c>
      <c r="BO30" s="886" t="n"/>
      <c r="BP30" s="105" t="n"/>
      <c r="BQ30" s="885">
        <f>Planning!Q23</f>
        <v/>
      </c>
      <c r="BR30" s="885">
        <f>Planning!R23</f>
        <v/>
      </c>
      <c r="BS30" s="886" t="n"/>
      <c r="BT30" s="105" t="n"/>
      <c r="BU30" s="885">
        <f>Planning!U23</f>
        <v/>
      </c>
      <c r="BV30" s="885">
        <f>Planning!V23</f>
        <v/>
      </c>
      <c r="BW30" s="886" t="n"/>
      <c r="BX30" s="105" t="n"/>
      <c r="BY30" s="885">
        <f>Planning!Y23</f>
        <v/>
      </c>
      <c r="BZ30" s="885">
        <f>Planning!Z23</f>
        <v/>
      </c>
      <c r="CA30" s="886" t="n"/>
      <c r="CB30" s="105" t="n"/>
      <c r="CC30" s="885">
        <f>Planning!AC23</f>
        <v/>
      </c>
      <c r="CD30" s="885">
        <f>Planning!AD23</f>
        <v/>
      </c>
      <c r="CE30" s="886" t="n"/>
      <c r="CF30" s="105" t="n"/>
      <c r="CG30" s="887">
        <f>Planning!AG23</f>
        <v/>
      </c>
      <c r="CH30" s="105" t="n"/>
      <c r="CI30" s="252">
        <f>IF(BC30="","",Planning!AI23)</f>
        <v/>
      </c>
      <c r="CJ30" s="252">
        <f>IF(BC30="","",Planning!AJ23)</f>
        <v/>
      </c>
      <c r="CK30" s="252">
        <f>IF(BC30="","",Planning!AK23)</f>
        <v/>
      </c>
      <c r="CL30" s="252">
        <f>IF(BC30="","",Planning!AH23)</f>
        <v/>
      </c>
      <c r="CM30" s="21" t="n"/>
    </row>
    <row r="31" ht="12.75" customHeight="1">
      <c r="A31" s="161">
        <f>IFERROR(IF(VLOOKUP($B31,$BC$13:$CL$86,36,FALSE)&gt;5,0,IF(COUNTIF($B$13:$B$63,$B31)&gt;1,0,19)),19)+IF(B31&lt;&gt;0,0,IF(AV31&gt;0,0.000001,0))</f>
        <v/>
      </c>
      <c r="B31" s="129" t="inlineStr">
        <is>
          <t>Fatmir Bilalovski</t>
        </is>
      </c>
      <c r="C31" s="127">
        <f>IFERROR(IF($B31="","",VLOOKUP($B31,Medewerker!$C$8:$AI$107,33,FALSE)),"?")</f>
        <v/>
      </c>
      <c r="D31" s="890">
        <f t="array" ref="D31">IFERROR(IF(LEFT(INDEX($F31:$AQ31,1,SUM(SMALL(IF($F31:$AQ31&lt;&gt;"",COLUMN($F31:$AQ31)),1)-5)),1)="x",SUM(SMALL(IF($F31:$AQ31&lt;&gt;"",$F$11:$AQ$11),1)+"0:15"),SMALL(IF($F31:$AQ31&lt;&gt;"",$F$11:$AQ$11),1)),"")</f>
        <v/>
      </c>
      <c r="E31" s="890">
        <f t="array" ref="E31">IFERROR(IF(LEFT(INDEX($F31:$AQ31,1,SUM(LARGE(IF($F31:$AQ31&lt;&gt;"",COLUMN($F31:$AQ31)),1)-5)),1)="x",SUM(LARGE(IF($F31:$AQ31&lt;&gt;"",$F$11:$AQ$11+"0:30:00"),1)-"0:15"),LARGE(IF($F31:$AQ31&lt;&gt;"",$F$11:$AQ$11+"0:30:00"),1)),"")</f>
        <v/>
      </c>
      <c r="F31" s="40" t="n"/>
      <c r="G31" s="41" t="n"/>
      <c r="H31" s="41" t="n"/>
      <c r="I31" s="42" t="n"/>
      <c r="J31" s="43" t="n"/>
      <c r="K31" s="41" t="n"/>
      <c r="L31" s="40" t="inlineStr">
        <is>
          <t>rd</t>
        </is>
      </c>
      <c r="M31" s="42" t="inlineStr">
        <is>
          <t>rd</t>
        </is>
      </c>
      <c r="N31" s="43" t="inlineStr">
        <is>
          <t>rd</t>
        </is>
      </c>
      <c r="O31" s="41" t="inlineStr">
        <is>
          <t>dv</t>
        </is>
      </c>
      <c r="P31" s="40" t="inlineStr">
        <is>
          <t>dv</t>
        </is>
      </c>
      <c r="Q31" s="42" t="inlineStr">
        <is>
          <t>dv</t>
        </is>
      </c>
      <c r="R31" s="43" t="inlineStr">
        <is>
          <t>dv</t>
        </is>
      </c>
      <c r="S31" s="41" t="n"/>
      <c r="T31" s="40" t="n"/>
      <c r="U31" s="42" t="n"/>
      <c r="V31" s="43" t="n"/>
      <c r="W31" s="41" t="n"/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645" t="n"/>
      <c r="AO31" s="42" t="n"/>
      <c r="AP31" s="40" t="n"/>
      <c r="AQ31" s="41" t="n"/>
      <c r="AR31" s="888">
        <f>IFERROR(IF(VLOOKUP($B31,Medewerker!$C$8:$Y$107,23,FALSE)="",VLOOKUP($B31,Medewerker!$C$8:$Y$107,21,FALSE),0),0)</f>
        <v/>
      </c>
      <c r="AS31" s="889">
        <f>IFERROR(IF(B31="",1,IF(VLOOKUP($B31,Medewerker!$C$8:$Y$107,23,FALSE)="",VLOOKUP($B31,Medewerker!$C$8:$Y$107,22,FALSE),0)),0)</f>
        <v/>
      </c>
      <c r="AT31" s="30" t="n"/>
      <c r="AU31" s="30">
        <f>(COUNTIF(F31:AQ31,"afw"))/2</f>
        <v/>
      </c>
      <c r="AV31" s="111">
        <f>((38-(COUNTIF(F31:AQ31,"")))/2)-(COUNTIF(F31:AQ31,"p")/2)-(COUNTIF(F31:AQ31,CONCATENATE("x","*"))/4)</f>
        <v/>
      </c>
      <c r="AW31" s="73">
        <f>IF($B31="","",VLOOKUP($B31,Medewerker!$C$8:$E$107,3,FALSE))</f>
        <v/>
      </c>
      <c r="AX31" s="403">
        <f>IFERROR(VLOOKUP($B31,Planning!$B$6:$AG$105,32,FALSE)*24,"")</f>
        <v/>
      </c>
      <c r="AY31" s="882" t="inlineStr">
        <is>
          <t>Magazijn</t>
        </is>
      </c>
      <c r="AZ31" s="883" t="n"/>
      <c r="BA31" s="884" t="n"/>
      <c r="BB31" s="838" t="n"/>
      <c r="BC31" s="31">
        <f>IF(Planning!B24="","",Planning!B24)</f>
        <v/>
      </c>
      <c r="BD31" s="105" t="n"/>
      <c r="BE31" s="885">
        <f>Planning!E24</f>
        <v/>
      </c>
      <c r="BF31" s="885">
        <f>Planning!F24</f>
        <v/>
      </c>
      <c r="BG31" s="886" t="n"/>
      <c r="BH31" s="105" t="n"/>
      <c r="BI31" s="885">
        <f>Planning!I24</f>
        <v/>
      </c>
      <c r="BJ31" s="885">
        <f>Planning!J24</f>
        <v/>
      </c>
      <c r="BK31" s="886" t="n"/>
      <c r="BL31" s="105" t="n"/>
      <c r="BM31" s="885">
        <f>Planning!M24</f>
        <v/>
      </c>
      <c r="BN31" s="885">
        <f>Planning!N24</f>
        <v/>
      </c>
      <c r="BO31" s="886" t="n"/>
      <c r="BP31" s="105" t="n"/>
      <c r="BQ31" s="885">
        <f>Planning!Q24</f>
        <v/>
      </c>
      <c r="BR31" s="885">
        <f>Planning!R24</f>
        <v/>
      </c>
      <c r="BS31" s="886" t="n"/>
      <c r="BT31" s="105" t="n"/>
      <c r="BU31" s="885">
        <f>Planning!U24</f>
        <v/>
      </c>
      <c r="BV31" s="885">
        <f>Planning!V24</f>
        <v/>
      </c>
      <c r="BW31" s="886" t="n"/>
      <c r="BX31" s="105" t="n"/>
      <c r="BY31" s="885">
        <f>Planning!Y24</f>
        <v/>
      </c>
      <c r="BZ31" s="885">
        <f>Planning!Z24</f>
        <v/>
      </c>
      <c r="CA31" s="886" t="n"/>
      <c r="CB31" s="105" t="n"/>
      <c r="CC31" s="885">
        <f>Planning!AC24</f>
        <v/>
      </c>
      <c r="CD31" s="885">
        <f>Planning!AD24</f>
        <v/>
      </c>
      <c r="CE31" s="886" t="n"/>
      <c r="CF31" s="105" t="n"/>
      <c r="CG31" s="887">
        <f>Planning!AG24</f>
        <v/>
      </c>
      <c r="CH31" s="105" t="n"/>
      <c r="CI31" s="252">
        <f>IF(BC31="","",Planning!AI24)</f>
        <v/>
      </c>
      <c r="CJ31" s="252">
        <f>IF(BC31="","",Planning!AJ24)</f>
        <v/>
      </c>
      <c r="CK31" s="252">
        <f>IF(BC31="","",Planning!AK24)</f>
        <v/>
      </c>
      <c r="CL31" s="252">
        <f>IF(BC31="","",Planning!AH24)</f>
        <v/>
      </c>
      <c r="CM31" s="21" t="n"/>
    </row>
    <row r="32" ht="12.75" customHeight="1">
      <c r="A32" s="161">
        <f>IFERROR(IF(VLOOKUP($B32,$BC$13:$CL$86,36,FALSE)&gt;5,0,IF(COUNTIF($B$13:$B$63,$B32)&gt;1,0,20)),20)+IF(B32&lt;&gt;0,0,IF(AV32&gt;0,0.000001,0))</f>
        <v/>
      </c>
      <c r="B32" s="129" t="n"/>
      <c r="C32" s="48">
        <f>IFERROR(IF($B32="","",VLOOKUP($B32,Medewerker!$C$8:$AI$107,33,FALSE)),"?")</f>
        <v/>
      </c>
      <c r="D32" s="879">
        <f t="array" ref="D32">IFERROR(IF(LEFT(INDEX($F32:$AQ32,1,SUM(SMALL(IF($F32:$AQ32&lt;&gt;"",COLUMN($F32:$AQ32)),1)-5)),1)="x",SUM(SMALL(IF($F32:$AQ32&lt;&gt;"",$F$11:$AQ$11),1)+"0:15"),SMALL(IF($F32:$AQ32&lt;&gt;"",$F$11:$AQ$11),1)),"")</f>
        <v/>
      </c>
      <c r="E32" s="879">
        <f t="array" ref="E32">IFERROR(IF(LEFT(INDEX($F32:$AQ32,1,SUM(LARGE(IF($F32:$AQ32&lt;&gt;"",COLUMN($F32:$AQ32)),1)-5)),1)="x",SUM(LARGE(IF($F32:$AQ32&lt;&gt;"",$F$11:$AQ$11+"0:30:00"),1)-"0:15"),LARGE(IF($F32:$AQ32&lt;&gt;"",$F$11:$AQ$11+"0:30:00"),1)),"")</f>
        <v/>
      </c>
      <c r="F32" s="40" t="n"/>
      <c r="G32" s="41" t="n"/>
      <c r="H32" s="41" t="n"/>
      <c r="I32" s="41" t="n"/>
      <c r="J32" s="40" t="n"/>
      <c r="K32" s="42" t="n"/>
      <c r="L32" s="43" t="n"/>
      <c r="M32" s="41" t="n"/>
      <c r="N32" s="40" t="n"/>
      <c r="O32" s="42" t="n"/>
      <c r="P32" s="43" t="n"/>
      <c r="Q32" s="41" t="n"/>
      <c r="R32" s="40" t="n"/>
      <c r="S32" s="42" t="n"/>
      <c r="T32" s="43" t="n"/>
      <c r="U32" s="41" t="n"/>
      <c r="V32" s="40" t="n"/>
      <c r="W32" s="42" t="n"/>
      <c r="X32" s="43" t="n"/>
      <c r="Y32" s="41" t="n"/>
      <c r="Z32" s="40" t="n"/>
      <c r="AA32" s="42" t="n"/>
      <c r="AB32" s="43" t="n"/>
      <c r="AC32" s="41" t="n"/>
      <c r="AD32" s="40" t="n"/>
      <c r="AE32" s="42" t="n"/>
      <c r="AF32" s="43" t="n"/>
      <c r="AG32" s="41" t="n"/>
      <c r="AH32" s="40" t="n"/>
      <c r="AI32" s="42" t="n"/>
      <c r="AJ32" s="43" t="n"/>
      <c r="AK32" s="41" t="n"/>
      <c r="AL32" s="40" t="n"/>
      <c r="AM32" s="41" t="n"/>
      <c r="AN32" s="645" t="n"/>
      <c r="AO32" s="42" t="n"/>
      <c r="AP32" s="40" t="n"/>
      <c r="AQ32" s="41" t="n"/>
      <c r="AR32" s="888">
        <f>IFERROR(IF(VLOOKUP($B32,Medewerker!$C$8:$Y$107,23,FALSE)="",VLOOKUP($B32,Medewerker!$C$8:$Y$107,21,FALSE),0),0)</f>
        <v/>
      </c>
      <c r="AS32" s="889">
        <f>IFERROR(IF(B32="",1,IF(VLOOKUP($B32,Medewerker!$C$8:$Y$107,23,FALSE)="",VLOOKUP($B32,Medewerker!$C$8:$Y$107,22,FALSE),0)),0)</f>
        <v/>
      </c>
      <c r="AT32" s="30" t="n"/>
      <c r="AU32" s="30">
        <f>(COUNTIF(F32:AQ32,"afw"))/2</f>
        <v/>
      </c>
      <c r="AV32" s="111">
        <f>((38-(COUNTIF(F32:AQ32,"")))/2)-(COUNTIF(F32:AQ32,"p")/2)-(COUNTIF(F32:AQ32,CONCATENATE("x","*"))/4)</f>
        <v/>
      </c>
      <c r="AW32" s="73">
        <f>IF($B32="","",VLOOKUP($B32,Medewerker!$C$8:$E$107,3,FALSE))</f>
        <v/>
      </c>
      <c r="AX32" s="403">
        <f>IFERROR(VLOOKUP($B32,Planning!$B$6:$AG$105,32,FALSE)*24,"")</f>
        <v/>
      </c>
      <c r="AY32" s="407" t="inlineStr">
        <is>
          <t>l</t>
        </is>
      </c>
      <c r="AZ32" s="166" t="inlineStr">
        <is>
          <t>Lossen/Retouren</t>
        </is>
      </c>
      <c r="BA32" s="111">
        <f>COUNTIF($F$13:$AQ$63,CONCATENATE(AY32,"*"))/2+COUNTIF($F$13:$AQ$63,CONCATENATE("x",AY32,"*"))/4-SUM(BA27:BA29)</f>
        <v/>
      </c>
      <c r="BB32" s="838" t="n"/>
      <c r="BC32" s="31">
        <f>IF(Planning!B25="","",Planning!B25)</f>
        <v/>
      </c>
      <c r="BD32" s="105" t="n"/>
      <c r="BE32" s="885">
        <f>Planning!E25</f>
        <v/>
      </c>
      <c r="BF32" s="885">
        <f>Planning!F25</f>
        <v/>
      </c>
      <c r="BG32" s="886" t="n"/>
      <c r="BH32" s="105" t="n"/>
      <c r="BI32" s="885">
        <f>Planning!I25</f>
        <v/>
      </c>
      <c r="BJ32" s="885">
        <f>Planning!J25</f>
        <v/>
      </c>
      <c r="BK32" s="886" t="n"/>
      <c r="BL32" s="105" t="n"/>
      <c r="BM32" s="885">
        <f>Planning!M25</f>
        <v/>
      </c>
      <c r="BN32" s="885">
        <f>Planning!N25</f>
        <v/>
      </c>
      <c r="BO32" s="886" t="n"/>
      <c r="BP32" s="105" t="n"/>
      <c r="BQ32" s="885">
        <f>Planning!Q25</f>
        <v/>
      </c>
      <c r="BR32" s="885">
        <f>Planning!R25</f>
        <v/>
      </c>
      <c r="BS32" s="886" t="n"/>
      <c r="BT32" s="105" t="n"/>
      <c r="BU32" s="885">
        <f>Planning!U25</f>
        <v/>
      </c>
      <c r="BV32" s="885">
        <f>Planning!V25</f>
        <v/>
      </c>
      <c r="BW32" s="886" t="n"/>
      <c r="BX32" s="105" t="n"/>
      <c r="BY32" s="885">
        <f>Planning!Y25</f>
        <v/>
      </c>
      <c r="BZ32" s="885">
        <f>Planning!Z25</f>
        <v/>
      </c>
      <c r="CA32" s="886" t="n"/>
      <c r="CB32" s="105" t="n"/>
      <c r="CC32" s="885">
        <f>Planning!AC25</f>
        <v/>
      </c>
      <c r="CD32" s="885">
        <f>Planning!AD25</f>
        <v/>
      </c>
      <c r="CE32" s="886" t="n"/>
      <c r="CF32" s="105" t="n"/>
      <c r="CG32" s="887">
        <f>Planning!AG25</f>
        <v/>
      </c>
      <c r="CH32" s="105" t="n"/>
      <c r="CI32" s="252">
        <f>IF(BC32="","",Planning!AI25)</f>
        <v/>
      </c>
      <c r="CJ32" s="252">
        <f>IF(BC32="","",Planning!AJ25)</f>
        <v/>
      </c>
      <c r="CK32" s="252">
        <f>IF(BC32="","",Planning!AK25)</f>
        <v/>
      </c>
      <c r="CL32" s="252">
        <f>IF(BC32="","",Planning!AH25)</f>
        <v/>
      </c>
      <c r="CM32" s="21" t="n"/>
    </row>
    <row r="33" ht="12.75" customHeight="1">
      <c r="A33" s="161">
        <f>IFERROR(IF(VLOOKUP($B33,$BC$13:$CL$86,36,FALSE)&gt;5,0,IF(COUNTIF($B$13:$B$63,$B33)&gt;1,0,21)),21)+IF(B33&lt;&gt;0,0,IF(AV33&gt;0,0.000001,0))</f>
        <v/>
      </c>
      <c r="B33" s="129" t="inlineStr">
        <is>
          <t>Kamal</t>
        </is>
      </c>
      <c r="C33" s="48">
        <f>IFERROR(IF($B33="","",VLOOKUP($B33,Medewerker!$C$8:$AI$107,33,FALSE)),"?")</f>
        <v/>
      </c>
      <c r="D33" s="879">
        <f t="array" ref="D33">IFERROR(IF(LEFT(INDEX($F33:$AQ33,1,SUM(SMALL(IF($F33:$AQ33&lt;&gt;"",COLUMN($F33:$AQ33)),1)-5)),1)="x",SUM(SMALL(IF($F33:$AQ33&lt;&gt;"",$F$11:$AQ$11),1)+"0:15"),SMALL(IF($F33:$AQ33&lt;&gt;"",$F$11:$AQ$11),1)),"")</f>
        <v/>
      </c>
      <c r="E33" s="879">
        <f t="array" ref="E33">IFERROR(IF(LEFT(INDEX($F33:$AQ33,1,SUM(LARGE(IF($F33:$AQ33&lt;&gt;"",COLUMN($F33:$AQ33)),1)-5)),1)="x",SUM(LARGE(IF($F33:$AQ33&lt;&gt;"",$F$11:$AQ$11+"0:30:00"),1)-"0:15"),LARGE(IF($F33:$AQ33&lt;&gt;"",$F$11:$AQ$11+"0:30:00"),1)),"")</f>
        <v/>
      </c>
      <c r="F33" s="40" t="n"/>
      <c r="G33" s="41" t="n"/>
      <c r="H33" s="41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2" t="inlineStr">
        <is>
          <t>nh</t>
        </is>
      </c>
      <c r="Z33" s="43" t="inlineStr">
        <is>
          <t>nh</t>
        </is>
      </c>
      <c r="AA33" s="41" t="inlineStr">
        <is>
          <t>nh</t>
        </is>
      </c>
      <c r="AB33" s="40" t="inlineStr">
        <is>
          <t>nh</t>
        </is>
      </c>
      <c r="AC33" s="42" t="inlineStr">
        <is>
          <t>nh</t>
        </is>
      </c>
      <c r="AD33" s="43" t="inlineStr">
        <is>
          <t>nh</t>
        </is>
      </c>
      <c r="AE33" s="41" t="inlineStr">
        <is>
          <t>nh</t>
        </is>
      </c>
      <c r="AF33" s="40" t="inlineStr">
        <is>
          <t>nh</t>
        </is>
      </c>
      <c r="AG33" s="42" t="inlineStr">
        <is>
          <t>p</t>
        </is>
      </c>
      <c r="AH33" s="43" t="inlineStr">
        <is>
          <t>ma</t>
        </is>
      </c>
      <c r="AI33" s="41" t="inlineStr">
        <is>
          <t>ma</t>
        </is>
      </c>
      <c r="AJ33" s="40" t="inlineStr">
        <is>
          <t>l</t>
        </is>
      </c>
      <c r="AK33" s="42" t="inlineStr">
        <is>
          <t>sp</t>
        </is>
      </c>
      <c r="AL33" s="43" t="n"/>
      <c r="AM33" s="41" t="n"/>
      <c r="AN33" s="645" t="n"/>
      <c r="AO33" s="42" t="n"/>
      <c r="AP33" s="40" t="n"/>
      <c r="AQ33" s="41" t="n"/>
      <c r="AR33" s="888">
        <f>IFERROR(IF(VLOOKUP($B33,Medewerker!$C$8:$Y$107,23,FALSE)="",VLOOKUP($B33,Medewerker!$C$8:$Y$107,21,FALSE),0),0)</f>
        <v/>
      </c>
      <c r="AS33" s="889">
        <f>IFERROR(IF(B33="",1,IF(VLOOKUP($B33,Medewerker!$C$8:$Y$107,23,FALSE)="",VLOOKUP($B33,Medewerker!$C$8:$Y$107,22,FALSE),0)),0)</f>
        <v/>
      </c>
      <c r="AT33" s="30" t="n"/>
      <c r="AU33" s="30">
        <f>(COUNTIF(F33:AQ33,"afw"))/2</f>
        <v/>
      </c>
      <c r="AV33" s="111">
        <f>((38-(COUNTIF(F33:AQ33,"")))/2)-(COUNTIF(F33:AQ33,"p")/2)-(COUNTIF(F33:AQ33,CONCATENATE("x","*"))/4)</f>
        <v/>
      </c>
      <c r="AW33" s="73">
        <f>IF($B33="","",VLOOKUP($B33,Medewerker!$C$8:$E$107,3,FALSE))</f>
        <v/>
      </c>
      <c r="AX33" s="403">
        <f>IFERROR(VLOOKUP($B33,Planning!$B$6:$AG$105,32,FALSE)*24,"")</f>
        <v/>
      </c>
      <c r="AY33" s="407" t="inlineStr">
        <is>
          <t>ma</t>
        </is>
      </c>
      <c r="AZ33" s="166" t="inlineStr">
        <is>
          <t>Magazijn</t>
        </is>
      </c>
      <c r="BA33" s="111">
        <f>COUNTIF($F$13:$AQ$63,CONCATENATE(AY33,"*"))/2+COUNTIF($F$13:$AQ$63,CONCATENATE("x",AY33,"*"))/4</f>
        <v/>
      </c>
      <c r="BB33" s="838" t="n"/>
      <c r="BC33" s="31">
        <f>IF(Planning!B26="","",Planning!B26)</f>
        <v/>
      </c>
      <c r="BD33" s="105" t="n"/>
      <c r="BE33" s="885">
        <f>Planning!E26</f>
        <v/>
      </c>
      <c r="BF33" s="885">
        <f>Planning!F26</f>
        <v/>
      </c>
      <c r="BG33" s="886" t="n"/>
      <c r="BH33" s="105" t="n"/>
      <c r="BI33" s="885">
        <f>Planning!I26</f>
        <v/>
      </c>
      <c r="BJ33" s="885">
        <f>Planning!J26</f>
        <v/>
      </c>
      <c r="BK33" s="886" t="n"/>
      <c r="BL33" s="105" t="n"/>
      <c r="BM33" s="885">
        <f>Planning!M26</f>
        <v/>
      </c>
      <c r="BN33" s="885">
        <f>Planning!N26</f>
        <v/>
      </c>
      <c r="BO33" s="886" t="n"/>
      <c r="BP33" s="105" t="n"/>
      <c r="BQ33" s="885">
        <f>Planning!Q26</f>
        <v/>
      </c>
      <c r="BR33" s="885">
        <f>Planning!R26</f>
        <v/>
      </c>
      <c r="BS33" s="886" t="n"/>
      <c r="BT33" s="105" t="n"/>
      <c r="BU33" s="885">
        <f>Planning!U26</f>
        <v/>
      </c>
      <c r="BV33" s="885">
        <f>Planning!V26</f>
        <v/>
      </c>
      <c r="BW33" s="886" t="n"/>
      <c r="BX33" s="105" t="n"/>
      <c r="BY33" s="885">
        <f>Planning!Y26</f>
        <v/>
      </c>
      <c r="BZ33" s="885">
        <f>Planning!Z26</f>
        <v/>
      </c>
      <c r="CA33" s="886" t="n"/>
      <c r="CB33" s="105" t="n"/>
      <c r="CC33" s="885">
        <f>Planning!AC26</f>
        <v/>
      </c>
      <c r="CD33" s="885">
        <f>Planning!AD26</f>
        <v/>
      </c>
      <c r="CE33" s="886" t="n"/>
      <c r="CF33" s="105" t="n"/>
      <c r="CG33" s="887">
        <f>Planning!AG26</f>
        <v/>
      </c>
      <c r="CH33" s="105" t="n"/>
      <c r="CI33" s="252">
        <f>IF(BC33="","",Planning!AI26)</f>
        <v/>
      </c>
      <c r="CJ33" s="252">
        <f>IF(BC33="","",Planning!AJ26)</f>
        <v/>
      </c>
      <c r="CK33" s="252">
        <f>IF(BC33="","",Planning!AK26)</f>
        <v/>
      </c>
      <c r="CL33" s="252">
        <f>IF(BC33="","",Planning!AH26)</f>
        <v/>
      </c>
      <c r="CM33" s="21" t="n"/>
    </row>
    <row r="34" ht="12.75" customHeight="1">
      <c r="A34" s="161">
        <f>IFERROR(IF(VLOOKUP($B34,$BC$13:$CL$86,36,FALSE)&gt;5,0,IF(COUNTIF($B$13:$B$63,$B34)&gt;1,0,22)),22)+IF(B34&lt;&gt;0,0,IF(AV34&gt;0,0.000001,0))</f>
        <v/>
      </c>
      <c r="B34" s="129" t="n"/>
      <c r="C34" s="48">
        <f>IFERROR(IF($B34="","",VLOOKUP($B34,Medewerker!$C$8:$AI$107,33,FALSE)),"?")</f>
        <v/>
      </c>
      <c r="D34" s="879">
        <f t="array" ref="D34">IFERROR(IF(LEFT(INDEX($F34:$AQ34,1,SUM(SMALL(IF($F34:$AQ34&lt;&gt;"",COLUMN($F34:$AQ34)),1)-5)),1)="x",SUM(SMALL(IF($F34:$AQ34&lt;&gt;"",$F$11:$AQ$11),1)+"0:15"),SMALL(IF($F34:$AQ34&lt;&gt;"",$F$11:$AQ$11),1)),"")</f>
        <v/>
      </c>
      <c r="E34" s="879">
        <f t="array" ref="E34">IFERROR(IF(LEFT(INDEX($F34:$AQ34,1,SUM(LARGE(IF($F34:$AQ34&lt;&gt;"",COLUMN($F34:$AQ34)),1)-5)),1)="x",SUM(LARGE(IF($F34:$AQ34&lt;&gt;"",$F$11:$AQ$11+"0:30:00"),1)-"0:15"),LARGE(IF($F34:$AQ34&lt;&gt;"",$F$11:$AQ$11+"0:30:00"),1)),"")</f>
        <v/>
      </c>
      <c r="F34" s="40" t="n"/>
      <c r="G34" s="41" t="n"/>
      <c r="H34" s="41" t="n"/>
      <c r="I34" s="40" t="n"/>
      <c r="J34" s="43" t="n"/>
      <c r="K34" s="41" t="n"/>
      <c r="L34" s="40" t="n"/>
      <c r="M34" s="42" t="n"/>
      <c r="N34" s="43" t="n"/>
      <c r="O34" s="41" t="n"/>
      <c r="P34" s="40" t="n"/>
      <c r="Q34" s="42" t="n"/>
      <c r="R34" s="43" t="n"/>
      <c r="S34" s="41" t="n"/>
      <c r="T34" s="40" t="n"/>
      <c r="U34" s="42" t="n"/>
      <c r="V34" s="43" t="n"/>
      <c r="W34" s="41" t="n"/>
      <c r="X34" s="40" t="n"/>
      <c r="Y34" s="42" t="n"/>
      <c r="Z34" s="43" t="n"/>
      <c r="AA34" s="41" t="n"/>
      <c r="AB34" s="40" t="n"/>
      <c r="AC34" s="42" t="n"/>
      <c r="AD34" s="43" t="n"/>
      <c r="AE34" s="41" t="n"/>
      <c r="AF34" s="40" t="n"/>
      <c r="AG34" s="42" t="n"/>
      <c r="AH34" s="43" t="n"/>
      <c r="AI34" s="41" t="n"/>
      <c r="AJ34" s="40" t="n"/>
      <c r="AK34" s="42" t="n"/>
      <c r="AL34" s="43" t="n"/>
      <c r="AM34" s="41" t="n"/>
      <c r="AN34" s="645" t="n"/>
      <c r="AO34" s="42" t="n"/>
      <c r="AP34" s="40" t="n"/>
      <c r="AQ34" s="41" t="n"/>
      <c r="AR34" s="888">
        <f>IFERROR(IF(VLOOKUP($B34,Medewerker!$C$8:$Y$107,23,FALSE)="",VLOOKUP($B34,Medewerker!$C$8:$Y$107,21,FALSE),0),0)</f>
        <v/>
      </c>
      <c r="AS34" s="889">
        <f>IFERROR(IF(B34="",1,IF(VLOOKUP($B34,Medewerker!$C$8:$Y$107,23,FALSE)="",VLOOKUP($B34,Medewerker!$C$8:$Y$107,22,FALSE),0)),0)</f>
        <v/>
      </c>
      <c r="AT34" s="30" t="n"/>
      <c r="AU34" s="30">
        <f>(COUNTIF(F34:AQ34,"afw"))/2</f>
        <v/>
      </c>
      <c r="AV34" s="111">
        <f>((38-(COUNTIF(F34:AQ34,"")))/2)-(COUNTIF(F34:AQ34,"p")/2)-(COUNTIF(F34:AQ34,CONCATENATE("x","*"))/4)</f>
        <v/>
      </c>
      <c r="AW34" s="73">
        <f>IF($B34="","",VLOOKUP($B34,Medewerker!$C$8:$E$107,3,FALSE))</f>
        <v/>
      </c>
      <c r="AX34" s="403">
        <f>IFERROR(VLOOKUP($B34,Planning!$B$6:$AG$105,32,FALSE)*24,"")</f>
        <v/>
      </c>
      <c r="AY34" s="407" t="inlineStr">
        <is>
          <t>sp</t>
        </is>
      </c>
      <c r="AZ34" s="166" t="inlineStr">
        <is>
          <t>Splitsen</t>
        </is>
      </c>
      <c r="BA34" s="111">
        <f>COUNTIF($F$13:$AQ$63,CONCATENATE(AY34,"*"))/2+COUNTIF($F$13:$AQ$63,CONCATENATE("x",AY34,"*"))/4</f>
        <v/>
      </c>
      <c r="BB34" s="838" t="n"/>
      <c r="BC34" s="31">
        <f>IF(Planning!B27="","",Planning!B27)</f>
        <v/>
      </c>
      <c r="BD34" s="105" t="n"/>
      <c r="BE34" s="885">
        <f>Planning!E27</f>
        <v/>
      </c>
      <c r="BF34" s="885">
        <f>Planning!F27</f>
        <v/>
      </c>
      <c r="BG34" s="886" t="n"/>
      <c r="BH34" s="105" t="n"/>
      <c r="BI34" s="885">
        <f>Planning!I27</f>
        <v/>
      </c>
      <c r="BJ34" s="885">
        <f>Planning!J27</f>
        <v/>
      </c>
      <c r="BK34" s="886" t="n"/>
      <c r="BL34" s="105" t="n"/>
      <c r="BM34" s="885">
        <f>Planning!M27</f>
        <v/>
      </c>
      <c r="BN34" s="885">
        <f>Planning!N27</f>
        <v/>
      </c>
      <c r="BO34" s="886" t="n"/>
      <c r="BP34" s="105" t="n"/>
      <c r="BQ34" s="885">
        <f>Planning!Q27</f>
        <v/>
      </c>
      <c r="BR34" s="885">
        <f>Planning!R27</f>
        <v/>
      </c>
      <c r="BS34" s="886" t="n"/>
      <c r="BT34" s="105" t="n"/>
      <c r="BU34" s="885">
        <f>Planning!U27</f>
        <v/>
      </c>
      <c r="BV34" s="885">
        <f>Planning!V27</f>
        <v/>
      </c>
      <c r="BW34" s="886" t="n"/>
      <c r="BX34" s="105" t="n"/>
      <c r="BY34" s="885">
        <f>Planning!Y27</f>
        <v/>
      </c>
      <c r="BZ34" s="885">
        <f>Planning!Z27</f>
        <v/>
      </c>
      <c r="CA34" s="886" t="n"/>
      <c r="CB34" s="105" t="n"/>
      <c r="CC34" s="885">
        <f>Planning!AC27</f>
        <v/>
      </c>
      <c r="CD34" s="885">
        <f>Planning!AD27</f>
        <v/>
      </c>
      <c r="CE34" s="886" t="n"/>
      <c r="CF34" s="105" t="n"/>
      <c r="CG34" s="887">
        <f>Planning!AG27</f>
        <v/>
      </c>
      <c r="CH34" s="105" t="n"/>
      <c r="CI34" s="252">
        <f>IF(BC34="","",Planning!AI27)</f>
        <v/>
      </c>
      <c r="CJ34" s="252">
        <f>IF(BC34="","",Planning!AJ27)</f>
        <v/>
      </c>
      <c r="CK34" s="252">
        <f>IF(BC34="","",Planning!AK27)</f>
        <v/>
      </c>
      <c r="CL34" s="252">
        <f>IF(BC34="","",Planning!AH27)</f>
        <v/>
      </c>
      <c r="CM34" s="21" t="n"/>
    </row>
    <row r="35" ht="12.75" customHeight="1">
      <c r="A35" s="161">
        <f>IFERROR(IF(VLOOKUP($B35,$BC$13:$CL$86,36,FALSE)&gt;5,0,IF(COUNTIF($B$13:$B$63,$B35)&gt;1,0,23)),23)+IF(B35&lt;&gt;0,0,IF(AV35&gt;0,0.000001,0))</f>
        <v/>
      </c>
      <c r="B35" s="129" t="inlineStr">
        <is>
          <t>Viktor Toth</t>
        </is>
      </c>
      <c r="C35" s="48">
        <f>IFERROR(IF($B35="","",VLOOKUP($B35,Medewerker!$C$8:$AI$107,33,FALSE)),"?")</f>
        <v/>
      </c>
      <c r="D35" s="879">
        <f t="array" ref="D35">IFERROR(IF(LEFT(INDEX($F35:$AQ35,1,SUM(SMALL(IF($F35:$AQ35&lt;&gt;"",COLUMN($F35:$AQ35)),1)-5)),1)="x",SUM(SMALL(IF($F35:$AQ35&lt;&gt;"",$F$11:$AQ$11),1)+"0:15"),SMALL(IF($F35:$AQ35&lt;&gt;"",$F$11:$AQ$11),1)),"")</f>
        <v/>
      </c>
      <c r="E35" s="879">
        <f t="array" ref="E35">IFERROR(IF(LEFT(INDEX($F35:$AQ35,1,SUM(LARGE(IF($F35:$AQ35&lt;&gt;"",COLUMN($F35:$AQ35)),1)-5)),1)="x",SUM(LARGE(IF($F35:$AQ35&lt;&gt;"",$F$11:$AQ$11+"0:30:00"),1)-"0:15"),LARGE(IF($F35:$AQ35&lt;&gt;"",$F$11:$AQ$11+"0:30:00"),1)),"")</f>
        <v/>
      </c>
      <c r="F35" s="40" t="n"/>
      <c r="G35" s="41" t="n"/>
      <c r="H35" s="40" t="n"/>
      <c r="I35" s="40" t="n"/>
      <c r="J35" s="43" t="n"/>
      <c r="K35" s="41" t="n"/>
      <c r="L35" s="40" t="n"/>
      <c r="M35" s="42" t="n"/>
      <c r="N35" s="43" t="n"/>
      <c r="O35" s="41" t="n"/>
      <c r="P35" s="40" t="n"/>
      <c r="Q35" s="42" t="n"/>
      <c r="R35" s="43" t="n"/>
      <c r="S35" s="41" t="n"/>
      <c r="T35" s="40" t="n"/>
      <c r="U35" s="42" t="n"/>
      <c r="V35" s="43" t="n"/>
      <c r="W35" s="41" t="n"/>
      <c r="X35" s="40" t="n"/>
      <c r="Y35" s="42" t="n"/>
      <c r="Z35" s="43" t="n"/>
      <c r="AA35" s="41" t="inlineStr">
        <is>
          <t>rv</t>
        </is>
      </c>
      <c r="AB35" s="40" t="inlineStr">
        <is>
          <t>rv</t>
        </is>
      </c>
      <c r="AC35" s="42" t="inlineStr">
        <is>
          <t>rv</t>
        </is>
      </c>
      <c r="AD35" s="43" t="inlineStr">
        <is>
          <t>rv</t>
        </is>
      </c>
      <c r="AE35" s="41" t="inlineStr">
        <is>
          <t>rv</t>
        </is>
      </c>
      <c r="AF35" s="40" t="inlineStr">
        <is>
          <t>rv</t>
        </is>
      </c>
      <c r="AG35" s="42" t="inlineStr">
        <is>
          <t>rv</t>
        </is>
      </c>
      <c r="AH35" s="43" t="inlineStr">
        <is>
          <t>rv</t>
        </is>
      </c>
      <c r="AI35" s="41" t="inlineStr">
        <is>
          <t>p</t>
        </is>
      </c>
      <c r="AJ35" s="40" t="inlineStr">
        <is>
          <t>l</t>
        </is>
      </c>
      <c r="AK35" s="42" t="inlineStr">
        <is>
          <t>sp</t>
        </is>
      </c>
      <c r="AL35" s="43" t="inlineStr">
        <is>
          <t>sp</t>
        </is>
      </c>
      <c r="AM35" s="41" t="inlineStr">
        <is>
          <t>rv</t>
        </is>
      </c>
      <c r="AN35" s="645" t="inlineStr">
        <is>
          <t>rv</t>
        </is>
      </c>
      <c r="AO35" s="42" t="inlineStr">
        <is>
          <t>rv</t>
        </is>
      </c>
      <c r="AP35" s="40" t="n"/>
      <c r="AQ35" s="41" t="n"/>
      <c r="AR35" s="888">
        <f>IFERROR(IF(VLOOKUP($B35,Medewerker!$C$8:$Y$107,23,FALSE)="",VLOOKUP($B35,Medewerker!$C$8:$Y$107,21,FALSE),0),0)</f>
        <v/>
      </c>
      <c r="AS35" s="889">
        <f>IFERROR(IF(B35="",1,IF(VLOOKUP($B35,Medewerker!$C$8:$Y$107,23,FALSE)="",VLOOKUP($B35,Medewerker!$C$8:$Y$107,22,FALSE),0)),0)</f>
        <v/>
      </c>
      <c r="AT35" s="30" t="n"/>
      <c r="AU35" s="30">
        <f>(COUNTIF(F35:AQ35,"afw"))/2</f>
        <v/>
      </c>
      <c r="AV35" s="111">
        <f>((38-(COUNTIF(F35:AQ35,"")))/2)-(COUNTIF(F35:AQ35,"p")/2)-(COUNTIF(F35:AQ35,CONCATENATE("x","*"))/4)</f>
        <v/>
      </c>
      <c r="AW35" s="73">
        <f>IF($B35="","",VLOOKUP($B35,Medewerker!$C$8:$E$107,3,FALSE))</f>
        <v/>
      </c>
      <c r="AX35" s="403">
        <f>IFERROR(VLOOKUP($B35,Planning!$B$6:$AG$105,32,FALSE)*24,"")</f>
        <v/>
      </c>
      <c r="AY35" s="882" t="inlineStr">
        <is>
          <t>Afprijzen</t>
        </is>
      </c>
      <c r="AZ35" s="883" t="n"/>
      <c r="BA35" s="884" t="n"/>
      <c r="BB35" s="838" t="n"/>
      <c r="BC35" s="31">
        <f>IF(Planning!B28="","",Planning!B28)</f>
        <v/>
      </c>
      <c r="BD35" s="105" t="n"/>
      <c r="BE35" s="885">
        <f>Planning!E28</f>
        <v/>
      </c>
      <c r="BF35" s="885">
        <f>Planning!F28</f>
        <v/>
      </c>
      <c r="BG35" s="886" t="n"/>
      <c r="BH35" s="105" t="n"/>
      <c r="BI35" s="885">
        <f>Planning!I28</f>
        <v/>
      </c>
      <c r="BJ35" s="885">
        <f>Planning!J28</f>
        <v/>
      </c>
      <c r="BK35" s="886" t="n"/>
      <c r="BL35" s="105" t="n"/>
      <c r="BM35" s="885">
        <f>Planning!M28</f>
        <v/>
      </c>
      <c r="BN35" s="885">
        <f>Planning!N28</f>
        <v/>
      </c>
      <c r="BO35" s="886" t="n"/>
      <c r="BP35" s="105" t="n"/>
      <c r="BQ35" s="885">
        <f>Planning!Q28</f>
        <v/>
      </c>
      <c r="BR35" s="885">
        <f>Planning!R28</f>
        <v/>
      </c>
      <c r="BS35" s="886" t="n"/>
      <c r="BT35" s="105" t="n"/>
      <c r="BU35" s="885">
        <f>Planning!U28</f>
        <v/>
      </c>
      <c r="BV35" s="885">
        <f>Planning!V28</f>
        <v/>
      </c>
      <c r="BW35" s="886" t="n"/>
      <c r="BX35" s="105" t="n"/>
      <c r="BY35" s="885">
        <f>Planning!Y28</f>
        <v/>
      </c>
      <c r="BZ35" s="885">
        <f>Planning!Z28</f>
        <v/>
      </c>
      <c r="CA35" s="886" t="n"/>
      <c r="CB35" s="105" t="n"/>
      <c r="CC35" s="885">
        <f>Planning!AC28</f>
        <v/>
      </c>
      <c r="CD35" s="885">
        <f>Planning!AD28</f>
        <v/>
      </c>
      <c r="CE35" s="886" t="n"/>
      <c r="CF35" s="105" t="n"/>
      <c r="CG35" s="887">
        <f>Planning!AG28</f>
        <v/>
      </c>
      <c r="CH35" s="105" t="n"/>
      <c r="CI35" s="252">
        <f>IF(BC35="","",Planning!AI28)</f>
        <v/>
      </c>
      <c r="CJ35" s="252">
        <f>IF(BC35="","",Planning!AJ28)</f>
        <v/>
      </c>
      <c r="CK35" s="252">
        <f>IF(BC35="","",Planning!AK28)</f>
        <v/>
      </c>
      <c r="CL35" s="252">
        <f>IF(BC35="","",Planning!AH28)</f>
        <v/>
      </c>
      <c r="CM35" s="21" t="n"/>
    </row>
    <row r="36" ht="12.75" customHeight="1">
      <c r="A36" s="161">
        <f>IFERROR(IF(VLOOKUP($B36,$BC$13:$CL$86,36,FALSE)&gt;5,0,IF(COUNTIF($B$13:$B$63,$B36)&gt;1,0,24)),24)+IF(B36&lt;&gt;0,0,IF(AV36&gt;0,0.000001,0))</f>
        <v/>
      </c>
      <c r="B36" s="129" t="inlineStr">
        <is>
          <t>Sevgyul</t>
        </is>
      </c>
      <c r="C36" s="48">
        <f>IFERROR(IF($B36="","",VLOOKUP($B36,Medewerker!$C$8:$AI$107,33,FALSE)),"?")</f>
        <v/>
      </c>
      <c r="D36" s="879">
        <f t="array" ref="D36">IFERROR(IF(LEFT(INDEX($F36:$AQ36,1,SUM(SMALL(IF($F36:$AQ36&lt;&gt;"",COLUMN($F36:$AQ36)),1)-5)),1)="x",SUM(SMALL(IF($F36:$AQ36&lt;&gt;"",$F$11:$AQ$11),1)+"0:15"),SMALL(IF($F36:$AQ36&lt;&gt;"",$F$11:$AQ$11),1)),"")</f>
        <v/>
      </c>
      <c r="E36" s="879">
        <f t="array" ref="E36">IFERROR(IF(LEFT(INDEX($F36:$AQ36,1,SUM(LARGE(IF($F36:$AQ36&lt;&gt;"",COLUMN($F36:$AQ36)),1)-5)),1)="x",SUM(LARGE(IF($F36:$AQ36&lt;&gt;"",$F$11:$AQ$11+"0:30:00"),1)-"0:15"),LARGE(IF($F36:$AQ36&lt;&gt;"",$F$11:$AQ$11+"0:30:00"),1)),"")</f>
        <v/>
      </c>
      <c r="F36" s="43" t="n"/>
      <c r="G36" s="42" t="n"/>
      <c r="H36" s="43" t="n"/>
      <c r="I36" s="43" t="n"/>
      <c r="J36" s="43" t="n"/>
      <c r="K36" s="41" t="n"/>
      <c r="L36" s="40" t="n"/>
      <c r="M36" s="42" t="n"/>
      <c r="N36" s="43" t="n"/>
      <c r="O36" s="41" t="n"/>
      <c r="P36" s="40" t="n"/>
      <c r="Q36" s="42" t="n"/>
      <c r="R36" s="43" t="n"/>
      <c r="S36" s="41" t="n"/>
      <c r="T36" s="40" t="n"/>
      <c r="U36" s="42" t="n"/>
      <c r="V36" s="43" t="n"/>
      <c r="W36" s="41" t="n"/>
      <c r="X36" s="40" t="n"/>
      <c r="Y36" s="42" t="n"/>
      <c r="Z36" s="43" t="n"/>
      <c r="AA36" s="41" t="n"/>
      <c r="AB36" s="40" t="n"/>
      <c r="AC36" s="42" t="inlineStr">
        <is>
          <t>x</t>
        </is>
      </c>
      <c r="AD36" s="43" t="inlineStr">
        <is>
          <t>rv</t>
        </is>
      </c>
      <c r="AE36" s="41" t="inlineStr">
        <is>
          <t>rv</t>
        </is>
      </c>
      <c r="AF36" s="40" t="inlineStr">
        <is>
          <t>rv</t>
        </is>
      </c>
      <c r="AG36" s="42" t="inlineStr">
        <is>
          <t>rv</t>
        </is>
      </c>
      <c r="AH36" s="43" t="inlineStr">
        <is>
          <t>rv</t>
        </is>
      </c>
      <c r="AI36" s="41" t="inlineStr">
        <is>
          <t>p</t>
        </is>
      </c>
      <c r="AJ36" s="40" t="inlineStr">
        <is>
          <t>l</t>
        </is>
      </c>
      <c r="AK36" s="42" t="inlineStr">
        <is>
          <t>sp</t>
        </is>
      </c>
      <c r="AL36" s="43" t="inlineStr">
        <is>
          <t>sp</t>
        </is>
      </c>
      <c r="AM36" s="41" t="inlineStr">
        <is>
          <t>rv</t>
        </is>
      </c>
      <c r="AN36" s="645" t="inlineStr">
        <is>
          <t>rv</t>
        </is>
      </c>
      <c r="AO36" s="42" t="inlineStr">
        <is>
          <t>rv</t>
        </is>
      </c>
      <c r="AP36" s="43" t="n"/>
      <c r="AQ36" s="42" t="n"/>
      <c r="AR36" s="888">
        <f>IFERROR(IF(VLOOKUP($B36,Medewerker!$C$8:$Y$107,23,FALSE)="",VLOOKUP($B36,Medewerker!$C$8:$Y$107,21,FALSE),0),0)</f>
        <v/>
      </c>
      <c r="AS36" s="888">
        <f>IFERROR(IF(B36="",1,IF(VLOOKUP($B36,Medewerker!$C$8:$Y$107,23,FALSE)="",VLOOKUP($B36,Medewerker!$C$8:$Y$107,22,FALSE),0)),0)</f>
        <v/>
      </c>
      <c r="AT36" s="45" t="n"/>
      <c r="AU36" s="46">
        <f>(COUNTIF(F36:AQ36,"afw"))/2</f>
        <v/>
      </c>
      <c r="AV36" s="111">
        <f>((38-(COUNTIF(F36:AQ36,"")))/2)-(COUNTIF(F36:AQ36,"p")/2)-(COUNTIF(F36:AQ36,CONCATENATE("x","*"))/4)</f>
        <v/>
      </c>
      <c r="AW36" s="73">
        <f>IF($B36="","",VLOOKUP($B36,Medewerker!$C$8:$E$107,3,FALSE))</f>
        <v/>
      </c>
      <c r="AX36" s="403">
        <f>IFERROR(VLOOKUP($B36,Planning!$B$6:$AG$105,32,FALSE)*24,"")</f>
        <v/>
      </c>
      <c r="AY36" s="559" t="inlineStr">
        <is>
          <t>afp</t>
        </is>
      </c>
      <c r="AZ36" s="71" t="inlineStr">
        <is>
          <t>Afprijzen</t>
        </is>
      </c>
      <c r="BA36" s="111">
        <f>COUNTIF($F$13:$AQ$63,CONCATENATE(AY36,"*"))/2+COUNTIF($F$13:$AQ$63,CONCATENATE("x",AY36,"*"))/4</f>
        <v/>
      </c>
      <c r="BB36" s="838" t="n"/>
      <c r="BC36" s="31">
        <f>IF(Planning!B29="","",Planning!B29)</f>
        <v/>
      </c>
      <c r="BD36" s="105" t="n"/>
      <c r="BE36" s="885">
        <f>Planning!E29</f>
        <v/>
      </c>
      <c r="BF36" s="885">
        <f>Planning!F29</f>
        <v/>
      </c>
      <c r="BG36" s="886" t="n"/>
      <c r="BH36" s="105" t="n"/>
      <c r="BI36" s="885">
        <f>Planning!I29</f>
        <v/>
      </c>
      <c r="BJ36" s="885">
        <f>Planning!J29</f>
        <v/>
      </c>
      <c r="BK36" s="886" t="n"/>
      <c r="BL36" s="105" t="n"/>
      <c r="BM36" s="885">
        <f>Planning!M29</f>
        <v/>
      </c>
      <c r="BN36" s="885">
        <f>Planning!N29</f>
        <v/>
      </c>
      <c r="BO36" s="886" t="n"/>
      <c r="BP36" s="105" t="n"/>
      <c r="BQ36" s="885">
        <f>Planning!Q29</f>
        <v/>
      </c>
      <c r="BR36" s="885">
        <f>Planning!R29</f>
        <v/>
      </c>
      <c r="BS36" s="886" t="n"/>
      <c r="BT36" s="105" t="n"/>
      <c r="BU36" s="885">
        <f>Planning!U29</f>
        <v/>
      </c>
      <c r="BV36" s="885">
        <f>Planning!V29</f>
        <v/>
      </c>
      <c r="BW36" s="886" t="n"/>
      <c r="BX36" s="105" t="n"/>
      <c r="BY36" s="885">
        <f>Planning!Y29</f>
        <v/>
      </c>
      <c r="BZ36" s="885">
        <f>Planning!Z29</f>
        <v/>
      </c>
      <c r="CA36" s="886" t="n"/>
      <c r="CB36" s="105" t="n"/>
      <c r="CC36" s="885">
        <f>Planning!AC29</f>
        <v/>
      </c>
      <c r="CD36" s="885">
        <f>Planning!AD29</f>
        <v/>
      </c>
      <c r="CE36" s="886" t="n"/>
      <c r="CF36" s="105" t="n"/>
      <c r="CG36" s="887">
        <f>Planning!AG29</f>
        <v/>
      </c>
      <c r="CH36" s="105" t="n"/>
      <c r="CI36" s="252">
        <f>IF(BC36="","",Planning!AI29)</f>
        <v/>
      </c>
      <c r="CJ36" s="252">
        <f>IF(BC36="","",Planning!AJ29)</f>
        <v/>
      </c>
      <c r="CK36" s="252">
        <f>IF(BC36="","",Planning!AK29)</f>
        <v/>
      </c>
      <c r="CL36" s="252">
        <f>IF(BC36="","",Planning!AH29)</f>
        <v/>
      </c>
      <c r="CM36" s="21" t="n"/>
    </row>
    <row r="37" ht="12.75" customHeight="1">
      <c r="A37" s="161">
        <f>IFERROR(IF(VLOOKUP($B37,$BC$13:$CL$86,36,FALSE)&gt;5,0,IF(COUNTIF($B$13:$B$63,$B37)&gt;1,0,25)),25)+IF(B37&lt;&gt;0,0,IF(AV37&gt;0,0.000001,0))</f>
        <v/>
      </c>
      <c r="B37" s="129" t="inlineStr">
        <is>
          <t>Deniz</t>
        </is>
      </c>
      <c r="C37" s="48">
        <f>IFERROR(IF($B37="","",VLOOKUP($B37,Medewerker!$C$8:$AI$107,33,FALSE)),"?")</f>
        <v/>
      </c>
      <c r="D37" s="879">
        <f t="array" ref="D37">IFERROR(IF(LEFT(INDEX($F37:$AQ37,1,SUM(SMALL(IF($F37:$AQ37&lt;&gt;"",COLUMN($F37:$AQ37)),1)-5)),1)="x",SUM(SMALL(IF($F37:$AQ37&lt;&gt;"",$F$11:$AQ$11),1)+"0:15"),SMALL(IF($F37:$AQ37&lt;&gt;"",$F$11:$AQ$11),1)),"")</f>
        <v/>
      </c>
      <c r="E37" s="879">
        <f t="array" ref="E37">IFERROR(IF(LEFT(INDEX($F37:$AQ37,1,SUM(LARGE(IF($F37:$AQ37&lt;&gt;"",COLUMN($F37:$AQ37)),1)-5)),1)="x",SUM(LARGE(IF($F37:$AQ37&lt;&gt;"",$F$11:$AQ$11+"0:30:00"),1)-"0:15"),LARGE(IF($F37:$AQ37&lt;&gt;"",$F$11:$AQ$11+"0:30:00"),1)),"")</f>
        <v/>
      </c>
      <c r="F37" s="43" t="n"/>
      <c r="G37" s="42" t="n"/>
      <c r="H37" s="43" t="n"/>
      <c r="I37" s="43" t="n"/>
      <c r="J37" s="43" t="n"/>
      <c r="K37" s="41" t="n"/>
      <c r="L37" s="40" t="n"/>
      <c r="M37" s="42" t="n"/>
      <c r="N37" s="43" t="n"/>
      <c r="O37" s="41" t="n"/>
      <c r="P37" s="40" t="n"/>
      <c r="Q37" s="42" t="n"/>
      <c r="R37" s="43" t="n"/>
      <c r="S37" s="41" t="n"/>
      <c r="T37" s="40" t="n"/>
      <c r="U37" s="42" t="n"/>
      <c r="V37" s="43" t="n"/>
      <c r="W37" s="41" t="n"/>
      <c r="X37" s="40" t="n"/>
      <c r="Y37" s="42" t="n"/>
      <c r="Z37" s="43" t="n"/>
      <c r="AA37" s="41" t="n"/>
      <c r="AB37" s="40" t="n"/>
      <c r="AC37" s="42" t="n"/>
      <c r="AD37" s="43" t="n"/>
      <c r="AE37" s="41" t="n"/>
      <c r="AF37" s="40" t="n"/>
      <c r="AG37" s="42" t="n"/>
      <c r="AH37" s="43" t="n"/>
      <c r="AI37" s="41" t="inlineStr">
        <is>
          <t>vv</t>
        </is>
      </c>
      <c r="AJ37" s="40" t="inlineStr">
        <is>
          <t>vv</t>
        </is>
      </c>
      <c r="AK37" s="42" t="inlineStr">
        <is>
          <t>vv</t>
        </is>
      </c>
      <c r="AL37" s="43" t="inlineStr">
        <is>
          <t>vv</t>
        </is>
      </c>
      <c r="AM37" s="41" t="inlineStr">
        <is>
          <t>vv</t>
        </is>
      </c>
      <c r="AN37" s="645" t="inlineStr">
        <is>
          <t>vv</t>
        </is>
      </c>
      <c r="AO37" s="42" t="inlineStr">
        <is>
          <t>vv</t>
        </is>
      </c>
      <c r="AP37" s="43" t="n"/>
      <c r="AQ37" s="42" t="n"/>
      <c r="AR37" s="888">
        <f>IFERROR(IF(VLOOKUP($B37,Medewerker!$C$8:$Y$107,23,FALSE)="",VLOOKUP($B37,Medewerker!$C$8:$Y$107,21,FALSE),0),0)</f>
        <v/>
      </c>
      <c r="AS37" s="888">
        <f>IFERROR(IF(B37="",1,IF(VLOOKUP($B37,Medewerker!$C$8:$Y$107,23,FALSE)="",VLOOKUP($B37,Medewerker!$C$8:$Y$107,22,FALSE),0)),0)</f>
        <v/>
      </c>
      <c r="AT37" s="45" t="n"/>
      <c r="AU37" s="46">
        <f>(COUNTIF(F37:AQ37,"afw"))/2</f>
        <v/>
      </c>
      <c r="AV37" s="111">
        <f>((38-(COUNTIF(F37:AQ37,"")))/2)-(COUNTIF(F37:AQ37,"p")/2)-(COUNTIF(F37:AQ37,CONCATENATE("x","*"))/4)</f>
        <v/>
      </c>
      <c r="AW37" s="73">
        <f>IF($B37="","",VLOOKUP($B37,Medewerker!$C$8:$E$107,3,FALSE))</f>
        <v/>
      </c>
      <c r="AX37" s="403">
        <f>IFERROR(VLOOKUP($B37,Planning!$B$6:$AG$105,32,FALSE)*24,"")</f>
        <v/>
      </c>
      <c r="AY37" s="560" t="inlineStr">
        <is>
          <t>cb</t>
        </is>
      </c>
      <c r="AZ37" s="166" t="inlineStr">
        <is>
          <t>Codeboek</t>
        </is>
      </c>
      <c r="BA37" s="111">
        <f>COUNTIF($F$13:$AQ$63,CONCATENATE(AY37,"*"))/2+COUNTIF($F$13:$AQ$63,CONCATENATE("x",AY37,"*"))/4</f>
        <v/>
      </c>
      <c r="BB37" s="838" t="n"/>
      <c r="BC37" s="31">
        <f>IF(Planning!B30="","",Planning!B30)</f>
        <v/>
      </c>
      <c r="BD37" s="105" t="n"/>
      <c r="BE37" s="885">
        <f>Planning!E30</f>
        <v/>
      </c>
      <c r="BF37" s="885">
        <f>Planning!F30</f>
        <v/>
      </c>
      <c r="BG37" s="886" t="n"/>
      <c r="BH37" s="105" t="n"/>
      <c r="BI37" s="885">
        <f>Planning!I30</f>
        <v/>
      </c>
      <c r="BJ37" s="885">
        <f>Planning!J30</f>
        <v/>
      </c>
      <c r="BK37" s="886" t="n"/>
      <c r="BL37" s="105" t="n"/>
      <c r="BM37" s="885">
        <f>Planning!M30</f>
        <v/>
      </c>
      <c r="BN37" s="885">
        <f>Planning!N30</f>
        <v/>
      </c>
      <c r="BO37" s="886" t="n"/>
      <c r="BP37" s="105" t="n"/>
      <c r="BQ37" s="885">
        <f>Planning!Q30</f>
        <v/>
      </c>
      <c r="BR37" s="885">
        <f>Planning!R30</f>
        <v/>
      </c>
      <c r="BS37" s="886" t="n"/>
      <c r="BT37" s="105" t="n"/>
      <c r="BU37" s="885">
        <f>Planning!U30</f>
        <v/>
      </c>
      <c r="BV37" s="885">
        <f>Planning!V30</f>
        <v/>
      </c>
      <c r="BW37" s="886" t="n"/>
      <c r="BX37" s="105" t="n"/>
      <c r="BY37" s="885">
        <f>Planning!Y30</f>
        <v/>
      </c>
      <c r="BZ37" s="885">
        <f>Planning!Z30</f>
        <v/>
      </c>
      <c r="CA37" s="886" t="n"/>
      <c r="CB37" s="105" t="n"/>
      <c r="CC37" s="885">
        <f>Planning!AC30</f>
        <v/>
      </c>
      <c r="CD37" s="885">
        <f>Planning!AD30</f>
        <v/>
      </c>
      <c r="CE37" s="886" t="n"/>
      <c r="CF37" s="105" t="n"/>
      <c r="CG37" s="887">
        <f>Planning!AG30</f>
        <v/>
      </c>
      <c r="CH37" s="105" t="n"/>
      <c r="CI37" s="252">
        <f>IF(BC37="","",Planning!AI30)</f>
        <v/>
      </c>
      <c r="CJ37" s="252">
        <f>IF(BC37="","",Planning!AJ30)</f>
        <v/>
      </c>
      <c r="CK37" s="252">
        <f>IF(BC37="","",Planning!AK30)</f>
        <v/>
      </c>
      <c r="CL37" s="252">
        <f>IF(BC37="","",Planning!AH30)</f>
        <v/>
      </c>
      <c r="CM37" s="21" t="n"/>
    </row>
    <row r="38" ht="12.75" customHeight="1">
      <c r="A38" s="161">
        <f>IFERROR(IF(VLOOKUP($B38,$BC$13:$CL$86,36,FALSE)&gt;5,0,IF(COUNTIF($B$13:$B$63,$B38)&gt;1,0,26)),26)+IF(B38&lt;&gt;0,0,IF(AV38&gt;0,0.000001,0))</f>
        <v/>
      </c>
      <c r="B38" s="129" t="inlineStr">
        <is>
          <t>Lucas</t>
        </is>
      </c>
      <c r="C38" s="48">
        <f>IFERROR(IF($B38="","",VLOOKUP($B38,Medewerker!$C$8:$AI$107,33,FALSE)),"?")</f>
        <v/>
      </c>
      <c r="D38" s="879">
        <f t="array" ref="D38">IFERROR(IF(LEFT(INDEX($F38:$AQ38,1,SUM(SMALL(IF($F38:$AQ38&lt;&gt;"",COLUMN($F38:$AQ38)),1)-5)),1)="x",SUM(SMALL(IF($F38:$AQ38&lt;&gt;"",$F$11:$AQ$11),1)+"0:15"),SMALL(IF($F38:$AQ38&lt;&gt;"",$F$11:$AQ$11),1)),"")</f>
        <v/>
      </c>
      <c r="E38" s="879">
        <f t="array" ref="E38">IFERROR(IF(LEFT(INDEX($F38:$AQ38,1,SUM(LARGE(IF($F38:$AQ38&lt;&gt;"",COLUMN($F38:$AQ38)),1)-5)),1)="x",SUM(LARGE(IF($F38:$AQ38&lt;&gt;"",$F$11:$AQ$11+"0:30:00"),1)-"0:15"),LARGE(IF($F38:$AQ38&lt;&gt;"",$F$11:$AQ$11+"0:30:00"),1)),"")</f>
        <v/>
      </c>
      <c r="F38" s="43" t="n"/>
      <c r="G38" s="42" t="n"/>
      <c r="H38" s="43" t="n"/>
      <c r="I38" s="43" t="n"/>
      <c r="J38" s="43" t="n"/>
      <c r="K38" s="41" t="n"/>
      <c r="L38" s="40" t="n"/>
      <c r="M38" s="42" t="n"/>
      <c r="N38" s="43" t="n"/>
      <c r="O38" s="41" t="n"/>
      <c r="P38" s="40" t="n"/>
      <c r="Q38" s="42" t="n"/>
      <c r="R38" s="43" t="n"/>
      <c r="S38" s="41" t="n"/>
      <c r="T38" s="40" t="n"/>
      <c r="U38" s="42" t="n"/>
      <c r="V38" s="43" t="n"/>
      <c r="W38" s="41" t="n"/>
      <c r="X38" s="40" t="n"/>
      <c r="Y38" s="42" t="n"/>
      <c r="Z38" s="43" t="n"/>
      <c r="AA38" s="41" t="n"/>
      <c r="AB38" s="40" t="n"/>
      <c r="AC38" s="42" t="n"/>
      <c r="AD38" s="43" t="n"/>
      <c r="AE38" s="41" t="n"/>
      <c r="AF38" s="40" t="n"/>
      <c r="AG38" s="42" t="n"/>
      <c r="AH38" s="43" t="n"/>
      <c r="AI38" s="41" t="inlineStr">
        <is>
          <t>vv</t>
        </is>
      </c>
      <c r="AJ38" s="40" t="inlineStr">
        <is>
          <t>vv</t>
        </is>
      </c>
      <c r="AK38" s="42" t="inlineStr">
        <is>
          <t>vv</t>
        </is>
      </c>
      <c r="AL38" s="43" t="inlineStr">
        <is>
          <t>vv</t>
        </is>
      </c>
      <c r="AM38" s="41" t="inlineStr">
        <is>
          <t>vv</t>
        </is>
      </c>
      <c r="AN38" s="645" t="inlineStr">
        <is>
          <t>vv</t>
        </is>
      </c>
      <c r="AO38" s="42" t="inlineStr">
        <is>
          <t>vv</t>
        </is>
      </c>
      <c r="AP38" s="43" t="n"/>
      <c r="AQ38" s="42" t="n"/>
      <c r="AR38" s="888">
        <f>IFERROR(IF(VLOOKUP($B38,Medewerker!$C$8:$Y$107,23,FALSE)="",VLOOKUP($B38,Medewerker!$C$8:$Y$107,21,FALSE),0),0)</f>
        <v/>
      </c>
      <c r="AS38" s="888">
        <f>IFERROR(IF(B38="",1,IF(VLOOKUP($B38,Medewerker!$C$8:$Y$107,23,FALSE)="",VLOOKUP($B38,Medewerker!$C$8:$Y$107,22,FALSE),0)),0)</f>
        <v/>
      </c>
      <c r="AT38" s="45" t="n"/>
      <c r="AU38" s="46">
        <f>(COUNTIF(F38:AQ38,"afw"))/2</f>
        <v/>
      </c>
      <c r="AV38" s="111">
        <f>((38-(COUNTIF(F38:AQ38,"")))/2)-(COUNTIF(F38:AQ38,"p")/2)-(COUNTIF(F38:AQ38,CONCATENATE("x","*"))/4)</f>
        <v/>
      </c>
      <c r="AW38" s="73">
        <f>IF($B38="","",VLOOKUP($B38,Medewerker!$C$8:$E$107,3,FALSE))</f>
        <v/>
      </c>
      <c r="AX38" s="403">
        <f>IFERROR(VLOOKUP($B38,Planning!$B$6:$AG$105,32,FALSE)*24,"")</f>
        <v/>
      </c>
      <c r="AY38" s="560" t="inlineStr">
        <is>
          <t>nr</t>
        </is>
      </c>
      <c r="AZ38" s="166" t="inlineStr">
        <is>
          <t>Naloopronde</t>
        </is>
      </c>
      <c r="BA38" s="111">
        <f>COUNTIF($F$13:$AQ$63,CONCATENATE(AY38,"*"))/2+COUNTIF($F$13:$AQ$63,CONCATENATE("x",AY38,"*"))/4</f>
        <v/>
      </c>
      <c r="BB38" s="838" t="n"/>
      <c r="BC38" s="31">
        <f>IF(Planning!B31="","",Planning!B31)</f>
        <v/>
      </c>
      <c r="BD38" s="105" t="n"/>
      <c r="BE38" s="885">
        <f>Planning!E31</f>
        <v/>
      </c>
      <c r="BF38" s="885">
        <f>Planning!F31</f>
        <v/>
      </c>
      <c r="BG38" s="886" t="n"/>
      <c r="BH38" s="105" t="n"/>
      <c r="BI38" s="885">
        <f>Planning!I31</f>
        <v/>
      </c>
      <c r="BJ38" s="885">
        <f>Planning!J31</f>
        <v/>
      </c>
      <c r="BK38" s="886" t="n"/>
      <c r="BL38" s="105" t="n"/>
      <c r="BM38" s="885">
        <f>Planning!M31</f>
        <v/>
      </c>
      <c r="BN38" s="885">
        <f>Planning!N31</f>
        <v/>
      </c>
      <c r="BO38" s="886" t="n"/>
      <c r="BP38" s="105" t="n"/>
      <c r="BQ38" s="885">
        <f>Planning!Q31</f>
        <v/>
      </c>
      <c r="BR38" s="885">
        <f>Planning!R31</f>
        <v/>
      </c>
      <c r="BS38" s="886" t="n"/>
      <c r="BT38" s="105" t="n"/>
      <c r="BU38" s="885">
        <f>Planning!U31</f>
        <v/>
      </c>
      <c r="BV38" s="885">
        <f>Planning!V31</f>
        <v/>
      </c>
      <c r="BW38" s="886" t="n"/>
      <c r="BX38" s="105" t="n"/>
      <c r="BY38" s="885">
        <f>Planning!Y31</f>
        <v/>
      </c>
      <c r="BZ38" s="885">
        <f>Planning!Z31</f>
        <v/>
      </c>
      <c r="CA38" s="886" t="n"/>
      <c r="CB38" s="105" t="n"/>
      <c r="CC38" s="885">
        <f>Planning!AC31</f>
        <v/>
      </c>
      <c r="CD38" s="885">
        <f>Planning!AD31</f>
        <v/>
      </c>
      <c r="CE38" s="886" t="n"/>
      <c r="CF38" s="105" t="n"/>
      <c r="CG38" s="887">
        <f>Planning!AG31</f>
        <v/>
      </c>
      <c r="CH38" s="105" t="n"/>
      <c r="CI38" s="252">
        <f>IF(BC38="","",Planning!AI31)</f>
        <v/>
      </c>
      <c r="CJ38" s="252">
        <f>IF(BC38="","",Planning!AJ31)</f>
        <v/>
      </c>
      <c r="CK38" s="252">
        <f>IF(BC38="","",Planning!AK31)</f>
        <v/>
      </c>
      <c r="CL38" s="252">
        <f>IF(BC38="","",Planning!AH31)</f>
        <v/>
      </c>
      <c r="CM38" s="21" t="n"/>
    </row>
    <row r="39" ht="12.75" customHeight="1">
      <c r="A39" s="161">
        <f>IFERROR(IF(VLOOKUP($B39,$BC$13:$CL$86,36,FALSE)&gt;5,0,IF(COUNTIF($B$13:$B$63,$B39)&gt;1,0,27)),27)+IF(B39&lt;&gt;0,0,IF(AV39&gt;0,0.000001,0))</f>
        <v/>
      </c>
      <c r="B39" s="129" t="inlineStr">
        <is>
          <t>Yulia</t>
        </is>
      </c>
      <c r="C39" s="48">
        <f>IFERROR(IF($B39="","",VLOOKUP($B39,Medewerker!$C$8:$AI$107,33,FALSE)),"?")</f>
        <v/>
      </c>
      <c r="D39" s="879">
        <f t="array" ref="D39">IFERROR(IF(LEFT(INDEX($F39:$AQ39,1,SUM(SMALL(IF($F39:$AQ39&lt;&gt;"",COLUMN($F39:$AQ39)),1)-5)),1)="x",SUM(SMALL(IF($F39:$AQ39&lt;&gt;"",$F$11:$AQ$11),1)+"0:15"),SMALL(IF($F39:$AQ39&lt;&gt;"",$F$11:$AQ$11),1)),"")</f>
        <v/>
      </c>
      <c r="E39" s="879">
        <f t="array" ref="E39">IFERROR(IF(LEFT(INDEX($F39:$AQ39,1,SUM(LARGE(IF($F39:$AQ39&lt;&gt;"",COLUMN($F39:$AQ39)),1)-5)),1)="x",SUM(LARGE(IF($F39:$AQ39&lt;&gt;"",$F$11:$AQ$11+"0:30:00"),1)-"0:15"),LARGE(IF($F39:$AQ39&lt;&gt;"",$F$11:$AQ$11+"0:30:00"),1)),"")</f>
        <v/>
      </c>
      <c r="F39" s="43" t="n"/>
      <c r="G39" s="42" t="n"/>
      <c r="H39" s="43" t="n"/>
      <c r="I39" s="42" t="n"/>
      <c r="J39" s="43" t="n"/>
      <c r="K39" s="41" t="n"/>
      <c r="L39" s="40" t="n"/>
      <c r="M39" s="42" t="n"/>
      <c r="N39" s="43" t="n"/>
      <c r="O39" s="41" t="n"/>
      <c r="P39" s="40" t="n"/>
      <c r="Q39" s="42" t="n"/>
      <c r="R39" s="43" t="n"/>
      <c r="S39" s="41" t="n"/>
      <c r="T39" s="40" t="n"/>
      <c r="U39" s="42" t="n"/>
      <c r="V39" s="43" t="n"/>
      <c r="W39" s="41" t="n"/>
      <c r="X39" s="40" t="n"/>
      <c r="Y39" s="42" t="n"/>
      <c r="Z39" s="43" t="n"/>
      <c r="AA39" s="41" t="n"/>
      <c r="AB39" s="40" t="n"/>
      <c r="AC39" s="42" t="n"/>
      <c r="AD39" s="43" t="n"/>
      <c r="AE39" s="41" t="n"/>
      <c r="AF39" s="40" t="n"/>
      <c r="AG39" s="42" t="n"/>
      <c r="AH39" s="43" t="n"/>
      <c r="AI39" s="41" t="inlineStr">
        <is>
          <t>vv</t>
        </is>
      </c>
      <c r="AJ39" s="40" t="inlineStr">
        <is>
          <t>vv</t>
        </is>
      </c>
      <c r="AK39" s="42" t="inlineStr">
        <is>
          <t>vv</t>
        </is>
      </c>
      <c r="AL39" s="43" t="inlineStr">
        <is>
          <t>vv</t>
        </is>
      </c>
      <c r="AM39" s="41" t="inlineStr">
        <is>
          <t>vv</t>
        </is>
      </c>
      <c r="AN39" s="645" t="inlineStr">
        <is>
          <t>vv</t>
        </is>
      </c>
      <c r="AO39" s="42" t="inlineStr">
        <is>
          <t>vv</t>
        </is>
      </c>
      <c r="AP39" s="43" t="n"/>
      <c r="AQ39" s="42" t="n"/>
      <c r="AR39" s="888">
        <f>IFERROR(IF(VLOOKUP($B39,Medewerker!$C$8:$Y$107,23,FALSE)="",VLOOKUP($B39,Medewerker!$C$8:$Y$107,21,FALSE),0),0)</f>
        <v/>
      </c>
      <c r="AS39" s="888">
        <f>IFERROR(IF(B39="",1,IF(VLOOKUP($B39,Medewerker!$C$8:$Y$107,23,FALSE)="",VLOOKUP($B39,Medewerker!$C$8:$Y$107,22,FALSE),0)),0)</f>
        <v/>
      </c>
      <c r="AT39" s="45" t="n"/>
      <c r="AU39" s="46">
        <f>(COUNTIF(F39:AQ39,"afw"))/2</f>
        <v/>
      </c>
      <c r="AV39" s="111">
        <f>((38-(COUNTIF(F39:AQ39,"")))/2)-(COUNTIF(F39:AQ39,"p")/2)-(COUNTIF(F39:AQ39,CONCATENATE("x","*"))/4)</f>
        <v/>
      </c>
      <c r="AW39" s="73">
        <f>IF($B39="","",VLOOKUP($B39,Medewerker!$C$8:$E$107,3,FALSE))</f>
        <v/>
      </c>
      <c r="AX39" s="403">
        <f>IFERROR(VLOOKUP($B39,Planning!$B$6:$AG$105,32,FALSE)*24,"")</f>
        <v/>
      </c>
      <c r="AY39" s="560" t="inlineStr">
        <is>
          <t>us</t>
        </is>
      </c>
      <c r="AZ39" s="166" t="inlineStr">
        <is>
          <t>Vervallen artikelen</t>
        </is>
      </c>
      <c r="BA39" s="111">
        <f>COUNTIF($F$13:$AQ$63,CONCATENATE(AY39,"*"))/2+COUNTIF($F$13:$AQ$63,CONCATENATE("x",AY39,"*"))/4</f>
        <v/>
      </c>
      <c r="BB39" s="838" t="n"/>
      <c r="BC39" s="31">
        <f>IF(Planning!B32="","",Planning!B32)</f>
        <v/>
      </c>
      <c r="BD39" s="105" t="n"/>
      <c r="BE39" s="885">
        <f>Planning!E32</f>
        <v/>
      </c>
      <c r="BF39" s="885">
        <f>Planning!F32</f>
        <v/>
      </c>
      <c r="BG39" s="886" t="n"/>
      <c r="BH39" s="105" t="n"/>
      <c r="BI39" s="885">
        <f>Planning!I32</f>
        <v/>
      </c>
      <c r="BJ39" s="885">
        <f>Planning!J32</f>
        <v/>
      </c>
      <c r="BK39" s="886" t="n"/>
      <c r="BL39" s="105" t="n"/>
      <c r="BM39" s="885">
        <f>Planning!M32</f>
        <v/>
      </c>
      <c r="BN39" s="885">
        <f>Planning!N32</f>
        <v/>
      </c>
      <c r="BO39" s="886" t="n"/>
      <c r="BP39" s="105" t="n"/>
      <c r="BQ39" s="885">
        <f>Planning!Q32</f>
        <v/>
      </c>
      <c r="BR39" s="885">
        <f>Planning!R32</f>
        <v/>
      </c>
      <c r="BS39" s="886" t="n"/>
      <c r="BT39" s="105" t="n"/>
      <c r="BU39" s="885">
        <f>Planning!U32</f>
        <v/>
      </c>
      <c r="BV39" s="885">
        <f>Planning!V32</f>
        <v/>
      </c>
      <c r="BW39" s="886" t="n"/>
      <c r="BX39" s="105" t="n"/>
      <c r="BY39" s="885">
        <f>Planning!Y32</f>
        <v/>
      </c>
      <c r="BZ39" s="885">
        <f>Planning!Z32</f>
        <v/>
      </c>
      <c r="CA39" s="886" t="n"/>
      <c r="CB39" s="105" t="n"/>
      <c r="CC39" s="885">
        <f>Planning!AC32</f>
        <v/>
      </c>
      <c r="CD39" s="885">
        <f>Planning!AD32</f>
        <v/>
      </c>
      <c r="CE39" s="886" t="n"/>
      <c r="CF39" s="105" t="n"/>
      <c r="CG39" s="887">
        <f>Planning!AG32</f>
        <v/>
      </c>
      <c r="CH39" s="105" t="n"/>
      <c r="CI39" s="252">
        <f>IF(BC39="","",Planning!AI32)</f>
        <v/>
      </c>
      <c r="CJ39" s="252">
        <f>IF(BC39="","",Planning!AJ32)</f>
        <v/>
      </c>
      <c r="CK39" s="252">
        <f>IF(BC39="","",Planning!AK32)</f>
        <v/>
      </c>
      <c r="CL39" s="252">
        <f>IF(BC39="","",Planning!AH32)</f>
        <v/>
      </c>
      <c r="CM39" s="21" t="n"/>
    </row>
    <row r="40" ht="12.75" customHeight="1">
      <c r="A40" s="161">
        <f>IFERROR(IF(VLOOKUP($B40,$BC$13:$CL$86,36,FALSE)&gt;5,0,IF(COUNTIF($B$13:$B$63,$B40)&gt;1,0,28)),28)+IF(B40&lt;&gt;0,0,IF(AV40&gt;0,0.000001,0))</f>
        <v/>
      </c>
      <c r="B40" s="129" t="n"/>
      <c r="C40" s="48">
        <f>IFERROR(IF($B40="","",VLOOKUP($B40,Medewerker!$C$8:$AI$107,33,FALSE)),"?")</f>
        <v/>
      </c>
      <c r="D40" s="879">
        <f t="array" ref="D40">IFERROR(IF(LEFT(INDEX($F40:$AQ40,1,SUM(SMALL(IF($F40:$AQ40&lt;&gt;"",COLUMN($F40:$AQ40)),1)-5)),1)="x",SUM(SMALL(IF($F40:$AQ40&lt;&gt;"",$F$11:$AQ$11),1)+"0:15"),SMALL(IF($F40:$AQ40&lt;&gt;"",$F$11:$AQ$11),1)),"")</f>
        <v/>
      </c>
      <c r="E40" s="879">
        <f t="array" ref="E40">IFERROR(IF(LEFT(INDEX($F40:$AQ40,1,SUM(LARGE(IF($F40:$AQ40&lt;&gt;"",COLUMN($F40:$AQ40)),1)-5)),1)="x",SUM(LARGE(IF($F40:$AQ40&lt;&gt;"",$F$11:$AQ$11+"0:30:00"),1)-"0:15"),LARGE(IF($F40:$AQ40&lt;&gt;"",$F$11:$AQ$11+"0:30:00"),1)),"")</f>
        <v/>
      </c>
      <c r="F40" s="43" t="n"/>
      <c r="G40" s="42" t="n"/>
      <c r="H40" s="43" t="n"/>
      <c r="I40" s="42" t="n"/>
      <c r="J40" s="43" t="n"/>
      <c r="K40" s="41" t="n"/>
      <c r="L40" s="40" t="n"/>
      <c r="M40" s="42" t="n"/>
      <c r="N40" s="43" t="n"/>
      <c r="O40" s="41" t="n"/>
      <c r="P40" s="40" t="n"/>
      <c r="Q40" s="42" t="n"/>
      <c r="R40" s="43" t="n"/>
      <c r="S40" s="41" t="n"/>
      <c r="T40" s="40" t="n"/>
      <c r="U40" s="42" t="n"/>
      <c r="V40" s="43" t="n"/>
      <c r="W40" s="41" t="n"/>
      <c r="X40" s="40" t="n"/>
      <c r="Y40" s="42" t="n"/>
      <c r="Z40" s="43" t="n"/>
      <c r="AA40" s="41" t="n"/>
      <c r="AB40" s="40" t="n"/>
      <c r="AC40" s="42" t="n"/>
      <c r="AD40" s="43" t="n"/>
      <c r="AE40" s="41" t="n"/>
      <c r="AF40" s="40" t="n"/>
      <c r="AG40" s="42" t="n"/>
      <c r="AH40" s="43" t="n"/>
      <c r="AI40" s="41" t="n"/>
      <c r="AJ40" s="40" t="n"/>
      <c r="AK40" s="42" t="n"/>
      <c r="AL40" s="43" t="n"/>
      <c r="AM40" s="41" t="n"/>
      <c r="AN40" s="645" t="n"/>
      <c r="AO40" s="42" t="n"/>
      <c r="AP40" s="43" t="n"/>
      <c r="AQ40" s="42" t="n"/>
      <c r="AR40" s="888">
        <f>IFERROR(IF(VLOOKUP($B40,Medewerker!$C$8:$Y$107,23,FALSE)="",VLOOKUP($B40,Medewerker!$C$8:$Y$107,21,FALSE),0),0)</f>
        <v/>
      </c>
      <c r="AS40" s="888">
        <f>IFERROR(IF(B40="",1,IF(VLOOKUP($B40,Medewerker!$C$8:$Y$107,23,FALSE)="",VLOOKUP($B40,Medewerker!$C$8:$Y$107,22,FALSE),0)),0)</f>
        <v/>
      </c>
      <c r="AT40" s="45" t="n"/>
      <c r="AU40" s="46">
        <f>(COUNTIF(F40:AQ40,"afw"))/2</f>
        <v/>
      </c>
      <c r="AV40" s="111">
        <f>((38-(COUNTIF(F40:AQ40,"")))/2)-(COUNTIF(F40:AQ40,"p")/2)-(COUNTIF(F40:AQ40,CONCATENATE("x","*"))/4)</f>
        <v/>
      </c>
      <c r="AW40" s="73">
        <f>IF($B40="","",VLOOKUP($B40,Medewerker!$C$8:$E$107,3,FALSE))</f>
        <v/>
      </c>
      <c r="AX40" s="403">
        <f>IFERROR(VLOOKUP($B40,Planning!$B$6:$AG$105,32,FALSE)*24,"")</f>
        <v/>
      </c>
      <c r="AY40" s="559" t="inlineStr">
        <is>
          <t>ver</t>
        </is>
      </c>
      <c r="AZ40" s="414" t="inlineStr">
        <is>
          <t>Vernietigen/Reststoffen</t>
        </is>
      </c>
      <c r="BA40" s="111">
        <f>COUNTIF($F$13:$AQ$63,CONCATENATE(AY40,"*"))/2+COUNTIF($F$13:$AQ$63,CONCATENATE("x",AY40,"*"))/4</f>
        <v/>
      </c>
      <c r="BB40" s="838" t="n"/>
      <c r="BC40" s="31">
        <f>IF(Planning!B33="","",Planning!B33)</f>
        <v/>
      </c>
      <c r="BD40" s="105" t="n"/>
      <c r="BE40" s="885">
        <f>Planning!E33</f>
        <v/>
      </c>
      <c r="BF40" s="885">
        <f>Planning!F33</f>
        <v/>
      </c>
      <c r="BG40" s="886" t="n"/>
      <c r="BH40" s="105" t="n"/>
      <c r="BI40" s="885">
        <f>Planning!I33</f>
        <v/>
      </c>
      <c r="BJ40" s="885">
        <f>Planning!J33</f>
        <v/>
      </c>
      <c r="BK40" s="886" t="n"/>
      <c r="BL40" s="105" t="n"/>
      <c r="BM40" s="885">
        <f>Planning!M33</f>
        <v/>
      </c>
      <c r="BN40" s="885">
        <f>Planning!N33</f>
        <v/>
      </c>
      <c r="BO40" s="886" t="n"/>
      <c r="BP40" s="105" t="n"/>
      <c r="BQ40" s="885">
        <f>Planning!Q33</f>
        <v/>
      </c>
      <c r="BR40" s="885">
        <f>Planning!R33</f>
        <v/>
      </c>
      <c r="BS40" s="886" t="n"/>
      <c r="BT40" s="105" t="n"/>
      <c r="BU40" s="885">
        <f>Planning!U33</f>
        <v/>
      </c>
      <c r="BV40" s="885">
        <f>Planning!V33</f>
        <v/>
      </c>
      <c r="BW40" s="886" t="n"/>
      <c r="BX40" s="105" t="n"/>
      <c r="BY40" s="885">
        <f>Planning!Y33</f>
        <v/>
      </c>
      <c r="BZ40" s="885">
        <f>Planning!Z33</f>
        <v/>
      </c>
      <c r="CA40" s="886" t="n"/>
      <c r="CB40" s="105" t="n"/>
      <c r="CC40" s="885">
        <f>Planning!AC33</f>
        <v/>
      </c>
      <c r="CD40" s="885">
        <f>Planning!AD33</f>
        <v/>
      </c>
      <c r="CE40" s="886" t="n"/>
      <c r="CF40" s="105" t="n"/>
      <c r="CG40" s="887">
        <f>Planning!AG33</f>
        <v/>
      </c>
      <c r="CH40" s="105" t="n"/>
      <c r="CI40" s="252">
        <f>IF(BC40="","",Planning!AI33)</f>
        <v/>
      </c>
      <c r="CJ40" s="252">
        <f>IF(BC40="","",Planning!AJ33)</f>
        <v/>
      </c>
      <c r="CK40" s="252">
        <f>IF(BC40="","",Planning!AK33)</f>
        <v/>
      </c>
      <c r="CL40" s="252">
        <f>IF(BC40="","",Planning!AH33)</f>
        <v/>
      </c>
      <c r="CM40" s="21" t="n"/>
    </row>
    <row r="41" ht="12.75" customHeight="1">
      <c r="A41" s="161">
        <f>IFERROR(IF(VLOOKUP($B41,$BC$13:$CL$86,36,FALSE)&gt;5,0,IF(COUNTIF($B$13:$B$63,$B41)&gt;1,0,29)),29)+IF(B41&lt;&gt;0,0,IF(AV41&gt;0,0.000001,0))</f>
        <v/>
      </c>
      <c r="B41" s="129" t="inlineStr">
        <is>
          <t>Ayoub</t>
        </is>
      </c>
      <c r="C41" s="48">
        <f>IFERROR(IF($B41="","",VLOOKUP($B41,Medewerker!$C$8:$AI$107,33,FALSE)),"?")</f>
        <v/>
      </c>
      <c r="D41" s="879">
        <f t="array" ref="D41">IFERROR(IF(LEFT(INDEX($F41:$AQ41,1,SUM(SMALL(IF($F41:$AQ41&lt;&gt;"",COLUMN($F41:$AQ41)),1)-5)),1)="x",SUM(SMALL(IF($F41:$AQ41&lt;&gt;"",$F$11:$AQ$11),1)+"0:15"),SMALL(IF($F41:$AQ41&lt;&gt;"",$F$11:$AQ$11),1)),"")</f>
        <v/>
      </c>
      <c r="E41" s="879">
        <f t="array" ref="E41">IFERROR(IF(LEFT(INDEX($F41:$AQ41,1,SUM(LARGE(IF($F41:$AQ41&lt;&gt;"",COLUMN($F41:$AQ41)),1)-5)),1)="x",SUM(LARGE(IF($F41:$AQ41&lt;&gt;"",$F$11:$AQ$11+"0:30:00"),1)-"0:15"),LARGE(IF($F41:$AQ41&lt;&gt;"",$F$11:$AQ$11+"0:30:00"),1)),"")</f>
        <v/>
      </c>
      <c r="F41" s="43" t="n"/>
      <c r="G41" s="42" t="n"/>
      <c r="H41" s="43" t="n"/>
      <c r="I41" s="42" t="n"/>
      <c r="J41" s="43" t="n"/>
      <c r="K41" s="41" t="n"/>
      <c r="L41" s="40" t="n"/>
      <c r="M41" s="42" t="n"/>
      <c r="N41" s="43" t="n"/>
      <c r="O41" s="41" t="n"/>
      <c r="P41" s="40" t="n"/>
      <c r="Q41" s="42" t="n"/>
      <c r="R41" s="43" t="n"/>
      <c r="S41" s="41" t="n"/>
      <c r="T41" s="40" t="n"/>
      <c r="U41" s="42" t="n"/>
      <c r="V41" s="43" t="n"/>
      <c r="W41" s="41" t="n"/>
      <c r="X41" s="40" t="n"/>
      <c r="Y41" s="42" t="n"/>
      <c r="Z41" s="43" t="n"/>
      <c r="AA41" s="41" t="n"/>
      <c r="AB41" s="40" t="n"/>
      <c r="AC41" s="42" t="n"/>
      <c r="AD41" s="43" t="n"/>
      <c r="AE41" s="41" t="n"/>
      <c r="AF41" s="40" t="n"/>
      <c r="AG41" s="42" t="n"/>
      <c r="AH41" s="43" t="n"/>
      <c r="AI41" s="41" t="inlineStr">
        <is>
          <t>wv</t>
        </is>
      </c>
      <c r="AJ41" s="41" t="inlineStr">
        <is>
          <t>wv</t>
        </is>
      </c>
      <c r="AK41" s="41" t="inlineStr">
        <is>
          <t>wv</t>
        </is>
      </c>
      <c r="AL41" s="41" t="inlineStr">
        <is>
          <t>wv</t>
        </is>
      </c>
      <c r="AM41" s="41" t="inlineStr">
        <is>
          <t>wv</t>
        </is>
      </c>
      <c r="AN41" s="41" t="inlineStr">
        <is>
          <t>wv</t>
        </is>
      </c>
      <c r="AO41" s="41" t="inlineStr">
        <is>
          <t>wv</t>
        </is>
      </c>
      <c r="AP41" s="43" t="n"/>
      <c r="AQ41" s="42" t="n"/>
      <c r="AR41" s="888">
        <f>IFERROR(IF(VLOOKUP($B41,Medewerker!$C$8:$Y$107,23,FALSE)="",VLOOKUP($B41,Medewerker!$C$8:$Y$107,21,FALSE),0),0)</f>
        <v/>
      </c>
      <c r="AS41" s="888">
        <f>IFERROR(IF(B41="",1,IF(VLOOKUP($B41,Medewerker!$C$8:$Y$107,23,FALSE)="",VLOOKUP($B41,Medewerker!$C$8:$Y$107,22,FALSE),0)),0)</f>
        <v/>
      </c>
      <c r="AT41" s="45" t="n"/>
      <c r="AU41" s="46">
        <f>(COUNTIF(F41:AQ41,"afw"))/2</f>
        <v/>
      </c>
      <c r="AV41" s="111">
        <f>((38-(COUNTIF(F41:AQ41,"")))/2)-(COUNTIF(F41:AQ41,"p")/2)-(COUNTIF(F41:AQ41,CONCATENATE("x","*"))/4)</f>
        <v/>
      </c>
      <c r="AW41" s="73">
        <f>IF($B41="","",VLOOKUP($B41,Medewerker!$C$8:$E$107,3,FALSE))</f>
        <v/>
      </c>
      <c r="AX41" s="403">
        <f>IFERROR(VLOOKUP($B41,Planning!$B$6:$AG$105,32,FALSE)*24,"")</f>
        <v/>
      </c>
      <c r="AY41" s="891" t="inlineStr">
        <is>
          <t>Promo/Presentatie</t>
        </is>
      </c>
      <c r="AZ41" s="883" t="n"/>
      <c r="BA41" s="884" t="n"/>
      <c r="BB41" s="838" t="n"/>
      <c r="BC41" s="31">
        <f>IF(Planning!B34="","",Planning!B34)</f>
        <v/>
      </c>
      <c r="BD41" s="105" t="n"/>
      <c r="BE41" s="885">
        <f>Planning!E34</f>
        <v/>
      </c>
      <c r="BF41" s="885">
        <f>Planning!F34</f>
        <v/>
      </c>
      <c r="BG41" s="886" t="n"/>
      <c r="BH41" s="105" t="n"/>
      <c r="BI41" s="885">
        <f>Planning!I34</f>
        <v/>
      </c>
      <c r="BJ41" s="885">
        <f>Planning!J34</f>
        <v/>
      </c>
      <c r="BK41" s="886" t="n"/>
      <c r="BL41" s="105" t="n"/>
      <c r="BM41" s="885">
        <f>Planning!M34</f>
        <v/>
      </c>
      <c r="BN41" s="885">
        <f>Planning!N34</f>
        <v/>
      </c>
      <c r="BO41" s="886" t="n"/>
      <c r="BP41" s="105" t="n"/>
      <c r="BQ41" s="885">
        <f>Planning!Q34</f>
        <v/>
      </c>
      <c r="BR41" s="885">
        <f>Planning!R34</f>
        <v/>
      </c>
      <c r="BS41" s="886" t="n"/>
      <c r="BT41" s="105" t="n"/>
      <c r="BU41" s="885">
        <f>Planning!U34</f>
        <v/>
      </c>
      <c r="BV41" s="885">
        <f>Planning!V34</f>
        <v/>
      </c>
      <c r="BW41" s="886" t="n"/>
      <c r="BX41" s="105" t="n"/>
      <c r="BY41" s="885">
        <f>Planning!Y34</f>
        <v/>
      </c>
      <c r="BZ41" s="885">
        <f>Planning!Z34</f>
        <v/>
      </c>
      <c r="CA41" s="886" t="n"/>
      <c r="CB41" s="105" t="n"/>
      <c r="CC41" s="885">
        <f>Planning!AC34</f>
        <v/>
      </c>
      <c r="CD41" s="885">
        <f>Planning!AD34</f>
        <v/>
      </c>
      <c r="CE41" s="886" t="n"/>
      <c r="CF41" s="105" t="n"/>
      <c r="CG41" s="887">
        <f>Planning!AG34</f>
        <v/>
      </c>
      <c r="CH41" s="105" t="n"/>
      <c r="CI41" s="252">
        <f>IF(BC41="","",Planning!AI34)</f>
        <v/>
      </c>
      <c r="CJ41" s="252">
        <f>IF(BC41="","",Planning!AJ34)</f>
        <v/>
      </c>
      <c r="CK41" s="252">
        <f>IF(BC41="","",Planning!AK34)</f>
        <v/>
      </c>
      <c r="CL41" s="252">
        <f>IF(BC41="","",Planning!AH34)</f>
        <v/>
      </c>
      <c r="CM41" s="21" t="n"/>
    </row>
    <row r="42" ht="12.75" customHeight="1">
      <c r="A42" s="161">
        <f>IFERROR(IF(VLOOKUP($B42,$BC$13:$CL$86,36,FALSE)&gt;5,0,IF(COUNTIF($B$13:$B$63,$B42)&gt;1,0,30)),30)+IF(B42&lt;&gt;0,0,IF(AV42&gt;0,0.000001,0))</f>
        <v/>
      </c>
      <c r="B42" s="129" t="inlineStr">
        <is>
          <t>Younes</t>
        </is>
      </c>
      <c r="C42" s="48">
        <f>IFERROR(IF($B42="","",VLOOKUP($B42,Medewerker!$C$8:$AI$107,33,FALSE)),"?")</f>
        <v/>
      </c>
      <c r="D42" s="879">
        <f t="array" ref="D42">IFERROR(IF(LEFT(INDEX($F42:$AQ42,1,SUM(SMALL(IF($F42:$AQ42&lt;&gt;"",COLUMN($F42:$AQ42)),1)-5)),1)="x",SUM(SMALL(IF($F42:$AQ42&lt;&gt;"",$F$11:$AQ$11),1)+"0:15"),SMALL(IF($F42:$AQ42&lt;&gt;"",$F$11:$AQ$11),1)),"")</f>
        <v/>
      </c>
      <c r="E42" s="879">
        <f t="array" ref="E42">IFERROR(IF(LEFT(INDEX($F42:$AQ42,1,SUM(LARGE(IF($F42:$AQ42&lt;&gt;"",COLUMN($F42:$AQ42)),1)-5)),1)="x",SUM(LARGE(IF($F42:$AQ42&lt;&gt;"",$F$11:$AQ$11+"0:30:00"),1)-"0:15"),LARGE(IF($F42:$AQ42&lt;&gt;"",$F$11:$AQ$11+"0:30:00"),1)),"")</f>
        <v/>
      </c>
      <c r="F42" s="43" t="n"/>
      <c r="G42" s="42" t="n"/>
      <c r="H42" s="43" t="n"/>
      <c r="I42" s="42" t="n"/>
      <c r="J42" s="43" t="n"/>
      <c r="K42" s="41" t="n"/>
      <c r="L42" s="40" t="n"/>
      <c r="M42" s="42" t="n"/>
      <c r="N42" s="43" t="n"/>
      <c r="O42" s="41" t="n"/>
      <c r="P42" s="40" t="n"/>
      <c r="Q42" s="42" t="n"/>
      <c r="R42" s="43" t="n"/>
      <c r="S42" s="41" t="n"/>
      <c r="T42" s="40" t="n"/>
      <c r="U42" s="42" t="n"/>
      <c r="V42" s="43" t="n"/>
      <c r="W42" s="41" t="n"/>
      <c r="X42" s="40" t="n"/>
      <c r="Y42" s="42" t="n"/>
      <c r="Z42" s="43" t="n"/>
      <c r="AA42" s="41" t="n"/>
      <c r="AB42" s="40" t="n"/>
      <c r="AC42" s="42" t="n"/>
      <c r="AD42" s="43" t="n"/>
      <c r="AE42" s="41" t="n"/>
      <c r="AF42" s="40" t="n"/>
      <c r="AG42" s="42" t="n"/>
      <c r="AH42" s="43" t="n"/>
      <c r="AI42" s="41" t="inlineStr">
        <is>
          <t>wv</t>
        </is>
      </c>
      <c r="AJ42" s="41" t="inlineStr">
        <is>
          <t>wv</t>
        </is>
      </c>
      <c r="AK42" s="41" t="inlineStr">
        <is>
          <t>wv</t>
        </is>
      </c>
      <c r="AL42" s="41" t="inlineStr">
        <is>
          <t>wv</t>
        </is>
      </c>
      <c r="AM42" s="41" t="inlineStr">
        <is>
          <t>wv</t>
        </is>
      </c>
      <c r="AN42" s="41" t="inlineStr">
        <is>
          <t>wv</t>
        </is>
      </c>
      <c r="AO42" s="41" t="inlineStr">
        <is>
          <t>wv</t>
        </is>
      </c>
      <c r="AP42" s="43" t="n"/>
      <c r="AQ42" s="42" t="n"/>
      <c r="AR42" s="888">
        <f>IFERROR(IF(VLOOKUP($B42,Medewerker!$C$8:$Y$107,23,FALSE)="",VLOOKUP($B42,Medewerker!$C$8:$Y$107,21,FALSE),0),0)</f>
        <v/>
      </c>
      <c r="AS42" s="888">
        <f>IFERROR(IF(B42="",1,IF(VLOOKUP($B42,Medewerker!$C$8:$Y$107,23,FALSE)="",VLOOKUP($B42,Medewerker!$C$8:$Y$107,22,FALSE),0)),0)</f>
        <v/>
      </c>
      <c r="AT42" s="45" t="n"/>
      <c r="AU42" s="46">
        <f>(COUNTIF(F42:AQ42,"afw"))/2</f>
        <v/>
      </c>
      <c r="AV42" s="111">
        <f>((38-(COUNTIF(F42:AQ42,"")))/2)-(COUNTIF(F42:AQ42,"p")/2)-(COUNTIF(F42:AQ42,CONCATENATE("x","*"))/4)</f>
        <v/>
      </c>
      <c r="AW42" s="73">
        <f>IF($B42="","",VLOOKUP($B42,Medewerker!$C$8:$E$107,3,FALSE))</f>
        <v/>
      </c>
      <c r="AX42" s="403">
        <f>IFERROR(VLOOKUP($B42,Planning!$B$6:$AG$105,32,FALSE)*24,"")</f>
        <v/>
      </c>
      <c r="AY42" s="559" t="inlineStr">
        <is>
          <t>act</t>
        </is>
      </c>
      <c r="AZ42" s="71" t="inlineStr">
        <is>
          <t>Actieopbouw</t>
        </is>
      </c>
      <c r="BA42" s="111">
        <f>COUNTIF($F$13:$AQ$63,CONCATENATE(AY42,"*"))/2+COUNTIF($F$13:$AQ$63,CONCATENATE("x",AY42,"*"))/4</f>
        <v/>
      </c>
      <c r="BB42" s="838" t="n"/>
      <c r="BC42" s="31">
        <f>IF(Planning!B35="","",Planning!B35)</f>
        <v/>
      </c>
      <c r="BD42" s="105" t="n"/>
      <c r="BE42" s="885">
        <f>Planning!E35</f>
        <v/>
      </c>
      <c r="BF42" s="885">
        <f>Planning!F35</f>
        <v/>
      </c>
      <c r="BG42" s="886" t="n"/>
      <c r="BH42" s="105" t="n"/>
      <c r="BI42" s="885">
        <f>Planning!I35</f>
        <v/>
      </c>
      <c r="BJ42" s="885">
        <f>Planning!J35</f>
        <v/>
      </c>
      <c r="BK42" s="886" t="n"/>
      <c r="BL42" s="105" t="n"/>
      <c r="BM42" s="885">
        <f>Planning!M35</f>
        <v/>
      </c>
      <c r="BN42" s="885">
        <f>Planning!N35</f>
        <v/>
      </c>
      <c r="BO42" s="886" t="n"/>
      <c r="BP42" s="105" t="n"/>
      <c r="BQ42" s="885">
        <f>Planning!Q35</f>
        <v/>
      </c>
      <c r="BR42" s="885">
        <f>Planning!R35</f>
        <v/>
      </c>
      <c r="BS42" s="886" t="n"/>
      <c r="BT42" s="105" t="n"/>
      <c r="BU42" s="885">
        <f>Planning!U35</f>
        <v/>
      </c>
      <c r="BV42" s="885">
        <f>Planning!V35</f>
        <v/>
      </c>
      <c r="BW42" s="886" t="n"/>
      <c r="BX42" s="105" t="n"/>
      <c r="BY42" s="885">
        <f>Planning!Y35</f>
        <v/>
      </c>
      <c r="BZ42" s="885">
        <f>Planning!Z35</f>
        <v/>
      </c>
      <c r="CA42" s="886" t="n"/>
      <c r="CB42" s="105" t="n"/>
      <c r="CC42" s="885">
        <f>Planning!AC35</f>
        <v/>
      </c>
      <c r="CD42" s="885">
        <f>Planning!AD35</f>
        <v/>
      </c>
      <c r="CE42" s="886" t="n"/>
      <c r="CF42" s="105" t="n"/>
      <c r="CG42" s="887">
        <f>Planning!AG35</f>
        <v/>
      </c>
      <c r="CH42" s="105" t="n"/>
      <c r="CI42" s="252">
        <f>IF(BC42="","",Planning!AI35)</f>
        <v/>
      </c>
      <c r="CJ42" s="252">
        <f>IF(BC42="","",Planning!AJ35)</f>
        <v/>
      </c>
      <c r="CK42" s="252">
        <f>IF(BC42="","",Planning!AK35)</f>
        <v/>
      </c>
      <c r="CL42" s="252">
        <f>IF(BC42="","",Planning!AH35)</f>
        <v/>
      </c>
      <c r="CM42" s="21" t="n"/>
    </row>
    <row r="43" ht="12.75" customHeight="1">
      <c r="A43" s="161">
        <f>IFERROR(IF(VLOOKUP($B43,$BC$13:$CL$86,36,FALSE)&gt;5,0,IF(COUNTIF($B$13:$B$63,$B43)&gt;1,0,31)),31)+IF(B43&lt;&gt;0,0,IF(AV43&gt;0,0.000001,0))</f>
        <v/>
      </c>
      <c r="B43" s="129" t="inlineStr">
        <is>
          <t>Rougia</t>
        </is>
      </c>
      <c r="C43" s="48">
        <f>IFERROR(IF($B43="","",VLOOKUP($B43,Medewerker!$C$8:$AI$107,33,FALSE)),"?")</f>
        <v/>
      </c>
      <c r="D43" s="879">
        <f t="array" ref="D43">IFERROR(IF(LEFT(INDEX($F43:$AQ43,1,SUM(SMALL(IF($F43:$AQ43&lt;&gt;"",COLUMN($F43:$AQ43)),1)-5)),1)="x",SUM(SMALL(IF($F43:$AQ43&lt;&gt;"",$F$11:$AQ$11),1)+"0:15"),SMALL(IF($F43:$AQ43&lt;&gt;"",$F$11:$AQ$11),1)),"")</f>
        <v/>
      </c>
      <c r="E43" s="879">
        <f t="array" ref="E43">IFERROR(IF(LEFT(INDEX($F43:$AQ43,1,SUM(LARGE(IF($F43:$AQ43&lt;&gt;"",COLUMN($F43:$AQ43)),1)-5)),1)="x",SUM(LARGE(IF($F43:$AQ43&lt;&gt;"",$F$11:$AQ$11+"0:30:00"),1)-"0:15"),LARGE(IF($F43:$AQ43&lt;&gt;"",$F$11:$AQ$11+"0:30:00"),1)),"")</f>
        <v/>
      </c>
      <c r="F43" s="43" t="n"/>
      <c r="G43" s="42" t="n"/>
      <c r="H43" s="43" t="n"/>
      <c r="I43" s="42" t="n"/>
      <c r="J43" s="43" t="n"/>
      <c r="K43" s="41" t="n"/>
      <c r="L43" s="40" t="n"/>
      <c r="M43" s="42" t="n"/>
      <c r="N43" s="43" t="n"/>
      <c r="O43" s="41" t="n"/>
      <c r="P43" s="40" t="n"/>
      <c r="Q43" s="42" t="n"/>
      <c r="R43" s="43" t="n"/>
      <c r="S43" s="41" t="n"/>
      <c r="T43" s="40" t="n"/>
      <c r="U43" s="42" t="n"/>
      <c r="V43" s="43" t="n"/>
      <c r="W43" s="41" t="n"/>
      <c r="X43" s="40" t="n"/>
      <c r="Y43" s="42" t="n"/>
      <c r="Z43" s="43" t="n"/>
      <c r="AA43" s="41" t="n"/>
      <c r="AB43" s="40" t="n"/>
      <c r="AC43" s="42" t="n"/>
      <c r="AD43" s="43" t="n"/>
      <c r="AE43" s="41" t="n"/>
      <c r="AF43" s="40" t="n"/>
      <c r="AG43" s="42" t="n"/>
      <c r="AH43" s="43" t="n"/>
      <c r="AI43" s="41" t="inlineStr">
        <is>
          <t>wv</t>
        </is>
      </c>
      <c r="AJ43" s="41" t="inlineStr">
        <is>
          <t>wv</t>
        </is>
      </c>
      <c r="AK43" s="41" t="inlineStr">
        <is>
          <t>wv</t>
        </is>
      </c>
      <c r="AL43" s="41" t="inlineStr">
        <is>
          <t>wv</t>
        </is>
      </c>
      <c r="AM43" s="41" t="inlineStr">
        <is>
          <t>wv</t>
        </is>
      </c>
      <c r="AN43" s="41" t="inlineStr">
        <is>
          <t>wv</t>
        </is>
      </c>
      <c r="AO43" s="41" t="inlineStr">
        <is>
          <t>wv</t>
        </is>
      </c>
      <c r="AP43" s="43" t="n"/>
      <c r="AQ43" s="42" t="n"/>
      <c r="AR43" s="888">
        <f>IFERROR(IF(VLOOKUP($B43,Medewerker!$C$8:$Y$107,23,FALSE)="",VLOOKUP($B43,Medewerker!$C$8:$Y$107,21,FALSE),0),0)</f>
        <v/>
      </c>
      <c r="AS43" s="888">
        <f>IFERROR(IF(B43="",1,IF(VLOOKUP($B43,Medewerker!$C$8:$Y$107,23,FALSE)="",VLOOKUP($B43,Medewerker!$C$8:$Y$107,22,FALSE),0)),0)</f>
        <v/>
      </c>
      <c r="AT43" s="45" t="n"/>
      <c r="AU43" s="46">
        <f>(COUNTIF(F43:AQ43,"afw"))/2</f>
        <v/>
      </c>
      <c r="AV43" s="111">
        <f>((38-(COUNTIF(F43:AQ43,"")))/2)-(COUNTIF(F43:AQ43,"p")/2)-(COUNTIF(F43:AQ43,CONCATENATE("x","*"))/4)</f>
        <v/>
      </c>
      <c r="AW43" s="73">
        <f>IF($B43="","",VLOOKUP($B43,Medewerker!$C$8:$E$107,3,FALSE))</f>
        <v/>
      </c>
      <c r="AX43" s="403">
        <f>IFERROR(VLOOKUP($B43,Planning!$B$6:$AG$105,32,FALSE)*24,"")</f>
        <v/>
      </c>
      <c r="AY43" s="559" t="inlineStr">
        <is>
          <t>com</t>
        </is>
      </c>
      <c r="AZ43" s="71" t="inlineStr">
        <is>
          <t>Comco sorteren</t>
        </is>
      </c>
      <c r="BA43" s="111">
        <f>COUNTIF($F$13:$AQ$63,CONCATENATE(AY43,"*"))/2+COUNTIF($F$13:$AQ$63,CONCATENATE("x",AY43,"*"))/4</f>
        <v/>
      </c>
      <c r="BB43" s="838" t="n"/>
      <c r="BC43" s="31">
        <f>IF(Planning!B36="","",Planning!B36)</f>
        <v/>
      </c>
      <c r="BD43" s="105" t="n"/>
      <c r="BE43" s="885">
        <f>Planning!E36</f>
        <v/>
      </c>
      <c r="BF43" s="885">
        <f>Planning!F36</f>
        <v/>
      </c>
      <c r="BG43" s="886" t="n"/>
      <c r="BH43" s="105" t="n"/>
      <c r="BI43" s="885">
        <f>Planning!I36</f>
        <v/>
      </c>
      <c r="BJ43" s="885">
        <f>Planning!J36</f>
        <v/>
      </c>
      <c r="BK43" s="886" t="n"/>
      <c r="BL43" s="105" t="n"/>
      <c r="BM43" s="885">
        <f>Planning!M36</f>
        <v/>
      </c>
      <c r="BN43" s="885">
        <f>Planning!N36</f>
        <v/>
      </c>
      <c r="BO43" s="886" t="n"/>
      <c r="BP43" s="105" t="n"/>
      <c r="BQ43" s="885">
        <f>Planning!Q36</f>
        <v/>
      </c>
      <c r="BR43" s="885">
        <f>Planning!R36</f>
        <v/>
      </c>
      <c r="BS43" s="886" t="n"/>
      <c r="BT43" s="105" t="n"/>
      <c r="BU43" s="885">
        <f>Planning!U36</f>
        <v/>
      </c>
      <c r="BV43" s="885">
        <f>Planning!V36</f>
        <v/>
      </c>
      <c r="BW43" s="886" t="n"/>
      <c r="BX43" s="105" t="n"/>
      <c r="BY43" s="885">
        <f>Planning!Y36</f>
        <v/>
      </c>
      <c r="BZ43" s="885">
        <f>Planning!Z36</f>
        <v/>
      </c>
      <c r="CA43" s="886" t="n"/>
      <c r="CB43" s="105" t="n"/>
      <c r="CC43" s="885">
        <f>Planning!AC36</f>
        <v/>
      </c>
      <c r="CD43" s="885">
        <f>Planning!AD36</f>
        <v/>
      </c>
      <c r="CE43" s="886" t="n"/>
      <c r="CF43" s="105" t="n"/>
      <c r="CG43" s="887">
        <f>Planning!AG36</f>
        <v/>
      </c>
      <c r="CH43" s="105" t="n"/>
      <c r="CI43" s="252">
        <f>IF(BC43="","",Planning!AI36)</f>
        <v/>
      </c>
      <c r="CJ43" s="252">
        <f>IF(BC43="","",Planning!AJ36)</f>
        <v/>
      </c>
      <c r="CK43" s="252">
        <f>IF(BC43="","",Planning!AK36)</f>
        <v/>
      </c>
      <c r="CL43" s="252">
        <f>IF(BC43="","",Planning!AH36)</f>
        <v/>
      </c>
      <c r="CM43" s="21" t="n"/>
    </row>
    <row r="44" ht="12.75" customHeight="1">
      <c r="A44" s="161">
        <f>IFERROR(IF(VLOOKUP($B44,$BC$13:$CL$86,36,FALSE)&gt;5,0,IF(COUNTIF($B$13:$B$63,$B44)&gt;1,0,32)),32)+IF(B44&lt;&gt;0,0,IF(AV44&gt;0,0.000001,0))</f>
        <v/>
      </c>
      <c r="B44" s="129" t="n"/>
      <c r="C44" s="48">
        <f>IFERROR(IF($B44="","",VLOOKUP($B44,Medewerker!$C$8:$AI$107,33,FALSE)),"?")</f>
        <v/>
      </c>
      <c r="D44" s="879">
        <f t="array" ref="D44">IFERROR(IF(LEFT(INDEX($F44:$AQ44,1,SUM(SMALL(IF($F44:$AQ44&lt;&gt;"",COLUMN($F44:$AQ44)),1)-5)),1)="x",SUM(SMALL(IF($F44:$AQ44&lt;&gt;"",$F$11:$AQ$11),1)+"0:15"),SMALL(IF($F44:$AQ44&lt;&gt;"",$F$11:$AQ$11),1)),"")</f>
        <v/>
      </c>
      <c r="E44" s="879">
        <f t="array" ref="E44">IFERROR(IF(LEFT(INDEX($F44:$AQ44,1,SUM(LARGE(IF($F44:$AQ44&lt;&gt;"",COLUMN($F44:$AQ44)),1)-5)),1)="x",SUM(LARGE(IF($F44:$AQ44&lt;&gt;"",$F$11:$AQ$11+"0:30:00"),1)-"0:15"),LARGE(IF($F44:$AQ44&lt;&gt;"",$F$11:$AQ$11+"0:30:00"),1)),"")</f>
        <v/>
      </c>
      <c r="F44" s="43" t="n"/>
      <c r="G44" s="42" t="n"/>
      <c r="H44" s="43" t="n"/>
      <c r="I44" s="42" t="n"/>
      <c r="J44" s="43" t="n"/>
      <c r="K44" s="41" t="n"/>
      <c r="L44" s="40" t="n"/>
      <c r="M44" s="42" t="n"/>
      <c r="N44" s="43" t="n"/>
      <c r="O44" s="41" t="n"/>
      <c r="P44" s="40" t="n"/>
      <c r="Q44" s="42" t="n"/>
      <c r="R44" s="43" t="n"/>
      <c r="S44" s="41" t="n"/>
      <c r="T44" s="40" t="n"/>
      <c r="U44" s="42" t="n"/>
      <c r="V44" s="43" t="n"/>
      <c r="W44" s="41" t="n"/>
      <c r="X44" s="40" t="n"/>
      <c r="Y44" s="42" t="n"/>
      <c r="Z44" s="43" t="n"/>
      <c r="AA44" s="41" t="n"/>
      <c r="AB44" s="40" t="n"/>
      <c r="AC44" s="42" t="n"/>
      <c r="AD44" s="43" t="n"/>
      <c r="AE44" s="41" t="n"/>
      <c r="AF44" s="40" t="n"/>
      <c r="AG44" s="42" t="n"/>
      <c r="AH44" s="43" t="n"/>
      <c r="AI44" s="41" t="n"/>
      <c r="AJ44" s="40" t="n"/>
      <c r="AK44" s="42" t="n"/>
      <c r="AL44" s="43" t="n"/>
      <c r="AM44" s="41" t="n"/>
      <c r="AN44" s="645" t="n"/>
      <c r="AO44" s="42" t="n"/>
      <c r="AP44" s="43" t="n"/>
      <c r="AQ44" s="42" t="n"/>
      <c r="AR44" s="888">
        <f>IFERROR(IF(VLOOKUP($B44,Medewerker!$C$8:$Y$107,23,FALSE)="",VLOOKUP($B44,Medewerker!$C$8:$Y$107,21,FALSE),0),0)</f>
        <v/>
      </c>
      <c r="AS44" s="888">
        <f>IFERROR(IF(B44="",1,IF(VLOOKUP($B44,Medewerker!$C$8:$Y$107,23,FALSE)="",VLOOKUP($B44,Medewerker!$C$8:$Y$107,22,FALSE),0)),0)</f>
        <v/>
      </c>
      <c r="AT44" s="45" t="n"/>
      <c r="AU44" s="46">
        <f>(COUNTIF(F44:AQ44,"afw"))/2</f>
        <v/>
      </c>
      <c r="AV44" s="111">
        <f>((38-(COUNTIF(F44:AQ44,"")))/2)-(COUNTIF(F44:AQ44,"p")/2)-(COUNTIF(F44:AQ44,CONCATENATE("x","*"))/4)</f>
        <v/>
      </c>
      <c r="AW44" s="73">
        <f>IF($B44="","",VLOOKUP($B44,Medewerker!$C$8:$E$107,3,FALSE))</f>
        <v/>
      </c>
      <c r="AX44" s="403">
        <f>IFERROR(VLOOKUP($B44,Planning!$B$6:$AG$105,32,FALSE)*24,"")</f>
        <v/>
      </c>
      <c r="AY44" s="558" t="inlineStr">
        <is>
          <t>pro</t>
        </is>
      </c>
      <c r="AZ44" s="71" t="inlineStr">
        <is>
          <t>Promotie</t>
        </is>
      </c>
      <c r="BA44" s="111">
        <f>COUNTIF($F$13:$AQ$63,CONCATENATE(AY44,"*"))/2+COUNTIF($F$13:$AQ$63,CONCATENATE("x",AY44,"*"))/4</f>
        <v/>
      </c>
      <c r="BB44" s="838" t="n"/>
      <c r="BC44" s="31">
        <f>IF(Planning!B37="","",Planning!B37)</f>
        <v/>
      </c>
      <c r="BD44" s="105" t="n"/>
      <c r="BE44" s="885">
        <f>Planning!E37</f>
        <v/>
      </c>
      <c r="BF44" s="885">
        <f>Planning!F37</f>
        <v/>
      </c>
      <c r="BG44" s="886" t="n"/>
      <c r="BH44" s="105" t="n"/>
      <c r="BI44" s="885">
        <f>Planning!I37</f>
        <v/>
      </c>
      <c r="BJ44" s="885">
        <f>Planning!J37</f>
        <v/>
      </c>
      <c r="BK44" s="886" t="n"/>
      <c r="BL44" s="105" t="n"/>
      <c r="BM44" s="885">
        <f>Planning!M37</f>
        <v/>
      </c>
      <c r="BN44" s="885">
        <f>Planning!N37</f>
        <v/>
      </c>
      <c r="BO44" s="886" t="n"/>
      <c r="BP44" s="105" t="n"/>
      <c r="BQ44" s="885">
        <f>Planning!Q37</f>
        <v/>
      </c>
      <c r="BR44" s="885">
        <f>Planning!R37</f>
        <v/>
      </c>
      <c r="BS44" s="886" t="n"/>
      <c r="BT44" s="105" t="n"/>
      <c r="BU44" s="885">
        <f>Planning!U37</f>
        <v/>
      </c>
      <c r="BV44" s="885">
        <f>Planning!V37</f>
        <v/>
      </c>
      <c r="BW44" s="886" t="n"/>
      <c r="BX44" s="105" t="n"/>
      <c r="BY44" s="885">
        <f>Planning!Y37</f>
        <v/>
      </c>
      <c r="BZ44" s="885">
        <f>Planning!Z37</f>
        <v/>
      </c>
      <c r="CA44" s="886" t="n"/>
      <c r="CB44" s="105" t="n"/>
      <c r="CC44" s="885">
        <f>Planning!AC37</f>
        <v/>
      </c>
      <c r="CD44" s="885">
        <f>Planning!AD37</f>
        <v/>
      </c>
      <c r="CE44" s="886" t="n"/>
      <c r="CF44" s="105" t="n"/>
      <c r="CG44" s="887">
        <f>Planning!AG37</f>
        <v/>
      </c>
      <c r="CH44" s="105" t="n"/>
      <c r="CI44" s="252">
        <f>IF(BC44="","",Planning!AI37)</f>
        <v/>
      </c>
      <c r="CJ44" s="252">
        <f>IF(BC44="","",Planning!AJ37)</f>
        <v/>
      </c>
      <c r="CK44" s="252">
        <f>IF(BC44="","",Planning!AK37)</f>
        <v/>
      </c>
      <c r="CL44" s="252">
        <f>IF(BC44="","",Planning!AH37)</f>
        <v/>
      </c>
      <c r="CM44" s="21" t="n"/>
    </row>
    <row r="45" ht="12.75" customHeight="1">
      <c r="A45" s="161">
        <f>IFERROR(IF(VLOOKUP($B45,$BC$13:$CL$86,36,FALSE)&gt;5,0,IF(COUNTIF($B$13:$B$63,$B45)&gt;1,0,33)),33)+IF(B45&lt;&gt;0,0,IF(AV45&gt;0,0.000001,0))</f>
        <v/>
      </c>
      <c r="B45" s="129" t="n"/>
      <c r="C45" s="48">
        <f>IFERROR(IF($B45="","",VLOOKUP($B45,Medewerker!$C$8:$AI$107,33,FALSE)),"?")</f>
        <v/>
      </c>
      <c r="D45" s="879">
        <f t="array" ref="D45">IFERROR(IF(LEFT(INDEX($F45:$AQ45,1,SUM(SMALL(IF($F45:$AQ45&lt;&gt;"",COLUMN($F45:$AQ45)),1)-5)),1)="x",SUM(SMALL(IF($F45:$AQ45&lt;&gt;"",$F$11:$AQ$11),1)+"0:15"),SMALL(IF($F45:$AQ45&lt;&gt;"",$F$11:$AQ$11),1)),"")</f>
        <v/>
      </c>
      <c r="E45" s="879">
        <f t="array" ref="E45">IFERROR(IF(LEFT(INDEX($F45:$AQ45,1,SUM(LARGE(IF($F45:$AQ45&lt;&gt;"",COLUMN($F45:$AQ45)),1)-5)),1)="x",SUM(LARGE(IF($F45:$AQ45&lt;&gt;"",$F$11:$AQ$11+"0:30:00"),1)-"0:15"),LARGE(IF($F45:$AQ45&lt;&gt;"",$F$11:$AQ$11+"0:30:00"),1)),"")</f>
        <v/>
      </c>
      <c r="F45" s="43" t="n"/>
      <c r="G45" s="42" t="n"/>
      <c r="H45" s="43" t="n"/>
      <c r="I45" s="42" t="n"/>
      <c r="J45" s="43" t="n"/>
      <c r="K45" s="41" t="n"/>
      <c r="L45" s="40" t="n"/>
      <c r="M45" s="42" t="n"/>
      <c r="N45" s="43" t="n"/>
      <c r="O45" s="41" t="n"/>
      <c r="P45" s="40" t="n"/>
      <c r="Q45" s="42" t="n"/>
      <c r="R45" s="43" t="n"/>
      <c r="S45" s="41" t="n"/>
      <c r="T45" s="40" t="n"/>
      <c r="U45" s="42" t="n"/>
      <c r="V45" s="43" t="n"/>
      <c r="W45" s="41" t="n"/>
      <c r="X45" s="40" t="n"/>
      <c r="Y45" s="42" t="n"/>
      <c r="Z45" s="43" t="n"/>
      <c r="AA45" s="41" t="n"/>
      <c r="AB45" s="40" t="n"/>
      <c r="AC45" s="42" t="n"/>
      <c r="AD45" s="43" t="n"/>
      <c r="AE45" s="41" t="n"/>
      <c r="AF45" s="40" t="n"/>
      <c r="AG45" s="42" t="n"/>
      <c r="AH45" s="43" t="n"/>
      <c r="AI45" s="41" t="n"/>
      <c r="AJ45" s="40" t="n"/>
      <c r="AK45" s="42" t="n"/>
      <c r="AL45" s="43" t="n"/>
      <c r="AM45" s="41" t="n"/>
      <c r="AN45" s="645" t="n"/>
      <c r="AO45" s="42" t="n"/>
      <c r="AP45" s="43" t="n"/>
      <c r="AQ45" s="42" t="n"/>
      <c r="AR45" s="888">
        <f>IFERROR(IF(VLOOKUP($B45,Medewerker!$C$8:$Y$107,23,FALSE)="",VLOOKUP($B45,Medewerker!$C$8:$Y$107,21,FALSE),0),0)</f>
        <v/>
      </c>
      <c r="AS45" s="888">
        <f>IFERROR(IF(B45="",1,IF(VLOOKUP($B45,Medewerker!$C$8:$Y$107,23,FALSE)="",VLOOKUP($B45,Medewerker!$C$8:$Y$107,22,FALSE),0)),0)</f>
        <v/>
      </c>
      <c r="AT45" s="45" t="n"/>
      <c r="AU45" s="46">
        <f>(COUNTIF(F45:AQ45,"afw"))/2</f>
        <v/>
      </c>
      <c r="AV45" s="111">
        <f>((38-(COUNTIF(F45:AQ45,"")))/2)-(COUNTIF(F45:AQ45,"p")/2)-(COUNTIF(F45:AQ45,CONCATENATE("x","*"))/4)</f>
        <v/>
      </c>
      <c r="AW45" s="73">
        <f>IF($B45="","",VLOOKUP($B45,Medewerker!$C$8:$E$107,3,FALSE))</f>
        <v/>
      </c>
      <c r="AX45" s="403">
        <f>IFERROR(VLOOKUP($B45,Planning!$B$6:$AG$105,32,FALSE)*24,"")</f>
        <v/>
      </c>
      <c r="AY45" s="558" t="inlineStr">
        <is>
          <t>pw</t>
        </is>
      </c>
      <c r="AZ45" s="71" t="inlineStr">
        <is>
          <t>Prijswijzigingen</t>
        </is>
      </c>
      <c r="BA45" s="111">
        <f>COUNTIF($F$13:$AQ$63,CONCATENATE(AY45,"*"))/2+COUNTIF($F$13:$AQ$63,CONCATENATE("x",AY45,"*"))/4</f>
        <v/>
      </c>
      <c r="BB45" s="838" t="n"/>
      <c r="BC45" s="31">
        <f>IF(Planning!B38="","",Planning!B38)</f>
        <v/>
      </c>
      <c r="BD45" s="105" t="n"/>
      <c r="BE45" s="885">
        <f>Planning!E38</f>
        <v/>
      </c>
      <c r="BF45" s="885">
        <f>Planning!F38</f>
        <v/>
      </c>
      <c r="BG45" s="886" t="n"/>
      <c r="BH45" s="105" t="n"/>
      <c r="BI45" s="885">
        <f>Planning!I38</f>
        <v/>
      </c>
      <c r="BJ45" s="885">
        <f>Planning!J38</f>
        <v/>
      </c>
      <c r="BK45" s="886" t="n"/>
      <c r="BL45" s="105" t="n"/>
      <c r="BM45" s="885">
        <f>Planning!M38</f>
        <v/>
      </c>
      <c r="BN45" s="885">
        <f>Planning!N38</f>
        <v/>
      </c>
      <c r="BO45" s="886" t="n"/>
      <c r="BP45" s="105" t="n"/>
      <c r="BQ45" s="885">
        <f>Planning!Q38</f>
        <v/>
      </c>
      <c r="BR45" s="885">
        <f>Planning!R38</f>
        <v/>
      </c>
      <c r="BS45" s="886" t="n"/>
      <c r="BT45" s="105" t="n"/>
      <c r="BU45" s="885">
        <f>Planning!U38</f>
        <v/>
      </c>
      <c r="BV45" s="885">
        <f>Planning!V38</f>
        <v/>
      </c>
      <c r="BW45" s="886" t="n"/>
      <c r="BX45" s="105" t="n"/>
      <c r="BY45" s="885">
        <f>Planning!Y38</f>
        <v/>
      </c>
      <c r="BZ45" s="885">
        <f>Planning!Z38</f>
        <v/>
      </c>
      <c r="CA45" s="886" t="n"/>
      <c r="CB45" s="105" t="n"/>
      <c r="CC45" s="885">
        <f>Planning!AC38</f>
        <v/>
      </c>
      <c r="CD45" s="885">
        <f>Planning!AD38</f>
        <v/>
      </c>
      <c r="CE45" s="886" t="n"/>
      <c r="CF45" s="105" t="n"/>
      <c r="CG45" s="887">
        <f>Planning!AG38</f>
        <v/>
      </c>
      <c r="CH45" s="105" t="n"/>
      <c r="CI45" s="252">
        <f>IF(BC45="","",Planning!AI38)</f>
        <v/>
      </c>
      <c r="CJ45" s="252">
        <f>IF(BC45="","",Planning!AJ38)</f>
        <v/>
      </c>
      <c r="CK45" s="252">
        <f>IF(BC45="","",Planning!AK38)</f>
        <v/>
      </c>
      <c r="CL45" s="252">
        <f>IF(BC45="","",Planning!AH38)</f>
        <v/>
      </c>
      <c r="CM45" s="21" t="n"/>
    </row>
    <row r="46" ht="12.75" customHeight="1">
      <c r="A46" s="161">
        <f>IFERROR(IF(VLOOKUP($B46,$BC$13:$CL$86,36,FALSE)&gt;5,0,IF(COUNTIF($B$13:$B$63,$B46)&gt;1,0,34)),34)+IF(B46&lt;&gt;0,0,IF(AV46&gt;0,0.000001,0))</f>
        <v/>
      </c>
      <c r="B46" s="129" t="n"/>
      <c r="C46" s="48">
        <f>IFERROR(IF($B46="","",VLOOKUP($B46,Medewerker!$C$8:$AI$107,33,FALSE)),"?")</f>
        <v/>
      </c>
      <c r="D46" s="879">
        <f t="array" ref="D46">IFERROR(IF(LEFT(INDEX($F46:$AQ46,1,SUM(SMALL(IF($F46:$AQ46&lt;&gt;"",COLUMN($F46:$AQ46)),1)-5)),1)="x",SUM(SMALL(IF($F46:$AQ46&lt;&gt;"",$F$11:$AQ$11),1)+"0:15"),SMALL(IF($F46:$AQ46&lt;&gt;"",$F$11:$AQ$11),1)),"")</f>
        <v/>
      </c>
      <c r="E46" s="879">
        <f t="array" ref="E46">IFERROR(IF(LEFT(INDEX($F46:$AQ46,1,SUM(LARGE(IF($F46:$AQ46&lt;&gt;"",COLUMN($F46:$AQ46)),1)-5)),1)="x",SUM(LARGE(IF($F46:$AQ46&lt;&gt;"",$F$11:$AQ$11+"0:30:00"),1)-"0:15"),LARGE(IF($F46:$AQ46&lt;&gt;"",$F$11:$AQ$11+"0:30:00"),1)),"")</f>
        <v/>
      </c>
      <c r="F46" s="43" t="n"/>
      <c r="G46" s="42" t="n"/>
      <c r="H46" s="43" t="n"/>
      <c r="I46" s="42" t="n"/>
      <c r="J46" s="43" t="n"/>
      <c r="K46" s="41" t="n"/>
      <c r="L46" s="40" t="n"/>
      <c r="M46" s="42" t="n"/>
      <c r="N46" s="43" t="n"/>
      <c r="O46" s="41" t="n"/>
      <c r="P46" s="40" t="n"/>
      <c r="Q46" s="42" t="n"/>
      <c r="R46" s="43" t="n"/>
      <c r="S46" s="41" t="n"/>
      <c r="T46" s="40" t="n"/>
      <c r="U46" s="42" t="n"/>
      <c r="V46" s="43" t="n"/>
      <c r="W46" s="41" t="n"/>
      <c r="X46" s="40" t="n"/>
      <c r="Y46" s="42" t="n"/>
      <c r="Z46" s="43" t="n"/>
      <c r="AA46" s="41" t="n"/>
      <c r="AB46" s="40" t="n"/>
      <c r="AC46" s="42" t="n"/>
      <c r="AD46" s="43" t="n"/>
      <c r="AE46" s="41" t="n"/>
      <c r="AF46" s="40" t="n"/>
      <c r="AG46" s="42" t="n"/>
      <c r="AH46" s="43" t="n"/>
      <c r="AI46" s="41" t="n"/>
      <c r="AJ46" s="40" t="n"/>
      <c r="AK46" s="42" t="n"/>
      <c r="AL46" s="43" t="n"/>
      <c r="AM46" s="41" t="n"/>
      <c r="AN46" s="645" t="n"/>
      <c r="AO46" s="42" t="n"/>
      <c r="AP46" s="43" t="n"/>
      <c r="AQ46" s="42" t="n"/>
      <c r="AR46" s="888">
        <f>IFERROR(IF(VLOOKUP($B46,Medewerker!$C$8:$Y$107,23,FALSE)="",VLOOKUP($B46,Medewerker!$C$8:$Y$107,21,FALSE),0),0)</f>
        <v/>
      </c>
      <c r="AS46" s="888">
        <f>IFERROR(IF(B46="",1,IF(VLOOKUP($B46,Medewerker!$C$8:$Y$107,23,FALSE)="",VLOOKUP($B46,Medewerker!$C$8:$Y$107,22,FALSE),0)),0)</f>
        <v/>
      </c>
      <c r="AT46" s="45" t="n"/>
      <c r="AU46" s="46">
        <f>(COUNTIF(F46:AQ46,"afw"))/2</f>
        <v/>
      </c>
      <c r="AV46" s="111">
        <f>((38-(COUNTIF(F46:AQ46,"")))/2)-(COUNTIF(F46:AQ46,"p")/2)-(COUNTIF(F46:AQ46,CONCATENATE("x","*"))/4)</f>
        <v/>
      </c>
      <c r="AW46" s="73">
        <f>IF($B46="","",VLOOKUP($B46,Medewerker!$C$8:$E$107,3,FALSE))</f>
        <v/>
      </c>
      <c r="AX46" s="403">
        <f>IFERROR(VLOOKUP($B46,Planning!$B$6:$AG$105,32,FALSE)*24,"")</f>
        <v/>
      </c>
      <c r="AY46" s="558" t="inlineStr">
        <is>
          <t>wap</t>
        </is>
      </c>
      <c r="AZ46" s="71" t="inlineStr">
        <is>
          <t>WAP uitvoeren</t>
        </is>
      </c>
      <c r="BA46" s="111">
        <f>COUNTIF($F$13:$AQ$63,CONCATENATE(AY46,"*"))/2+COUNTIF($F$13:$AQ$63,CONCATENATE("x",AY46,"*"))/4</f>
        <v/>
      </c>
      <c r="BB46" s="838" t="n"/>
      <c r="BC46" s="31">
        <f>IF(Planning!B39="","",Planning!B39)</f>
        <v/>
      </c>
      <c r="BD46" s="105" t="n"/>
      <c r="BE46" s="885">
        <f>Planning!E39</f>
        <v/>
      </c>
      <c r="BF46" s="885">
        <f>Planning!F39</f>
        <v/>
      </c>
      <c r="BG46" s="886" t="n"/>
      <c r="BH46" s="105" t="n"/>
      <c r="BI46" s="885">
        <f>Planning!I39</f>
        <v/>
      </c>
      <c r="BJ46" s="885">
        <f>Planning!J39</f>
        <v/>
      </c>
      <c r="BK46" s="886" t="n"/>
      <c r="BL46" s="105" t="n"/>
      <c r="BM46" s="885">
        <f>Planning!M39</f>
        <v/>
      </c>
      <c r="BN46" s="885">
        <f>Planning!N39</f>
        <v/>
      </c>
      <c r="BO46" s="886" t="n"/>
      <c r="BP46" s="105" t="n"/>
      <c r="BQ46" s="885">
        <f>Planning!Q39</f>
        <v/>
      </c>
      <c r="BR46" s="885">
        <f>Planning!R39</f>
        <v/>
      </c>
      <c r="BS46" s="886" t="n"/>
      <c r="BT46" s="105" t="n"/>
      <c r="BU46" s="885">
        <f>Planning!U39</f>
        <v/>
      </c>
      <c r="BV46" s="885">
        <f>Planning!V39</f>
        <v/>
      </c>
      <c r="BW46" s="886" t="n"/>
      <c r="BX46" s="105" t="n"/>
      <c r="BY46" s="885">
        <f>Planning!Y39</f>
        <v/>
      </c>
      <c r="BZ46" s="885">
        <f>Planning!Z39</f>
        <v/>
      </c>
      <c r="CA46" s="886" t="n"/>
      <c r="CB46" s="105" t="n"/>
      <c r="CC46" s="885">
        <f>Planning!AC39</f>
        <v/>
      </c>
      <c r="CD46" s="885">
        <f>Planning!AD39</f>
        <v/>
      </c>
      <c r="CE46" s="886" t="n"/>
      <c r="CF46" s="105" t="n"/>
      <c r="CG46" s="887">
        <f>Planning!AG39</f>
        <v/>
      </c>
      <c r="CH46" s="105" t="n"/>
      <c r="CI46" s="252">
        <f>IF(BC46="","",Planning!AI39)</f>
        <v/>
      </c>
      <c r="CJ46" s="252">
        <f>IF(BC46="","",Planning!AJ39)</f>
        <v/>
      </c>
      <c r="CK46" s="252">
        <f>IF(BC46="","",Planning!AK39)</f>
        <v/>
      </c>
      <c r="CL46" s="252">
        <f>IF(BC46="","",Planning!AH39)</f>
        <v/>
      </c>
      <c r="CM46" s="21" t="n"/>
    </row>
    <row r="47" ht="12.75" customHeight="1">
      <c r="A47" s="161">
        <f>IFERROR(IF(VLOOKUP($B47,$BC$13:$CL$86,36,FALSE)&gt;5,0,IF(COUNTIF($B$13:$B$63,$B47)&gt;1,0,35)),35)+IF(B47&lt;&gt;0,0,IF(AV47&gt;0,0.000001,0))</f>
        <v/>
      </c>
      <c r="B47" s="129" t="n"/>
      <c r="C47" s="48">
        <f>IFERROR(IF($B47="","",VLOOKUP($B47,Medewerker!$C$8:$AI$107,33,FALSE)),"?")</f>
        <v/>
      </c>
      <c r="D47" s="879">
        <f t="array" ref="D47">IFERROR(IF(LEFT(INDEX($F47:$AQ47,1,SUM(SMALL(IF($F47:$AQ47&lt;&gt;"",COLUMN($F47:$AQ47)),1)-5)),1)="x",SUM(SMALL(IF($F47:$AQ47&lt;&gt;"",$F$11:$AQ$11),1)+"0:15"),SMALL(IF($F47:$AQ47&lt;&gt;"",$F$11:$AQ$11),1)),"")</f>
        <v/>
      </c>
      <c r="E47" s="879">
        <f t="array" ref="E47">IFERROR(IF(LEFT(INDEX($F47:$AQ47,1,SUM(LARGE(IF($F47:$AQ47&lt;&gt;"",COLUMN($F47:$AQ47)),1)-5)),1)="x",SUM(LARGE(IF($F47:$AQ47&lt;&gt;"",$F$11:$AQ$11+"0:30:00"),1)-"0:15"),LARGE(IF($F47:$AQ47&lt;&gt;"",$F$11:$AQ$11+"0:30:00"),1)),"")</f>
        <v/>
      </c>
      <c r="F47" s="43" t="n"/>
      <c r="G47" s="42" t="n"/>
      <c r="H47" s="43" t="n"/>
      <c r="I47" s="42" t="n"/>
      <c r="J47" s="43" t="n"/>
      <c r="K47" s="41" t="n"/>
      <c r="L47" s="40" t="n"/>
      <c r="M47" s="42" t="n"/>
      <c r="N47" s="43" t="n"/>
      <c r="O47" s="41" t="n"/>
      <c r="P47" s="40" t="n"/>
      <c r="Q47" s="42" t="n"/>
      <c r="R47" s="43" t="n"/>
      <c r="S47" s="41" t="n"/>
      <c r="T47" s="40" t="n"/>
      <c r="U47" s="42" t="n"/>
      <c r="V47" s="43" t="n"/>
      <c r="W47" s="41" t="n"/>
      <c r="X47" s="40" t="n"/>
      <c r="Y47" s="42" t="n"/>
      <c r="Z47" s="43" t="n"/>
      <c r="AA47" s="41" t="n"/>
      <c r="AB47" s="40" t="n"/>
      <c r="AC47" s="42" t="n"/>
      <c r="AD47" s="43" t="n"/>
      <c r="AE47" s="41" t="n"/>
      <c r="AF47" s="40" t="n"/>
      <c r="AG47" s="42" t="n"/>
      <c r="AH47" s="43" t="n"/>
      <c r="AI47" s="41" t="n"/>
      <c r="AJ47" s="40" t="n"/>
      <c r="AK47" s="42" t="n"/>
      <c r="AL47" s="43" t="n"/>
      <c r="AM47" s="41" t="n"/>
      <c r="AN47" s="645" t="n"/>
      <c r="AO47" s="42" t="n"/>
      <c r="AP47" s="43" t="n"/>
      <c r="AQ47" s="42" t="n"/>
      <c r="AR47" s="888">
        <f>IFERROR(IF(VLOOKUP($B47,Medewerker!$C$8:$Y$107,23,FALSE)="",VLOOKUP($B47,Medewerker!$C$8:$Y$107,21,FALSE),0),0)</f>
        <v/>
      </c>
      <c r="AS47" s="888">
        <f>IFERROR(IF(B47="",1,IF(VLOOKUP($B47,Medewerker!$C$8:$Y$107,23,FALSE)="",VLOOKUP($B47,Medewerker!$C$8:$Y$107,22,FALSE),0)),0)</f>
        <v/>
      </c>
      <c r="AT47" s="45" t="n"/>
      <c r="AU47" s="46">
        <f>(COUNTIF(F47:AQ47,"afw"))/2</f>
        <v/>
      </c>
      <c r="AV47" s="111">
        <f>((38-(COUNTIF(F47:AQ47,"")))/2)-(COUNTIF(F47:AQ47,"p")/2)-(COUNTIF(F47:AQ47,CONCATENATE("x","*"))/4)</f>
        <v/>
      </c>
      <c r="AW47" s="73">
        <f>IF($B47="","",VLOOKUP($B47,Medewerker!$C$8:$E$107,3,FALSE))</f>
        <v/>
      </c>
      <c r="AX47" s="403">
        <f>IFERROR(VLOOKUP($B47,Planning!$B$6:$AG$105,32,FALSE)*24,"")</f>
        <v/>
      </c>
      <c r="AY47" s="891" t="inlineStr">
        <is>
          <t>Overig</t>
        </is>
      </c>
      <c r="AZ47" s="883" t="n"/>
      <c r="BA47" s="884" t="n"/>
      <c r="BB47" s="838" t="n"/>
      <c r="BC47" s="31">
        <f>IF(Planning!B40="","",Planning!B40)</f>
        <v/>
      </c>
      <c r="BD47" s="105" t="n"/>
      <c r="BE47" s="885">
        <f>Planning!E40</f>
        <v/>
      </c>
      <c r="BF47" s="885">
        <f>Planning!F40</f>
        <v/>
      </c>
      <c r="BG47" s="886" t="n"/>
      <c r="BH47" s="105" t="n"/>
      <c r="BI47" s="885">
        <f>Planning!I40</f>
        <v/>
      </c>
      <c r="BJ47" s="885">
        <f>Planning!J40</f>
        <v/>
      </c>
      <c r="BK47" s="886" t="n"/>
      <c r="BL47" s="105" t="n"/>
      <c r="BM47" s="885">
        <f>Planning!M40</f>
        <v/>
      </c>
      <c r="BN47" s="885">
        <f>Planning!N40</f>
        <v/>
      </c>
      <c r="BO47" s="886" t="n"/>
      <c r="BP47" s="105" t="n"/>
      <c r="BQ47" s="885">
        <f>Planning!Q40</f>
        <v/>
      </c>
      <c r="BR47" s="885">
        <f>Planning!R40</f>
        <v/>
      </c>
      <c r="BS47" s="886" t="n"/>
      <c r="BT47" s="105" t="n"/>
      <c r="BU47" s="885">
        <f>Planning!U40</f>
        <v/>
      </c>
      <c r="BV47" s="885">
        <f>Planning!V40</f>
        <v/>
      </c>
      <c r="BW47" s="886" t="n"/>
      <c r="BX47" s="105" t="n"/>
      <c r="BY47" s="885">
        <f>Planning!Y40</f>
        <v/>
      </c>
      <c r="BZ47" s="885">
        <f>Planning!Z40</f>
        <v/>
      </c>
      <c r="CA47" s="886" t="n"/>
      <c r="CB47" s="105" t="n"/>
      <c r="CC47" s="885">
        <f>Planning!AC40</f>
        <v/>
      </c>
      <c r="CD47" s="885">
        <f>Planning!AD40</f>
        <v/>
      </c>
      <c r="CE47" s="886" t="n"/>
      <c r="CF47" s="105" t="n"/>
      <c r="CG47" s="887">
        <f>Planning!AG40</f>
        <v/>
      </c>
      <c r="CH47" s="105" t="n"/>
      <c r="CI47" s="252">
        <f>IF(BC47="","",Planning!AI40)</f>
        <v/>
      </c>
      <c r="CJ47" s="252">
        <f>IF(BC47="","",Planning!AJ40)</f>
        <v/>
      </c>
      <c r="CK47" s="252">
        <f>IF(BC47="","",Planning!AK40)</f>
        <v/>
      </c>
      <c r="CL47" s="252">
        <f>IF(BC47="","",Planning!AH40)</f>
        <v/>
      </c>
      <c r="CM47" s="21" t="n"/>
    </row>
    <row r="48" ht="12.75" customHeight="1">
      <c r="A48" s="161">
        <f>IFERROR(IF(VLOOKUP($B48,$BC$13:$CL$86,36,FALSE)&gt;5,0,IF(COUNTIF($B$13:$B$63,$B48)&gt;1,0,36)),36)+IF(B48&lt;&gt;0,0,IF(AV48&gt;0,0.000001,0))</f>
        <v/>
      </c>
      <c r="B48" s="129" t="n"/>
      <c r="C48" s="48">
        <f>IFERROR(IF($B48="","",VLOOKUP($B48,Medewerker!$C$8:$AI$107,33,FALSE)),"?")</f>
        <v/>
      </c>
      <c r="D48" s="879">
        <f t="array" ref="D48">IFERROR(IF(LEFT(INDEX($F48:$AQ48,1,SUM(SMALL(IF($F48:$AQ48&lt;&gt;"",COLUMN($F48:$AQ48)),1)-5)),1)="x",SUM(SMALL(IF($F48:$AQ48&lt;&gt;"",$F$11:$AQ$11),1)+"0:15"),SMALL(IF($F48:$AQ48&lt;&gt;"",$F$11:$AQ$11),1)),"")</f>
        <v/>
      </c>
      <c r="E48" s="879">
        <f t="array" ref="E48">IFERROR(IF(LEFT(INDEX($F48:$AQ48,1,SUM(LARGE(IF($F48:$AQ48&lt;&gt;"",COLUMN($F48:$AQ48)),1)-5)),1)="x",SUM(LARGE(IF($F48:$AQ48&lt;&gt;"",$F$11:$AQ$11+"0:30:00"),1)-"0:15"),LARGE(IF($F48:$AQ48&lt;&gt;"",$F$11:$AQ$11+"0:30:00"),1)),"")</f>
        <v/>
      </c>
      <c r="F48" s="43" t="n"/>
      <c r="G48" s="42" t="n"/>
      <c r="H48" s="43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  <c r="AA48" s="42" t="n"/>
      <c r="AB48" s="42" t="n"/>
      <c r="AC48" s="42" t="n"/>
      <c r="AD48" s="42" t="n"/>
      <c r="AE48" s="42" t="n"/>
      <c r="AF48" s="42" t="n"/>
      <c r="AG48" s="42" t="n"/>
      <c r="AH48" s="42" t="n"/>
      <c r="AI48" s="42" t="n"/>
      <c r="AJ48" s="42" t="n"/>
      <c r="AK48" s="42" t="n"/>
      <c r="AL48" s="42" t="n"/>
      <c r="AM48" s="42" t="n"/>
      <c r="AN48" s="42" t="n"/>
      <c r="AO48" s="42" t="n"/>
      <c r="AP48" s="42" t="n"/>
      <c r="AQ48" s="42" t="n"/>
      <c r="AR48" s="888">
        <f>IFERROR(IF(VLOOKUP($B48,Medewerker!$C$8:$Y$107,23,FALSE)="",VLOOKUP($B48,Medewerker!$C$8:$Y$107,21,FALSE),0),0)</f>
        <v/>
      </c>
      <c r="AS48" s="888">
        <f>IFERROR(IF(B48="",1,IF(VLOOKUP($B48,Medewerker!$C$8:$Y$107,23,FALSE)="",VLOOKUP($B48,Medewerker!$C$8:$Y$107,22,FALSE),0)),0)</f>
        <v/>
      </c>
      <c r="AT48" s="45" t="n"/>
      <c r="AU48" s="46">
        <f>(COUNTIF(F48:AQ48,"afw"))/2</f>
        <v/>
      </c>
      <c r="AV48" s="111">
        <f>((38-(COUNTIF(F48:AQ48,"")))/2)-(COUNTIF(F48:AQ48,"p")/2)-(COUNTIF(F48:AQ48,CONCATENATE("x","*"))/4)</f>
        <v/>
      </c>
      <c r="AW48" s="73">
        <f>IF($B48="","",VLOOKUP($B48,Medewerker!$C$8:$E$107,3,FALSE))</f>
        <v/>
      </c>
      <c r="AX48" s="403">
        <f>IFERROR(VLOOKUP($B48,Planning!$B$6:$AG$105,32,FALSE)*24,"")</f>
        <v/>
      </c>
      <c r="AY48" s="837" t="inlineStr">
        <is>
          <t>km</t>
        </is>
      </c>
      <c r="AZ48" s="414" t="inlineStr">
        <is>
          <t>Kwaliteitsmedewerker</t>
        </is>
      </c>
      <c r="BA48" s="111">
        <f>COUNTIF($F$13:$AQ$63,CONCATENATE(AY48,"*"))/2+COUNTIF($F$13:$AQ$63,CONCATENATE("x",AY48,"*"))/4</f>
        <v/>
      </c>
      <c r="BB48" s="838" t="n"/>
      <c r="BC48" s="31">
        <f>IF(Planning!B41="","",Planning!B41)</f>
        <v/>
      </c>
      <c r="BD48" s="105" t="n"/>
      <c r="BE48" s="885">
        <f>Planning!E41</f>
        <v/>
      </c>
      <c r="BF48" s="885">
        <f>Planning!F41</f>
        <v/>
      </c>
      <c r="BG48" s="886" t="n"/>
      <c r="BH48" s="105" t="n"/>
      <c r="BI48" s="885">
        <f>Planning!I41</f>
        <v/>
      </c>
      <c r="BJ48" s="885">
        <f>Planning!J41</f>
        <v/>
      </c>
      <c r="BK48" s="886" t="n"/>
      <c r="BL48" s="105" t="n"/>
      <c r="BM48" s="885">
        <f>Planning!M41</f>
        <v/>
      </c>
      <c r="BN48" s="885">
        <f>Planning!N41</f>
        <v/>
      </c>
      <c r="BO48" s="886" t="n"/>
      <c r="BP48" s="105" t="n"/>
      <c r="BQ48" s="885">
        <f>Planning!Q41</f>
        <v/>
      </c>
      <c r="BR48" s="885">
        <f>Planning!R41</f>
        <v/>
      </c>
      <c r="BS48" s="886" t="n"/>
      <c r="BT48" s="105" t="n"/>
      <c r="BU48" s="885">
        <f>Planning!U41</f>
        <v/>
      </c>
      <c r="BV48" s="885">
        <f>Planning!V41</f>
        <v/>
      </c>
      <c r="BW48" s="886" t="n"/>
      <c r="BX48" s="105" t="n"/>
      <c r="BY48" s="885">
        <f>Planning!Y41</f>
        <v/>
      </c>
      <c r="BZ48" s="885">
        <f>Planning!Z41</f>
        <v/>
      </c>
      <c r="CA48" s="886" t="n"/>
      <c r="CB48" s="105" t="n"/>
      <c r="CC48" s="885">
        <f>Planning!AC41</f>
        <v/>
      </c>
      <c r="CD48" s="885">
        <f>Planning!AD41</f>
        <v/>
      </c>
      <c r="CE48" s="886" t="n"/>
      <c r="CF48" s="105" t="n"/>
      <c r="CG48" s="887">
        <f>Planning!AG41</f>
        <v/>
      </c>
      <c r="CH48" s="105" t="n"/>
      <c r="CI48" s="252">
        <f>IF(BC48="","",Planning!AI41)</f>
        <v/>
      </c>
      <c r="CJ48" s="252">
        <f>IF(BC48="","",Planning!AJ41)</f>
        <v/>
      </c>
      <c r="CK48" s="252">
        <f>IF(BC48="","",Planning!AK41)</f>
        <v/>
      </c>
      <c r="CL48" s="252">
        <f>IF(BC48="","",Planning!AH41)</f>
        <v/>
      </c>
      <c r="CM48" s="21" t="n"/>
    </row>
    <row r="49" ht="12.75" customHeight="1">
      <c r="A49" s="161">
        <f>IFERROR(IF(VLOOKUP($B49,$BC$13:$CL$86,36,FALSE)&gt;5,0,IF(COUNTIF($B$13:$B$63,$B49)&gt;1,0,37)),37)+IF(B49&lt;&gt;0,0,IF(AV49&gt;0,0.000001,0))</f>
        <v/>
      </c>
      <c r="B49" s="129" t="n"/>
      <c r="C49" s="48">
        <f>IFERROR(IF($B49="","",VLOOKUP($B49,Medewerker!$C$8:$AI$107,33,FALSE)),"?")</f>
        <v/>
      </c>
      <c r="D49" s="879">
        <f t="array" ref="D49">IFERROR(IF(LEFT(INDEX($F49:$AQ49,1,SUM(SMALL(IF($F49:$AQ49&lt;&gt;"",COLUMN($F49:$AQ49)),1)-5)),1)="x",SUM(SMALL(IF($F49:$AQ49&lt;&gt;"",$F$11:$AQ$11),1)+"0:15"),SMALL(IF($F49:$AQ49&lt;&gt;"",$F$11:$AQ$11),1)),"")</f>
        <v/>
      </c>
      <c r="E49" s="879">
        <f t="array" ref="E49">IFERROR(IF(LEFT(INDEX($F49:$AQ49,1,SUM(LARGE(IF($F49:$AQ49&lt;&gt;"",COLUMN($F49:$AQ49)),1)-5)),1)="x",SUM(LARGE(IF($F49:$AQ49&lt;&gt;"",$F$11:$AQ$11+"0:30:00"),1)-"0:15"),LARGE(IF($F49:$AQ49&lt;&gt;"",$F$11:$AQ$11+"0:30:00"),1)),"")</f>
        <v/>
      </c>
      <c r="F49" s="43" t="n"/>
      <c r="G49" s="42" t="n"/>
      <c r="H49" s="43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  <c r="AA49" s="42" t="n"/>
      <c r="AB49" s="42" t="n"/>
      <c r="AC49" s="42" t="n"/>
      <c r="AD49" s="42" t="n"/>
      <c r="AE49" s="42" t="n"/>
      <c r="AF49" s="42" t="n"/>
      <c r="AG49" s="42" t="n"/>
      <c r="AH49" s="42" t="n"/>
      <c r="AI49" s="42" t="n"/>
      <c r="AJ49" s="42" t="n"/>
      <c r="AK49" s="42" t="n"/>
      <c r="AL49" s="42" t="n"/>
      <c r="AM49" s="42" t="n"/>
      <c r="AN49" s="42" t="n"/>
      <c r="AO49" s="42" t="n"/>
      <c r="AP49" s="42" t="n"/>
      <c r="AQ49" s="42" t="n"/>
      <c r="AR49" s="888">
        <f>IFERROR(IF(VLOOKUP($B49,Medewerker!$C$8:$Y$107,23,FALSE)="",VLOOKUP($B49,Medewerker!$C$8:$Y$107,21,FALSE),0),0)</f>
        <v/>
      </c>
      <c r="AS49" s="888">
        <f>IFERROR(IF(B49="",1,IF(VLOOKUP($B49,Medewerker!$C$8:$Y$107,23,FALSE)="",VLOOKUP($B49,Medewerker!$C$8:$Y$107,22,FALSE),0)),0)</f>
        <v/>
      </c>
      <c r="AT49" s="45" t="n"/>
      <c r="AU49" s="46">
        <f>(COUNTIF(F49:AQ49,"afw"))/2</f>
        <v/>
      </c>
      <c r="AV49" s="111">
        <f>((38-(COUNTIF(F49:AQ49,"")))/2)-(COUNTIF(F49:AQ49,"p")/2)-(COUNTIF(F49:AQ49,CONCATENATE("x","*"))/4)</f>
        <v/>
      </c>
      <c r="AW49" s="73">
        <f>IF($B49="","",VLOOKUP($B49,Medewerker!$C$8:$E$107,3,FALSE))</f>
        <v/>
      </c>
      <c r="AX49" s="403">
        <f>IFERROR(VLOOKUP($B49,Planning!$B$6:$AG$105,32,FALSE)*24,"")</f>
        <v/>
      </c>
      <c r="AY49" s="837" t="inlineStr">
        <is>
          <t>mt</t>
        </is>
      </c>
      <c r="AZ49" s="413" t="inlineStr">
        <is>
          <t>MT of CKW-overleg</t>
        </is>
      </c>
      <c r="BA49" s="111">
        <f>COUNTIF($F$13:$AQ$63,CONCATENATE(AY49,"*"))/2+COUNTIF($F$13:$AQ$63,CONCATENATE("x",AY49,"*"))/4</f>
        <v/>
      </c>
      <c r="BB49" s="838" t="n"/>
      <c r="BC49" s="31">
        <f>IF(Planning!B42="","",Planning!B42)</f>
        <v/>
      </c>
      <c r="BD49" s="105" t="n"/>
      <c r="BE49" s="885">
        <f>Planning!E42</f>
        <v/>
      </c>
      <c r="BF49" s="885">
        <f>Planning!F42</f>
        <v/>
      </c>
      <c r="BG49" s="886" t="n"/>
      <c r="BH49" s="105" t="n"/>
      <c r="BI49" s="885">
        <f>Planning!I42</f>
        <v/>
      </c>
      <c r="BJ49" s="885">
        <f>Planning!J42</f>
        <v/>
      </c>
      <c r="BK49" s="886" t="n"/>
      <c r="BL49" s="105" t="n"/>
      <c r="BM49" s="885">
        <f>Planning!M42</f>
        <v/>
      </c>
      <c r="BN49" s="885">
        <f>Planning!N42</f>
        <v/>
      </c>
      <c r="BO49" s="886" t="n"/>
      <c r="BP49" s="105" t="n"/>
      <c r="BQ49" s="885">
        <f>Planning!Q42</f>
        <v/>
      </c>
      <c r="BR49" s="885">
        <f>Planning!R42</f>
        <v/>
      </c>
      <c r="BS49" s="886" t="n"/>
      <c r="BT49" s="105" t="n"/>
      <c r="BU49" s="885">
        <f>Planning!U42</f>
        <v/>
      </c>
      <c r="BV49" s="885">
        <f>Planning!V42</f>
        <v/>
      </c>
      <c r="BW49" s="886" t="n"/>
      <c r="BX49" s="105" t="n"/>
      <c r="BY49" s="885">
        <f>Planning!Y42</f>
        <v/>
      </c>
      <c r="BZ49" s="885">
        <f>Planning!Z42</f>
        <v/>
      </c>
      <c r="CA49" s="886" t="n"/>
      <c r="CB49" s="105" t="n"/>
      <c r="CC49" s="885">
        <f>Planning!AC42</f>
        <v/>
      </c>
      <c r="CD49" s="885">
        <f>Planning!AD42</f>
        <v/>
      </c>
      <c r="CE49" s="886" t="n"/>
      <c r="CF49" s="105" t="n"/>
      <c r="CG49" s="887">
        <f>Planning!AG42</f>
        <v/>
      </c>
      <c r="CH49" s="105" t="n"/>
      <c r="CI49" s="252">
        <f>IF(BC49="","",Planning!AI42)</f>
        <v/>
      </c>
      <c r="CJ49" s="252">
        <f>IF(BC49="","",Planning!AJ42)</f>
        <v/>
      </c>
      <c r="CK49" s="252">
        <f>IF(BC49="","",Planning!AK42)</f>
        <v/>
      </c>
      <c r="CL49" s="252">
        <f>IF(BC49="","",Planning!AH42)</f>
        <v/>
      </c>
      <c r="CM49" s="21" t="n"/>
    </row>
    <row r="50" ht="12.75" customHeight="1">
      <c r="A50" s="161">
        <f>IFERROR(IF(VLOOKUP($B50,$BC$13:$CL$86,36,FALSE)&gt;5,0,IF(COUNTIF($B$13:$B$63,$B50)&gt;1,0,38)),38)+IF(B50&lt;&gt;0,0,IF(AV50&gt;0,0.000001,0))</f>
        <v/>
      </c>
      <c r="B50" s="129" t="n"/>
      <c r="C50" s="48">
        <f>IFERROR(IF($B50="","",VLOOKUP($B50,Medewerker!$C$8:$AI$107,33,FALSE)),"?")</f>
        <v/>
      </c>
      <c r="D50" s="879">
        <f t="array" ref="D50">IFERROR(IF(LEFT(INDEX($F50:$AQ50,1,SUM(SMALL(IF($F50:$AQ50&lt;&gt;"",COLUMN($F50:$AQ50)),1)-5)),1)="x",SUM(SMALL(IF($F50:$AQ50&lt;&gt;"",$F$11:$AQ$11),1)+"0:15"),SMALL(IF($F50:$AQ50&lt;&gt;"",$F$11:$AQ$11),1)),"")</f>
        <v/>
      </c>
      <c r="E50" s="879">
        <f t="array" ref="E50">IFERROR(IF(LEFT(INDEX($F50:$AQ50,1,SUM(LARGE(IF($F50:$AQ50&lt;&gt;"",COLUMN($F50:$AQ50)),1)-5)),1)="x",SUM(LARGE(IF($F50:$AQ50&lt;&gt;"",$F$11:$AQ$11+"0:30:00"),1)-"0:15"),LARGE(IF($F50:$AQ50&lt;&gt;"",$F$11:$AQ$11+"0:30:00"),1)),"")</f>
        <v/>
      </c>
      <c r="F50" s="43" t="n"/>
      <c r="G50" s="42" t="n"/>
      <c r="H50" s="43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  <c r="AA50" s="42" t="n"/>
      <c r="AB50" s="42" t="n"/>
      <c r="AC50" s="42" t="n"/>
      <c r="AD50" s="42" t="n"/>
      <c r="AE50" s="42" t="n"/>
      <c r="AF50" s="42" t="n"/>
      <c r="AG50" s="42" t="n"/>
      <c r="AH50" s="42" t="n"/>
      <c r="AI50" s="42" t="n"/>
      <c r="AJ50" s="42" t="n"/>
      <c r="AK50" s="42" t="n"/>
      <c r="AL50" s="42" t="n"/>
      <c r="AM50" s="42" t="n"/>
      <c r="AN50" s="42" t="n"/>
      <c r="AO50" s="42" t="n"/>
      <c r="AP50" s="42" t="n"/>
      <c r="AQ50" s="42" t="n"/>
      <c r="AR50" s="888">
        <f>IFERROR(IF(VLOOKUP($B50,Medewerker!$C$8:$Y$107,23,FALSE)="",VLOOKUP($B50,Medewerker!$C$8:$Y$107,21,FALSE),0),0)</f>
        <v/>
      </c>
      <c r="AS50" s="888">
        <f>IFERROR(IF(B50="",1,IF(VLOOKUP($B50,Medewerker!$C$8:$Y$107,23,FALSE)="",VLOOKUP($B50,Medewerker!$C$8:$Y$107,22,FALSE),0)),0)</f>
        <v/>
      </c>
      <c r="AT50" s="45" t="n"/>
      <c r="AU50" s="46">
        <f>(COUNTIF(F50:AQ50,"afw"))/2</f>
        <v/>
      </c>
      <c r="AV50" s="111">
        <f>((38-(COUNTIF(F50:AQ50,"")))/2)-(COUNTIF(F50:AQ50,"p")/2)-(COUNTIF(F50:AQ50,CONCATENATE("x","*"))/4)</f>
        <v/>
      </c>
      <c r="AW50" s="73">
        <f>IF($B50="","",VLOOKUP($B50,Medewerker!$C$8:$E$107,3,FALSE))</f>
        <v/>
      </c>
      <c r="AX50" s="403">
        <f>IFERROR(VLOOKUP($B50,Planning!$B$6:$AG$105,32,FALSE)*24,"")</f>
        <v/>
      </c>
      <c r="AY50" s="837" t="inlineStr">
        <is>
          <t>ov</t>
        </is>
      </c>
      <c r="AZ50" s="71" t="inlineStr">
        <is>
          <t>Overig</t>
        </is>
      </c>
      <c r="BA50" s="111">
        <f>COUNTIF($F$13:$AQ$63,CONCATENATE(AY50,"*"))/2+COUNTIF($F$13:$AQ$63,CONCATENATE("x",AY50,"*"))/4</f>
        <v/>
      </c>
      <c r="BB50" s="838" t="n"/>
      <c r="BC50" s="31">
        <f>IF(Planning!B43="","",Planning!B43)</f>
        <v/>
      </c>
      <c r="BD50" s="105" t="n"/>
      <c r="BE50" s="885">
        <f>Planning!E43</f>
        <v/>
      </c>
      <c r="BF50" s="885">
        <f>Planning!F43</f>
        <v/>
      </c>
      <c r="BG50" s="886" t="n"/>
      <c r="BH50" s="105" t="n"/>
      <c r="BI50" s="885">
        <f>Planning!I43</f>
        <v/>
      </c>
      <c r="BJ50" s="885">
        <f>Planning!J43</f>
        <v/>
      </c>
      <c r="BK50" s="886" t="n"/>
      <c r="BL50" s="105" t="n"/>
      <c r="BM50" s="885">
        <f>Planning!M43</f>
        <v/>
      </c>
      <c r="BN50" s="885">
        <f>Planning!N43</f>
        <v/>
      </c>
      <c r="BO50" s="886" t="n"/>
      <c r="BP50" s="105" t="n"/>
      <c r="BQ50" s="885">
        <f>Planning!Q43</f>
        <v/>
      </c>
      <c r="BR50" s="885">
        <f>Planning!R43</f>
        <v/>
      </c>
      <c r="BS50" s="886" t="n"/>
      <c r="BT50" s="105" t="n"/>
      <c r="BU50" s="885">
        <f>Planning!U43</f>
        <v/>
      </c>
      <c r="BV50" s="885">
        <f>Planning!V43</f>
        <v/>
      </c>
      <c r="BW50" s="886" t="n"/>
      <c r="BX50" s="105" t="n"/>
      <c r="BY50" s="885">
        <f>Planning!Y43</f>
        <v/>
      </c>
      <c r="BZ50" s="885">
        <f>Planning!Z43</f>
        <v/>
      </c>
      <c r="CA50" s="886" t="n"/>
      <c r="CB50" s="105" t="n"/>
      <c r="CC50" s="885">
        <f>Planning!AC43</f>
        <v/>
      </c>
      <c r="CD50" s="885">
        <f>Planning!AD43</f>
        <v/>
      </c>
      <c r="CE50" s="886" t="n"/>
      <c r="CF50" s="105" t="n"/>
      <c r="CG50" s="887">
        <f>Planning!AG43</f>
        <v/>
      </c>
      <c r="CH50" s="105" t="n"/>
      <c r="CI50" s="252">
        <f>IF(BC50="","",Planning!AI43)</f>
        <v/>
      </c>
      <c r="CJ50" s="252">
        <f>IF(BC50="","",Planning!AJ43)</f>
        <v/>
      </c>
      <c r="CK50" s="252">
        <f>IF(BC50="","",Planning!AK43)</f>
        <v/>
      </c>
      <c r="CL50" s="252">
        <f>IF(BC50="","",Planning!AH43)</f>
        <v/>
      </c>
      <c r="CM50" s="21" t="n"/>
    </row>
    <row r="51" ht="12.75" customHeight="1">
      <c r="A51" s="161">
        <f>IFERROR(IF(VLOOKUP($B51,$BC$13:$CL$86,36,FALSE)&gt;5,0,IF(COUNTIF($B$13:$B$63,$B51)&gt;1,0,39)),39)+IF(B51&lt;&gt;0,0,IF(AV51&gt;0,0.000001,0))</f>
        <v/>
      </c>
      <c r="B51" s="129" t="n"/>
      <c r="C51" s="48">
        <f>IFERROR(IF($B51="","",VLOOKUP($B51,Medewerker!$C$8:$AI$107,33,FALSE)),"?")</f>
        <v/>
      </c>
      <c r="D51" s="879">
        <f t="array" ref="D51">IFERROR(IF(LEFT(INDEX($F51:$AQ51,1,SUM(SMALL(IF($F51:$AQ51&lt;&gt;"",COLUMN($F51:$AQ51)),1)-5)),1)="x",SUM(SMALL(IF($F51:$AQ51&lt;&gt;"",$F$11:$AQ$11),1)+"0:15"),SMALL(IF($F51:$AQ51&lt;&gt;"",$F$11:$AQ$11),1)),"")</f>
        <v/>
      </c>
      <c r="E51" s="879">
        <f t="array" ref="E51">IFERROR(IF(LEFT(INDEX($F51:$AQ51,1,SUM(LARGE(IF($F51:$AQ51&lt;&gt;"",COLUMN($F51:$AQ51)),1)-5)),1)="x",SUM(LARGE(IF($F51:$AQ51&lt;&gt;"",$F$11:$AQ$11+"0:30:00"),1)-"0:15"),LARGE(IF($F51:$AQ51&lt;&gt;"",$F$11:$AQ$11+"0:30:00"),1)),"")</f>
        <v/>
      </c>
      <c r="F51" s="43" t="n"/>
      <c r="G51" s="42" t="n"/>
      <c r="H51" s="43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  <c r="AA51" s="42" t="n"/>
      <c r="AB51" s="42" t="n"/>
      <c r="AC51" s="42" t="n"/>
      <c r="AD51" s="42" t="n"/>
      <c r="AE51" s="42" t="n"/>
      <c r="AF51" s="42" t="n"/>
      <c r="AG51" s="42" t="n"/>
      <c r="AH51" s="42" t="n"/>
      <c r="AI51" s="42" t="n"/>
      <c r="AJ51" s="42" t="n"/>
      <c r="AK51" s="42" t="n"/>
      <c r="AL51" s="42" t="n"/>
      <c r="AM51" s="42" t="n"/>
      <c r="AN51" s="42" t="n"/>
      <c r="AO51" s="42" t="n"/>
      <c r="AP51" s="42" t="n"/>
      <c r="AQ51" s="42" t="n"/>
      <c r="AR51" s="888">
        <f>IFERROR(IF(VLOOKUP($B51,Medewerker!$C$8:$Y$107,23,FALSE)="",VLOOKUP($B51,Medewerker!$C$8:$Y$107,21,FALSE),0),0)</f>
        <v/>
      </c>
      <c r="AS51" s="888">
        <f>IFERROR(IF(B51="",1,IF(VLOOKUP($B51,Medewerker!$C$8:$Y$107,23,FALSE)="",VLOOKUP($B51,Medewerker!$C$8:$Y$107,22,FALSE),0)),0)</f>
        <v/>
      </c>
      <c r="AT51" s="45" t="n"/>
      <c r="AU51" s="46">
        <f>(COUNTIF(F51:AQ51,"afw"))/2</f>
        <v/>
      </c>
      <c r="AV51" s="111">
        <f>((38-(COUNTIF(F51:AQ51,"")))/2)-(COUNTIF(F51:AQ51,"p")/2)-(COUNTIF(F51:AQ51,CONCATENATE("x","*"))/4)</f>
        <v/>
      </c>
      <c r="AW51" s="73">
        <f>IF($B51="","",VLOOKUP($B51,Medewerker!$C$8:$E$107,3,FALSE))</f>
        <v/>
      </c>
      <c r="AX51" s="403">
        <f>IFERROR(VLOOKUP($B51,Planning!$B$6:$AG$105,32,FALSE)*24,"")</f>
        <v/>
      </c>
      <c r="AY51" s="837" t="inlineStr">
        <is>
          <t>prt</t>
        </is>
      </c>
      <c r="AZ51" s="71" t="inlineStr">
        <is>
          <t>Protime</t>
        </is>
      </c>
      <c r="BA51" s="111">
        <f>COUNTIF($F$13:$AQ$63,CONCATENATE(AY51,"*"))/2+COUNTIF($F$13:$AQ$63,CONCATENATE("x",AY51,"*"))/4</f>
        <v/>
      </c>
      <c r="BB51" s="838" t="n"/>
      <c r="BC51" s="31">
        <f>IF(Planning!B44="","",Planning!B44)</f>
        <v/>
      </c>
      <c r="BD51" s="105" t="n"/>
      <c r="BE51" s="885">
        <f>Planning!E44</f>
        <v/>
      </c>
      <c r="BF51" s="885">
        <f>Planning!F44</f>
        <v/>
      </c>
      <c r="BG51" s="886" t="n"/>
      <c r="BH51" s="105" t="n"/>
      <c r="BI51" s="885">
        <f>Planning!I44</f>
        <v/>
      </c>
      <c r="BJ51" s="885">
        <f>Planning!J44</f>
        <v/>
      </c>
      <c r="BK51" s="886" t="n"/>
      <c r="BL51" s="105" t="n"/>
      <c r="BM51" s="885">
        <f>Planning!M44</f>
        <v/>
      </c>
      <c r="BN51" s="885">
        <f>Planning!N44</f>
        <v/>
      </c>
      <c r="BO51" s="886" t="n"/>
      <c r="BP51" s="105" t="n"/>
      <c r="BQ51" s="885">
        <f>Planning!Q44</f>
        <v/>
      </c>
      <c r="BR51" s="885">
        <f>Planning!R44</f>
        <v/>
      </c>
      <c r="BS51" s="886" t="n"/>
      <c r="BT51" s="105" t="n"/>
      <c r="BU51" s="885">
        <f>Planning!U44</f>
        <v/>
      </c>
      <c r="BV51" s="885">
        <f>Planning!V44</f>
        <v/>
      </c>
      <c r="BW51" s="886" t="n"/>
      <c r="BX51" s="105" t="n"/>
      <c r="BY51" s="885">
        <f>Planning!Y44</f>
        <v/>
      </c>
      <c r="BZ51" s="885">
        <f>Planning!Z44</f>
        <v/>
      </c>
      <c r="CA51" s="886" t="n"/>
      <c r="CB51" s="105" t="n"/>
      <c r="CC51" s="885">
        <f>Planning!AC44</f>
        <v/>
      </c>
      <c r="CD51" s="885">
        <f>Planning!AD44</f>
        <v/>
      </c>
      <c r="CE51" s="886" t="n"/>
      <c r="CF51" s="105" t="n"/>
      <c r="CG51" s="887">
        <f>Planning!AG44</f>
        <v/>
      </c>
      <c r="CH51" s="105" t="n"/>
      <c r="CI51" s="252">
        <f>IF(BC51="","",Planning!AI44)</f>
        <v/>
      </c>
      <c r="CJ51" s="252">
        <f>IF(BC51="","",Planning!AJ44)</f>
        <v/>
      </c>
      <c r="CK51" s="252">
        <f>IF(BC51="","",Planning!AK44)</f>
        <v/>
      </c>
      <c r="CL51" s="252">
        <f>IF(BC51="","",Planning!AH44)</f>
        <v/>
      </c>
      <c r="CM51" s="21" t="n"/>
    </row>
    <row r="52" ht="12.75" customHeight="1">
      <c r="A52" s="161">
        <f>IFERROR(IF(VLOOKUP($B52,$BC$13:$CL$86,36,FALSE)&gt;5,0,IF(COUNTIF($B$13:$B$63,$B52)&gt;1,0,40)),40)+IF(B52&lt;&gt;0,0,IF(AV52&gt;0,0.000001,0))</f>
        <v/>
      </c>
      <c r="B52" s="129" t="n"/>
      <c r="C52" s="48">
        <f>IFERROR(IF($B52="","",VLOOKUP($B52,Medewerker!$C$8:$AI$107,33,FALSE)),"?")</f>
        <v/>
      </c>
      <c r="D52" s="879">
        <f t="array" ref="D52">IFERROR(IF(LEFT(INDEX($F52:$AQ52,1,SUM(SMALL(IF($F52:$AQ52&lt;&gt;"",COLUMN($F52:$AQ52)),1)-5)),1)="x",SUM(SMALL(IF($F52:$AQ52&lt;&gt;"",$F$11:$AQ$11),1)+"0:15"),SMALL(IF($F52:$AQ52&lt;&gt;"",$F$11:$AQ$11),1)),"")</f>
        <v/>
      </c>
      <c r="E52" s="879">
        <f t="array" ref="E52">IFERROR(IF(LEFT(INDEX($F52:$AQ52,1,SUM(LARGE(IF($F52:$AQ52&lt;&gt;"",COLUMN($F52:$AQ52)),1)-5)),1)="x",SUM(LARGE(IF($F52:$AQ52&lt;&gt;"",$F$11:$AQ$11+"0:30:00"),1)-"0:15"),LARGE(IF($F52:$AQ52&lt;&gt;"",$F$11:$AQ$11+"0:30:00"),1)),"")</f>
        <v/>
      </c>
      <c r="F52" s="43" t="n"/>
      <c r="G52" s="42" t="n"/>
      <c r="H52" s="43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  <c r="AA52" s="42" t="n"/>
      <c r="AB52" s="42" t="n"/>
      <c r="AC52" s="42" t="n"/>
      <c r="AD52" s="42" t="n"/>
      <c r="AE52" s="42" t="n"/>
      <c r="AF52" s="42" t="n"/>
      <c r="AG52" s="42" t="n"/>
      <c r="AH52" s="42" t="n"/>
      <c r="AI52" s="42" t="n"/>
      <c r="AJ52" s="42" t="n"/>
      <c r="AK52" s="42" t="n"/>
      <c r="AL52" s="42" t="n"/>
      <c r="AM52" s="42" t="n"/>
      <c r="AN52" s="42" t="n"/>
      <c r="AO52" s="42" t="n"/>
      <c r="AP52" s="42" t="n"/>
      <c r="AQ52" s="42" t="n"/>
      <c r="AR52" s="888">
        <f>IFERROR(IF(VLOOKUP($B52,Medewerker!$C$8:$Y$107,23,FALSE)="",VLOOKUP($B52,Medewerker!$C$8:$Y$107,21,FALSE),0),0)</f>
        <v/>
      </c>
      <c r="AS52" s="888">
        <f>IFERROR(IF(B52="",1,IF(VLOOKUP($B52,Medewerker!$C$8:$Y$107,23,FALSE)="",VLOOKUP($B52,Medewerker!$C$8:$Y$107,22,FALSE),0)),0)</f>
        <v/>
      </c>
      <c r="AT52" s="45" t="n"/>
      <c r="AU52" s="46">
        <f>(COUNTIF(F52:AQ52,"afw"))/2</f>
        <v/>
      </c>
      <c r="AV52" s="111">
        <f>((38-(COUNTIF(F52:AQ52,"")))/2)-(COUNTIF(F52:AQ52,"p")/2)-(COUNTIF(F52:AQ52,CONCATENATE("x","*"))/4)</f>
        <v/>
      </c>
      <c r="AW52" s="73">
        <f>IF($B52="","",VLOOKUP($B52,Medewerker!$C$8:$E$107,3,FALSE))</f>
        <v/>
      </c>
      <c r="AX52" s="403">
        <f>IFERROR(VLOOKUP($B52,Planning!$B$6:$AG$105,32,FALSE)*24,"")</f>
        <v/>
      </c>
      <c r="AY52" s="837" t="inlineStr">
        <is>
          <t>sl</t>
        </is>
      </c>
      <c r="AZ52" s="71" t="inlineStr">
        <is>
          <t>Shift leiden</t>
        </is>
      </c>
      <c r="BA52" s="111">
        <f>COUNTIF($F$13:$AQ$63,CONCATENATE(AY52,"*"))/2+COUNTIF($F$13:$AQ$63,CONCATENATE("x",AY52,"*"))/4</f>
        <v/>
      </c>
      <c r="BB52" s="838" t="n"/>
      <c r="BC52" s="31">
        <f>IF(Planning!B45="","",Planning!B45)</f>
        <v/>
      </c>
      <c r="BD52" s="105" t="n"/>
      <c r="BE52" s="885">
        <f>Planning!E45</f>
        <v/>
      </c>
      <c r="BF52" s="885">
        <f>Planning!F45</f>
        <v/>
      </c>
      <c r="BG52" s="886" t="n"/>
      <c r="BH52" s="105" t="n"/>
      <c r="BI52" s="885">
        <f>Planning!I45</f>
        <v/>
      </c>
      <c r="BJ52" s="885">
        <f>Planning!J45</f>
        <v/>
      </c>
      <c r="BK52" s="886" t="n"/>
      <c r="BL52" s="105" t="n"/>
      <c r="BM52" s="885">
        <f>Planning!M45</f>
        <v/>
      </c>
      <c r="BN52" s="885">
        <f>Planning!N45</f>
        <v/>
      </c>
      <c r="BO52" s="886" t="n"/>
      <c r="BP52" s="105" t="n"/>
      <c r="BQ52" s="885">
        <f>Planning!Q45</f>
        <v/>
      </c>
      <c r="BR52" s="885">
        <f>Planning!R45</f>
        <v/>
      </c>
      <c r="BS52" s="886" t="n"/>
      <c r="BT52" s="105" t="n"/>
      <c r="BU52" s="885">
        <f>Planning!U45</f>
        <v/>
      </c>
      <c r="BV52" s="885">
        <f>Planning!V45</f>
        <v/>
      </c>
      <c r="BW52" s="886" t="n"/>
      <c r="BX52" s="105" t="n"/>
      <c r="BY52" s="885">
        <f>Planning!Y45</f>
        <v/>
      </c>
      <c r="BZ52" s="885">
        <f>Planning!Z45</f>
        <v/>
      </c>
      <c r="CA52" s="886" t="n"/>
      <c r="CB52" s="105" t="n"/>
      <c r="CC52" s="885">
        <f>Planning!AC45</f>
        <v/>
      </c>
      <c r="CD52" s="885">
        <f>Planning!AD45</f>
        <v/>
      </c>
      <c r="CE52" s="886" t="n"/>
      <c r="CF52" s="105" t="n"/>
      <c r="CG52" s="887">
        <f>Planning!AG45</f>
        <v/>
      </c>
      <c r="CH52" s="105" t="n"/>
      <c r="CI52" s="252">
        <f>IF(BC52="","",Planning!AI45)</f>
        <v/>
      </c>
      <c r="CJ52" s="252">
        <f>IF(BC52="","",Planning!AJ45)</f>
        <v/>
      </c>
      <c r="CK52" s="252">
        <f>IF(BC52="","",Planning!AK45)</f>
        <v/>
      </c>
      <c r="CL52" s="252">
        <f>IF(BC52="","",Planning!AH45)</f>
        <v/>
      </c>
      <c r="CM52" s="21" t="n"/>
    </row>
    <row r="53" ht="12.75" customHeight="1">
      <c r="A53" s="161">
        <f>IFERROR(IF(VLOOKUP($B53,$BC$13:$CL$86,36,FALSE)&gt;5,0,IF(COUNTIF($B$13:$B$63,$B53)&gt;1,0,41)),41)+IF(B53&lt;&gt;0,0,IF(AV53&gt;0,0.000001,0))</f>
        <v/>
      </c>
      <c r="B53" s="129" t="n"/>
      <c r="C53" s="48">
        <f>IFERROR(IF($B53="","",VLOOKUP($B53,Medewerker!$C$8:$AI$107,33,FALSE)),"?")</f>
        <v/>
      </c>
      <c r="D53" s="879">
        <f t="array" ref="D53">IFERROR(IF(LEFT(INDEX($F53:$AQ53,1,SUM(SMALL(IF($F53:$AQ53&lt;&gt;"",COLUMN($F53:$AQ53)),1)-5)),1)="x",SUM(SMALL(IF($F53:$AQ53&lt;&gt;"",$F$11:$AQ$11),1)+"0:15"),SMALL(IF($F53:$AQ53&lt;&gt;"",$F$11:$AQ$11),1)),"")</f>
        <v/>
      </c>
      <c r="E53" s="879">
        <f t="array" ref="E53">IFERROR(IF(LEFT(INDEX($F53:$AQ53,1,SUM(LARGE(IF($F53:$AQ53&lt;&gt;"",COLUMN($F53:$AQ53)),1)-5)),1)="x",SUM(LARGE(IF($F53:$AQ53&lt;&gt;"",$F$11:$AQ$11+"0:30:00"),1)-"0:15"),LARGE(IF($F53:$AQ53&lt;&gt;"",$F$11:$AQ$11+"0:30:00"),1)),"")</f>
        <v/>
      </c>
      <c r="F53" s="43" t="n"/>
      <c r="G53" s="42" t="n"/>
      <c r="H53" s="43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  <c r="AA53" s="42" t="n"/>
      <c r="AB53" s="42" t="n"/>
      <c r="AC53" s="42" t="n"/>
      <c r="AD53" s="42" t="n"/>
      <c r="AE53" s="42" t="n"/>
      <c r="AF53" s="42" t="n"/>
      <c r="AG53" s="42" t="n"/>
      <c r="AH53" s="42" t="n"/>
      <c r="AI53" s="42" t="n"/>
      <c r="AJ53" s="42" t="n"/>
      <c r="AK53" s="42" t="n"/>
      <c r="AL53" s="42" t="n"/>
      <c r="AM53" s="42" t="n"/>
      <c r="AN53" s="42" t="n"/>
      <c r="AO53" s="42" t="n"/>
      <c r="AP53" s="42" t="n"/>
      <c r="AQ53" s="42" t="n"/>
      <c r="AR53" s="888">
        <f>IFERROR(IF(VLOOKUP($B53,Medewerker!$C$8:$Y$107,23,FALSE)="",VLOOKUP($B53,Medewerker!$C$8:$Y$107,21,FALSE),0),0)</f>
        <v/>
      </c>
      <c r="AS53" s="888">
        <f>IFERROR(IF(B53="",1,IF(VLOOKUP($B53,Medewerker!$C$8:$Y$107,23,FALSE)="",VLOOKUP($B53,Medewerker!$C$8:$Y$107,22,FALSE),0)),0)</f>
        <v/>
      </c>
      <c r="AT53" s="45" t="n"/>
      <c r="AU53" s="46">
        <f>(COUNTIF(F53:AQ53,"afw"))/2</f>
        <v/>
      </c>
      <c r="AV53" s="111">
        <f>((38-(COUNTIF(F53:AQ53,"")))/2)-(COUNTIF(F53:AQ53,"p")/2)-(COUNTIF(F53:AQ53,CONCATENATE("x","*"))/4)</f>
        <v/>
      </c>
      <c r="AW53" s="73">
        <f>IF($B53="","",VLOOKUP($B53,Medewerker!$C$8:$E$107,3,FALSE))</f>
        <v/>
      </c>
      <c r="AX53" s="403">
        <f>IFERROR(VLOOKUP($B53,Planning!$B$6:$AG$105,32,FALSE)*24,"")</f>
        <v/>
      </c>
      <c r="AY53" s="837" t="inlineStr">
        <is>
          <t>vp</t>
        </is>
      </c>
      <c r="AZ53" s="71" t="inlineStr">
        <is>
          <t>Vulshiftplanning</t>
        </is>
      </c>
      <c r="BA53" s="111">
        <f>COUNTIF($F$13:$AQ$63,CONCATENATE(AY53,"*"))/2+COUNTIF($F$13:$AQ$63,CONCATENATE("x",AY53,"*"))/4</f>
        <v/>
      </c>
      <c r="BB53" s="838" t="n"/>
      <c r="BC53" s="31">
        <f>IF(Planning!B46="","",Planning!B46)</f>
        <v/>
      </c>
      <c r="BD53" s="105" t="n"/>
      <c r="BE53" s="885">
        <f>Planning!E46</f>
        <v/>
      </c>
      <c r="BF53" s="885">
        <f>Planning!F46</f>
        <v/>
      </c>
      <c r="BG53" s="886" t="n"/>
      <c r="BH53" s="105" t="n"/>
      <c r="BI53" s="885">
        <f>Planning!I46</f>
        <v/>
      </c>
      <c r="BJ53" s="885">
        <f>Planning!J46</f>
        <v/>
      </c>
      <c r="BK53" s="886" t="n"/>
      <c r="BL53" s="105" t="n"/>
      <c r="BM53" s="885">
        <f>Planning!M46</f>
        <v/>
      </c>
      <c r="BN53" s="885">
        <f>Planning!N46</f>
        <v/>
      </c>
      <c r="BO53" s="886" t="n"/>
      <c r="BP53" s="105" t="n"/>
      <c r="BQ53" s="885">
        <f>Planning!Q46</f>
        <v/>
      </c>
      <c r="BR53" s="885">
        <f>Planning!R46</f>
        <v/>
      </c>
      <c r="BS53" s="886" t="n"/>
      <c r="BT53" s="105" t="n"/>
      <c r="BU53" s="885">
        <f>Planning!U46</f>
        <v/>
      </c>
      <c r="BV53" s="885">
        <f>Planning!V46</f>
        <v/>
      </c>
      <c r="BW53" s="886" t="n"/>
      <c r="BX53" s="105" t="n"/>
      <c r="BY53" s="885">
        <f>Planning!Y46</f>
        <v/>
      </c>
      <c r="BZ53" s="885">
        <f>Planning!Z46</f>
        <v/>
      </c>
      <c r="CA53" s="886" t="n"/>
      <c r="CB53" s="105" t="n"/>
      <c r="CC53" s="885">
        <f>Planning!AC46</f>
        <v/>
      </c>
      <c r="CD53" s="885">
        <f>Planning!AD46</f>
        <v/>
      </c>
      <c r="CE53" s="886" t="n"/>
      <c r="CF53" s="105" t="n"/>
      <c r="CG53" s="887">
        <f>Planning!AG46</f>
        <v/>
      </c>
      <c r="CH53" s="105" t="n"/>
      <c r="CI53" s="252">
        <f>IF(BC53="","",Planning!AI46)</f>
        <v/>
      </c>
      <c r="CJ53" s="252">
        <f>IF(BC53="","",Planning!AJ46)</f>
        <v/>
      </c>
      <c r="CK53" s="252">
        <f>IF(BC53="","",Planning!AK46)</f>
        <v/>
      </c>
      <c r="CL53" s="252">
        <f>IF(BC53="","",Planning!AH46)</f>
        <v/>
      </c>
      <c r="CM53" s="21" t="n"/>
    </row>
    <row r="54" ht="12.75" customHeight="1">
      <c r="A54" s="161">
        <f>IFERROR(IF(VLOOKUP($B54,$BC$13:$CL$86,36,FALSE)&gt;5,0,IF(COUNTIF($B$13:$B$63,$B54)&gt;1,0,42)),42)+IF(B54&lt;&gt;0,0,IF(AV54&gt;0,0.000001,0))</f>
        <v/>
      </c>
      <c r="B54" s="129" t="n"/>
      <c r="C54" s="48">
        <f>IFERROR(IF($B54="","",VLOOKUP($B54,Medewerker!$C$8:$AI$107,33,FALSE)),"?")</f>
        <v/>
      </c>
      <c r="D54" s="879">
        <f t="array" ref="D54">IFERROR(IF(LEFT(INDEX($F54:$AQ54,1,SUM(SMALL(IF($F54:$AQ54&lt;&gt;"",COLUMN($F54:$AQ54)),1)-5)),1)="x",SUM(SMALL(IF($F54:$AQ54&lt;&gt;"",$F$11:$AQ$11),1)+"0:15"),SMALL(IF($F54:$AQ54&lt;&gt;"",$F$11:$AQ$11),1)),"")</f>
        <v/>
      </c>
      <c r="E54" s="879">
        <f t="array" ref="E54">IFERROR(IF(LEFT(INDEX($F54:$AQ54,1,SUM(LARGE(IF($F54:$AQ54&lt;&gt;"",COLUMN($F54:$AQ54)),1)-5)),1)="x",SUM(LARGE(IF($F54:$AQ54&lt;&gt;"",$F$11:$AQ$11+"0:30:00"),1)-"0:15"),LARGE(IF($F54:$AQ54&lt;&gt;"",$F$11:$AQ$11+"0:30:00"),1)),"")</f>
        <v/>
      </c>
      <c r="F54" s="43" t="n"/>
      <c r="G54" s="42" t="n"/>
      <c r="H54" s="43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  <c r="AA54" s="42" t="n"/>
      <c r="AB54" s="42" t="n"/>
      <c r="AC54" s="42" t="n"/>
      <c r="AD54" s="42" t="n"/>
      <c r="AE54" s="42" t="n"/>
      <c r="AF54" s="42" t="n"/>
      <c r="AG54" s="42" t="n"/>
      <c r="AH54" s="42" t="n"/>
      <c r="AI54" s="42" t="n"/>
      <c r="AJ54" s="42" t="n"/>
      <c r="AK54" s="42" t="n"/>
      <c r="AL54" s="42" t="n"/>
      <c r="AM54" s="42" t="n"/>
      <c r="AN54" s="42" t="n"/>
      <c r="AO54" s="42" t="n"/>
      <c r="AP54" s="42" t="n"/>
      <c r="AQ54" s="42" t="n"/>
      <c r="AR54" s="888">
        <f>IFERROR(IF(VLOOKUP($B54,Medewerker!$C$8:$Y$107,23,FALSE)="",VLOOKUP($B54,Medewerker!$C$8:$Y$107,21,FALSE),0),0)</f>
        <v/>
      </c>
      <c r="AS54" s="888">
        <f>IFERROR(IF(B54="",1,IF(VLOOKUP($B54,Medewerker!$C$8:$Y$107,23,FALSE)="",VLOOKUP($B54,Medewerker!$C$8:$Y$107,22,FALSE),0)),0)</f>
        <v/>
      </c>
      <c r="AT54" s="45" t="n"/>
      <c r="AU54" s="46">
        <f>(COUNTIF(F54:AQ54,"afw"))/2</f>
        <v/>
      </c>
      <c r="AV54" s="111">
        <f>((38-(COUNTIF(F54:AQ54,"")))/2)-(COUNTIF(F54:AQ54,"p")/2)-(COUNTIF(F54:AQ54,CONCATENATE("x","*"))/4)</f>
        <v/>
      </c>
      <c r="AW54" s="73">
        <f>IF($B54="","",VLOOKUP($B54,Medewerker!$C$8:$E$107,3,FALSE))</f>
        <v/>
      </c>
      <c r="AX54" s="403">
        <f>IFERROR(VLOOKUP($B54,Planning!$B$6:$AG$105,32,FALSE)*24,"")</f>
        <v/>
      </c>
      <c r="AY54" s="837" t="inlineStr">
        <is>
          <t>wh</t>
        </is>
      </c>
      <c r="AZ54" s="413" t="inlineStr">
        <is>
          <t>Winkelwagens halen</t>
        </is>
      </c>
      <c r="BA54" s="111">
        <f>COUNTIF($F$13:$AQ$63,CONCATENATE(AY54,"*"))/2+COUNTIF($F$13:$AQ$63,CONCATENATE("x",AY54,"*"))/4</f>
        <v/>
      </c>
      <c r="BB54" s="838" t="n"/>
      <c r="BC54" s="31">
        <f>IF(Planning!B47="","",Planning!B47)</f>
        <v/>
      </c>
      <c r="BD54" s="105" t="n"/>
      <c r="BE54" s="885">
        <f>Planning!E47</f>
        <v/>
      </c>
      <c r="BF54" s="885">
        <f>Planning!F47</f>
        <v/>
      </c>
      <c r="BG54" s="886" t="n"/>
      <c r="BH54" s="105" t="n"/>
      <c r="BI54" s="885">
        <f>Planning!I47</f>
        <v/>
      </c>
      <c r="BJ54" s="885">
        <f>Planning!J47</f>
        <v/>
      </c>
      <c r="BK54" s="886" t="n"/>
      <c r="BL54" s="105" t="n"/>
      <c r="BM54" s="885">
        <f>Planning!M47</f>
        <v/>
      </c>
      <c r="BN54" s="885">
        <f>Planning!N47</f>
        <v/>
      </c>
      <c r="BO54" s="886" t="n"/>
      <c r="BP54" s="105" t="n"/>
      <c r="BQ54" s="885">
        <f>Planning!Q47</f>
        <v/>
      </c>
      <c r="BR54" s="885">
        <f>Planning!R47</f>
        <v/>
      </c>
      <c r="BS54" s="886" t="n"/>
      <c r="BT54" s="105" t="n"/>
      <c r="BU54" s="885">
        <f>Planning!U47</f>
        <v/>
      </c>
      <c r="BV54" s="885">
        <f>Planning!V47</f>
        <v/>
      </c>
      <c r="BW54" s="886" t="n"/>
      <c r="BX54" s="105" t="n"/>
      <c r="BY54" s="885">
        <f>Planning!Y47</f>
        <v/>
      </c>
      <c r="BZ54" s="885">
        <f>Planning!Z47</f>
        <v/>
      </c>
      <c r="CA54" s="886" t="n"/>
      <c r="CB54" s="105" t="n"/>
      <c r="CC54" s="885">
        <f>Planning!AC47</f>
        <v/>
      </c>
      <c r="CD54" s="885">
        <f>Planning!AD47</f>
        <v/>
      </c>
      <c r="CE54" s="886" t="n"/>
      <c r="CF54" s="105" t="n"/>
      <c r="CG54" s="887">
        <f>Planning!AG47</f>
        <v/>
      </c>
      <c r="CH54" s="105" t="n"/>
      <c r="CI54" s="252">
        <f>IF(BC54="","",Planning!AI47)</f>
        <v/>
      </c>
      <c r="CJ54" s="252">
        <f>IF(BC54="","",Planning!AJ47)</f>
        <v/>
      </c>
      <c r="CK54" s="252">
        <f>IF(BC54="","",Planning!AK47)</f>
        <v/>
      </c>
      <c r="CL54" s="252">
        <f>IF(BC54="","",Planning!AH47)</f>
        <v/>
      </c>
      <c r="CM54" s="21" t="n"/>
    </row>
    <row r="55" ht="12.75" customHeight="1">
      <c r="A55" s="161">
        <f>IFERROR(IF(VLOOKUP($B55,$BC$13:$CL$86,36,FALSE)&gt;5,0,IF(COUNTIF($B$13:$B$63,$B55)&gt;1,0,43)),43)+IF(B55&lt;&gt;0,0,IF(AV55&gt;0,0.000001,0))</f>
        <v/>
      </c>
      <c r="B55" s="129" t="n"/>
      <c r="C55" s="48">
        <f>IFERROR(IF($B55="","",VLOOKUP($B55,Medewerker!$C$8:$AI$107,33,FALSE)),"?")</f>
        <v/>
      </c>
      <c r="D55" s="879">
        <f t="array" ref="D55">IFERROR(IF(LEFT(INDEX($F55:$AQ55,1,SUM(SMALL(IF($F55:$AQ55&lt;&gt;"",COLUMN($F55:$AQ55)),1)-5)),1)="x",SUM(SMALL(IF($F55:$AQ55&lt;&gt;"",$F$11:$AQ$11),1)+"0:15"),SMALL(IF($F55:$AQ55&lt;&gt;"",$F$11:$AQ$11),1)),"")</f>
        <v/>
      </c>
      <c r="E55" s="879">
        <f t="array" ref="E55">IFERROR(IF(LEFT(INDEX($F55:$AQ55,1,SUM(LARGE(IF($F55:$AQ55&lt;&gt;"",COLUMN($F55:$AQ55)),1)-5)),1)="x",SUM(LARGE(IF($F55:$AQ55&lt;&gt;"",$F$11:$AQ$11+"0:30:00"),1)-"0:15"),LARGE(IF($F55:$AQ55&lt;&gt;"",$F$11:$AQ$11+"0:30:00"),1)),"")</f>
        <v/>
      </c>
      <c r="F55" s="43" t="n"/>
      <c r="G55" s="42" t="n"/>
      <c r="H55" s="43" t="n"/>
      <c r="I55" s="42" t="n"/>
      <c r="J55" s="43" t="n"/>
      <c r="K55" s="41" t="n"/>
      <c r="L55" s="40" t="n"/>
      <c r="M55" s="42" t="n"/>
      <c r="N55" s="43" t="n"/>
      <c r="O55" s="41" t="n"/>
      <c r="P55" s="40" t="n"/>
      <c r="Q55" s="42" t="n"/>
      <c r="R55" s="43" t="n"/>
      <c r="S55" s="41" t="n"/>
      <c r="T55" s="40" t="n"/>
      <c r="U55" s="42" t="n"/>
      <c r="V55" s="43" t="n"/>
      <c r="W55" s="41" t="n"/>
      <c r="X55" s="40" t="n"/>
      <c r="Y55" s="42" t="n"/>
      <c r="Z55" s="43" t="n"/>
      <c r="AA55" s="41" t="n"/>
      <c r="AB55" s="40" t="n"/>
      <c r="AC55" s="42" t="n"/>
      <c r="AD55" s="43" t="n"/>
      <c r="AE55" s="41" t="n"/>
      <c r="AF55" s="40" t="n"/>
      <c r="AG55" s="42" t="n"/>
      <c r="AH55" s="43" t="n"/>
      <c r="AI55" s="41" t="n"/>
      <c r="AJ55" s="40" t="n"/>
      <c r="AK55" s="42" t="n"/>
      <c r="AL55" s="43" t="n"/>
      <c r="AM55" s="41" t="n"/>
      <c r="AN55" s="645" t="n"/>
      <c r="AO55" s="42" t="n"/>
      <c r="AP55" s="43" t="n"/>
      <c r="AQ55" s="42" t="n"/>
      <c r="AR55" s="888">
        <f>IFERROR(IF(VLOOKUP($B55,Medewerker!$C$8:$Y$107,23,FALSE)="",VLOOKUP($B55,Medewerker!$C$8:$Y$107,21,FALSE),0),0)</f>
        <v/>
      </c>
      <c r="AS55" s="888">
        <f>IFERROR(IF(B55="",1,IF(VLOOKUP($B55,Medewerker!$C$8:$Y$107,23,FALSE)="",VLOOKUP($B55,Medewerker!$C$8:$Y$107,22,FALSE),0)),0)</f>
        <v/>
      </c>
      <c r="AT55" s="45" t="n"/>
      <c r="AU55" s="46">
        <f>(COUNTIF(F55:AQ55,"afw"))/2</f>
        <v/>
      </c>
      <c r="AV55" s="111">
        <f>((38-(COUNTIF(F55:AQ55,"")))/2)-(COUNTIF(F55:AQ55,"p")/2)-(COUNTIF(F55:AQ55,CONCATENATE("x","*"))/4)</f>
        <v/>
      </c>
      <c r="AW55" s="73">
        <f>IF($B55="","",VLOOKUP($B55,Medewerker!$C$8:$E$107,3,FALSE))</f>
        <v/>
      </c>
      <c r="AX55" s="403">
        <f>IFERROR(VLOOKUP($B55,Planning!$B$6:$AG$105,32,FALSE)*24,"")</f>
        <v/>
      </c>
      <c r="AY55" s="837" t="inlineStr">
        <is>
          <t>wp</t>
        </is>
      </c>
      <c r="AZ55" s="71" t="inlineStr">
        <is>
          <t>Weekplanning</t>
        </is>
      </c>
      <c r="BA55" s="111">
        <f>COUNTIF($F$13:$AQ$63,CONCATENATE(AY55,"*"))/2+COUNTIF($F$13:$AQ$63,CONCATENATE("x",AY55,"*"))/4</f>
        <v/>
      </c>
      <c r="BB55" s="838" t="n"/>
      <c r="BC55" s="31">
        <f>IF(Planning!B48="","",Planning!B48)</f>
        <v/>
      </c>
      <c r="BD55" s="105" t="n"/>
      <c r="BE55" s="885">
        <f>Planning!E48</f>
        <v/>
      </c>
      <c r="BF55" s="885">
        <f>Planning!F48</f>
        <v/>
      </c>
      <c r="BG55" s="886" t="n"/>
      <c r="BH55" s="105" t="n"/>
      <c r="BI55" s="885">
        <f>Planning!I48</f>
        <v/>
      </c>
      <c r="BJ55" s="885">
        <f>Planning!J48</f>
        <v/>
      </c>
      <c r="BK55" s="886" t="n"/>
      <c r="BL55" s="105" t="n"/>
      <c r="BM55" s="885">
        <f>Planning!M48</f>
        <v/>
      </c>
      <c r="BN55" s="885">
        <f>Planning!N48</f>
        <v/>
      </c>
      <c r="BO55" s="886" t="n"/>
      <c r="BP55" s="105" t="n"/>
      <c r="BQ55" s="885">
        <f>Planning!Q48</f>
        <v/>
      </c>
      <c r="BR55" s="885">
        <f>Planning!R48</f>
        <v/>
      </c>
      <c r="BS55" s="886" t="n"/>
      <c r="BT55" s="105" t="n"/>
      <c r="BU55" s="885">
        <f>Planning!U48</f>
        <v/>
      </c>
      <c r="BV55" s="885">
        <f>Planning!V48</f>
        <v/>
      </c>
      <c r="BW55" s="886" t="n"/>
      <c r="BX55" s="105" t="n"/>
      <c r="BY55" s="885">
        <f>Planning!Y48</f>
        <v/>
      </c>
      <c r="BZ55" s="885">
        <f>Planning!Z48</f>
        <v/>
      </c>
      <c r="CA55" s="886" t="n"/>
      <c r="CB55" s="105" t="n"/>
      <c r="CC55" s="885">
        <f>Planning!AC48</f>
        <v/>
      </c>
      <c r="CD55" s="885">
        <f>Planning!AD48</f>
        <v/>
      </c>
      <c r="CE55" s="886" t="n"/>
      <c r="CF55" s="105" t="n"/>
      <c r="CG55" s="887">
        <f>Planning!AG48</f>
        <v/>
      </c>
      <c r="CH55" s="105" t="n"/>
      <c r="CI55" s="252">
        <f>IF(BC55="","",Planning!AI48)</f>
        <v/>
      </c>
      <c r="CJ55" s="252">
        <f>IF(BC55="","",Planning!AJ48)</f>
        <v/>
      </c>
      <c r="CK55" s="252">
        <f>IF(BC55="","",Planning!AK48)</f>
        <v/>
      </c>
      <c r="CL55" s="252">
        <f>IF(BC55="","",Planning!AH48)</f>
        <v/>
      </c>
      <c r="CM55" s="21" t="n"/>
    </row>
    <row r="56" ht="12.75" customHeight="1">
      <c r="A56" s="161">
        <f>IFERROR(IF(VLOOKUP($B56,$BC$13:$CL$86,36,FALSE)&gt;5,0,IF(COUNTIF($B$13:$B$63,$B56)&gt;1,0,44)),44)+IF(B56&lt;&gt;0,0,IF(AV56&gt;0,0.000001,0))</f>
        <v/>
      </c>
      <c r="B56" s="129" t="n"/>
      <c r="C56" s="48">
        <f>IFERROR(IF($B56="","",VLOOKUP($B56,Medewerker!$C$8:$AI$107,33,FALSE)),"?")</f>
        <v/>
      </c>
      <c r="D56" s="879">
        <f t="array" ref="D56">IFERROR(IF(LEFT(INDEX($F56:$AQ56,1,SUM(SMALL(IF($F56:$AQ56&lt;&gt;"",COLUMN($F56:$AQ56)),1)-5)),1)="x",SUM(SMALL(IF($F56:$AQ56&lt;&gt;"",$F$11:$AQ$11),1)+"0:15"),SMALL(IF($F56:$AQ56&lt;&gt;"",$F$11:$AQ$11),1)),"")</f>
        <v/>
      </c>
      <c r="E56" s="879">
        <f t="array" ref="E56">IFERROR(IF(LEFT(INDEX($F56:$AQ56,1,SUM(LARGE(IF($F56:$AQ56&lt;&gt;"",COLUMN($F56:$AQ56)),1)-5)),1)="x",SUM(LARGE(IF($F56:$AQ56&lt;&gt;"",$F$11:$AQ$11+"0:30:00"),1)-"0:15"),LARGE(IF($F56:$AQ56&lt;&gt;"",$F$11:$AQ$11+"0:30:00"),1)),"")</f>
        <v/>
      </c>
      <c r="F56" s="43" t="n"/>
      <c r="G56" s="42" t="n"/>
      <c r="H56" s="43" t="n"/>
      <c r="I56" s="42" t="n"/>
      <c r="J56" s="43" t="n"/>
      <c r="K56" s="41" t="n"/>
      <c r="L56" s="40" t="n"/>
      <c r="M56" s="42" t="n"/>
      <c r="N56" s="43" t="n"/>
      <c r="O56" s="41" t="n"/>
      <c r="P56" s="40" t="n"/>
      <c r="Q56" s="42" t="n"/>
      <c r="R56" s="43" t="n"/>
      <c r="S56" s="41" t="n"/>
      <c r="T56" s="40" t="n"/>
      <c r="U56" s="42" t="n"/>
      <c r="V56" s="43" t="n"/>
      <c r="W56" s="41" t="n"/>
      <c r="X56" s="40" t="n"/>
      <c r="Y56" s="42" t="n"/>
      <c r="Z56" s="43" t="n"/>
      <c r="AA56" s="41" t="n"/>
      <c r="AB56" s="40" t="n"/>
      <c r="AC56" s="42" t="n"/>
      <c r="AD56" s="43" t="n"/>
      <c r="AE56" s="41" t="n"/>
      <c r="AF56" s="40" t="n"/>
      <c r="AG56" s="42" t="n"/>
      <c r="AH56" s="43" t="n"/>
      <c r="AI56" s="41" t="n"/>
      <c r="AJ56" s="41" t="n"/>
      <c r="AK56" s="41" t="n"/>
      <c r="AL56" s="41" t="n"/>
      <c r="AM56" s="41" t="n"/>
      <c r="AN56" s="41" t="n"/>
      <c r="AO56" s="41" t="n"/>
      <c r="AP56" s="43" t="n"/>
      <c r="AQ56" s="42" t="n"/>
      <c r="AR56" s="888">
        <f>IFERROR(IF(VLOOKUP($B56,Medewerker!$C$8:$Y$107,23,FALSE)="",VLOOKUP($B56,Medewerker!$C$8:$Y$107,21,FALSE),0),0)</f>
        <v/>
      </c>
      <c r="AS56" s="888">
        <f>IFERROR(IF(B56="",1,IF(VLOOKUP($B56,Medewerker!$C$8:$Y$107,23,FALSE)="",VLOOKUP($B56,Medewerker!$C$8:$Y$107,22,FALSE),0)),0)</f>
        <v/>
      </c>
      <c r="AT56" s="45" t="n"/>
      <c r="AU56" s="46">
        <f>(COUNTIF(F56:AQ56,"afw"))/2</f>
        <v/>
      </c>
      <c r="AV56" s="111">
        <f>((38-(COUNTIF(F56:AQ56,"")))/2)-(COUNTIF(F56:AQ56,"p")/2)-(COUNTIF(F56:AQ56,CONCATENATE("x","*"))/4)</f>
        <v/>
      </c>
      <c r="AW56" s="73">
        <f>IF($B56="","",VLOOKUP($B56,Medewerker!$C$8:$E$107,3,FALSE))</f>
        <v/>
      </c>
      <c r="AX56" s="403">
        <f>IFERROR(VLOOKUP($B56,Planning!$B$6:$AG$105,32,FALSE)*24,"")</f>
        <v/>
      </c>
      <c r="AY56" s="558" t="inlineStr">
        <is>
          <t>wv</t>
        </is>
      </c>
      <c r="AZ56" s="71" t="inlineStr">
        <is>
          <t>Winkelverzorging</t>
        </is>
      </c>
      <c r="BA56" s="111">
        <f>COUNTIF($F$13:$AQ$63,CONCATENATE(AY56,"*"))/2+COUNTIF($F$13:$AQ$63,CONCATENATE("x",AY56,"*"))/4</f>
        <v/>
      </c>
      <c r="BB56" s="838" t="n"/>
      <c r="BC56" s="31">
        <f>IF(Planning!B49="","",Planning!B49)</f>
        <v/>
      </c>
      <c r="BD56" s="105" t="n"/>
      <c r="BE56" s="885">
        <f>Planning!E49</f>
        <v/>
      </c>
      <c r="BF56" s="885">
        <f>Planning!F49</f>
        <v/>
      </c>
      <c r="BG56" s="886" t="n"/>
      <c r="BH56" s="105" t="n"/>
      <c r="BI56" s="885">
        <f>Planning!I49</f>
        <v/>
      </c>
      <c r="BJ56" s="885">
        <f>Planning!J49</f>
        <v/>
      </c>
      <c r="BK56" s="886" t="n"/>
      <c r="BL56" s="105" t="n"/>
      <c r="BM56" s="885">
        <f>Planning!M49</f>
        <v/>
      </c>
      <c r="BN56" s="885">
        <f>Planning!N49</f>
        <v/>
      </c>
      <c r="BO56" s="886" t="n"/>
      <c r="BP56" s="105" t="n"/>
      <c r="BQ56" s="885">
        <f>Planning!Q49</f>
        <v/>
      </c>
      <c r="BR56" s="885">
        <f>Planning!R49</f>
        <v/>
      </c>
      <c r="BS56" s="886" t="n"/>
      <c r="BT56" s="105" t="n"/>
      <c r="BU56" s="885">
        <f>Planning!U49</f>
        <v/>
      </c>
      <c r="BV56" s="885">
        <f>Planning!V49</f>
        <v/>
      </c>
      <c r="BW56" s="886" t="n"/>
      <c r="BX56" s="105" t="n"/>
      <c r="BY56" s="885">
        <f>Planning!Y49</f>
        <v/>
      </c>
      <c r="BZ56" s="885">
        <f>Planning!Z49</f>
        <v/>
      </c>
      <c r="CA56" s="886" t="n"/>
      <c r="CB56" s="105" t="n"/>
      <c r="CC56" s="885">
        <f>Planning!AC49</f>
        <v/>
      </c>
      <c r="CD56" s="885">
        <f>Planning!AD49</f>
        <v/>
      </c>
      <c r="CE56" s="886" t="n"/>
      <c r="CF56" s="105" t="n"/>
      <c r="CG56" s="887">
        <f>Planning!AG49</f>
        <v/>
      </c>
      <c r="CH56" s="105" t="n"/>
      <c r="CI56" s="252">
        <f>IF(BC56="","",Planning!AI49)</f>
        <v/>
      </c>
      <c r="CJ56" s="252">
        <f>IF(BC56="","",Planning!AJ49)</f>
        <v/>
      </c>
      <c r="CK56" s="252">
        <f>IF(BC56="","",Planning!AK49)</f>
        <v/>
      </c>
      <c r="CL56" s="252">
        <f>IF(BC56="","",Planning!AH49)</f>
        <v/>
      </c>
      <c r="CM56" s="21" t="n"/>
    </row>
    <row r="57" ht="12.75" customHeight="1">
      <c r="A57" s="161">
        <f>IFERROR(IF(VLOOKUP($B57,$BC$13:$CL$86,36,FALSE)&gt;5,0,IF(COUNTIF($B$13:$B$63,$B57)&gt;1,0,45)),45)+IF(B57&lt;&gt;0,0,IF(AV57&gt;0,0.000001,0))</f>
        <v/>
      </c>
      <c r="B57" s="129" t="n"/>
      <c r="C57" s="48">
        <f>IFERROR(IF($B57="","",VLOOKUP($B57,Medewerker!$C$8:$AI$107,33,FALSE)),"?")</f>
        <v/>
      </c>
      <c r="D57" s="879">
        <f t="array" ref="D57">IFERROR(IF(LEFT(INDEX($F57:$AQ57,1,SUM(SMALL(IF($F57:$AQ57&lt;&gt;"",COLUMN($F57:$AQ57)),1)-5)),1)="x",SUM(SMALL(IF($F57:$AQ57&lt;&gt;"",$F$11:$AQ$11),1)+"0:15"),SMALL(IF($F57:$AQ57&lt;&gt;"",$F$11:$AQ$11),1)),"")</f>
        <v/>
      </c>
      <c r="E57" s="879">
        <f t="array" ref="E57">IFERROR(IF(LEFT(INDEX($F57:$AQ57,1,SUM(LARGE(IF($F57:$AQ57&lt;&gt;"",COLUMN($F57:$AQ57)),1)-5)),1)="x",SUM(LARGE(IF($F57:$AQ57&lt;&gt;"",$F$11:$AQ$11+"0:30:00"),1)-"0:15"),LARGE(IF($F57:$AQ57&lt;&gt;"",$F$11:$AQ$11+"0:30:00"),1)),"")</f>
        <v/>
      </c>
      <c r="F57" s="43" t="n"/>
      <c r="G57" s="42" t="n"/>
      <c r="H57" s="43" t="n"/>
      <c r="I57" s="42" t="n"/>
      <c r="J57" s="43" t="n"/>
      <c r="K57" s="41" t="n"/>
      <c r="L57" s="40" t="n"/>
      <c r="M57" s="42" t="n"/>
      <c r="N57" s="43" t="n"/>
      <c r="O57" s="41" t="n"/>
      <c r="P57" s="40" t="n"/>
      <c r="Q57" s="42" t="n"/>
      <c r="R57" s="43" t="n"/>
      <c r="S57" s="41" t="n"/>
      <c r="T57" s="40" t="n"/>
      <c r="U57" s="42" t="n"/>
      <c r="V57" s="43" t="n"/>
      <c r="W57" s="41" t="n"/>
      <c r="X57" s="40" t="n"/>
      <c r="Y57" s="42" t="n"/>
      <c r="Z57" s="43" t="n"/>
      <c r="AA57" s="41" t="n"/>
      <c r="AB57" s="40" t="n"/>
      <c r="AC57" s="42" t="n"/>
      <c r="AD57" s="43" t="n"/>
      <c r="AE57" s="41" t="n"/>
      <c r="AF57" s="40" t="n"/>
      <c r="AG57" s="42" t="n"/>
      <c r="AH57" s="43" t="n"/>
      <c r="AI57" s="41" t="n"/>
      <c r="AJ57" s="41" t="n"/>
      <c r="AK57" s="41" t="n"/>
      <c r="AL57" s="41" t="n"/>
      <c r="AM57" s="41" t="n"/>
      <c r="AN57" s="41" t="n"/>
      <c r="AO57" s="41" t="n"/>
      <c r="AP57" s="43" t="n"/>
      <c r="AQ57" s="42" t="n"/>
      <c r="AR57" s="888">
        <f>IFERROR(IF(VLOOKUP($B57,Medewerker!$C$8:$Y$107,23,FALSE)="",VLOOKUP($B57,Medewerker!$C$8:$Y$107,21,FALSE),0),0)</f>
        <v/>
      </c>
      <c r="AS57" s="888">
        <f>IFERROR(IF(B57="",1,IF(VLOOKUP($B57,Medewerker!$C$8:$Y$107,23,FALSE)="",VLOOKUP($B57,Medewerker!$C$8:$Y$107,22,FALSE),0)),0)</f>
        <v/>
      </c>
      <c r="AT57" s="45" t="n"/>
      <c r="AU57" s="46">
        <f>(COUNTIF(F57:AQ57,"afw"))/2</f>
        <v/>
      </c>
      <c r="AV57" s="111">
        <f>((38-(COUNTIF(F57:AQ57,"")))/2)-(COUNTIF(F57:AQ57,"p")/2)-(COUNTIF(F57:AQ57,CONCATENATE("x","*"))/4)</f>
        <v/>
      </c>
      <c r="AW57" s="73">
        <f>IF($B57="","",VLOOKUP($B57,Medewerker!$C$8:$E$107,3,FALSE))</f>
        <v/>
      </c>
      <c r="AX57" s="403">
        <f>IFERROR(VLOOKUP($B57,Planning!$B$6:$AG$105,32,FALSE)*24,"")</f>
        <v/>
      </c>
      <c r="AY57" s="837">
        <f>IF(Instellingen!I7="ja","pup","")</f>
        <v/>
      </c>
      <c r="AZ57" s="71">
        <f>IF(Instellingen!I7="ja","Pick-Up-Point","")</f>
        <v/>
      </c>
      <c r="BA57" s="111">
        <f>IF(Instellingen!I7="ja",COUNTIF($F$13:$AQ$63,CONCATENATE(AY57,"*"))/2+COUNTIF($F$13:$AQ$63,CONCATENATE("x",AY57,"*"))/4,"")</f>
        <v/>
      </c>
      <c r="BB57" s="838" t="n"/>
      <c r="BC57" s="31">
        <f>IF(Planning!B50="","",Planning!B50)</f>
        <v/>
      </c>
      <c r="BD57" s="105" t="n"/>
      <c r="BE57" s="885">
        <f>Planning!E50</f>
        <v/>
      </c>
      <c r="BF57" s="885">
        <f>Planning!F50</f>
        <v/>
      </c>
      <c r="BG57" s="886" t="n"/>
      <c r="BH57" s="105" t="n"/>
      <c r="BI57" s="885">
        <f>Planning!I50</f>
        <v/>
      </c>
      <c r="BJ57" s="885">
        <f>Planning!J50</f>
        <v/>
      </c>
      <c r="BK57" s="886" t="n"/>
      <c r="BL57" s="105" t="n"/>
      <c r="BM57" s="885">
        <f>Planning!M50</f>
        <v/>
      </c>
      <c r="BN57" s="885">
        <f>Planning!N50</f>
        <v/>
      </c>
      <c r="BO57" s="886" t="n"/>
      <c r="BP57" s="105" t="n"/>
      <c r="BQ57" s="885">
        <f>Planning!Q50</f>
        <v/>
      </c>
      <c r="BR57" s="885">
        <f>Planning!R50</f>
        <v/>
      </c>
      <c r="BS57" s="886" t="n"/>
      <c r="BT57" s="105" t="n"/>
      <c r="BU57" s="885">
        <f>Planning!U50</f>
        <v/>
      </c>
      <c r="BV57" s="885">
        <f>Planning!V50</f>
        <v/>
      </c>
      <c r="BW57" s="886" t="n"/>
      <c r="BX57" s="105" t="n"/>
      <c r="BY57" s="885">
        <f>Planning!Y50</f>
        <v/>
      </c>
      <c r="BZ57" s="885">
        <f>Planning!Z50</f>
        <v/>
      </c>
      <c r="CA57" s="886" t="n"/>
      <c r="CB57" s="105" t="n"/>
      <c r="CC57" s="885">
        <f>Planning!AC50</f>
        <v/>
      </c>
      <c r="CD57" s="885">
        <f>Planning!AD50</f>
        <v/>
      </c>
      <c r="CE57" s="886" t="n"/>
      <c r="CF57" s="105" t="n"/>
      <c r="CG57" s="887">
        <f>Planning!AG50</f>
        <v/>
      </c>
      <c r="CH57" s="105" t="n"/>
      <c r="CI57" s="252">
        <f>IF(BC57="","",Planning!AI50)</f>
        <v/>
      </c>
      <c r="CJ57" s="252">
        <f>IF(BC57="","",Planning!AJ50)</f>
        <v/>
      </c>
      <c r="CK57" s="252">
        <f>IF(BC57="","",Planning!AK50)</f>
        <v/>
      </c>
      <c r="CL57" s="252">
        <f>IF(BC57="","",Planning!AH50)</f>
        <v/>
      </c>
      <c r="CM57" s="21" t="n"/>
    </row>
    <row r="58" ht="12.75" customHeight="1">
      <c r="A58" s="161">
        <f>IFERROR(IF(VLOOKUP($B58,$BC$13:$CL$86,36,FALSE)&gt;5,0,IF(COUNTIF($B$13:$B$63,$B58)&gt;1,0,46)),46)+IF(B58&lt;&gt;0,0,IF(AV58&gt;0,0.000001,0))</f>
        <v/>
      </c>
      <c r="B58" s="129" t="n"/>
      <c r="C58" s="48">
        <f>IFERROR(IF($B58="","",VLOOKUP($B58,Medewerker!$C$8:$AI$107,33,FALSE)),"?")</f>
        <v/>
      </c>
      <c r="D58" s="879">
        <f t="array" ref="D58">IFERROR(IF(LEFT(INDEX($F58:$AQ58,1,SUM(SMALL(IF($F58:$AQ58&lt;&gt;"",COLUMN($F58:$AQ58)),1)-5)),1)="x",SUM(SMALL(IF($F58:$AQ58&lt;&gt;"",$F$11:$AQ$11),1)+"0:15"),SMALL(IF($F58:$AQ58&lt;&gt;"",$F$11:$AQ$11),1)),"")</f>
        <v/>
      </c>
      <c r="E58" s="879">
        <f t="array" ref="E58">IFERROR(IF(LEFT(INDEX($F58:$AQ58,1,SUM(LARGE(IF($F58:$AQ58&lt;&gt;"",COLUMN($F58:$AQ58)),1)-5)),1)="x",SUM(LARGE(IF($F58:$AQ58&lt;&gt;"",$F$11:$AQ$11+"0:30:00"),1)-"0:15"),LARGE(IF($F58:$AQ58&lt;&gt;"",$F$11:$AQ$11+"0:30:00"),1)),"")</f>
        <v/>
      </c>
      <c r="F58" s="43" t="n"/>
      <c r="G58" s="42" t="n"/>
      <c r="H58" s="43" t="n"/>
      <c r="I58" s="42" t="n"/>
      <c r="J58" s="43" t="n"/>
      <c r="K58" s="41" t="n"/>
      <c r="L58" s="40" t="n"/>
      <c r="M58" s="42" t="n"/>
      <c r="N58" s="43" t="n"/>
      <c r="O58" s="41" t="n"/>
      <c r="P58" s="40" t="n"/>
      <c r="Q58" s="42" t="n"/>
      <c r="R58" s="43" t="n"/>
      <c r="S58" s="41" t="n"/>
      <c r="T58" s="40" t="n"/>
      <c r="U58" s="42" t="n"/>
      <c r="V58" s="43" t="n"/>
      <c r="W58" s="41" t="n"/>
      <c r="X58" s="40" t="n"/>
      <c r="Y58" s="42" t="n"/>
      <c r="Z58" s="43" t="n"/>
      <c r="AA58" s="41" t="n"/>
      <c r="AB58" s="40" t="n"/>
      <c r="AC58" s="42" t="n"/>
      <c r="AD58" s="43" t="n"/>
      <c r="AE58" s="41" t="n"/>
      <c r="AF58" s="40" t="n"/>
      <c r="AG58" s="42" t="n"/>
      <c r="AH58" s="43" t="n"/>
      <c r="AI58" s="41" t="n"/>
      <c r="AJ58" s="41" t="n"/>
      <c r="AK58" s="41" t="n"/>
      <c r="AL58" s="41" t="n"/>
      <c r="AM58" s="41" t="n"/>
      <c r="AN58" s="41" t="n"/>
      <c r="AO58" s="41" t="n"/>
      <c r="AP58" s="43" t="n"/>
      <c r="AQ58" s="42" t="n"/>
      <c r="AR58" s="888">
        <f>IFERROR(IF(VLOOKUP($B58,Medewerker!$C$8:$Y$107,23,FALSE)="",VLOOKUP($B58,Medewerker!$C$8:$Y$107,21,FALSE),0),0)</f>
        <v/>
      </c>
      <c r="AS58" s="888">
        <f>IFERROR(IF(B58="",1,IF(VLOOKUP($B58,Medewerker!$C$8:$Y$107,23,FALSE)="",VLOOKUP($B58,Medewerker!$C$8:$Y$107,22,FALSE),0)),0)</f>
        <v/>
      </c>
      <c r="AT58" s="45" t="n"/>
      <c r="AU58" s="46">
        <f>(COUNTIF(F58:AQ58,"afw"))/2</f>
        <v/>
      </c>
      <c r="AV58" s="111">
        <f>((38-(COUNTIF(F58:AQ58,"")))/2)-(COUNTIF(F58:AQ58,"p")/2)-(COUNTIF(F58:AQ58,CONCATENATE("x","*"))/4)</f>
        <v/>
      </c>
      <c r="AW58" s="73">
        <f>IF($B58="","",VLOOKUP($B58,Medewerker!$C$8:$E$107,3,FALSE))</f>
        <v/>
      </c>
      <c r="AX58" s="403">
        <f>IFERROR(VLOOKUP($B58,Planning!$B$6:$AG$105,32,FALSE)*24,"")</f>
        <v/>
      </c>
      <c r="AY58" s="411">
        <f>IF(Ma!AY58="","",Ma!AY58)</f>
        <v/>
      </c>
      <c r="AZ58" s="166">
        <f>IF(Ma!AZ58="","",Ma!AZ58)</f>
        <v/>
      </c>
      <c r="BA58" s="111">
        <f>IFERROR(IF(AY58="","",(COUNTIF($F$13:$AQ$63,CONCATENATE(AY58,"*"))/2+COUNTIF($F$13:$AQ$63,CONCATENATE("x",AY58,"*"))/4)),"")</f>
        <v/>
      </c>
      <c r="BB58" s="838" t="n"/>
      <c r="BC58" s="31">
        <f>IF(Planning!B51="","",Planning!B51)</f>
        <v/>
      </c>
      <c r="BD58" s="105" t="n"/>
      <c r="BE58" s="885">
        <f>Planning!E51</f>
        <v/>
      </c>
      <c r="BF58" s="885">
        <f>Planning!F51</f>
        <v/>
      </c>
      <c r="BG58" s="886" t="n"/>
      <c r="BH58" s="105" t="n"/>
      <c r="BI58" s="885">
        <f>Planning!I51</f>
        <v/>
      </c>
      <c r="BJ58" s="885">
        <f>Planning!J51</f>
        <v/>
      </c>
      <c r="BK58" s="886" t="n"/>
      <c r="BL58" s="105" t="n"/>
      <c r="BM58" s="885">
        <f>Planning!M51</f>
        <v/>
      </c>
      <c r="BN58" s="885">
        <f>Planning!N51</f>
        <v/>
      </c>
      <c r="BO58" s="886" t="n"/>
      <c r="BP58" s="105" t="n"/>
      <c r="BQ58" s="885">
        <f>Planning!Q51</f>
        <v/>
      </c>
      <c r="BR58" s="885">
        <f>Planning!R51</f>
        <v/>
      </c>
      <c r="BS58" s="886" t="n"/>
      <c r="BT58" s="105" t="n"/>
      <c r="BU58" s="885">
        <f>Planning!U51</f>
        <v/>
      </c>
      <c r="BV58" s="885">
        <f>Planning!V51</f>
        <v/>
      </c>
      <c r="BW58" s="886" t="n"/>
      <c r="BX58" s="105" t="n"/>
      <c r="BY58" s="885">
        <f>Planning!Y51</f>
        <v/>
      </c>
      <c r="BZ58" s="885">
        <f>Planning!Z51</f>
        <v/>
      </c>
      <c r="CA58" s="886" t="n"/>
      <c r="CB58" s="105" t="n"/>
      <c r="CC58" s="885">
        <f>Planning!AC51</f>
        <v/>
      </c>
      <c r="CD58" s="885">
        <f>Planning!AD51</f>
        <v/>
      </c>
      <c r="CE58" s="886" t="n"/>
      <c r="CF58" s="105" t="n"/>
      <c r="CG58" s="887">
        <f>Planning!AG51</f>
        <v/>
      </c>
      <c r="CH58" s="105" t="n"/>
      <c r="CI58" s="252">
        <f>IF(BC58="","",Planning!AI51)</f>
        <v/>
      </c>
      <c r="CJ58" s="252">
        <f>IF(BC58="","",Planning!AJ51)</f>
        <v/>
      </c>
      <c r="CK58" s="252">
        <f>IF(BC58="","",Planning!AK51)</f>
        <v/>
      </c>
      <c r="CL58" s="252">
        <f>IF(BC58="","",Planning!AH51)</f>
        <v/>
      </c>
      <c r="CM58" s="21" t="n"/>
    </row>
    <row r="59" ht="12.75" customHeight="1">
      <c r="A59" s="161">
        <f>IFERROR(IF(VLOOKUP($B59,$BC$13:$CL$86,36,FALSE)&gt;5,0,IF(COUNTIF($B$13:$B$63,$B59)&gt;1,0,47)),47)+IF(B59&lt;&gt;0,0,IF(AV59&gt;0,0.000001,0))</f>
        <v/>
      </c>
      <c r="B59" s="129" t="n"/>
      <c r="C59" s="48">
        <f>IFERROR(IF($B59="","",VLOOKUP($B59,Medewerker!$C$8:$AI$107,33,FALSE)),"?")</f>
        <v/>
      </c>
      <c r="D59" s="879">
        <f t="array" ref="D59">IFERROR(IF(LEFT(INDEX($F59:$AQ59,1,SUM(SMALL(IF($F59:$AQ59&lt;&gt;"",COLUMN($F59:$AQ59)),1)-5)),1)="x",SUM(SMALL(IF($F59:$AQ59&lt;&gt;"",$F$11:$AQ$11),1)+"0:15"),SMALL(IF($F59:$AQ59&lt;&gt;"",$F$11:$AQ$11),1)),"")</f>
        <v/>
      </c>
      <c r="E59" s="879">
        <f t="array" ref="E59">IFERROR(IF(LEFT(INDEX($F59:$AQ59,1,SUM(LARGE(IF($F59:$AQ59&lt;&gt;"",COLUMN($F59:$AQ59)),1)-5)),1)="x",SUM(LARGE(IF($F59:$AQ59&lt;&gt;"",$F$11:$AQ$11+"0:30:00"),1)-"0:15"),LARGE(IF($F59:$AQ59&lt;&gt;"",$F$11:$AQ$11+"0:30:00"),1)),"")</f>
        <v/>
      </c>
      <c r="F59" s="43" t="n"/>
      <c r="G59" s="42" t="n"/>
      <c r="H59" s="43" t="n"/>
      <c r="I59" s="42" t="n"/>
      <c r="J59" s="43" t="n"/>
      <c r="K59" s="41" t="n"/>
      <c r="L59" s="40" t="n"/>
      <c r="M59" s="42" t="n"/>
      <c r="N59" s="43" t="n"/>
      <c r="O59" s="41" t="n"/>
      <c r="P59" s="40" t="n"/>
      <c r="Q59" s="42" t="n"/>
      <c r="R59" s="43" t="n"/>
      <c r="S59" s="41" t="n"/>
      <c r="T59" s="40" t="n"/>
      <c r="U59" s="42" t="n"/>
      <c r="V59" s="43" t="n"/>
      <c r="W59" s="41" t="n"/>
      <c r="X59" s="40" t="n"/>
      <c r="Y59" s="42" t="n"/>
      <c r="Z59" s="43" t="n"/>
      <c r="AA59" s="41" t="n"/>
      <c r="AB59" s="40" t="n"/>
      <c r="AC59" s="42" t="n"/>
      <c r="AD59" s="43" t="n"/>
      <c r="AE59" s="41" t="n"/>
      <c r="AF59" s="40" t="n"/>
      <c r="AG59" s="42" t="n"/>
      <c r="AH59" s="43" t="n"/>
      <c r="AI59" s="41" t="n"/>
      <c r="AJ59" s="40" t="n"/>
      <c r="AK59" s="42" t="n"/>
      <c r="AL59" s="43" t="n"/>
      <c r="AM59" s="41" t="n"/>
      <c r="AN59" s="645" t="n"/>
      <c r="AO59" s="42" t="n"/>
      <c r="AP59" s="43" t="n"/>
      <c r="AQ59" s="42" t="n"/>
      <c r="AR59" s="888">
        <f>IFERROR(IF(VLOOKUP($B59,Medewerker!$C$8:$Y$107,23,FALSE)="",VLOOKUP($B59,Medewerker!$C$8:$Y$107,21,FALSE),0),0)</f>
        <v/>
      </c>
      <c r="AS59" s="888">
        <f>IFERROR(IF(B59="",1,IF(VLOOKUP($B59,Medewerker!$C$8:$Y$107,23,FALSE)="",VLOOKUP($B59,Medewerker!$C$8:$Y$107,22,FALSE),0)),0)</f>
        <v/>
      </c>
      <c r="AT59" s="45" t="n"/>
      <c r="AU59" s="46">
        <f>(COUNTIF(F59:AQ59,"afw"))/2</f>
        <v/>
      </c>
      <c r="AV59" s="111">
        <f>((38-(COUNTIF(F59:AQ59,"")))/2)-(COUNTIF(F59:AQ59,"p")/2)-(COUNTIF(F59:AQ59,CONCATENATE("x","*"))/4)</f>
        <v/>
      </c>
      <c r="AW59" s="73">
        <f>IF($B59="","",VLOOKUP($B59,Medewerker!$C$8:$E$107,3,FALSE))</f>
        <v/>
      </c>
      <c r="AX59" s="403">
        <f>IFERROR(VLOOKUP($B59,Planning!$B$6:$AG$105,32,FALSE)*24,"")</f>
        <v/>
      </c>
      <c r="AY59" s="411">
        <f>IF(Ma!AY59="","",Ma!AY59)</f>
        <v/>
      </c>
      <c r="AZ59" s="166">
        <f>IF(Ma!AZ59="","",Ma!AZ59)</f>
        <v/>
      </c>
      <c r="BA59" s="111">
        <f>IFERROR(IF(AY59="","",(COUNTIF($F$13:$AQ$63,CONCATENATE(AY59,"*"))/2+COUNTIF($F$13:$AQ$63,CONCATENATE("x",AY59,"*"))/4)),"")</f>
        <v/>
      </c>
      <c r="BB59" s="838" t="n"/>
      <c r="BC59" s="31">
        <f>IF(Planning!B52="","",Planning!B52)</f>
        <v/>
      </c>
      <c r="BD59" s="105" t="n"/>
      <c r="BE59" s="885">
        <f>Planning!E52</f>
        <v/>
      </c>
      <c r="BF59" s="885">
        <f>Planning!F52</f>
        <v/>
      </c>
      <c r="BG59" s="886" t="n"/>
      <c r="BH59" s="105" t="n"/>
      <c r="BI59" s="885">
        <f>Planning!I52</f>
        <v/>
      </c>
      <c r="BJ59" s="885">
        <f>Planning!J52</f>
        <v/>
      </c>
      <c r="BK59" s="886" t="n"/>
      <c r="BL59" s="105" t="n"/>
      <c r="BM59" s="885">
        <f>Planning!M52</f>
        <v/>
      </c>
      <c r="BN59" s="885">
        <f>Planning!N52</f>
        <v/>
      </c>
      <c r="BO59" s="886" t="n"/>
      <c r="BP59" s="105" t="n"/>
      <c r="BQ59" s="885">
        <f>Planning!Q52</f>
        <v/>
      </c>
      <c r="BR59" s="885">
        <f>Planning!R52</f>
        <v/>
      </c>
      <c r="BS59" s="886" t="n"/>
      <c r="BT59" s="105" t="n"/>
      <c r="BU59" s="885">
        <f>Planning!U52</f>
        <v/>
      </c>
      <c r="BV59" s="885">
        <f>Planning!V52</f>
        <v/>
      </c>
      <c r="BW59" s="886" t="n"/>
      <c r="BX59" s="105" t="n"/>
      <c r="BY59" s="885">
        <f>Planning!Y52</f>
        <v/>
      </c>
      <c r="BZ59" s="885">
        <f>Planning!Z52</f>
        <v/>
      </c>
      <c r="CA59" s="886" t="n"/>
      <c r="CB59" s="105" t="n"/>
      <c r="CC59" s="885">
        <f>Planning!AC52</f>
        <v/>
      </c>
      <c r="CD59" s="885">
        <f>Planning!AD52</f>
        <v/>
      </c>
      <c r="CE59" s="886" t="n"/>
      <c r="CF59" s="105" t="n"/>
      <c r="CG59" s="887">
        <f>Planning!AG52</f>
        <v/>
      </c>
      <c r="CH59" s="105" t="n"/>
      <c r="CI59" s="252">
        <f>IF(BC59="","",Planning!AI52)</f>
        <v/>
      </c>
      <c r="CJ59" s="252">
        <f>IF(BC59="","",Planning!AJ52)</f>
        <v/>
      </c>
      <c r="CK59" s="252">
        <f>IF(BC59="","",Planning!AK52)</f>
        <v/>
      </c>
      <c r="CL59" s="252">
        <f>IF(BC59="","",Planning!AH52)</f>
        <v/>
      </c>
      <c r="CM59" s="21" t="n"/>
    </row>
    <row r="60" ht="12.75" customHeight="1">
      <c r="A60" s="161">
        <f>IFERROR(IF(VLOOKUP($B60,$BC$13:$CL$86,36,FALSE)&gt;5,0,IF(COUNTIF($B$13:$B$63,$B60)&gt;1,0,48)),48)+IF(B60&lt;&gt;0,0,IF(AV60&gt;0,0.000001,0))</f>
        <v/>
      </c>
      <c r="B60" s="129" t="n"/>
      <c r="C60" s="48">
        <f>IFERROR(IF($B60="","",VLOOKUP($B60,Medewerker!$C$8:$AI$107,33,FALSE)),"?")</f>
        <v/>
      </c>
      <c r="D60" s="879">
        <f t="array" ref="D60">IFERROR(IF(LEFT(INDEX($F60:$AQ60,1,SUM(SMALL(IF($F60:$AQ60&lt;&gt;"",COLUMN($F60:$AQ60)),1)-5)),1)="x",SUM(SMALL(IF($F60:$AQ60&lt;&gt;"",$F$11:$AQ$11),1)+"0:15"),SMALL(IF($F60:$AQ60&lt;&gt;"",$F$11:$AQ$11),1)),"")</f>
        <v/>
      </c>
      <c r="E60" s="879">
        <f t="array" ref="E60">IFERROR(IF(LEFT(INDEX($F60:$AQ60,1,SUM(LARGE(IF($F60:$AQ60&lt;&gt;"",COLUMN($F60:$AQ60)),1)-5)),1)="x",SUM(LARGE(IF($F60:$AQ60&lt;&gt;"",$F$11:$AQ$11+"0:30:00"),1)-"0:15"),LARGE(IF($F60:$AQ60&lt;&gt;"",$F$11:$AQ$11+"0:30:00"),1)),"")</f>
        <v/>
      </c>
      <c r="F60" s="43" t="n"/>
      <c r="G60" s="42" t="n"/>
      <c r="H60" s="43" t="n"/>
      <c r="I60" s="42" t="n"/>
      <c r="J60" s="43" t="n"/>
      <c r="K60" s="41" t="n"/>
      <c r="L60" s="40" t="n"/>
      <c r="M60" s="42" t="n"/>
      <c r="N60" s="43" t="n"/>
      <c r="O60" s="41" t="n"/>
      <c r="P60" s="40" t="n"/>
      <c r="Q60" s="42" t="n"/>
      <c r="R60" s="43" t="n"/>
      <c r="S60" s="41" t="n"/>
      <c r="T60" s="40" t="n"/>
      <c r="U60" s="42" t="n"/>
      <c r="V60" s="43" t="n"/>
      <c r="W60" s="41" t="n"/>
      <c r="X60" s="40" t="n"/>
      <c r="Y60" s="42" t="n"/>
      <c r="Z60" s="43" t="n"/>
      <c r="AA60" s="41" t="n"/>
      <c r="AB60" s="40" t="n"/>
      <c r="AC60" s="42" t="n"/>
      <c r="AD60" s="43" t="n"/>
      <c r="AE60" s="41" t="n"/>
      <c r="AF60" s="40" t="n"/>
      <c r="AG60" s="42" t="n"/>
      <c r="AH60" s="43" t="n"/>
      <c r="AI60" s="41" t="n"/>
      <c r="AJ60" s="40" t="n"/>
      <c r="AK60" s="42" t="n"/>
      <c r="AL60" s="43" t="n"/>
      <c r="AM60" s="41" t="n"/>
      <c r="AN60" s="645" t="n"/>
      <c r="AO60" s="42" t="n"/>
      <c r="AP60" s="43" t="n"/>
      <c r="AQ60" s="42" t="n"/>
      <c r="AR60" s="888">
        <f>IFERROR(IF(VLOOKUP($B60,Medewerker!$C$8:$Y$107,23,FALSE)="",VLOOKUP($B60,Medewerker!$C$8:$Y$107,21,FALSE),0),0)</f>
        <v/>
      </c>
      <c r="AS60" s="888">
        <f>IFERROR(IF(B60="",1,IF(VLOOKUP($B60,Medewerker!$C$8:$Y$107,23,FALSE)="",VLOOKUP($B60,Medewerker!$C$8:$Y$107,22,FALSE),0)),0)</f>
        <v/>
      </c>
      <c r="AT60" s="45" t="n"/>
      <c r="AU60" s="46">
        <f>(COUNTIF(F60:AQ60,"afw"))/2</f>
        <v/>
      </c>
      <c r="AV60" s="111">
        <f>((38-(COUNTIF(F60:AQ60,"")))/2)-(COUNTIF(F60:AQ60,"p")/2)-(COUNTIF(F60:AQ60,CONCATENATE("x","*"))/4)</f>
        <v/>
      </c>
      <c r="AW60" s="73">
        <f>IF($B60="","",VLOOKUP($B60,Medewerker!$C$8:$E$107,3,FALSE))</f>
        <v/>
      </c>
      <c r="AX60" s="403">
        <f>IFERROR(VLOOKUP($B60,Planning!$B$6:$AG$105,32,FALSE)*24,"")</f>
        <v/>
      </c>
      <c r="AY60" s="411">
        <f>IF(Ma!AY60="","",Ma!AY60)</f>
        <v/>
      </c>
      <c r="AZ60" s="166">
        <f>IF(Ma!AZ60="","",Ma!AZ60)</f>
        <v/>
      </c>
      <c r="BA60" s="111">
        <f>IFERROR(IF(AY60="","",(COUNTIF($F$13:$AQ$63,CONCATENATE(AY60,"*"))/2+COUNTIF($F$13:$AQ$63,CONCATENATE("x",AY60,"*"))/4)),"")</f>
        <v/>
      </c>
      <c r="BB60" s="838" t="n"/>
      <c r="BC60" s="31">
        <f>IF(Planning!B53="","",Planning!B53)</f>
        <v/>
      </c>
      <c r="BD60" s="105" t="n"/>
      <c r="BE60" s="885">
        <f>Planning!E53</f>
        <v/>
      </c>
      <c r="BF60" s="885">
        <f>Planning!F53</f>
        <v/>
      </c>
      <c r="BG60" s="886" t="n"/>
      <c r="BH60" s="105" t="n"/>
      <c r="BI60" s="885">
        <f>Planning!I53</f>
        <v/>
      </c>
      <c r="BJ60" s="885">
        <f>Planning!J53</f>
        <v/>
      </c>
      <c r="BK60" s="886" t="n"/>
      <c r="BL60" s="105" t="n"/>
      <c r="BM60" s="885">
        <f>Planning!M53</f>
        <v/>
      </c>
      <c r="BN60" s="885">
        <f>Planning!N53</f>
        <v/>
      </c>
      <c r="BO60" s="886" t="n"/>
      <c r="BP60" s="105" t="n"/>
      <c r="BQ60" s="885">
        <f>Planning!Q53</f>
        <v/>
      </c>
      <c r="BR60" s="885">
        <f>Planning!R53</f>
        <v/>
      </c>
      <c r="BS60" s="886" t="n"/>
      <c r="BT60" s="105" t="n"/>
      <c r="BU60" s="885">
        <f>Planning!U53</f>
        <v/>
      </c>
      <c r="BV60" s="885">
        <f>Planning!V53</f>
        <v/>
      </c>
      <c r="BW60" s="886" t="n"/>
      <c r="BX60" s="105" t="n"/>
      <c r="BY60" s="885">
        <f>Planning!Y53</f>
        <v/>
      </c>
      <c r="BZ60" s="885">
        <f>Planning!Z53</f>
        <v/>
      </c>
      <c r="CA60" s="886" t="n"/>
      <c r="CB60" s="105" t="n"/>
      <c r="CC60" s="885">
        <f>Planning!AC53</f>
        <v/>
      </c>
      <c r="CD60" s="885">
        <f>Planning!AD53</f>
        <v/>
      </c>
      <c r="CE60" s="886" t="n"/>
      <c r="CF60" s="105" t="n"/>
      <c r="CG60" s="887">
        <f>Planning!AG53</f>
        <v/>
      </c>
      <c r="CH60" s="105" t="n"/>
      <c r="CI60" s="252">
        <f>IF(BC60="","",Planning!AI53)</f>
        <v/>
      </c>
      <c r="CJ60" s="252">
        <f>IF(BC60="","",Planning!AJ53)</f>
        <v/>
      </c>
      <c r="CK60" s="252">
        <f>IF(BC60="","",Planning!AK53)</f>
        <v/>
      </c>
      <c r="CL60" s="252">
        <f>IF(BC60="","",Planning!AH53)</f>
        <v/>
      </c>
      <c r="CM60" s="21" t="n"/>
    </row>
    <row r="61" ht="12.75" customHeight="1">
      <c r="A61" s="161">
        <f>IFERROR(IF(VLOOKUP($B61,$BC$13:$CL$86,36,FALSE)&gt;5,0,IF(COUNTIF($B$13:$B$63,$B61)&gt;1,0,49)),49)+IF(B61&lt;&gt;0,0,IF(AV61&gt;0,0.000001,0))</f>
        <v/>
      </c>
      <c r="B61" s="129" t="n"/>
      <c r="C61" s="48">
        <f>IFERROR(IF($B61="","",VLOOKUP($B61,Medewerker!$C$8:$AI$107,33,FALSE)),"?")</f>
        <v/>
      </c>
      <c r="D61" s="879">
        <f t="array" ref="D61">IFERROR(IF(LEFT(INDEX($F61:$AQ61,1,SUM(SMALL(IF($F61:$AQ61&lt;&gt;"",COLUMN($F61:$AQ61)),1)-5)),1)="x",SUM(SMALL(IF($F61:$AQ61&lt;&gt;"",$F$11:$AQ$11),1)+"0:15"),SMALL(IF($F61:$AQ61&lt;&gt;"",$F$11:$AQ$11),1)),"")</f>
        <v/>
      </c>
      <c r="E61" s="879">
        <f t="array" ref="E61">IFERROR(IF(LEFT(INDEX($F61:$AQ61,1,SUM(LARGE(IF($F61:$AQ61&lt;&gt;"",COLUMN($F61:$AQ61)),1)-5)),1)="x",SUM(LARGE(IF($F61:$AQ61&lt;&gt;"",$F$11:$AQ$11+"0:30:00"),1)-"0:15"),LARGE(IF($F61:$AQ61&lt;&gt;"",$F$11:$AQ$11+"0:30:00"),1)),"")</f>
        <v/>
      </c>
      <c r="F61" s="43" t="n"/>
      <c r="G61" s="42" t="n"/>
      <c r="H61" s="43" t="n"/>
      <c r="I61" s="42" t="n"/>
      <c r="J61" s="43" t="n"/>
      <c r="K61" s="41" t="n"/>
      <c r="L61" s="40" t="n"/>
      <c r="M61" s="42" t="n"/>
      <c r="N61" s="43" t="n"/>
      <c r="O61" s="41" t="n"/>
      <c r="P61" s="40" t="n"/>
      <c r="Q61" s="42" t="n"/>
      <c r="R61" s="43" t="n"/>
      <c r="S61" s="41" t="n"/>
      <c r="T61" s="40" t="n"/>
      <c r="U61" s="42" t="n"/>
      <c r="V61" s="43" t="n"/>
      <c r="W61" s="41" t="n"/>
      <c r="X61" s="40" t="n"/>
      <c r="Y61" s="42" t="n"/>
      <c r="Z61" s="43" t="n"/>
      <c r="AA61" s="41" t="n"/>
      <c r="AB61" s="40" t="n"/>
      <c r="AC61" s="42" t="n"/>
      <c r="AD61" s="43" t="n"/>
      <c r="AE61" s="41" t="n"/>
      <c r="AF61" s="40" t="n"/>
      <c r="AG61" s="42" t="n"/>
      <c r="AH61" s="43" t="n"/>
      <c r="AI61" s="41" t="n"/>
      <c r="AJ61" s="40" t="n"/>
      <c r="AK61" s="42" t="n"/>
      <c r="AL61" s="43" t="n"/>
      <c r="AM61" s="41" t="n"/>
      <c r="AN61" s="645" t="n"/>
      <c r="AO61" s="42" t="n"/>
      <c r="AP61" s="43" t="n"/>
      <c r="AQ61" s="42" t="n"/>
      <c r="AR61" s="888">
        <f>IFERROR(IF(VLOOKUP($B61,Medewerker!$C$8:$Y$107,23,FALSE)="",VLOOKUP($B61,Medewerker!$C$8:$Y$107,21,FALSE),0),0)</f>
        <v/>
      </c>
      <c r="AS61" s="888">
        <f>IFERROR(IF(B61="",1,IF(VLOOKUP($B61,Medewerker!$C$8:$Y$107,23,FALSE)="",VLOOKUP($B61,Medewerker!$C$8:$Y$107,22,FALSE),0)),0)</f>
        <v/>
      </c>
      <c r="AT61" s="45" t="n"/>
      <c r="AU61" s="46">
        <f>(COUNTIF(F61:AQ61,"afw"))/2</f>
        <v/>
      </c>
      <c r="AV61" s="111">
        <f>((38-(COUNTIF(F61:AQ61,"")))/2)-(COUNTIF(F61:AQ61,"p")/2)-(COUNTIF(F61:AQ61,CONCATENATE("x","*"))/4)</f>
        <v/>
      </c>
      <c r="AW61" s="73">
        <f>IF($B61="","",VLOOKUP($B61,Medewerker!$C$8:$E$107,3,FALSE))</f>
        <v/>
      </c>
      <c r="AX61" s="403">
        <f>IFERROR(VLOOKUP($B61,Planning!$B$6:$AG$105,32,FALSE)*24,"")</f>
        <v/>
      </c>
      <c r="AY61" s="892" t="inlineStr">
        <is>
          <t>Taken zonder legenda</t>
        </is>
      </c>
      <c r="AZ61" s="893" t="n"/>
      <c r="BA61" s="565">
        <f>$BA$65</f>
        <v/>
      </c>
      <c r="BB61" s="838" t="n"/>
      <c r="BC61" s="31">
        <f>IF(Planning!B54="","",Planning!B54)</f>
        <v/>
      </c>
      <c r="BD61" s="105" t="n"/>
      <c r="BE61" s="885">
        <f>Planning!E54</f>
        <v/>
      </c>
      <c r="BF61" s="885">
        <f>Planning!F54</f>
        <v/>
      </c>
      <c r="BG61" s="886" t="n"/>
      <c r="BH61" s="105" t="n"/>
      <c r="BI61" s="885">
        <f>Planning!I54</f>
        <v/>
      </c>
      <c r="BJ61" s="885">
        <f>Planning!J54</f>
        <v/>
      </c>
      <c r="BK61" s="886" t="n"/>
      <c r="BL61" s="105" t="n"/>
      <c r="BM61" s="885">
        <f>Planning!M54</f>
        <v/>
      </c>
      <c r="BN61" s="885">
        <f>Planning!N54</f>
        <v/>
      </c>
      <c r="BO61" s="886" t="n"/>
      <c r="BP61" s="105" t="n"/>
      <c r="BQ61" s="885">
        <f>Planning!Q54</f>
        <v/>
      </c>
      <c r="BR61" s="885">
        <f>Planning!R54</f>
        <v/>
      </c>
      <c r="BS61" s="886" t="n"/>
      <c r="BT61" s="105" t="n"/>
      <c r="BU61" s="885">
        <f>Planning!U54</f>
        <v/>
      </c>
      <c r="BV61" s="885">
        <f>Planning!V54</f>
        <v/>
      </c>
      <c r="BW61" s="886" t="n"/>
      <c r="BX61" s="105" t="n"/>
      <c r="BY61" s="885">
        <f>Planning!Y54</f>
        <v/>
      </c>
      <c r="BZ61" s="885">
        <f>Planning!Z54</f>
        <v/>
      </c>
      <c r="CA61" s="886" t="n"/>
      <c r="CB61" s="105" t="n"/>
      <c r="CC61" s="885">
        <f>Planning!AC54</f>
        <v/>
      </c>
      <c r="CD61" s="885">
        <f>Planning!AD54</f>
        <v/>
      </c>
      <c r="CE61" s="886" t="n"/>
      <c r="CF61" s="105" t="n"/>
      <c r="CG61" s="887">
        <f>Planning!AG54</f>
        <v/>
      </c>
      <c r="CH61" s="105" t="n"/>
      <c r="CI61" s="252">
        <f>IF(BC61="","",Planning!AI54)</f>
        <v/>
      </c>
      <c r="CJ61" s="252">
        <f>IF(BC61="","",Planning!AJ54)</f>
        <v/>
      </c>
      <c r="CK61" s="252">
        <f>IF(BC61="","",Planning!AK54)</f>
        <v/>
      </c>
      <c r="CL61" s="252">
        <f>IF(BC61="","",Planning!AH54)</f>
        <v/>
      </c>
      <c r="CM61" s="21" t="n"/>
    </row>
    <row r="62" ht="12.75" customHeight="1">
      <c r="A62" s="161">
        <f>IFERROR(IF(VLOOKUP($B62,$BC$13:$CL$86,36,FALSE)&gt;5,0,IF(COUNTIF($B$13:$B$63,$B62)&gt;1,0,50)),50)+IF(B62&lt;&gt;0,0,IF(AV62&gt;0,0.000001,0))</f>
        <v/>
      </c>
      <c r="B62" s="129" t="n"/>
      <c r="C62" s="48">
        <f>IFERROR(IF($B62="","",VLOOKUP($B62,Medewerker!$C$8:$AI$107,33,FALSE)),"?")</f>
        <v/>
      </c>
      <c r="D62" s="879">
        <f t="array" ref="D62">IFERROR(IF(LEFT(INDEX($F62:$AQ62,1,SUM(SMALL(IF($F62:$AQ62&lt;&gt;"",COLUMN($F62:$AQ62)),1)-5)),1)="x",SUM(SMALL(IF($F62:$AQ62&lt;&gt;"",$F$11:$AQ$11),1)+"0:15"),SMALL(IF($F62:$AQ62&lt;&gt;"",$F$11:$AQ$11),1)),"")</f>
        <v/>
      </c>
      <c r="E62" s="879">
        <f t="array" ref="E62">IFERROR(IF(LEFT(INDEX($F62:$AQ62,1,SUM(LARGE(IF($F62:$AQ62&lt;&gt;"",COLUMN($F62:$AQ62)),1)-5)),1)="x",SUM(LARGE(IF($F62:$AQ62&lt;&gt;"",$F$11:$AQ$11+"0:30:00"),1)-"0:15"),LARGE(IF($F62:$AQ62&lt;&gt;"",$F$11:$AQ$11+"0:30:00"),1)),"")</f>
        <v/>
      </c>
      <c r="F62" s="43" t="n"/>
      <c r="G62" s="42" t="n"/>
      <c r="H62" s="43" t="n"/>
      <c r="I62" s="42" t="n"/>
      <c r="J62" s="43" t="n"/>
      <c r="K62" s="41" t="n"/>
      <c r="L62" s="40" t="n"/>
      <c r="M62" s="42" t="n"/>
      <c r="N62" s="43" t="n"/>
      <c r="O62" s="41" t="n"/>
      <c r="P62" s="40" t="n"/>
      <c r="Q62" s="42" t="n"/>
      <c r="R62" s="43" t="n"/>
      <c r="S62" s="41" t="n"/>
      <c r="T62" s="40" t="n"/>
      <c r="U62" s="42" t="n"/>
      <c r="V62" s="43" t="n"/>
      <c r="W62" s="41" t="n"/>
      <c r="X62" s="40" t="n"/>
      <c r="Y62" s="42" t="n"/>
      <c r="Z62" s="43" t="n"/>
      <c r="AA62" s="41" t="n"/>
      <c r="AB62" s="40" t="n"/>
      <c r="AC62" s="42" t="n"/>
      <c r="AD62" s="43" t="n"/>
      <c r="AE62" s="41" t="n"/>
      <c r="AF62" s="40" t="n"/>
      <c r="AG62" s="42" t="n"/>
      <c r="AH62" s="43" t="n"/>
      <c r="AI62" s="41" t="n"/>
      <c r="AJ62" s="40" t="n"/>
      <c r="AK62" s="42" t="n"/>
      <c r="AL62" s="43" t="n"/>
      <c r="AM62" s="41" t="n"/>
      <c r="AN62" s="645" t="n"/>
      <c r="AO62" s="42" t="n"/>
      <c r="AP62" s="43" t="n"/>
      <c r="AQ62" s="42" t="n"/>
      <c r="AR62" s="888">
        <f>IFERROR(IF(VLOOKUP($B62,Medewerker!$C$8:$Y$107,23,FALSE)="",VLOOKUP($B62,Medewerker!$C$8:$Y$107,21,FALSE),0),0)</f>
        <v/>
      </c>
      <c r="AS62" s="888">
        <f>IFERROR(IF(B62="",1,IF(VLOOKUP($B62,Medewerker!$C$8:$Y$107,23,FALSE)="",VLOOKUP($B62,Medewerker!$C$8:$Y$107,22,FALSE),0)),0)</f>
        <v/>
      </c>
      <c r="AT62" s="45" t="n"/>
      <c r="AU62" s="46">
        <f>(COUNTIF(F62:AQ62,"afw"))/2</f>
        <v/>
      </c>
      <c r="AV62" s="111">
        <f>((38-(COUNTIF(F62:AQ62,"")))/2)-(COUNTIF(F62:AQ62,"p")/2)-(COUNTIF(F62:AQ62,CONCATENATE("x","*"))/4)</f>
        <v/>
      </c>
      <c r="AW62" s="73">
        <f>IF($B62="","",VLOOKUP($B62,Medewerker!$C$8:$E$107,3,FALSE))</f>
        <v/>
      </c>
      <c r="AX62" s="403">
        <f>IFERROR(VLOOKUP($B62,Planning!$B$6:$AG$105,32,FALSE)*24,"")</f>
        <v/>
      </c>
      <c r="AY62" s="409" t="inlineStr">
        <is>
          <t>p</t>
        </is>
      </c>
      <c r="AZ62" s="167" t="inlineStr">
        <is>
          <t>Pauze (onbetaald)</t>
        </is>
      </c>
      <c r="BA62" s="410">
        <f>MAX((COUNTIF($F$13:$AQ$63,CONCATENATE(AY62,"*"))/2+COUNTIF($F$13:$AQ$63,CONCATENATE("x",AY62,"*"))/4)-SUM(BA57,BA51,BA45,BA44),0)</f>
        <v/>
      </c>
      <c r="BB62" s="838" t="n"/>
      <c r="BC62" s="31">
        <f>IF(Planning!B55="","",Planning!B55)</f>
        <v/>
      </c>
      <c r="BD62" s="105" t="n"/>
      <c r="BE62" s="885">
        <f>Planning!E55</f>
        <v/>
      </c>
      <c r="BF62" s="885">
        <f>Planning!F55</f>
        <v/>
      </c>
      <c r="BG62" s="886" t="n"/>
      <c r="BH62" s="105" t="n"/>
      <c r="BI62" s="885">
        <f>Planning!I55</f>
        <v/>
      </c>
      <c r="BJ62" s="885">
        <f>Planning!J55</f>
        <v/>
      </c>
      <c r="BK62" s="886" t="n"/>
      <c r="BL62" s="105" t="n"/>
      <c r="BM62" s="885">
        <f>Planning!M55</f>
        <v/>
      </c>
      <c r="BN62" s="885">
        <f>Planning!N55</f>
        <v/>
      </c>
      <c r="BO62" s="886" t="n"/>
      <c r="BP62" s="105" t="n"/>
      <c r="BQ62" s="885">
        <f>Planning!Q55</f>
        <v/>
      </c>
      <c r="BR62" s="885">
        <f>Planning!R55</f>
        <v/>
      </c>
      <c r="BS62" s="886" t="n"/>
      <c r="BT62" s="105" t="n"/>
      <c r="BU62" s="885">
        <f>Planning!U55</f>
        <v/>
      </c>
      <c r="BV62" s="885">
        <f>Planning!V55</f>
        <v/>
      </c>
      <c r="BW62" s="886" t="n"/>
      <c r="BX62" s="105" t="n"/>
      <c r="BY62" s="885">
        <f>Planning!Y55</f>
        <v/>
      </c>
      <c r="BZ62" s="885">
        <f>Planning!Z55</f>
        <v/>
      </c>
      <c r="CA62" s="886" t="n"/>
      <c r="CB62" s="105" t="n"/>
      <c r="CC62" s="885">
        <f>Planning!AC55</f>
        <v/>
      </c>
      <c r="CD62" s="885">
        <f>Planning!AD55</f>
        <v/>
      </c>
      <c r="CE62" s="886" t="n"/>
      <c r="CF62" s="105" t="n"/>
      <c r="CG62" s="887">
        <f>Planning!AG55</f>
        <v/>
      </c>
      <c r="CH62" s="105" t="n"/>
      <c r="CI62" s="252">
        <f>IF(BC62="","",Planning!AI55)</f>
        <v/>
      </c>
      <c r="CJ62" s="252">
        <f>IF(BC62="","",Planning!AJ55)</f>
        <v/>
      </c>
      <c r="CK62" s="252">
        <f>IF(BC62="","",Planning!AK55)</f>
        <v/>
      </c>
      <c r="CL62" s="252">
        <f>IF(BC62="","",Planning!AH55)</f>
        <v/>
      </c>
      <c r="CM62" s="21" t="n"/>
    </row>
    <row r="63" ht="12.75" customHeight="1">
      <c r="A63" s="161">
        <f>IFERROR(IF(VLOOKUP($B63,$BC$13:$CL$86,36,FALSE)&gt;5,0,IF(COUNTIF($B$13:$B$63,$B63)&gt;1,0,51)),51)+IF(B63&lt;&gt;0,0,IF(AV63&gt;0,0.000001,0))</f>
        <v/>
      </c>
      <c r="B63" s="130" t="n"/>
      <c r="C63" s="131">
        <f>IFERROR(IF($B63="","",VLOOKUP($B63,Medewerker!$C$8:$AI$107,33,FALSE)),"?")</f>
        <v/>
      </c>
      <c r="D63" s="894">
        <f t="array" ref="D63">IFERROR(IF(LEFT(INDEX($F63:$AQ63,1,SUM(SMALL(IF($F63:$AQ63&lt;&gt;"",COLUMN($F63:$AQ63)),1)-5)),1)="x",SUM(SMALL(IF($F63:$AQ63&lt;&gt;"",$F$11:$AQ$11),1)+"0:15"),SMALL(IF($F63:$AQ63&lt;&gt;"",$F$11:$AQ$11),1)),"")</f>
        <v/>
      </c>
      <c r="E63" s="894">
        <f t="array" ref="E63">IFERROR(IF(LEFT(INDEX($F63:$AQ63,1,SUM(LARGE(IF($F63:$AQ63&lt;&gt;"",COLUMN($F63:$AQ63)),1)-5)),1)="x",SUM(LARGE(IF($F63:$AQ63&lt;&gt;"",$F$11:$AQ$11+"0:30:00"),1)-"0:15"),LARGE(IF($F63:$AQ63&lt;&gt;"",$F$11:$AQ$11+"0:30:00"),1)),"")</f>
        <v/>
      </c>
      <c r="F63" s="133" t="n"/>
      <c r="G63" s="134" t="n"/>
      <c r="H63" s="133" t="n"/>
      <c r="I63" s="134" t="n"/>
      <c r="J63" s="133" t="n"/>
      <c r="K63" s="135" t="n"/>
      <c r="L63" s="136" t="n"/>
      <c r="M63" s="134" t="n"/>
      <c r="N63" s="133" t="n"/>
      <c r="O63" s="135" t="n"/>
      <c r="P63" s="136" t="n"/>
      <c r="Q63" s="134" t="n"/>
      <c r="R63" s="133" t="n"/>
      <c r="S63" s="135" t="n"/>
      <c r="T63" s="136" t="n"/>
      <c r="U63" s="134" t="n"/>
      <c r="V63" s="133" t="n"/>
      <c r="W63" s="135" t="n"/>
      <c r="X63" s="136" t="n"/>
      <c r="Y63" s="134" t="n"/>
      <c r="Z63" s="133" t="n"/>
      <c r="AA63" s="135" t="n"/>
      <c r="AB63" s="136" t="n"/>
      <c r="AC63" s="134" t="n"/>
      <c r="AD63" s="133" t="n"/>
      <c r="AE63" s="135" t="n"/>
      <c r="AF63" s="136" t="n"/>
      <c r="AG63" s="134" t="n"/>
      <c r="AH63" s="133" t="n"/>
      <c r="AI63" s="135" t="n"/>
      <c r="AJ63" s="136" t="n"/>
      <c r="AK63" s="134" t="n"/>
      <c r="AL63" s="133" t="n"/>
      <c r="AM63" s="135" t="n"/>
      <c r="AN63" s="646" t="n"/>
      <c r="AO63" s="134" t="n"/>
      <c r="AP63" s="133" t="n"/>
      <c r="AQ63" s="134" t="n"/>
      <c r="AR63" s="895">
        <f>IFERROR(IF(VLOOKUP($B63,Medewerker!$C$8:$Y$107,23,FALSE)="",VLOOKUP($B63,Medewerker!$C$8:$Y$107,21,FALSE),0),0)</f>
        <v/>
      </c>
      <c r="AS63" s="895">
        <f>IFERROR(IF(B63="",1,IF(VLOOKUP($B63,Medewerker!$C$8:$Y$107,23,FALSE)="",VLOOKUP($B63,Medewerker!$C$8:$Y$107,22,FALSE),0)),0)</f>
        <v/>
      </c>
      <c r="AT63" s="138" t="n"/>
      <c r="AU63" s="139">
        <f>(COUNTIF(F63:AQ63,"afw"))/2</f>
        <v/>
      </c>
      <c r="AV63" s="140">
        <f>((38-(COUNTIF(F63:AQ63,"")))/2)-(COUNTIF(F63:AQ63,"p")/2)-(COUNTIF(F63:AQ63,CONCATENATE("x","*"))/4)</f>
        <v/>
      </c>
      <c r="AW63" s="402">
        <f>IF($B63="","",VLOOKUP($B63,Medewerker!$C$8:$E$107,3,FALSE))</f>
        <v/>
      </c>
      <c r="AX63" s="405">
        <f>IFERROR(VLOOKUP($B63,Planning!$B$6:$AG$105,32,FALSE)*24,"")</f>
        <v/>
      </c>
      <c r="AY63" s="462" t="inlineStr">
        <is>
          <t>afw</t>
        </is>
      </c>
      <c r="AZ63" s="463" t="inlineStr">
        <is>
          <t>Afwezig / ziek</t>
        </is>
      </c>
      <c r="BA63" s="464">
        <f>SUM(AU13:AU63)</f>
        <v/>
      </c>
      <c r="BB63" s="838" t="n"/>
      <c r="BC63" s="31">
        <f>IF(Planning!B56="","",Planning!B56)</f>
        <v/>
      </c>
      <c r="BD63" s="105" t="n"/>
      <c r="BE63" s="885">
        <f>Planning!E56</f>
        <v/>
      </c>
      <c r="BF63" s="885">
        <f>Planning!F56</f>
        <v/>
      </c>
      <c r="BG63" s="886" t="n"/>
      <c r="BH63" s="105" t="n"/>
      <c r="BI63" s="885">
        <f>Planning!I56</f>
        <v/>
      </c>
      <c r="BJ63" s="885">
        <f>Planning!J56</f>
        <v/>
      </c>
      <c r="BK63" s="886" t="n"/>
      <c r="BL63" s="105" t="n"/>
      <c r="BM63" s="885">
        <f>Planning!M56</f>
        <v/>
      </c>
      <c r="BN63" s="885">
        <f>Planning!N56</f>
        <v/>
      </c>
      <c r="BO63" s="886" t="n"/>
      <c r="BP63" s="105" t="n"/>
      <c r="BQ63" s="885">
        <f>Planning!Q56</f>
        <v/>
      </c>
      <c r="BR63" s="885">
        <f>Planning!R56</f>
        <v/>
      </c>
      <c r="BS63" s="886" t="n"/>
      <c r="BT63" s="105" t="n"/>
      <c r="BU63" s="885">
        <f>Planning!U56</f>
        <v/>
      </c>
      <c r="BV63" s="885">
        <f>Planning!V56</f>
        <v/>
      </c>
      <c r="BW63" s="886" t="n"/>
      <c r="BX63" s="105" t="n"/>
      <c r="BY63" s="885">
        <f>Planning!Y56</f>
        <v/>
      </c>
      <c r="BZ63" s="885">
        <f>Planning!Z56</f>
        <v/>
      </c>
      <c r="CA63" s="886" t="n"/>
      <c r="CB63" s="105" t="n"/>
      <c r="CC63" s="885">
        <f>Planning!AC56</f>
        <v/>
      </c>
      <c r="CD63" s="885">
        <f>Planning!AD56</f>
        <v/>
      </c>
      <c r="CE63" s="886" t="n"/>
      <c r="CF63" s="105" t="n"/>
      <c r="CG63" s="887">
        <f>Planning!AG56</f>
        <v/>
      </c>
      <c r="CH63" s="105" t="n"/>
      <c r="CI63" s="252">
        <f>IF(BC63="","",Planning!AI56)</f>
        <v/>
      </c>
      <c r="CJ63" s="252">
        <f>IF(BC63="","",Planning!AJ56)</f>
        <v/>
      </c>
      <c r="CK63" s="252">
        <f>IF(BC63="","",Planning!AK56)</f>
        <v/>
      </c>
      <c r="CL63" s="252">
        <f>IF(BC63="","",Planning!AH56)</f>
        <v/>
      </c>
      <c r="CM63" s="21" t="n"/>
    </row>
    <row r="64" ht="13.5" customHeight="1">
      <c r="A64" s="401" t="n"/>
      <c r="B64" s="108" t="n"/>
      <c r="C64" s="109" t="n"/>
      <c r="D64" s="109" t="n"/>
      <c r="E64" s="109" t="n"/>
      <c r="F64" s="109" t="n"/>
      <c r="G64" s="109" t="n"/>
      <c r="H64" s="260" t="n"/>
      <c r="I64" s="260" t="n"/>
      <c r="J64" s="261" t="n"/>
      <c r="K64" s="261" t="n"/>
      <c r="L64" s="261" t="n"/>
      <c r="M64" s="261" t="n"/>
      <c r="N64" s="261" t="n"/>
      <c r="O64" s="261" t="n"/>
      <c r="P64" s="261" t="n"/>
      <c r="Q64" s="261" t="n"/>
      <c r="R64" s="261" t="n"/>
      <c r="S64" s="261" t="n"/>
      <c r="T64" s="261" t="n"/>
      <c r="U64" s="262" t="n"/>
      <c r="V64" s="261" t="n"/>
      <c r="W64" s="261" t="n"/>
      <c r="X64" s="261" t="n"/>
      <c r="Y64" s="261" t="n"/>
      <c r="Z64" s="261" t="n"/>
      <c r="AA64" s="261" t="n"/>
      <c r="AB64" s="261" t="n"/>
      <c r="AC64" s="261" t="n"/>
      <c r="AD64" s="261" t="n"/>
      <c r="AE64" s="261" t="n"/>
      <c r="AF64" s="261" t="n"/>
      <c r="AG64" s="261" t="n"/>
      <c r="AH64" s="262" t="n"/>
      <c r="AI64" s="262" t="n"/>
      <c r="AJ64" s="262" t="n"/>
      <c r="AK64" s="262" t="n"/>
      <c r="AL64" s="47" t="n"/>
      <c r="AM64" s="47" t="n"/>
      <c r="AN64" s="47" t="n"/>
      <c r="AO64" s="47" t="n"/>
      <c r="AP64" s="47" t="n"/>
      <c r="AQ64" s="47" t="n"/>
      <c r="AR64" s="47" t="n"/>
      <c r="AS64" s="47" t="n"/>
      <c r="AT64" s="47" t="n"/>
      <c r="AU64" s="47" t="n"/>
      <c r="AV64" s="117" t="n"/>
      <c r="AW64" s="35" t="n"/>
      <c r="AX64" s="35" t="n"/>
      <c r="AY64" s="831" t="n"/>
      <c r="AZ64" s="50" t="n"/>
      <c r="BC64" s="31">
        <f>IF(Planning!B57="","",Planning!B57)</f>
        <v/>
      </c>
      <c r="BD64" s="105" t="n"/>
      <c r="BE64" s="885">
        <f>Planning!E57</f>
        <v/>
      </c>
      <c r="BF64" s="885">
        <f>Planning!F57</f>
        <v/>
      </c>
      <c r="BG64" s="886" t="n"/>
      <c r="BH64" s="105" t="n"/>
      <c r="BI64" s="885">
        <f>Planning!I57</f>
        <v/>
      </c>
      <c r="BJ64" s="885">
        <f>Planning!J57</f>
        <v/>
      </c>
      <c r="BK64" s="886" t="n"/>
      <c r="BL64" s="105" t="n"/>
      <c r="BM64" s="885">
        <f>Planning!M57</f>
        <v/>
      </c>
      <c r="BN64" s="885">
        <f>Planning!N57</f>
        <v/>
      </c>
      <c r="BO64" s="886" t="n"/>
      <c r="BP64" s="105" t="n"/>
      <c r="BQ64" s="885">
        <f>Planning!Q57</f>
        <v/>
      </c>
      <c r="BR64" s="885">
        <f>Planning!R57</f>
        <v/>
      </c>
      <c r="BS64" s="886" t="n"/>
      <c r="BT64" s="105" t="n"/>
      <c r="BU64" s="885">
        <f>Planning!U57</f>
        <v/>
      </c>
      <c r="BV64" s="885">
        <f>Planning!V57</f>
        <v/>
      </c>
      <c r="BW64" s="886" t="n"/>
      <c r="BX64" s="105" t="n"/>
      <c r="BY64" s="885">
        <f>Planning!Y57</f>
        <v/>
      </c>
      <c r="BZ64" s="885">
        <f>Planning!Z57</f>
        <v/>
      </c>
      <c r="CA64" s="886" t="n"/>
      <c r="CB64" s="105" t="n"/>
      <c r="CC64" s="885">
        <f>Planning!AC57</f>
        <v/>
      </c>
      <c r="CD64" s="885">
        <f>Planning!AD57</f>
        <v/>
      </c>
      <c r="CE64" s="886" t="n"/>
      <c r="CF64" s="105" t="n"/>
      <c r="CG64" s="887">
        <f>Planning!AG57</f>
        <v/>
      </c>
      <c r="CH64" s="105" t="n"/>
      <c r="CI64" s="252">
        <f>IF(BC64="","",Planning!AI57)</f>
        <v/>
      </c>
      <c r="CJ64" s="252">
        <f>IF(BC64="","",Planning!AJ57)</f>
        <v/>
      </c>
      <c r="CK64" s="252">
        <f>IF(BC64="","",Planning!AK57)</f>
        <v/>
      </c>
      <c r="CL64" s="252">
        <f>IF(BC64="","",Planning!AH57)</f>
        <v/>
      </c>
      <c r="CM64" s="21" t="n"/>
    </row>
    <row r="65" ht="13.5" customHeight="1">
      <c r="A65" s="162" t="n"/>
      <c r="B65" s="896" t="inlineStr">
        <is>
          <t>Spoorboekje</t>
        </is>
      </c>
      <c r="C65" s="897" t="n"/>
      <c r="D65" s="862" t="n"/>
      <c r="E65" s="109" t="n"/>
      <c r="F65" s="109" t="n"/>
      <c r="G65" s="109" t="n"/>
      <c r="H65" s="898" t="inlineStr">
        <is>
          <t>Legenda</t>
        </is>
      </c>
      <c r="I65" s="897" t="n"/>
      <c r="J65" s="897" t="n"/>
      <c r="K65" s="897" t="n"/>
      <c r="L65" s="897" t="n"/>
      <c r="M65" s="897" t="n"/>
      <c r="N65" s="897" t="n"/>
      <c r="O65" s="897" t="n"/>
      <c r="P65" s="897" t="n"/>
      <c r="Q65" s="897" t="n"/>
      <c r="R65" s="897" t="n"/>
      <c r="S65" s="897" t="n"/>
      <c r="T65" s="897" t="n"/>
      <c r="U65" s="897" t="n"/>
      <c r="V65" s="897" t="n"/>
      <c r="W65" s="897" t="n"/>
      <c r="X65" s="897" t="n"/>
      <c r="Y65" s="897" t="n"/>
      <c r="Z65" s="897" t="n"/>
      <c r="AA65" s="897" t="n"/>
      <c r="AB65" s="897" t="n"/>
      <c r="AC65" s="897" t="n"/>
      <c r="AD65" s="897" t="n"/>
      <c r="AE65" s="897" t="n"/>
      <c r="AF65" s="897" t="n"/>
      <c r="AG65" s="897" t="n"/>
      <c r="AH65" s="897" t="n"/>
      <c r="AI65" s="897" t="n"/>
      <c r="AJ65" s="897" t="n"/>
      <c r="AK65" s="862" t="n"/>
      <c r="AL65" s="47" t="n"/>
      <c r="AM65" s="47" t="n"/>
      <c r="AN65" s="47" t="n"/>
      <c r="AO65" s="47" t="n"/>
      <c r="AP65" s="47" t="n"/>
      <c r="AQ65" s="501" t="n"/>
      <c r="AR65" s="501" t="n"/>
      <c r="AS65" s="501" t="n"/>
      <c r="AT65" s="501" t="n"/>
      <c r="AU65" s="501" t="n"/>
      <c r="AV65" s="507">
        <f>SUM(AV13:AV63)-BA63</f>
        <v/>
      </c>
      <c r="AW65" s="508" t="n"/>
      <c r="AX65" s="509" t="n"/>
      <c r="AY65" s="508" t="n"/>
      <c r="AZ65" s="510" t="n"/>
      <c r="BA65" s="511">
        <f>AV65-SUM(BA14:BA22,BA24:BA30,BA32:BA34,BA36:BA40,BA42:BA46,BA48:BA60)</f>
        <v/>
      </c>
      <c r="BC65" s="31">
        <f>IF(Planning!B58="","",Planning!B58)</f>
        <v/>
      </c>
      <c r="BD65" s="105" t="n"/>
      <c r="BE65" s="885">
        <f>Planning!E58</f>
        <v/>
      </c>
      <c r="BF65" s="885">
        <f>Planning!F58</f>
        <v/>
      </c>
      <c r="BG65" s="886" t="n"/>
      <c r="BH65" s="105" t="n"/>
      <c r="BI65" s="885">
        <f>Planning!I58</f>
        <v/>
      </c>
      <c r="BJ65" s="885">
        <f>Planning!J58</f>
        <v/>
      </c>
      <c r="BK65" s="886" t="n"/>
      <c r="BL65" s="105" t="n"/>
      <c r="BM65" s="885">
        <f>Planning!M58</f>
        <v/>
      </c>
      <c r="BN65" s="885">
        <f>Planning!N58</f>
        <v/>
      </c>
      <c r="BO65" s="886" t="n"/>
      <c r="BP65" s="105" t="n"/>
      <c r="BQ65" s="885">
        <f>Planning!Q58</f>
        <v/>
      </c>
      <c r="BR65" s="885">
        <f>Planning!R58</f>
        <v/>
      </c>
      <c r="BS65" s="886" t="n"/>
      <c r="BT65" s="105" t="n"/>
      <c r="BU65" s="885">
        <f>Planning!U58</f>
        <v/>
      </c>
      <c r="BV65" s="885">
        <f>Planning!V58</f>
        <v/>
      </c>
      <c r="BW65" s="886" t="n"/>
      <c r="BX65" s="105" t="n"/>
      <c r="BY65" s="885">
        <f>Planning!Y58</f>
        <v/>
      </c>
      <c r="BZ65" s="885">
        <f>Planning!Z58</f>
        <v/>
      </c>
      <c r="CA65" s="886" t="n"/>
      <c r="CB65" s="105" t="n"/>
      <c r="CC65" s="885">
        <f>Planning!AC58</f>
        <v/>
      </c>
      <c r="CD65" s="885">
        <f>Planning!AD58</f>
        <v/>
      </c>
      <c r="CE65" s="886" t="n"/>
      <c r="CF65" s="105" t="n"/>
      <c r="CG65" s="887">
        <f>Planning!AG58</f>
        <v/>
      </c>
      <c r="CH65" s="105" t="n"/>
      <c r="CI65" s="252">
        <f>IF(BC65="","",Planning!AI58)</f>
        <v/>
      </c>
      <c r="CJ65" s="252">
        <f>IF(BC65="","",Planning!AJ58)</f>
        <v/>
      </c>
      <c r="CK65" s="252">
        <f>IF(BC65="","",Planning!AK58)</f>
        <v/>
      </c>
      <c r="CL65" s="252">
        <f>IF(BC65="","",Planning!AH58)</f>
        <v/>
      </c>
      <c r="CM65" s="21" t="n"/>
    </row>
    <row r="66" ht="13.5" customHeight="1">
      <c r="A66" s="162" t="n"/>
      <c r="B66" s="442">
        <f>IFERROR(IF(COUNTIF(Instellingen!$Q$30:$Q$37,"")&gt;7,"",VLOOKUP(SMALL(Instellingen!$Q$30:$Q$37,1),Instellingen!$Q$30:$T$37,4,FALSE)),"")</f>
        <v/>
      </c>
      <c r="C66" s="899">
        <f>IFERROR(IF(B66="","",VLOOKUP(B66,Instellingen!$B$30:$J$37,9,FALSE)),"")</f>
        <v/>
      </c>
      <c r="D66" s="862" t="n"/>
      <c r="E66" s="109" t="n"/>
      <c r="F66" s="109" t="n"/>
      <c r="G66" s="109" t="n"/>
      <c r="H66" s="900" t="inlineStr">
        <is>
          <t>Vullen</t>
        </is>
      </c>
      <c r="I66" s="883" t="n"/>
      <c r="J66" s="883" t="n"/>
      <c r="K66" s="883" t="n"/>
      <c r="L66" s="883" t="n"/>
      <c r="M66" s="883" t="n"/>
      <c r="N66" s="883" t="n"/>
      <c r="O66" s="883" t="n"/>
      <c r="P66" s="883" t="n"/>
      <c r="Q66" s="884" t="n"/>
      <c r="R66" s="673" t="inlineStr">
        <is>
          <t>vcr - Risicoartikelen tellen</t>
        </is>
      </c>
      <c r="S66" s="264" t="n"/>
      <c r="T66" s="264" t="n"/>
      <c r="U66" s="264" t="n"/>
      <c r="V66" s="264" t="n"/>
      <c r="W66" s="264" t="n"/>
      <c r="X66" s="264" t="n"/>
      <c r="Y66" s="264" t="n"/>
      <c r="Z66" s="901">
        <f>BA30</f>
        <v/>
      </c>
      <c r="AA66" s="866" t="n"/>
      <c r="AB66" s="900" t="inlineStr">
        <is>
          <t>Overig</t>
        </is>
      </c>
      <c r="AC66" s="883" t="n"/>
      <c r="AD66" s="883" t="n"/>
      <c r="AE66" s="883" t="n"/>
      <c r="AF66" s="883" t="n"/>
      <c r="AG66" s="883" t="n"/>
      <c r="AH66" s="883" t="n"/>
      <c r="AI66" s="883" t="n"/>
      <c r="AJ66" s="883" t="n"/>
      <c r="AK66" s="884" t="n"/>
      <c r="AL66" s="47" t="n"/>
      <c r="AM66" s="47" t="n"/>
      <c r="AN66" s="47" t="n"/>
      <c r="AO66" s="47" t="n"/>
      <c r="AP66" s="47" t="n"/>
      <c r="AQ66" s="501" t="n"/>
      <c r="AR66" s="501" t="n"/>
      <c r="AS66" s="501" t="n"/>
      <c r="AT66" s="501" t="n"/>
      <c r="AU66" s="501" t="n"/>
      <c r="AV66" s="514" t="n"/>
      <c r="AW66" s="508" t="n"/>
      <c r="AX66" s="509" t="n"/>
      <c r="AY66" s="508" t="n"/>
      <c r="AZ66" s="510" t="n"/>
      <c r="BA66" s="299" t="n"/>
      <c r="BC66" s="31">
        <f>IF(Planning!B59="","",Planning!B59)</f>
        <v/>
      </c>
      <c r="BD66" s="105" t="n"/>
      <c r="BE66" s="885">
        <f>Planning!E59</f>
        <v/>
      </c>
      <c r="BF66" s="885">
        <f>Planning!F59</f>
        <v/>
      </c>
      <c r="BG66" s="886" t="n"/>
      <c r="BH66" s="105" t="n"/>
      <c r="BI66" s="885">
        <f>Planning!I59</f>
        <v/>
      </c>
      <c r="BJ66" s="885">
        <f>Planning!J59</f>
        <v/>
      </c>
      <c r="BK66" s="886" t="n"/>
      <c r="BL66" s="105" t="n"/>
      <c r="BM66" s="885">
        <f>Planning!M59</f>
        <v/>
      </c>
      <c r="BN66" s="885">
        <f>Planning!N59</f>
        <v/>
      </c>
      <c r="BO66" s="886" t="n"/>
      <c r="BP66" s="105" t="n"/>
      <c r="BQ66" s="885">
        <f>Planning!Q59</f>
        <v/>
      </c>
      <c r="BR66" s="885">
        <f>Planning!R59</f>
        <v/>
      </c>
      <c r="BS66" s="886" t="n"/>
      <c r="BT66" s="105" t="n"/>
      <c r="BU66" s="885">
        <f>Planning!U59</f>
        <v/>
      </c>
      <c r="BV66" s="885">
        <f>Planning!V59</f>
        <v/>
      </c>
      <c r="BW66" s="886" t="n"/>
      <c r="BX66" s="105" t="n"/>
      <c r="BY66" s="885">
        <f>Planning!Y59</f>
        <v/>
      </c>
      <c r="BZ66" s="885">
        <f>Planning!Z59</f>
        <v/>
      </c>
      <c r="CA66" s="886" t="n"/>
      <c r="CB66" s="105" t="n"/>
      <c r="CC66" s="885">
        <f>Planning!AC59</f>
        <v/>
      </c>
      <c r="CD66" s="885">
        <f>Planning!AD59</f>
        <v/>
      </c>
      <c r="CE66" s="886" t="n"/>
      <c r="CF66" s="105" t="n"/>
      <c r="CG66" s="887">
        <f>Planning!AG59</f>
        <v/>
      </c>
      <c r="CH66" s="105" t="n"/>
      <c r="CI66" s="252">
        <f>IF(BC66="","",Planning!AI59)</f>
        <v/>
      </c>
      <c r="CJ66" s="252">
        <f>IF(BC66="","",Planning!AJ59)</f>
        <v/>
      </c>
      <c r="CK66" s="252">
        <f>IF(BC66="","",Planning!AK59)</f>
        <v/>
      </c>
      <c r="CL66" s="252">
        <f>IF(BC66="","",Planning!AH59)</f>
        <v/>
      </c>
      <c r="CM66" s="21" t="n"/>
    </row>
    <row r="67" ht="13.5" customHeight="1">
      <c r="A67" s="162" t="n"/>
      <c r="B67" s="440">
        <f>IFERROR(IF(COUNTIF(Instellingen!$Q$30:$Q$37,"")&gt;6,"",VLOOKUP(SMALL(Instellingen!$Q$30:$Q$37,2),Instellingen!$Q$30:$T$37,4,FALSE)),"")</f>
        <v/>
      </c>
      <c r="C67" s="902">
        <f>IFERROR(IF(B67="","",VLOOKUP(B67,Instellingen!$B$30:$J$37,9,FALSE)),"")</f>
        <v/>
      </c>
      <c r="D67" s="866" t="n"/>
      <c r="E67" s="109" t="n"/>
      <c r="F67" s="109" t="n"/>
      <c r="G67" s="109" t="n"/>
      <c r="H67" s="673" t="inlineStr">
        <is>
          <t>hv - Houdbaar vullen</t>
        </is>
      </c>
      <c r="I67" s="264" t="n"/>
      <c r="J67" s="264" t="n"/>
      <c r="K67" s="264" t="n"/>
      <c r="L67" s="264" t="n"/>
      <c r="M67" s="264" t="n"/>
      <c r="N67" s="264" t="n"/>
      <c r="O67" s="264" t="n"/>
      <c r="P67" s="901">
        <f>BA14</f>
        <v/>
      </c>
      <c r="Q67" s="866" t="n"/>
      <c r="R67" s="687" t="inlineStr">
        <is>
          <t>Magazijn</t>
        </is>
      </c>
      <c r="S67" s="883" t="n"/>
      <c r="T67" s="883" t="n"/>
      <c r="U67" s="883" t="n"/>
      <c r="V67" s="883" t="n"/>
      <c r="W67" s="883" t="n"/>
      <c r="X67" s="883" t="n"/>
      <c r="Y67" s="883" t="n"/>
      <c r="Z67" s="883" t="n"/>
      <c r="AA67" s="883" t="n"/>
      <c r="AB67" s="924" t="inlineStr">
        <is>
          <t>km - Kwaliteitsmedewerker</t>
        </is>
      </c>
      <c r="AC67" s="897" t="n"/>
      <c r="AD67" s="897" t="n"/>
      <c r="AE67" s="897" t="n"/>
      <c r="AF67" s="897" t="n"/>
      <c r="AG67" s="897" t="n"/>
      <c r="AH67" s="897" t="n"/>
      <c r="AI67" s="862" t="n"/>
      <c r="AJ67" s="904">
        <f>BA48</f>
        <v/>
      </c>
      <c r="AK67" s="866" t="n"/>
      <c r="AL67" s="47" t="n"/>
      <c r="AM67" s="47" t="n"/>
      <c r="AN67" s="47" t="n"/>
      <c r="AO67" s="47" t="n"/>
      <c r="AP67" s="47" t="n"/>
      <c r="AQ67" s="501" t="n"/>
      <c r="AR67" s="501" t="n"/>
      <c r="AS67" s="501" t="n"/>
      <c r="AT67" s="501" t="n"/>
      <c r="AU67" s="501" t="n"/>
      <c r="AV67" s="504" t="n"/>
      <c r="AW67" s="502" t="n"/>
      <c r="AX67" s="503" t="n"/>
      <c r="AY67" s="502" t="n"/>
      <c r="AZ67" s="512" t="n"/>
      <c r="BA67" s="263" t="n"/>
      <c r="BC67" s="31">
        <f>IF(Planning!B60="","",Planning!B60)</f>
        <v/>
      </c>
      <c r="BD67" s="105" t="n"/>
      <c r="BE67" s="885">
        <f>Planning!E60</f>
        <v/>
      </c>
      <c r="BF67" s="885">
        <f>Planning!F60</f>
        <v/>
      </c>
      <c r="BG67" s="886" t="n"/>
      <c r="BH67" s="105" t="n"/>
      <c r="BI67" s="885">
        <f>Planning!I60</f>
        <v/>
      </c>
      <c r="BJ67" s="885">
        <f>Planning!J60</f>
        <v/>
      </c>
      <c r="BK67" s="886" t="n"/>
      <c r="BL67" s="105" t="n"/>
      <c r="BM67" s="885">
        <f>Planning!M60</f>
        <v/>
      </c>
      <c r="BN67" s="885">
        <f>Planning!N60</f>
        <v/>
      </c>
      <c r="BO67" s="886" t="n"/>
      <c r="BP67" s="105" t="n"/>
      <c r="BQ67" s="885">
        <f>Planning!Q60</f>
        <v/>
      </c>
      <c r="BR67" s="885">
        <f>Planning!R60</f>
        <v/>
      </c>
      <c r="BS67" s="886" t="n"/>
      <c r="BT67" s="105" t="n"/>
      <c r="BU67" s="885">
        <f>Planning!U60</f>
        <v/>
      </c>
      <c r="BV67" s="885">
        <f>Planning!V60</f>
        <v/>
      </c>
      <c r="BW67" s="886" t="n"/>
      <c r="BX67" s="105" t="n"/>
      <c r="BY67" s="885">
        <f>Planning!Y60</f>
        <v/>
      </c>
      <c r="BZ67" s="885">
        <f>Planning!Z60</f>
        <v/>
      </c>
      <c r="CA67" s="886" t="n"/>
      <c r="CB67" s="105" t="n"/>
      <c r="CC67" s="885">
        <f>Planning!AC60</f>
        <v/>
      </c>
      <c r="CD67" s="885">
        <f>Planning!AD60</f>
        <v/>
      </c>
      <c r="CE67" s="886" t="n"/>
      <c r="CF67" s="105" t="n"/>
      <c r="CG67" s="887">
        <f>Planning!AG60</f>
        <v/>
      </c>
      <c r="CH67" s="105" t="n"/>
      <c r="CI67" s="252">
        <f>IF(BC67="","",Planning!AI60)</f>
        <v/>
      </c>
      <c r="CJ67" s="252">
        <f>IF(BC67="","",Planning!AJ60)</f>
        <v/>
      </c>
      <c r="CK67" s="252">
        <f>IF(BC67="","",Planning!AK60)</f>
        <v/>
      </c>
      <c r="CL67" s="252">
        <f>IF(BC67="","",Planning!AH60)</f>
        <v/>
      </c>
      <c r="CM67" s="21" t="n"/>
    </row>
    <row r="68" ht="13.5" customHeight="1">
      <c r="A68" s="159" t="n"/>
      <c r="B68" s="440">
        <f>IFERROR(IF(COUNTIF(Instellingen!$Q$30:$Q$37,"")&gt;5,"",VLOOKUP(SMALL(Instellingen!$Q$30:$Q$37,3),Instellingen!$Q$30:$T$37,4,FALSE)),"")</f>
        <v/>
      </c>
      <c r="C68" s="902">
        <f>IFERROR(IF(B68="","",VLOOKUP(B68,Instellingen!$B$30:$J$37,9,FALSE)),"")</f>
        <v/>
      </c>
      <c r="D68" s="866" t="n"/>
      <c r="E68" s="109" t="n"/>
      <c r="F68" s="109" t="n"/>
      <c r="G68" s="109" t="n"/>
      <c r="H68" s="673" t="inlineStr">
        <is>
          <t>dv - Diepvries vullen</t>
        </is>
      </c>
      <c r="I68" s="264" t="n"/>
      <c r="J68" s="264" t="n"/>
      <c r="K68" s="264" t="n"/>
      <c r="L68" s="264" t="n"/>
      <c r="M68" s="264" t="n"/>
      <c r="N68" s="264" t="n"/>
      <c r="O68" s="264" t="n"/>
      <c r="P68" s="901">
        <f>BA15</f>
        <v/>
      </c>
      <c r="Q68" s="866" t="n"/>
      <c r="R68" s="673" t="inlineStr">
        <is>
          <t>l - Lossen/Retouren</t>
        </is>
      </c>
      <c r="S68" s="264" t="n"/>
      <c r="T68" s="264" t="n"/>
      <c r="U68" s="264" t="n"/>
      <c r="V68" s="264" t="n"/>
      <c r="W68" s="264" t="n"/>
      <c r="X68" s="264" t="n"/>
      <c r="Y68" s="264" t="n"/>
      <c r="Z68" s="675">
        <f>BA32</f>
        <v/>
      </c>
      <c r="AA68" s="264" t="n"/>
      <c r="AB68" s="907" t="inlineStr">
        <is>
          <t>mt - MT of CKW-overleg</t>
        </is>
      </c>
      <c r="AC68" s="264" t="n"/>
      <c r="AD68" s="264" t="n"/>
      <c r="AE68" s="264" t="n"/>
      <c r="AF68" s="264" t="n"/>
      <c r="AG68" s="264" t="n"/>
      <c r="AH68" s="264" t="n"/>
      <c r="AI68" s="866" t="n"/>
      <c r="AJ68" s="904">
        <f>BA49</f>
        <v/>
      </c>
      <c r="AK68" s="866" t="n"/>
      <c r="AL68" s="47" t="n"/>
      <c r="AM68" s="47" t="n"/>
      <c r="AN68" s="47" t="n"/>
      <c r="AO68" s="47" t="n"/>
      <c r="AP68" s="47" t="n"/>
      <c r="AQ68" s="501" t="n"/>
      <c r="AR68" s="501" t="n"/>
      <c r="AS68" s="501" t="n"/>
      <c r="AT68" s="501" t="n"/>
      <c r="AU68" s="501" t="n"/>
      <c r="AV68" s="504" t="n"/>
      <c r="AW68" s="502" t="n"/>
      <c r="AX68" s="503" t="n"/>
      <c r="AY68" s="502" t="n"/>
      <c r="AZ68" s="512" t="n"/>
      <c r="BA68" s="263" t="n"/>
      <c r="BC68" s="31">
        <f>IF(Planning!B61="","",Planning!B61)</f>
        <v/>
      </c>
      <c r="BD68" s="105" t="n"/>
      <c r="BE68" s="885">
        <f>Planning!E61</f>
        <v/>
      </c>
      <c r="BF68" s="885">
        <f>Planning!F61</f>
        <v/>
      </c>
      <c r="BG68" s="886" t="n"/>
      <c r="BH68" s="105" t="n"/>
      <c r="BI68" s="885">
        <f>Planning!I61</f>
        <v/>
      </c>
      <c r="BJ68" s="885">
        <f>Planning!J61</f>
        <v/>
      </c>
      <c r="BK68" s="886" t="n"/>
      <c r="BL68" s="105" t="n"/>
      <c r="BM68" s="885">
        <f>Planning!M61</f>
        <v/>
      </c>
      <c r="BN68" s="885">
        <f>Planning!N61</f>
        <v/>
      </c>
      <c r="BO68" s="886" t="n"/>
      <c r="BP68" s="105" t="n"/>
      <c r="BQ68" s="885">
        <f>Planning!Q61</f>
        <v/>
      </c>
      <c r="BR68" s="885">
        <f>Planning!R61</f>
        <v/>
      </c>
      <c r="BS68" s="886" t="n"/>
      <c r="BT68" s="105" t="n"/>
      <c r="BU68" s="885">
        <f>Planning!U61</f>
        <v/>
      </c>
      <c r="BV68" s="885">
        <f>Planning!V61</f>
        <v/>
      </c>
      <c r="BW68" s="886" t="n"/>
      <c r="BX68" s="105" t="n"/>
      <c r="BY68" s="885">
        <f>Planning!Y61</f>
        <v/>
      </c>
      <c r="BZ68" s="885">
        <f>Planning!Z61</f>
        <v/>
      </c>
      <c r="CA68" s="886" t="n"/>
      <c r="CB68" s="105" t="n"/>
      <c r="CC68" s="885">
        <f>Planning!AC61</f>
        <v/>
      </c>
      <c r="CD68" s="885">
        <f>Planning!AD61</f>
        <v/>
      </c>
      <c r="CE68" s="886" t="n"/>
      <c r="CF68" s="105" t="n"/>
      <c r="CG68" s="887">
        <f>Planning!AG61</f>
        <v/>
      </c>
      <c r="CH68" s="105" t="n"/>
      <c r="CI68" s="252">
        <f>IF(BC68="","",Planning!AI61)</f>
        <v/>
      </c>
      <c r="CJ68" s="252">
        <f>IF(BC68="","",Planning!AJ61)</f>
        <v/>
      </c>
      <c r="CK68" s="252">
        <f>IF(BC68="","",Planning!AK61)</f>
        <v/>
      </c>
      <c r="CL68" s="252">
        <f>IF(BC68="","",Planning!AH61)</f>
        <v/>
      </c>
      <c r="CM68" s="21" t="n"/>
    </row>
    <row r="69" ht="13.5" customHeight="1">
      <c r="A69" s="159" t="n"/>
      <c r="B69" s="440">
        <f>IFERROR(IF(COUNTIF(Instellingen!$Q$30:$Q$37,"")&gt;4,"",VLOOKUP(SMALL(Instellingen!$Q$30:$Q$37,4),Instellingen!$Q$30:$T$37,4,FALSE)),"")</f>
        <v/>
      </c>
      <c r="C69" s="902">
        <f>IFERROR(IF(B69="","",VLOOKUP(B69,Instellingen!$B$30:$J$37,9,FALSE)),"")</f>
        <v/>
      </c>
      <c r="D69" s="866" t="n"/>
      <c r="E69" s="109" t="n"/>
      <c r="F69" s="109" t="n"/>
      <c r="G69" s="109" t="n"/>
      <c r="H69" s="673" t="inlineStr">
        <is>
          <t>vv - Vers vullen</t>
        </is>
      </c>
      <c r="I69" s="264" t="n"/>
      <c r="J69" s="264" t="n"/>
      <c r="K69" s="264" t="n"/>
      <c r="L69" s="264" t="n"/>
      <c r="M69" s="264" t="n"/>
      <c r="N69" s="264" t="n"/>
      <c r="O69" s="264" t="n"/>
      <c r="P69" s="901">
        <f>BA16</f>
        <v/>
      </c>
      <c r="Q69" s="866" t="n"/>
      <c r="R69" s="673" t="inlineStr">
        <is>
          <t>ma - Magazijn</t>
        </is>
      </c>
      <c r="S69" s="264" t="n"/>
      <c r="T69" s="264" t="n"/>
      <c r="U69" s="264" t="n"/>
      <c r="V69" s="264" t="n"/>
      <c r="W69" s="264" t="n"/>
      <c r="X69" s="264" t="n"/>
      <c r="Y69" s="264" t="n"/>
      <c r="Z69" s="675">
        <f>BA33</f>
        <v/>
      </c>
      <c r="AA69" s="264" t="n"/>
      <c r="AB69" s="907" t="inlineStr">
        <is>
          <t>ov - Overig</t>
        </is>
      </c>
      <c r="AC69" s="264" t="n"/>
      <c r="AD69" s="264" t="n"/>
      <c r="AE69" s="264" t="n"/>
      <c r="AF69" s="264" t="n"/>
      <c r="AG69" s="264" t="n"/>
      <c r="AH69" s="264" t="n"/>
      <c r="AI69" s="866" t="n"/>
      <c r="AJ69" s="904">
        <f>BA50</f>
        <v/>
      </c>
      <c r="AK69" s="866" t="n"/>
      <c r="AL69" s="47" t="n"/>
      <c r="AM69" s="47" t="n"/>
      <c r="AN69" s="47" t="n"/>
      <c r="AO69" s="47" t="n"/>
      <c r="AP69" s="47" t="n"/>
      <c r="AQ69" s="501" t="n"/>
      <c r="AR69" s="501" t="n"/>
      <c r="AS69" s="501" t="n"/>
      <c r="AT69" s="501" t="n"/>
      <c r="AU69" s="501" t="n"/>
      <c r="AV69" s="504" t="n"/>
      <c r="AW69" s="502" t="n"/>
      <c r="AX69" s="505" t="n"/>
      <c r="AY69" s="263" t="n"/>
      <c r="AZ69" s="513" t="n"/>
      <c r="BA69" s="263" t="n"/>
      <c r="BC69" s="31">
        <f>IF(Planning!B62="","",Planning!B62)</f>
        <v/>
      </c>
      <c r="BD69" s="105" t="n"/>
      <c r="BE69" s="885">
        <f>Planning!E62</f>
        <v/>
      </c>
      <c r="BF69" s="885">
        <f>Planning!F62</f>
        <v/>
      </c>
      <c r="BG69" s="886" t="n"/>
      <c r="BH69" s="105" t="n"/>
      <c r="BI69" s="885">
        <f>Planning!I62</f>
        <v/>
      </c>
      <c r="BJ69" s="885">
        <f>Planning!J62</f>
        <v/>
      </c>
      <c r="BK69" s="886" t="n"/>
      <c r="BL69" s="105" t="n"/>
      <c r="BM69" s="885">
        <f>Planning!M62</f>
        <v/>
      </c>
      <c r="BN69" s="885">
        <f>Planning!N62</f>
        <v/>
      </c>
      <c r="BO69" s="886" t="n"/>
      <c r="BP69" s="105" t="n"/>
      <c r="BQ69" s="885">
        <f>Planning!Q62</f>
        <v/>
      </c>
      <c r="BR69" s="885">
        <f>Planning!R62</f>
        <v/>
      </c>
      <c r="BS69" s="886" t="n"/>
      <c r="BT69" s="105" t="n"/>
      <c r="BU69" s="885">
        <f>Planning!U62</f>
        <v/>
      </c>
      <c r="BV69" s="885">
        <f>Planning!V62</f>
        <v/>
      </c>
      <c r="BW69" s="886" t="n"/>
      <c r="BX69" s="105" t="n"/>
      <c r="BY69" s="885">
        <f>Planning!Y62</f>
        <v/>
      </c>
      <c r="BZ69" s="885">
        <f>Planning!Z62</f>
        <v/>
      </c>
      <c r="CA69" s="886" t="n"/>
      <c r="CB69" s="105" t="n"/>
      <c r="CC69" s="885">
        <f>Planning!AC62</f>
        <v/>
      </c>
      <c r="CD69" s="885">
        <f>Planning!AD62</f>
        <v/>
      </c>
      <c r="CE69" s="886" t="n"/>
      <c r="CF69" s="105" t="n"/>
      <c r="CG69" s="887">
        <f>Planning!AG62</f>
        <v/>
      </c>
      <c r="CH69" s="105" t="n"/>
      <c r="CI69" s="252">
        <f>IF(BC69="","",Planning!AI62)</f>
        <v/>
      </c>
      <c r="CJ69" s="252">
        <f>IF(BC69="","",Planning!AJ62)</f>
        <v/>
      </c>
      <c r="CK69" s="252">
        <f>IF(BC69="","",Planning!AK62)</f>
        <v/>
      </c>
      <c r="CL69" s="252">
        <f>IF(BC69="","",Planning!AH62)</f>
        <v/>
      </c>
      <c r="CM69" s="21" t="n"/>
    </row>
    <row r="70" ht="13.5" customHeight="1">
      <c r="A70" s="159" t="n"/>
      <c r="B70" s="440">
        <f>IFERROR(IF(COUNTIF(Instellingen!$Q$30:$Q$37,"")&gt;3,"",VLOOKUP(SMALL(Instellingen!$Q$30:$Q$37,5),Instellingen!$Q$30:$T$37,4,FALSE)),"")</f>
        <v/>
      </c>
      <c r="C70" s="902">
        <f>IFERROR(IF(B70="","",VLOOKUP(B70,Instellingen!$B$30:$J$37,9,FALSE)),"")</f>
        <v/>
      </c>
      <c r="D70" s="866" t="n"/>
      <c r="E70" s="109" t="n"/>
      <c r="F70" s="109" t="n"/>
      <c r="G70" s="109" t="n"/>
      <c r="H70" s="673" t="inlineStr">
        <is>
          <t>nh - Navulling HB</t>
        </is>
      </c>
      <c r="I70" s="264" t="n"/>
      <c r="J70" s="264" t="n"/>
      <c r="K70" s="264" t="n"/>
      <c r="L70" s="264" t="n"/>
      <c r="M70" s="264" t="n"/>
      <c r="N70" s="264" t="n"/>
      <c r="O70" s="264" t="n"/>
      <c r="P70" s="901">
        <f>BA17</f>
        <v/>
      </c>
      <c r="Q70" s="866" t="n"/>
      <c r="R70" s="661" t="inlineStr">
        <is>
          <t>sp - Splitsen</t>
        </is>
      </c>
      <c r="S70" s="906" t="n"/>
      <c r="T70" s="906" t="n"/>
      <c r="U70" s="906" t="n"/>
      <c r="V70" s="906" t="n"/>
      <c r="W70" s="906" t="n"/>
      <c r="X70" s="906" t="n"/>
      <c r="Y70" s="906" t="n"/>
      <c r="Z70" s="675">
        <f>BA34</f>
        <v/>
      </c>
      <c r="AA70" s="264" t="n"/>
      <c r="AB70" s="907" t="inlineStr">
        <is>
          <t>prt - Protime</t>
        </is>
      </c>
      <c r="AC70" s="264" t="n"/>
      <c r="AD70" s="264" t="n"/>
      <c r="AE70" s="264" t="n"/>
      <c r="AF70" s="264" t="n"/>
      <c r="AG70" s="264" t="n"/>
      <c r="AH70" s="264" t="n"/>
      <c r="AI70" s="866" t="n"/>
      <c r="AJ70" s="904">
        <f>BA51</f>
        <v/>
      </c>
      <c r="AK70" s="866" t="n"/>
      <c r="AL70" s="47" t="n"/>
      <c r="AM70" s="47" t="n"/>
      <c r="AN70" s="47" t="n"/>
      <c r="AO70" s="47" t="n"/>
      <c r="AP70" s="47" t="n"/>
      <c r="AQ70" s="501" t="n"/>
      <c r="AR70" s="501" t="n"/>
      <c r="AS70" s="501" t="n"/>
      <c r="AT70" s="501" t="n"/>
      <c r="AU70" s="501" t="n"/>
      <c r="AV70" s="504" t="n"/>
      <c r="AW70" s="502" t="n"/>
      <c r="AX70" s="505" t="n"/>
      <c r="AY70" s="263" t="n"/>
      <c r="AZ70" s="513" t="n"/>
      <c r="BA70" s="263" t="n"/>
      <c r="BC70" s="31">
        <f>IF(Planning!B63="","",Planning!B63)</f>
        <v/>
      </c>
      <c r="BD70" s="105" t="n"/>
      <c r="BE70" s="885">
        <f>Planning!E63</f>
        <v/>
      </c>
      <c r="BF70" s="885">
        <f>Planning!F63</f>
        <v/>
      </c>
      <c r="BG70" s="886" t="n"/>
      <c r="BH70" s="105" t="n"/>
      <c r="BI70" s="885">
        <f>Planning!I63</f>
        <v/>
      </c>
      <c r="BJ70" s="885">
        <f>Planning!J63</f>
        <v/>
      </c>
      <c r="BK70" s="886" t="n"/>
      <c r="BL70" s="105" t="n"/>
      <c r="BM70" s="885">
        <f>Planning!M63</f>
        <v/>
      </c>
      <c r="BN70" s="885">
        <f>Planning!N63</f>
        <v/>
      </c>
      <c r="BO70" s="886" t="n"/>
      <c r="BP70" s="105" t="n"/>
      <c r="BQ70" s="885">
        <f>Planning!Q63</f>
        <v/>
      </c>
      <c r="BR70" s="885">
        <f>Planning!R63</f>
        <v/>
      </c>
      <c r="BS70" s="886" t="n"/>
      <c r="BT70" s="105" t="n"/>
      <c r="BU70" s="885">
        <f>Planning!U63</f>
        <v/>
      </c>
      <c r="BV70" s="885">
        <f>Planning!V63</f>
        <v/>
      </c>
      <c r="BW70" s="886" t="n"/>
      <c r="BX70" s="105" t="n"/>
      <c r="BY70" s="885">
        <f>Planning!Y63</f>
        <v/>
      </c>
      <c r="BZ70" s="885">
        <f>Planning!Z63</f>
        <v/>
      </c>
      <c r="CA70" s="886" t="n"/>
      <c r="CB70" s="105" t="n"/>
      <c r="CC70" s="885">
        <f>Planning!AC63</f>
        <v/>
      </c>
      <c r="CD70" s="885">
        <f>Planning!AD63</f>
        <v/>
      </c>
      <c r="CE70" s="886" t="n"/>
      <c r="CF70" s="105" t="n"/>
      <c r="CG70" s="887">
        <f>Planning!AG63</f>
        <v/>
      </c>
      <c r="CH70" s="105" t="n"/>
      <c r="CI70" s="252">
        <f>IF(BC70="","",Planning!AI63)</f>
        <v/>
      </c>
      <c r="CJ70" s="252">
        <f>IF(BC70="","",Planning!AJ63)</f>
        <v/>
      </c>
      <c r="CK70" s="252">
        <f>IF(BC70="","",Planning!AK63)</f>
        <v/>
      </c>
      <c r="CL70" s="252">
        <f>IF(BC70="","",Planning!AH63)</f>
        <v/>
      </c>
      <c r="CM70" s="21" t="n"/>
    </row>
    <row r="71" ht="13.5" customHeight="1">
      <c r="A71" s="159" t="n"/>
      <c r="B71" s="251">
        <f>IFERROR(IF(COUNTIF(Instellingen!$Q$30:$Q$37,"")&gt;2,"",VLOOKUP(SMALL(Instellingen!$Q$30:$Q$37,6),Instellingen!$Q$30:$T$37,4,FALSE)),"")</f>
        <v/>
      </c>
      <c r="C71" s="902">
        <f>IFERROR(IF(B71="","",VLOOKUP(B71,Instellingen!$B$30:$J$37,9,FALSE)),"")</f>
        <v/>
      </c>
      <c r="D71" s="866" t="n"/>
      <c r="E71" s="109" t="n"/>
      <c r="F71" s="109" t="n"/>
      <c r="G71" s="109" t="n"/>
      <c r="H71" s="673" t="inlineStr">
        <is>
          <t>nd - Navulling DV</t>
        </is>
      </c>
      <c r="I71" s="264" t="n"/>
      <c r="J71" s="264" t="n"/>
      <c r="K71" s="264" t="n"/>
      <c r="L71" s="264" t="n"/>
      <c r="M71" s="264" t="n"/>
      <c r="N71" s="264" t="n"/>
      <c r="O71" s="264" t="n"/>
      <c r="P71" s="901">
        <f>BA18</f>
        <v/>
      </c>
      <c r="Q71" s="866" t="n"/>
      <c r="R71" s="687" t="inlineStr">
        <is>
          <t>Afprijzen</t>
        </is>
      </c>
      <c r="S71" s="883" t="n"/>
      <c r="T71" s="883" t="n"/>
      <c r="U71" s="883" t="n"/>
      <c r="V71" s="883" t="n"/>
      <c r="W71" s="883" t="n"/>
      <c r="X71" s="883" t="n"/>
      <c r="Y71" s="883" t="n"/>
      <c r="Z71" s="883" t="n"/>
      <c r="AA71" s="883" t="n"/>
      <c r="AB71" s="907" t="inlineStr">
        <is>
          <t>sl - Shift leiden</t>
        </is>
      </c>
      <c r="AC71" s="264" t="n"/>
      <c r="AD71" s="264" t="n"/>
      <c r="AE71" s="264" t="n"/>
      <c r="AF71" s="264" t="n"/>
      <c r="AG71" s="264" t="n"/>
      <c r="AH71" s="264" t="n"/>
      <c r="AI71" s="866" t="n"/>
      <c r="AJ71" s="904">
        <f>BA52</f>
        <v/>
      </c>
      <c r="AK71" s="866" t="n"/>
      <c r="AL71" s="47" t="n"/>
      <c r="AM71" s="47" t="n"/>
      <c r="AN71" s="47" t="n"/>
      <c r="AO71" s="47" t="n"/>
      <c r="AP71" s="47" t="n"/>
      <c r="AQ71" s="501" t="n"/>
      <c r="AR71" s="501" t="n"/>
      <c r="AS71" s="501" t="n"/>
      <c r="AT71" s="501" t="n"/>
      <c r="AU71" s="501" t="n"/>
      <c r="AV71" s="504" t="n"/>
      <c r="AW71" s="502" t="n"/>
      <c r="AX71" s="505" t="n"/>
      <c r="AY71" s="263" t="n"/>
      <c r="AZ71" s="513" t="n"/>
      <c r="BA71" s="263" t="n"/>
      <c r="BC71" s="31">
        <f>IF(Planning!B64="","",Planning!B64)</f>
        <v/>
      </c>
      <c r="BD71" s="105" t="n"/>
      <c r="BE71" s="885">
        <f>Planning!E64</f>
        <v/>
      </c>
      <c r="BF71" s="885">
        <f>Planning!F64</f>
        <v/>
      </c>
      <c r="BG71" s="886" t="n"/>
      <c r="BH71" s="105" t="n"/>
      <c r="BI71" s="885">
        <f>Planning!I64</f>
        <v/>
      </c>
      <c r="BJ71" s="885">
        <f>Planning!J64</f>
        <v/>
      </c>
      <c r="BK71" s="886" t="n"/>
      <c r="BL71" s="105" t="n"/>
      <c r="BM71" s="885">
        <f>Planning!M64</f>
        <v/>
      </c>
      <c r="BN71" s="885">
        <f>Planning!N64</f>
        <v/>
      </c>
      <c r="BO71" s="886" t="n"/>
      <c r="BP71" s="105" t="n"/>
      <c r="BQ71" s="885">
        <f>Planning!Q64</f>
        <v/>
      </c>
      <c r="BR71" s="885">
        <f>Planning!R64</f>
        <v/>
      </c>
      <c r="BS71" s="886" t="n"/>
      <c r="BT71" s="105" t="n"/>
      <c r="BU71" s="885">
        <f>Planning!U64</f>
        <v/>
      </c>
      <c r="BV71" s="885">
        <f>Planning!V64</f>
        <v/>
      </c>
      <c r="BW71" s="886" t="n"/>
      <c r="BX71" s="105" t="n"/>
      <c r="BY71" s="885">
        <f>Planning!Y64</f>
        <v/>
      </c>
      <c r="BZ71" s="885">
        <f>Planning!Z64</f>
        <v/>
      </c>
      <c r="CA71" s="886" t="n"/>
      <c r="CB71" s="105" t="n"/>
      <c r="CC71" s="885">
        <f>Planning!AC64</f>
        <v/>
      </c>
      <c r="CD71" s="885">
        <f>Planning!AD64</f>
        <v/>
      </c>
      <c r="CE71" s="886" t="n"/>
      <c r="CF71" s="105" t="n"/>
      <c r="CG71" s="887">
        <f>Planning!AG64</f>
        <v/>
      </c>
      <c r="CH71" s="105" t="n"/>
      <c r="CI71" s="252">
        <f>IF(BC71="","",Planning!AI64)</f>
        <v/>
      </c>
      <c r="CJ71" s="252">
        <f>IF(BC71="","",Planning!AJ64)</f>
        <v/>
      </c>
      <c r="CK71" s="252">
        <f>IF(BC71="","",Planning!AK64)</f>
        <v/>
      </c>
      <c r="CL71" s="252">
        <f>IF(BC71="","",Planning!AH64)</f>
        <v/>
      </c>
      <c r="CM71" s="21" t="n"/>
    </row>
    <row r="72" ht="13.5" customHeight="1">
      <c r="A72" s="159" t="n"/>
      <c r="B72" s="441">
        <f>IFERROR(IF(COUNTIF(Instellingen!$Q$30:$Q$37,"")&gt;1,"",VLOOKUP(SMALL(Instellingen!$Q$30:$Q$37,7),Instellingen!$Q$30:$T$37,4,FALSE)),"")</f>
        <v/>
      </c>
      <c r="C72" s="908">
        <f>IFERROR(IF(B72="","",VLOOKUP(B72,Instellingen!$B$30:$J$37,9,FALSE)),"")</f>
        <v/>
      </c>
      <c r="D72" s="869" t="n"/>
      <c r="E72" s="109" t="n"/>
      <c r="F72" s="109" t="n"/>
      <c r="G72" s="109" t="n"/>
      <c r="H72" s="673" t="inlineStr">
        <is>
          <t>nv - Navulling Vers</t>
        </is>
      </c>
      <c r="I72" s="264" t="n"/>
      <c r="J72" s="264" t="n"/>
      <c r="K72" s="264" t="n"/>
      <c r="L72" s="264" t="n"/>
      <c r="M72" s="264" t="n"/>
      <c r="N72" s="264" t="n"/>
      <c r="O72" s="264" t="n"/>
      <c r="P72" s="901">
        <f>BA19</f>
        <v/>
      </c>
      <c r="Q72" s="866" t="n"/>
      <c r="R72" s="673" t="inlineStr">
        <is>
          <t>afp - Afprijzen</t>
        </is>
      </c>
      <c r="S72" s="264" t="n"/>
      <c r="T72" s="264" t="n"/>
      <c r="U72" s="264" t="n"/>
      <c r="V72" s="264" t="n"/>
      <c r="W72" s="264" t="n"/>
      <c r="X72" s="264" t="n"/>
      <c r="Y72" s="264" t="n"/>
      <c r="Z72" s="675">
        <f>BA36</f>
        <v/>
      </c>
      <c r="AA72" s="264" t="n"/>
      <c r="AB72" s="907" t="inlineStr">
        <is>
          <t>vp - Vulshiftplanning</t>
        </is>
      </c>
      <c r="AC72" s="264" t="n"/>
      <c r="AD72" s="264" t="n"/>
      <c r="AE72" s="264" t="n"/>
      <c r="AF72" s="264" t="n"/>
      <c r="AG72" s="264" t="n"/>
      <c r="AH72" s="264" t="n"/>
      <c r="AI72" s="866" t="n"/>
      <c r="AJ72" s="904">
        <f>BA53</f>
        <v/>
      </c>
      <c r="AK72" s="866" t="n"/>
      <c r="AL72" s="47" t="n"/>
      <c r="AM72" s="47" t="n"/>
      <c r="AN72" s="47" t="n"/>
      <c r="AO72" s="47" t="n"/>
      <c r="AP72" s="47" t="n"/>
      <c r="AQ72" s="501" t="n"/>
      <c r="AR72" s="501" t="n"/>
      <c r="AS72" s="501" t="n"/>
      <c r="AT72" s="501" t="n"/>
      <c r="AU72" s="501" t="n"/>
      <c r="AV72" s="504" t="n"/>
      <c r="AW72" s="502" t="n"/>
      <c r="AX72" s="505" t="n"/>
      <c r="AY72" s="263" t="n"/>
      <c r="AZ72" s="513" t="n"/>
      <c r="BA72" s="263" t="n"/>
      <c r="BC72" s="31">
        <f>IF(Planning!B65="","",Planning!B65)</f>
        <v/>
      </c>
      <c r="BD72" s="105" t="n"/>
      <c r="BE72" s="885">
        <f>Planning!E65</f>
        <v/>
      </c>
      <c r="BF72" s="885">
        <f>Planning!F65</f>
        <v/>
      </c>
      <c r="BG72" s="886" t="n"/>
      <c r="BH72" s="105" t="n"/>
      <c r="BI72" s="885">
        <f>Planning!I65</f>
        <v/>
      </c>
      <c r="BJ72" s="885">
        <f>Planning!J65</f>
        <v/>
      </c>
      <c r="BK72" s="886" t="n"/>
      <c r="BL72" s="105" t="n"/>
      <c r="BM72" s="885">
        <f>Planning!M65</f>
        <v/>
      </c>
      <c r="BN72" s="885">
        <f>Planning!N65</f>
        <v/>
      </c>
      <c r="BO72" s="886" t="n"/>
      <c r="BP72" s="105" t="n"/>
      <c r="BQ72" s="885">
        <f>Planning!Q65</f>
        <v/>
      </c>
      <c r="BR72" s="885">
        <f>Planning!R65</f>
        <v/>
      </c>
      <c r="BS72" s="886" t="n"/>
      <c r="BT72" s="105" t="n"/>
      <c r="BU72" s="885">
        <f>Planning!U65</f>
        <v/>
      </c>
      <c r="BV72" s="885">
        <f>Planning!V65</f>
        <v/>
      </c>
      <c r="BW72" s="886" t="n"/>
      <c r="BX72" s="105" t="n"/>
      <c r="BY72" s="885">
        <f>Planning!Y65</f>
        <v/>
      </c>
      <c r="BZ72" s="885">
        <f>Planning!Z65</f>
        <v/>
      </c>
      <c r="CA72" s="886" t="n"/>
      <c r="CB72" s="105" t="n"/>
      <c r="CC72" s="885">
        <f>Planning!AC65</f>
        <v/>
      </c>
      <c r="CD72" s="885">
        <f>Planning!AD65</f>
        <v/>
      </c>
      <c r="CE72" s="886" t="n"/>
      <c r="CF72" s="105" t="n"/>
      <c r="CG72" s="887">
        <f>Planning!AG65</f>
        <v/>
      </c>
      <c r="CH72" s="105" t="n"/>
      <c r="CI72" s="252">
        <f>IF(BC72="","",Planning!AI65)</f>
        <v/>
      </c>
      <c r="CJ72" s="252">
        <f>IF(BC72="","",Planning!AJ65)</f>
        <v/>
      </c>
      <c r="CK72" s="252">
        <f>IF(BC72="","",Planning!AK65)</f>
        <v/>
      </c>
      <c r="CL72" s="252">
        <f>IF(BC72="","",Planning!AH65)</f>
        <v/>
      </c>
      <c r="CM72" s="21" t="n"/>
    </row>
    <row r="73" ht="13.5" customHeight="1">
      <c r="A73" s="159" t="n"/>
      <c r="B73" s="109" t="n"/>
      <c r="C73" s="109" t="n"/>
      <c r="D73" s="109" t="n"/>
      <c r="E73" s="109" t="n"/>
      <c r="F73" s="109" t="n"/>
      <c r="G73" s="109" t="n"/>
      <c r="H73" s="673" t="inlineStr">
        <is>
          <t>rh - Restant HB</t>
        </is>
      </c>
      <c r="I73" s="264" t="n"/>
      <c r="J73" s="264" t="n"/>
      <c r="K73" s="264" t="n"/>
      <c r="L73" s="264" t="n"/>
      <c r="M73" s="264" t="n"/>
      <c r="N73" s="264" t="n"/>
      <c r="O73" s="264" t="n"/>
      <c r="P73" s="901">
        <f>BA20</f>
        <v/>
      </c>
      <c r="Q73" s="866" t="n"/>
      <c r="R73" s="673" t="inlineStr">
        <is>
          <t>cb - Codeboek</t>
        </is>
      </c>
      <c r="S73" s="264" t="n"/>
      <c r="T73" s="264" t="n"/>
      <c r="U73" s="264" t="n"/>
      <c r="V73" s="264" t="n"/>
      <c r="W73" s="264" t="n"/>
      <c r="X73" s="264" t="n"/>
      <c r="Y73" s="264" t="n"/>
      <c r="Z73" s="675">
        <f>BA37</f>
        <v/>
      </c>
      <c r="AA73" s="264" t="n"/>
      <c r="AB73" s="907" t="inlineStr">
        <is>
          <t>wh - Winkelwagens halen</t>
        </is>
      </c>
      <c r="AC73" s="264" t="n"/>
      <c r="AD73" s="264" t="n"/>
      <c r="AE73" s="264" t="n"/>
      <c r="AF73" s="264" t="n"/>
      <c r="AG73" s="264" t="n"/>
      <c r="AH73" s="264" t="n"/>
      <c r="AI73" s="866" t="n"/>
      <c r="AJ73" s="901">
        <f>BA54</f>
        <v/>
      </c>
      <c r="AK73" s="866" t="n"/>
      <c r="AL73" s="47" t="n"/>
      <c r="AM73" s="47" t="n"/>
      <c r="AN73" s="47" t="n"/>
      <c r="AO73" s="47" t="n"/>
      <c r="AP73" s="47" t="n"/>
      <c r="AQ73" s="501" t="n"/>
      <c r="AR73" s="501" t="n"/>
      <c r="AS73" s="501" t="n"/>
      <c r="AT73" s="501" t="n"/>
      <c r="AU73" s="501" t="n"/>
      <c r="AV73" s="504" t="n"/>
      <c r="AW73" s="502" t="n"/>
      <c r="AX73" s="505" t="n"/>
      <c r="AY73" s="506" t="n"/>
      <c r="AZ73" s="501" t="n"/>
      <c r="BA73" s="263" t="n"/>
      <c r="BC73" s="31">
        <f>IF(Planning!B66="","",Planning!B66)</f>
        <v/>
      </c>
      <c r="BD73" s="105" t="n"/>
      <c r="BE73" s="885">
        <f>Planning!E66</f>
        <v/>
      </c>
      <c r="BF73" s="885">
        <f>Planning!F66</f>
        <v/>
      </c>
      <c r="BG73" s="886" t="n"/>
      <c r="BH73" s="105" t="n"/>
      <c r="BI73" s="885">
        <f>Planning!I66</f>
        <v/>
      </c>
      <c r="BJ73" s="885">
        <f>Planning!J66</f>
        <v/>
      </c>
      <c r="BK73" s="886" t="n"/>
      <c r="BL73" s="105" t="n"/>
      <c r="BM73" s="885">
        <f>Planning!M66</f>
        <v/>
      </c>
      <c r="BN73" s="885">
        <f>Planning!N66</f>
        <v/>
      </c>
      <c r="BO73" s="886" t="n"/>
      <c r="BP73" s="105" t="n"/>
      <c r="BQ73" s="885">
        <f>Planning!Q66</f>
        <v/>
      </c>
      <c r="BR73" s="885">
        <f>Planning!R66</f>
        <v/>
      </c>
      <c r="BS73" s="886" t="n"/>
      <c r="BT73" s="105" t="n"/>
      <c r="BU73" s="885">
        <f>Planning!U66</f>
        <v/>
      </c>
      <c r="BV73" s="885">
        <f>Planning!V66</f>
        <v/>
      </c>
      <c r="BW73" s="886" t="n"/>
      <c r="BX73" s="105" t="n"/>
      <c r="BY73" s="885">
        <f>Planning!Y66</f>
        <v/>
      </c>
      <c r="BZ73" s="885">
        <f>Planning!Z66</f>
        <v/>
      </c>
      <c r="CA73" s="886" t="n"/>
      <c r="CB73" s="105" t="n"/>
      <c r="CC73" s="885">
        <f>Planning!AC66</f>
        <v/>
      </c>
      <c r="CD73" s="885">
        <f>Planning!AD66</f>
        <v/>
      </c>
      <c r="CE73" s="886" t="n"/>
      <c r="CF73" s="105" t="n"/>
      <c r="CG73" s="887">
        <f>Planning!AG66</f>
        <v/>
      </c>
      <c r="CH73" s="105" t="n"/>
      <c r="CI73" s="252">
        <f>IF(BC73="","",Planning!AI66)</f>
        <v/>
      </c>
      <c r="CJ73" s="252">
        <f>IF(BC73="","",Planning!AJ66)</f>
        <v/>
      </c>
      <c r="CK73" s="252">
        <f>IF(BC73="","",Planning!AK66)</f>
        <v/>
      </c>
      <c r="CL73" s="252">
        <f>IF(BC73="","",Planning!AH66)</f>
        <v/>
      </c>
      <c r="CM73" s="21" t="n"/>
    </row>
    <row r="74" ht="13.5" customHeight="1">
      <c r="A74" s="159" t="n"/>
      <c r="B74" s="896" t="inlineStr">
        <is>
          <t>OBM's</t>
        </is>
      </c>
      <c r="C74" s="897" t="n"/>
      <c r="D74" s="862" t="n"/>
      <c r="E74" s="109" t="n"/>
      <c r="F74" s="109" t="n"/>
      <c r="G74" s="109" t="n"/>
      <c r="H74" s="673" t="inlineStr">
        <is>
          <t>rd - Restant DV</t>
        </is>
      </c>
      <c r="I74" s="264" t="n"/>
      <c r="J74" s="264" t="n"/>
      <c r="K74" s="264" t="n"/>
      <c r="L74" s="264" t="n"/>
      <c r="M74" s="264" t="n"/>
      <c r="N74" s="264" t="n"/>
      <c r="O74" s="264" t="n"/>
      <c r="P74" s="901">
        <f>BA21</f>
        <v/>
      </c>
      <c r="Q74" s="866" t="n"/>
      <c r="R74" s="673" t="inlineStr">
        <is>
          <t>nr - Naloopronde</t>
        </is>
      </c>
      <c r="S74" s="264" t="n"/>
      <c r="T74" s="264" t="n"/>
      <c r="U74" s="264" t="n"/>
      <c r="V74" s="264" t="n"/>
      <c r="W74" s="264" t="n"/>
      <c r="X74" s="264" t="n"/>
      <c r="Y74" s="264" t="n"/>
      <c r="Z74" s="675">
        <f>BA38</f>
        <v/>
      </c>
      <c r="AA74" s="264" t="n"/>
      <c r="AB74" s="907" t="inlineStr">
        <is>
          <t>wp - Weekplanning</t>
        </is>
      </c>
      <c r="AC74" s="264" t="n"/>
      <c r="AD74" s="264" t="n"/>
      <c r="AE74" s="264" t="n"/>
      <c r="AF74" s="264" t="n"/>
      <c r="AG74" s="264" t="n"/>
      <c r="AH74" s="264" t="n"/>
      <c r="AI74" s="866" t="n"/>
      <c r="AJ74" s="901">
        <f>BA55</f>
        <v/>
      </c>
      <c r="AK74" s="866" t="n"/>
      <c r="AL74" s="47" t="n"/>
      <c r="AM74" s="47" t="n"/>
      <c r="AN74" s="47" t="n"/>
      <c r="AO74" s="47" t="n"/>
      <c r="AP74" s="47" t="n"/>
      <c r="AQ74" s="501" t="n"/>
      <c r="AR74" s="501" t="n"/>
      <c r="AS74" s="501" t="n"/>
      <c r="AT74" s="501" t="n"/>
      <c r="AU74" s="501" t="n"/>
      <c r="AV74" s="504" t="n"/>
      <c r="AW74" s="502" t="n"/>
      <c r="AX74" s="505" t="n"/>
      <c r="AY74" s="263" t="n"/>
      <c r="AZ74" s="501" t="n"/>
      <c r="BA74" s="263" t="n"/>
      <c r="BC74" s="31">
        <f>IF(Planning!B67="","",Planning!B67)</f>
        <v/>
      </c>
      <c r="BD74" s="105" t="n"/>
      <c r="BE74" s="885">
        <f>Planning!E67</f>
        <v/>
      </c>
      <c r="BF74" s="885">
        <f>Planning!F67</f>
        <v/>
      </c>
      <c r="BG74" s="886" t="n"/>
      <c r="BH74" s="105" t="n"/>
      <c r="BI74" s="885">
        <f>Planning!I67</f>
        <v/>
      </c>
      <c r="BJ74" s="885">
        <f>Planning!J67</f>
        <v/>
      </c>
      <c r="BK74" s="886" t="n"/>
      <c r="BL74" s="105" t="n"/>
      <c r="BM74" s="885">
        <f>Planning!M67</f>
        <v/>
      </c>
      <c r="BN74" s="885">
        <f>Planning!N67</f>
        <v/>
      </c>
      <c r="BO74" s="886" t="n"/>
      <c r="BP74" s="105" t="n"/>
      <c r="BQ74" s="885">
        <f>Planning!Q67</f>
        <v/>
      </c>
      <c r="BR74" s="885">
        <f>Planning!R67</f>
        <v/>
      </c>
      <c r="BS74" s="886" t="n"/>
      <c r="BT74" s="105" t="n"/>
      <c r="BU74" s="885">
        <f>Planning!U67</f>
        <v/>
      </c>
      <c r="BV74" s="885">
        <f>Planning!V67</f>
        <v/>
      </c>
      <c r="BW74" s="886" t="n"/>
      <c r="BX74" s="105" t="n"/>
      <c r="BY74" s="885">
        <f>Planning!Y67</f>
        <v/>
      </c>
      <c r="BZ74" s="885">
        <f>Planning!Z67</f>
        <v/>
      </c>
      <c r="CA74" s="886" t="n"/>
      <c r="CB74" s="105" t="n"/>
      <c r="CC74" s="885">
        <f>Planning!AC67</f>
        <v/>
      </c>
      <c r="CD74" s="885">
        <f>Planning!AD67</f>
        <v/>
      </c>
      <c r="CE74" s="886" t="n"/>
      <c r="CF74" s="105" t="n"/>
      <c r="CG74" s="887">
        <f>Planning!AG67</f>
        <v/>
      </c>
      <c r="CH74" s="105" t="n"/>
      <c r="CI74" s="252">
        <f>IF(BC74="","",Planning!AI67)</f>
        <v/>
      </c>
      <c r="CJ74" s="252">
        <f>IF(BC74="","",Planning!AJ67)</f>
        <v/>
      </c>
      <c r="CK74" s="252">
        <f>IF(BC74="","",Planning!AK67)</f>
        <v/>
      </c>
      <c r="CL74" s="252">
        <f>IF(BC74="","",Planning!AH67)</f>
        <v/>
      </c>
      <c r="CM74" s="21" t="n"/>
    </row>
    <row r="75" ht="13.5" customHeight="1">
      <c r="A75" s="159" t="n"/>
      <c r="B75" s="442">
        <f>IFERROR(IF(COUNTIF(Instellingen!$Q$40:$Q$47,"")&gt;7,"",VLOOKUP(SMALL(Instellingen!$Q$40:$Q$47,1),Instellingen!$Q$40:$T$47,4,FALSE)),"")</f>
        <v/>
      </c>
      <c r="C75" s="899">
        <f>IFERROR(IF(B75="","",VLOOKUP(B75,Instellingen!$B$40:$J$47,9,FALSE)),"")</f>
        <v/>
      </c>
      <c r="D75" s="862" t="n"/>
      <c r="E75" s="109" t="n"/>
      <c r="F75" s="109" t="n"/>
      <c r="G75" s="109" t="n"/>
      <c r="H75" s="673" t="inlineStr">
        <is>
          <t>rv - Restant Vers</t>
        </is>
      </c>
      <c r="I75" s="264" t="n"/>
      <c r="J75" s="264" t="n"/>
      <c r="K75" s="264" t="n"/>
      <c r="L75" s="264" t="n"/>
      <c r="M75" s="264" t="n"/>
      <c r="N75" s="264" t="n"/>
      <c r="O75" s="264" t="n"/>
      <c r="P75" s="901">
        <f>BA22</f>
        <v/>
      </c>
      <c r="Q75" s="866" t="n"/>
      <c r="R75" s="673" t="inlineStr">
        <is>
          <t>us - Vervallen artikelen</t>
        </is>
      </c>
      <c r="S75" s="264" t="n"/>
      <c r="T75" s="264" t="n"/>
      <c r="U75" s="264" t="n"/>
      <c r="V75" s="264" t="n"/>
      <c r="W75" s="264" t="n"/>
      <c r="X75" s="264" t="n"/>
      <c r="Y75" s="264" t="n"/>
      <c r="Z75" s="675">
        <f>BA39</f>
        <v/>
      </c>
      <c r="AA75" s="264" t="n"/>
      <c r="AB75" s="907" t="inlineStr">
        <is>
          <t>wv - Winkelverzorging</t>
        </is>
      </c>
      <c r="AC75" s="264" t="n"/>
      <c r="AD75" s="264" t="n"/>
      <c r="AE75" s="264" t="n"/>
      <c r="AF75" s="264" t="n"/>
      <c r="AG75" s="264" t="n"/>
      <c r="AH75" s="264" t="n"/>
      <c r="AI75" s="866" t="n"/>
      <c r="AJ75" s="901">
        <f>BA56</f>
        <v/>
      </c>
      <c r="AK75" s="866" t="n"/>
      <c r="AL75" s="47" t="n"/>
      <c r="AM75" s="47" t="n"/>
      <c r="AN75" s="47" t="n"/>
      <c r="AO75" s="47" t="n"/>
      <c r="AP75" s="47" t="n"/>
      <c r="AQ75" s="501" t="n"/>
      <c r="AR75" s="501" t="n"/>
      <c r="AS75" s="501" t="n"/>
      <c r="AT75" s="501" t="n"/>
      <c r="AU75" s="501" t="n"/>
      <c r="AV75" s="504" t="n"/>
      <c r="AW75" s="502" t="n"/>
      <c r="AX75" s="505" t="n"/>
      <c r="AY75" s="263" t="n"/>
      <c r="AZ75" s="501" t="n"/>
      <c r="BA75" s="263" t="n"/>
      <c r="BC75" s="31">
        <f>IF(Planning!B68="","",Planning!B68)</f>
        <v/>
      </c>
      <c r="BD75" s="105" t="n"/>
      <c r="BE75" s="885">
        <f>Planning!E68</f>
        <v/>
      </c>
      <c r="BF75" s="885">
        <f>Planning!F68</f>
        <v/>
      </c>
      <c r="BG75" s="886" t="n"/>
      <c r="BH75" s="105" t="n"/>
      <c r="BI75" s="885">
        <f>Planning!I68</f>
        <v/>
      </c>
      <c r="BJ75" s="885">
        <f>Planning!J68</f>
        <v/>
      </c>
      <c r="BK75" s="886" t="n"/>
      <c r="BL75" s="105" t="n"/>
      <c r="BM75" s="885">
        <f>Planning!M68</f>
        <v/>
      </c>
      <c r="BN75" s="885">
        <f>Planning!N68</f>
        <v/>
      </c>
      <c r="BO75" s="886" t="n"/>
      <c r="BP75" s="105" t="n"/>
      <c r="BQ75" s="885">
        <f>Planning!Q68</f>
        <v/>
      </c>
      <c r="BR75" s="885">
        <f>Planning!R68</f>
        <v/>
      </c>
      <c r="BS75" s="886" t="n"/>
      <c r="BT75" s="105" t="n"/>
      <c r="BU75" s="885">
        <f>Planning!U68</f>
        <v/>
      </c>
      <c r="BV75" s="885">
        <f>Planning!V68</f>
        <v/>
      </c>
      <c r="BW75" s="886" t="n"/>
      <c r="BX75" s="105" t="n"/>
      <c r="BY75" s="885">
        <f>Planning!Y68</f>
        <v/>
      </c>
      <c r="BZ75" s="885">
        <f>Planning!Z68</f>
        <v/>
      </c>
      <c r="CA75" s="886" t="n"/>
      <c r="CB75" s="105" t="n"/>
      <c r="CC75" s="885">
        <f>Planning!AC68</f>
        <v/>
      </c>
      <c r="CD75" s="885">
        <f>Planning!AD68</f>
        <v/>
      </c>
      <c r="CE75" s="886" t="n"/>
      <c r="CF75" s="105" t="n"/>
      <c r="CG75" s="887">
        <f>Planning!AG68</f>
        <v/>
      </c>
      <c r="CH75" s="105" t="n"/>
      <c r="CI75" s="252">
        <f>IF(BC75="","",Planning!AI68)</f>
        <v/>
      </c>
      <c r="CJ75" s="252">
        <f>IF(BC75="","",Planning!AJ68)</f>
        <v/>
      </c>
      <c r="CK75" s="252">
        <f>IF(BC75="","",Planning!AK68)</f>
        <v/>
      </c>
      <c r="CL75" s="252">
        <f>IF(BC75="","",Planning!AH68)</f>
        <v/>
      </c>
      <c r="CM75" s="21" t="n"/>
    </row>
    <row r="76" ht="13.5" customHeight="1">
      <c r="A76" s="159" t="n"/>
      <c r="B76" s="440">
        <f>IFERROR(IF(COUNTIF(Instellingen!$Q$40:$Q$47,"")&gt;6,"",VLOOKUP(SMALL(Instellingen!$Q$40:$Q$47,2),Instellingen!$Q$40:$T$47,4,FALSE)),"")</f>
        <v/>
      </c>
      <c r="C76" s="902">
        <f>IFERROR(IF(B76="","",VLOOKUP(B76,Instellingen!$B$40:$J$47,9,FALSE)),"")</f>
        <v/>
      </c>
      <c r="D76" s="866" t="n"/>
      <c r="H76" s="900" t="inlineStr">
        <is>
          <t>Restant/Telproces</t>
        </is>
      </c>
      <c r="I76" s="883" t="n"/>
      <c r="J76" s="883" t="n"/>
      <c r="K76" s="883" t="n"/>
      <c r="L76" s="883" t="n"/>
      <c r="M76" s="883" t="n"/>
      <c r="N76" s="883" t="n"/>
      <c r="O76" s="883" t="n"/>
      <c r="P76" s="883" t="n"/>
      <c r="Q76" s="884" t="n"/>
      <c r="R76" s="673" t="inlineStr">
        <is>
          <t>ver - Vernietigen/Reststoffen</t>
        </is>
      </c>
      <c r="S76" s="264" t="n"/>
      <c r="T76" s="264" t="n"/>
      <c r="U76" s="264" t="n"/>
      <c r="V76" s="264" t="n"/>
      <c r="W76" s="264" t="n"/>
      <c r="X76" s="264" t="n"/>
      <c r="Y76" s="264" t="n"/>
      <c r="Z76" s="675">
        <f>BA40</f>
        <v/>
      </c>
      <c r="AA76" s="264" t="n"/>
      <c r="AB76" s="907">
        <f>IF(Instellingen!I7="ja","pup - Pick-Up-Point","")</f>
        <v/>
      </c>
      <c r="AC76" s="264" t="n"/>
      <c r="AD76" s="264" t="n"/>
      <c r="AE76" s="264" t="n"/>
      <c r="AF76" s="264" t="n"/>
      <c r="AG76" s="264" t="n"/>
      <c r="AH76" s="264" t="n"/>
      <c r="AI76" s="866" t="n"/>
      <c r="AJ76" s="901">
        <f>IF(Instellingen!I7="ja",BA57,"")</f>
        <v/>
      </c>
      <c r="AK76" s="866" t="n"/>
      <c r="AL76" s="47" t="n"/>
      <c r="AM76" s="47" t="n"/>
      <c r="AN76" s="47" t="n"/>
      <c r="AO76" s="47" t="n"/>
      <c r="AP76" s="47" t="n"/>
      <c r="AQ76" s="501" t="n"/>
      <c r="AR76" s="501" t="n"/>
      <c r="AS76" s="501" t="n"/>
      <c r="AT76" s="501" t="n"/>
      <c r="AU76" s="501" t="n"/>
      <c r="AV76" s="504" t="n"/>
      <c r="AW76" s="502" t="n"/>
      <c r="AX76" s="505" t="n"/>
      <c r="AY76" s="263" t="n"/>
      <c r="AZ76" s="501" t="n"/>
      <c r="BA76" s="263" t="n"/>
      <c r="BC76" s="31">
        <f>IF(Planning!B69="","",Planning!B69)</f>
        <v/>
      </c>
      <c r="BD76" s="105" t="n"/>
      <c r="BE76" s="885">
        <f>Planning!E69</f>
        <v/>
      </c>
      <c r="BF76" s="885">
        <f>Planning!F69</f>
        <v/>
      </c>
      <c r="BG76" s="886" t="n"/>
      <c r="BH76" s="105" t="n"/>
      <c r="BI76" s="885">
        <f>Planning!I69</f>
        <v/>
      </c>
      <c r="BJ76" s="885">
        <f>Planning!J69</f>
        <v/>
      </c>
      <c r="BK76" s="886" t="n"/>
      <c r="BL76" s="105" t="n"/>
      <c r="BM76" s="885">
        <f>Planning!M69</f>
        <v/>
      </c>
      <c r="BN76" s="885">
        <f>Planning!N69</f>
        <v/>
      </c>
      <c r="BO76" s="886" t="n"/>
      <c r="BP76" s="105" t="n"/>
      <c r="BQ76" s="885">
        <f>Planning!Q69</f>
        <v/>
      </c>
      <c r="BR76" s="885">
        <f>Planning!R69</f>
        <v/>
      </c>
      <c r="BS76" s="886" t="n"/>
      <c r="BT76" s="105" t="n"/>
      <c r="BU76" s="885">
        <f>Planning!U69</f>
        <v/>
      </c>
      <c r="BV76" s="885">
        <f>Planning!V69</f>
        <v/>
      </c>
      <c r="BW76" s="886" t="n"/>
      <c r="BX76" s="105" t="n"/>
      <c r="BY76" s="885">
        <f>Planning!Y69</f>
        <v/>
      </c>
      <c r="BZ76" s="885">
        <f>Planning!Z69</f>
        <v/>
      </c>
      <c r="CA76" s="886" t="n"/>
      <c r="CB76" s="105" t="n"/>
      <c r="CC76" s="885">
        <f>Planning!AC69</f>
        <v/>
      </c>
      <c r="CD76" s="885">
        <f>Planning!AD69</f>
        <v/>
      </c>
      <c r="CE76" s="886" t="n"/>
      <c r="CF76" s="105" t="n"/>
      <c r="CG76" s="887">
        <f>Planning!AG69</f>
        <v/>
      </c>
      <c r="CH76" s="105" t="n"/>
      <c r="CI76" s="252">
        <f>IF(BC76="","",Planning!AI69)</f>
        <v/>
      </c>
      <c r="CJ76" s="252">
        <f>IF(BC76="","",Planning!AJ69)</f>
        <v/>
      </c>
      <c r="CK76" s="252">
        <f>IF(BC76="","",Planning!AK69)</f>
        <v/>
      </c>
      <c r="CL76" s="252">
        <f>IF(BC76="","",Planning!AH69)</f>
        <v/>
      </c>
      <c r="CM76" s="21" t="n"/>
    </row>
    <row r="77" ht="13.5" customHeight="1">
      <c r="A77" s="159" t="n"/>
      <c r="B77" s="440">
        <f>IFERROR(IF(COUNTIF(Instellingen!$Q$40:$Q$47,"")&gt;5,"",VLOOKUP(SMALL(Instellingen!$Q$40:$Q$47,3),Instellingen!$Q$40:$T$47,4,FALSE)),"")</f>
        <v/>
      </c>
      <c r="C77" s="902">
        <f>IFERROR(IF(B77="","",VLOOKUP(B77,Instellingen!$B$40:$J$47,9,FALSE)),"")</f>
        <v/>
      </c>
      <c r="D77" s="866" t="n"/>
      <c r="H77" s="673" t="inlineStr">
        <is>
          <t>br - Bepalen restant</t>
        </is>
      </c>
      <c r="I77" s="264" t="n"/>
      <c r="J77" s="264" t="n"/>
      <c r="K77" s="264" t="n"/>
      <c r="L77" s="264" t="n"/>
      <c r="M77" s="264" t="n"/>
      <c r="N77" s="264" t="n"/>
      <c r="O77" s="264" t="n"/>
      <c r="P77" s="901">
        <f>BA24</f>
        <v/>
      </c>
      <c r="Q77" s="866" t="n"/>
      <c r="R77" s="687" t="inlineStr">
        <is>
          <t>Promo/Presentatie</t>
        </is>
      </c>
      <c r="S77" s="883" t="n"/>
      <c r="T77" s="883" t="n"/>
      <c r="U77" s="883" t="n"/>
      <c r="V77" s="883" t="n"/>
      <c r="W77" s="883" t="n"/>
      <c r="X77" s="883" t="n"/>
      <c r="Y77" s="883" t="n"/>
      <c r="Z77" s="883" t="n"/>
      <c r="AA77" s="883" t="n"/>
      <c r="AB77" s="907">
        <f>IF(AY58="","",CONCATENATE(AY58," - ",AZ58))</f>
        <v/>
      </c>
      <c r="AC77" s="264" t="n"/>
      <c r="AD77" s="264" t="n"/>
      <c r="AE77" s="264" t="n"/>
      <c r="AF77" s="264" t="n"/>
      <c r="AG77" s="264" t="n"/>
      <c r="AH77" s="264" t="n"/>
      <c r="AI77" s="866" t="n"/>
      <c r="AJ77" s="901">
        <f>IF(AY58="","",BA58)</f>
        <v/>
      </c>
      <c r="AK77" s="866" t="n"/>
      <c r="AL77" s="47" t="n"/>
      <c r="AM77" s="47" t="n"/>
      <c r="AN77" s="47" t="n"/>
      <c r="AO77" s="47" t="n"/>
      <c r="AP77" s="47" t="n"/>
      <c r="AQ77" s="47" t="n"/>
      <c r="AR77" s="47" t="n"/>
      <c r="AS77" s="47" t="n"/>
      <c r="AT77" s="47" t="n"/>
      <c r="AU77" s="47" t="n"/>
      <c r="AV77" s="118" t="n"/>
      <c r="AW77" s="310" t="n"/>
      <c r="AX77" s="36" t="n"/>
      <c r="AY77" s="64" t="n"/>
      <c r="AZ77" s="838" t="n"/>
      <c r="BC77" s="31">
        <f>IF(Planning!B70="","",Planning!B70)</f>
        <v/>
      </c>
      <c r="BD77" s="105" t="n"/>
      <c r="BE77" s="885">
        <f>Planning!E70</f>
        <v/>
      </c>
      <c r="BF77" s="885">
        <f>Planning!F70</f>
        <v/>
      </c>
      <c r="BG77" s="886" t="n"/>
      <c r="BH77" s="105" t="n"/>
      <c r="BI77" s="885">
        <f>Planning!I70</f>
        <v/>
      </c>
      <c r="BJ77" s="885">
        <f>Planning!J70</f>
        <v/>
      </c>
      <c r="BK77" s="886" t="n"/>
      <c r="BL77" s="105" t="n"/>
      <c r="BM77" s="885">
        <f>Planning!M70</f>
        <v/>
      </c>
      <c r="BN77" s="885">
        <f>Planning!N70</f>
        <v/>
      </c>
      <c r="BO77" s="886" t="n"/>
      <c r="BP77" s="105" t="n"/>
      <c r="BQ77" s="885">
        <f>Planning!Q70</f>
        <v/>
      </c>
      <c r="BR77" s="885">
        <f>Planning!R70</f>
        <v/>
      </c>
      <c r="BS77" s="886" t="n"/>
      <c r="BT77" s="105" t="n"/>
      <c r="BU77" s="885">
        <f>Planning!U70</f>
        <v/>
      </c>
      <c r="BV77" s="885">
        <f>Planning!V70</f>
        <v/>
      </c>
      <c r="BW77" s="886" t="n"/>
      <c r="BX77" s="105" t="n"/>
      <c r="BY77" s="885">
        <f>Planning!Y70</f>
        <v/>
      </c>
      <c r="BZ77" s="885">
        <f>Planning!Z70</f>
        <v/>
      </c>
      <c r="CA77" s="886" t="n"/>
      <c r="CB77" s="105" t="n"/>
      <c r="CC77" s="885">
        <f>Planning!AC70</f>
        <v/>
      </c>
      <c r="CD77" s="885">
        <f>Planning!AD70</f>
        <v/>
      </c>
      <c r="CE77" s="886" t="n"/>
      <c r="CF77" s="105" t="n"/>
      <c r="CG77" s="887">
        <f>Planning!AG70</f>
        <v/>
      </c>
      <c r="CH77" s="105" t="n"/>
      <c r="CI77" s="252">
        <f>IF(BC77="","",Planning!AI70)</f>
        <v/>
      </c>
      <c r="CJ77" s="252">
        <f>IF(BC77="","",Planning!AJ70)</f>
        <v/>
      </c>
      <c r="CK77" s="252">
        <f>IF(BC77="","",Planning!AK70)</f>
        <v/>
      </c>
      <c r="CL77" s="252">
        <f>IF(BC77="","",Planning!AH70)</f>
        <v/>
      </c>
      <c r="CM77" s="21" t="n"/>
    </row>
    <row r="78" ht="13.5" customHeight="1">
      <c r="A78" s="159" t="n"/>
      <c r="B78" s="440">
        <f>IFERROR(IF(COUNTIF(Instellingen!$Q$40:$Q$47,"")&gt;4,"",VLOOKUP(SMALL(Instellingen!$Q$40:$Q$47,4),Instellingen!$Q$40:$T$47,4,FALSE)),"")</f>
        <v/>
      </c>
      <c r="C78" s="902">
        <f>IFERROR(IF(B78="","",VLOOKUP(B78,Instellingen!$B$40:$J$47,9,FALSE)),"")</f>
        <v/>
      </c>
      <c r="D78" s="866" t="n"/>
      <c r="H78" s="673" t="inlineStr">
        <is>
          <t>bl - Bepalen langrestant</t>
        </is>
      </c>
      <c r="I78" s="264" t="n"/>
      <c r="J78" s="264" t="n"/>
      <c r="K78" s="264" t="n"/>
      <c r="L78" s="264" t="n"/>
      <c r="M78" s="264" t="n"/>
      <c r="N78" s="264" t="n"/>
      <c r="O78" s="264" t="n"/>
      <c r="P78" s="901">
        <f>BA25</f>
        <v/>
      </c>
      <c r="Q78" s="866" t="n"/>
      <c r="R78" s="673" t="inlineStr">
        <is>
          <t>act - Actieopbouw</t>
        </is>
      </c>
      <c r="S78" s="264" t="n"/>
      <c r="T78" s="264" t="n"/>
      <c r="U78" s="264" t="n"/>
      <c r="V78" s="264" t="n"/>
      <c r="W78" s="264" t="n"/>
      <c r="X78" s="264" t="n"/>
      <c r="Y78" s="264" t="n"/>
      <c r="Z78" s="675">
        <f>BA42</f>
        <v/>
      </c>
      <c r="AA78" s="264" t="n"/>
      <c r="AB78" s="907">
        <f>IF(AY59="","",CONCATENATE(AY59," - ",AZ59))</f>
        <v/>
      </c>
      <c r="AC78" s="264" t="n"/>
      <c r="AD78" s="264" t="n"/>
      <c r="AE78" s="264" t="n"/>
      <c r="AF78" s="264" t="n"/>
      <c r="AG78" s="264" t="n"/>
      <c r="AH78" s="264" t="n"/>
      <c r="AI78" s="866" t="n"/>
      <c r="AJ78" s="901">
        <f>IF(AY59="","",BA59)</f>
        <v/>
      </c>
      <c r="AK78" s="866" t="n"/>
      <c r="AL78" s="47" t="n"/>
      <c r="AM78" s="47" t="n"/>
      <c r="AN78" s="47" t="n"/>
      <c r="AO78" s="47" t="n"/>
      <c r="AP78" s="47" t="n"/>
      <c r="AQ78" s="47" t="n"/>
      <c r="AR78" s="47" t="n"/>
      <c r="AS78" s="47" t="n"/>
      <c r="AT78" s="47" t="n"/>
      <c r="AU78" s="47" t="n"/>
      <c r="AV78" s="118" t="n"/>
      <c r="AW78" s="310" t="n"/>
      <c r="AX78" s="36" t="n"/>
      <c r="AY78" s="64" t="n"/>
      <c r="AZ78" s="838" t="n"/>
      <c r="BC78" s="31">
        <f>IF(Planning!B71="","",Planning!B71)</f>
        <v/>
      </c>
      <c r="BD78" s="105" t="n"/>
      <c r="BE78" s="885">
        <f>Planning!E71</f>
        <v/>
      </c>
      <c r="BF78" s="885">
        <f>Planning!F71</f>
        <v/>
      </c>
      <c r="BG78" s="886" t="n"/>
      <c r="BH78" s="105" t="n"/>
      <c r="BI78" s="885">
        <f>Planning!I71</f>
        <v/>
      </c>
      <c r="BJ78" s="885">
        <f>Planning!J71</f>
        <v/>
      </c>
      <c r="BK78" s="886" t="n"/>
      <c r="BL78" s="105" t="n"/>
      <c r="BM78" s="885">
        <f>Planning!M71</f>
        <v/>
      </c>
      <c r="BN78" s="885">
        <f>Planning!N71</f>
        <v/>
      </c>
      <c r="BO78" s="886" t="n"/>
      <c r="BP78" s="105" t="n"/>
      <c r="BQ78" s="885">
        <f>Planning!Q71</f>
        <v/>
      </c>
      <c r="BR78" s="885">
        <f>Planning!R71</f>
        <v/>
      </c>
      <c r="BS78" s="886" t="n"/>
      <c r="BT78" s="105" t="n"/>
      <c r="BU78" s="885">
        <f>Planning!U71</f>
        <v/>
      </c>
      <c r="BV78" s="885">
        <f>Planning!V71</f>
        <v/>
      </c>
      <c r="BW78" s="886" t="n"/>
      <c r="BX78" s="105" t="n"/>
      <c r="BY78" s="885">
        <f>Planning!Y71</f>
        <v/>
      </c>
      <c r="BZ78" s="885">
        <f>Planning!Z71</f>
        <v/>
      </c>
      <c r="CA78" s="886" t="n"/>
      <c r="CB78" s="105" t="n"/>
      <c r="CC78" s="885">
        <f>Planning!AC71</f>
        <v/>
      </c>
      <c r="CD78" s="885">
        <f>Planning!AD71</f>
        <v/>
      </c>
      <c r="CE78" s="886" t="n"/>
      <c r="CF78" s="105" t="n"/>
      <c r="CG78" s="887">
        <f>Planning!AG71</f>
        <v/>
      </c>
      <c r="CH78" s="105" t="n"/>
      <c r="CI78" s="252">
        <f>IF(BC78="","",Planning!AI71)</f>
        <v/>
      </c>
      <c r="CJ78" s="252">
        <f>IF(BC78="","",Planning!AJ71)</f>
        <v/>
      </c>
      <c r="CK78" s="252">
        <f>IF(BC78="","",Planning!AK71)</f>
        <v/>
      </c>
      <c r="CL78" s="252">
        <f>IF(BC78="","",Planning!AH71)</f>
        <v/>
      </c>
      <c r="CM78" s="21" t="n"/>
    </row>
    <row r="79" ht="13.5" customHeight="1">
      <c r="A79" s="159" t="n"/>
      <c r="B79" s="440">
        <f>IFERROR(IF(COUNTIF(Instellingen!$Q$40:$Q$47,"")&gt;3,"",VLOOKUP(SMALL(Instellingen!$Q$40:$Q$47,5),Instellingen!$Q$40:$T$47,4,FALSE)),"")</f>
        <v/>
      </c>
      <c r="C79" s="902">
        <f>IFERROR(IF(B79="","",VLOOKUP(B79,Instellingen!$B$40:$J$47,9,FALSE)),"")</f>
        <v/>
      </c>
      <c r="D79" s="866" t="n"/>
      <c r="H79" s="673" t="inlineStr">
        <is>
          <t>hl - Hardlopers vullen</t>
        </is>
      </c>
      <c r="I79" s="264" t="n"/>
      <c r="J79" s="264" t="n"/>
      <c r="K79" s="264" t="n"/>
      <c r="L79" s="264" t="n"/>
      <c r="M79" s="264" t="n"/>
      <c r="N79" s="264" t="n"/>
      <c r="O79" s="264" t="n"/>
      <c r="P79" s="901">
        <f>BA26</f>
        <v/>
      </c>
      <c r="Q79" s="866" t="n"/>
      <c r="R79" s="673" t="inlineStr">
        <is>
          <t>com - Comco sorteren</t>
        </is>
      </c>
      <c r="S79" s="264" t="n"/>
      <c r="T79" s="264" t="n"/>
      <c r="U79" s="264" t="n"/>
      <c r="V79" s="264" t="n"/>
      <c r="W79" s="264" t="n"/>
      <c r="X79" s="264" t="n"/>
      <c r="Y79" s="264" t="n"/>
      <c r="Z79" s="675">
        <f>BA43</f>
        <v/>
      </c>
      <c r="AA79" s="264" t="n"/>
      <c r="AB79" s="907">
        <f>IF(AY60="","",CONCATENATE(AY60," - ",AZ60))</f>
        <v/>
      </c>
      <c r="AC79" s="264" t="n"/>
      <c r="AD79" s="264" t="n"/>
      <c r="AE79" s="264" t="n"/>
      <c r="AF79" s="264" t="n"/>
      <c r="AG79" s="264" t="n"/>
      <c r="AH79" s="264" t="n"/>
      <c r="AI79" s="866" t="n"/>
      <c r="AJ79" s="901">
        <f>IF(AY60="","",BA60)</f>
        <v/>
      </c>
      <c r="AK79" s="866" t="n"/>
      <c r="AL79" s="47" t="n"/>
      <c r="AM79" s="47" t="n"/>
      <c r="AN79" s="47" t="n"/>
      <c r="AO79" s="47" t="n"/>
      <c r="AP79" s="47" t="n"/>
      <c r="AQ79" s="47" t="n"/>
      <c r="AR79" s="47" t="n"/>
      <c r="AS79" s="47" t="n"/>
      <c r="AT79" s="47" t="n"/>
      <c r="AU79" s="47" t="n"/>
      <c r="AV79" s="118" t="n"/>
      <c r="AW79" s="310" t="n"/>
      <c r="AX79" s="36" t="n"/>
      <c r="AY79" s="64" t="n"/>
      <c r="AZ79" s="838" t="n"/>
      <c r="BC79" s="31">
        <f>IF(Planning!B72="","",Planning!B72)</f>
        <v/>
      </c>
      <c r="BD79" s="105" t="n"/>
      <c r="BE79" s="885">
        <f>Planning!E72</f>
        <v/>
      </c>
      <c r="BF79" s="885">
        <f>Planning!F72</f>
        <v/>
      </c>
      <c r="BG79" s="886" t="n"/>
      <c r="BH79" s="105" t="n"/>
      <c r="BI79" s="885">
        <f>Planning!I72</f>
        <v/>
      </c>
      <c r="BJ79" s="885">
        <f>Planning!J72</f>
        <v/>
      </c>
      <c r="BK79" s="886" t="n"/>
      <c r="BL79" s="105" t="n"/>
      <c r="BM79" s="885">
        <f>Planning!M72</f>
        <v/>
      </c>
      <c r="BN79" s="885">
        <f>Planning!N72</f>
        <v/>
      </c>
      <c r="BO79" s="886" t="n"/>
      <c r="BP79" s="105" t="n"/>
      <c r="BQ79" s="885">
        <f>Planning!Q72</f>
        <v/>
      </c>
      <c r="BR79" s="885">
        <f>Planning!R72</f>
        <v/>
      </c>
      <c r="BS79" s="886" t="n"/>
      <c r="BT79" s="105" t="n"/>
      <c r="BU79" s="885">
        <f>Planning!U72</f>
        <v/>
      </c>
      <c r="BV79" s="885">
        <f>Planning!V72</f>
        <v/>
      </c>
      <c r="BW79" s="886" t="n"/>
      <c r="BX79" s="105" t="n"/>
      <c r="BY79" s="885">
        <f>Planning!Y72</f>
        <v/>
      </c>
      <c r="BZ79" s="885">
        <f>Planning!Z72</f>
        <v/>
      </c>
      <c r="CA79" s="886" t="n"/>
      <c r="CB79" s="105" t="n"/>
      <c r="CC79" s="885">
        <f>Planning!AC72</f>
        <v/>
      </c>
      <c r="CD79" s="885">
        <f>Planning!AD72</f>
        <v/>
      </c>
      <c r="CE79" s="886" t="n"/>
      <c r="CF79" s="105" t="n"/>
      <c r="CG79" s="887">
        <f>Planning!AG72</f>
        <v/>
      </c>
      <c r="CH79" s="105" t="n"/>
      <c r="CI79" s="252">
        <f>IF(BC79="","",Planning!AI72)</f>
        <v/>
      </c>
      <c r="CJ79" s="252">
        <f>IF(BC79="","",Planning!AJ72)</f>
        <v/>
      </c>
      <c r="CK79" s="252">
        <f>IF(BC79="","",Planning!AK72)</f>
        <v/>
      </c>
      <c r="CL79" s="252">
        <f>IF(BC79="","",Planning!AH72)</f>
        <v/>
      </c>
      <c r="CM79" s="21" t="n"/>
    </row>
    <row r="80" ht="13.5" customHeight="1">
      <c r="A80" s="159" t="n"/>
      <c r="B80" s="251">
        <f>IFERROR(IF(COUNTIF(Instellingen!$Q$40:$Q$47,"")&gt;2,"",VLOOKUP(SMALL(Instellingen!$Q$40:$Q$47,6),Instellingen!$Q$40:$T$47,4,FALSE)),"")</f>
        <v/>
      </c>
      <c r="C80" s="902">
        <f>IFERROR(IF(B80="","",VLOOKUP(B80,Instellingen!$B$40:$J$47,9,FALSE)),"")</f>
        <v/>
      </c>
      <c r="D80" s="866" t="n"/>
      <c r="H80" s="673" t="inlineStr">
        <is>
          <t>lhb - Neeverkoop HB</t>
        </is>
      </c>
      <c r="I80" s="264" t="n"/>
      <c r="J80" s="264" t="n"/>
      <c r="K80" s="264" t="n"/>
      <c r="L80" s="264" t="n"/>
      <c r="M80" s="264" t="n"/>
      <c r="N80" s="264" t="n"/>
      <c r="O80" s="264" t="n"/>
      <c r="P80" s="901">
        <f>BA27</f>
        <v/>
      </c>
      <c r="Q80" s="866" t="n"/>
      <c r="R80" s="673" t="inlineStr">
        <is>
          <t>pro - Promotie</t>
        </is>
      </c>
      <c r="S80" s="264" t="n"/>
      <c r="T80" s="264" t="n"/>
      <c r="U80" s="264" t="n"/>
      <c r="V80" s="264" t="n"/>
      <c r="W80" s="264" t="n"/>
      <c r="X80" s="264" t="n"/>
      <c r="Y80" s="264" t="n"/>
      <c r="Z80" s="675">
        <f>BA44</f>
        <v/>
      </c>
      <c r="AA80" s="264" t="n"/>
      <c r="AB80" s="909">
        <f>IF(BA61=0,"","Taken zonder legenda")</f>
        <v/>
      </c>
      <c r="AC80" s="264" t="n"/>
      <c r="AD80" s="264" t="n"/>
      <c r="AE80" s="264" t="n"/>
      <c r="AF80" s="264" t="n"/>
      <c r="AG80" s="264" t="n"/>
      <c r="AH80" s="264" t="n"/>
      <c r="AI80" s="866" t="n"/>
      <c r="AJ80" s="910">
        <f>IF(BA61=0,"",BA61)</f>
        <v/>
      </c>
      <c r="AK80" s="866" t="n"/>
      <c r="AL80" s="47" t="n"/>
      <c r="AM80" s="47" t="n"/>
      <c r="AN80" s="47" t="n"/>
      <c r="AO80" s="47" t="n"/>
      <c r="AP80" s="47" t="n"/>
      <c r="AQ80" s="47" t="n"/>
      <c r="AR80" s="47" t="n"/>
      <c r="AS80" s="47" t="n"/>
      <c r="AT80" s="47" t="n"/>
      <c r="AU80" s="47" t="n"/>
      <c r="AV80" s="118" t="n"/>
      <c r="AW80" s="310" t="n"/>
      <c r="AX80" s="36" t="n"/>
      <c r="AY80" s="64" t="n"/>
      <c r="AZ80" s="838" t="n"/>
      <c r="BC80" s="31">
        <f>IF(Planning!B73="","",Planning!B73)</f>
        <v/>
      </c>
      <c r="BD80" s="105" t="n"/>
      <c r="BE80" s="885">
        <f>Planning!E73</f>
        <v/>
      </c>
      <c r="BF80" s="885">
        <f>Planning!F73</f>
        <v/>
      </c>
      <c r="BG80" s="886" t="n"/>
      <c r="BH80" s="105" t="n"/>
      <c r="BI80" s="885">
        <f>Planning!I73</f>
        <v/>
      </c>
      <c r="BJ80" s="885">
        <f>Planning!J73</f>
        <v/>
      </c>
      <c r="BK80" s="886" t="n"/>
      <c r="BL80" s="105" t="n"/>
      <c r="BM80" s="885">
        <f>Planning!M73</f>
        <v/>
      </c>
      <c r="BN80" s="885">
        <f>Planning!N73</f>
        <v/>
      </c>
      <c r="BO80" s="886" t="n"/>
      <c r="BP80" s="105" t="n"/>
      <c r="BQ80" s="885">
        <f>Planning!Q73</f>
        <v/>
      </c>
      <c r="BR80" s="885">
        <f>Planning!R73</f>
        <v/>
      </c>
      <c r="BS80" s="886" t="n"/>
      <c r="BT80" s="105" t="n"/>
      <c r="BU80" s="885">
        <f>Planning!U73</f>
        <v/>
      </c>
      <c r="BV80" s="885">
        <f>Planning!V73</f>
        <v/>
      </c>
      <c r="BW80" s="886" t="n"/>
      <c r="BX80" s="105" t="n"/>
      <c r="BY80" s="885">
        <f>Planning!Y73</f>
        <v/>
      </c>
      <c r="BZ80" s="885">
        <f>Planning!Z73</f>
        <v/>
      </c>
      <c r="CA80" s="886" t="n"/>
      <c r="CB80" s="105" t="n"/>
      <c r="CC80" s="885">
        <f>Planning!AC73</f>
        <v/>
      </c>
      <c r="CD80" s="885">
        <f>Planning!AD73</f>
        <v/>
      </c>
      <c r="CE80" s="886" t="n"/>
      <c r="CF80" s="105" t="n"/>
      <c r="CG80" s="887">
        <f>Planning!AG73</f>
        <v/>
      </c>
      <c r="CH80" s="105" t="n"/>
      <c r="CI80" s="252">
        <f>IF(BC80="","",Planning!AI73)</f>
        <v/>
      </c>
      <c r="CJ80" s="252">
        <f>IF(BC80="","",Planning!AJ73)</f>
        <v/>
      </c>
      <c r="CK80" s="252">
        <f>IF(BC80="","",Planning!AK73)</f>
        <v/>
      </c>
      <c r="CL80" s="252">
        <f>IF(BC80="","",Planning!AH73)</f>
        <v/>
      </c>
      <c r="CM80" s="21" t="n"/>
    </row>
    <row r="81" ht="13.5" customHeight="1">
      <c r="A81" s="159" t="n"/>
      <c r="B81" s="440">
        <f>IFERROR(IF(COUNTIF(Instellingen!$Q$40:$Q$47,"")&gt;1,"",VLOOKUP(SMALL(Instellingen!$Q$40:$Q$47,7),Instellingen!$Q$40:$T$47,4,FALSE)),"")</f>
        <v/>
      </c>
      <c r="C81" s="902">
        <f>IFERROR(IF(B81="","",VLOOKUP(B81,Instellingen!$B$40:$J$47,9,FALSE)),"")</f>
        <v/>
      </c>
      <c r="D81" s="866" t="n"/>
      <c r="H81" s="673" t="inlineStr">
        <is>
          <t>ldv - Neeverkoop DV</t>
        </is>
      </c>
      <c r="I81" s="264" t="n"/>
      <c r="J81" s="264" t="n"/>
      <c r="K81" s="264" t="n"/>
      <c r="L81" s="264" t="n"/>
      <c r="M81" s="264" t="n"/>
      <c r="N81" s="264" t="n"/>
      <c r="O81" s="264" t="n"/>
      <c r="P81" s="901">
        <f>BA28</f>
        <v/>
      </c>
      <c r="Q81" s="866" t="n"/>
      <c r="R81" s="673" t="inlineStr">
        <is>
          <t>pw - Prijswijzigingen</t>
        </is>
      </c>
      <c r="S81" s="264" t="n"/>
      <c r="T81" s="264" t="n"/>
      <c r="U81" s="264" t="n"/>
      <c r="V81" s="264" t="n"/>
      <c r="W81" s="264" t="n"/>
      <c r="X81" s="264" t="n"/>
      <c r="Y81" s="264" t="n"/>
      <c r="Z81" s="675">
        <f>BA45</f>
        <v/>
      </c>
      <c r="AA81" s="264" t="n"/>
      <c r="AB81" s="911" t="inlineStr">
        <is>
          <t>p - Pauze (onbetaald)</t>
        </is>
      </c>
      <c r="AC81" s="264" t="n"/>
      <c r="AD81" s="264" t="n"/>
      <c r="AE81" s="264" t="n"/>
      <c r="AF81" s="264" t="n"/>
      <c r="AG81" s="264" t="n"/>
      <c r="AH81" s="264" t="n"/>
      <c r="AI81" s="866" t="n"/>
      <c r="AJ81" s="912">
        <f>BA62</f>
        <v/>
      </c>
      <c r="AK81" s="866" t="n"/>
      <c r="AL81" s="47" t="n"/>
      <c r="AM81" s="47" t="n"/>
      <c r="AN81" s="47" t="n"/>
      <c r="AO81" s="47" t="n"/>
      <c r="AP81" s="47" t="n"/>
      <c r="AQ81" s="47" t="n"/>
      <c r="AR81" s="47" t="n"/>
      <c r="AS81" s="47" t="n"/>
      <c r="AT81" s="47" t="n"/>
      <c r="AU81" s="47" t="n"/>
      <c r="AV81" s="118" t="n"/>
      <c r="AW81" s="310" t="n"/>
      <c r="AX81" s="36" t="n"/>
      <c r="AY81" s="64" t="n"/>
      <c r="AZ81" s="838" t="n"/>
      <c r="BC81" s="31">
        <f>IF(Planning!B74="","",Planning!B74)</f>
        <v/>
      </c>
      <c r="BD81" s="105" t="n"/>
      <c r="BE81" s="885">
        <f>Planning!E74</f>
        <v/>
      </c>
      <c r="BF81" s="885">
        <f>Planning!F74</f>
        <v/>
      </c>
      <c r="BG81" s="886" t="n"/>
      <c r="BH81" s="105" t="n"/>
      <c r="BI81" s="885">
        <f>Planning!I74</f>
        <v/>
      </c>
      <c r="BJ81" s="885">
        <f>Planning!J74</f>
        <v/>
      </c>
      <c r="BK81" s="886" t="n"/>
      <c r="BL81" s="105" t="n"/>
      <c r="BM81" s="885">
        <f>Planning!M74</f>
        <v/>
      </c>
      <c r="BN81" s="885">
        <f>Planning!N74</f>
        <v/>
      </c>
      <c r="BO81" s="886" t="n"/>
      <c r="BP81" s="105" t="n"/>
      <c r="BQ81" s="885">
        <f>Planning!Q74</f>
        <v/>
      </c>
      <c r="BR81" s="885">
        <f>Planning!R74</f>
        <v/>
      </c>
      <c r="BS81" s="886" t="n"/>
      <c r="BT81" s="105" t="n"/>
      <c r="BU81" s="885">
        <f>Planning!U74</f>
        <v/>
      </c>
      <c r="BV81" s="885">
        <f>Planning!V74</f>
        <v/>
      </c>
      <c r="BW81" s="886" t="n"/>
      <c r="BX81" s="105" t="n"/>
      <c r="BY81" s="885">
        <f>Planning!Y74</f>
        <v/>
      </c>
      <c r="BZ81" s="885">
        <f>Planning!Z74</f>
        <v/>
      </c>
      <c r="CA81" s="886" t="n"/>
      <c r="CB81" s="105" t="n"/>
      <c r="CC81" s="885">
        <f>Planning!AC74</f>
        <v/>
      </c>
      <c r="CD81" s="885">
        <f>Planning!AD74</f>
        <v/>
      </c>
      <c r="CE81" s="886" t="n"/>
      <c r="CF81" s="105" t="n"/>
      <c r="CG81" s="887">
        <f>Planning!AG74</f>
        <v/>
      </c>
      <c r="CH81" s="105" t="n"/>
      <c r="CI81" s="252">
        <f>IF(BC81="","",Planning!AI74)</f>
        <v/>
      </c>
      <c r="CJ81" s="252">
        <f>IF(BC81="","",Planning!AJ74)</f>
        <v/>
      </c>
      <c r="CK81" s="252">
        <f>IF(BC81="","",Planning!AK74)</f>
        <v/>
      </c>
      <c r="CL81" s="252">
        <f>IF(BC81="","",Planning!AH74)</f>
        <v/>
      </c>
      <c r="CM81" s="21" t="n"/>
    </row>
    <row r="82" ht="13.5" customHeight="1">
      <c r="A82" s="159" t="n"/>
      <c r="B82" s="441">
        <f>IFERROR(IF(COUNTIF(Instellingen!$Q$40:$Q$47,"")&gt;0,"",VLOOKUP(SMALL(Instellingen!$Q$40:$Q$47,8),Instellingen!$Q$40:$T$47,4,FALSE)),"")</f>
        <v/>
      </c>
      <c r="C82" s="908">
        <f>IFERROR(IF(B82="","",VLOOKUP(B82,Instellingen!$B$40:$J$47,9,FALSE)),"")</f>
        <v/>
      </c>
      <c r="D82" s="869" t="n"/>
      <c r="H82" s="661" t="inlineStr">
        <is>
          <t>lvv - Neeverkoop Vers</t>
        </is>
      </c>
      <c r="I82" s="906" t="n"/>
      <c r="J82" s="906" t="n"/>
      <c r="K82" s="906" t="n"/>
      <c r="L82" s="906" t="n"/>
      <c r="M82" s="906" t="n"/>
      <c r="N82" s="906" t="n"/>
      <c r="O82" s="906" t="n"/>
      <c r="P82" s="913">
        <f>BA29</f>
        <v/>
      </c>
      <c r="Q82" s="869" t="n"/>
      <c r="R82" s="661" t="inlineStr">
        <is>
          <t>wap - WAP uitvoeren</t>
        </is>
      </c>
      <c r="S82" s="906" t="n"/>
      <c r="T82" s="906" t="n"/>
      <c r="U82" s="906" t="n"/>
      <c r="V82" s="906" t="n"/>
      <c r="W82" s="906" t="n"/>
      <c r="X82" s="906" t="n"/>
      <c r="Y82" s="906" t="n"/>
      <c r="Z82" s="663">
        <f>BA46</f>
        <v/>
      </c>
      <c r="AA82" s="906" t="n"/>
      <c r="AB82" s="914" t="inlineStr">
        <is>
          <t>afw - Afwezig / ziek</t>
        </is>
      </c>
      <c r="AC82" s="906" t="n"/>
      <c r="AD82" s="906" t="n"/>
      <c r="AE82" s="906" t="n"/>
      <c r="AF82" s="906" t="n"/>
      <c r="AG82" s="906" t="n"/>
      <c r="AH82" s="906" t="n"/>
      <c r="AI82" s="869" t="n"/>
      <c r="AJ82" s="915">
        <f>BA63</f>
        <v/>
      </c>
      <c r="AK82" s="869" t="n"/>
      <c r="AL82" s="47" t="n"/>
      <c r="AM82" s="47" t="n"/>
      <c r="AN82" s="47" t="n"/>
      <c r="AO82" s="47" t="n"/>
      <c r="AP82" s="47" t="n"/>
      <c r="AQ82" s="47" t="n"/>
      <c r="AR82" s="47" t="n"/>
      <c r="AS82" s="47" t="n"/>
      <c r="AT82" s="47" t="n"/>
      <c r="AU82" s="47" t="n"/>
      <c r="AV82" s="118" t="n"/>
      <c r="AW82" s="310" t="n"/>
      <c r="AX82" s="36" t="n"/>
      <c r="AY82" s="64" t="n"/>
      <c r="AZ82" s="838" t="n"/>
      <c r="BC82" s="31">
        <f>IF(Planning!B75="","",Planning!B75)</f>
        <v/>
      </c>
      <c r="BD82" s="105" t="n"/>
      <c r="BE82" s="885">
        <f>Planning!E75</f>
        <v/>
      </c>
      <c r="BF82" s="885">
        <f>Planning!F75</f>
        <v/>
      </c>
      <c r="BG82" s="886" t="n"/>
      <c r="BH82" s="105" t="n"/>
      <c r="BI82" s="885">
        <f>Planning!I75</f>
        <v/>
      </c>
      <c r="BJ82" s="885">
        <f>Planning!J75</f>
        <v/>
      </c>
      <c r="BK82" s="886" t="n"/>
      <c r="BL82" s="105" t="n"/>
      <c r="BM82" s="885">
        <f>Planning!M75</f>
        <v/>
      </c>
      <c r="BN82" s="885">
        <f>Planning!N75</f>
        <v/>
      </c>
      <c r="BO82" s="886" t="n"/>
      <c r="BP82" s="105" t="n"/>
      <c r="BQ82" s="885">
        <f>Planning!Q75</f>
        <v/>
      </c>
      <c r="BR82" s="885">
        <f>Planning!R75</f>
        <v/>
      </c>
      <c r="BS82" s="886" t="n"/>
      <c r="BT82" s="105" t="n"/>
      <c r="BU82" s="885">
        <f>Planning!U75</f>
        <v/>
      </c>
      <c r="BV82" s="885">
        <f>Planning!V75</f>
        <v/>
      </c>
      <c r="BW82" s="886" t="n"/>
      <c r="BX82" s="105" t="n"/>
      <c r="BY82" s="885">
        <f>Planning!Y75</f>
        <v/>
      </c>
      <c r="BZ82" s="885">
        <f>Planning!Z75</f>
        <v/>
      </c>
      <c r="CA82" s="886" t="n"/>
      <c r="CB82" s="105" t="n"/>
      <c r="CC82" s="885">
        <f>Planning!AC75</f>
        <v/>
      </c>
      <c r="CD82" s="885">
        <f>Planning!AD75</f>
        <v/>
      </c>
      <c r="CE82" s="886" t="n"/>
      <c r="CF82" s="105" t="n"/>
      <c r="CG82" s="887">
        <f>Planning!AG75</f>
        <v/>
      </c>
      <c r="CH82" s="105" t="n"/>
      <c r="CI82" s="252">
        <f>IF(BC82="","",Planning!AI75)</f>
        <v/>
      </c>
      <c r="CJ82" s="252">
        <f>IF(BC82="","",Planning!AJ75)</f>
        <v/>
      </c>
      <c r="CK82" s="252">
        <f>IF(BC82="","",Planning!AK75)</f>
        <v/>
      </c>
      <c r="CL82" s="252">
        <f>IF(BC82="","",Planning!AH75)</f>
        <v/>
      </c>
      <c r="CM82" s="21" t="n"/>
    </row>
    <row r="83" ht="6" customHeight="1">
      <c r="A83" s="159" t="n"/>
      <c r="P83" s="310" t="n"/>
      <c r="Q83" s="310" t="n"/>
      <c r="W83" s="110" t="n"/>
      <c r="X83" s="109" t="n"/>
      <c r="Y83" s="109" t="n"/>
      <c r="Z83" s="109" t="n"/>
      <c r="AA83" s="109" t="n"/>
      <c r="AB83" s="109" t="n"/>
      <c r="AC83" s="109" t="n"/>
      <c r="AD83" s="109" t="n"/>
      <c r="AE83" s="109" t="n"/>
      <c r="AF83" s="109" t="n"/>
      <c r="AG83" s="109" t="n"/>
      <c r="AH83" s="47" t="n"/>
      <c r="AI83" s="47" t="n"/>
      <c r="AJ83" s="47" t="n"/>
      <c r="AK83" s="47" t="n"/>
      <c r="AL83" s="47" t="n"/>
      <c r="AM83" s="47" t="n"/>
      <c r="AN83" s="47" t="n"/>
      <c r="AO83" s="47" t="n"/>
      <c r="AP83" s="47" t="n"/>
      <c r="AQ83" s="47" t="n"/>
      <c r="AR83" s="47" t="n"/>
      <c r="AS83" s="47" t="n"/>
      <c r="AT83" s="47" t="n"/>
      <c r="AU83" s="47" t="n"/>
      <c r="AV83" s="118" t="n"/>
      <c r="AW83" s="310" t="n"/>
      <c r="AX83" s="36" t="n"/>
      <c r="AY83" s="64" t="n"/>
      <c r="AZ83" s="838" t="n"/>
      <c r="CM83" s="21" t="n"/>
    </row>
    <row r="84" ht="13.5" customHeight="1">
      <c r="A84" s="159" t="n"/>
      <c r="B84" s="916" t="inlineStr">
        <is>
          <t>Opmerkingen</t>
        </is>
      </c>
      <c r="C84" s="883" t="n"/>
      <c r="D84" s="883" t="n"/>
      <c r="E84" s="883" t="n"/>
      <c r="F84" s="883" t="n"/>
      <c r="G84" s="883" t="n"/>
      <c r="H84" s="883" t="n"/>
      <c r="I84" s="883" t="n"/>
      <c r="J84" s="883" t="n"/>
      <c r="K84" s="883" t="n"/>
      <c r="L84" s="883" t="n"/>
      <c r="M84" s="883" t="n"/>
      <c r="N84" s="883" t="n"/>
      <c r="O84" s="883" t="n"/>
      <c r="P84" s="883" t="n"/>
      <c r="Q84" s="883" t="n"/>
      <c r="R84" s="883" t="n"/>
      <c r="S84" s="883" t="n"/>
      <c r="T84" s="883" t="n"/>
      <c r="U84" s="883" t="n"/>
      <c r="V84" s="883" t="n"/>
      <c r="W84" s="883" t="n"/>
      <c r="X84" s="883" t="n"/>
      <c r="Y84" s="883" t="n"/>
      <c r="Z84" s="883" t="n"/>
      <c r="AA84" s="883" t="n"/>
      <c r="AB84" s="883" t="n"/>
      <c r="AC84" s="883" t="n"/>
      <c r="AD84" s="883" t="n"/>
      <c r="AE84" s="883" t="n"/>
      <c r="AF84" s="883" t="n"/>
      <c r="AG84" s="883" t="n"/>
      <c r="AH84" s="883" t="n"/>
      <c r="AI84" s="883" t="n"/>
      <c r="AJ84" s="883" t="n"/>
      <c r="AK84" s="884" t="n"/>
      <c r="AL84" s="47" t="n"/>
      <c r="AM84" s="47" t="n"/>
      <c r="AN84" s="47" t="n"/>
      <c r="AO84" s="47" t="n"/>
      <c r="AP84" s="47" t="n"/>
      <c r="AQ84" s="47" t="n"/>
      <c r="AR84" s="47" t="n"/>
      <c r="AS84" s="47" t="n"/>
      <c r="AT84" s="47" t="n"/>
      <c r="AU84" s="47" t="n"/>
      <c r="AV84" s="118" t="n"/>
      <c r="AW84" s="310" t="n"/>
      <c r="AX84" s="36" t="n"/>
      <c r="AY84" s="64" t="n"/>
      <c r="AZ84" s="838" t="n"/>
      <c r="CM84" s="21" t="n"/>
    </row>
    <row r="85" ht="13.5" customHeight="1">
      <c r="A85" s="159" t="n"/>
      <c r="B85" s="917" t="n"/>
      <c r="C85" s="918" t="n"/>
      <c r="D85" s="918" t="n"/>
      <c r="E85" s="918" t="n"/>
      <c r="F85" s="918" t="n"/>
      <c r="G85" s="918" t="n"/>
      <c r="H85" s="918" t="n"/>
      <c r="I85" s="918" t="n"/>
      <c r="J85" s="918" t="n"/>
      <c r="K85" s="918" t="n"/>
      <c r="L85" s="918" t="n"/>
      <c r="M85" s="918" t="n"/>
      <c r="N85" s="918" t="n"/>
      <c r="O85" s="918" t="n"/>
      <c r="P85" s="918" t="n"/>
      <c r="Q85" s="918" t="n"/>
      <c r="R85" s="918" t="n"/>
      <c r="S85" s="918" t="n"/>
      <c r="T85" s="918" t="n"/>
      <c r="U85" s="918" t="n"/>
      <c r="V85" s="918" t="n"/>
      <c r="W85" s="918" t="n"/>
      <c r="X85" s="918" t="n"/>
      <c r="Y85" s="918" t="n"/>
      <c r="Z85" s="918" t="n"/>
      <c r="AA85" s="918" t="n"/>
      <c r="AB85" s="918" t="n"/>
      <c r="AC85" s="918" t="n"/>
      <c r="AD85" s="918" t="n"/>
      <c r="AE85" s="918" t="n"/>
      <c r="AF85" s="918" t="n"/>
      <c r="AG85" s="918" t="n"/>
      <c r="AH85" s="918" t="n"/>
      <c r="AI85" s="918" t="n"/>
      <c r="AJ85" s="918" t="n"/>
      <c r="AK85" s="919" t="n"/>
      <c r="AL85" s="47" t="n"/>
      <c r="AM85" s="47" t="n"/>
      <c r="AN85" s="47" t="n"/>
      <c r="AO85" s="47" t="n"/>
      <c r="AP85" s="47" t="n"/>
      <c r="AQ85" s="47" t="n"/>
      <c r="AR85" s="47" t="n"/>
      <c r="AS85" s="47" t="n"/>
      <c r="AT85" s="47" t="n"/>
      <c r="AU85" s="47" t="n"/>
      <c r="AV85" s="118" t="n"/>
      <c r="AW85" s="310" t="n"/>
      <c r="AX85" s="36" t="n"/>
      <c r="AY85" s="64" t="n"/>
      <c r="AZ85" s="838" t="n"/>
      <c r="CM85" s="21" t="n"/>
    </row>
    <row r="86" ht="13.5" customHeight="1">
      <c r="A86" s="159" t="n"/>
      <c r="B86" s="920" t="n"/>
      <c r="C86" s="921" t="n"/>
      <c r="D86" s="921" t="n"/>
      <c r="E86" s="921" t="n"/>
      <c r="F86" s="921" t="n"/>
      <c r="G86" s="921" t="n"/>
      <c r="H86" s="921" t="n"/>
      <c r="I86" s="921" t="n"/>
      <c r="J86" s="921" t="n"/>
      <c r="K86" s="921" t="n"/>
      <c r="L86" s="921" t="n"/>
      <c r="M86" s="921" t="n"/>
      <c r="N86" s="921" t="n"/>
      <c r="O86" s="921" t="n"/>
      <c r="P86" s="921" t="n"/>
      <c r="Q86" s="921" t="n"/>
      <c r="R86" s="921" t="n"/>
      <c r="S86" s="921" t="n"/>
      <c r="T86" s="921" t="n"/>
      <c r="U86" s="921" t="n"/>
      <c r="V86" s="921" t="n"/>
      <c r="W86" s="921" t="n"/>
      <c r="X86" s="921" t="n"/>
      <c r="Y86" s="921" t="n"/>
      <c r="Z86" s="921" t="n"/>
      <c r="AA86" s="921" t="n"/>
      <c r="AB86" s="921" t="n"/>
      <c r="AC86" s="921" t="n"/>
      <c r="AD86" s="921" t="n"/>
      <c r="AE86" s="921" t="n"/>
      <c r="AF86" s="921" t="n"/>
      <c r="AG86" s="921" t="n"/>
      <c r="AH86" s="921" t="n"/>
      <c r="AI86" s="921" t="n"/>
      <c r="AJ86" s="921" t="n"/>
      <c r="AK86" s="922" t="n"/>
      <c r="AL86" s="47" t="n"/>
      <c r="AM86" s="47" t="n"/>
      <c r="AN86" s="47" t="n"/>
      <c r="AO86" s="47" t="n"/>
      <c r="AP86" s="47" t="n"/>
      <c r="AQ86" s="47" t="n"/>
      <c r="AR86" s="47" t="n"/>
      <c r="AS86" s="47" t="n"/>
      <c r="AT86" s="47" t="n"/>
      <c r="AU86" s="47" t="n"/>
      <c r="AV86" s="118" t="n"/>
      <c r="AW86" s="310" t="n"/>
      <c r="AX86" s="36" t="n"/>
      <c r="AY86" s="64" t="n"/>
      <c r="AZ86" s="838" t="n"/>
      <c r="CM86" s="21" t="n"/>
    </row>
    <row r="87" ht="6" customHeight="1">
      <c r="A87" s="163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 t="n"/>
      <c r="P87" s="119" t="n"/>
      <c r="Q87" s="119" t="n"/>
      <c r="R87" s="119" t="n"/>
      <c r="S87" s="119" t="n"/>
      <c r="T87" s="119" t="n"/>
      <c r="U87" s="120" t="n"/>
      <c r="V87" s="121" t="n"/>
      <c r="W87" s="121" t="n"/>
      <c r="X87" s="121" t="n"/>
      <c r="Y87" s="121" t="n"/>
      <c r="Z87" s="121" t="n"/>
      <c r="AA87" s="121" t="n"/>
      <c r="AB87" s="121" t="n"/>
      <c r="AC87" s="121" t="n"/>
      <c r="AD87" s="121" t="n"/>
      <c r="AE87" s="121" t="n"/>
      <c r="AF87" s="121" t="n"/>
      <c r="AG87" s="121" t="n"/>
      <c r="AH87" s="121" t="n"/>
      <c r="AI87" s="121" t="n"/>
      <c r="AJ87" s="121" t="n"/>
      <c r="AK87" s="121" t="n"/>
      <c r="AL87" s="121" t="n"/>
      <c r="AM87" s="121" t="n"/>
      <c r="AN87" s="121" t="n"/>
      <c r="AO87" s="121" t="n"/>
      <c r="AP87" s="121" t="n"/>
      <c r="AQ87" s="121" t="n"/>
      <c r="AR87" s="121" t="n"/>
      <c r="AS87" s="121" t="n"/>
      <c r="AT87" s="121" t="n"/>
      <c r="AU87" s="121" t="n"/>
      <c r="AV87" s="923" t="n"/>
      <c r="AW87" s="310" t="n"/>
      <c r="AX87" s="36" t="n"/>
      <c r="AY87" s="64" t="n"/>
      <c r="AZ87" s="838" t="n"/>
      <c r="CM87" s="21" t="n"/>
    </row>
  </sheetData>
  <mergeCells count="192">
    <mergeCell ref="H66:Q66"/>
    <mergeCell ref="AY61:AZ61"/>
    <mergeCell ref="N2:P2"/>
    <mergeCell ref="AC5:AE5"/>
    <mergeCell ref="H78:O78"/>
    <mergeCell ref="Q4:S4"/>
    <mergeCell ref="BM12:BN12"/>
    <mergeCell ref="Z76:AA76"/>
    <mergeCell ref="AB80:AI80"/>
    <mergeCell ref="Z3:AB3"/>
    <mergeCell ref="AC4:AE4"/>
    <mergeCell ref="R79:Y79"/>
    <mergeCell ref="C79:D79"/>
    <mergeCell ref="P69:Q69"/>
    <mergeCell ref="Z66:AA66"/>
    <mergeCell ref="T2:V2"/>
    <mergeCell ref="AB79:AI79"/>
    <mergeCell ref="Z75:AA75"/>
    <mergeCell ref="L12:M12"/>
    <mergeCell ref="AF5:AH5"/>
    <mergeCell ref="N12:O12"/>
    <mergeCell ref="AF2:AH2"/>
    <mergeCell ref="Z5:AB5"/>
    <mergeCell ref="AJ67:AK67"/>
    <mergeCell ref="H73:O73"/>
    <mergeCell ref="AB72:AI72"/>
    <mergeCell ref="P80:Q80"/>
    <mergeCell ref="AB81:AI81"/>
    <mergeCell ref="H70:O70"/>
    <mergeCell ref="R74:Y74"/>
    <mergeCell ref="W2:Y2"/>
    <mergeCell ref="R12:S12"/>
    <mergeCell ref="AJ69:AK69"/>
    <mergeCell ref="T12:U12"/>
    <mergeCell ref="P70:Q70"/>
    <mergeCell ref="AB71:AI71"/>
    <mergeCell ref="AL12:AM12"/>
    <mergeCell ref="AJ78:AK78"/>
    <mergeCell ref="AN12:AO12"/>
    <mergeCell ref="AF12:AG12"/>
    <mergeCell ref="C76:D76"/>
    <mergeCell ref="R76:Y76"/>
    <mergeCell ref="AF3:AH3"/>
    <mergeCell ref="K3:M3"/>
    <mergeCell ref="N4:P4"/>
    <mergeCell ref="AJ80:AK80"/>
    <mergeCell ref="R66:Y66"/>
    <mergeCell ref="C67:D67"/>
    <mergeCell ref="K5:M5"/>
    <mergeCell ref="H77:O77"/>
    <mergeCell ref="T4:V4"/>
    <mergeCell ref="R68:Y68"/>
    <mergeCell ref="Z80:AA80"/>
    <mergeCell ref="AF4:AH4"/>
    <mergeCell ref="P79:Q79"/>
    <mergeCell ref="C69:D69"/>
    <mergeCell ref="P73:Q73"/>
    <mergeCell ref="Q5:S5"/>
    <mergeCell ref="AJ81:AK81"/>
    <mergeCell ref="BI12:BJ12"/>
    <mergeCell ref="H67:O67"/>
    <mergeCell ref="AB66:AK66"/>
    <mergeCell ref="AJ71:AK71"/>
    <mergeCell ref="BU12:BV12"/>
    <mergeCell ref="AX6:BA9"/>
    <mergeCell ref="AI4:AK4"/>
    <mergeCell ref="R77:AA77"/>
    <mergeCell ref="Z2:AB2"/>
    <mergeCell ref="R78:Y78"/>
    <mergeCell ref="AJ73:AK73"/>
    <mergeCell ref="AB75:AI75"/>
    <mergeCell ref="BY12:BZ12"/>
    <mergeCell ref="AJ82:AK82"/>
    <mergeCell ref="B74:D74"/>
    <mergeCell ref="B85:AK86"/>
    <mergeCell ref="R80:Y80"/>
    <mergeCell ref="AX10:BA10"/>
    <mergeCell ref="AY31:BA31"/>
    <mergeCell ref="H79:O79"/>
    <mergeCell ref="P77:Q77"/>
    <mergeCell ref="Z12:AA12"/>
    <mergeCell ref="Z68:AA68"/>
    <mergeCell ref="R70:Y70"/>
    <mergeCell ref="AB12:AC12"/>
    <mergeCell ref="K4:M4"/>
    <mergeCell ref="AJ68:AK68"/>
    <mergeCell ref="AB70:AI70"/>
    <mergeCell ref="H72:O72"/>
    <mergeCell ref="C71:D71"/>
    <mergeCell ref="H81:O81"/>
    <mergeCell ref="T3:V3"/>
    <mergeCell ref="W4:Y4"/>
    <mergeCell ref="H12:I12"/>
    <mergeCell ref="P78:Q78"/>
    <mergeCell ref="Z69:AA69"/>
    <mergeCell ref="J12:K12"/>
    <mergeCell ref="T5:V5"/>
    <mergeCell ref="AR11:AS11"/>
    <mergeCell ref="Z78:AA78"/>
    <mergeCell ref="C82:D82"/>
    <mergeCell ref="AY23:BA23"/>
    <mergeCell ref="H71:O71"/>
    <mergeCell ref="C66:D66"/>
    <mergeCell ref="P71:Q71"/>
    <mergeCell ref="AY13:BA13"/>
    <mergeCell ref="C77:D77"/>
    <mergeCell ref="AH12:AI12"/>
    <mergeCell ref="AJ12:AK12"/>
    <mergeCell ref="C68:D68"/>
    <mergeCell ref="AB74:AI74"/>
    <mergeCell ref="H82:O82"/>
    <mergeCell ref="W3:Y3"/>
    <mergeCell ref="AJ70:AK70"/>
    <mergeCell ref="AB76:AI76"/>
    <mergeCell ref="AY35:BA35"/>
    <mergeCell ref="H76:Q76"/>
    <mergeCell ref="R69:Y69"/>
    <mergeCell ref="Z81:AA81"/>
    <mergeCell ref="C75:D75"/>
    <mergeCell ref="B65:D65"/>
    <mergeCell ref="AI3:AK3"/>
    <mergeCell ref="C80:D80"/>
    <mergeCell ref="P67:Q67"/>
    <mergeCell ref="R67:AA67"/>
    <mergeCell ref="B84:AK84"/>
    <mergeCell ref="A1:J3"/>
    <mergeCell ref="BE12:BF12"/>
    <mergeCell ref="AB77:AI77"/>
    <mergeCell ref="Z73:AA73"/>
    <mergeCell ref="AJ77:AK77"/>
    <mergeCell ref="AI5:AK5"/>
    <mergeCell ref="P82:Q82"/>
    <mergeCell ref="Z82:AA82"/>
    <mergeCell ref="BQ12:BR12"/>
    <mergeCell ref="AB67:AI67"/>
    <mergeCell ref="C70:D70"/>
    <mergeCell ref="P75:Q75"/>
    <mergeCell ref="AJ74:AK74"/>
    <mergeCell ref="H80:O80"/>
    <mergeCell ref="R72:Y72"/>
    <mergeCell ref="P12:Q12"/>
    <mergeCell ref="P68:Q68"/>
    <mergeCell ref="AB69:AI69"/>
    <mergeCell ref="R81:Y81"/>
    <mergeCell ref="AJ76:AK76"/>
    <mergeCell ref="AB78:AI78"/>
    <mergeCell ref="AY41:BA41"/>
    <mergeCell ref="AY47:BA47"/>
    <mergeCell ref="N3:P3"/>
    <mergeCell ref="AD12:AE12"/>
    <mergeCell ref="AJ75:AK75"/>
    <mergeCell ref="V12:W12"/>
    <mergeCell ref="X12:Y12"/>
    <mergeCell ref="AP12:AQ12"/>
    <mergeCell ref="R73:Y73"/>
    <mergeCell ref="R82:Y82"/>
    <mergeCell ref="N5:P5"/>
    <mergeCell ref="AB73:AI73"/>
    <mergeCell ref="Z70:AA70"/>
    <mergeCell ref="R71:AA71"/>
    <mergeCell ref="K2:M2"/>
    <mergeCell ref="F12:G12"/>
    <mergeCell ref="P72:Q72"/>
    <mergeCell ref="H74:O74"/>
    <mergeCell ref="H68:O68"/>
    <mergeCell ref="P81:Q81"/>
    <mergeCell ref="Z72:AA72"/>
    <mergeCell ref="AJ72:AK72"/>
    <mergeCell ref="Z4:AB4"/>
    <mergeCell ref="Q2:S2"/>
    <mergeCell ref="AI2:AK2"/>
    <mergeCell ref="H65:AK65"/>
    <mergeCell ref="AC2:AE2"/>
    <mergeCell ref="AY3:AZ4"/>
    <mergeCell ref="H69:O69"/>
    <mergeCell ref="AB82:AI82"/>
    <mergeCell ref="AY2:AZ2"/>
    <mergeCell ref="A4:J5"/>
    <mergeCell ref="Z79:AA79"/>
    <mergeCell ref="H75:O75"/>
    <mergeCell ref="R75:Y75"/>
    <mergeCell ref="Q3:S3"/>
    <mergeCell ref="AJ79:AK79"/>
    <mergeCell ref="C72:D72"/>
    <mergeCell ref="CC12:CD12"/>
    <mergeCell ref="W5:Y5"/>
    <mergeCell ref="C81:D81"/>
    <mergeCell ref="AB68:AI68"/>
    <mergeCell ref="AC3:AE3"/>
    <mergeCell ref="P74:Q74"/>
    <mergeCell ref="C78:D78"/>
    <mergeCell ref="Z74:AA74"/>
  </mergeCells>
  <conditionalFormatting sqref="A13:A63">
    <cfRule type="cellIs" priority="57" operator="equal" dxfId="50">
      <formula>0</formula>
    </cfRule>
  </conditionalFormatting>
  <conditionalFormatting sqref="D13:D63">
    <cfRule type="expression" priority="24" dxfId="48">
      <formula>IF(D13&lt;AR13,TRUE,FALSE)</formula>
    </cfRule>
    <cfRule type="expression" priority="25" dxfId="48">
      <formula>IF(D13&gt;AS13,TRUE,FALSE)</formula>
    </cfRule>
  </conditionalFormatting>
  <conditionalFormatting sqref="D13:E63">
    <cfRule type="containsBlanks" priority="21" dxfId="47">
      <formula>LEN(TRIM(D13))=0</formula>
    </cfRule>
  </conditionalFormatting>
  <conditionalFormatting sqref="E13:E63">
    <cfRule type="expression" priority="22" dxfId="28">
      <formula>IF(E13&gt;AS13,TRUE,FALSE)</formula>
    </cfRule>
    <cfRule type="expression" priority="23" dxfId="28">
      <formula>IF(E13&lt;AR13,TRUE,FALSE)</formula>
    </cfRule>
  </conditionalFormatting>
  <conditionalFormatting sqref="F13:AQ63">
    <cfRule type="cellIs" priority="19" operator="equal" dxfId="44">
      <formula>"p"</formula>
    </cfRule>
    <cfRule type="cellIs" priority="20" operator="equal" dxfId="43">
      <formula>"afw"</formula>
    </cfRule>
  </conditionalFormatting>
  <conditionalFormatting sqref="N5:AK5">
    <cfRule type="cellIs" priority="42" operator="lessThan" dxfId="18">
      <formula>0</formula>
    </cfRule>
  </conditionalFormatting>
  <conditionalFormatting sqref="AX6:BA9">
    <cfRule type="notContainsBlanks" priority="54" dxfId="41">
      <formula>LEN(TRIM(AX6))&gt;0</formula>
    </cfRule>
  </conditionalFormatting>
  <conditionalFormatting sqref="AY2:AZ4">
    <cfRule type="expression" priority="55" dxfId="28">
      <formula>IF($AY$3="nee",TRUE,FALSE)</formula>
    </cfRule>
  </conditionalFormatting>
  <conditionalFormatting sqref="AY61:BA61">
    <cfRule type="expression" priority="8" dxfId="6">
      <formula>IF($BA$61=0,TRUE,FALSE)</formula>
    </cfRule>
  </conditionalFormatting>
  <conditionalFormatting sqref="CI13:CI86">
    <cfRule type="cellIs" priority="26" operator="notBetween" dxfId="36">
      <formula>-3</formula>
      <formula>3</formula>
    </cfRule>
  </conditionalFormatting>
  <conditionalFormatting sqref="CJ13:CK86">
    <cfRule type="containsText" priority="27" operator="containsText" dxfId="36" text="nee">
      <formula>NOT(ISERROR(SEARCH("nee",CJ13)))</formula>
    </cfRule>
  </conditionalFormatting>
  <conditionalFormatting sqref="CL13:CL86">
    <cfRule type="cellIs" priority="28" operator="greaterThan" dxfId="36">
      <formula>5</formula>
    </cfRule>
  </conditionalFormatting>
  <dataValidations count="2">
    <dataValidation sqref="B14:B28" showDropDown="0" showInputMessage="1" showErrorMessage="1" allowBlank="1" prompt=" - " type="list">
      <formula1>namenlijst</formula1>
    </dataValidation>
    <dataValidation sqref="B29:B63" showDropDown="0" showInputMessage="0" showErrorMessage="1" allowBlank="1" type="list">
      <formula1>namenlijst</formula1>
    </dataValidation>
  </dataValidations>
  <pageMargins left="0.7" right="0.7" top="0.75" bottom="0.75" header="0.3" footer="0.3"/>
  <pageSetup orientation="portrait" paperSize="9" scale="26" fitToHeight="0"/>
</worksheet>
</file>

<file path=xl/worksheets/sheet9.xml><?xml version="1.0" encoding="utf-8"?>
<worksheet xmlns="http://schemas.openxmlformats.org/spreadsheetml/2006/main">
  <sheetPr codeName="Sheet9">
    <tabColor rgb="FF1696D0"/>
    <outlinePr summaryBelow="0" summaryRight="0"/>
    <pageSetUpPr fitToPage="1"/>
  </sheetPr>
  <dimension ref="A1:CM87"/>
  <sheetViews>
    <sheetView showGridLines="0" showRowColHeaders="0" tabSelected="1" zoomScaleNormal="100" workbookViewId="0">
      <selection activeCell="AI3" sqref="AI3:AK3"/>
    </sheetView>
  </sheetViews>
  <sheetFormatPr baseColWidth="8" defaultColWidth="17.28515625" defaultRowHeight="15" customHeight="1"/>
  <cols>
    <col width="1.7109375" customWidth="1" style="164" min="1" max="1"/>
    <col width="21.7109375" customWidth="1" style="264" min="2" max="2"/>
    <col width="5.85546875" customWidth="1" style="264" min="3" max="3"/>
    <col width="4.7109375" customWidth="1" style="264" min="4" max="5"/>
    <col width="2.7109375" customWidth="1" style="264" min="6" max="41"/>
    <col width="2.42578125" customWidth="1" style="264" min="42" max="42"/>
    <col width="2.7109375" customWidth="1" style="264" min="43" max="43"/>
    <col hidden="1" width="5.42578125" customWidth="1" style="264" min="44" max="47"/>
    <col width="4.7109375" customWidth="1" style="264" min="48" max="48"/>
    <col width="5" customWidth="1" style="264" min="49" max="50"/>
    <col width="4.140625" customWidth="1" style="264" min="51" max="51"/>
    <col width="12.5703125" customWidth="1" style="264" min="52" max="52"/>
    <col width="5.42578125" customWidth="1" style="264" min="53" max="53"/>
    <col width="2.85546875" customWidth="1" style="264" min="54" max="54"/>
    <col width="18.85546875" customWidth="1" style="264" min="55" max="55"/>
    <col width="0.42578125" customWidth="1" style="264" min="56" max="56"/>
    <col width="4.7109375" customWidth="1" style="264" min="57" max="58"/>
    <col hidden="1" width="3.28515625" customWidth="1" style="264" min="59" max="59"/>
    <col width="0.42578125" customWidth="1" style="264" min="60" max="60"/>
    <col width="4.7109375" customWidth="1" style="264" min="61" max="62"/>
    <col hidden="1" width="3.28515625" customWidth="1" style="264" min="63" max="63"/>
    <col width="0.42578125" customWidth="1" style="264" min="64" max="64"/>
    <col width="4.7109375" customWidth="1" style="264" min="65" max="66"/>
    <col hidden="1" width="3.28515625" customWidth="1" style="264" min="67" max="67"/>
    <col width="0.42578125" customWidth="1" style="264" min="68" max="68"/>
    <col width="4.7109375" customWidth="1" style="264" min="69" max="70"/>
    <col hidden="1" width="3.28515625" customWidth="1" style="264" min="71" max="71"/>
    <col width="0.42578125" customWidth="1" style="264" min="72" max="72"/>
    <col width="4.7109375" customWidth="1" style="264" min="73" max="74"/>
    <col hidden="1" width="3.28515625" customWidth="1" style="264" min="75" max="75"/>
    <col width="0.42578125" customWidth="1" style="264" min="76" max="76"/>
    <col width="4.7109375" customWidth="1" style="264" min="77" max="78"/>
    <col hidden="1" width="3.28515625" customWidth="1" style="264" min="79" max="79"/>
    <col width="0.42578125" customWidth="1" style="264" min="80" max="80"/>
    <col width="4.7109375" customWidth="1" style="264" min="81" max="82"/>
    <col hidden="1" width="3.28515625" customWidth="1" style="264" min="83" max="83"/>
    <col width="0.42578125" customWidth="1" style="264" min="84" max="84"/>
    <col width="5.7109375" customWidth="1" style="264" min="85" max="85"/>
    <col width="0.42578125" customWidth="1" style="264" min="86" max="86"/>
    <col width="3.85546875" customWidth="1" style="264" min="87" max="90"/>
    <col width="0.85546875" customWidth="1" style="264" min="91" max="91"/>
    <col width="17.28515625" customWidth="1" style="264" min="92" max="16384"/>
  </cols>
  <sheetData>
    <row r="1" ht="6" customHeight="1" thickBot="1">
      <c r="A1" s="720">
        <f>CONCATENATE("Planning week ",IF(Access!C4="B","BASIS",IF(Access!C4="","BASIS",WEEKNUM(Access!C4,21))))</f>
        <v/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  <c r="AR1" s="112" t="n"/>
      <c r="AS1" s="112" t="n"/>
      <c r="AT1" s="112" t="n"/>
      <c r="AU1" s="112" t="n"/>
      <c r="AV1" s="113" t="n"/>
    </row>
    <row r="2" ht="14.1" customHeight="1">
      <c r="A2" s="858" t="n"/>
      <c r="B2" s="264" t="n"/>
      <c r="C2" s="264" t="n"/>
      <c r="D2" s="264" t="n"/>
      <c r="E2" s="264" t="n"/>
      <c r="F2" s="264" t="n"/>
      <c r="G2" s="264" t="n"/>
      <c r="H2" s="264" t="n"/>
      <c r="I2" s="264" t="n"/>
      <c r="J2" s="264" t="n"/>
      <c r="K2" s="724" t="n"/>
      <c r="L2" s="859" t="n"/>
      <c r="M2" s="860" t="n"/>
      <c r="N2" s="725" t="inlineStr">
        <is>
          <t>Maandag</t>
        </is>
      </c>
      <c r="O2" s="859" t="n"/>
      <c r="P2" s="860" t="n"/>
      <c r="Q2" s="725" t="inlineStr">
        <is>
          <t>Dinsdag</t>
        </is>
      </c>
      <c r="R2" s="859" t="n"/>
      <c r="S2" s="860" t="n"/>
      <c r="T2" s="725" t="inlineStr">
        <is>
          <t>Woensdag</t>
        </is>
      </c>
      <c r="U2" s="859" t="n"/>
      <c r="V2" s="860" t="n"/>
      <c r="W2" s="725" t="inlineStr">
        <is>
          <t>Donderdag</t>
        </is>
      </c>
      <c r="X2" s="859" t="n"/>
      <c r="Y2" s="860" t="n"/>
      <c r="Z2" s="725" t="inlineStr">
        <is>
          <t>Vrijdag</t>
        </is>
      </c>
      <c r="AA2" s="859" t="n"/>
      <c r="AB2" s="860" t="n"/>
      <c r="AC2" s="725" t="inlineStr">
        <is>
          <t>Zaterdag</t>
        </is>
      </c>
      <c r="AD2" s="859" t="n"/>
      <c r="AE2" s="860" t="n"/>
      <c r="AF2" s="725" t="inlineStr">
        <is>
          <t>Zondag</t>
        </is>
      </c>
      <c r="AG2" s="859" t="n"/>
      <c r="AH2" s="860" t="n"/>
      <c r="AI2" s="740" t="inlineStr">
        <is>
          <t>Totaal</t>
        </is>
      </c>
      <c r="AJ2" s="859" t="n"/>
      <c r="AK2" s="860" t="n"/>
      <c r="AL2" s="258" t="n"/>
      <c r="AM2" s="259" t="n"/>
      <c r="AN2" s="259" t="n"/>
      <c r="AO2" s="259" t="n"/>
      <c r="AP2" s="259" t="n"/>
      <c r="AQ2" s="259" t="n"/>
      <c r="AR2" s="259" t="n"/>
      <c r="AS2" s="259" t="n"/>
      <c r="AT2" s="259" t="n"/>
      <c r="AU2" s="259" t="n"/>
      <c r="AV2" s="114" t="n"/>
      <c r="AW2" s="106" t="n"/>
      <c r="AX2" s="838" t="n"/>
      <c r="AY2" s="861" t="inlineStr">
        <is>
          <t>Planning OK?</t>
        </is>
      </c>
      <c r="AZ2" s="862" t="n"/>
      <c r="BA2" s="19" t="n"/>
      <c r="BB2" s="838" t="n"/>
      <c r="BC2" s="20" t="n"/>
      <c r="BD2" s="20" t="n"/>
      <c r="BE2" s="20" t="n"/>
      <c r="BF2" s="20" t="n"/>
      <c r="BG2" s="20" t="n"/>
      <c r="BH2" s="20" t="n"/>
      <c r="BI2" s="20" t="n"/>
      <c r="BJ2" s="20" t="n"/>
      <c r="BK2" s="20" t="n"/>
      <c r="BL2" s="20" t="n"/>
      <c r="BM2" s="20" t="n"/>
      <c r="BN2" s="20" t="n"/>
      <c r="BO2" s="20" t="n"/>
      <c r="BP2" s="20" t="n"/>
      <c r="BQ2" s="20" t="n"/>
      <c r="BR2" s="20" t="n"/>
      <c r="BS2" s="20" t="n"/>
      <c r="BT2" s="20" t="n"/>
      <c r="BU2" s="20" t="n"/>
      <c r="BV2" s="20" t="n"/>
      <c r="BW2" s="20" t="n"/>
      <c r="BX2" s="20" t="n"/>
      <c r="BY2" s="20" t="n"/>
      <c r="BZ2" s="20" t="n"/>
      <c r="CA2" s="20" t="n"/>
      <c r="CB2" s="20" t="n"/>
      <c r="CC2" s="20" t="n"/>
      <c r="CD2" s="20" t="n"/>
      <c r="CE2" s="20" t="n"/>
      <c r="CF2" s="20" t="n"/>
      <c r="CG2" s="20" t="n"/>
      <c r="CH2" s="20" t="n"/>
      <c r="CI2" s="20" t="n"/>
      <c r="CJ2" s="20" t="n"/>
      <c r="CK2" s="20" t="n"/>
      <c r="CL2" s="20" t="n"/>
      <c r="CM2" s="20" t="n"/>
    </row>
    <row r="3" ht="14.1" customHeight="1">
      <c r="A3" s="858" t="n"/>
      <c r="B3" s="264" t="n"/>
      <c r="C3" s="264" t="n"/>
      <c r="D3" s="264" t="n"/>
      <c r="E3" s="264" t="n"/>
      <c r="F3" s="264" t="n"/>
      <c r="G3" s="264" t="n"/>
      <c r="H3" s="264" t="n"/>
      <c r="I3" s="264" t="n"/>
      <c r="J3" s="264" t="n"/>
      <c r="K3" s="728" t="inlineStr">
        <is>
          <t>Gepland</t>
        </is>
      </c>
      <c r="L3" s="863" t="n"/>
      <c r="M3" s="864" t="n"/>
      <c r="N3" s="731">
        <f>Ma!AV65</f>
        <v/>
      </c>
      <c r="O3" s="863" t="n"/>
      <c r="P3" s="864" t="n"/>
      <c r="Q3" s="731">
        <f>Di!AV65</f>
        <v/>
      </c>
      <c r="R3" s="863" t="n"/>
      <c r="S3" s="864" t="n"/>
      <c r="T3" s="731">
        <f>Wo!AV65</f>
        <v/>
      </c>
      <c r="U3" s="863" t="n"/>
      <c r="V3" s="864" t="n"/>
      <c r="W3" s="731">
        <f>Do!AV65</f>
        <v/>
      </c>
      <c r="X3" s="863" t="n"/>
      <c r="Y3" s="864" t="n"/>
      <c r="Z3" s="731">
        <f>Vr!AV65</f>
        <v/>
      </c>
      <c r="AA3" s="863" t="n"/>
      <c r="AB3" s="864" t="n"/>
      <c r="AC3" s="730">
        <f>Za!AV65</f>
        <v/>
      </c>
      <c r="AD3" s="863" t="n"/>
      <c r="AE3" s="864" t="n"/>
      <c r="AF3" s="731">
        <f>Zo!AV65</f>
        <v/>
      </c>
      <c r="AG3" s="863" t="n"/>
      <c r="AH3" s="864" t="n"/>
      <c r="AI3" s="713">
        <f>SUM(N3:AH3)</f>
        <v/>
      </c>
      <c r="AJ3" s="863" t="n"/>
      <c r="AK3" s="864" t="n"/>
      <c r="AL3" s="96" t="n"/>
      <c r="AM3" s="96" t="n"/>
      <c r="AN3" s="96" t="n"/>
      <c r="AO3" s="96" t="n"/>
      <c r="AP3" s="96" t="n"/>
      <c r="AQ3" s="96" t="n"/>
      <c r="AR3" s="96" t="n"/>
      <c r="AS3" s="96" t="n"/>
      <c r="AT3" s="96" t="n"/>
      <c r="AU3" s="96" t="n"/>
      <c r="AV3" s="114" t="n"/>
      <c r="AW3" s="106" t="n"/>
      <c r="AX3" s="838" t="n"/>
      <c r="AY3" s="865">
        <f>IF(SUM(A13:A63)=1326,"JA","NEE")</f>
        <v/>
      </c>
      <c r="AZ3" s="866" t="n"/>
      <c r="BA3" s="19" t="n"/>
      <c r="BB3" s="838" t="n"/>
      <c r="BC3" s="20" t="n"/>
      <c r="BD3" s="20" t="n"/>
      <c r="BE3" s="20" t="n"/>
      <c r="BF3" s="20" t="n"/>
      <c r="BG3" s="20" t="n"/>
      <c r="BH3" s="20" t="n"/>
      <c r="BI3" s="20" t="n"/>
      <c r="BJ3" s="20" t="n"/>
      <c r="BK3" s="20" t="n"/>
      <c r="BL3" s="20" t="n"/>
      <c r="BM3" s="20" t="n"/>
      <c r="BN3" s="20" t="n"/>
      <c r="BO3" s="20" t="n"/>
      <c r="BP3" s="20" t="n"/>
      <c r="BQ3" s="20" t="n"/>
      <c r="BR3" s="20" t="n"/>
      <c r="BS3" s="20" t="n"/>
      <c r="BT3" s="20" t="n"/>
      <c r="BU3" s="20" t="n"/>
      <c r="BV3" s="20" t="n"/>
      <c r="BW3" s="20" t="n"/>
      <c r="BX3" s="20" t="n"/>
      <c r="BY3" s="20" t="n"/>
      <c r="BZ3" s="20" t="n"/>
      <c r="CA3" s="20" t="n"/>
      <c r="CB3" s="20" t="n"/>
      <c r="CC3" s="20" t="n"/>
      <c r="CD3" s="20" t="n"/>
      <c r="CE3" s="20" t="n"/>
      <c r="CF3" s="20" t="n"/>
      <c r="CG3" s="20" t="n"/>
      <c r="CH3" s="20" t="n"/>
      <c r="CI3" s="20" t="n"/>
      <c r="CJ3" s="20" t="n"/>
      <c r="CK3" s="20" t="n"/>
      <c r="CL3" s="20" t="n"/>
      <c r="CM3" s="20" t="n"/>
    </row>
    <row r="4" ht="14.1" customHeight="1">
      <c r="A4" s="867">
        <f>CONCATENATE("zaterdag ",IF(Access!C4="","",TEXT(Access!C4+5,"D-M-JJJJ")))</f>
        <v/>
      </c>
      <c r="B4" s="264" t="n"/>
      <c r="C4" s="264" t="n"/>
      <c r="D4" s="264" t="n"/>
      <c r="E4" s="264" t="n"/>
      <c r="F4" s="264" t="n"/>
      <c r="G4" s="264" t="n"/>
      <c r="H4" s="264" t="n"/>
      <c r="I4" s="264" t="n"/>
      <c r="J4" s="264" t="n"/>
      <c r="K4" s="728" t="inlineStr">
        <is>
          <t>Norm</t>
        </is>
      </c>
      <c r="L4" s="863" t="n"/>
      <c r="M4" s="864" t="n"/>
      <c r="N4" s="731">
        <f>Instellingen!F23</f>
        <v/>
      </c>
      <c r="O4" s="863" t="n"/>
      <c r="P4" s="864" t="n"/>
      <c r="Q4" s="731">
        <f>Instellingen!G23</f>
        <v/>
      </c>
      <c r="R4" s="863" t="n"/>
      <c r="S4" s="864" t="n"/>
      <c r="T4" s="731">
        <f>Instellingen!H23</f>
        <v/>
      </c>
      <c r="U4" s="863" t="n"/>
      <c r="V4" s="864" t="n"/>
      <c r="W4" s="731">
        <f>Instellingen!I23</f>
        <v/>
      </c>
      <c r="X4" s="863" t="n"/>
      <c r="Y4" s="864" t="n"/>
      <c r="Z4" s="731">
        <f>Instellingen!J23</f>
        <v/>
      </c>
      <c r="AA4" s="863" t="n"/>
      <c r="AB4" s="864" t="n"/>
      <c r="AC4" s="730">
        <f>Instellingen!K23</f>
        <v/>
      </c>
      <c r="AD4" s="863" t="n"/>
      <c r="AE4" s="864" t="n"/>
      <c r="AF4" s="731">
        <f>Instellingen!L23</f>
        <v/>
      </c>
      <c r="AG4" s="863" t="n"/>
      <c r="AH4" s="864" t="n"/>
      <c r="AI4" s="713">
        <f>Begroting!N71</f>
        <v/>
      </c>
      <c r="AJ4" s="863" t="n"/>
      <c r="AK4" s="864" t="n"/>
      <c r="AL4" s="96" t="n"/>
      <c r="AM4" s="96" t="n"/>
      <c r="AN4" s="96" t="n"/>
      <c r="AO4" s="96" t="n"/>
      <c r="AP4" s="96" t="n"/>
      <c r="AQ4" s="96" t="n"/>
      <c r="AR4" s="96" t="n"/>
      <c r="AS4" s="96" t="n"/>
      <c r="AT4" s="96" t="n"/>
      <c r="AU4" s="96" t="n"/>
      <c r="AV4" s="114" t="n"/>
      <c r="AW4" s="106" t="n"/>
      <c r="AX4" s="838" t="n"/>
      <c r="AY4" s="868" t="n"/>
      <c r="AZ4" s="869" t="n"/>
      <c r="BA4" s="19" t="n"/>
      <c r="BB4" s="838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20" t="n"/>
      <c r="BU4" s="20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  <c r="CE4" s="20" t="n"/>
      <c r="CF4" s="20" t="n"/>
      <c r="CG4" s="20" t="n"/>
      <c r="CH4" s="20" t="n"/>
      <c r="CI4" s="20" t="n"/>
      <c r="CJ4" s="20" t="n"/>
      <c r="CK4" s="20" t="n"/>
      <c r="CL4" s="20" t="n"/>
      <c r="CM4" s="20" t="n"/>
    </row>
    <row r="5" ht="14.1" customHeight="1" thickBot="1">
      <c r="A5" s="858" t="n"/>
      <c r="B5" s="264" t="n"/>
      <c r="C5" s="264" t="n"/>
      <c r="D5" s="264" t="n"/>
      <c r="E5" s="264" t="n"/>
      <c r="F5" s="264" t="n"/>
      <c r="G5" s="264" t="n"/>
      <c r="H5" s="264" t="n"/>
      <c r="I5" s="264" t="n"/>
      <c r="J5" s="264" t="n"/>
      <c r="K5" s="732" t="inlineStr">
        <is>
          <t>Verschil</t>
        </is>
      </c>
      <c r="L5" s="870" t="n"/>
      <c r="M5" s="871" t="n"/>
      <c r="N5" s="735">
        <f>N4-N3</f>
        <v/>
      </c>
      <c r="O5" s="870" t="n"/>
      <c r="P5" s="871" t="n"/>
      <c r="Q5" s="735">
        <f>Q4-Q3</f>
        <v/>
      </c>
      <c r="R5" s="870" t="n"/>
      <c r="S5" s="871" t="n"/>
      <c r="T5" s="735">
        <f>T4-T3</f>
        <v/>
      </c>
      <c r="U5" s="870" t="n"/>
      <c r="V5" s="871" t="n"/>
      <c r="W5" s="735">
        <f>W4-W3</f>
        <v/>
      </c>
      <c r="X5" s="870" t="n"/>
      <c r="Y5" s="871" t="n"/>
      <c r="Z5" s="735">
        <f>Z4-Z3</f>
        <v/>
      </c>
      <c r="AA5" s="870" t="n"/>
      <c r="AB5" s="871" t="n"/>
      <c r="AC5" s="734">
        <f>AC4-AC3</f>
        <v/>
      </c>
      <c r="AD5" s="870" t="n"/>
      <c r="AE5" s="871" t="n"/>
      <c r="AF5" s="735">
        <f>AF4-AF3</f>
        <v/>
      </c>
      <c r="AG5" s="870" t="n"/>
      <c r="AH5" s="871" t="n"/>
      <c r="AI5" s="742">
        <f>AI4-AI3</f>
        <v/>
      </c>
      <c r="AJ5" s="870" t="n"/>
      <c r="AK5" s="871" t="n"/>
      <c r="AL5" s="96" t="n"/>
      <c r="AM5" s="96" t="n"/>
      <c r="AN5" s="96" t="n"/>
      <c r="AO5" s="96" t="n"/>
      <c r="AP5" s="96" t="n"/>
      <c r="AQ5" s="96" t="n"/>
      <c r="AR5" s="96" t="n"/>
      <c r="AS5" s="96" t="n"/>
      <c r="AT5" s="96" t="n"/>
      <c r="AU5" s="96" t="n"/>
      <c r="AV5" s="114" t="n"/>
      <c r="AW5" s="123" t="n"/>
      <c r="AX5" s="125" t="n"/>
      <c r="AY5" s="125" t="n"/>
      <c r="AZ5" s="125" t="n"/>
      <c r="BA5" s="125" t="n"/>
      <c r="BB5" s="124" t="n"/>
      <c r="BC5" s="838" t="n"/>
      <c r="BD5" s="838" t="n"/>
      <c r="BE5" s="838" t="n"/>
      <c r="BF5" s="838" t="n"/>
      <c r="BG5" s="838" t="n"/>
      <c r="BH5" s="838" t="n"/>
      <c r="BI5" s="838" t="n"/>
      <c r="BJ5" s="838" t="n"/>
      <c r="BK5" s="838" t="n"/>
      <c r="BL5" s="838" t="n"/>
      <c r="BM5" s="838" t="n"/>
      <c r="BN5" s="838" t="n"/>
      <c r="BO5" s="838" t="n"/>
      <c r="BP5" s="838" t="n"/>
      <c r="BQ5" s="21" t="n"/>
      <c r="BR5" s="21" t="n"/>
      <c r="BS5" s="21" t="n"/>
      <c r="BT5" s="21" t="n"/>
      <c r="BU5" s="21" t="n"/>
      <c r="BV5" s="21" t="n"/>
      <c r="BW5" s="21" t="n"/>
      <c r="BX5" s="21" t="n"/>
      <c r="BY5" s="21" t="n"/>
      <c r="BZ5" s="21" t="n"/>
      <c r="CA5" s="21" t="n"/>
      <c r="CB5" s="21" t="n"/>
      <c r="CC5" s="21" t="n"/>
      <c r="CD5" s="21" t="n"/>
      <c r="CE5" s="21" t="n"/>
      <c r="CF5" s="21" t="n"/>
      <c r="CG5" s="21" t="n"/>
      <c r="CH5" s="21" t="n"/>
      <c r="CI5" s="21" t="n"/>
      <c r="CJ5" s="21" t="n"/>
      <c r="CK5" s="21" t="n"/>
      <c r="CL5" s="21" t="n"/>
      <c r="CM5" s="21" t="n"/>
    </row>
    <row r="6" ht="5.1" customHeight="1">
      <c r="A6" s="165" t="n"/>
      <c r="B6" s="96" t="n"/>
      <c r="C6" s="96" t="n"/>
      <c r="D6" s="96" t="n"/>
      <c r="E6" s="96" t="n"/>
      <c r="F6" s="96" t="n"/>
      <c r="G6" s="96" t="n"/>
      <c r="H6" s="96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  <c r="AA6" s="96" t="n"/>
      <c r="AB6" s="96" t="n"/>
      <c r="AC6" s="96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6" t="n"/>
      <c r="AM6" s="96" t="n"/>
      <c r="AN6" s="96" t="n"/>
      <c r="AO6" s="96" t="n"/>
      <c r="AP6" s="96" t="n"/>
      <c r="AQ6" s="96" t="n"/>
      <c r="AR6" s="96" t="n"/>
      <c r="AS6" s="96" t="n"/>
      <c r="AT6" s="96" t="n"/>
      <c r="AU6" s="96" t="n"/>
      <c r="AV6" s="114" t="n"/>
      <c r="AW6" s="123" t="n"/>
      <c r="AX6" s="744">
        <f>IFERROR(VLOOKUP(Access!C4+5,'Instellingen HIDE'!H:I,2,FALSE),"")</f>
        <v/>
      </c>
      <c r="AY6" s="264" t="n"/>
      <c r="AZ6" s="264" t="n"/>
      <c r="BA6" s="264" t="n"/>
      <c r="BB6" s="124" t="n"/>
      <c r="BC6" s="838" t="n"/>
      <c r="BD6" s="838" t="n"/>
      <c r="BE6" s="838" t="n"/>
      <c r="BF6" s="838" t="n"/>
      <c r="BG6" s="838" t="n"/>
      <c r="BH6" s="838" t="n"/>
      <c r="BI6" s="838" t="n"/>
      <c r="BJ6" s="838" t="n"/>
      <c r="BK6" s="838" t="n"/>
      <c r="BL6" s="838" t="n"/>
      <c r="BM6" s="838" t="n"/>
      <c r="BN6" s="838" t="n"/>
      <c r="BO6" s="838" t="n"/>
      <c r="BP6" s="838" t="n"/>
      <c r="BQ6" s="21" t="n"/>
      <c r="BR6" s="21" t="n"/>
      <c r="BS6" s="21" t="n"/>
      <c r="BT6" s="21" t="n"/>
      <c r="BU6" s="21" t="n"/>
      <c r="BV6" s="21" t="n"/>
      <c r="BW6" s="21" t="n"/>
      <c r="BX6" s="21" t="n"/>
      <c r="BY6" s="21" t="n"/>
      <c r="BZ6" s="21" t="n"/>
      <c r="CA6" s="21" t="n"/>
      <c r="CB6" s="21" t="n"/>
      <c r="CC6" s="21" t="n"/>
      <c r="CD6" s="21" t="n"/>
      <c r="CE6" s="21" t="n"/>
      <c r="CF6" s="21" t="n"/>
      <c r="CG6" s="21" t="n"/>
      <c r="CH6" s="21" t="n"/>
      <c r="CI6" s="21" t="n"/>
      <c r="CJ6" s="21" t="n"/>
      <c r="CK6" s="21" t="n"/>
      <c r="CL6" s="21" t="n"/>
      <c r="CM6" s="21" t="n"/>
    </row>
    <row r="7" ht="3" customHeight="1">
      <c r="A7" s="604" t="n"/>
      <c r="B7" s="605" t="n"/>
      <c r="C7" s="605" t="n"/>
      <c r="D7" s="605" t="n"/>
      <c r="E7" s="605" t="n"/>
      <c r="F7" s="605" t="n"/>
      <c r="G7" s="605" t="n"/>
      <c r="H7" s="605" t="n"/>
      <c r="I7" s="605" t="n"/>
      <c r="J7" s="605" t="n"/>
      <c r="K7" s="605" t="n"/>
      <c r="L7" s="605" t="n"/>
      <c r="M7" s="605" t="n"/>
      <c r="N7" s="605" t="n"/>
      <c r="O7" s="605" t="n"/>
      <c r="P7" s="605" t="n"/>
      <c r="Q7" s="605" t="n"/>
      <c r="R7" s="605" t="n"/>
      <c r="S7" s="605" t="n"/>
      <c r="T7" s="605" t="n"/>
      <c r="U7" s="605" t="n"/>
      <c r="V7" s="605" t="n"/>
      <c r="W7" s="605" t="n"/>
      <c r="X7" s="605" t="n"/>
      <c r="Y7" s="605" t="n"/>
      <c r="Z7" s="605" t="n"/>
      <c r="AA7" s="605" t="n"/>
      <c r="AB7" s="605" t="n"/>
      <c r="AC7" s="605" t="n"/>
      <c r="AD7" s="605" t="n"/>
      <c r="AE7" s="605" t="n"/>
      <c r="AF7" s="605" t="n"/>
      <c r="AG7" s="605" t="n"/>
      <c r="AH7" s="605" t="n"/>
      <c r="AI7" s="605" t="n"/>
      <c r="AJ7" s="605" t="n"/>
      <c r="AK7" s="605" t="n"/>
      <c r="AL7" s="605" t="n"/>
      <c r="AM7" s="605" t="n"/>
      <c r="AN7" s="605" t="n"/>
      <c r="AO7" s="605" t="n"/>
      <c r="AP7" s="605" t="n"/>
      <c r="AQ7" s="605" t="n"/>
      <c r="AR7" s="605" t="n"/>
      <c r="AS7" s="605" t="n"/>
      <c r="AT7" s="605" t="n"/>
      <c r="AU7" s="605" t="n"/>
      <c r="AV7" s="605" t="n"/>
      <c r="AW7" s="124" t="n"/>
      <c r="AX7" s="264" t="n"/>
      <c r="AY7" s="264" t="n"/>
      <c r="AZ7" s="264" t="n"/>
      <c r="BA7" s="264" t="n"/>
      <c r="BB7" s="124" t="n"/>
      <c r="BC7" s="838" t="n"/>
      <c r="BD7" s="838" t="n"/>
      <c r="BE7" s="838" t="n"/>
      <c r="BF7" s="838" t="n"/>
      <c r="BG7" s="838" t="n"/>
      <c r="BH7" s="838" t="n"/>
      <c r="BI7" s="838" t="n"/>
      <c r="BJ7" s="838" t="n"/>
      <c r="BK7" s="838" t="n"/>
      <c r="BL7" s="838" t="n"/>
      <c r="BM7" s="838" t="n"/>
      <c r="BN7" s="838" t="n"/>
      <c r="BO7" s="838" t="n"/>
      <c r="BP7" s="838" t="n"/>
      <c r="BQ7" s="21" t="n"/>
      <c r="BR7" s="21" t="n"/>
      <c r="BS7" s="21" t="n"/>
      <c r="BT7" s="21" t="n"/>
      <c r="BU7" s="21" t="n"/>
      <c r="BV7" s="21" t="n"/>
      <c r="BW7" s="21" t="n"/>
      <c r="BX7" s="21" t="n"/>
      <c r="BY7" s="21" t="n"/>
      <c r="BZ7" s="21" t="n"/>
      <c r="CA7" s="21" t="n"/>
      <c r="CB7" s="21" t="n"/>
      <c r="CC7" s="21" t="n"/>
      <c r="CD7" s="21" t="n"/>
      <c r="CE7" s="21" t="n"/>
      <c r="CF7" s="21" t="n"/>
      <c r="CG7" s="21" t="n"/>
      <c r="CH7" s="21" t="n"/>
      <c r="CI7" s="21" t="n"/>
      <c r="CJ7" s="21" t="n"/>
      <c r="CK7" s="21" t="n"/>
      <c r="CL7" s="21" t="n"/>
      <c r="CM7" s="21" t="n"/>
    </row>
    <row r="8" ht="3" customHeight="1">
      <c r="A8" s="602" t="n"/>
      <c r="B8" s="603" t="n"/>
      <c r="C8" s="603" t="n"/>
      <c r="D8" s="603" t="n"/>
      <c r="E8" s="603" t="n"/>
      <c r="F8" s="603" t="n"/>
      <c r="G8" s="603" t="n"/>
      <c r="H8" s="603" t="n"/>
      <c r="I8" s="603" t="n"/>
      <c r="J8" s="603" t="n"/>
      <c r="K8" s="603" t="n"/>
      <c r="L8" s="603" t="n"/>
      <c r="M8" s="603" t="n"/>
      <c r="N8" s="603" t="n"/>
      <c r="O8" s="603" t="n"/>
      <c r="P8" s="603" t="n"/>
      <c r="Q8" s="603" t="n"/>
      <c r="R8" s="603" t="n"/>
      <c r="S8" s="603" t="n"/>
      <c r="T8" s="603" t="n"/>
      <c r="U8" s="603" t="n"/>
      <c r="V8" s="603" t="n"/>
      <c r="W8" s="603" t="n"/>
      <c r="X8" s="603" t="n"/>
      <c r="Y8" s="603" t="n"/>
      <c r="Z8" s="603" t="n"/>
      <c r="AA8" s="603" t="n"/>
      <c r="AB8" s="603" t="n"/>
      <c r="AC8" s="603" t="n"/>
      <c r="AD8" s="603" t="n"/>
      <c r="AE8" s="603" t="n"/>
      <c r="AF8" s="603" t="n"/>
      <c r="AG8" s="603" t="n"/>
      <c r="AH8" s="603" t="n"/>
      <c r="AI8" s="603" t="n"/>
      <c r="AJ8" s="603" t="n"/>
      <c r="AK8" s="603" t="n"/>
      <c r="AL8" s="603" t="n"/>
      <c r="AM8" s="603" t="n"/>
      <c r="AN8" s="603" t="n"/>
      <c r="AO8" s="603" t="n"/>
      <c r="AP8" s="603" t="n"/>
      <c r="AQ8" s="603" t="n"/>
      <c r="AR8" s="603" t="n"/>
      <c r="AS8" s="603" t="n"/>
      <c r="AT8" s="603" t="n"/>
      <c r="AU8" s="603" t="n"/>
      <c r="AV8" s="603" t="n"/>
      <c r="AW8" s="124" t="n"/>
      <c r="AX8" s="264" t="n"/>
      <c r="AY8" s="264" t="n"/>
      <c r="AZ8" s="264" t="n"/>
      <c r="BA8" s="264" t="n"/>
      <c r="BB8" s="124" t="n"/>
      <c r="BC8" s="838" t="n"/>
      <c r="BD8" s="838" t="n"/>
      <c r="BE8" s="838" t="n"/>
      <c r="BF8" s="838" t="n"/>
      <c r="BG8" s="838" t="n"/>
      <c r="BH8" s="838" t="n"/>
      <c r="BI8" s="838" t="n"/>
      <c r="BJ8" s="838" t="n"/>
      <c r="BK8" s="838" t="n"/>
      <c r="BL8" s="838" t="n"/>
      <c r="BM8" s="838" t="n"/>
      <c r="BN8" s="838" t="n"/>
      <c r="BO8" s="838" t="n"/>
      <c r="BP8" s="838" t="n"/>
      <c r="BQ8" s="21" t="n"/>
      <c r="BR8" s="21" t="n"/>
      <c r="BS8" s="21" t="n"/>
      <c r="BT8" s="21" t="n"/>
      <c r="BU8" s="21" t="n"/>
      <c r="BV8" s="21" t="n"/>
      <c r="BW8" s="21" t="n"/>
      <c r="BX8" s="21" t="n"/>
      <c r="BY8" s="21" t="n"/>
      <c r="BZ8" s="21" t="n"/>
      <c r="CA8" s="21" t="n"/>
      <c r="CB8" s="21" t="n"/>
      <c r="CC8" s="21" t="n"/>
      <c r="CD8" s="21" t="n"/>
      <c r="CE8" s="21" t="n"/>
      <c r="CF8" s="21" t="n"/>
      <c r="CG8" s="21" t="n"/>
      <c r="CH8" s="21" t="n"/>
      <c r="CI8" s="21" t="n"/>
      <c r="CJ8" s="21" t="n"/>
      <c r="CK8" s="21" t="n"/>
      <c r="CL8" s="21" t="n"/>
      <c r="CM8" s="21" t="n"/>
    </row>
    <row r="9" ht="12" customHeight="1">
      <c r="A9" s="159" t="n"/>
      <c r="B9" s="838">
        <f>CONCATENATE("AH ",VLOOKUP(Access!C3,'Instellingen HIDE'!A:B,2,FALSE),", ",VLOOKUP(Access!C3,'Instellingen HIDE'!A:C,3,FALSE),", ",VLOOKUP(Access!C3,'Instellingen HIDE'!A:D,4,FALSE)," ",VLOOKUP(Access!C3,'Instellingen HIDE'!A:E,5,FALSE),", (telefoon: ",VLOOKUP(Access!C3,'Instellingen HIDE'!A:F,6,FALSE),")")</f>
        <v/>
      </c>
      <c r="C9" s="838" t="n"/>
      <c r="D9" s="838" t="n"/>
      <c r="E9" s="838" t="n"/>
      <c r="F9" s="838" t="n"/>
      <c r="G9" s="838" t="n"/>
      <c r="H9" s="838" t="n"/>
      <c r="I9" s="838" t="n"/>
      <c r="J9" s="838" t="n"/>
      <c r="K9" s="838" t="n"/>
      <c r="L9" s="838" t="n"/>
      <c r="M9" s="838" t="n"/>
      <c r="N9" s="838" t="n"/>
      <c r="O9" s="838" t="n"/>
      <c r="P9" s="838" t="n"/>
      <c r="Q9" s="838" t="n"/>
      <c r="R9" s="838" t="n"/>
      <c r="S9" s="838" t="n"/>
      <c r="T9" s="838" t="n"/>
      <c r="U9" s="838" t="n"/>
      <c r="V9" s="838" t="n"/>
      <c r="W9" s="838" t="n"/>
      <c r="X9" s="838" t="n"/>
      <c r="Y9" s="838" t="n"/>
      <c r="Z9" s="838" t="n"/>
      <c r="AA9" s="838" t="n"/>
      <c r="AB9" s="838" t="n"/>
      <c r="AC9" s="838" t="n"/>
      <c r="AD9" s="838" t="n"/>
      <c r="AE9" s="838" t="n"/>
      <c r="AF9" s="838" t="n"/>
      <c r="AG9" s="838" t="n"/>
      <c r="AH9" s="838" t="n"/>
      <c r="AI9" s="838" t="n"/>
      <c r="AJ9" s="838" t="n"/>
      <c r="AK9" s="838" t="n"/>
      <c r="AL9" s="838" t="n"/>
      <c r="AM9" s="838" t="n"/>
      <c r="AN9" s="838" t="n"/>
      <c r="AO9" s="838" t="n"/>
      <c r="AP9" s="838" t="n"/>
      <c r="AQ9" s="838" t="n"/>
      <c r="AR9" s="838" t="n"/>
      <c r="AS9" s="838" t="n"/>
      <c r="AT9" s="838" t="n"/>
      <c r="AU9" s="838" t="n"/>
      <c r="AV9" s="115" t="inlineStr">
        <is>
          <t>DagritmeONLINE Versie  100.53</t>
        </is>
      </c>
      <c r="AW9" s="123" t="n"/>
      <c r="AX9" s="264" t="n"/>
      <c r="AY9" s="264" t="n"/>
      <c r="AZ9" s="264" t="n"/>
      <c r="BA9" s="264" t="n"/>
      <c r="BB9" s="124" t="n"/>
      <c r="BC9" s="838" t="n"/>
      <c r="BD9" s="838" t="n"/>
      <c r="BE9" s="838" t="n"/>
      <c r="BF9" s="838" t="n"/>
      <c r="BG9" s="838" t="n"/>
      <c r="BH9" s="838" t="n"/>
      <c r="BI9" s="838" t="n"/>
      <c r="BJ9" s="838" t="n"/>
      <c r="BK9" s="838" t="n"/>
      <c r="BL9" s="838" t="n"/>
      <c r="BM9" s="838" t="n"/>
      <c r="BN9" s="838" t="n"/>
      <c r="BO9" s="838" t="n"/>
      <c r="BP9" s="838" t="n"/>
      <c r="BQ9" s="21" t="n"/>
      <c r="BR9" s="21" t="n"/>
      <c r="BS9" s="21" t="n"/>
      <c r="BT9" s="21" t="n"/>
      <c r="BU9" s="21" t="n"/>
      <c r="BV9" s="21" t="n"/>
      <c r="BW9" s="21" t="n"/>
      <c r="BX9" s="21" t="n"/>
      <c r="BY9" s="21" t="n"/>
      <c r="BZ9" s="21" t="n"/>
      <c r="CA9" s="21" t="n"/>
      <c r="CB9" s="21" t="n"/>
      <c r="CC9" s="21" t="n"/>
      <c r="CD9" s="21" t="n"/>
      <c r="CE9" s="21" t="n"/>
      <c r="CF9" s="21" t="n"/>
      <c r="CG9" s="21" t="n"/>
      <c r="CH9" s="21" t="n"/>
      <c r="CI9" s="21" t="n"/>
      <c r="CJ9" s="21" t="n"/>
      <c r="CK9" s="21" t="n"/>
      <c r="CL9" s="21" t="n"/>
      <c r="CM9" s="21" t="n"/>
    </row>
    <row r="10" ht="6" customHeight="1">
      <c r="A10" s="160" t="n"/>
      <c r="B10" s="95" t="n"/>
      <c r="C10" s="95" t="n"/>
      <c r="D10" s="95" t="n"/>
      <c r="E10" s="95" t="n"/>
      <c r="F10" s="95" t="n"/>
      <c r="G10" s="95" t="n"/>
      <c r="H10" s="95" t="n"/>
      <c r="I10" s="95" t="n"/>
      <c r="J10" s="95" t="n"/>
      <c r="K10" s="95" t="n"/>
      <c r="L10" s="95" t="n"/>
      <c r="M10" s="95" t="n"/>
      <c r="N10" s="95" t="n"/>
      <c r="O10" s="95" t="n"/>
      <c r="P10" s="95" t="n"/>
      <c r="Q10" s="95" t="n"/>
      <c r="R10" s="95" t="n"/>
      <c r="S10" s="95" t="n"/>
      <c r="T10" s="95" t="n"/>
      <c r="U10" s="95" t="n"/>
      <c r="V10" s="95" t="n"/>
      <c r="W10" s="95" t="n"/>
      <c r="X10" s="95" t="n"/>
      <c r="Y10" s="95" t="n"/>
      <c r="Z10" s="95" t="n"/>
      <c r="AA10" s="95" t="n"/>
      <c r="AB10" s="95" t="n"/>
      <c r="AC10" s="95" t="n"/>
      <c r="AD10" s="95" t="n"/>
      <c r="AE10" s="95" t="n"/>
      <c r="AF10" s="95" t="n"/>
      <c r="AG10" s="95" t="n"/>
      <c r="AH10" s="95" t="n"/>
      <c r="AI10" s="95" t="n"/>
      <c r="AJ10" s="95" t="n"/>
      <c r="AK10" s="95" t="n"/>
      <c r="AL10" s="95" t="n"/>
      <c r="AM10" s="95" t="n"/>
      <c r="AN10" s="95" t="n"/>
      <c r="AO10" s="95" t="n"/>
      <c r="AP10" s="95" t="n"/>
      <c r="AQ10" s="95" t="n"/>
      <c r="AR10" s="95" t="n"/>
      <c r="AS10" s="95" t="n"/>
      <c r="AT10" s="95" t="n"/>
      <c r="AU10" s="95" t="n"/>
      <c r="AV10" s="114" t="n"/>
      <c r="AW10" s="106" t="n"/>
      <c r="AX10" s="745" t="n"/>
      <c r="AY10" s="264" t="n"/>
      <c r="AZ10" s="264" t="n"/>
      <c r="BA10" s="264" t="n"/>
      <c r="BB10" s="838" t="n"/>
      <c r="BC10" s="838" t="n"/>
      <c r="BD10" s="838" t="n"/>
      <c r="BE10" s="838" t="n"/>
      <c r="BF10" s="838" t="n"/>
      <c r="BG10" s="838" t="n"/>
      <c r="BH10" s="838" t="n"/>
      <c r="BI10" s="838" t="n"/>
      <c r="BJ10" s="838" t="n"/>
      <c r="BK10" s="838" t="n"/>
      <c r="BL10" s="838" t="n"/>
      <c r="BM10" s="838" t="n"/>
      <c r="BN10" s="838" t="n"/>
      <c r="BO10" s="838" t="n"/>
      <c r="BP10" s="838" t="n"/>
      <c r="BQ10" s="21" t="n"/>
      <c r="BR10" s="21" t="n"/>
      <c r="BS10" s="21" t="n"/>
      <c r="BT10" s="21" t="n"/>
      <c r="BU10" s="21" t="n"/>
      <c r="BV10" s="21" t="n"/>
      <c r="BW10" s="21" t="n"/>
      <c r="BX10" s="21" t="n"/>
      <c r="BY10" s="21" t="n"/>
      <c r="BZ10" s="21" t="n"/>
      <c r="CA10" s="21" t="n"/>
      <c r="CB10" s="21" t="n"/>
      <c r="CC10" s="21" t="n"/>
      <c r="CD10" s="21" t="n"/>
      <c r="CE10" s="21" t="n"/>
      <c r="CF10" s="21" t="n"/>
      <c r="CG10" s="21" t="n"/>
      <c r="CH10" s="21" t="n"/>
      <c r="CI10" s="21" t="n"/>
      <c r="CJ10" s="21" t="n"/>
      <c r="CK10" s="21" t="n"/>
      <c r="CL10" s="21" t="n"/>
      <c r="CM10" s="21" t="n"/>
    </row>
    <row r="11" hidden="1" ht="13.5" customHeight="1">
      <c r="A11" s="159" t="n"/>
      <c r="B11" s="838" t="n"/>
      <c r="C11" s="95" t="n"/>
      <c r="D11" s="95" t="n"/>
      <c r="E11" s="95" t="n"/>
      <c r="F11" s="23" t="n">
        <v>0.2083333333333333</v>
      </c>
      <c r="G11" s="24" t="n">
        <v>0.2291666666666667</v>
      </c>
      <c r="H11" s="24" t="n">
        <v>0.25</v>
      </c>
      <c r="I11" s="24" t="n">
        <v>0.2708333333333333</v>
      </c>
      <c r="J11" s="24" t="n">
        <v>0.2916666666666667</v>
      </c>
      <c r="K11" s="24" t="n">
        <v>0.3125</v>
      </c>
      <c r="L11" s="24" t="n">
        <v>0.3333333333333333</v>
      </c>
      <c r="M11" s="24" t="n">
        <v>0.3541666666666667</v>
      </c>
      <c r="N11" s="24" t="n">
        <v>0.375</v>
      </c>
      <c r="O11" s="24" t="n">
        <v>0.3958333333333333</v>
      </c>
      <c r="P11" s="24" t="n">
        <v>0.4166666666666667</v>
      </c>
      <c r="Q11" s="24" t="n">
        <v>0.4375</v>
      </c>
      <c r="R11" s="24" t="n">
        <v>0.4583333333333333</v>
      </c>
      <c r="S11" s="24" t="n">
        <v>0.4791666666666667</v>
      </c>
      <c r="T11" s="24" t="n">
        <v>0.5</v>
      </c>
      <c r="U11" s="24" t="n">
        <v>0.5208333333333334</v>
      </c>
      <c r="V11" s="24" t="n">
        <v>0.5416666666666666</v>
      </c>
      <c r="W11" s="24" t="n">
        <v>0.5625</v>
      </c>
      <c r="X11" s="24" t="n">
        <v>0.5833333333333334</v>
      </c>
      <c r="Y11" s="24" t="n">
        <v>0.6041666666666666</v>
      </c>
      <c r="Z11" s="24" t="n">
        <v>0.625</v>
      </c>
      <c r="AA11" s="24" t="n">
        <v>0.6458333333333334</v>
      </c>
      <c r="AB11" s="24" t="n">
        <v>0.6666666666666666</v>
      </c>
      <c r="AC11" s="24" t="n">
        <v>0.6875</v>
      </c>
      <c r="AD11" s="53" t="n">
        <v>0.7083333333333334</v>
      </c>
      <c r="AE11" s="53" t="n">
        <v>0.7291666666666666</v>
      </c>
      <c r="AF11" s="53" t="n">
        <v>0.75</v>
      </c>
      <c r="AG11" s="53" t="n">
        <v>0.7708333333333334</v>
      </c>
      <c r="AH11" s="53" t="n">
        <v>0.7916666666666666</v>
      </c>
      <c r="AI11" s="53" t="n">
        <v>0.8125</v>
      </c>
      <c r="AJ11" s="53" t="n">
        <v>0.8333333333333334</v>
      </c>
      <c r="AK11" s="53" t="n">
        <v>0.8541666666666666</v>
      </c>
      <c r="AL11" s="54" t="n">
        <v>0.875</v>
      </c>
      <c r="AM11" s="55" t="n">
        <v>0.8958333333333334</v>
      </c>
      <c r="AN11" s="25" t="n">
        <v>0.9166666666666666</v>
      </c>
      <c r="AO11" s="55" t="n">
        <v>0.9375</v>
      </c>
      <c r="AP11" s="26" t="n">
        <v>0.9583333333333334</v>
      </c>
      <c r="AQ11" s="27" t="n">
        <v>0.9791666666666666</v>
      </c>
      <c r="AR11" s="719" t="inlineStr">
        <is>
          <t>Beschikbaarheid</t>
        </is>
      </c>
      <c r="AS11" s="264" t="n"/>
      <c r="AT11" s="719" t="n"/>
      <c r="AU11" s="106" t="n"/>
      <c r="AV11" s="116" t="n"/>
      <c r="AW11" s="106" t="n"/>
      <c r="AX11" s="838" t="n"/>
      <c r="AY11" s="17" t="n"/>
      <c r="AZ11" s="18" t="n"/>
      <c r="BA11" s="19" t="n"/>
      <c r="BB11" s="838" t="n"/>
      <c r="BC11" s="838" t="n"/>
      <c r="BD11" s="838" t="n"/>
      <c r="BE11" s="838" t="n"/>
      <c r="BF11" s="838" t="n"/>
      <c r="BG11" s="838" t="n"/>
      <c r="BH11" s="838" t="n"/>
      <c r="BI11" s="838" t="n"/>
      <c r="BJ11" s="838" t="n"/>
      <c r="BK11" s="838" t="n"/>
      <c r="BL11" s="838" t="n"/>
      <c r="BM11" s="838" t="n"/>
      <c r="BN11" s="838" t="n"/>
      <c r="BO11" s="838" t="n"/>
      <c r="BP11" s="838" t="n"/>
      <c r="BQ11" s="21" t="n"/>
      <c r="BR11" s="21" t="n"/>
      <c r="BS11" s="21" t="n"/>
      <c r="BT11" s="21" t="n"/>
      <c r="BU11" s="21" t="n"/>
      <c r="BV11" s="21" t="n"/>
      <c r="BW11" s="21" t="n"/>
      <c r="BX11" s="21" t="n"/>
      <c r="BY11" s="21" t="n"/>
      <c r="BZ11" s="21" t="n"/>
      <c r="CA11" s="21" t="n"/>
      <c r="CB11" s="21" t="n"/>
      <c r="CC11" s="21" t="n"/>
      <c r="CD11" s="21" t="n"/>
      <c r="CE11" s="21" t="n"/>
      <c r="CF11" s="21" t="n"/>
      <c r="CG11" s="21" t="n"/>
      <c r="CH11" s="21" t="n"/>
      <c r="CI11" s="21" t="n"/>
      <c r="CJ11" s="21" t="n"/>
      <c r="CK11" s="21" t="n"/>
      <c r="CL11" s="21" t="n"/>
      <c r="CM11" s="21" t="n"/>
    </row>
    <row r="12" ht="12" customHeight="1">
      <c r="A12" s="160" t="n"/>
      <c r="B12" s="107" t="n"/>
      <c r="C12" s="97" t="inlineStr">
        <is>
          <t>Functie</t>
        </is>
      </c>
      <c r="D12" s="97" t="inlineStr">
        <is>
          <t>Begin</t>
        </is>
      </c>
      <c r="E12" s="97" t="inlineStr">
        <is>
          <t>Eind</t>
        </is>
      </c>
      <c r="F12" s="872" t="n">
        <v>0.2083333333333333</v>
      </c>
      <c r="G12" s="873" t="n"/>
      <c r="H12" s="874" t="n">
        <v>0.25</v>
      </c>
      <c r="I12" s="875" t="n"/>
      <c r="J12" s="874" t="n">
        <v>0.2916666666666667</v>
      </c>
      <c r="K12" s="875" t="n"/>
      <c r="L12" s="874" t="n">
        <v>0.3333333333333333</v>
      </c>
      <c r="M12" s="875" t="n"/>
      <c r="N12" s="874" t="n">
        <v>0.375</v>
      </c>
      <c r="O12" s="875" t="n"/>
      <c r="P12" s="874" t="n">
        <v>0.4166666666666667</v>
      </c>
      <c r="Q12" s="875" t="n"/>
      <c r="R12" s="874" t="n">
        <v>0.4583333333333333</v>
      </c>
      <c r="S12" s="875" t="n"/>
      <c r="T12" s="874" t="n">
        <v>0.5</v>
      </c>
      <c r="U12" s="875" t="n"/>
      <c r="V12" s="874" t="n">
        <v>0.5416666666666666</v>
      </c>
      <c r="W12" s="875" t="n"/>
      <c r="X12" s="874" t="n">
        <v>0.5833333333333334</v>
      </c>
      <c r="Y12" s="875" t="n"/>
      <c r="Z12" s="874" t="n">
        <v>0.625</v>
      </c>
      <c r="AA12" s="875" t="n"/>
      <c r="AB12" s="874" t="n">
        <v>0.6666666666666666</v>
      </c>
      <c r="AC12" s="875" t="n"/>
      <c r="AD12" s="874" t="n">
        <v>0.7083333333333334</v>
      </c>
      <c r="AE12" s="875" t="n"/>
      <c r="AF12" s="876" t="n">
        <v>0.75</v>
      </c>
      <c r="AG12" s="875" t="n"/>
      <c r="AH12" s="874" t="n">
        <v>0.7916666666666666</v>
      </c>
      <c r="AI12" s="875" t="n"/>
      <c r="AJ12" s="874" t="n">
        <v>0.8333333333333334</v>
      </c>
      <c r="AK12" s="875" t="n"/>
      <c r="AL12" s="872" t="n">
        <v>0.875</v>
      </c>
      <c r="AM12" s="873" t="n"/>
      <c r="AN12" s="872" t="n">
        <v>0.9166666666666666</v>
      </c>
      <c r="AO12" s="873" t="n"/>
      <c r="AP12" s="872" t="n">
        <v>0.9583333333333334</v>
      </c>
      <c r="AQ12" s="873" t="n"/>
      <c r="AR12" s="98" t="inlineStr">
        <is>
          <t>Begin</t>
        </is>
      </c>
      <c r="AS12" s="98" t="inlineStr">
        <is>
          <t>Eind</t>
        </is>
      </c>
      <c r="AT12" s="99" t="n"/>
      <c r="AU12" s="432" t="inlineStr">
        <is>
          <t>Afw</t>
        </is>
      </c>
      <c r="AV12" s="433" t="inlineStr">
        <is>
          <t>Uren</t>
        </is>
      </c>
      <c r="AW12" s="100" t="inlineStr">
        <is>
          <t>Cont</t>
        </is>
      </c>
      <c r="AX12" s="101" t="inlineStr">
        <is>
          <t>Week</t>
        </is>
      </c>
      <c r="AY12" s="17" t="n"/>
      <c r="AZ12" s="28" t="n"/>
      <c r="BA12" s="29">
        <f>IF(AY12&lt;99,IF(AY12=0,"",((COUNTIF($E$13:$AQ$61,AY12))/2)),IF(AY12=0,"",((COUNTIF($E$13:$AQ$61,CONCATENATE(AY12,"*")))/2)+(COUNTIF($E$13:$AQ$61,CONCATENATE("x",AY12,"*")))/4))</f>
        <v/>
      </c>
      <c r="BB12" s="838" t="n"/>
      <c r="BC12" s="102" t="inlineStr">
        <is>
          <t>Naam</t>
        </is>
      </c>
      <c r="BD12" s="103" t="n"/>
      <c r="BE12" s="877" t="inlineStr">
        <is>
          <t>Maandag</t>
        </is>
      </c>
      <c r="BF12" s="878" t="n"/>
      <c r="BG12" s="103" t="n"/>
      <c r="BH12" s="103" t="n"/>
      <c r="BI12" s="877" t="inlineStr">
        <is>
          <t>Dinsdag</t>
        </is>
      </c>
      <c r="BJ12" s="878" t="n"/>
      <c r="BK12" s="103" t="n"/>
      <c r="BL12" s="103" t="n"/>
      <c r="BM12" s="877" t="inlineStr">
        <is>
          <t>Woensdag</t>
        </is>
      </c>
      <c r="BN12" s="878" t="n"/>
      <c r="BO12" s="103" t="n"/>
      <c r="BP12" s="103" t="n"/>
      <c r="BQ12" s="877" t="inlineStr">
        <is>
          <t>Donderdag</t>
        </is>
      </c>
      <c r="BR12" s="878" t="n"/>
      <c r="BS12" s="103" t="n"/>
      <c r="BT12" s="103" t="n"/>
      <c r="BU12" s="877" t="inlineStr">
        <is>
          <t>Vrijdag</t>
        </is>
      </c>
      <c r="BV12" s="878" t="n"/>
      <c r="BW12" s="103" t="n"/>
      <c r="BX12" s="103" t="n"/>
      <c r="BY12" s="877" t="inlineStr">
        <is>
          <t>Zaterdag</t>
        </is>
      </c>
      <c r="BZ12" s="878" t="n"/>
      <c r="CA12" s="103" t="n"/>
      <c r="CB12" s="103" t="n"/>
      <c r="CC12" s="877" t="inlineStr">
        <is>
          <t>Zondag</t>
        </is>
      </c>
      <c r="CD12" s="878" t="n"/>
      <c r="CE12" s="103" t="n"/>
      <c r="CF12" s="103" t="n"/>
      <c r="CG12" s="103" t="n"/>
      <c r="CH12" s="103" t="n"/>
      <c r="CI12" s="250">
        <f>"+/-"</f>
        <v/>
      </c>
      <c r="CJ12" s="250">
        <f>CONCATENATE("&lt;",ROUNDUP(Instellingen!$I$8,0))</f>
        <v/>
      </c>
      <c r="CK12" s="250">
        <f>CONCATENATE("&lt;",ROUNDUP(Instellingen!$I$9,0))</f>
        <v/>
      </c>
      <c r="CL12" s="104" t="inlineStr">
        <is>
          <t>Dag</t>
        </is>
      </c>
      <c r="CM12" s="21" t="n"/>
    </row>
    <row r="13" ht="12.75" customHeight="1">
      <c r="A13" s="161">
        <f>IFERROR(IF(VLOOKUP($B13,$BC$13:$CL$86,36,FALSE)&gt;5,0,IF(COUNTIF($B$13:$B$63,$B13)&gt;1,0,1)),1)+IF(B13&lt;&gt;0,0,IF(AV13&gt;0,0.000001,0))</f>
        <v/>
      </c>
      <c r="B13" s="51" t="inlineStr">
        <is>
          <t>Zubaid Shinwari</t>
        </is>
      </c>
      <c r="C13" s="48">
        <f>IFERROR(IF($B13="","",VLOOKUP($B13,Medewerker!$C$8:$AI$107,33,FALSE)),"?")</f>
        <v/>
      </c>
      <c r="D13" s="879">
        <f t="array" ref="D13">IFERROR(IF(LEFT(INDEX($F13:$AQ13,1,SUM(SMALL(IF($F13:$AQ13&lt;&gt;"",COLUMN($F13:$AQ13)),1)-5)),1)="x",SUM(SMALL(IF($F13:$AQ13&lt;&gt;"",$F$11:$AQ$11),1)+"0:15"),SMALL(IF($F13:$AQ13&lt;&gt;"",$F$11:$AQ$11),1)),"")</f>
        <v/>
      </c>
      <c r="E13" s="879">
        <f t="array" ref="E13">IFERROR(IF(LEFT(INDEX($F13:$AQ13,1,SUM(LARGE(IF($F13:$AQ13&lt;&gt;"",COLUMN($F13:$AQ13)),1)-5)),1)="x",SUM(LARGE(IF($F13:$AQ13&lt;&gt;"",$F$11:$AQ$11+"0:30:00"),1)-"0:15"),LARGE(IF($F13:$AQ13&lt;&gt;"",$F$11:$AQ$11+"0:30:00"),1)),"")</f>
        <v/>
      </c>
      <c r="F13" s="37" t="n"/>
      <c r="G13" s="38" t="n"/>
      <c r="H13" s="40" t="inlineStr">
        <is>
          <t>sl</t>
        </is>
      </c>
      <c r="I13" s="40" t="inlineStr">
        <is>
          <t>sl</t>
        </is>
      </c>
      <c r="J13" s="40" t="inlineStr">
        <is>
          <t>sl</t>
        </is>
      </c>
      <c r="K13" s="40" t="inlineStr">
        <is>
          <t>sl</t>
        </is>
      </c>
      <c r="L13" s="40" t="inlineStr">
        <is>
          <t>sl</t>
        </is>
      </c>
      <c r="M13" s="40" t="inlineStr">
        <is>
          <t>sl</t>
        </is>
      </c>
      <c r="N13" s="40" t="inlineStr">
        <is>
          <t>sl</t>
        </is>
      </c>
      <c r="O13" s="40" t="inlineStr">
        <is>
          <t>sl</t>
        </is>
      </c>
      <c r="P13" s="43" t="inlineStr">
        <is>
          <t>p</t>
        </is>
      </c>
      <c r="Q13" s="41" t="inlineStr">
        <is>
          <t>sl</t>
        </is>
      </c>
      <c r="R13" s="40" t="inlineStr">
        <is>
          <t>sl</t>
        </is>
      </c>
      <c r="S13" s="42" t="inlineStr">
        <is>
          <t>sl</t>
        </is>
      </c>
      <c r="T13" s="43" t="inlineStr">
        <is>
          <t>sl</t>
        </is>
      </c>
      <c r="U13" s="41" t="inlineStr">
        <is>
          <t>sl</t>
        </is>
      </c>
      <c r="V13" s="40" t="inlineStr">
        <is>
          <t>sl</t>
        </is>
      </c>
      <c r="W13" s="42" t="inlineStr">
        <is>
          <t>sl</t>
        </is>
      </c>
      <c r="X13" s="43" t="n"/>
      <c r="Y13" s="41" t="n"/>
      <c r="Z13" s="40" t="n"/>
      <c r="AA13" s="42" t="n"/>
      <c r="AB13" s="43" t="n"/>
      <c r="AC13" s="41" t="n"/>
      <c r="AD13" s="40" t="n"/>
      <c r="AE13" s="42" t="n"/>
      <c r="AF13" s="43" t="n"/>
      <c r="AG13" s="41" t="n"/>
      <c r="AH13" s="40" t="n"/>
      <c r="AI13" s="42" t="n"/>
      <c r="AJ13" s="43" t="n"/>
      <c r="AK13" s="41" t="n"/>
      <c r="AL13" s="40" t="n"/>
      <c r="AM13" s="41" t="n"/>
      <c r="AN13" s="645" t="n"/>
      <c r="AO13" s="42" t="n"/>
      <c r="AP13" s="37" t="n"/>
      <c r="AQ13" s="38" t="n"/>
      <c r="AR13" s="880">
        <f>IFERROR(IF(VLOOKUP($B13,Medewerker!$C$8:$AC$107,27,FALSE)="",VLOOKUP($B13,Medewerker!$C$8:$AC$107,25,FALSE),0),0)</f>
        <v/>
      </c>
      <c r="AS13" s="881">
        <f>IFERROR(IF(B13="",1,IF(VLOOKUP($B13,Medewerker!$C$8:$AY$107,27,FALSE)="",VLOOKUP($B13,Medewerker!$C$8:$AY$107,26,FALSE),0)),0)</f>
        <v/>
      </c>
      <c r="AT13" s="49" t="n"/>
      <c r="AU13" s="49">
        <f>(COUNTIF(F13:AQ13,"afw"))/2</f>
        <v/>
      </c>
      <c r="AV13" s="111">
        <f>((38-(COUNTIF(F13:AQ13,"")))/2)-(COUNTIF(F13:AQ13,"p")/2)-(COUNTIF(F13:AQ13,CONCATENATE("x","*"))/4)</f>
        <v/>
      </c>
      <c r="AW13" s="70">
        <f>IF($B13="","",VLOOKUP($B13,Medewerker!$C$8:$E$107,3,FALSE))</f>
        <v/>
      </c>
      <c r="AX13" s="404">
        <f>IFERROR(VLOOKUP($B13,Planning!$B$6:$AG$105,32,FALSE)*24,"")</f>
        <v/>
      </c>
      <c r="AY13" s="882" t="inlineStr">
        <is>
          <t>Vullen</t>
        </is>
      </c>
      <c r="AZ13" s="883" t="n"/>
      <c r="BA13" s="884" t="n"/>
      <c r="BB13" s="838" t="n"/>
      <c r="BC13" s="31">
        <f>IF(Planning!B6="","",Planning!B6)</f>
        <v/>
      </c>
      <c r="BD13" s="105" t="n"/>
      <c r="BE13" s="885">
        <f>Planning!E6</f>
        <v/>
      </c>
      <c r="BF13" s="885">
        <f>Planning!F6</f>
        <v/>
      </c>
      <c r="BG13" s="886" t="n"/>
      <c r="BH13" s="105" t="n"/>
      <c r="BI13" s="885">
        <f>Planning!I6</f>
        <v/>
      </c>
      <c r="BJ13" s="885">
        <f>Planning!J6</f>
        <v/>
      </c>
      <c r="BK13" s="886" t="n"/>
      <c r="BL13" s="105" t="n"/>
      <c r="BM13" s="885">
        <f>Planning!M6</f>
        <v/>
      </c>
      <c r="BN13" s="885">
        <f>Planning!N6</f>
        <v/>
      </c>
      <c r="BO13" s="886" t="n"/>
      <c r="BP13" s="105" t="n"/>
      <c r="BQ13" s="885">
        <f>Planning!Q6</f>
        <v/>
      </c>
      <c r="BR13" s="885">
        <f>Planning!R6</f>
        <v/>
      </c>
      <c r="BS13" s="886" t="n"/>
      <c r="BT13" s="105" t="n"/>
      <c r="BU13" s="885">
        <f>Planning!U6</f>
        <v/>
      </c>
      <c r="BV13" s="885">
        <f>Planning!V6</f>
        <v/>
      </c>
      <c r="BW13" s="886" t="n"/>
      <c r="BX13" s="105" t="n"/>
      <c r="BY13" s="885">
        <f>Planning!Y6</f>
        <v/>
      </c>
      <c r="BZ13" s="885">
        <f>Planning!Z6</f>
        <v/>
      </c>
      <c r="CA13" s="886" t="n"/>
      <c r="CB13" s="105" t="n"/>
      <c r="CC13" s="885">
        <f>Planning!AC6</f>
        <v/>
      </c>
      <c r="CD13" s="885">
        <f>Planning!AD6</f>
        <v/>
      </c>
      <c r="CE13" s="886" t="n"/>
      <c r="CF13" s="105" t="n"/>
      <c r="CG13" s="887">
        <f>Planning!AG6</f>
        <v/>
      </c>
      <c r="CH13" s="105" t="n"/>
      <c r="CI13" s="252">
        <f>IF(BC13="","",Planning!AI6)</f>
        <v/>
      </c>
      <c r="CJ13" s="252">
        <f>IF(BC13="","",Planning!AJ6)</f>
        <v/>
      </c>
      <c r="CK13" s="252">
        <f>IF(BC13="","",Planning!AK6)</f>
        <v/>
      </c>
      <c r="CL13" s="252">
        <f>IF(BC13="","",Planning!AH6)</f>
        <v/>
      </c>
      <c r="CM13" s="21" t="n"/>
    </row>
    <row r="14" ht="12.75" customHeight="1">
      <c r="A14" s="161">
        <f>IFERROR(IF(VLOOKUP($B14,$BC$13:$CL$86,36,FALSE)&gt;5,0,IF(COUNTIF($B$13:$B$63,$B14)&gt;1,0,2)),2)+IF(B14&lt;&gt;0,0,IF(AV14&gt;0,0.000001,0))</f>
        <v/>
      </c>
      <c r="B14" s="52" t="inlineStr">
        <is>
          <t>Jacco Maas</t>
        </is>
      </c>
      <c r="C14" s="48">
        <f>IFERROR(IF($B14="","",VLOOKUP($B14,Medewerker!$C$8:$AI$107,33,FALSE)),"?")</f>
        <v/>
      </c>
      <c r="D14" s="879">
        <f t="array" ref="D14">IFERROR(IF(LEFT(INDEX($F14:$AQ14,1,SUM(SMALL(IF($F14:$AQ14&lt;&gt;"",COLUMN($F14:$AQ14)),1)-5)),1)="x",SUM(SMALL(IF($F14:$AQ14&lt;&gt;"",$F$11:$AQ$11),1)+"0:15"),SMALL(IF($F14:$AQ14&lt;&gt;"",$F$11:$AQ$11),1)),"")</f>
        <v/>
      </c>
      <c r="E14" s="879">
        <f t="array" ref="E14">IFERROR(IF(LEFT(INDEX($F14:$AQ14,1,SUM(LARGE(IF($F14:$AQ14&lt;&gt;"",COLUMN($F14:$AQ14)),1)-5)),1)="x",SUM(LARGE(IF($F14:$AQ14&lt;&gt;"",$F$11:$AQ$11+"0:30:00"),1)-"0:15"),LARGE(IF($F14:$AQ14&lt;&gt;"",$F$11:$AQ$11+"0:30:00"),1)),"")</f>
        <v/>
      </c>
      <c r="F14" s="40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0" t="inlineStr">
        <is>
          <t>sl</t>
        </is>
      </c>
      <c r="X14" s="40" t="inlineStr">
        <is>
          <t>sl</t>
        </is>
      </c>
      <c r="Y14" s="40" t="inlineStr">
        <is>
          <t>sl</t>
        </is>
      </c>
      <c r="Z14" s="40" t="inlineStr">
        <is>
          <t>sl</t>
        </is>
      </c>
      <c r="AA14" s="40" t="inlineStr">
        <is>
          <t>sl</t>
        </is>
      </c>
      <c r="AB14" s="40" t="inlineStr">
        <is>
          <t>sl</t>
        </is>
      </c>
      <c r="AC14" s="40" t="inlineStr">
        <is>
          <t>sl</t>
        </is>
      </c>
      <c r="AD14" s="40" t="inlineStr">
        <is>
          <t>sl</t>
        </is>
      </c>
      <c r="AE14" s="43" t="inlineStr">
        <is>
          <t>p</t>
        </is>
      </c>
      <c r="AF14" s="41" t="inlineStr">
        <is>
          <t>sl</t>
        </is>
      </c>
      <c r="AG14" s="40" t="inlineStr">
        <is>
          <t>sl</t>
        </is>
      </c>
      <c r="AH14" s="42" t="inlineStr">
        <is>
          <t>sl</t>
        </is>
      </c>
      <c r="AI14" s="43" t="inlineStr">
        <is>
          <t>sl</t>
        </is>
      </c>
      <c r="AJ14" s="41" t="inlineStr">
        <is>
          <t>sl</t>
        </is>
      </c>
      <c r="AK14" s="40" t="inlineStr">
        <is>
          <t>sl</t>
        </is>
      </c>
      <c r="AL14" s="42" t="n"/>
      <c r="AM14" s="41" t="n"/>
      <c r="AN14" s="645" t="n"/>
      <c r="AO14" s="42" t="n"/>
      <c r="AP14" s="40" t="n"/>
      <c r="AQ14" s="41" t="n"/>
      <c r="AR14" s="888">
        <f>IFERROR(IF(VLOOKUP($B14,Medewerker!$C$8:$AC$107,27,FALSE)="",VLOOKUP($B14,Medewerker!$C$8:$AC$107,25,FALSE),0),0)</f>
        <v/>
      </c>
      <c r="AS14" s="889">
        <f>IFERROR(IF(B14="",1,IF(VLOOKUP($B14,Medewerker!$C$8:$AY$107,27,FALSE)="",VLOOKUP($B14,Medewerker!$C$8:$AY$107,26,FALSE),0)),0)</f>
        <v/>
      </c>
      <c r="AT14" s="30" t="n"/>
      <c r="AU14" s="30">
        <f>(COUNTIF(F14:AQ14,"afw"))/2</f>
        <v/>
      </c>
      <c r="AV14" s="111">
        <f>((38-(COUNTIF(F14:AQ14,"")))/2)-(COUNTIF(F14:AQ14,"p")/2)-(COUNTIF(F14:AQ14,CONCATENATE("x","*"))/4)</f>
        <v/>
      </c>
      <c r="AW14" s="73">
        <f>IF($B14="","",VLOOKUP($B14,Medewerker!$C$8:$E$107,3,FALSE))</f>
        <v/>
      </c>
      <c r="AX14" s="403">
        <f>IFERROR(VLOOKUP($B14,Planning!$B$6:$AG$105,32,FALSE)*24,"")</f>
        <v/>
      </c>
      <c r="AY14" s="406" t="inlineStr">
        <is>
          <t>hv</t>
        </is>
      </c>
      <c r="AZ14" s="166" t="inlineStr">
        <is>
          <t>Houdbaar vullen</t>
        </is>
      </c>
      <c r="BA14" s="111">
        <f>COUNTIF($F$13:$AQ$63,CONCATENATE(AY14,"*"))/2+COUNTIF($F$13:$AQ$63,CONCATENATE("x",AY14,"*"))/4</f>
        <v/>
      </c>
      <c r="BB14" s="838" t="n"/>
      <c r="BC14" s="31">
        <f>IF(Planning!B7="","",Planning!B7)</f>
        <v/>
      </c>
      <c r="BD14" s="105" t="n"/>
      <c r="BE14" s="885">
        <f>Planning!E7</f>
        <v/>
      </c>
      <c r="BF14" s="885">
        <f>Planning!F7</f>
        <v/>
      </c>
      <c r="BG14" s="886" t="n"/>
      <c r="BH14" s="105" t="n"/>
      <c r="BI14" s="885">
        <f>Planning!I7</f>
        <v/>
      </c>
      <c r="BJ14" s="885">
        <f>Planning!J7</f>
        <v/>
      </c>
      <c r="BK14" s="886" t="n"/>
      <c r="BL14" s="105" t="n"/>
      <c r="BM14" s="885">
        <f>Planning!M7</f>
        <v/>
      </c>
      <c r="BN14" s="885">
        <f>Planning!N7</f>
        <v/>
      </c>
      <c r="BO14" s="886" t="n"/>
      <c r="BP14" s="105" t="n"/>
      <c r="BQ14" s="885">
        <f>Planning!Q7</f>
        <v/>
      </c>
      <c r="BR14" s="885">
        <f>Planning!R7</f>
        <v/>
      </c>
      <c r="BS14" s="886" t="n"/>
      <c r="BT14" s="105" t="n"/>
      <c r="BU14" s="885">
        <f>Planning!U7</f>
        <v/>
      </c>
      <c r="BV14" s="885">
        <f>Planning!V7</f>
        <v/>
      </c>
      <c r="BW14" s="886" t="n"/>
      <c r="BX14" s="105" t="n"/>
      <c r="BY14" s="885">
        <f>Planning!Y7</f>
        <v/>
      </c>
      <c r="BZ14" s="885">
        <f>Planning!Z7</f>
        <v/>
      </c>
      <c r="CA14" s="886" t="n"/>
      <c r="CB14" s="105" t="n"/>
      <c r="CC14" s="885">
        <f>Planning!AC7</f>
        <v/>
      </c>
      <c r="CD14" s="885">
        <f>Planning!AD7</f>
        <v/>
      </c>
      <c r="CE14" s="886" t="n"/>
      <c r="CF14" s="105" t="n"/>
      <c r="CG14" s="887">
        <f>Planning!AG7</f>
        <v/>
      </c>
      <c r="CH14" s="105" t="n"/>
      <c r="CI14" s="252">
        <f>IF(BC14="","",Planning!AI7)</f>
        <v/>
      </c>
      <c r="CJ14" s="252">
        <f>IF(BC14="","",Planning!AJ7)</f>
        <v/>
      </c>
      <c r="CK14" s="252">
        <f>IF(BC14="","",Planning!AK7)</f>
        <v/>
      </c>
      <c r="CL14" s="252">
        <f>IF(BC14="","",Planning!AH7)</f>
        <v/>
      </c>
      <c r="CM14" s="21" t="n"/>
    </row>
    <row r="15" ht="12.75" customHeight="1">
      <c r="A15" s="161">
        <f>IFERROR(IF(VLOOKUP($B15,$BC$13:$CL$86,36,FALSE)&gt;5,0,IF(COUNTIF($B$13:$B$63,$B15)&gt;1,0,3)),3)+IF(B15&lt;&gt;0,0,IF(AV15&gt;0,0.000001,0))</f>
        <v/>
      </c>
      <c r="B15" s="52" t="n"/>
      <c r="C15" s="48">
        <f>IFERROR(IF($B15="","",VLOOKUP($B15,Medewerker!$C$8:$AI$107,33,FALSE)),"?")</f>
        <v/>
      </c>
      <c r="D15" s="879">
        <f t="array" ref="D15">IFERROR(IF(LEFT(INDEX($F15:$AQ15,1,SUM(SMALL(IF($F15:$AQ15&lt;&gt;"",COLUMN($F15:$AQ15)),1)-5)),1)="x",SUM(SMALL(IF($F15:$AQ15&lt;&gt;"",$F$11:$AQ$11),1)+"0:15"),SMALL(IF($F15:$AQ15&lt;&gt;"",$F$11:$AQ$11),1)),"")</f>
        <v/>
      </c>
      <c r="E15" s="879">
        <f t="array" ref="E15">IFERROR(IF(LEFT(INDEX($F15:$AQ15,1,SUM(LARGE(IF($F15:$AQ15&lt;&gt;"",COLUMN($F15:$AQ15)),1)-5)),1)="x",SUM(LARGE(IF($F15:$AQ15&lt;&gt;"",$F$11:$AQ$11+"0:30:00"),1)-"0:15"),LARGE(IF($F15:$AQ15&lt;&gt;"",$F$11:$AQ$11+"0:30:00"),1)),"")</f>
        <v/>
      </c>
      <c r="F15" s="40" t="n"/>
      <c r="G15" s="41" t="n"/>
      <c r="H15" s="40" t="n"/>
      <c r="I15" s="41" t="n"/>
      <c r="J15" s="40" t="n"/>
      <c r="K15" s="42" t="n"/>
      <c r="L15" s="43" t="n"/>
      <c r="M15" s="41" t="n"/>
      <c r="N15" s="40" t="n"/>
      <c r="O15" s="42" t="n"/>
      <c r="P15" s="43" t="n"/>
      <c r="Q15" s="41" t="n"/>
      <c r="R15" s="40" t="n"/>
      <c r="S15" s="42" t="n"/>
      <c r="T15" s="43" t="n"/>
      <c r="U15" s="41" t="n"/>
      <c r="V15" s="41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41" t="n"/>
      <c r="AH15" s="41" t="n"/>
      <c r="AI15" s="41" t="n"/>
      <c r="AJ15" s="41" t="n"/>
      <c r="AK15" s="41" t="n"/>
      <c r="AL15" s="40" t="n"/>
      <c r="AM15" s="41" t="n"/>
      <c r="AN15" s="645" t="n"/>
      <c r="AO15" s="42" t="n"/>
      <c r="AP15" s="40" t="n"/>
      <c r="AQ15" s="41" t="n"/>
      <c r="AR15" s="888">
        <f>IFERROR(IF(VLOOKUP($B15,Medewerker!$C$8:$AC$107,27,FALSE)="",VLOOKUP($B15,Medewerker!$C$8:$AC$107,25,FALSE),0),0)</f>
        <v/>
      </c>
      <c r="AS15" s="889">
        <f>IFERROR(IF(B15="",1,IF(VLOOKUP($B15,Medewerker!$C$8:$AY$107,27,FALSE)="",VLOOKUP($B15,Medewerker!$C$8:$AY$107,26,FALSE),0)),0)</f>
        <v/>
      </c>
      <c r="AT15" s="30" t="n"/>
      <c r="AU15" s="30">
        <f>(COUNTIF(F15:AQ15,"afw"))/2</f>
        <v/>
      </c>
      <c r="AV15" s="111">
        <f>((38-(COUNTIF(F15:AQ15,"")))/2)-(COUNTIF(F15:AQ15,"p")/2)-(COUNTIF(F15:AQ15,CONCATENATE("x","*"))/4)</f>
        <v/>
      </c>
      <c r="AW15" s="73">
        <f>IF($B15="","",VLOOKUP($B15,Medewerker!$C$8:$E$107,3,FALSE))</f>
        <v/>
      </c>
      <c r="AX15" s="403">
        <f>IFERROR(VLOOKUP($B15,Planning!$B$6:$AG$105,32,FALSE)*24,"")</f>
        <v/>
      </c>
      <c r="AY15" s="406" t="inlineStr">
        <is>
          <t>dv</t>
        </is>
      </c>
      <c r="AZ15" s="166" t="inlineStr">
        <is>
          <t>Diepvries vullen</t>
        </is>
      </c>
      <c r="BA15" s="111">
        <f>COUNTIF($F$13:$AQ$63,CONCATENATE(AY15,"*"))/2+COUNTIF($F$13:$AQ$63,CONCATENATE("x",AY15,"*"))/4</f>
        <v/>
      </c>
      <c r="BB15" s="838" t="n"/>
      <c r="BC15" s="31">
        <f>IF(Planning!B8="","",Planning!B8)</f>
        <v/>
      </c>
      <c r="BD15" s="105" t="n"/>
      <c r="BE15" s="885">
        <f>Planning!E8</f>
        <v/>
      </c>
      <c r="BF15" s="885">
        <f>Planning!F8</f>
        <v/>
      </c>
      <c r="BG15" s="886" t="n"/>
      <c r="BH15" s="105" t="n"/>
      <c r="BI15" s="885">
        <f>Planning!I8</f>
        <v/>
      </c>
      <c r="BJ15" s="885">
        <f>Planning!J8</f>
        <v/>
      </c>
      <c r="BK15" s="886" t="n"/>
      <c r="BL15" s="105" t="n"/>
      <c r="BM15" s="885">
        <f>Planning!M8</f>
        <v/>
      </c>
      <c r="BN15" s="885">
        <f>Planning!N8</f>
        <v/>
      </c>
      <c r="BO15" s="886" t="n"/>
      <c r="BP15" s="105" t="n"/>
      <c r="BQ15" s="885">
        <f>Planning!Q8</f>
        <v/>
      </c>
      <c r="BR15" s="885">
        <f>Planning!R8</f>
        <v/>
      </c>
      <c r="BS15" s="886" t="n"/>
      <c r="BT15" s="105" t="n"/>
      <c r="BU15" s="885">
        <f>Planning!U8</f>
        <v/>
      </c>
      <c r="BV15" s="885">
        <f>Planning!V8</f>
        <v/>
      </c>
      <c r="BW15" s="886" t="n"/>
      <c r="BX15" s="105" t="n"/>
      <c r="BY15" s="885">
        <f>Planning!Y8</f>
        <v/>
      </c>
      <c r="BZ15" s="885">
        <f>Planning!Z8</f>
        <v/>
      </c>
      <c r="CA15" s="886" t="n"/>
      <c r="CB15" s="105" t="n"/>
      <c r="CC15" s="885">
        <f>Planning!AC8</f>
        <v/>
      </c>
      <c r="CD15" s="885">
        <f>Planning!AD8</f>
        <v/>
      </c>
      <c r="CE15" s="886" t="n"/>
      <c r="CF15" s="105" t="n"/>
      <c r="CG15" s="887">
        <f>Planning!AG8</f>
        <v/>
      </c>
      <c r="CH15" s="105" t="n"/>
      <c r="CI15" s="252">
        <f>IF(BC15="","",Planning!AI8)</f>
        <v/>
      </c>
      <c r="CJ15" s="252">
        <f>IF(BC15="","",Planning!AJ8)</f>
        <v/>
      </c>
      <c r="CK15" s="252">
        <f>IF(BC15="","",Planning!AK8)</f>
        <v/>
      </c>
      <c r="CL15" s="252">
        <f>IF(BC15="","",Planning!AH8)</f>
        <v/>
      </c>
      <c r="CM15" s="21" t="n"/>
    </row>
    <row r="16" ht="12.75" customHeight="1">
      <c r="A16" s="161">
        <f>IFERROR(IF(VLOOKUP($B16,$BC$13:$CL$86,36,FALSE)&gt;5,0,IF(COUNTIF($B$13:$B$63,$B16)&gt;1,0,4)),4)+IF(B16&lt;&gt;0,0,IF(AV16&gt;0,0.000001,0))</f>
        <v/>
      </c>
      <c r="B16" s="52" t="n"/>
      <c r="C16" s="48">
        <f>IFERROR(IF($B16="","",VLOOKUP($B16,Medewerker!$C$8:$AI$107,33,FALSE)),"?")</f>
        <v/>
      </c>
      <c r="D16" s="879">
        <f t="array" ref="D16">IFERROR(IF(LEFT(INDEX($F16:$AQ16,1,SUM(SMALL(IF($F16:$AQ16&lt;&gt;"",COLUMN($F16:$AQ16)),1)-5)),1)="x",SUM(SMALL(IF($F16:$AQ16&lt;&gt;"",$F$11:$AQ$11),1)+"0:15"),SMALL(IF($F16:$AQ16&lt;&gt;"",$F$11:$AQ$11),1)),"")</f>
        <v/>
      </c>
      <c r="E16" s="879">
        <f t="array" ref="E16">IFERROR(IF(LEFT(INDEX($F16:$AQ16,1,SUM(LARGE(IF($F16:$AQ16&lt;&gt;"",COLUMN($F16:$AQ16)),1)-5)),1)="x",SUM(LARGE(IF($F16:$AQ16&lt;&gt;"",$F$11:$AQ$11+"0:30:00"),1)-"0:15"),LARGE(IF($F16:$AQ16&lt;&gt;"",$F$11:$AQ$11+"0:30:00"),1)),"")</f>
        <v/>
      </c>
      <c r="F16" s="40" t="n"/>
      <c r="G16" s="41" t="n"/>
      <c r="H16" s="40" t="n"/>
      <c r="I16" s="41" t="n"/>
      <c r="J16" s="40" t="n"/>
      <c r="K16" s="42" t="n"/>
      <c r="L16" s="43" t="n"/>
      <c r="M16" s="41" t="n"/>
      <c r="N16" s="40" t="n"/>
      <c r="O16" s="42" t="n"/>
      <c r="P16" s="43" t="n"/>
      <c r="Q16" s="41" t="n"/>
      <c r="R16" s="40" t="n"/>
      <c r="S16" s="42" t="n"/>
      <c r="T16" s="43" t="n"/>
      <c r="U16" s="41" t="n"/>
      <c r="V16" s="40" t="n"/>
      <c r="W16" s="42" t="n"/>
      <c r="X16" s="43" t="n"/>
      <c r="Y16" s="41" t="n"/>
      <c r="Z16" s="40" t="n"/>
      <c r="AA16" s="42" t="n"/>
      <c r="AB16" s="43" t="n"/>
      <c r="AC16" s="41" t="n"/>
      <c r="AD16" s="40" t="n"/>
      <c r="AE16" s="42" t="n"/>
      <c r="AF16" s="43" t="n"/>
      <c r="AG16" s="41" t="n"/>
      <c r="AH16" s="40" t="n"/>
      <c r="AI16" s="42" t="n"/>
      <c r="AJ16" s="43" t="n"/>
      <c r="AK16" s="41" t="n"/>
      <c r="AL16" s="40" t="n"/>
      <c r="AM16" s="41" t="n"/>
      <c r="AN16" s="645" t="n"/>
      <c r="AO16" s="42" t="n"/>
      <c r="AP16" s="40" t="n"/>
      <c r="AQ16" s="41" t="n"/>
      <c r="AR16" s="888">
        <f>IFERROR(IF(VLOOKUP($B16,Medewerker!$C$8:$AC$107,27,FALSE)="",VLOOKUP($B16,Medewerker!$C$8:$AC$107,25,FALSE),0),0)</f>
        <v/>
      </c>
      <c r="AS16" s="889">
        <f>IFERROR(IF(B16="",1,IF(VLOOKUP($B16,Medewerker!$C$8:$AY$107,27,FALSE)="",VLOOKUP($B16,Medewerker!$C$8:$AY$107,26,FALSE),0)),0)</f>
        <v/>
      </c>
      <c r="AT16" s="30" t="n"/>
      <c r="AU16" s="30">
        <f>(COUNTIF(F16:AQ16,"afw"))/2</f>
        <v/>
      </c>
      <c r="AV16" s="111">
        <f>((38-(COUNTIF(F16:AQ16,"")))/2)-(COUNTIF(F16:AQ16,"p")/2)-(COUNTIF(F16:AQ16,CONCATENATE("x","*"))/4)</f>
        <v/>
      </c>
      <c r="AW16" s="73">
        <f>IF($B16="","",VLOOKUP($B16,Medewerker!$C$8:$E$107,3,FALSE))</f>
        <v/>
      </c>
      <c r="AX16" s="403">
        <f>IFERROR(VLOOKUP($B16,Planning!$B$6:$AG$105,32,FALSE)*24,"")</f>
        <v/>
      </c>
      <c r="AY16" s="406" t="inlineStr">
        <is>
          <t>vv</t>
        </is>
      </c>
      <c r="AZ16" s="166" t="inlineStr">
        <is>
          <t>Vers vullen</t>
        </is>
      </c>
      <c r="BA16" s="111">
        <f>COUNTIF($F$13:$AQ$63,CONCATENATE(AY16,"*"))/2+COUNTIF($F$13:$AQ$63,CONCATENATE("x",AY16,"*"))/4</f>
        <v/>
      </c>
      <c r="BB16" s="838" t="n"/>
      <c r="BC16" s="31">
        <f>IF(Planning!B9="","",Planning!B9)</f>
        <v/>
      </c>
      <c r="BD16" s="105" t="n"/>
      <c r="BE16" s="885">
        <f>Planning!E9</f>
        <v/>
      </c>
      <c r="BF16" s="885">
        <f>Planning!F9</f>
        <v/>
      </c>
      <c r="BG16" s="886" t="n"/>
      <c r="BH16" s="105" t="n"/>
      <c r="BI16" s="885">
        <f>Planning!I9</f>
        <v/>
      </c>
      <c r="BJ16" s="885">
        <f>Planning!J9</f>
        <v/>
      </c>
      <c r="BK16" s="886" t="n"/>
      <c r="BL16" s="105" t="n"/>
      <c r="BM16" s="885">
        <f>Planning!M9</f>
        <v/>
      </c>
      <c r="BN16" s="885">
        <f>Planning!N9</f>
        <v/>
      </c>
      <c r="BO16" s="886" t="n"/>
      <c r="BP16" s="105" t="n"/>
      <c r="BQ16" s="885">
        <f>Planning!Q9</f>
        <v/>
      </c>
      <c r="BR16" s="885">
        <f>Planning!R9</f>
        <v/>
      </c>
      <c r="BS16" s="886" t="n"/>
      <c r="BT16" s="105" t="n"/>
      <c r="BU16" s="885">
        <f>Planning!U9</f>
        <v/>
      </c>
      <c r="BV16" s="885">
        <f>Planning!V9</f>
        <v/>
      </c>
      <c r="BW16" s="886" t="n"/>
      <c r="BX16" s="105" t="n"/>
      <c r="BY16" s="885">
        <f>Planning!Y9</f>
        <v/>
      </c>
      <c r="BZ16" s="885">
        <f>Planning!Z9</f>
        <v/>
      </c>
      <c r="CA16" s="886" t="n"/>
      <c r="CB16" s="105" t="n"/>
      <c r="CC16" s="885">
        <f>Planning!AC9</f>
        <v/>
      </c>
      <c r="CD16" s="885">
        <f>Planning!AD9</f>
        <v/>
      </c>
      <c r="CE16" s="886" t="n"/>
      <c r="CF16" s="105" t="n"/>
      <c r="CG16" s="887">
        <f>Planning!AG9</f>
        <v/>
      </c>
      <c r="CH16" s="105" t="n"/>
      <c r="CI16" s="252">
        <f>IF(BC16="","",Planning!AI9)</f>
        <v/>
      </c>
      <c r="CJ16" s="252">
        <f>IF(BC16="","",Planning!AJ9)</f>
        <v/>
      </c>
      <c r="CK16" s="252">
        <f>IF(BC16="","",Planning!AK9)</f>
        <v/>
      </c>
      <c r="CL16" s="252">
        <f>IF(BC16="","",Planning!AH9)</f>
        <v/>
      </c>
      <c r="CM16" s="21" t="n"/>
    </row>
    <row r="17" ht="12.75" customHeight="1">
      <c r="A17" s="161">
        <f>IFERROR(IF(VLOOKUP($B17,$BC$13:$CL$86,36,FALSE)&gt;5,0,IF(COUNTIF($B$13:$B$63,$B17)&gt;1,0,5)),5)+IF(B17&lt;&gt;0,0,IF(AV17&gt;0,0.000001,0))</f>
        <v/>
      </c>
      <c r="B17" s="52" t="inlineStr">
        <is>
          <t>Laila Bishir</t>
        </is>
      </c>
      <c r="C17" s="48">
        <f>IFERROR(IF($B17="","",VLOOKUP($B17,Medewerker!$C$8:$AI$107,33,FALSE)),"?")</f>
        <v/>
      </c>
      <c r="D17" s="879">
        <f t="array" ref="D17">IFERROR(IF(LEFT(INDEX($F17:$AQ17,1,SUM(SMALL(IF($F17:$AQ17&lt;&gt;"",COLUMN($F17:$AQ17)),1)-5)),1)="x",SUM(SMALL(IF($F17:$AQ17&lt;&gt;"",$F$11:$AQ$11),1)+"0:15"),SMALL(IF($F17:$AQ17&lt;&gt;"",$F$11:$AQ$11),1)),"")</f>
        <v/>
      </c>
      <c r="E17" s="879">
        <f t="array" ref="E17">IFERROR(IF(LEFT(INDEX($F17:$AQ17,1,SUM(LARGE(IF($F17:$AQ17&lt;&gt;"",COLUMN($F17:$AQ17)),1)-5)),1)="x",SUM(LARGE(IF($F17:$AQ17&lt;&gt;"",$F$11:$AQ$11+"0:30:00"),1)-"0:15"),LARGE(IF($F17:$AQ17&lt;&gt;"",$F$11:$AQ$11+"0:30:00"),1)),"")</f>
        <v/>
      </c>
      <c r="F17" s="40" t="n"/>
      <c r="G17" s="41" t="n"/>
      <c r="H17" s="40" t="inlineStr">
        <is>
          <t>cb</t>
        </is>
      </c>
      <c r="I17" s="41" t="inlineStr">
        <is>
          <t>cb</t>
        </is>
      </c>
      <c r="J17" s="40" t="inlineStr">
        <is>
          <t>cb</t>
        </is>
      </c>
      <c r="K17" s="42" t="inlineStr">
        <is>
          <t>cb</t>
        </is>
      </c>
      <c r="L17" s="43" t="inlineStr">
        <is>
          <t>cb</t>
        </is>
      </c>
      <c r="M17" s="41" t="inlineStr">
        <is>
          <t>cb</t>
        </is>
      </c>
      <c r="N17" s="40" t="inlineStr">
        <is>
          <t>cb</t>
        </is>
      </c>
      <c r="O17" s="42" t="inlineStr">
        <is>
          <t>cb</t>
        </is>
      </c>
      <c r="P17" s="43" t="inlineStr">
        <is>
          <t>p</t>
        </is>
      </c>
      <c r="Q17" s="41" t="inlineStr">
        <is>
          <t>hv</t>
        </is>
      </c>
      <c r="R17" s="40" t="inlineStr">
        <is>
          <t>hv</t>
        </is>
      </c>
      <c r="S17" s="42" t="inlineStr">
        <is>
          <t>hv</t>
        </is>
      </c>
      <c r="T17" s="43" t="inlineStr">
        <is>
          <t>hv</t>
        </is>
      </c>
      <c r="U17" s="41" t="n"/>
      <c r="V17" s="40" t="n"/>
      <c r="W17" s="42" t="n"/>
      <c r="X17" s="43" t="n"/>
      <c r="Y17" s="41" t="n"/>
      <c r="Z17" s="40" t="n"/>
      <c r="AA17" s="42" t="n"/>
      <c r="AB17" s="43" t="n"/>
      <c r="AC17" s="41" t="n"/>
      <c r="AD17" s="40" t="n"/>
      <c r="AE17" s="42" t="n"/>
      <c r="AF17" s="43" t="n"/>
      <c r="AG17" s="41" t="n"/>
      <c r="AH17" s="40" t="n"/>
      <c r="AI17" s="42" t="n"/>
      <c r="AJ17" s="43" t="n"/>
      <c r="AK17" s="41" t="n"/>
      <c r="AL17" s="40" t="n"/>
      <c r="AM17" s="41" t="n"/>
      <c r="AN17" s="645" t="n"/>
      <c r="AO17" s="42" t="n"/>
      <c r="AP17" s="40" t="n"/>
      <c r="AQ17" s="41" t="n"/>
      <c r="AR17" s="888">
        <f>IFERROR(IF(VLOOKUP($B17,Medewerker!$C$8:$AC$107,27,FALSE)="",VLOOKUP($B17,Medewerker!$C$8:$AC$107,25,FALSE),0),0)</f>
        <v/>
      </c>
      <c r="AS17" s="889">
        <f>IFERROR(IF(B17="",1,IF(VLOOKUP($B17,Medewerker!$C$8:$AY$107,27,FALSE)="",VLOOKUP($B17,Medewerker!$C$8:$AY$107,26,FALSE),0)),0)</f>
        <v/>
      </c>
      <c r="AT17" s="30" t="n"/>
      <c r="AU17" s="30">
        <f>(COUNTIF(F17:AQ17,"afw"))/2</f>
        <v/>
      </c>
      <c r="AV17" s="111">
        <f>((38-(COUNTIF(F17:AQ17,"")))/2)-(COUNTIF(F17:AQ17,"p")/2)-(COUNTIF(F17:AQ17,CONCATENATE("x","*"))/4)</f>
        <v/>
      </c>
      <c r="AW17" s="73">
        <f>IF($B17="","",VLOOKUP($B17,Medewerker!$C$8:$E$107,3,FALSE))</f>
        <v/>
      </c>
      <c r="AX17" s="403">
        <f>IFERROR(VLOOKUP($B17,Planning!$B$6:$AG$105,32,FALSE)*24,"")</f>
        <v/>
      </c>
      <c r="AY17" s="406" t="inlineStr">
        <is>
          <t>nh</t>
        </is>
      </c>
      <c r="AZ17" s="166" t="inlineStr">
        <is>
          <t>Navulling HB</t>
        </is>
      </c>
      <c r="BA17" s="111">
        <f>COUNTIF($F$13:$AQ$63,CONCATENATE(AY17,"*"))/2+COUNTIF($F$13:$AQ$63,CONCATENATE("x",AY17,"*"))/4</f>
        <v/>
      </c>
      <c r="BB17" s="838" t="n"/>
      <c r="BC17" s="31">
        <f>IF(Planning!B10="","",Planning!B10)</f>
        <v/>
      </c>
      <c r="BD17" s="105" t="n"/>
      <c r="BE17" s="885">
        <f>Planning!E10</f>
        <v/>
      </c>
      <c r="BF17" s="885">
        <f>Planning!F10</f>
        <v/>
      </c>
      <c r="BG17" s="886" t="n"/>
      <c r="BH17" s="105" t="n"/>
      <c r="BI17" s="885">
        <f>Planning!I10</f>
        <v/>
      </c>
      <c r="BJ17" s="885">
        <f>Planning!J10</f>
        <v/>
      </c>
      <c r="BK17" s="886" t="n"/>
      <c r="BL17" s="105" t="n"/>
      <c r="BM17" s="885">
        <f>Planning!M10</f>
        <v/>
      </c>
      <c r="BN17" s="885">
        <f>Planning!N10</f>
        <v/>
      </c>
      <c r="BO17" s="886" t="n"/>
      <c r="BP17" s="105" t="n"/>
      <c r="BQ17" s="885">
        <f>Planning!Q10</f>
        <v/>
      </c>
      <c r="BR17" s="885">
        <f>Planning!R10</f>
        <v/>
      </c>
      <c r="BS17" s="886" t="n"/>
      <c r="BT17" s="105" t="n"/>
      <c r="BU17" s="885">
        <f>Planning!U10</f>
        <v/>
      </c>
      <c r="BV17" s="885">
        <f>Planning!V10</f>
        <v/>
      </c>
      <c r="BW17" s="886" t="n"/>
      <c r="BX17" s="105" t="n"/>
      <c r="BY17" s="885">
        <f>Planning!Y10</f>
        <v/>
      </c>
      <c r="BZ17" s="885">
        <f>Planning!Z10</f>
        <v/>
      </c>
      <c r="CA17" s="886" t="n"/>
      <c r="CB17" s="105" t="n"/>
      <c r="CC17" s="885">
        <f>Planning!AC10</f>
        <v/>
      </c>
      <c r="CD17" s="885">
        <f>Planning!AD10</f>
        <v/>
      </c>
      <c r="CE17" s="886" t="n"/>
      <c r="CF17" s="105" t="n"/>
      <c r="CG17" s="887">
        <f>Planning!AG10</f>
        <v/>
      </c>
      <c r="CH17" s="105" t="n"/>
      <c r="CI17" s="252">
        <f>IF(BC17="","",Planning!AI10)</f>
        <v/>
      </c>
      <c r="CJ17" s="252">
        <f>IF(BC17="","",Planning!AJ10)</f>
        <v/>
      </c>
      <c r="CK17" s="252">
        <f>IF(BC17="","",Planning!AK10)</f>
        <v/>
      </c>
      <c r="CL17" s="252">
        <f>IF(BC17="","",Planning!AH10)</f>
        <v/>
      </c>
      <c r="CM17" s="21" t="n"/>
    </row>
    <row r="18" ht="12.75" customHeight="1">
      <c r="A18" s="161">
        <f>IFERROR(IF(VLOOKUP($B18,$BC$13:$CL$86,36,FALSE)&gt;5,0,IF(COUNTIF($B$13:$B$63,$B18)&gt;1,0,6)),6)+IF(B18&lt;&gt;0,0,IF(AV18&gt;0,0.000001,0))</f>
        <v/>
      </c>
      <c r="B18" s="52" t="n"/>
      <c r="C18" s="48">
        <f>IFERROR(IF($B18="","",VLOOKUP($B18,Medewerker!$C$8:$AI$107,33,FALSE)),"?")</f>
        <v/>
      </c>
      <c r="D18" s="879">
        <f t="array" ref="D18">IFERROR(IF(LEFT(INDEX($F18:$AQ18,1,SUM(SMALL(IF($F18:$AQ18&lt;&gt;"",COLUMN($F18:$AQ18)),1)-5)),1)="x",SUM(SMALL(IF($F18:$AQ18&lt;&gt;"",$F$11:$AQ$11),1)+"0:15"),SMALL(IF($F18:$AQ18&lt;&gt;"",$F$11:$AQ$11),1)),"")</f>
        <v/>
      </c>
      <c r="E18" s="879">
        <f t="array" ref="E18">IFERROR(IF(LEFT(INDEX($F18:$AQ18,1,SUM(LARGE(IF($F18:$AQ18&lt;&gt;"",COLUMN($F18:$AQ18)),1)-5)),1)="x",SUM(LARGE(IF($F18:$AQ18&lt;&gt;"",$F$11:$AQ$11+"0:30:00"),1)-"0:15"),LARGE(IF($F18:$AQ18&lt;&gt;"",$F$11:$AQ$11+"0:30:00"),1)),"")</f>
        <v/>
      </c>
      <c r="F18" s="40" t="n"/>
      <c r="G18" s="41" t="n"/>
      <c r="H18" s="40" t="n"/>
      <c r="I18" s="41" t="n"/>
      <c r="J18" s="40" t="n"/>
      <c r="K18" s="42" t="n"/>
      <c r="L18" s="43" t="n"/>
      <c r="M18" s="41" t="n"/>
      <c r="N18" s="40" t="n"/>
      <c r="O18" s="42" t="n"/>
      <c r="P18" s="43" t="n"/>
      <c r="Q18" s="41" t="n"/>
      <c r="R18" s="40" t="n"/>
      <c r="S18" s="42" t="n"/>
      <c r="T18" s="43" t="n"/>
      <c r="U18" s="41" t="n"/>
      <c r="V18" s="40" t="n"/>
      <c r="W18" s="42" t="n"/>
      <c r="X18" s="43" t="n"/>
      <c r="Y18" s="41" t="n"/>
      <c r="Z18" s="40" t="n"/>
      <c r="AA18" s="42" t="n"/>
      <c r="AB18" s="43" t="n"/>
      <c r="AC18" s="41" t="n"/>
      <c r="AD18" s="40" t="n"/>
      <c r="AE18" s="42" t="n"/>
      <c r="AF18" s="43" t="n"/>
      <c r="AG18" s="41" t="n"/>
      <c r="AH18" s="40" t="n"/>
      <c r="AI18" s="42" t="n"/>
      <c r="AJ18" s="43" t="n"/>
      <c r="AK18" s="41" t="n"/>
      <c r="AL18" s="40" t="n"/>
      <c r="AM18" s="41" t="n"/>
      <c r="AN18" s="645" t="n"/>
      <c r="AO18" s="42" t="n"/>
      <c r="AP18" s="40" t="n"/>
      <c r="AQ18" s="41" t="n"/>
      <c r="AR18" s="888">
        <f>IFERROR(IF(VLOOKUP($B18,Medewerker!$C$8:$AC$107,27,FALSE)="",VLOOKUP($B18,Medewerker!$C$8:$AC$107,25,FALSE),0),0)</f>
        <v/>
      </c>
      <c r="AS18" s="889">
        <f>IFERROR(IF(B18="",1,IF(VLOOKUP($B18,Medewerker!$C$8:$AY$107,27,FALSE)="",VLOOKUP($B18,Medewerker!$C$8:$AY$107,26,FALSE),0)),0)</f>
        <v/>
      </c>
      <c r="AT18" s="30" t="n"/>
      <c r="AU18" s="30">
        <f>(COUNTIF(F18:AQ18,"afw"))/2</f>
        <v/>
      </c>
      <c r="AV18" s="111">
        <f>((38-(COUNTIF(F18:AQ18,"")))/2)-(COUNTIF(F18:AQ18,"p")/2)-(COUNTIF(F18:AQ18,CONCATENATE("x","*"))/4)</f>
        <v/>
      </c>
      <c r="AW18" s="73">
        <f>IF($B18="","",VLOOKUP($B18,Medewerker!$C$8:$E$107,3,FALSE))</f>
        <v/>
      </c>
      <c r="AX18" s="403">
        <f>IFERROR(VLOOKUP($B18,Planning!$B$6:$AG$105,32,FALSE)*24,"")</f>
        <v/>
      </c>
      <c r="AY18" s="406" t="inlineStr">
        <is>
          <t>nd</t>
        </is>
      </c>
      <c r="AZ18" s="166" t="inlineStr">
        <is>
          <t>Navulling DV</t>
        </is>
      </c>
      <c r="BA18" s="111">
        <f>COUNTIF($F$13:$AQ$63,CONCATENATE(AY18,"*"))/2+COUNTIF($F$13:$AQ$63,CONCATENATE("x",AY18,"*"))/4</f>
        <v/>
      </c>
      <c r="BB18" s="838" t="n"/>
      <c r="BC18" s="31">
        <f>IF(Planning!B11="","",Planning!B11)</f>
        <v/>
      </c>
      <c r="BD18" s="105" t="n"/>
      <c r="BE18" s="885">
        <f>Planning!E11</f>
        <v/>
      </c>
      <c r="BF18" s="885">
        <f>Planning!F11</f>
        <v/>
      </c>
      <c r="BG18" s="886" t="n"/>
      <c r="BH18" s="105" t="n"/>
      <c r="BI18" s="885">
        <f>Planning!I11</f>
        <v/>
      </c>
      <c r="BJ18" s="885">
        <f>Planning!J11</f>
        <v/>
      </c>
      <c r="BK18" s="886" t="n"/>
      <c r="BL18" s="105" t="n"/>
      <c r="BM18" s="885">
        <f>Planning!M11</f>
        <v/>
      </c>
      <c r="BN18" s="885">
        <f>Planning!N11</f>
        <v/>
      </c>
      <c r="BO18" s="886" t="n"/>
      <c r="BP18" s="105" t="n"/>
      <c r="BQ18" s="885">
        <f>Planning!Q11</f>
        <v/>
      </c>
      <c r="BR18" s="885">
        <f>Planning!R11</f>
        <v/>
      </c>
      <c r="BS18" s="886" t="n"/>
      <c r="BT18" s="105" t="n"/>
      <c r="BU18" s="885">
        <f>Planning!U11</f>
        <v/>
      </c>
      <c r="BV18" s="885">
        <f>Planning!V11</f>
        <v/>
      </c>
      <c r="BW18" s="886" t="n"/>
      <c r="BX18" s="105" t="n"/>
      <c r="BY18" s="885">
        <f>Planning!Y11</f>
        <v/>
      </c>
      <c r="BZ18" s="885">
        <f>Planning!Z11</f>
        <v/>
      </c>
      <c r="CA18" s="886" t="n"/>
      <c r="CB18" s="105" t="n"/>
      <c r="CC18" s="885">
        <f>Planning!AC11</f>
        <v/>
      </c>
      <c r="CD18" s="885">
        <f>Planning!AD11</f>
        <v/>
      </c>
      <c r="CE18" s="886" t="n"/>
      <c r="CF18" s="105" t="n"/>
      <c r="CG18" s="887">
        <f>Planning!AG11</f>
        <v/>
      </c>
      <c r="CH18" s="105" t="n"/>
      <c r="CI18" s="252">
        <f>IF(BC18="","",Planning!AI11)</f>
        <v/>
      </c>
      <c r="CJ18" s="252">
        <f>IF(BC18="","",Planning!AJ11)</f>
        <v/>
      </c>
      <c r="CK18" s="252">
        <f>IF(BC18="","",Planning!AK11)</f>
        <v/>
      </c>
      <c r="CL18" s="252">
        <f>IF(BC18="","",Planning!AH11)</f>
        <v/>
      </c>
      <c r="CM18" s="21" t="n"/>
    </row>
    <row r="19" ht="12.75" customHeight="1">
      <c r="A19" s="161">
        <f>IFERROR(IF(VLOOKUP($B19,$BC$13:$CL$86,36,FALSE)&gt;5,0,IF(COUNTIF($B$13:$B$63,$B19)&gt;1,0,7)),7)+IF(B19&lt;&gt;0,0,IF(AV19&gt;0,0.000001,0))</f>
        <v/>
      </c>
      <c r="B19" s="52" t="inlineStr">
        <is>
          <t>Gretchen</t>
        </is>
      </c>
      <c r="C19" s="48">
        <f>IFERROR(IF($B19="","",VLOOKUP($B19,Medewerker!$C$8:$AI$107,33,FALSE)),"?")</f>
        <v/>
      </c>
      <c r="D19" s="879">
        <f t="array" ref="D19">IFERROR(IF(LEFT(INDEX($F19:$AQ19,1,SUM(SMALL(IF($F19:$AQ19&lt;&gt;"",COLUMN($F19:$AQ19)),1)-5)),1)="x",SUM(SMALL(IF($F19:$AQ19&lt;&gt;"",$F$11:$AQ$11),1)+"0:15"),SMALL(IF($F19:$AQ19&lt;&gt;"",$F$11:$AQ$11),1)),"")</f>
        <v/>
      </c>
      <c r="E19" s="879">
        <f t="array" ref="E19">IFERROR(IF(LEFT(INDEX($F19:$AQ19,1,SUM(LARGE(IF($F19:$AQ19&lt;&gt;"",COLUMN($F19:$AQ19)),1)-5)),1)="x",SUM(LARGE(IF($F19:$AQ19&lt;&gt;"",$F$11:$AQ$11+"0:30:00"),1)-"0:15"),LARGE(IF($F19:$AQ19&lt;&gt;"",$F$11:$AQ$11+"0:30:00"),1)),"")</f>
        <v/>
      </c>
      <c r="F19" s="40" t="n"/>
      <c r="G19" s="41" t="n"/>
      <c r="H19" s="40" t="inlineStr">
        <is>
          <t>km</t>
        </is>
      </c>
      <c r="I19" s="41" t="inlineStr">
        <is>
          <t>km</t>
        </is>
      </c>
      <c r="J19" s="40" t="inlineStr">
        <is>
          <t>km</t>
        </is>
      </c>
      <c r="K19" s="42" t="inlineStr">
        <is>
          <t>km</t>
        </is>
      </c>
      <c r="L19" s="43" t="inlineStr">
        <is>
          <t>km</t>
        </is>
      </c>
      <c r="M19" s="41" t="inlineStr">
        <is>
          <t>km</t>
        </is>
      </c>
      <c r="N19" s="40" t="inlineStr">
        <is>
          <t>km</t>
        </is>
      </c>
      <c r="O19" s="42" t="inlineStr">
        <is>
          <t>p</t>
        </is>
      </c>
      <c r="P19" s="43" t="inlineStr">
        <is>
          <t>km</t>
        </is>
      </c>
      <c r="Q19" s="41" t="inlineStr">
        <is>
          <t>km</t>
        </is>
      </c>
      <c r="R19" s="40" t="inlineStr">
        <is>
          <t>km</t>
        </is>
      </c>
      <c r="S19" s="42" t="inlineStr">
        <is>
          <t>km</t>
        </is>
      </c>
      <c r="T19" s="43" t="inlineStr">
        <is>
          <t>km</t>
        </is>
      </c>
      <c r="U19" s="41" t="inlineStr">
        <is>
          <t>km</t>
        </is>
      </c>
      <c r="V19" s="40" t="inlineStr">
        <is>
          <t>km</t>
        </is>
      </c>
      <c r="W19" s="42" t="n"/>
      <c r="X19" s="43" t="n"/>
      <c r="Y19" s="41" t="n"/>
      <c r="Z19" s="40" t="n"/>
      <c r="AA19" s="42" t="n"/>
      <c r="AB19" s="43" t="n"/>
      <c r="AC19" s="41" t="n"/>
      <c r="AD19" s="40" t="n"/>
      <c r="AE19" s="42" t="n"/>
      <c r="AF19" s="43" t="n"/>
      <c r="AG19" s="41" t="n"/>
      <c r="AH19" s="40" t="n"/>
      <c r="AI19" s="42" t="n"/>
      <c r="AJ19" s="43" t="n"/>
      <c r="AK19" s="41" t="n"/>
      <c r="AL19" s="40" t="n"/>
      <c r="AM19" s="41" t="n"/>
      <c r="AN19" s="645" t="n"/>
      <c r="AO19" s="42" t="n"/>
      <c r="AP19" s="40" t="n"/>
      <c r="AQ19" s="41" t="n"/>
      <c r="AR19" s="888">
        <f>IFERROR(IF(VLOOKUP($B19,Medewerker!$C$8:$AC$107,27,FALSE)="",VLOOKUP($B19,Medewerker!$C$8:$AC$107,25,FALSE),0),0)</f>
        <v/>
      </c>
      <c r="AS19" s="889">
        <f>IFERROR(IF(B19="",1,IF(VLOOKUP($B19,Medewerker!$C$8:$AY$107,27,FALSE)="",VLOOKUP($B19,Medewerker!$C$8:$AY$107,26,FALSE),0)),0)</f>
        <v/>
      </c>
      <c r="AT19" s="30" t="n"/>
      <c r="AU19" s="30">
        <f>(COUNTIF(F19:AQ19,"afw"))/2</f>
        <v/>
      </c>
      <c r="AV19" s="111">
        <f>((38-(COUNTIF(F19:AQ19,"")))/2)-(COUNTIF(F19:AQ19,"p")/2)-(COUNTIF(F19:AQ19,CONCATENATE("x","*"))/4)</f>
        <v/>
      </c>
      <c r="AW19" s="73">
        <f>IF($B19="","",VLOOKUP($B19,Medewerker!$C$8:$E$107,3,FALSE))</f>
        <v/>
      </c>
      <c r="AX19" s="403">
        <f>IFERROR(VLOOKUP($B19,Planning!$B$6:$AG$105,32,FALSE)*24,"")</f>
        <v/>
      </c>
      <c r="AY19" s="406" t="inlineStr">
        <is>
          <t>nv</t>
        </is>
      </c>
      <c r="AZ19" s="166" t="inlineStr">
        <is>
          <t>Navulling Vers</t>
        </is>
      </c>
      <c r="BA19" s="111">
        <f>COUNTIF($F$13:$AQ$63,CONCATENATE(AY19,"*"))/2+COUNTIF($F$13:$AQ$63,CONCATENATE("x",AY19,"*"))/4</f>
        <v/>
      </c>
      <c r="BB19" s="838" t="n"/>
      <c r="BC19" s="31">
        <f>IF(Planning!B12="","",Planning!B12)</f>
        <v/>
      </c>
      <c r="BD19" s="105" t="n"/>
      <c r="BE19" s="885">
        <f>Planning!E12</f>
        <v/>
      </c>
      <c r="BF19" s="885">
        <f>Planning!F12</f>
        <v/>
      </c>
      <c r="BG19" s="886" t="n"/>
      <c r="BH19" s="105" t="n"/>
      <c r="BI19" s="885">
        <f>Planning!I12</f>
        <v/>
      </c>
      <c r="BJ19" s="885">
        <f>Planning!J12</f>
        <v/>
      </c>
      <c r="BK19" s="886" t="n"/>
      <c r="BL19" s="105" t="n"/>
      <c r="BM19" s="885">
        <f>Planning!M12</f>
        <v/>
      </c>
      <c r="BN19" s="885">
        <f>Planning!N12</f>
        <v/>
      </c>
      <c r="BO19" s="886" t="n"/>
      <c r="BP19" s="105" t="n"/>
      <c r="BQ19" s="885">
        <f>Planning!Q12</f>
        <v/>
      </c>
      <c r="BR19" s="885">
        <f>Planning!R12</f>
        <v/>
      </c>
      <c r="BS19" s="886" t="n"/>
      <c r="BT19" s="105" t="n"/>
      <c r="BU19" s="885">
        <f>Planning!U12</f>
        <v/>
      </c>
      <c r="BV19" s="885">
        <f>Planning!V12</f>
        <v/>
      </c>
      <c r="BW19" s="886" t="n"/>
      <c r="BX19" s="105" t="n"/>
      <c r="BY19" s="885">
        <f>Planning!Y12</f>
        <v/>
      </c>
      <c r="BZ19" s="885">
        <f>Planning!Z12</f>
        <v/>
      </c>
      <c r="CA19" s="886" t="n"/>
      <c r="CB19" s="105" t="n"/>
      <c r="CC19" s="885">
        <f>Planning!AC12</f>
        <v/>
      </c>
      <c r="CD19" s="885">
        <f>Planning!AD12</f>
        <v/>
      </c>
      <c r="CE19" s="886" t="n"/>
      <c r="CF19" s="105" t="n"/>
      <c r="CG19" s="887">
        <f>Planning!AG12</f>
        <v/>
      </c>
      <c r="CH19" s="105" t="n"/>
      <c r="CI19" s="252">
        <f>IF(BC19="","",Planning!AI12)</f>
        <v/>
      </c>
      <c r="CJ19" s="252">
        <f>IF(BC19="","",Planning!AJ12)</f>
        <v/>
      </c>
      <c r="CK19" s="252">
        <f>IF(BC19="","",Planning!AK12)</f>
        <v/>
      </c>
      <c r="CL19" s="252">
        <f>IF(BC19="","",Planning!AH12)</f>
        <v/>
      </c>
      <c r="CM19" s="21" t="n"/>
    </row>
    <row r="20" ht="12.75" customHeight="1">
      <c r="A20" s="161">
        <f>IFERROR(IF(VLOOKUP($B20,$BC$13:$CL$86,36,FALSE)&gt;5,0,IF(COUNTIF($B$13:$B$63,$B20)&gt;1,0,8)),8)+IF(B20&lt;&gt;0,0,IF(AV20&gt;0,0.000001,0))</f>
        <v/>
      </c>
      <c r="B20" s="52" t="n"/>
      <c r="C20" s="48">
        <f>IFERROR(IF($B20="","",VLOOKUP($B20,Medewerker!$C$8:$AI$107,33,FALSE)),"?")</f>
        <v/>
      </c>
      <c r="D20" s="879">
        <f t="array" ref="D20">IFERROR(IF(LEFT(INDEX($F20:$AQ20,1,SUM(SMALL(IF($F20:$AQ20&lt;&gt;"",COLUMN($F20:$AQ20)),1)-5)),1)="x",SUM(SMALL(IF($F20:$AQ20&lt;&gt;"",$F$11:$AQ$11),1)+"0:15"),SMALL(IF($F20:$AQ20&lt;&gt;"",$F$11:$AQ$11),1)),"")</f>
        <v/>
      </c>
      <c r="E20" s="879">
        <f t="array" ref="E20">IFERROR(IF(LEFT(INDEX($F20:$AQ20,1,SUM(LARGE(IF($F20:$AQ20&lt;&gt;"",COLUMN($F20:$AQ20)),1)-5)),1)="x",SUM(LARGE(IF($F20:$AQ20&lt;&gt;"",$F$11:$AQ$11+"0:30:00"),1)-"0:15"),LARGE(IF($F20:$AQ20&lt;&gt;"",$F$11:$AQ$11+"0:30:00"),1)),"")</f>
        <v/>
      </c>
      <c r="F20" s="40" t="n"/>
      <c r="G20" s="41" t="n"/>
      <c r="H20" s="40" t="n"/>
      <c r="I20" s="41" t="n"/>
      <c r="J20" s="40" t="n"/>
      <c r="K20" s="42" t="n"/>
      <c r="L20" s="43" t="n"/>
      <c r="M20" s="41" t="n"/>
      <c r="N20" s="40" t="n"/>
      <c r="O20" s="42" t="n"/>
      <c r="P20" s="43" t="n"/>
      <c r="Q20" s="41" t="n"/>
      <c r="R20" s="40" t="n"/>
      <c r="S20" s="42" t="n"/>
      <c r="T20" s="43" t="n"/>
      <c r="U20" s="41" t="n"/>
      <c r="V20" s="40" t="n"/>
      <c r="W20" s="42" t="n"/>
      <c r="X20" s="43" t="n"/>
      <c r="Y20" s="41" t="n"/>
      <c r="Z20" s="40" t="n"/>
      <c r="AA20" s="42" t="n"/>
      <c r="AB20" s="43" t="n"/>
      <c r="AC20" s="41" t="n"/>
      <c r="AD20" s="40" t="n"/>
      <c r="AE20" s="42" t="n"/>
      <c r="AF20" s="43" t="n"/>
      <c r="AG20" s="41" t="n"/>
      <c r="AH20" s="40" t="n"/>
      <c r="AI20" s="42" t="n"/>
      <c r="AJ20" s="43" t="n"/>
      <c r="AK20" s="41" t="n"/>
      <c r="AL20" s="40" t="n"/>
      <c r="AM20" s="41" t="n"/>
      <c r="AN20" s="645" t="n"/>
      <c r="AO20" s="42" t="n"/>
      <c r="AP20" s="40" t="n"/>
      <c r="AQ20" s="41" t="n"/>
      <c r="AR20" s="888">
        <f>IFERROR(IF(VLOOKUP($B20,Medewerker!$C$8:$AC$107,27,FALSE)="",VLOOKUP($B20,Medewerker!$C$8:$AC$107,25,FALSE),0),0)</f>
        <v/>
      </c>
      <c r="AS20" s="889">
        <f>IFERROR(IF(B20="",1,IF(VLOOKUP($B20,Medewerker!$C$8:$AY$107,27,FALSE)="",VLOOKUP($B20,Medewerker!$C$8:$AY$107,26,FALSE),0)),0)</f>
        <v/>
      </c>
      <c r="AT20" s="30" t="n"/>
      <c r="AU20" s="30">
        <f>(COUNTIF(F20:AQ20,"afw"))/2</f>
        <v/>
      </c>
      <c r="AV20" s="111">
        <f>((38-(COUNTIF(F20:AQ20,"")))/2)-(COUNTIF(F20:AQ20,"p")/2)-(COUNTIF(F20:AQ20,CONCATENATE("x","*"))/4)</f>
        <v/>
      </c>
      <c r="AW20" s="73">
        <f>IF($B20="","",VLOOKUP($B20,Medewerker!$C$8:$E$107,3,FALSE))</f>
        <v/>
      </c>
      <c r="AX20" s="403">
        <f>IFERROR(VLOOKUP($B20,Planning!$B$6:$AG$105,32,FALSE)*24,"")</f>
        <v/>
      </c>
      <c r="AY20" s="406" t="inlineStr">
        <is>
          <t>rh</t>
        </is>
      </c>
      <c r="AZ20" s="166" t="inlineStr">
        <is>
          <t>Restant HB</t>
        </is>
      </c>
      <c r="BA20" s="111">
        <f>COUNTIF($F$13:$AQ$63,CONCATENATE(AY20,"*"))/2+COUNTIF($F$13:$AQ$63,CONCATENATE("x",AY20,"*"))/4</f>
        <v/>
      </c>
      <c r="BB20" s="838" t="n"/>
      <c r="BC20" s="31">
        <f>IF(Planning!B13="","",Planning!B13)</f>
        <v/>
      </c>
      <c r="BD20" s="105" t="n"/>
      <c r="BE20" s="885">
        <f>Planning!E13</f>
        <v/>
      </c>
      <c r="BF20" s="885">
        <f>Planning!F13</f>
        <v/>
      </c>
      <c r="BG20" s="886" t="n"/>
      <c r="BH20" s="105" t="n"/>
      <c r="BI20" s="885">
        <f>Planning!I13</f>
        <v/>
      </c>
      <c r="BJ20" s="885">
        <f>Planning!J13</f>
        <v/>
      </c>
      <c r="BK20" s="886" t="n"/>
      <c r="BL20" s="105" t="n"/>
      <c r="BM20" s="885">
        <f>Planning!M13</f>
        <v/>
      </c>
      <c r="BN20" s="885">
        <f>Planning!N13</f>
        <v/>
      </c>
      <c r="BO20" s="886" t="n"/>
      <c r="BP20" s="105" t="n"/>
      <c r="BQ20" s="885">
        <f>Planning!Q13</f>
        <v/>
      </c>
      <c r="BR20" s="885">
        <f>Planning!R13</f>
        <v/>
      </c>
      <c r="BS20" s="886" t="n"/>
      <c r="BT20" s="105" t="n"/>
      <c r="BU20" s="885">
        <f>Planning!U13</f>
        <v/>
      </c>
      <c r="BV20" s="885">
        <f>Planning!V13</f>
        <v/>
      </c>
      <c r="BW20" s="886" t="n"/>
      <c r="BX20" s="105" t="n"/>
      <c r="BY20" s="885">
        <f>Planning!Y13</f>
        <v/>
      </c>
      <c r="BZ20" s="885">
        <f>Planning!Z13</f>
        <v/>
      </c>
      <c r="CA20" s="886" t="n"/>
      <c r="CB20" s="105" t="n"/>
      <c r="CC20" s="885">
        <f>Planning!AC13</f>
        <v/>
      </c>
      <c r="CD20" s="885">
        <f>Planning!AD13</f>
        <v/>
      </c>
      <c r="CE20" s="886" t="n"/>
      <c r="CF20" s="105" t="n"/>
      <c r="CG20" s="887">
        <f>Planning!AG13</f>
        <v/>
      </c>
      <c r="CH20" s="105" t="n"/>
      <c r="CI20" s="252">
        <f>IF(BC20="","",Planning!AI13)</f>
        <v/>
      </c>
      <c r="CJ20" s="252">
        <f>IF(BC20="","",Planning!AJ13)</f>
        <v/>
      </c>
      <c r="CK20" s="252">
        <f>IF(BC20="","",Planning!AK13)</f>
        <v/>
      </c>
      <c r="CL20" s="252">
        <f>IF(BC20="","",Planning!AH13)</f>
        <v/>
      </c>
      <c r="CM20" s="21" t="n"/>
    </row>
    <row r="21" ht="12.75" customHeight="1">
      <c r="A21" s="161">
        <f>IFERROR(IF(VLOOKUP($B21,$BC$13:$CL$86,36,FALSE)&gt;5,0,IF(COUNTIF($B$13:$B$63,$B21)&gt;1,0,9)),9)+IF(B21&lt;&gt;0,0,IF(AV21&gt;0,0.000001,0))</f>
        <v/>
      </c>
      <c r="B21" s="52" t="inlineStr">
        <is>
          <t>Natacha Reugemeuter</t>
        </is>
      </c>
      <c r="C21" s="48">
        <f>IFERROR(IF($B21="","",VLOOKUP($B21,Medewerker!$C$8:$AI$107,33,FALSE)),"?")</f>
        <v/>
      </c>
      <c r="D21" s="879">
        <f t="array" ref="D21">IFERROR(IF(LEFT(INDEX($F21:$AQ21,1,SUM(SMALL(IF($F21:$AQ21&lt;&gt;"",COLUMN($F21:$AQ21)),1)-5)),1)="x",SUM(SMALL(IF($F21:$AQ21&lt;&gt;"",$F$11:$AQ$11),1)+"0:15"),SMALL(IF($F21:$AQ21&lt;&gt;"",$F$11:$AQ$11),1)),"")</f>
        <v/>
      </c>
      <c r="E21" s="879">
        <f t="array" ref="E21">IFERROR(IF(LEFT(INDEX($F21:$AQ21,1,SUM(LARGE(IF($F21:$AQ21&lt;&gt;"",COLUMN($F21:$AQ21)),1)-5)),1)="x",SUM(LARGE(IF($F21:$AQ21&lt;&gt;"",$F$11:$AQ$11+"0:30:00"),1)-"0:15"),LARGE(IF($F21:$AQ21&lt;&gt;"",$F$11:$AQ$11+"0:30:00"),1)),"")</f>
        <v/>
      </c>
      <c r="F21" s="40" t="n"/>
      <c r="G21" s="41" t="n"/>
      <c r="H21" s="40" t="n"/>
      <c r="I21" s="41" t="n"/>
      <c r="J21" s="40" t="n"/>
      <c r="K21" s="42" t="n"/>
      <c r="L21" s="43" t="n"/>
      <c r="M21" s="41" t="n"/>
      <c r="N21" s="40" t="n"/>
      <c r="O21" s="42" t="n"/>
      <c r="P21" s="43" t="inlineStr">
        <is>
          <t>hv</t>
        </is>
      </c>
      <c r="Q21" s="41" t="inlineStr">
        <is>
          <t>hv</t>
        </is>
      </c>
      <c r="R21" s="40" t="inlineStr">
        <is>
          <t>hv</t>
        </is>
      </c>
      <c r="S21" s="42" t="inlineStr">
        <is>
          <t>hv</t>
        </is>
      </c>
      <c r="T21" s="43" t="inlineStr">
        <is>
          <t>hv</t>
        </is>
      </c>
      <c r="U21" s="41" t="inlineStr">
        <is>
          <t>hv</t>
        </is>
      </c>
      <c r="V21" s="40" t="inlineStr">
        <is>
          <t>hv</t>
        </is>
      </c>
      <c r="W21" s="42" t="inlineStr">
        <is>
          <t>hv</t>
        </is>
      </c>
      <c r="X21" s="43" t="inlineStr">
        <is>
          <t>hv</t>
        </is>
      </c>
      <c r="Y21" s="41" t="inlineStr">
        <is>
          <t>hv</t>
        </is>
      </c>
      <c r="Z21" s="40" t="n"/>
      <c r="AA21" s="42" t="n"/>
      <c r="AB21" s="43" t="n"/>
      <c r="AC21" s="41" t="n"/>
      <c r="AD21" s="40" t="n"/>
      <c r="AE21" s="42" t="n"/>
      <c r="AF21" s="43" t="n"/>
      <c r="AG21" s="41" t="n"/>
      <c r="AH21" s="40" t="n"/>
      <c r="AI21" s="42" t="n"/>
      <c r="AJ21" s="43" t="n"/>
      <c r="AK21" s="41" t="n"/>
      <c r="AL21" s="40" t="n"/>
      <c r="AM21" s="41" t="n"/>
      <c r="AN21" s="645" t="n"/>
      <c r="AO21" s="42" t="n"/>
      <c r="AP21" s="40" t="n"/>
      <c r="AQ21" s="41" t="n"/>
      <c r="AR21" s="888">
        <f>IFERROR(IF(VLOOKUP($B21,Medewerker!$C$8:$AC$107,27,FALSE)="",VLOOKUP($B21,Medewerker!$C$8:$AC$107,25,FALSE),0),0)</f>
        <v/>
      </c>
      <c r="AS21" s="889">
        <f>IFERROR(IF(B21="",1,IF(VLOOKUP($B21,Medewerker!$C$8:$AY$107,27,FALSE)="",VLOOKUP($B21,Medewerker!$C$8:$AY$107,26,FALSE),0)),0)</f>
        <v/>
      </c>
      <c r="AT21" s="30" t="n"/>
      <c r="AU21" s="30">
        <f>(COUNTIF(F21:AQ21,"afw"))/2</f>
        <v/>
      </c>
      <c r="AV21" s="111">
        <f>((38-(COUNTIF(F21:AQ21,"")))/2)-(COUNTIF(F21:AQ21,"p")/2)-(COUNTIF(F21:AQ21,CONCATENATE("x","*"))/4)</f>
        <v/>
      </c>
      <c r="AW21" s="73">
        <f>IF($B21="","",VLOOKUP($B21,Medewerker!$C$8:$E$107,3,FALSE))</f>
        <v/>
      </c>
      <c r="AX21" s="403">
        <f>IFERROR(VLOOKUP($B21,Planning!$B$6:$AG$105,32,FALSE)*24,"")</f>
        <v/>
      </c>
      <c r="AY21" s="406" t="inlineStr">
        <is>
          <t>rd</t>
        </is>
      </c>
      <c r="AZ21" s="166" t="inlineStr">
        <is>
          <t>Restant DV</t>
        </is>
      </c>
      <c r="BA21" s="111">
        <f>COUNTIF($F$13:$AQ$63,CONCATENATE(AY21,"*"))/2+COUNTIF($F$13:$AQ$63,CONCATENATE("x",AY21,"*"))/4</f>
        <v/>
      </c>
      <c r="BB21" s="838" t="n"/>
      <c r="BC21" s="31">
        <f>IF(Planning!B14="","",Planning!B14)</f>
        <v/>
      </c>
      <c r="BD21" s="105" t="n"/>
      <c r="BE21" s="885">
        <f>Planning!E14</f>
        <v/>
      </c>
      <c r="BF21" s="885">
        <f>Planning!F14</f>
        <v/>
      </c>
      <c r="BG21" s="886" t="n"/>
      <c r="BH21" s="105" t="n"/>
      <c r="BI21" s="885">
        <f>Planning!I14</f>
        <v/>
      </c>
      <c r="BJ21" s="885">
        <f>Planning!J14</f>
        <v/>
      </c>
      <c r="BK21" s="886" t="n"/>
      <c r="BL21" s="105" t="n"/>
      <c r="BM21" s="885">
        <f>Planning!M14</f>
        <v/>
      </c>
      <c r="BN21" s="885">
        <f>Planning!N14</f>
        <v/>
      </c>
      <c r="BO21" s="886" t="n"/>
      <c r="BP21" s="105" t="n"/>
      <c r="BQ21" s="885">
        <f>Planning!Q14</f>
        <v/>
      </c>
      <c r="BR21" s="885">
        <f>Planning!R14</f>
        <v/>
      </c>
      <c r="BS21" s="886" t="n"/>
      <c r="BT21" s="105" t="n"/>
      <c r="BU21" s="885">
        <f>Planning!U14</f>
        <v/>
      </c>
      <c r="BV21" s="885">
        <f>Planning!V14</f>
        <v/>
      </c>
      <c r="BW21" s="886" t="n"/>
      <c r="BX21" s="105" t="n"/>
      <c r="BY21" s="885">
        <f>Planning!Y14</f>
        <v/>
      </c>
      <c r="BZ21" s="885">
        <f>Planning!Z14</f>
        <v/>
      </c>
      <c r="CA21" s="886" t="n"/>
      <c r="CB21" s="105" t="n"/>
      <c r="CC21" s="885">
        <f>Planning!AC14</f>
        <v/>
      </c>
      <c r="CD21" s="885">
        <f>Planning!AD14</f>
        <v/>
      </c>
      <c r="CE21" s="886" t="n"/>
      <c r="CF21" s="105" t="n"/>
      <c r="CG21" s="887">
        <f>Planning!AG14</f>
        <v/>
      </c>
      <c r="CH21" s="105" t="n"/>
      <c r="CI21" s="252">
        <f>IF(BC21="","",Planning!AI14)</f>
        <v/>
      </c>
      <c r="CJ21" s="252">
        <f>IF(BC21="","",Planning!AJ14)</f>
        <v/>
      </c>
      <c r="CK21" s="252">
        <f>IF(BC21="","",Planning!AK14)</f>
        <v/>
      </c>
      <c r="CL21" s="252">
        <f>IF(BC21="","",Planning!AH14)</f>
        <v/>
      </c>
      <c r="CM21" s="34" t="n"/>
    </row>
    <row r="22" ht="12.75" customHeight="1">
      <c r="A22" s="161">
        <f>IFERROR(IF(VLOOKUP($B22,$BC$13:$CL$86,36,FALSE)&gt;5,0,IF(COUNTIF($B$13:$B$63,$B22)&gt;1,0,10)),10)+IF(B22&lt;&gt;0,0,IF(AV22&gt;0,0.000001,0))</f>
        <v/>
      </c>
      <c r="B22" s="126" t="inlineStr">
        <is>
          <t>Younes</t>
        </is>
      </c>
      <c r="C22" s="48">
        <f>IFERROR(IF($B22="","",VLOOKUP($B22,Medewerker!$C$8:$AI$107,33,FALSE)),"?")</f>
        <v/>
      </c>
      <c r="D22" s="879">
        <f t="array" ref="D22">IFERROR(IF(LEFT(INDEX($F22:$AQ22,1,SUM(SMALL(IF($F22:$AQ22&lt;&gt;"",COLUMN($F22:$AQ22)),1)-5)),1)="x",SUM(SMALL(IF($F22:$AQ22&lt;&gt;"",$F$11:$AQ$11),1)+"0:15"),SMALL(IF($F22:$AQ22&lt;&gt;"",$F$11:$AQ$11),1)),"")</f>
        <v/>
      </c>
      <c r="E22" s="879">
        <f t="array" ref="E22">IFERROR(IF(LEFT(INDEX($F22:$AQ22,1,SUM(LARGE(IF($F22:$AQ22&lt;&gt;"",COLUMN($F22:$AQ22)),1)-5)),1)="x",SUM(LARGE(IF($F22:$AQ22&lt;&gt;"",$F$11:$AQ$11+"0:30:00"),1)-"0:15"),LARGE(IF($F22:$AQ22&lt;&gt;"",$F$11:$AQ$11+"0:30:00"),1)),"")</f>
        <v/>
      </c>
      <c r="F22" s="40" t="n"/>
      <c r="G22" s="41" t="n"/>
      <c r="H22" s="40" t="n"/>
      <c r="I22" s="41" t="n"/>
      <c r="J22" s="40" t="n"/>
      <c r="K22" s="42" t="n"/>
      <c r="L22" s="43" t="n"/>
      <c r="M22" s="41" t="n"/>
      <c r="N22" s="40" t="n"/>
      <c r="O22" s="42" t="n"/>
      <c r="P22" s="43" t="inlineStr">
        <is>
          <t>hv</t>
        </is>
      </c>
      <c r="Q22" s="41" t="inlineStr">
        <is>
          <t>hv</t>
        </is>
      </c>
      <c r="R22" s="40" t="inlineStr">
        <is>
          <t>hv</t>
        </is>
      </c>
      <c r="S22" s="42" t="inlineStr">
        <is>
          <t>hv</t>
        </is>
      </c>
      <c r="T22" s="43" t="inlineStr">
        <is>
          <t>hv</t>
        </is>
      </c>
      <c r="U22" s="41" t="inlineStr">
        <is>
          <t>hv</t>
        </is>
      </c>
      <c r="V22" s="40" t="inlineStr">
        <is>
          <t>hv</t>
        </is>
      </c>
      <c r="W22" s="42" t="inlineStr">
        <is>
          <t>hv</t>
        </is>
      </c>
      <c r="X22" s="43" t="inlineStr">
        <is>
          <t>hv</t>
        </is>
      </c>
      <c r="Y22" s="41" t="inlineStr">
        <is>
          <t>hv</t>
        </is>
      </c>
      <c r="Z22" s="40" t="n"/>
      <c r="AA22" s="42" t="n"/>
      <c r="AB22" s="43" t="n"/>
      <c r="AC22" s="41" t="n"/>
      <c r="AD22" s="40" t="n"/>
      <c r="AE22" s="42" t="n"/>
      <c r="AF22" s="43" t="n"/>
      <c r="AG22" s="41" t="n"/>
      <c r="AH22" s="40" t="n"/>
      <c r="AI22" s="42" t="n"/>
      <c r="AJ22" s="43" t="n"/>
      <c r="AK22" s="41" t="n"/>
      <c r="AL22" s="40" t="n"/>
      <c r="AM22" s="41" t="n"/>
      <c r="AN22" s="645" t="n"/>
      <c r="AO22" s="42" t="n"/>
      <c r="AP22" s="40" t="n"/>
      <c r="AQ22" s="41" t="n"/>
      <c r="AR22" s="888">
        <f>IFERROR(IF(VLOOKUP($B22,Medewerker!$C$8:$AC$107,27,FALSE)="",VLOOKUP($B22,Medewerker!$C$8:$AC$107,25,FALSE),0),0)</f>
        <v/>
      </c>
      <c r="AS22" s="889">
        <f>IFERROR(IF(B22="",1,IF(VLOOKUP($B22,Medewerker!$C$8:$AY$107,27,FALSE)="",VLOOKUP($B22,Medewerker!$C$8:$AY$107,26,FALSE),0)),0)</f>
        <v/>
      </c>
      <c r="AT22" s="30" t="n"/>
      <c r="AU22" s="30">
        <f>(COUNTIF(F22:AQ22,"afw"))/2</f>
        <v/>
      </c>
      <c r="AV22" s="111">
        <f>((38-(COUNTIF(F22:AQ22,"")))/2)-(COUNTIF(F22:AQ22,"p")/2)-(COUNTIF(F22:AQ22,CONCATENATE("x","*"))/4)</f>
        <v/>
      </c>
      <c r="AW22" s="73">
        <f>IF($B22="","",VLOOKUP($B22,Medewerker!$C$8:$E$107,3,FALSE))</f>
        <v/>
      </c>
      <c r="AX22" s="403">
        <f>IFERROR(VLOOKUP($B22,Planning!$B$6:$AG$105,32,FALSE)*24,"")</f>
        <v/>
      </c>
      <c r="AY22" s="406" t="inlineStr">
        <is>
          <t>rv</t>
        </is>
      </c>
      <c r="AZ22" s="166" t="inlineStr">
        <is>
          <t>Restant Vers</t>
        </is>
      </c>
      <c r="BA22" s="111">
        <f>COUNTIF($F$13:$AQ$63,CONCATENATE(AY22,"*"))/2+COUNTIF($F$13:$AQ$63,CONCATENATE("x",AY22,"*"))/4</f>
        <v/>
      </c>
      <c r="BB22" s="838" t="n"/>
      <c r="BC22" s="31">
        <f>IF(Planning!B15="","",Planning!B15)</f>
        <v/>
      </c>
      <c r="BD22" s="105" t="n"/>
      <c r="BE22" s="885">
        <f>Planning!E15</f>
        <v/>
      </c>
      <c r="BF22" s="885">
        <f>Planning!F15</f>
        <v/>
      </c>
      <c r="BG22" s="886" t="n"/>
      <c r="BH22" s="105" t="n"/>
      <c r="BI22" s="885">
        <f>Planning!I15</f>
        <v/>
      </c>
      <c r="BJ22" s="885">
        <f>Planning!J15</f>
        <v/>
      </c>
      <c r="BK22" s="886" t="n"/>
      <c r="BL22" s="105" t="n"/>
      <c r="BM22" s="885">
        <f>Planning!M15</f>
        <v/>
      </c>
      <c r="BN22" s="885">
        <f>Planning!N15</f>
        <v/>
      </c>
      <c r="BO22" s="886" t="n"/>
      <c r="BP22" s="105" t="n"/>
      <c r="BQ22" s="885">
        <f>Planning!Q15</f>
        <v/>
      </c>
      <c r="BR22" s="885">
        <f>Planning!R15</f>
        <v/>
      </c>
      <c r="BS22" s="886" t="n"/>
      <c r="BT22" s="105" t="n"/>
      <c r="BU22" s="885">
        <f>Planning!U15</f>
        <v/>
      </c>
      <c r="BV22" s="885">
        <f>Planning!V15</f>
        <v/>
      </c>
      <c r="BW22" s="886" t="n"/>
      <c r="BX22" s="105" t="n"/>
      <c r="BY22" s="885">
        <f>Planning!Y15</f>
        <v/>
      </c>
      <c r="BZ22" s="885">
        <f>Planning!Z15</f>
        <v/>
      </c>
      <c r="CA22" s="886" t="n"/>
      <c r="CB22" s="105" t="n"/>
      <c r="CC22" s="885">
        <f>Planning!AC15</f>
        <v/>
      </c>
      <c r="CD22" s="885">
        <f>Planning!AD15</f>
        <v/>
      </c>
      <c r="CE22" s="886" t="n"/>
      <c r="CF22" s="105" t="n"/>
      <c r="CG22" s="887">
        <f>Planning!AG15</f>
        <v/>
      </c>
      <c r="CH22" s="105" t="n"/>
      <c r="CI22" s="252">
        <f>IF(BC22="","",Planning!AI15)</f>
        <v/>
      </c>
      <c r="CJ22" s="252">
        <f>IF(BC22="","",Planning!AJ15)</f>
        <v/>
      </c>
      <c r="CK22" s="252">
        <f>IF(BC22="","",Planning!AK15)</f>
        <v/>
      </c>
      <c r="CL22" s="252">
        <f>IF(BC22="","",Planning!AH15)</f>
        <v/>
      </c>
      <c r="CM22" s="21" t="n"/>
    </row>
    <row r="23" ht="12.75" customHeight="1">
      <c r="A23" s="161">
        <f>IFERROR(IF(VLOOKUP($B23,$BC$13:$CL$86,36,FALSE)&gt;5,0,IF(COUNTIF($B$13:$B$63,$B23)&gt;1,0,11)),11)+IF(B23&lt;&gt;0,0,IF(AV23&gt;0,0.000001,0))</f>
        <v/>
      </c>
      <c r="B23" s="126" t="inlineStr">
        <is>
          <t>Ayoub</t>
        </is>
      </c>
      <c r="C23" s="48">
        <f>IFERROR(IF($B23="","",VLOOKUP($B23,Medewerker!$C$8:$AI$107,33,FALSE)),"?")</f>
        <v/>
      </c>
      <c r="D23" s="879">
        <f t="array" ref="D23">IFERROR(IF(LEFT(INDEX($F23:$AQ23,1,SUM(SMALL(IF($F23:$AQ23&lt;&gt;"",COLUMN($F23:$AQ23)),1)-5)),1)="x",SUM(SMALL(IF($F23:$AQ23&lt;&gt;"",$F$11:$AQ$11),1)+"0:15"),SMALL(IF($F23:$AQ23&lt;&gt;"",$F$11:$AQ$11),1)),"")</f>
        <v/>
      </c>
      <c r="E23" s="879">
        <f t="array" ref="E23">IFERROR(IF(LEFT(INDEX($F23:$AQ23,1,SUM(LARGE(IF($F23:$AQ23&lt;&gt;"",COLUMN($F23:$AQ23)),1)-5)),1)="x",SUM(LARGE(IF($F23:$AQ23&lt;&gt;"",$F$11:$AQ$11+"0:30:00"),1)-"0:15"),LARGE(IF($F23:$AQ23&lt;&gt;"",$F$11:$AQ$11+"0:30:00"),1)),"")</f>
        <v/>
      </c>
      <c r="F23" s="40" t="n"/>
      <c r="G23" s="41" t="n"/>
      <c r="H23" s="40" t="n"/>
      <c r="I23" s="41" t="n"/>
      <c r="J23" s="40" t="n"/>
      <c r="K23" s="42" t="n"/>
      <c r="L23" s="43" t="n"/>
      <c r="M23" s="41" t="n"/>
      <c r="N23" s="40" t="n"/>
      <c r="O23" s="42" t="n"/>
      <c r="P23" s="43" t="inlineStr">
        <is>
          <t>hv</t>
        </is>
      </c>
      <c r="Q23" s="41" t="inlineStr">
        <is>
          <t>hv</t>
        </is>
      </c>
      <c r="R23" s="40" t="inlineStr">
        <is>
          <t>hv</t>
        </is>
      </c>
      <c r="S23" s="42" t="inlineStr">
        <is>
          <t>hv</t>
        </is>
      </c>
      <c r="T23" s="43" t="inlineStr">
        <is>
          <t>hv</t>
        </is>
      </c>
      <c r="U23" s="41" t="inlineStr">
        <is>
          <t>hv</t>
        </is>
      </c>
      <c r="V23" s="40" t="inlineStr">
        <is>
          <t>hv</t>
        </is>
      </c>
      <c r="W23" s="42" t="inlineStr">
        <is>
          <t>hv</t>
        </is>
      </c>
      <c r="X23" s="43" t="inlineStr">
        <is>
          <t>hv</t>
        </is>
      </c>
      <c r="Y23" s="41" t="inlineStr">
        <is>
          <t>hv</t>
        </is>
      </c>
      <c r="Z23" s="40" t="n"/>
      <c r="AA23" s="42" t="n"/>
      <c r="AB23" s="43" t="n"/>
      <c r="AC23" s="41" t="n"/>
      <c r="AD23" s="40" t="n"/>
      <c r="AE23" s="42" t="n"/>
      <c r="AF23" s="43" t="n"/>
      <c r="AG23" s="41" t="n"/>
      <c r="AH23" s="40" t="n"/>
      <c r="AI23" s="42" t="n"/>
      <c r="AJ23" s="43" t="n"/>
      <c r="AK23" s="41" t="n"/>
      <c r="AL23" s="40" t="n"/>
      <c r="AM23" s="41" t="n"/>
      <c r="AN23" s="645" t="n"/>
      <c r="AO23" s="42" t="n"/>
      <c r="AP23" s="40" t="n"/>
      <c r="AQ23" s="41" t="n"/>
      <c r="AR23" s="888">
        <f>IFERROR(IF(VLOOKUP($B23,Medewerker!$C$8:$AC$107,27,FALSE)="",VLOOKUP($B23,Medewerker!$C$8:$AC$107,25,FALSE),0),0)</f>
        <v/>
      </c>
      <c r="AS23" s="889">
        <f>IFERROR(IF(B23="",1,IF(VLOOKUP($B23,Medewerker!$C$8:$AY$107,27,FALSE)="",VLOOKUP($B23,Medewerker!$C$8:$AY$107,26,FALSE),0)),0)</f>
        <v/>
      </c>
      <c r="AT23" s="30" t="n"/>
      <c r="AU23" s="30">
        <f>(COUNTIF(F23:AQ23,"afw"))/2</f>
        <v/>
      </c>
      <c r="AV23" s="111">
        <f>((38-(COUNTIF(F23:AQ23,"")))/2)-(COUNTIF(F23:AQ23,"p")/2)-(COUNTIF(F23:AQ23,CONCATENATE("x","*"))/4)</f>
        <v/>
      </c>
      <c r="AW23" s="73">
        <f>IF($B23="","",VLOOKUP($B23,Medewerker!$C$8:$E$107,3,FALSE))</f>
        <v/>
      </c>
      <c r="AX23" s="403">
        <f>IFERROR(VLOOKUP($B23,Planning!$B$6:$AG$105,32,FALSE)*24,"")</f>
        <v/>
      </c>
      <c r="AY23" s="882" t="inlineStr">
        <is>
          <t>Restant/Telproces</t>
        </is>
      </c>
      <c r="AZ23" s="883" t="n"/>
      <c r="BA23" s="884" t="n"/>
      <c r="BB23" s="838" t="n"/>
      <c r="BC23" s="31">
        <f>IF(Planning!B16="","",Planning!B16)</f>
        <v/>
      </c>
      <c r="BD23" s="105" t="n"/>
      <c r="BE23" s="885">
        <f>Planning!E16</f>
        <v/>
      </c>
      <c r="BF23" s="885">
        <f>Planning!F16</f>
        <v/>
      </c>
      <c r="BG23" s="886" t="n"/>
      <c r="BH23" s="105" t="n"/>
      <c r="BI23" s="885">
        <f>Planning!I16</f>
        <v/>
      </c>
      <c r="BJ23" s="885">
        <f>Planning!J16</f>
        <v/>
      </c>
      <c r="BK23" s="886" t="n"/>
      <c r="BL23" s="105" t="n"/>
      <c r="BM23" s="885">
        <f>Planning!M16</f>
        <v/>
      </c>
      <c r="BN23" s="885">
        <f>Planning!N16</f>
        <v/>
      </c>
      <c r="BO23" s="886" t="n"/>
      <c r="BP23" s="105" t="n"/>
      <c r="BQ23" s="885">
        <f>Planning!Q16</f>
        <v/>
      </c>
      <c r="BR23" s="885">
        <f>Planning!R16</f>
        <v/>
      </c>
      <c r="BS23" s="886" t="n"/>
      <c r="BT23" s="105" t="n"/>
      <c r="BU23" s="885">
        <f>Planning!U16</f>
        <v/>
      </c>
      <c r="BV23" s="885">
        <f>Planning!V16</f>
        <v/>
      </c>
      <c r="BW23" s="886" t="n"/>
      <c r="BX23" s="105" t="n"/>
      <c r="BY23" s="885">
        <f>Planning!Y16</f>
        <v/>
      </c>
      <c r="BZ23" s="885">
        <f>Planning!Z16</f>
        <v/>
      </c>
      <c r="CA23" s="886" t="n"/>
      <c r="CB23" s="105" t="n"/>
      <c r="CC23" s="885">
        <f>Planning!AC16</f>
        <v/>
      </c>
      <c r="CD23" s="885">
        <f>Planning!AD16</f>
        <v/>
      </c>
      <c r="CE23" s="886" t="n"/>
      <c r="CF23" s="105" t="n"/>
      <c r="CG23" s="887">
        <f>Planning!AG16</f>
        <v/>
      </c>
      <c r="CH23" s="105" t="n"/>
      <c r="CI23" s="252">
        <f>IF(BC23="","",Planning!AI16)</f>
        <v/>
      </c>
      <c r="CJ23" s="252">
        <f>IF(BC23="","",Planning!AJ16)</f>
        <v/>
      </c>
      <c r="CK23" s="252">
        <f>IF(BC23="","",Planning!AK16)</f>
        <v/>
      </c>
      <c r="CL23" s="252">
        <f>IF(BC23="","",Planning!AH16)</f>
        <v/>
      </c>
      <c r="CM23" s="21" t="n"/>
    </row>
    <row r="24" ht="12.75" customHeight="1">
      <c r="A24" s="161">
        <f>IFERROR(IF(VLOOKUP($B24,$BC$13:$CL$86,36,FALSE)&gt;5,0,IF(COUNTIF($B$13:$B$63,$B24)&gt;1,0,12)),12)+IF(B24&lt;&gt;0,0,IF(AV24&gt;0,0.000001,0))</f>
        <v/>
      </c>
      <c r="B24" s="126" t="inlineStr">
        <is>
          <t>Arno</t>
        </is>
      </c>
      <c r="C24" s="48">
        <f>IFERROR(IF($B24="","",VLOOKUP($B24,Medewerker!$C$8:$AI$107,33,FALSE)),"?")</f>
        <v/>
      </c>
      <c r="D24" s="879">
        <f t="array" ref="D24">IFERROR(IF(LEFT(INDEX($F24:$AQ24,1,SUM(SMALL(IF($F24:$AQ24&lt;&gt;"",COLUMN($F24:$AQ24)),1)-5)),1)="x",SUM(SMALL(IF($F24:$AQ24&lt;&gt;"",$F$11:$AQ$11),1)+"0:15"),SMALL(IF($F24:$AQ24&lt;&gt;"",$F$11:$AQ$11),1)),"")</f>
        <v/>
      </c>
      <c r="E24" s="879">
        <f t="array" ref="E24">IFERROR(IF(LEFT(INDEX($F24:$AQ24,1,SUM(LARGE(IF($F24:$AQ24&lt;&gt;"",COLUMN($F24:$AQ24)),1)-5)),1)="x",SUM(LARGE(IF($F24:$AQ24&lt;&gt;"",$F$11:$AQ$11+"0:30:00"),1)-"0:15"),LARGE(IF($F24:$AQ24&lt;&gt;"",$F$11:$AQ$11+"0:30:00"),1)),"")</f>
        <v/>
      </c>
      <c r="F24" s="40" t="n"/>
      <c r="G24" s="41" t="n"/>
      <c r="H24" s="40" t="n"/>
      <c r="I24" s="41" t="n"/>
      <c r="J24" s="40" t="n"/>
      <c r="K24" s="42" t="n"/>
      <c r="L24" s="43" t="n"/>
      <c r="M24" s="41" t="n"/>
      <c r="N24" s="40" t="n"/>
      <c r="O24" s="42" t="n"/>
      <c r="P24" s="43" t="inlineStr">
        <is>
          <t>hv</t>
        </is>
      </c>
      <c r="Q24" s="41" t="inlineStr">
        <is>
          <t>hv</t>
        </is>
      </c>
      <c r="R24" s="40" t="inlineStr">
        <is>
          <t>hv</t>
        </is>
      </c>
      <c r="S24" s="42" t="inlineStr">
        <is>
          <t>hv</t>
        </is>
      </c>
      <c r="T24" s="43" t="inlineStr">
        <is>
          <t>hv</t>
        </is>
      </c>
      <c r="U24" s="41" t="inlineStr">
        <is>
          <t>hv</t>
        </is>
      </c>
      <c r="V24" s="40" t="inlineStr">
        <is>
          <t>hv</t>
        </is>
      </c>
      <c r="W24" s="42" t="inlineStr">
        <is>
          <t>hv</t>
        </is>
      </c>
      <c r="X24" s="43" t="inlineStr">
        <is>
          <t>hv</t>
        </is>
      </c>
      <c r="Y24" s="41" t="inlineStr">
        <is>
          <t>hv</t>
        </is>
      </c>
      <c r="Z24" s="40" t="n"/>
      <c r="AA24" s="42" t="n"/>
      <c r="AB24" s="43" t="n"/>
      <c r="AC24" s="41" t="n"/>
      <c r="AD24" s="40" t="n"/>
      <c r="AE24" s="42" t="n"/>
      <c r="AF24" s="43" t="n"/>
      <c r="AG24" s="41" t="n"/>
      <c r="AH24" s="40" t="n"/>
      <c r="AI24" s="42" t="n"/>
      <c r="AJ24" s="43" t="n"/>
      <c r="AK24" s="41" t="n"/>
      <c r="AL24" s="40" t="n"/>
      <c r="AM24" s="41" t="n"/>
      <c r="AN24" s="645" t="n"/>
      <c r="AO24" s="42" t="n"/>
      <c r="AP24" s="40" t="n"/>
      <c r="AQ24" s="41" t="n"/>
      <c r="AR24" s="888">
        <f>IFERROR(IF(VLOOKUP($B24,Medewerker!$C$8:$AC$107,27,FALSE)="",VLOOKUP($B24,Medewerker!$C$8:$AC$107,25,FALSE),0),0)</f>
        <v/>
      </c>
      <c r="AS24" s="889">
        <f>IFERROR(IF(B24="",1,IF(VLOOKUP($B24,Medewerker!$C$8:$AY$107,27,FALSE)="",VLOOKUP($B24,Medewerker!$C$8:$AY$107,26,FALSE),0)),0)</f>
        <v/>
      </c>
      <c r="AT24" s="30" t="n"/>
      <c r="AU24" s="30">
        <f>(COUNTIF(F24:AQ24,"afw"))/2</f>
        <v/>
      </c>
      <c r="AV24" s="111">
        <f>((38-(COUNTIF(F24:AQ24,"")))/2)-(COUNTIF(F24:AQ24,"p")/2)-(COUNTIF(F24:AQ24,CONCATENATE("x","*"))/4)</f>
        <v/>
      </c>
      <c r="AW24" s="73">
        <f>IF($B24="","",VLOOKUP($B24,Medewerker!$C$8:$E$107,3,FALSE))</f>
        <v/>
      </c>
      <c r="AX24" s="403">
        <f>IFERROR(VLOOKUP($B24,Planning!$B$6:$AG$105,32,FALSE)*24,"")</f>
        <v/>
      </c>
      <c r="AY24" s="562" t="inlineStr">
        <is>
          <t>br</t>
        </is>
      </c>
      <c r="AZ24" s="166" t="inlineStr">
        <is>
          <t>Bepalen restant</t>
        </is>
      </c>
      <c r="BA24" s="111">
        <f>COUNTIF($F$13:$AQ$63,CONCATENATE(AY24,"*"))/2+COUNTIF($F$13:$AQ$63,CONCATENATE("x",AY24,"*"))/4</f>
        <v/>
      </c>
      <c r="BB24" s="838" t="n"/>
      <c r="BC24" s="31">
        <f>IF(Planning!B17="","",Planning!B17)</f>
        <v/>
      </c>
      <c r="BD24" s="105" t="n"/>
      <c r="BE24" s="885">
        <f>Planning!E17</f>
        <v/>
      </c>
      <c r="BF24" s="885">
        <f>Planning!F17</f>
        <v/>
      </c>
      <c r="BG24" s="886" t="n"/>
      <c r="BH24" s="105" t="n"/>
      <c r="BI24" s="885">
        <f>Planning!I17</f>
        <v/>
      </c>
      <c r="BJ24" s="885">
        <f>Planning!J17</f>
        <v/>
      </c>
      <c r="BK24" s="886" t="n"/>
      <c r="BL24" s="105" t="n"/>
      <c r="BM24" s="885">
        <f>Planning!M17</f>
        <v/>
      </c>
      <c r="BN24" s="885">
        <f>Planning!N17</f>
        <v/>
      </c>
      <c r="BO24" s="886" t="n"/>
      <c r="BP24" s="105" t="n"/>
      <c r="BQ24" s="885">
        <f>Planning!Q17</f>
        <v/>
      </c>
      <c r="BR24" s="885">
        <f>Planning!R17</f>
        <v/>
      </c>
      <c r="BS24" s="886" t="n"/>
      <c r="BT24" s="105" t="n"/>
      <c r="BU24" s="885">
        <f>Planning!U17</f>
        <v/>
      </c>
      <c r="BV24" s="885">
        <f>Planning!V17</f>
        <v/>
      </c>
      <c r="BW24" s="886" t="n"/>
      <c r="BX24" s="105" t="n"/>
      <c r="BY24" s="885">
        <f>Planning!Y17</f>
        <v/>
      </c>
      <c r="BZ24" s="885">
        <f>Planning!Z17</f>
        <v/>
      </c>
      <c r="CA24" s="886" t="n"/>
      <c r="CB24" s="105" t="n"/>
      <c r="CC24" s="885">
        <f>Planning!AC17</f>
        <v/>
      </c>
      <c r="CD24" s="885">
        <f>Planning!AD17</f>
        <v/>
      </c>
      <c r="CE24" s="886" t="n"/>
      <c r="CF24" s="105" t="n"/>
      <c r="CG24" s="887">
        <f>Planning!AG17</f>
        <v/>
      </c>
      <c r="CH24" s="105" t="n"/>
      <c r="CI24" s="252">
        <f>IF(BC24="","",Planning!AI17)</f>
        <v/>
      </c>
      <c r="CJ24" s="252">
        <f>IF(BC24="","",Planning!AJ17)</f>
        <v/>
      </c>
      <c r="CK24" s="252">
        <f>IF(BC24="","",Planning!AK17)</f>
        <v/>
      </c>
      <c r="CL24" s="252">
        <f>IF(BC24="","",Planning!AH17)</f>
        <v/>
      </c>
      <c r="CM24" s="21" t="n"/>
    </row>
    <row r="25" ht="12.75" customHeight="1">
      <c r="A25" s="161">
        <f>IFERROR(IF(VLOOKUP($B25,$BC$13:$CL$86,36,FALSE)&gt;5,0,IF(COUNTIF($B$13:$B$63,$B25)&gt;1,0,13)),13)+IF(B25&lt;&gt;0,0,IF(AV25&gt;0,0.000001,0))</f>
        <v/>
      </c>
      <c r="B25" s="129" t="inlineStr">
        <is>
          <t>Raha</t>
        </is>
      </c>
      <c r="C25" s="48">
        <f>IFERROR(IF($B25="","",VLOOKUP($B25,Medewerker!$C$8:$AI$107,33,FALSE)),"?")</f>
        <v/>
      </c>
      <c r="D25" s="879">
        <f t="array" ref="D25">IFERROR(IF(LEFT(INDEX($F25:$AQ25,1,SUM(SMALL(IF($F25:$AQ25&lt;&gt;"",COLUMN($F25:$AQ25)),1)-5)),1)="x",SUM(SMALL(IF($F25:$AQ25&lt;&gt;"",$F$11:$AQ$11),1)+"0:15"),SMALL(IF($F25:$AQ25&lt;&gt;"",$F$11:$AQ$11),1)),"")</f>
        <v/>
      </c>
      <c r="E25" s="879">
        <f t="array" ref="E25">IFERROR(IF(LEFT(INDEX($F25:$AQ25,1,SUM(LARGE(IF($F25:$AQ25&lt;&gt;"",COLUMN($F25:$AQ25)),1)-5)),1)="x",SUM(LARGE(IF($F25:$AQ25&lt;&gt;"",$F$11:$AQ$11+"0:30:00"),1)-"0:15"),LARGE(IF($F25:$AQ25&lt;&gt;"",$F$11:$AQ$11+"0:30:00"),1)),"")</f>
        <v/>
      </c>
      <c r="F25" s="40" t="n"/>
      <c r="G25" s="41" t="n"/>
      <c r="H25" s="40" t="n"/>
      <c r="I25" s="41" t="n"/>
      <c r="J25" s="40" t="n"/>
      <c r="K25" s="42" t="n"/>
      <c r="L25" s="43" t="n"/>
      <c r="M25" s="41" t="n"/>
      <c r="N25" s="40" t="n"/>
      <c r="O25" s="42" t="n"/>
      <c r="P25" s="43" t="inlineStr">
        <is>
          <t>hv</t>
        </is>
      </c>
      <c r="Q25" s="41" t="inlineStr">
        <is>
          <t>hv</t>
        </is>
      </c>
      <c r="R25" s="40" t="inlineStr">
        <is>
          <t>hv</t>
        </is>
      </c>
      <c r="S25" s="42" t="inlineStr">
        <is>
          <t>hv</t>
        </is>
      </c>
      <c r="T25" s="43" t="inlineStr">
        <is>
          <t>hv</t>
        </is>
      </c>
      <c r="U25" s="41" t="inlineStr">
        <is>
          <t>p</t>
        </is>
      </c>
      <c r="V25" s="40" t="inlineStr">
        <is>
          <t>hv</t>
        </is>
      </c>
      <c r="W25" s="42" t="inlineStr">
        <is>
          <t>hv</t>
        </is>
      </c>
      <c r="X25" s="43" t="inlineStr">
        <is>
          <t>hv</t>
        </is>
      </c>
      <c r="Y25" s="41" t="inlineStr">
        <is>
          <t>hv</t>
        </is>
      </c>
      <c r="Z25" s="40" t="n"/>
      <c r="AA25" s="42" t="n"/>
      <c r="AB25" s="43" t="n"/>
      <c r="AC25" s="41" t="n"/>
      <c r="AD25" s="40" t="n"/>
      <c r="AE25" s="42" t="n"/>
      <c r="AF25" s="43" t="n"/>
      <c r="AG25" s="41" t="n"/>
      <c r="AH25" s="40" t="n"/>
      <c r="AI25" s="42" t="n"/>
      <c r="AJ25" s="43" t="n"/>
      <c r="AK25" s="41" t="n"/>
      <c r="AL25" s="40" t="n"/>
      <c r="AM25" s="41" t="n"/>
      <c r="AN25" s="645" t="n"/>
      <c r="AO25" s="42" t="n"/>
      <c r="AP25" s="40" t="n"/>
      <c r="AQ25" s="41" t="n"/>
      <c r="AR25" s="888">
        <f>IFERROR(IF(VLOOKUP($B25,Medewerker!$C$8:$AC$107,27,FALSE)="",VLOOKUP($B25,Medewerker!$C$8:$AC$107,25,FALSE),0),0)</f>
        <v/>
      </c>
      <c r="AS25" s="889">
        <f>IFERROR(IF(B25="",1,IF(VLOOKUP($B25,Medewerker!$C$8:$AY$107,27,FALSE)="",VLOOKUP($B25,Medewerker!$C$8:$AY$107,26,FALSE),0)),0)</f>
        <v/>
      </c>
      <c r="AT25" s="30" t="n"/>
      <c r="AU25" s="30">
        <f>(COUNTIF(F25:AQ25,"afw"))/2</f>
        <v/>
      </c>
      <c r="AV25" s="111">
        <f>((38-(COUNTIF(F25:AQ25,"")))/2)-(COUNTIF(F25:AQ25,"p")/2)-(COUNTIF(F25:AQ25,CONCATENATE("x","*"))/4)</f>
        <v/>
      </c>
      <c r="AW25" s="73">
        <f>IF($B25="","",VLOOKUP($B25,Medewerker!$C$8:$E$107,3,FALSE))</f>
        <v/>
      </c>
      <c r="AX25" s="403">
        <f>IFERROR(VLOOKUP($B25,Planning!$B$6:$AG$105,32,FALSE)*24,"")</f>
        <v/>
      </c>
      <c r="AY25" s="563" t="inlineStr">
        <is>
          <t>bl</t>
        </is>
      </c>
      <c r="AZ25" s="412" t="inlineStr">
        <is>
          <t>Bepalen langrestant</t>
        </is>
      </c>
      <c r="BA25" s="111">
        <f>COUNTIF($F$13:$AQ$63,CONCATENATE(AY25,"*"))/2+COUNTIF($F$13:$AQ$63,CONCATENATE("x",AY25,"*"))/4</f>
        <v/>
      </c>
      <c r="BB25" s="838" t="n"/>
      <c r="BC25" s="31">
        <f>IF(Planning!B18="","",Planning!B18)</f>
        <v/>
      </c>
      <c r="BD25" s="105" t="n"/>
      <c r="BE25" s="885">
        <f>Planning!E18</f>
        <v/>
      </c>
      <c r="BF25" s="885">
        <f>Planning!F18</f>
        <v/>
      </c>
      <c r="BG25" s="886" t="n"/>
      <c r="BH25" s="105" t="n"/>
      <c r="BI25" s="885">
        <f>Planning!I18</f>
        <v/>
      </c>
      <c r="BJ25" s="885">
        <f>Planning!J18</f>
        <v/>
      </c>
      <c r="BK25" s="886" t="n"/>
      <c r="BL25" s="105" t="n"/>
      <c r="BM25" s="885">
        <f>Planning!M18</f>
        <v/>
      </c>
      <c r="BN25" s="885">
        <f>Planning!N18</f>
        <v/>
      </c>
      <c r="BO25" s="886" t="n"/>
      <c r="BP25" s="105" t="n"/>
      <c r="BQ25" s="885">
        <f>Planning!Q18</f>
        <v/>
      </c>
      <c r="BR25" s="885">
        <f>Planning!R18</f>
        <v/>
      </c>
      <c r="BS25" s="886" t="n"/>
      <c r="BT25" s="105" t="n"/>
      <c r="BU25" s="885">
        <f>Planning!U18</f>
        <v/>
      </c>
      <c r="BV25" s="885">
        <f>Planning!V18</f>
        <v/>
      </c>
      <c r="BW25" s="886" t="n"/>
      <c r="BX25" s="105" t="n"/>
      <c r="BY25" s="885">
        <f>Planning!Y18</f>
        <v/>
      </c>
      <c r="BZ25" s="885">
        <f>Planning!Z18</f>
        <v/>
      </c>
      <c r="CA25" s="886" t="n"/>
      <c r="CB25" s="105" t="n"/>
      <c r="CC25" s="885">
        <f>Planning!AC18</f>
        <v/>
      </c>
      <c r="CD25" s="885">
        <f>Planning!AD18</f>
        <v/>
      </c>
      <c r="CE25" s="886" t="n"/>
      <c r="CF25" s="105" t="n"/>
      <c r="CG25" s="887">
        <f>Planning!AG18</f>
        <v/>
      </c>
      <c r="CH25" s="105" t="n"/>
      <c r="CI25" s="252">
        <f>IF(BC25="","",Planning!AI18)</f>
        <v/>
      </c>
      <c r="CJ25" s="252">
        <f>IF(BC25="","",Planning!AJ18)</f>
        <v/>
      </c>
      <c r="CK25" s="252">
        <f>IF(BC25="","",Planning!AK18)</f>
        <v/>
      </c>
      <c r="CL25" s="252">
        <f>IF(BC25="","",Planning!AH18)</f>
        <v/>
      </c>
      <c r="CM25" s="21" t="n"/>
    </row>
    <row r="26" ht="12.75" customHeight="1">
      <c r="A26" s="161">
        <f>IFERROR(IF(VLOOKUP($B26,$BC$13:$CL$86,36,FALSE)&gt;5,0,IF(COUNTIF($B$13:$B$63,$B26)&gt;1,0,14)),14)+IF(B26&lt;&gt;0,0,IF(AV26&gt;0,0.000001,0))</f>
        <v/>
      </c>
      <c r="B26" s="129" t="n"/>
      <c r="C26" s="48">
        <f>IFERROR(IF($B26="","",VLOOKUP($B26,Medewerker!$C$8:$AI$107,33,FALSE)),"?")</f>
        <v/>
      </c>
      <c r="D26" s="879">
        <f t="array" ref="D26">IFERROR(IF(LEFT(INDEX($F26:$AQ26,1,SUM(SMALL(IF($F26:$AQ26&lt;&gt;"",COLUMN($F26:$AQ26)),1)-5)),1)="x",SUM(SMALL(IF($F26:$AQ26&lt;&gt;"",$F$11:$AQ$11),1)+"0:15"),SMALL(IF($F26:$AQ26&lt;&gt;"",$F$11:$AQ$11),1)),"")</f>
        <v/>
      </c>
      <c r="E26" s="879">
        <f t="array" ref="E26">IFERROR(IF(LEFT(INDEX($F26:$AQ26,1,SUM(LARGE(IF($F26:$AQ26&lt;&gt;"",COLUMN($F26:$AQ26)),1)-5)),1)="x",SUM(LARGE(IF($F26:$AQ26&lt;&gt;"",$F$11:$AQ$11+"0:30:00"),1)-"0:15"),LARGE(IF($F26:$AQ26&lt;&gt;"",$F$11:$AQ$11+"0:30:00"),1)),"")</f>
        <v/>
      </c>
      <c r="F26" s="40" t="n"/>
      <c r="G26" s="41" t="n"/>
      <c r="H26" s="40" t="n"/>
      <c r="I26" s="41" t="n"/>
      <c r="J26" s="41" t="n"/>
      <c r="K26" s="41" t="n"/>
      <c r="L26" s="41" t="n"/>
      <c r="M26" s="41" t="n"/>
      <c r="N26" s="41" t="n"/>
      <c r="O26" s="41" t="n"/>
      <c r="P26" s="41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  <c r="AA26" s="41" t="n"/>
      <c r="AB26" s="43" t="n"/>
      <c r="AC26" s="41" t="n"/>
      <c r="AD26" s="40" t="n"/>
      <c r="AE26" s="42" t="n"/>
      <c r="AF26" s="43" t="n"/>
      <c r="AG26" s="41" t="n"/>
      <c r="AH26" s="40" t="n"/>
      <c r="AI26" s="42" t="n"/>
      <c r="AJ26" s="43" t="n"/>
      <c r="AK26" s="41" t="n"/>
      <c r="AL26" s="40" t="n"/>
      <c r="AM26" s="41" t="n"/>
      <c r="AN26" s="645" t="n"/>
      <c r="AO26" s="42" t="n"/>
      <c r="AP26" s="40" t="n"/>
      <c r="AQ26" s="41" t="n"/>
      <c r="AR26" s="888">
        <f>IFERROR(IF(VLOOKUP($B26,Medewerker!$C$8:$AC$107,27,FALSE)="",VLOOKUP($B26,Medewerker!$C$8:$AC$107,25,FALSE),0),0)</f>
        <v/>
      </c>
      <c r="AS26" s="889">
        <f>IFERROR(IF(B26="",1,IF(VLOOKUP($B26,Medewerker!$C$8:$AY$107,27,FALSE)="",VLOOKUP($B26,Medewerker!$C$8:$AY$107,26,FALSE),0)),0)</f>
        <v/>
      </c>
      <c r="AT26" s="30" t="n"/>
      <c r="AU26" s="30">
        <f>(COUNTIF(F26:AQ26,"afw"))/2</f>
        <v/>
      </c>
      <c r="AV26" s="111">
        <f>((38-(COUNTIF(F26:AQ26,"")))/2)-(COUNTIF(F26:AQ26,"p")/2)-(COUNTIF(F26:AQ26,CONCATENATE("x","*"))/4)</f>
        <v/>
      </c>
      <c r="AW26" s="73">
        <f>IF($B26="","",VLOOKUP($B26,Medewerker!$C$8:$E$107,3,FALSE))</f>
        <v/>
      </c>
      <c r="AX26" s="403">
        <f>IFERROR(VLOOKUP($B26,Planning!$B$6:$AG$105,32,FALSE)*24,"")</f>
        <v/>
      </c>
      <c r="AY26" s="562" t="inlineStr">
        <is>
          <t>hl</t>
        </is>
      </c>
      <c r="AZ26" s="166" t="inlineStr">
        <is>
          <t>Hardlopers vullen</t>
        </is>
      </c>
      <c r="BA26" s="111">
        <f>COUNTIF($F$13:$AQ$63,CONCATENATE(AY26,"*"))/2+COUNTIF($F$13:$AQ$63,CONCATENATE("x",AY26,"*"))/4</f>
        <v/>
      </c>
      <c r="BB26" s="838" t="n"/>
      <c r="BC26" s="31">
        <f>IF(Planning!B19="","",Planning!B19)</f>
        <v/>
      </c>
      <c r="BD26" s="105" t="n"/>
      <c r="BE26" s="885">
        <f>Planning!E19</f>
        <v/>
      </c>
      <c r="BF26" s="885">
        <f>Planning!F19</f>
        <v/>
      </c>
      <c r="BG26" s="886" t="n"/>
      <c r="BH26" s="105" t="n"/>
      <c r="BI26" s="885">
        <f>Planning!I19</f>
        <v/>
      </c>
      <c r="BJ26" s="885">
        <f>Planning!J19</f>
        <v/>
      </c>
      <c r="BK26" s="886" t="n"/>
      <c r="BL26" s="105" t="n"/>
      <c r="BM26" s="885">
        <f>Planning!M19</f>
        <v/>
      </c>
      <c r="BN26" s="885">
        <f>Planning!N19</f>
        <v/>
      </c>
      <c r="BO26" s="886" t="n"/>
      <c r="BP26" s="105" t="n"/>
      <c r="BQ26" s="885">
        <f>Planning!Q19</f>
        <v/>
      </c>
      <c r="BR26" s="885">
        <f>Planning!R19</f>
        <v/>
      </c>
      <c r="BS26" s="886" t="n"/>
      <c r="BT26" s="105" t="n"/>
      <c r="BU26" s="885">
        <f>Planning!U19</f>
        <v/>
      </c>
      <c r="BV26" s="885">
        <f>Planning!V19</f>
        <v/>
      </c>
      <c r="BW26" s="886" t="n"/>
      <c r="BX26" s="105" t="n"/>
      <c r="BY26" s="885">
        <f>Planning!Y19</f>
        <v/>
      </c>
      <c r="BZ26" s="885">
        <f>Planning!Z19</f>
        <v/>
      </c>
      <c r="CA26" s="886" t="n"/>
      <c r="CB26" s="105" t="n"/>
      <c r="CC26" s="885">
        <f>Planning!AC19</f>
        <v/>
      </c>
      <c r="CD26" s="885">
        <f>Planning!AD19</f>
        <v/>
      </c>
      <c r="CE26" s="886" t="n"/>
      <c r="CF26" s="105" t="n"/>
      <c r="CG26" s="887">
        <f>Planning!AG19</f>
        <v/>
      </c>
      <c r="CH26" s="105" t="n"/>
      <c r="CI26" s="252">
        <f>IF(BC26="","",Planning!AI19)</f>
        <v/>
      </c>
      <c r="CJ26" s="252">
        <f>IF(BC26="","",Planning!AJ19)</f>
        <v/>
      </c>
      <c r="CK26" s="252">
        <f>IF(BC26="","",Planning!AK19)</f>
        <v/>
      </c>
      <c r="CL26" s="252">
        <f>IF(BC26="","",Planning!AH19)</f>
        <v/>
      </c>
      <c r="CM26" s="21" t="n"/>
    </row>
    <row r="27" ht="12.75" customHeight="1">
      <c r="A27" s="161">
        <f>IFERROR(IF(VLOOKUP($B27,$BC$13:$CL$86,36,FALSE)&gt;5,0,IF(COUNTIF($B$13:$B$63,$B27)&gt;1,0,15)),15)+IF(B27&lt;&gt;0,0,IF(AV27&gt;0,0.000001,0))</f>
        <v/>
      </c>
      <c r="B27" s="129" t="inlineStr">
        <is>
          <t>Mo Samar</t>
        </is>
      </c>
      <c r="C27" s="48">
        <f>IFERROR(IF($B27="","",VLOOKUP($B27,Medewerker!$C$8:$AI$107,33,FALSE)),"?")</f>
        <v/>
      </c>
      <c r="D27" s="879">
        <f t="array" ref="D27">IFERROR(IF(LEFT(INDEX($F27:$AQ27,1,SUM(SMALL(IF($F27:$AQ27&lt;&gt;"",COLUMN($F27:$AQ27)),1)-5)),1)="x",SUM(SMALL(IF($F27:$AQ27&lt;&gt;"",$F$11:$AQ$11),1)+"0:15"),SMALL(IF($F27:$AQ27&lt;&gt;"",$F$11:$AQ$11),1)),"")</f>
        <v/>
      </c>
      <c r="E27" s="879">
        <f t="array" ref="E27">IFERROR(IF(LEFT(INDEX($F27:$AQ27,1,SUM(LARGE(IF($F27:$AQ27&lt;&gt;"",COLUMN($F27:$AQ27)),1)-5)),1)="x",SUM(LARGE(IF($F27:$AQ27&lt;&gt;"",$F$11:$AQ$11+"0:30:00"),1)-"0:15"),LARGE(IF($F27:$AQ27&lt;&gt;"",$F$11:$AQ$11+"0:30:00"),1)),"")</f>
        <v/>
      </c>
      <c r="F27" s="40" t="n"/>
      <c r="G27" s="41" t="n"/>
      <c r="H27" s="40" t="n"/>
      <c r="I27" s="41" t="n"/>
      <c r="J27" s="40" t="inlineStr">
        <is>
          <t>nh</t>
        </is>
      </c>
      <c r="K27" s="42" t="inlineStr">
        <is>
          <t>nh</t>
        </is>
      </c>
      <c r="L27" s="43" t="inlineStr">
        <is>
          <t>l</t>
        </is>
      </c>
      <c r="M27" s="41" t="inlineStr">
        <is>
          <t>sp</t>
        </is>
      </c>
      <c r="N27" s="40" t="inlineStr">
        <is>
          <t>sp</t>
        </is>
      </c>
      <c r="O27" s="42" t="inlineStr">
        <is>
          <t>sp</t>
        </is>
      </c>
      <c r="P27" s="43" t="inlineStr">
        <is>
          <t>sp</t>
        </is>
      </c>
      <c r="Q27" s="41" t="inlineStr">
        <is>
          <t>sp</t>
        </is>
      </c>
      <c r="R27" s="40" t="inlineStr">
        <is>
          <t>sp</t>
        </is>
      </c>
      <c r="S27" s="42" t="inlineStr">
        <is>
          <t>p</t>
        </is>
      </c>
      <c r="T27" s="43" t="inlineStr">
        <is>
          <t>hv</t>
        </is>
      </c>
      <c r="U27" s="41" t="inlineStr">
        <is>
          <t>hv</t>
        </is>
      </c>
      <c r="V27" s="40" t="inlineStr">
        <is>
          <t>hv</t>
        </is>
      </c>
      <c r="W27" s="42" t="inlineStr">
        <is>
          <t>hv</t>
        </is>
      </c>
      <c r="X27" s="43" t="inlineStr">
        <is>
          <t>hv</t>
        </is>
      </c>
      <c r="Y27" s="41" t="n"/>
      <c r="Z27" s="40" t="n"/>
      <c r="AA27" s="42" t="n"/>
      <c r="AB27" s="43" t="n"/>
      <c r="AC27" s="41" t="n"/>
      <c r="AD27" s="40" t="n"/>
      <c r="AE27" s="42" t="n"/>
      <c r="AF27" s="43" t="n"/>
      <c r="AG27" s="41" t="n"/>
      <c r="AH27" s="40" t="n"/>
      <c r="AI27" s="42" t="n"/>
      <c r="AJ27" s="43" t="n"/>
      <c r="AK27" s="41" t="n"/>
      <c r="AL27" s="40" t="n"/>
      <c r="AM27" s="41" t="n"/>
      <c r="AN27" s="645" t="n"/>
      <c r="AO27" s="42" t="n"/>
      <c r="AP27" s="40" t="n"/>
      <c r="AQ27" s="41" t="n"/>
      <c r="AR27" s="888">
        <f>IFERROR(IF(VLOOKUP($B27,Medewerker!$C$8:$AC$107,27,FALSE)="",VLOOKUP($B27,Medewerker!$C$8:$AC$107,25,FALSE),0),0)</f>
        <v/>
      </c>
      <c r="AS27" s="889">
        <f>IFERROR(IF(B27="",1,IF(VLOOKUP($B27,Medewerker!$C$8:$AY$107,27,FALSE)="",VLOOKUP($B27,Medewerker!$C$8:$AY$107,26,FALSE),0)),0)</f>
        <v/>
      </c>
      <c r="AT27" s="30" t="n"/>
      <c r="AU27" s="30">
        <f>(COUNTIF(F27:AQ27,"afw"))/2</f>
        <v/>
      </c>
      <c r="AV27" s="111">
        <f>((38-(COUNTIF(F27:AQ27,"")))/2)-(COUNTIF(F27:AQ27,"p")/2)-(COUNTIF(F27:AQ27,CONCATENATE("x","*"))/4)</f>
        <v/>
      </c>
      <c r="AW27" s="73">
        <f>IF($B27="","",VLOOKUP($B27,Medewerker!$C$8:$E$107,3,FALSE))</f>
        <v/>
      </c>
      <c r="AX27" s="403">
        <f>IFERROR(VLOOKUP($B27,Planning!$B$6:$AG$105,32,FALSE)*24,"")</f>
        <v/>
      </c>
      <c r="AY27" s="563" t="inlineStr">
        <is>
          <t>lhb</t>
        </is>
      </c>
      <c r="AZ27" s="71" t="inlineStr">
        <is>
          <t>Neeverkoop HB</t>
        </is>
      </c>
      <c r="BA27" s="111">
        <f>COUNTIF($F$13:$AQ$63,CONCATENATE(AY27,"*"))/2+COUNTIF($F$13:$AQ$63,CONCATENATE("x",AY27,"*"))/4</f>
        <v/>
      </c>
      <c r="BB27" s="838" t="n"/>
      <c r="BC27" s="31">
        <f>IF(Planning!B20="","",Planning!B20)</f>
        <v/>
      </c>
      <c r="BD27" s="105" t="n"/>
      <c r="BE27" s="885">
        <f>Planning!E20</f>
        <v/>
      </c>
      <c r="BF27" s="885">
        <f>Planning!F20</f>
        <v/>
      </c>
      <c r="BG27" s="886" t="n"/>
      <c r="BH27" s="105" t="n"/>
      <c r="BI27" s="885">
        <f>Planning!I20</f>
        <v/>
      </c>
      <c r="BJ27" s="885">
        <f>Planning!J20</f>
        <v/>
      </c>
      <c r="BK27" s="886" t="n"/>
      <c r="BL27" s="105" t="n"/>
      <c r="BM27" s="885">
        <f>Planning!M20</f>
        <v/>
      </c>
      <c r="BN27" s="885">
        <f>Planning!N20</f>
        <v/>
      </c>
      <c r="BO27" s="886" t="n"/>
      <c r="BP27" s="105" t="n"/>
      <c r="BQ27" s="885">
        <f>Planning!Q20</f>
        <v/>
      </c>
      <c r="BR27" s="885">
        <f>Planning!R20</f>
        <v/>
      </c>
      <c r="BS27" s="886" t="n"/>
      <c r="BT27" s="105" t="n"/>
      <c r="BU27" s="885">
        <f>Planning!U20</f>
        <v/>
      </c>
      <c r="BV27" s="885">
        <f>Planning!V20</f>
        <v/>
      </c>
      <c r="BW27" s="886" t="n"/>
      <c r="BX27" s="105" t="n"/>
      <c r="BY27" s="885">
        <f>Planning!Y20</f>
        <v/>
      </c>
      <c r="BZ27" s="885">
        <f>Planning!Z20</f>
        <v/>
      </c>
      <c r="CA27" s="886" t="n"/>
      <c r="CB27" s="105" t="n"/>
      <c r="CC27" s="885">
        <f>Planning!AC20</f>
        <v/>
      </c>
      <c r="CD27" s="885">
        <f>Planning!AD20</f>
        <v/>
      </c>
      <c r="CE27" s="886" t="n"/>
      <c r="CF27" s="105" t="n"/>
      <c r="CG27" s="887">
        <f>Planning!AG20</f>
        <v/>
      </c>
      <c r="CH27" s="105" t="n"/>
      <c r="CI27" s="252">
        <f>IF(BC27="","",Planning!AI20)</f>
        <v/>
      </c>
      <c r="CJ27" s="252">
        <f>IF(BC27="","",Planning!AJ20)</f>
        <v/>
      </c>
      <c r="CK27" s="252">
        <f>IF(BC27="","",Planning!AK20)</f>
        <v/>
      </c>
      <c r="CL27" s="252">
        <f>IF(BC27="","",Planning!AH20)</f>
        <v/>
      </c>
      <c r="CM27" s="21" t="n"/>
    </row>
    <row r="28" ht="12.75" customHeight="1">
      <c r="A28" s="161">
        <f>IFERROR(IF(VLOOKUP($B28,$BC$13:$CL$86,36,FALSE)&gt;5,0,IF(COUNTIF($B$13:$B$63,$B28)&gt;1,0,16)),16)+IF(B28&lt;&gt;0,0,IF(AV28&gt;0,0.000001,0))</f>
        <v/>
      </c>
      <c r="B28" s="129" t="inlineStr">
        <is>
          <t>Tony Zogo</t>
        </is>
      </c>
      <c r="C28" s="48">
        <f>IFERROR(IF($B28="","",VLOOKUP($B28,Medewerker!$C$8:$AI$107,33,FALSE)),"?")</f>
        <v/>
      </c>
      <c r="D28" s="879">
        <f t="array" ref="D28">IFERROR(IF(LEFT(INDEX($F28:$AQ28,1,SUM(SMALL(IF($F28:$AQ28&lt;&gt;"",COLUMN($F28:$AQ28)),1)-5)),1)="x",SUM(SMALL(IF($F28:$AQ28&lt;&gt;"",$F$11:$AQ$11),1)+"0:15"),SMALL(IF($F28:$AQ28&lt;&gt;"",$F$11:$AQ$11),1)),"")</f>
        <v/>
      </c>
      <c r="E28" s="879">
        <f t="array" ref="E28">IFERROR(IF(LEFT(INDEX($F28:$AQ28,1,SUM(LARGE(IF($F28:$AQ28&lt;&gt;"",COLUMN($F28:$AQ28)),1)-5)),1)="x",SUM(LARGE(IF($F28:$AQ28&lt;&gt;"",$F$11:$AQ$11+"0:30:00"),1)-"0:15"),LARGE(IF($F28:$AQ28&lt;&gt;"",$F$11:$AQ$11+"0:30:00"),1)),"")</f>
        <v/>
      </c>
      <c r="F28" s="40" t="n"/>
      <c r="G28" s="41" t="n"/>
      <c r="H28" s="40" t="n"/>
      <c r="I28" s="41" t="n"/>
      <c r="J28" s="40" t="inlineStr">
        <is>
          <t>nh</t>
        </is>
      </c>
      <c r="K28" s="42" t="inlineStr">
        <is>
          <t>nh</t>
        </is>
      </c>
      <c r="L28" s="43" t="inlineStr">
        <is>
          <t>l</t>
        </is>
      </c>
      <c r="M28" s="41" t="inlineStr">
        <is>
          <t>hv</t>
        </is>
      </c>
      <c r="N28" s="40" t="inlineStr">
        <is>
          <t>hv</t>
        </is>
      </c>
      <c r="O28" s="42" t="inlineStr">
        <is>
          <t>hv</t>
        </is>
      </c>
      <c r="P28" s="43" t="inlineStr">
        <is>
          <t>hv</t>
        </is>
      </c>
      <c r="Q28" s="41" t="inlineStr">
        <is>
          <t>hv</t>
        </is>
      </c>
      <c r="R28" s="40" t="inlineStr">
        <is>
          <t>p</t>
        </is>
      </c>
      <c r="S28" s="42" t="inlineStr">
        <is>
          <t>hv</t>
        </is>
      </c>
      <c r="T28" s="43" t="inlineStr">
        <is>
          <t>hv</t>
        </is>
      </c>
      <c r="U28" s="41" t="inlineStr">
        <is>
          <t>hv</t>
        </is>
      </c>
      <c r="V28" s="40" t="inlineStr">
        <is>
          <t>hv</t>
        </is>
      </c>
      <c r="W28" s="42" t="n"/>
      <c r="X28" s="43" t="n"/>
      <c r="Y28" s="41" t="n"/>
      <c r="Z28" s="40" t="n"/>
      <c r="AA28" s="42" t="n"/>
      <c r="AB28" s="43" t="n"/>
      <c r="AC28" s="41" t="n"/>
      <c r="AD28" s="40" t="n"/>
      <c r="AE28" s="42" t="n"/>
      <c r="AF28" s="43" t="n"/>
      <c r="AG28" s="41" t="n"/>
      <c r="AH28" s="40" t="n"/>
      <c r="AI28" s="42" t="n"/>
      <c r="AJ28" s="43" t="n"/>
      <c r="AK28" s="41" t="n"/>
      <c r="AL28" s="40" t="n"/>
      <c r="AM28" s="41" t="n"/>
      <c r="AN28" s="645" t="n"/>
      <c r="AO28" s="42" t="n"/>
      <c r="AP28" s="40" t="n"/>
      <c r="AQ28" s="41" t="n"/>
      <c r="AR28" s="888">
        <f>IFERROR(IF(VLOOKUP($B28,Medewerker!$C$8:$AC$107,27,FALSE)="",VLOOKUP($B28,Medewerker!$C$8:$AC$107,25,FALSE),0),0)</f>
        <v/>
      </c>
      <c r="AS28" s="889">
        <f>IFERROR(IF(B28="",1,IF(VLOOKUP($B28,Medewerker!$C$8:$AY$107,27,FALSE)="",VLOOKUP($B28,Medewerker!$C$8:$AY$107,26,FALSE),0)),0)</f>
        <v/>
      </c>
      <c r="AT28" s="30" t="n"/>
      <c r="AU28" s="30">
        <f>(COUNTIF(F28:AQ28,"afw"))/2</f>
        <v/>
      </c>
      <c r="AV28" s="111">
        <f>((38-(COUNTIF(F28:AQ28,"")))/2)-(COUNTIF(F28:AQ28,"p")/2)-(COUNTIF(F28:AQ28,CONCATENATE("x","*"))/4)</f>
        <v/>
      </c>
      <c r="AW28" s="73">
        <f>IF($B28="","",VLOOKUP($B28,Medewerker!$C$8:$E$107,3,FALSE))</f>
        <v/>
      </c>
      <c r="AX28" s="403">
        <f>IFERROR(VLOOKUP($B28,Planning!$B$6:$AG$105,32,FALSE)*24,"")</f>
        <v/>
      </c>
      <c r="AY28" s="562" t="inlineStr">
        <is>
          <t>ldv</t>
        </is>
      </c>
      <c r="AZ28" s="166" t="inlineStr">
        <is>
          <t>Neeverkoop DV</t>
        </is>
      </c>
      <c r="BA28" s="111">
        <f>COUNTIF($F$13:$AQ$63,CONCATENATE(AY28,"*"))/2+COUNTIF($F$13:$AQ$63,CONCATENATE("x",AY28,"*"))/4</f>
        <v/>
      </c>
      <c r="BB28" s="838" t="n"/>
      <c r="BC28" s="31">
        <f>IF(Planning!B21="","",Planning!B21)</f>
        <v/>
      </c>
      <c r="BD28" s="105" t="n"/>
      <c r="BE28" s="885">
        <f>Planning!E21</f>
        <v/>
      </c>
      <c r="BF28" s="885">
        <f>Planning!F21</f>
        <v/>
      </c>
      <c r="BG28" s="886" t="n"/>
      <c r="BH28" s="105" t="n"/>
      <c r="BI28" s="885">
        <f>Planning!I21</f>
        <v/>
      </c>
      <c r="BJ28" s="885">
        <f>Planning!J21</f>
        <v/>
      </c>
      <c r="BK28" s="886" t="n"/>
      <c r="BL28" s="105" t="n"/>
      <c r="BM28" s="885">
        <f>Planning!M21</f>
        <v/>
      </c>
      <c r="BN28" s="885">
        <f>Planning!N21</f>
        <v/>
      </c>
      <c r="BO28" s="886" t="n"/>
      <c r="BP28" s="105" t="n"/>
      <c r="BQ28" s="885">
        <f>Planning!Q21</f>
        <v/>
      </c>
      <c r="BR28" s="885">
        <f>Planning!R21</f>
        <v/>
      </c>
      <c r="BS28" s="886" t="n"/>
      <c r="BT28" s="105" t="n"/>
      <c r="BU28" s="885">
        <f>Planning!U21</f>
        <v/>
      </c>
      <c r="BV28" s="885">
        <f>Planning!V21</f>
        <v/>
      </c>
      <c r="BW28" s="886" t="n"/>
      <c r="BX28" s="105" t="n"/>
      <c r="BY28" s="885">
        <f>Planning!Y21</f>
        <v/>
      </c>
      <c r="BZ28" s="885">
        <f>Planning!Z21</f>
        <v/>
      </c>
      <c r="CA28" s="886" t="n"/>
      <c r="CB28" s="105" t="n"/>
      <c r="CC28" s="885">
        <f>Planning!AC21</f>
        <v/>
      </c>
      <c r="CD28" s="885">
        <f>Planning!AD21</f>
        <v/>
      </c>
      <c r="CE28" s="886" t="n"/>
      <c r="CF28" s="105" t="n"/>
      <c r="CG28" s="887">
        <f>Planning!AG21</f>
        <v/>
      </c>
      <c r="CH28" s="105" t="n"/>
      <c r="CI28" s="252">
        <f>IF(BC28="","",Planning!AI21)</f>
        <v/>
      </c>
      <c r="CJ28" s="252">
        <f>IF(BC28="","",Planning!AJ21)</f>
        <v/>
      </c>
      <c r="CK28" s="252">
        <f>IF(BC28="","",Planning!AK21)</f>
        <v/>
      </c>
      <c r="CL28" s="252">
        <f>IF(BC28="","",Planning!AH21)</f>
        <v/>
      </c>
      <c r="CM28" s="21" t="n"/>
    </row>
    <row r="29" ht="12.75" customHeight="1">
      <c r="A29" s="161">
        <f>IFERROR(IF(VLOOKUP($B29,$BC$13:$CL$86,36,FALSE)&gt;5,0,IF(COUNTIF($B$13:$B$63,$B29)&gt;1,0,17)),17)+IF(B29&lt;&gt;0,0,IF(AV29&gt;0,0.000001,0))</f>
        <v/>
      </c>
      <c r="B29" s="52" t="n"/>
      <c r="C29" s="127">
        <f>IFERROR(IF($B29="","",VLOOKUP($B29,Medewerker!$C$8:$AI$107,33,FALSE)),"?")</f>
        <v/>
      </c>
      <c r="D29" s="890">
        <f t="array" ref="D29">IFERROR(IF(LEFT(INDEX($F29:$AQ29,1,SUM(SMALL(IF($F29:$AQ29&lt;&gt;"",COLUMN($F29:$AQ29)),1)-5)),1)="x",SUM(SMALL(IF($F29:$AQ29&lt;&gt;"",$F$11:$AQ$11),1)+"0:15"),SMALL(IF($F29:$AQ29&lt;&gt;"",$F$11:$AQ$11),1)),"")</f>
        <v/>
      </c>
      <c r="E29" s="890">
        <f t="array" ref="E29">IFERROR(IF(LEFT(INDEX($F29:$AQ29,1,SUM(LARGE(IF($F29:$AQ29&lt;&gt;"",COLUMN($F29:$AQ29)),1)-5)),1)="x",SUM(LARGE(IF($F29:$AQ29&lt;&gt;"",$F$11:$AQ$11+"0:30:00"),1)-"0:15"),LARGE(IF($F29:$AQ29&lt;&gt;"",$F$11:$AQ$11+"0:30:00"),1)),"")</f>
        <v/>
      </c>
      <c r="F29" s="40" t="n"/>
      <c r="G29" s="41" t="n"/>
      <c r="H29" s="40" t="n"/>
      <c r="I29" s="41" t="n"/>
      <c r="J29" s="40" t="n"/>
      <c r="K29" s="42" t="n"/>
      <c r="L29" s="43" t="n"/>
      <c r="M29" s="41" t="n"/>
      <c r="N29" s="40" t="n"/>
      <c r="O29" s="42" t="n"/>
      <c r="P29" s="43" t="n"/>
      <c r="Q29" s="41" t="n"/>
      <c r="R29" s="40" t="n"/>
      <c r="S29" s="42" t="n"/>
      <c r="T29" s="43" t="n"/>
      <c r="U29" s="41" t="n"/>
      <c r="V29" s="40" t="n"/>
      <c r="W29" s="42" t="n"/>
      <c r="X29" s="43" t="n"/>
      <c r="Y29" s="41" t="n"/>
      <c r="Z29" s="40" t="n"/>
      <c r="AA29" s="42" t="n"/>
      <c r="AB29" s="43" t="n"/>
      <c r="AC29" s="41" t="n"/>
      <c r="AD29" s="40" t="n"/>
      <c r="AE29" s="42" t="n"/>
      <c r="AF29" s="43" t="n"/>
      <c r="AG29" s="41" t="n"/>
      <c r="AH29" s="40" t="n"/>
      <c r="AI29" s="42" t="n"/>
      <c r="AJ29" s="43" t="n"/>
      <c r="AK29" s="41" t="n"/>
      <c r="AL29" s="40" t="n"/>
      <c r="AM29" s="41" t="n"/>
      <c r="AN29" s="645" t="n"/>
      <c r="AO29" s="42" t="n"/>
      <c r="AP29" s="40" t="n"/>
      <c r="AQ29" s="41" t="n"/>
      <c r="AR29" s="888">
        <f>IFERROR(IF(VLOOKUP($B29,Medewerker!$C$8:$AC$107,27,FALSE)="",VLOOKUP($B29,Medewerker!$C$8:$AC$107,25,FALSE),0),0)</f>
        <v/>
      </c>
      <c r="AS29" s="889">
        <f>IFERROR(IF(B29="",1,IF(VLOOKUP($B29,Medewerker!$C$8:$AY$107,27,FALSE)="",VLOOKUP($B29,Medewerker!$C$8:$AY$107,26,FALSE),0)),0)</f>
        <v/>
      </c>
      <c r="AT29" s="30" t="n"/>
      <c r="AU29" s="30">
        <f>(COUNTIF(F29:AQ29,"afw"))/2</f>
        <v/>
      </c>
      <c r="AV29" s="111">
        <f>((38-(COUNTIF(F29:AQ29,"")))/2)-(COUNTIF(F29:AQ29,"p")/2)-(COUNTIF(F29:AQ29,CONCATENATE("x","*"))/4)</f>
        <v/>
      </c>
      <c r="AW29" s="73">
        <f>IF($B29="","",VLOOKUP($B29,Medewerker!$C$8:$E$107,3,FALSE))</f>
        <v/>
      </c>
      <c r="AX29" s="403">
        <f>IFERROR(VLOOKUP($B29,Planning!$B$6:$AG$105,32,FALSE)*24,"")</f>
        <v/>
      </c>
      <c r="AY29" s="563" t="inlineStr">
        <is>
          <t>lvv</t>
        </is>
      </c>
      <c r="AZ29" s="413" t="inlineStr">
        <is>
          <t>Neeverkoop Vers</t>
        </is>
      </c>
      <c r="BA29" s="111">
        <f>COUNTIF($F$13:$AQ$63,CONCATENATE(AY29,"*"))/2+COUNTIF($F$13:$AQ$63,CONCATENATE("x",AY29,"*"))/4</f>
        <v/>
      </c>
      <c r="BB29" s="838" t="n"/>
      <c r="BC29" s="31">
        <f>IF(Planning!B22="","",Planning!B22)</f>
        <v/>
      </c>
      <c r="BD29" s="105" t="n"/>
      <c r="BE29" s="885">
        <f>Planning!E22</f>
        <v/>
      </c>
      <c r="BF29" s="885">
        <f>Planning!F22</f>
        <v/>
      </c>
      <c r="BG29" s="886" t="n"/>
      <c r="BH29" s="105" t="n"/>
      <c r="BI29" s="885">
        <f>Planning!I22</f>
        <v/>
      </c>
      <c r="BJ29" s="885">
        <f>Planning!J22</f>
        <v/>
      </c>
      <c r="BK29" s="886" t="n"/>
      <c r="BL29" s="105" t="n"/>
      <c r="BM29" s="885">
        <f>Planning!M22</f>
        <v/>
      </c>
      <c r="BN29" s="885">
        <f>Planning!N22</f>
        <v/>
      </c>
      <c r="BO29" s="886" t="n"/>
      <c r="BP29" s="105" t="n"/>
      <c r="BQ29" s="885">
        <f>Planning!Q22</f>
        <v/>
      </c>
      <c r="BR29" s="885">
        <f>Planning!R22</f>
        <v/>
      </c>
      <c r="BS29" s="886" t="n"/>
      <c r="BT29" s="105" t="n"/>
      <c r="BU29" s="885">
        <f>Planning!U22</f>
        <v/>
      </c>
      <c r="BV29" s="885">
        <f>Planning!V22</f>
        <v/>
      </c>
      <c r="BW29" s="886" t="n"/>
      <c r="BX29" s="105" t="n"/>
      <c r="BY29" s="885">
        <f>Planning!Y22</f>
        <v/>
      </c>
      <c r="BZ29" s="885">
        <f>Planning!Z22</f>
        <v/>
      </c>
      <c r="CA29" s="886" t="n"/>
      <c r="CB29" s="105" t="n"/>
      <c r="CC29" s="885">
        <f>Planning!AC22</f>
        <v/>
      </c>
      <c r="CD29" s="885">
        <f>Planning!AD22</f>
        <v/>
      </c>
      <c r="CE29" s="886" t="n"/>
      <c r="CF29" s="105" t="n"/>
      <c r="CG29" s="887">
        <f>Planning!AG22</f>
        <v/>
      </c>
      <c r="CH29" s="105" t="n"/>
      <c r="CI29" s="252">
        <f>IF(BC29="","",Planning!AI22)</f>
        <v/>
      </c>
      <c r="CJ29" s="252">
        <f>IF(BC29="","",Planning!AJ22)</f>
        <v/>
      </c>
      <c r="CK29" s="252">
        <f>IF(BC29="","",Planning!AK22)</f>
        <v/>
      </c>
      <c r="CL29" s="252">
        <f>IF(BC29="","",Planning!AH22)</f>
        <v/>
      </c>
      <c r="CM29" s="21" t="n"/>
    </row>
    <row r="30" ht="12.75" customHeight="1">
      <c r="A30" s="161">
        <f>IFERROR(IF(VLOOKUP($B30,$BC$13:$CL$86,36,FALSE)&gt;5,0,IF(COUNTIF($B$13:$B$63,$B30)&gt;1,0,18)),18)+IF(B30&lt;&gt;0,0,IF(AV30&gt;0,0.000001,0))</f>
        <v/>
      </c>
      <c r="B30" s="126" t="inlineStr">
        <is>
          <t>Yoselin</t>
        </is>
      </c>
      <c r="C30" s="127">
        <f>IFERROR(IF($B30="","",VLOOKUP($B30,Medewerker!$C$8:$AI$107,33,FALSE)),"?")</f>
        <v/>
      </c>
      <c r="D30" s="890">
        <f t="array" ref="D30">IFERROR(IF(LEFT(INDEX($F30:$AQ30,1,SUM(SMALL(IF($F30:$AQ30&lt;&gt;"",COLUMN($F30:$AQ30)),1)-5)),1)="x",SUM(SMALL(IF($F30:$AQ30&lt;&gt;"",$F$11:$AQ$11),1)+"0:15"),SMALL(IF($F30:$AQ30&lt;&gt;"",$F$11:$AQ$11),1)),"")</f>
        <v/>
      </c>
      <c r="E30" s="890">
        <f t="array" ref="E30">IFERROR(IF(LEFT(INDEX($F30:$AQ30,1,SUM(LARGE(IF($F30:$AQ30&lt;&gt;"",COLUMN($F30:$AQ30)),1)-5)),1)="x",SUM(LARGE(IF($F30:$AQ30&lt;&gt;"",$F$11:$AQ$11+"0:30:00"),1)-"0:15"),LARGE(IF($F30:$AQ30&lt;&gt;"",$F$11:$AQ$11+"0:30:00"),1)),"")</f>
        <v/>
      </c>
      <c r="F30" s="40" t="n"/>
      <c r="G30" s="41" t="n"/>
      <c r="H30" s="43" t="n"/>
      <c r="I30" s="42" t="n"/>
      <c r="J30" s="43" t="n"/>
      <c r="K30" s="41" t="n"/>
      <c r="L30" s="40" t="n"/>
      <c r="M30" s="42" t="n"/>
      <c r="N30" s="43" t="inlineStr">
        <is>
          <t>rd</t>
        </is>
      </c>
      <c r="O30" s="41" t="inlineStr">
        <is>
          <t>rd</t>
        </is>
      </c>
      <c r="P30" s="40" t="inlineStr">
        <is>
          <t>rd</t>
        </is>
      </c>
      <c r="Q30" s="42" t="inlineStr">
        <is>
          <t>dv</t>
        </is>
      </c>
      <c r="R30" s="43" t="inlineStr">
        <is>
          <t>dv</t>
        </is>
      </c>
      <c r="S30" s="41" t="inlineStr">
        <is>
          <t>dv</t>
        </is>
      </c>
      <c r="T30" s="40" t="inlineStr">
        <is>
          <t>dv</t>
        </is>
      </c>
      <c r="U30" s="42" t="inlineStr">
        <is>
          <t>dv</t>
        </is>
      </c>
      <c r="V30" s="43" t="inlineStr">
        <is>
          <t>dv</t>
        </is>
      </c>
      <c r="W30" s="41" t="inlineStr">
        <is>
          <t>dv</t>
        </is>
      </c>
      <c r="X30" s="40" t="n"/>
      <c r="Y30" s="42" t="n"/>
      <c r="Z30" s="43" t="n"/>
      <c r="AA30" s="41" t="n"/>
      <c r="AB30" s="40" t="n"/>
      <c r="AC30" s="42" t="n"/>
      <c r="AD30" s="43" t="n"/>
      <c r="AE30" s="41" t="n"/>
      <c r="AF30" s="40" t="n"/>
      <c r="AG30" s="42" t="n"/>
      <c r="AH30" s="43" t="n"/>
      <c r="AI30" s="41" t="n"/>
      <c r="AJ30" s="40" t="n"/>
      <c r="AK30" s="42" t="n"/>
      <c r="AL30" s="43" t="n"/>
      <c r="AM30" s="41" t="n"/>
      <c r="AN30" s="645" t="n"/>
      <c r="AO30" s="42" t="n"/>
      <c r="AP30" s="40" t="n"/>
      <c r="AQ30" s="41" t="n"/>
      <c r="AR30" s="888">
        <f>IFERROR(IF(VLOOKUP($B30,Medewerker!$C$8:$AC$107,27,FALSE)="",VLOOKUP($B30,Medewerker!$C$8:$AC$107,25,FALSE),0),0)</f>
        <v/>
      </c>
      <c r="AS30" s="889">
        <f>IFERROR(IF(B30="",1,IF(VLOOKUP($B30,Medewerker!$C$8:$AY$107,27,FALSE)="",VLOOKUP($B30,Medewerker!$C$8:$AY$107,26,FALSE),0)),0)</f>
        <v/>
      </c>
      <c r="AT30" s="30" t="n"/>
      <c r="AU30" s="30">
        <f>(COUNTIF(F30:AQ30,"afw"))/2</f>
        <v/>
      </c>
      <c r="AV30" s="111">
        <f>((38-(COUNTIF(F30:AQ30,"")))/2)-(COUNTIF(F30:AQ30,"p")/2)-(COUNTIF(F30:AQ30,CONCATENATE("x","*"))/4)</f>
        <v/>
      </c>
      <c r="AW30" s="73">
        <f>IF($B30="","",VLOOKUP($B30,Medewerker!$C$8:$E$107,3,FALSE))</f>
        <v/>
      </c>
      <c r="AX30" s="403">
        <f>IFERROR(VLOOKUP($B30,Planning!$B$6:$AG$105,32,FALSE)*24,"")</f>
        <v/>
      </c>
      <c r="AY30" s="564" t="inlineStr">
        <is>
          <t>vcr</t>
        </is>
      </c>
      <c r="AZ30" s="561" t="inlineStr">
        <is>
          <t>Risicoartikelen tellen</t>
        </is>
      </c>
      <c r="BA30" s="140">
        <f>COUNTIF($F$13:$AQ$63,CONCATENATE(AY30,"*"))/2+COUNTIF($F$13:$AQ$63,CONCATENATE("x",AY30,"*"))/4</f>
        <v/>
      </c>
      <c r="BB30" s="838" t="n"/>
      <c r="BC30" s="31">
        <f>IF(Planning!B23="","",Planning!B23)</f>
        <v/>
      </c>
      <c r="BD30" s="105" t="n"/>
      <c r="BE30" s="885">
        <f>Planning!E23</f>
        <v/>
      </c>
      <c r="BF30" s="885">
        <f>Planning!F23</f>
        <v/>
      </c>
      <c r="BG30" s="886" t="n"/>
      <c r="BH30" s="105" t="n"/>
      <c r="BI30" s="885">
        <f>Planning!I23</f>
        <v/>
      </c>
      <c r="BJ30" s="885">
        <f>Planning!J23</f>
        <v/>
      </c>
      <c r="BK30" s="886" t="n"/>
      <c r="BL30" s="105" t="n"/>
      <c r="BM30" s="885">
        <f>Planning!M23</f>
        <v/>
      </c>
      <c r="BN30" s="885">
        <f>Planning!N23</f>
        <v/>
      </c>
      <c r="BO30" s="886" t="n"/>
      <c r="BP30" s="105" t="n"/>
      <c r="BQ30" s="885">
        <f>Planning!Q23</f>
        <v/>
      </c>
      <c r="BR30" s="885">
        <f>Planning!R23</f>
        <v/>
      </c>
      <c r="BS30" s="886" t="n"/>
      <c r="BT30" s="105" t="n"/>
      <c r="BU30" s="885">
        <f>Planning!U23</f>
        <v/>
      </c>
      <c r="BV30" s="885">
        <f>Planning!V23</f>
        <v/>
      </c>
      <c r="BW30" s="886" t="n"/>
      <c r="BX30" s="105" t="n"/>
      <c r="BY30" s="885">
        <f>Planning!Y23</f>
        <v/>
      </c>
      <c r="BZ30" s="885">
        <f>Planning!Z23</f>
        <v/>
      </c>
      <c r="CA30" s="886" t="n"/>
      <c r="CB30" s="105" t="n"/>
      <c r="CC30" s="885">
        <f>Planning!AC23</f>
        <v/>
      </c>
      <c r="CD30" s="885">
        <f>Planning!AD23</f>
        <v/>
      </c>
      <c r="CE30" s="886" t="n"/>
      <c r="CF30" s="105" t="n"/>
      <c r="CG30" s="887">
        <f>Planning!AG23</f>
        <v/>
      </c>
      <c r="CH30" s="105" t="n"/>
      <c r="CI30" s="252">
        <f>IF(BC30="","",Planning!AI23)</f>
        <v/>
      </c>
      <c r="CJ30" s="252">
        <f>IF(BC30="","",Planning!AJ23)</f>
        <v/>
      </c>
      <c r="CK30" s="252">
        <f>IF(BC30="","",Planning!AK23)</f>
        <v/>
      </c>
      <c r="CL30" s="252">
        <f>IF(BC30="","",Planning!AH23)</f>
        <v/>
      </c>
      <c r="CM30" s="21" t="n"/>
    </row>
    <row r="31" ht="12.75" customHeight="1">
      <c r="A31" s="161">
        <f>IFERROR(IF(VLOOKUP($B31,$BC$13:$CL$86,36,FALSE)&gt;5,0,IF(COUNTIF($B$13:$B$63,$B31)&gt;1,0,19)),19)+IF(B31&lt;&gt;0,0,IF(AV31&gt;0,0.000001,0))</f>
        <v/>
      </c>
      <c r="B31" s="126" t="n"/>
      <c r="C31" s="127">
        <f>IFERROR(IF($B31="","",VLOOKUP($B31,Medewerker!$C$8:$AI$107,33,FALSE)),"?")</f>
        <v/>
      </c>
      <c r="D31" s="890">
        <f t="array" ref="D31">IFERROR(IF(LEFT(INDEX($F31:$AQ31,1,SUM(SMALL(IF($F31:$AQ31&lt;&gt;"",COLUMN($F31:$AQ31)),1)-5)),1)="x",SUM(SMALL(IF($F31:$AQ31&lt;&gt;"",$F$11:$AQ$11),1)+"0:15"),SMALL(IF($F31:$AQ31&lt;&gt;"",$F$11:$AQ$11),1)),"")</f>
        <v/>
      </c>
      <c r="E31" s="890">
        <f t="array" ref="E31">IFERROR(IF(LEFT(INDEX($F31:$AQ31,1,SUM(LARGE(IF($F31:$AQ31&lt;&gt;"",COLUMN($F31:$AQ31)),1)-5)),1)="x",SUM(LARGE(IF($F31:$AQ31&lt;&gt;"",$F$11:$AQ$11+"0:30:00"),1)-"0:15"),LARGE(IF($F31:$AQ31&lt;&gt;"",$F$11:$AQ$11+"0:30:00"),1)),"")</f>
        <v/>
      </c>
      <c r="F31" s="40" t="n"/>
      <c r="G31" s="41" t="n"/>
      <c r="H31" s="43" t="n"/>
      <c r="I31" s="42" t="n"/>
      <c r="J31" s="43" t="n"/>
      <c r="K31" s="41" t="n"/>
      <c r="L31" s="40" t="n"/>
      <c r="M31" s="42" t="n"/>
      <c r="N31" s="43" t="n"/>
      <c r="O31" s="41" t="n"/>
      <c r="P31" s="40" t="n"/>
      <c r="Q31" s="42" t="n"/>
      <c r="R31" s="43" t="n"/>
      <c r="S31" s="41" t="n"/>
      <c r="T31" s="40" t="n"/>
      <c r="U31" s="42" t="n"/>
      <c r="V31" s="43" t="n"/>
      <c r="W31" s="41" t="n"/>
      <c r="X31" s="40" t="n"/>
      <c r="Y31" s="42" t="n"/>
      <c r="Z31" s="43" t="n"/>
      <c r="AA31" s="41" t="n"/>
      <c r="AB31" s="40" t="n"/>
      <c r="AC31" s="42" t="n"/>
      <c r="AD31" s="43" t="n"/>
      <c r="AE31" s="41" t="n"/>
      <c r="AF31" s="40" t="n"/>
      <c r="AG31" s="42" t="n"/>
      <c r="AH31" s="43" t="n"/>
      <c r="AI31" s="41" t="n"/>
      <c r="AJ31" s="40" t="n"/>
      <c r="AK31" s="42" t="n"/>
      <c r="AL31" s="43" t="n"/>
      <c r="AM31" s="41" t="n"/>
      <c r="AN31" s="645" t="n"/>
      <c r="AO31" s="42" t="n"/>
      <c r="AP31" s="40" t="n"/>
      <c r="AQ31" s="41" t="n"/>
      <c r="AR31" s="888">
        <f>IFERROR(IF(VLOOKUP($B31,Medewerker!$C$8:$AC$107,27,FALSE)="",VLOOKUP($B31,Medewerker!$C$8:$AC$107,25,FALSE),0),0)</f>
        <v/>
      </c>
      <c r="AS31" s="889">
        <f>IFERROR(IF(B31="",1,IF(VLOOKUP($B31,Medewerker!$C$8:$AY$107,27,FALSE)="",VLOOKUP($B31,Medewerker!$C$8:$AY$107,26,FALSE),0)),0)</f>
        <v/>
      </c>
      <c r="AT31" s="30" t="n"/>
      <c r="AU31" s="30">
        <f>(COUNTIF(F31:AQ31,"afw"))/2</f>
        <v/>
      </c>
      <c r="AV31" s="111">
        <f>((38-(COUNTIF(F31:AQ31,"")))/2)-(COUNTIF(F31:AQ31,"p")/2)-(COUNTIF(F31:AQ31,CONCATENATE("x","*"))/4)</f>
        <v/>
      </c>
      <c r="AW31" s="73">
        <f>IF($B31="","",VLOOKUP($B31,Medewerker!$C$8:$E$107,3,FALSE))</f>
        <v/>
      </c>
      <c r="AX31" s="403">
        <f>IFERROR(VLOOKUP($B31,Planning!$B$6:$AG$105,32,FALSE)*24,"")</f>
        <v/>
      </c>
      <c r="AY31" s="882" t="inlineStr">
        <is>
          <t>Magazijn</t>
        </is>
      </c>
      <c r="AZ31" s="883" t="n"/>
      <c r="BA31" s="884" t="n"/>
      <c r="BB31" s="838" t="n"/>
      <c r="BC31" s="31">
        <f>IF(Planning!B24="","",Planning!B24)</f>
        <v/>
      </c>
      <c r="BD31" s="105" t="n"/>
      <c r="BE31" s="885">
        <f>Planning!E24</f>
        <v/>
      </c>
      <c r="BF31" s="885">
        <f>Planning!F24</f>
        <v/>
      </c>
      <c r="BG31" s="886" t="n"/>
      <c r="BH31" s="105" t="n"/>
      <c r="BI31" s="885">
        <f>Planning!I24</f>
        <v/>
      </c>
      <c r="BJ31" s="885">
        <f>Planning!J24</f>
        <v/>
      </c>
      <c r="BK31" s="886" t="n"/>
      <c r="BL31" s="105" t="n"/>
      <c r="BM31" s="885">
        <f>Planning!M24</f>
        <v/>
      </c>
      <c r="BN31" s="885">
        <f>Planning!N24</f>
        <v/>
      </c>
      <c r="BO31" s="886" t="n"/>
      <c r="BP31" s="105" t="n"/>
      <c r="BQ31" s="885">
        <f>Planning!Q24</f>
        <v/>
      </c>
      <c r="BR31" s="885">
        <f>Planning!R24</f>
        <v/>
      </c>
      <c r="BS31" s="886" t="n"/>
      <c r="BT31" s="105" t="n"/>
      <c r="BU31" s="885">
        <f>Planning!U24</f>
        <v/>
      </c>
      <c r="BV31" s="885">
        <f>Planning!V24</f>
        <v/>
      </c>
      <c r="BW31" s="886" t="n"/>
      <c r="BX31" s="105" t="n"/>
      <c r="BY31" s="885">
        <f>Planning!Y24</f>
        <v/>
      </c>
      <c r="BZ31" s="885">
        <f>Planning!Z24</f>
        <v/>
      </c>
      <c r="CA31" s="886" t="n"/>
      <c r="CB31" s="105" t="n"/>
      <c r="CC31" s="885">
        <f>Planning!AC24</f>
        <v/>
      </c>
      <c r="CD31" s="885">
        <f>Planning!AD24</f>
        <v/>
      </c>
      <c r="CE31" s="886" t="n"/>
      <c r="CF31" s="105" t="n"/>
      <c r="CG31" s="887">
        <f>Planning!AG24</f>
        <v/>
      </c>
      <c r="CH31" s="105" t="n"/>
      <c r="CI31" s="252">
        <f>IF(BC31="","",Planning!AI24)</f>
        <v/>
      </c>
      <c r="CJ31" s="252">
        <f>IF(BC31="","",Planning!AJ24)</f>
        <v/>
      </c>
      <c r="CK31" s="252">
        <f>IF(BC31="","",Planning!AK24)</f>
        <v/>
      </c>
      <c r="CL31" s="252">
        <f>IF(BC31="","",Planning!AH24)</f>
        <v/>
      </c>
      <c r="CM31" s="21" t="n"/>
    </row>
    <row r="32" ht="12.75" customHeight="1">
      <c r="A32" s="161">
        <f>IFERROR(IF(VLOOKUP($B32,$BC$13:$CL$86,36,FALSE)&gt;5,0,IF(COUNTIF($B$13:$B$63,$B32)&gt;1,0,20)),20)+IF(B32&lt;&gt;0,0,IF(AV32&gt;0,0.000001,0))</f>
        <v/>
      </c>
      <c r="B32" s="126" t="inlineStr">
        <is>
          <t>Kamal</t>
        </is>
      </c>
      <c r="C32" s="48">
        <f>IFERROR(IF($B32="","",VLOOKUP($B32,Medewerker!$C$8:$AI$107,33,FALSE)),"?")</f>
        <v/>
      </c>
      <c r="D32" s="879">
        <f t="array" ref="D32">IFERROR(IF(LEFT(INDEX($F32:$AQ32,1,SUM(SMALL(IF($F32:$AQ32&lt;&gt;"",COLUMN($F32:$AQ32)),1)-5)),1)="x",SUM(SMALL(IF($F32:$AQ32&lt;&gt;"",$F$11:$AQ$11),1)+"0:15"),SMALL(IF($F32:$AQ32&lt;&gt;"",$F$11:$AQ$11),1)),"")</f>
        <v/>
      </c>
      <c r="E32" s="879">
        <f t="array" ref="E32">IFERROR(IF(LEFT(INDEX($F32:$AQ32,1,SUM(LARGE(IF($F32:$AQ32&lt;&gt;"",COLUMN($F32:$AQ32)),1)-5)),1)="x",SUM(LARGE(IF($F32:$AQ32&lt;&gt;"",$F$11:$AQ$11+"0:30:00"),1)-"0:15"),LARGE(IF($F32:$AQ32&lt;&gt;"",$F$11:$AQ$11+"0:30:00"),1)),"")</f>
        <v/>
      </c>
      <c r="F32" s="40" t="n"/>
      <c r="G32" s="41" t="n"/>
      <c r="H32" s="43" t="n"/>
      <c r="I32" s="42" t="n"/>
      <c r="J32" s="43" t="n"/>
      <c r="K32" s="41" t="n"/>
      <c r="L32" s="40" t="n"/>
      <c r="M32" s="42" t="n"/>
      <c r="N32" s="43" t="n"/>
      <c r="O32" s="41" t="n"/>
      <c r="P32" s="40" t="n"/>
      <c r="Q32" s="42" t="n"/>
      <c r="R32" s="43" t="n"/>
      <c r="S32" s="41" t="n"/>
      <c r="T32" s="40" t="n"/>
      <c r="U32" s="42" t="n"/>
      <c r="V32" s="43" t="n"/>
      <c r="W32" s="41" t="n"/>
      <c r="X32" s="40" t="n"/>
      <c r="Y32" s="42" t="inlineStr">
        <is>
          <t>nh</t>
        </is>
      </c>
      <c r="Z32" s="43" t="inlineStr">
        <is>
          <t>nh</t>
        </is>
      </c>
      <c r="AA32" s="41" t="inlineStr">
        <is>
          <t>nh</t>
        </is>
      </c>
      <c r="AB32" s="40" t="inlineStr">
        <is>
          <t>nh</t>
        </is>
      </c>
      <c r="AC32" s="42" t="inlineStr">
        <is>
          <t>nh</t>
        </is>
      </c>
      <c r="AD32" s="43" t="inlineStr">
        <is>
          <t>nh</t>
        </is>
      </c>
      <c r="AE32" s="41" t="inlineStr">
        <is>
          <t>nh</t>
        </is>
      </c>
      <c r="AF32" s="40" t="inlineStr">
        <is>
          <t>nh</t>
        </is>
      </c>
      <c r="AG32" s="42" t="inlineStr">
        <is>
          <t>p</t>
        </is>
      </c>
      <c r="AH32" s="43" t="inlineStr">
        <is>
          <t>nh</t>
        </is>
      </c>
      <c r="AI32" s="41" t="inlineStr">
        <is>
          <t>nh</t>
        </is>
      </c>
      <c r="AJ32" s="40" t="inlineStr">
        <is>
          <t>l</t>
        </is>
      </c>
      <c r="AK32" s="42" t="inlineStr">
        <is>
          <t>ma</t>
        </is>
      </c>
      <c r="AL32" s="43" t="n"/>
      <c r="AM32" s="41" t="n"/>
      <c r="AN32" s="645" t="n"/>
      <c r="AO32" s="42" t="n"/>
      <c r="AP32" s="40" t="n"/>
      <c r="AQ32" s="41" t="n"/>
      <c r="AR32" s="888">
        <f>IFERROR(IF(VLOOKUP($B32,Medewerker!$C$8:$AC$107,27,FALSE)="",VLOOKUP($B32,Medewerker!$C$8:$AC$107,25,FALSE),0),0)</f>
        <v/>
      </c>
      <c r="AS32" s="889">
        <f>IFERROR(IF(B32="",1,IF(VLOOKUP($B32,Medewerker!$C$8:$AY$107,27,FALSE)="",VLOOKUP($B32,Medewerker!$C$8:$AY$107,26,FALSE),0)),0)</f>
        <v/>
      </c>
      <c r="AT32" s="30" t="n"/>
      <c r="AU32" s="30">
        <f>(COUNTIF(F32:AQ32,"afw"))/2</f>
        <v/>
      </c>
      <c r="AV32" s="111">
        <f>((38-(COUNTIF(F32:AQ32,"")))/2)-(COUNTIF(F32:AQ32,"p")/2)-(COUNTIF(F32:AQ32,CONCATENATE("x","*"))/4)</f>
        <v/>
      </c>
      <c r="AW32" s="73">
        <f>IF($B32="","",VLOOKUP($B32,Medewerker!$C$8:$E$107,3,FALSE))</f>
        <v/>
      </c>
      <c r="AX32" s="403">
        <f>IFERROR(VLOOKUP($B32,Planning!$B$6:$AG$105,32,FALSE)*24,"")</f>
        <v/>
      </c>
      <c r="AY32" s="407" t="inlineStr">
        <is>
          <t>l</t>
        </is>
      </c>
      <c r="AZ32" s="166" t="inlineStr">
        <is>
          <t>Lossen/Retouren</t>
        </is>
      </c>
      <c r="BA32" s="111">
        <f>COUNTIF($F$13:$AQ$63,CONCATENATE(AY32,"*"))/2+COUNTIF($F$13:$AQ$63,CONCATENATE("x",AY32,"*"))/4-SUM(BA27:BA29)</f>
        <v/>
      </c>
      <c r="BB32" s="838" t="n"/>
      <c r="BC32" s="31">
        <f>IF(Planning!B25="","",Planning!B25)</f>
        <v/>
      </c>
      <c r="BD32" s="105" t="n"/>
      <c r="BE32" s="885">
        <f>Planning!E25</f>
        <v/>
      </c>
      <c r="BF32" s="885">
        <f>Planning!F25</f>
        <v/>
      </c>
      <c r="BG32" s="886" t="n"/>
      <c r="BH32" s="105" t="n"/>
      <c r="BI32" s="885">
        <f>Planning!I25</f>
        <v/>
      </c>
      <c r="BJ32" s="885">
        <f>Planning!J25</f>
        <v/>
      </c>
      <c r="BK32" s="886" t="n"/>
      <c r="BL32" s="105" t="n"/>
      <c r="BM32" s="885">
        <f>Planning!M25</f>
        <v/>
      </c>
      <c r="BN32" s="885">
        <f>Planning!N25</f>
        <v/>
      </c>
      <c r="BO32" s="886" t="n"/>
      <c r="BP32" s="105" t="n"/>
      <c r="BQ32" s="885">
        <f>Planning!Q25</f>
        <v/>
      </c>
      <c r="BR32" s="885">
        <f>Planning!R25</f>
        <v/>
      </c>
      <c r="BS32" s="886" t="n"/>
      <c r="BT32" s="105" t="n"/>
      <c r="BU32" s="885">
        <f>Planning!U25</f>
        <v/>
      </c>
      <c r="BV32" s="885">
        <f>Planning!V25</f>
        <v/>
      </c>
      <c r="BW32" s="886" t="n"/>
      <c r="BX32" s="105" t="n"/>
      <c r="BY32" s="885">
        <f>Planning!Y25</f>
        <v/>
      </c>
      <c r="BZ32" s="885">
        <f>Planning!Z25</f>
        <v/>
      </c>
      <c r="CA32" s="886" t="n"/>
      <c r="CB32" s="105" t="n"/>
      <c r="CC32" s="885">
        <f>Planning!AC25</f>
        <v/>
      </c>
      <c r="CD32" s="885">
        <f>Planning!AD25</f>
        <v/>
      </c>
      <c r="CE32" s="886" t="n"/>
      <c r="CF32" s="105" t="n"/>
      <c r="CG32" s="887">
        <f>Planning!AG25</f>
        <v/>
      </c>
      <c r="CH32" s="105" t="n"/>
      <c r="CI32" s="252">
        <f>IF(BC32="","",Planning!AI25)</f>
        <v/>
      </c>
      <c r="CJ32" s="252">
        <f>IF(BC32="","",Planning!AJ25)</f>
        <v/>
      </c>
      <c r="CK32" s="252">
        <f>IF(BC32="","",Planning!AK25)</f>
        <v/>
      </c>
      <c r="CL32" s="252">
        <f>IF(BC32="","",Planning!AH25)</f>
        <v/>
      </c>
      <c r="CM32" s="21" t="n"/>
    </row>
    <row r="33" ht="12.75" customHeight="1">
      <c r="A33" s="161">
        <f>IFERROR(IF(VLOOKUP($B33,$BC$13:$CL$86,36,FALSE)&gt;5,0,IF(COUNTIF($B$13:$B$63,$B33)&gt;1,0,21)),21)+IF(B33&lt;&gt;0,0,IF(AV33&gt;0,0.000001,0))</f>
        <v/>
      </c>
      <c r="B33" s="129" t="n"/>
      <c r="C33" s="48">
        <f>IFERROR(IF($B33="","",VLOOKUP($B33,Medewerker!$C$8:$AI$107,33,FALSE)),"?")</f>
        <v/>
      </c>
      <c r="D33" s="879">
        <f t="array" ref="D33">IFERROR(IF(LEFT(INDEX($F33:$AQ33,1,SUM(SMALL(IF($F33:$AQ33&lt;&gt;"",COLUMN($F33:$AQ33)),1)-5)),1)="x",SUM(SMALL(IF($F33:$AQ33&lt;&gt;"",$F$11:$AQ$11),1)+"0:15"),SMALL(IF($F33:$AQ33&lt;&gt;"",$F$11:$AQ$11),1)),"")</f>
        <v/>
      </c>
      <c r="E33" s="879">
        <f t="array" ref="E33">IFERROR(IF(LEFT(INDEX($F33:$AQ33,1,SUM(LARGE(IF($F33:$AQ33&lt;&gt;"",COLUMN($F33:$AQ33)),1)-5)),1)="x",SUM(LARGE(IF($F33:$AQ33&lt;&gt;"",$F$11:$AQ$11+"0:30:00"),1)-"0:15"),LARGE(IF($F33:$AQ33&lt;&gt;"",$F$11:$AQ$11+"0:30:00"),1)),"")</f>
        <v/>
      </c>
      <c r="F33" s="40" t="n"/>
      <c r="G33" s="41" t="n"/>
      <c r="H33" s="40" t="n"/>
      <c r="I33" s="41" t="n"/>
      <c r="J33" s="40" t="n"/>
      <c r="K33" s="42" t="n"/>
      <c r="L33" s="43" t="n"/>
      <c r="M33" s="41" t="n"/>
      <c r="N33" s="40" t="n"/>
      <c r="O33" s="42" t="n"/>
      <c r="P33" s="43" t="n"/>
      <c r="Q33" s="41" t="n"/>
      <c r="R33" s="40" t="n"/>
      <c r="S33" s="42" t="n"/>
      <c r="T33" s="43" t="n"/>
      <c r="U33" s="41" t="n"/>
      <c r="V33" s="40" t="n"/>
      <c r="W33" s="42" t="n"/>
      <c r="X33" s="43" t="n"/>
      <c r="Y33" s="41" t="n"/>
      <c r="Z33" s="40" t="n"/>
      <c r="AA33" s="42" t="n"/>
      <c r="AB33" s="43" t="n"/>
      <c r="AC33" s="41" t="n"/>
      <c r="AD33" s="40" t="n"/>
      <c r="AE33" s="42" t="n"/>
      <c r="AF33" s="43" t="n"/>
      <c r="AG33" s="41" t="n"/>
      <c r="AH33" s="40" t="n"/>
      <c r="AI33" s="42" t="n"/>
      <c r="AJ33" s="43" t="n"/>
      <c r="AK33" s="41" t="n"/>
      <c r="AL33" s="40" t="n"/>
      <c r="AM33" s="41" t="n"/>
      <c r="AN33" s="645" t="n"/>
      <c r="AO33" s="42" t="n"/>
      <c r="AP33" s="40" t="n"/>
      <c r="AQ33" s="41" t="n"/>
      <c r="AR33" s="888">
        <f>IFERROR(IF(VLOOKUP($B33,Medewerker!$C$8:$AC$107,27,FALSE)="",VLOOKUP($B33,Medewerker!$C$8:$AC$107,25,FALSE),0),0)</f>
        <v/>
      </c>
      <c r="AS33" s="889">
        <f>IFERROR(IF(B33="",1,IF(VLOOKUP($B33,Medewerker!$C$8:$AY$107,27,FALSE)="",VLOOKUP($B33,Medewerker!$C$8:$AY$107,26,FALSE),0)),0)</f>
        <v/>
      </c>
      <c r="AT33" s="30" t="n"/>
      <c r="AU33" s="30">
        <f>(COUNTIF(F33:AQ33,"afw"))/2</f>
        <v/>
      </c>
      <c r="AV33" s="111">
        <f>((38-(COUNTIF(F33:AQ33,"")))/2)-(COUNTIF(F33:AQ33,"p")/2)-(COUNTIF(F33:AQ33,CONCATENATE("x","*"))/4)</f>
        <v/>
      </c>
      <c r="AW33" s="73">
        <f>IF($B33="","",VLOOKUP($B33,Medewerker!$C$8:$E$107,3,FALSE))</f>
        <v/>
      </c>
      <c r="AX33" s="403">
        <f>IFERROR(VLOOKUP($B33,Planning!$B$6:$AG$105,32,FALSE)*24,"")</f>
        <v/>
      </c>
      <c r="AY33" s="407" t="inlineStr">
        <is>
          <t>ma</t>
        </is>
      </c>
      <c r="AZ33" s="166" t="inlineStr">
        <is>
          <t>Magazijn</t>
        </is>
      </c>
      <c r="BA33" s="111">
        <f>COUNTIF($F$13:$AQ$63,CONCATENATE(AY33,"*"))/2+COUNTIF($F$13:$AQ$63,CONCATENATE("x",AY33,"*"))/4</f>
        <v/>
      </c>
      <c r="BB33" s="838" t="n"/>
      <c r="BC33" s="31">
        <f>IF(Planning!B26="","",Planning!B26)</f>
        <v/>
      </c>
      <c r="BD33" s="105" t="n"/>
      <c r="BE33" s="885">
        <f>Planning!E26</f>
        <v/>
      </c>
      <c r="BF33" s="885">
        <f>Planning!F26</f>
        <v/>
      </c>
      <c r="BG33" s="886" t="n"/>
      <c r="BH33" s="105" t="n"/>
      <c r="BI33" s="885">
        <f>Planning!I26</f>
        <v/>
      </c>
      <c r="BJ33" s="885">
        <f>Planning!J26</f>
        <v/>
      </c>
      <c r="BK33" s="886" t="n"/>
      <c r="BL33" s="105" t="n"/>
      <c r="BM33" s="885">
        <f>Planning!M26</f>
        <v/>
      </c>
      <c r="BN33" s="885">
        <f>Planning!N26</f>
        <v/>
      </c>
      <c r="BO33" s="886" t="n"/>
      <c r="BP33" s="105" t="n"/>
      <c r="BQ33" s="885">
        <f>Planning!Q26</f>
        <v/>
      </c>
      <c r="BR33" s="885">
        <f>Planning!R26</f>
        <v/>
      </c>
      <c r="BS33" s="886" t="n"/>
      <c r="BT33" s="105" t="n"/>
      <c r="BU33" s="885">
        <f>Planning!U26</f>
        <v/>
      </c>
      <c r="BV33" s="885">
        <f>Planning!V26</f>
        <v/>
      </c>
      <c r="BW33" s="886" t="n"/>
      <c r="BX33" s="105" t="n"/>
      <c r="BY33" s="885">
        <f>Planning!Y26</f>
        <v/>
      </c>
      <c r="BZ33" s="885">
        <f>Planning!Z26</f>
        <v/>
      </c>
      <c r="CA33" s="886" t="n"/>
      <c r="CB33" s="105" t="n"/>
      <c r="CC33" s="885">
        <f>Planning!AC26</f>
        <v/>
      </c>
      <c r="CD33" s="885">
        <f>Planning!AD26</f>
        <v/>
      </c>
      <c r="CE33" s="886" t="n"/>
      <c r="CF33" s="105" t="n"/>
      <c r="CG33" s="887">
        <f>Planning!AG26</f>
        <v/>
      </c>
      <c r="CH33" s="105" t="n"/>
      <c r="CI33" s="252">
        <f>IF(BC33="","",Planning!AI26)</f>
        <v/>
      </c>
      <c r="CJ33" s="252">
        <f>IF(BC33="","",Planning!AJ26)</f>
        <v/>
      </c>
      <c r="CK33" s="252">
        <f>IF(BC33="","",Planning!AK26)</f>
        <v/>
      </c>
      <c r="CL33" s="252">
        <f>IF(BC33="","",Planning!AH26)</f>
        <v/>
      </c>
      <c r="CM33" s="21" t="n"/>
    </row>
    <row r="34" ht="12.75" customHeight="1">
      <c r="A34" s="161">
        <f>IFERROR(IF(VLOOKUP($B34,$BC$13:$CL$86,36,FALSE)&gt;5,0,IF(COUNTIF($B$13:$B$63,$B34)&gt;1,0,22)),22)+IF(B34&lt;&gt;0,0,IF(AV34&gt;0,0.000001,0))</f>
        <v/>
      </c>
      <c r="B34" s="129" t="inlineStr">
        <is>
          <t>Oemaima</t>
        </is>
      </c>
      <c r="C34" s="48">
        <f>IFERROR(IF($B34="","",VLOOKUP($B34,Medewerker!$C$8:$AI$107,33,FALSE)),"?")</f>
        <v/>
      </c>
      <c r="D34" s="879">
        <f t="array" ref="D34">IFERROR(IF(LEFT(INDEX($F34:$AQ34,1,SUM(SMALL(IF($F34:$AQ34&lt;&gt;"",COLUMN($F34:$AQ34)),1)-5)),1)="x",SUM(SMALL(IF($F34:$AQ34&lt;&gt;"",$F$11:$AQ$11),1)+"0:15"),SMALL(IF($F34:$AQ34&lt;&gt;"",$F$11:$AQ$11),1)),"")</f>
        <v/>
      </c>
      <c r="E34" s="879">
        <f t="array" ref="E34">IFERROR(IF(LEFT(INDEX($F34:$AQ34,1,SUM(LARGE(IF($F34:$AQ34&lt;&gt;"",COLUMN($F34:$AQ34)),1)-5)),1)="x",SUM(LARGE(IF($F34:$AQ34&lt;&gt;"",$F$11:$AQ$11+"0:30:00"),1)-"0:15"),LARGE(IF($F34:$AQ34&lt;&gt;"",$F$11:$AQ$11+"0:30:00"),1)),"")</f>
        <v/>
      </c>
      <c r="F34" s="40" t="n"/>
      <c r="G34" s="41" t="n"/>
      <c r="H34" s="40" t="n"/>
      <c r="I34" s="40" t="n"/>
      <c r="J34" s="43" t="inlineStr">
        <is>
          <t>vv</t>
        </is>
      </c>
      <c r="K34" s="41" t="inlineStr">
        <is>
          <t>vv</t>
        </is>
      </c>
      <c r="L34" s="40" t="inlineStr">
        <is>
          <t>vv</t>
        </is>
      </c>
      <c r="M34" s="42" t="inlineStr">
        <is>
          <t>vv</t>
        </is>
      </c>
      <c r="N34" s="43" t="inlineStr">
        <is>
          <t>vv</t>
        </is>
      </c>
      <c r="O34" s="41" t="inlineStr">
        <is>
          <t>vv</t>
        </is>
      </c>
      <c r="P34" s="40" t="inlineStr">
        <is>
          <t>vv</t>
        </is>
      </c>
      <c r="Q34" s="42" t="inlineStr">
        <is>
          <t>p</t>
        </is>
      </c>
      <c r="R34" s="43" t="inlineStr">
        <is>
          <t>vv</t>
        </is>
      </c>
      <c r="S34" s="41" t="inlineStr">
        <is>
          <t>vv</t>
        </is>
      </c>
      <c r="T34" s="40" t="inlineStr">
        <is>
          <t>vv</t>
        </is>
      </c>
      <c r="U34" s="42" t="inlineStr">
        <is>
          <t>vv</t>
        </is>
      </c>
      <c r="V34" s="43" t="inlineStr">
        <is>
          <t>hv</t>
        </is>
      </c>
      <c r="W34" s="41" t="inlineStr">
        <is>
          <t>hv</t>
        </is>
      </c>
      <c r="X34" s="40" t="inlineStr">
        <is>
          <t>hv</t>
        </is>
      </c>
      <c r="Y34" s="42" t="inlineStr">
        <is>
          <t>hv</t>
        </is>
      </c>
      <c r="Z34" s="43" t="n"/>
      <c r="AA34" s="41" t="n"/>
      <c r="AB34" s="40" t="n"/>
      <c r="AC34" s="42" t="n"/>
      <c r="AD34" s="43" t="n"/>
      <c r="AE34" s="41" t="n"/>
      <c r="AF34" s="40" t="n"/>
      <c r="AG34" s="42" t="n"/>
      <c r="AH34" s="43" t="n"/>
      <c r="AI34" s="41" t="n"/>
      <c r="AJ34" s="40" t="n"/>
      <c r="AK34" s="42" t="n"/>
      <c r="AL34" s="43" t="n"/>
      <c r="AM34" s="41" t="n"/>
      <c r="AN34" s="645" t="n"/>
      <c r="AO34" s="42" t="n"/>
      <c r="AP34" s="40" t="n"/>
      <c r="AQ34" s="41" t="n"/>
      <c r="AR34" s="888">
        <f>IFERROR(IF(VLOOKUP($B34,Medewerker!$C$8:$AC$107,27,FALSE)="",VLOOKUP($B34,Medewerker!$C$8:$AC$107,25,FALSE),0),0)</f>
        <v/>
      </c>
      <c r="AS34" s="889">
        <f>IFERROR(IF(B34="",1,IF(VLOOKUP($B34,Medewerker!$C$8:$AY$107,27,FALSE)="",VLOOKUP($B34,Medewerker!$C$8:$AY$107,26,FALSE),0)),0)</f>
        <v/>
      </c>
      <c r="AT34" s="30" t="n"/>
      <c r="AU34" s="30">
        <f>(COUNTIF(F34:AQ34,"afw"))/2</f>
        <v/>
      </c>
      <c r="AV34" s="111">
        <f>((38-(COUNTIF(F34:AQ34,"")))/2)-(COUNTIF(F34:AQ34,"p")/2)-(COUNTIF(F34:AQ34,CONCATENATE("x","*"))/4)</f>
        <v/>
      </c>
      <c r="AW34" s="73">
        <f>IF($B34="","",VLOOKUP($B34,Medewerker!$C$8:$E$107,3,FALSE))</f>
        <v/>
      </c>
      <c r="AX34" s="403">
        <f>IFERROR(VLOOKUP($B34,Planning!$B$6:$AG$105,32,FALSE)*24,"")</f>
        <v/>
      </c>
      <c r="AY34" s="407" t="inlineStr">
        <is>
          <t>sp</t>
        </is>
      </c>
      <c r="AZ34" s="166" t="inlineStr">
        <is>
          <t>Splitsen</t>
        </is>
      </c>
      <c r="BA34" s="111">
        <f>COUNTIF($F$13:$AQ$63,CONCATENATE(AY34,"*"))/2+COUNTIF($F$13:$AQ$63,CONCATENATE("x",AY34,"*"))/4</f>
        <v/>
      </c>
      <c r="BB34" s="838" t="n"/>
      <c r="BC34" s="31">
        <f>IF(Planning!B27="","",Planning!B27)</f>
        <v/>
      </c>
      <c r="BD34" s="105" t="n"/>
      <c r="BE34" s="885">
        <f>Planning!E27</f>
        <v/>
      </c>
      <c r="BF34" s="885">
        <f>Planning!F27</f>
        <v/>
      </c>
      <c r="BG34" s="886" t="n"/>
      <c r="BH34" s="105" t="n"/>
      <c r="BI34" s="885">
        <f>Planning!I27</f>
        <v/>
      </c>
      <c r="BJ34" s="885">
        <f>Planning!J27</f>
        <v/>
      </c>
      <c r="BK34" s="886" t="n"/>
      <c r="BL34" s="105" t="n"/>
      <c r="BM34" s="885">
        <f>Planning!M27</f>
        <v/>
      </c>
      <c r="BN34" s="885">
        <f>Planning!N27</f>
        <v/>
      </c>
      <c r="BO34" s="886" t="n"/>
      <c r="BP34" s="105" t="n"/>
      <c r="BQ34" s="885">
        <f>Planning!Q27</f>
        <v/>
      </c>
      <c r="BR34" s="885">
        <f>Planning!R27</f>
        <v/>
      </c>
      <c r="BS34" s="886" t="n"/>
      <c r="BT34" s="105" t="n"/>
      <c r="BU34" s="885">
        <f>Planning!U27</f>
        <v/>
      </c>
      <c r="BV34" s="885">
        <f>Planning!V27</f>
        <v/>
      </c>
      <c r="BW34" s="886" t="n"/>
      <c r="BX34" s="105" t="n"/>
      <c r="BY34" s="885">
        <f>Planning!Y27</f>
        <v/>
      </c>
      <c r="BZ34" s="885">
        <f>Planning!Z27</f>
        <v/>
      </c>
      <c r="CA34" s="886" t="n"/>
      <c r="CB34" s="105" t="n"/>
      <c r="CC34" s="885">
        <f>Planning!AC27</f>
        <v/>
      </c>
      <c r="CD34" s="885">
        <f>Planning!AD27</f>
        <v/>
      </c>
      <c r="CE34" s="886" t="n"/>
      <c r="CF34" s="105" t="n"/>
      <c r="CG34" s="887">
        <f>Planning!AG27</f>
        <v/>
      </c>
      <c r="CH34" s="105" t="n"/>
      <c r="CI34" s="252">
        <f>IF(BC34="","",Planning!AI27)</f>
        <v/>
      </c>
      <c r="CJ34" s="252">
        <f>IF(BC34="","",Planning!AJ27)</f>
        <v/>
      </c>
      <c r="CK34" s="252">
        <f>IF(BC34="","",Planning!AK27)</f>
        <v/>
      </c>
      <c r="CL34" s="252">
        <f>IF(BC34="","",Planning!AH27)</f>
        <v/>
      </c>
      <c r="CM34" s="21" t="n"/>
    </row>
    <row r="35" ht="12.75" customHeight="1">
      <c r="A35" s="161">
        <f>IFERROR(IF(VLOOKUP($B35,$BC$13:$CL$86,36,FALSE)&gt;5,0,IF(COUNTIF($B$13:$B$63,$B35)&gt;1,0,23)),23)+IF(B35&lt;&gt;0,0,IF(AV35&gt;0,0.000001,0))</f>
        <v/>
      </c>
      <c r="B35" s="129" t="n"/>
      <c r="C35" s="48">
        <f>IFERROR(IF($B35="","",VLOOKUP($B35,Medewerker!$C$8:$AI$107,33,FALSE)),"?")</f>
        <v/>
      </c>
      <c r="D35" s="879">
        <f t="array" ref="D35">IFERROR(IF(LEFT(INDEX($F35:$AQ35,1,SUM(SMALL(IF($F35:$AQ35&lt;&gt;"",COLUMN($F35:$AQ35)),1)-5)),1)="x",SUM(SMALL(IF($F35:$AQ35&lt;&gt;"",$F$11:$AQ$11),1)+"0:15"),SMALL(IF($F35:$AQ35&lt;&gt;"",$F$11:$AQ$11),1)),"")</f>
        <v/>
      </c>
      <c r="E35" s="879">
        <f t="array" ref="E35">IFERROR(IF(LEFT(INDEX($F35:$AQ35,1,SUM(LARGE(IF($F35:$AQ35&lt;&gt;"",COLUMN($F35:$AQ35)),1)-5)),1)="x",SUM(LARGE(IF($F35:$AQ35&lt;&gt;"",$F$11:$AQ$11+"0:30:00"),1)-"0:15"),LARGE(IF($F35:$AQ35&lt;&gt;"",$F$11:$AQ$11+"0:30:00"),1)),"")</f>
        <v/>
      </c>
      <c r="F35" s="40" t="n"/>
      <c r="G35" s="41" t="n"/>
      <c r="H35" s="40" t="n"/>
      <c r="I35" s="40" t="n"/>
      <c r="J35" s="43" t="n"/>
      <c r="K35" s="41" t="n"/>
      <c r="L35" s="40" t="n"/>
      <c r="M35" s="42" t="n"/>
      <c r="N35" s="43" t="n"/>
      <c r="O35" s="41" t="n"/>
      <c r="P35" s="40" t="n"/>
      <c r="Q35" s="42" t="n"/>
      <c r="R35" s="43" t="n"/>
      <c r="S35" s="41" t="n"/>
      <c r="T35" s="40" t="n"/>
      <c r="U35" s="42" t="n"/>
      <c r="V35" s="43" t="n"/>
      <c r="W35" s="41" t="n"/>
      <c r="X35" s="40" t="n"/>
      <c r="Y35" s="42" t="n"/>
      <c r="Z35" s="43" t="n"/>
      <c r="AA35" s="41" t="n"/>
      <c r="AB35" s="40" t="n"/>
      <c r="AC35" s="42" t="n"/>
      <c r="AD35" s="43" t="n"/>
      <c r="AE35" s="41" t="n"/>
      <c r="AF35" s="40" t="n"/>
      <c r="AG35" s="42" t="n"/>
      <c r="AH35" s="43" t="n"/>
      <c r="AI35" s="41" t="n"/>
      <c r="AJ35" s="40" t="n"/>
      <c r="AK35" s="42" t="n"/>
      <c r="AL35" s="43" t="n"/>
      <c r="AM35" s="41" t="n"/>
      <c r="AN35" s="645" t="n"/>
      <c r="AO35" s="42" t="n"/>
      <c r="AP35" s="40" t="n"/>
      <c r="AQ35" s="41" t="n"/>
      <c r="AR35" s="888">
        <f>IFERROR(IF(VLOOKUP($B35,Medewerker!$C$8:$AC$107,27,FALSE)="",VLOOKUP($B35,Medewerker!$C$8:$AC$107,25,FALSE),0),0)</f>
        <v/>
      </c>
      <c r="AS35" s="889">
        <f>IFERROR(IF(B35="",1,IF(VLOOKUP($B35,Medewerker!$C$8:$AY$107,27,FALSE)="",VLOOKUP($B35,Medewerker!$C$8:$AY$107,26,FALSE),0)),0)</f>
        <v/>
      </c>
      <c r="AT35" s="30" t="n"/>
      <c r="AU35" s="30">
        <f>(COUNTIF(F35:AQ35,"afw"))/2</f>
        <v/>
      </c>
      <c r="AV35" s="111">
        <f>((38-(COUNTIF(F35:AQ35,"")))/2)-(COUNTIF(F35:AQ35,"p")/2)-(COUNTIF(F35:AQ35,CONCATENATE("x","*"))/4)</f>
        <v/>
      </c>
      <c r="AW35" s="73">
        <f>IF($B35="","",VLOOKUP($B35,Medewerker!$C$8:$E$107,3,FALSE))</f>
        <v/>
      </c>
      <c r="AX35" s="403">
        <f>IFERROR(VLOOKUP($B35,Planning!$B$6:$AG$105,32,FALSE)*24,"")</f>
        <v/>
      </c>
      <c r="AY35" s="882" t="inlineStr">
        <is>
          <t>Afprijzen</t>
        </is>
      </c>
      <c r="AZ35" s="883" t="n"/>
      <c r="BA35" s="884" t="n"/>
      <c r="BB35" s="838" t="n"/>
      <c r="BC35" s="31">
        <f>IF(Planning!B28="","",Planning!B28)</f>
        <v/>
      </c>
      <c r="BD35" s="105" t="n"/>
      <c r="BE35" s="885">
        <f>Planning!E28</f>
        <v/>
      </c>
      <c r="BF35" s="885">
        <f>Planning!F28</f>
        <v/>
      </c>
      <c r="BG35" s="886" t="n"/>
      <c r="BH35" s="105" t="n"/>
      <c r="BI35" s="885">
        <f>Planning!I28</f>
        <v/>
      </c>
      <c r="BJ35" s="885">
        <f>Planning!J28</f>
        <v/>
      </c>
      <c r="BK35" s="886" t="n"/>
      <c r="BL35" s="105" t="n"/>
      <c r="BM35" s="885">
        <f>Planning!M28</f>
        <v/>
      </c>
      <c r="BN35" s="885">
        <f>Planning!N28</f>
        <v/>
      </c>
      <c r="BO35" s="886" t="n"/>
      <c r="BP35" s="105" t="n"/>
      <c r="BQ35" s="885">
        <f>Planning!Q28</f>
        <v/>
      </c>
      <c r="BR35" s="885">
        <f>Planning!R28</f>
        <v/>
      </c>
      <c r="BS35" s="886" t="n"/>
      <c r="BT35" s="105" t="n"/>
      <c r="BU35" s="885">
        <f>Planning!U28</f>
        <v/>
      </c>
      <c r="BV35" s="885">
        <f>Planning!V28</f>
        <v/>
      </c>
      <c r="BW35" s="886" t="n"/>
      <c r="BX35" s="105" t="n"/>
      <c r="BY35" s="885">
        <f>Planning!Y28</f>
        <v/>
      </c>
      <c r="BZ35" s="885">
        <f>Planning!Z28</f>
        <v/>
      </c>
      <c r="CA35" s="886" t="n"/>
      <c r="CB35" s="105" t="n"/>
      <c r="CC35" s="885">
        <f>Planning!AC28</f>
        <v/>
      </c>
      <c r="CD35" s="885">
        <f>Planning!AD28</f>
        <v/>
      </c>
      <c r="CE35" s="886" t="n"/>
      <c r="CF35" s="105" t="n"/>
      <c r="CG35" s="887">
        <f>Planning!AG28</f>
        <v/>
      </c>
      <c r="CH35" s="105" t="n"/>
      <c r="CI35" s="252">
        <f>IF(BC35="","",Planning!AI28)</f>
        <v/>
      </c>
      <c r="CJ35" s="252">
        <f>IF(BC35="","",Planning!AJ28)</f>
        <v/>
      </c>
      <c r="CK35" s="252">
        <f>IF(BC35="","",Planning!AK28)</f>
        <v/>
      </c>
      <c r="CL35" s="252">
        <f>IF(BC35="","",Planning!AH28)</f>
        <v/>
      </c>
      <c r="CM35" s="21" t="n"/>
    </row>
    <row r="36" ht="12.75" customHeight="1">
      <c r="A36" s="161">
        <f>IFERROR(IF(VLOOKUP($B36,$BC$13:$CL$86,36,FALSE)&gt;5,0,IF(COUNTIF($B$13:$B$63,$B36)&gt;1,0,24)),24)+IF(B36&lt;&gt;0,0,IF(AV36&gt;0,0.000001,0))</f>
        <v/>
      </c>
      <c r="B36" s="129" t="inlineStr">
        <is>
          <t>Sam Viravouth</t>
        </is>
      </c>
      <c r="C36" s="48">
        <f>IFERROR(IF($B36="","",VLOOKUP($B36,Medewerker!$C$8:$AI$107,33,FALSE)),"?")</f>
        <v/>
      </c>
      <c r="D36" s="879">
        <f t="array" ref="D36">IFERROR(IF(LEFT(INDEX($F36:$AQ36,1,SUM(SMALL(IF($F36:$AQ36&lt;&gt;"",COLUMN($F36:$AQ36)),1)-5)),1)="x",SUM(SMALL(IF($F36:$AQ36&lt;&gt;"",$F$11:$AQ$11),1)+"0:15"),SMALL(IF($F36:$AQ36&lt;&gt;"",$F$11:$AQ$11),1)),"")</f>
        <v/>
      </c>
      <c r="E36" s="879">
        <f t="array" ref="E36">IFERROR(IF(LEFT(INDEX($F36:$AQ36,1,SUM(LARGE(IF($F36:$AQ36&lt;&gt;"",COLUMN($F36:$AQ36)),1)-5)),1)="x",SUM(LARGE(IF($F36:$AQ36&lt;&gt;"",$F$11:$AQ$11+"0:30:00"),1)-"0:15"),LARGE(IF($F36:$AQ36&lt;&gt;"",$F$11:$AQ$11+"0:30:00"),1)),"")</f>
        <v/>
      </c>
      <c r="F36" s="40" t="n"/>
      <c r="G36" s="41" t="n"/>
      <c r="H36" s="40" t="n"/>
      <c r="I36" s="40" t="n"/>
      <c r="J36" s="43" t="n"/>
      <c r="K36" s="41" t="n"/>
      <c r="L36" s="40" t="n"/>
      <c r="M36" s="42" t="n"/>
      <c r="N36" s="43" t="n"/>
      <c r="O36" s="41" t="n"/>
      <c r="P36" s="40" t="n"/>
      <c r="Q36" s="42" t="n"/>
      <c r="R36" s="43" t="n"/>
      <c r="S36" s="41" t="n"/>
      <c r="T36" s="40" t="n"/>
      <c r="U36" s="42" t="n"/>
      <c r="V36" s="43" t="n"/>
      <c r="W36" s="41" t="n"/>
      <c r="X36" s="40" t="n"/>
      <c r="Y36" s="42" t="n"/>
      <c r="Z36" s="43" t="n"/>
      <c r="AA36" s="41" t="inlineStr">
        <is>
          <t>rv</t>
        </is>
      </c>
      <c r="AB36" s="40" t="inlineStr">
        <is>
          <t>rv</t>
        </is>
      </c>
      <c r="AC36" s="42" t="inlineStr">
        <is>
          <t>rv</t>
        </is>
      </c>
      <c r="AD36" s="43" t="inlineStr">
        <is>
          <t>rv</t>
        </is>
      </c>
      <c r="AE36" s="41" t="inlineStr">
        <is>
          <t>rv</t>
        </is>
      </c>
      <c r="AF36" s="40" t="inlineStr">
        <is>
          <t>rv</t>
        </is>
      </c>
      <c r="AG36" s="42" t="inlineStr">
        <is>
          <t>rv</t>
        </is>
      </c>
      <c r="AH36" s="43" t="inlineStr">
        <is>
          <t>rv</t>
        </is>
      </c>
      <c r="AI36" s="41" t="inlineStr">
        <is>
          <t>p</t>
        </is>
      </c>
      <c r="AJ36" s="40" t="inlineStr">
        <is>
          <t>l</t>
        </is>
      </c>
      <c r="AK36" s="42" t="inlineStr">
        <is>
          <t>sp</t>
        </is>
      </c>
      <c r="AL36" s="43" t="inlineStr">
        <is>
          <t>sp</t>
        </is>
      </c>
      <c r="AM36" s="41" t="inlineStr">
        <is>
          <t>rv</t>
        </is>
      </c>
      <c r="AN36" s="645" t="inlineStr">
        <is>
          <t>rv</t>
        </is>
      </c>
      <c r="AO36" s="42" t="inlineStr">
        <is>
          <t>rv</t>
        </is>
      </c>
      <c r="AP36" s="40" t="n"/>
      <c r="AQ36" s="42" t="n"/>
      <c r="AR36" s="888">
        <f>IFERROR(IF(VLOOKUP($B36,Medewerker!$C$8:$AC$107,27,FALSE)="",VLOOKUP($B36,Medewerker!$C$8:$AC$107,25,FALSE),0),0)</f>
        <v/>
      </c>
      <c r="AS36" s="888">
        <f>IFERROR(IF(B36="",1,IF(VLOOKUP($B36,Medewerker!$C$8:$AY$107,27,FALSE)="",VLOOKUP($B36,Medewerker!$C$8:$AY$107,26,FALSE),0)),0)</f>
        <v/>
      </c>
      <c r="AT36" s="45" t="n"/>
      <c r="AU36" s="46">
        <f>(COUNTIF(F36:AQ36,"afw"))/2</f>
        <v/>
      </c>
      <c r="AV36" s="111">
        <f>((38-(COUNTIF(F36:AQ36,"")))/2)-(COUNTIF(F36:AQ36,"p")/2)-(COUNTIF(F36:AQ36,CONCATENATE("x","*"))/4)</f>
        <v/>
      </c>
      <c r="AW36" s="73">
        <f>IF($B36="","",VLOOKUP($B36,Medewerker!$C$8:$E$107,3,FALSE))</f>
        <v/>
      </c>
      <c r="AX36" s="403">
        <f>IFERROR(VLOOKUP($B36,Planning!$B$6:$AG$105,32,FALSE)*24,"")</f>
        <v/>
      </c>
      <c r="AY36" s="559" t="inlineStr">
        <is>
          <t>afp</t>
        </is>
      </c>
      <c r="AZ36" s="71" t="inlineStr">
        <is>
          <t>Afprijzen</t>
        </is>
      </c>
      <c r="BA36" s="111">
        <f>COUNTIF($F$13:$AQ$63,CONCATENATE(AY36,"*"))/2+COUNTIF($F$13:$AQ$63,CONCATENATE("x",AY36,"*"))/4</f>
        <v/>
      </c>
      <c r="BB36" s="838" t="n"/>
      <c r="BC36" s="31">
        <f>IF(Planning!B29="","",Planning!B29)</f>
        <v/>
      </c>
      <c r="BD36" s="105" t="n"/>
      <c r="BE36" s="885">
        <f>Planning!E29</f>
        <v/>
      </c>
      <c r="BF36" s="885">
        <f>Planning!F29</f>
        <v/>
      </c>
      <c r="BG36" s="886" t="n"/>
      <c r="BH36" s="105" t="n"/>
      <c r="BI36" s="885">
        <f>Planning!I29</f>
        <v/>
      </c>
      <c r="BJ36" s="885">
        <f>Planning!J29</f>
        <v/>
      </c>
      <c r="BK36" s="886" t="n"/>
      <c r="BL36" s="105" t="n"/>
      <c r="BM36" s="885">
        <f>Planning!M29</f>
        <v/>
      </c>
      <c r="BN36" s="885">
        <f>Planning!N29</f>
        <v/>
      </c>
      <c r="BO36" s="886" t="n"/>
      <c r="BP36" s="105" t="n"/>
      <c r="BQ36" s="885">
        <f>Planning!Q29</f>
        <v/>
      </c>
      <c r="BR36" s="885">
        <f>Planning!R29</f>
        <v/>
      </c>
      <c r="BS36" s="886" t="n"/>
      <c r="BT36" s="105" t="n"/>
      <c r="BU36" s="885">
        <f>Planning!U29</f>
        <v/>
      </c>
      <c r="BV36" s="885">
        <f>Planning!V29</f>
        <v/>
      </c>
      <c r="BW36" s="886" t="n"/>
      <c r="BX36" s="105" t="n"/>
      <c r="BY36" s="885">
        <f>Planning!Y29</f>
        <v/>
      </c>
      <c r="BZ36" s="885">
        <f>Planning!Z29</f>
        <v/>
      </c>
      <c r="CA36" s="886" t="n"/>
      <c r="CB36" s="105" t="n"/>
      <c r="CC36" s="885">
        <f>Planning!AC29</f>
        <v/>
      </c>
      <c r="CD36" s="885">
        <f>Planning!AD29</f>
        <v/>
      </c>
      <c r="CE36" s="886" t="n"/>
      <c r="CF36" s="105" t="n"/>
      <c r="CG36" s="887">
        <f>Planning!AG29</f>
        <v/>
      </c>
      <c r="CH36" s="105" t="n"/>
      <c r="CI36" s="252">
        <f>IF(BC36="","",Planning!AI29)</f>
        <v/>
      </c>
      <c r="CJ36" s="252">
        <f>IF(BC36="","",Planning!AJ29)</f>
        <v/>
      </c>
      <c r="CK36" s="252">
        <f>IF(BC36="","",Planning!AK29)</f>
        <v/>
      </c>
      <c r="CL36" s="252">
        <f>IF(BC36="","",Planning!AH29)</f>
        <v/>
      </c>
      <c r="CM36" s="21" t="n"/>
    </row>
    <row r="37" ht="12.75" customHeight="1">
      <c r="A37" s="161">
        <f>IFERROR(IF(VLOOKUP($B37,$BC$13:$CL$86,36,FALSE)&gt;5,0,IF(COUNTIF($B$13:$B$63,$B37)&gt;1,0,25)),25)+IF(B37&lt;&gt;0,0,IF(AV37&gt;0,0.000001,0))</f>
        <v/>
      </c>
      <c r="B37" s="129" t="inlineStr">
        <is>
          <t>Deniz</t>
        </is>
      </c>
      <c r="C37" s="48">
        <f>IFERROR(IF($B37="","",VLOOKUP($B37,Medewerker!$C$8:$AI$107,33,FALSE)),"?")</f>
        <v/>
      </c>
      <c r="D37" s="879">
        <f t="array" ref="D37">IFERROR(IF(LEFT(INDEX($F37:$AQ37,1,SUM(SMALL(IF($F37:$AQ37&lt;&gt;"",COLUMN($F37:$AQ37)),1)-5)),1)="x",SUM(SMALL(IF($F37:$AQ37&lt;&gt;"",$F$11:$AQ$11),1)+"0:15"),SMALL(IF($F37:$AQ37&lt;&gt;"",$F$11:$AQ$11),1)),"")</f>
        <v/>
      </c>
      <c r="E37" s="879">
        <f t="array" ref="E37">IFERROR(IF(LEFT(INDEX($F37:$AQ37,1,SUM(LARGE(IF($F37:$AQ37&lt;&gt;"",COLUMN($F37:$AQ37)),1)-5)),1)="x",SUM(LARGE(IF($F37:$AQ37&lt;&gt;"",$F$11:$AQ$11+"0:30:00"),1)-"0:15"),LARGE(IF($F37:$AQ37&lt;&gt;"",$F$11:$AQ$11+"0:30:00"),1)),"")</f>
        <v/>
      </c>
      <c r="F37" s="43" t="n"/>
      <c r="G37" s="42" t="n"/>
      <c r="H37" s="43" t="n"/>
      <c r="I37" s="43" t="n"/>
      <c r="J37" s="43" t="n"/>
      <c r="K37" s="41" t="n"/>
      <c r="L37" s="40" t="n"/>
      <c r="M37" s="42" t="n"/>
      <c r="N37" s="43" t="n"/>
      <c r="O37" s="41" t="n"/>
      <c r="P37" s="40" t="n"/>
      <c r="Q37" s="42" t="n"/>
      <c r="R37" s="43" t="n"/>
      <c r="S37" s="41" t="n"/>
      <c r="T37" s="40" t="n"/>
      <c r="U37" s="42" t="n"/>
      <c r="V37" s="43" t="n"/>
      <c r="W37" s="41" t="n"/>
      <c r="X37" s="40" t="n"/>
      <c r="Y37" s="42" t="n"/>
      <c r="Z37" s="43" t="n"/>
      <c r="AA37" s="41" t="inlineStr">
        <is>
          <t>rv</t>
        </is>
      </c>
      <c r="AB37" s="40" t="inlineStr">
        <is>
          <t>rv</t>
        </is>
      </c>
      <c r="AC37" s="42" t="inlineStr">
        <is>
          <t>rv</t>
        </is>
      </c>
      <c r="AD37" s="43" t="inlineStr">
        <is>
          <t>rv</t>
        </is>
      </c>
      <c r="AE37" s="41" t="inlineStr">
        <is>
          <t>rv</t>
        </is>
      </c>
      <c r="AF37" s="40" t="inlineStr">
        <is>
          <t>rv</t>
        </is>
      </c>
      <c r="AG37" s="42" t="inlineStr">
        <is>
          <t>rv</t>
        </is>
      </c>
      <c r="AH37" s="43" t="inlineStr">
        <is>
          <t>rv</t>
        </is>
      </c>
      <c r="AI37" s="41" t="inlineStr">
        <is>
          <t>p</t>
        </is>
      </c>
      <c r="AJ37" s="40" t="inlineStr">
        <is>
          <t>l</t>
        </is>
      </c>
      <c r="AK37" s="42" t="inlineStr">
        <is>
          <t>sp</t>
        </is>
      </c>
      <c r="AL37" s="43" t="inlineStr">
        <is>
          <t>sp</t>
        </is>
      </c>
      <c r="AM37" s="41" t="inlineStr">
        <is>
          <t>rv</t>
        </is>
      </c>
      <c r="AN37" s="645" t="inlineStr">
        <is>
          <t>rv</t>
        </is>
      </c>
      <c r="AO37" s="42" t="inlineStr">
        <is>
          <t>rv</t>
        </is>
      </c>
      <c r="AP37" s="43" t="n"/>
      <c r="AQ37" s="42" t="n"/>
      <c r="AR37" s="888">
        <f>IFERROR(IF(VLOOKUP($B37,Medewerker!$C$8:$AC$107,27,FALSE)="",VLOOKUP($B37,Medewerker!$C$8:$AC$107,25,FALSE),0),0)</f>
        <v/>
      </c>
      <c r="AS37" s="888">
        <f>IFERROR(IF(B37="",1,IF(VLOOKUP($B37,Medewerker!$C$8:$AY$107,27,FALSE)="",VLOOKUP($B37,Medewerker!$C$8:$AY$107,26,FALSE),0)),0)</f>
        <v/>
      </c>
      <c r="AT37" s="45" t="n"/>
      <c r="AU37" s="46">
        <f>(COUNTIF(F37:AQ37,"afw"))/2</f>
        <v/>
      </c>
      <c r="AV37" s="111">
        <f>((38-(COUNTIF(F37:AQ37,"")))/2)-(COUNTIF(F37:AQ37,"p")/2)-(COUNTIF(F37:AQ37,CONCATENATE("x","*"))/4)</f>
        <v/>
      </c>
      <c r="AW37" s="73">
        <f>IF($B37="","",VLOOKUP($B37,Medewerker!$C$8:$E$107,3,FALSE))</f>
        <v/>
      </c>
      <c r="AX37" s="403">
        <f>IFERROR(VLOOKUP($B37,Planning!$B$6:$AG$105,32,FALSE)*24,"")</f>
        <v/>
      </c>
      <c r="AY37" s="560" t="inlineStr">
        <is>
          <t>cb</t>
        </is>
      </c>
      <c r="AZ37" s="166" t="inlineStr">
        <is>
          <t>Codeboek</t>
        </is>
      </c>
      <c r="BA37" s="111">
        <f>COUNTIF($F$13:$AQ$63,CONCATENATE(AY37,"*"))/2+COUNTIF($F$13:$AQ$63,CONCATENATE("x",AY37,"*"))/4</f>
        <v/>
      </c>
      <c r="BB37" s="838" t="n"/>
      <c r="BC37" s="31">
        <f>IF(Planning!B30="","",Planning!B30)</f>
        <v/>
      </c>
      <c r="BD37" s="105" t="n"/>
      <c r="BE37" s="885">
        <f>Planning!E30</f>
        <v/>
      </c>
      <c r="BF37" s="885">
        <f>Planning!F30</f>
        <v/>
      </c>
      <c r="BG37" s="886" t="n"/>
      <c r="BH37" s="105" t="n"/>
      <c r="BI37" s="885">
        <f>Planning!I30</f>
        <v/>
      </c>
      <c r="BJ37" s="885">
        <f>Planning!J30</f>
        <v/>
      </c>
      <c r="BK37" s="886" t="n"/>
      <c r="BL37" s="105" t="n"/>
      <c r="BM37" s="885">
        <f>Planning!M30</f>
        <v/>
      </c>
      <c r="BN37" s="885">
        <f>Planning!N30</f>
        <v/>
      </c>
      <c r="BO37" s="886" t="n"/>
      <c r="BP37" s="105" t="n"/>
      <c r="BQ37" s="885">
        <f>Planning!Q30</f>
        <v/>
      </c>
      <c r="BR37" s="885">
        <f>Planning!R30</f>
        <v/>
      </c>
      <c r="BS37" s="886" t="n"/>
      <c r="BT37" s="105" t="n"/>
      <c r="BU37" s="885">
        <f>Planning!U30</f>
        <v/>
      </c>
      <c r="BV37" s="885">
        <f>Planning!V30</f>
        <v/>
      </c>
      <c r="BW37" s="886" t="n"/>
      <c r="BX37" s="105" t="n"/>
      <c r="BY37" s="885">
        <f>Planning!Y30</f>
        <v/>
      </c>
      <c r="BZ37" s="885">
        <f>Planning!Z30</f>
        <v/>
      </c>
      <c r="CA37" s="886" t="n"/>
      <c r="CB37" s="105" t="n"/>
      <c r="CC37" s="885">
        <f>Planning!AC30</f>
        <v/>
      </c>
      <c r="CD37" s="885">
        <f>Planning!AD30</f>
        <v/>
      </c>
      <c r="CE37" s="886" t="n"/>
      <c r="CF37" s="105" t="n"/>
      <c r="CG37" s="887">
        <f>Planning!AG30</f>
        <v/>
      </c>
      <c r="CH37" s="105" t="n"/>
      <c r="CI37" s="252">
        <f>IF(BC37="","",Planning!AI30)</f>
        <v/>
      </c>
      <c r="CJ37" s="252">
        <f>IF(BC37="","",Planning!AJ30)</f>
        <v/>
      </c>
      <c r="CK37" s="252">
        <f>IF(BC37="","",Planning!AK30)</f>
        <v/>
      </c>
      <c r="CL37" s="252">
        <f>IF(BC37="","",Planning!AH30)</f>
        <v/>
      </c>
      <c r="CM37" s="21" t="n"/>
    </row>
    <row r="38" ht="12.75" customHeight="1">
      <c r="A38" s="161">
        <f>IFERROR(IF(VLOOKUP($B38,$BC$13:$CL$86,36,FALSE)&gt;5,0,IF(COUNTIF($B$13:$B$63,$B38)&gt;1,0,26)),26)+IF(B38&lt;&gt;0,0,IF(AV38&gt;0,0.000001,0))</f>
        <v/>
      </c>
      <c r="B38" s="129" t="inlineStr">
        <is>
          <t>Yasmina ibrahimin</t>
        </is>
      </c>
      <c r="C38" s="48">
        <f>IFERROR(IF($B38="","",VLOOKUP($B38,Medewerker!$C$8:$AI$107,33,FALSE)),"?")</f>
        <v/>
      </c>
      <c r="D38" s="879">
        <f t="array" ref="D38">IFERROR(IF(LEFT(INDEX($F38:$AQ38,1,SUM(SMALL(IF($F38:$AQ38&lt;&gt;"",COLUMN($F38:$AQ38)),1)-5)),1)="x",SUM(SMALL(IF($F38:$AQ38&lt;&gt;"",$F$11:$AQ$11),1)+"0:15"),SMALL(IF($F38:$AQ38&lt;&gt;"",$F$11:$AQ$11),1)),"")</f>
        <v/>
      </c>
      <c r="E38" s="879">
        <f t="array" ref="E38">IFERROR(IF(LEFT(INDEX($F38:$AQ38,1,SUM(LARGE(IF($F38:$AQ38&lt;&gt;"",COLUMN($F38:$AQ38)),1)-5)),1)="x",SUM(LARGE(IF($F38:$AQ38&lt;&gt;"",$F$11:$AQ$11+"0:30:00"),1)-"0:15"),LARGE(IF($F38:$AQ38&lt;&gt;"",$F$11:$AQ$11+"0:30:00"),1)),"")</f>
        <v/>
      </c>
      <c r="F38" s="43" t="n"/>
      <c r="G38" s="42" t="n"/>
      <c r="H38" s="43" t="n"/>
      <c r="I38" s="43" t="n"/>
      <c r="J38" s="43" t="n"/>
      <c r="K38" s="41" t="n"/>
      <c r="L38" s="40" t="n"/>
      <c r="M38" s="42" t="n"/>
      <c r="N38" s="43" t="n"/>
      <c r="O38" s="41" t="n"/>
      <c r="P38" s="40" t="n"/>
      <c r="Q38" s="42" t="n"/>
      <c r="R38" s="43" t="n"/>
      <c r="S38" s="41" t="n"/>
      <c r="T38" s="40" t="n"/>
      <c r="U38" s="42" t="n"/>
      <c r="V38" s="43" t="n"/>
      <c r="W38" s="41" t="n"/>
      <c r="X38" s="40" t="n"/>
      <c r="Y38" s="42" t="n"/>
      <c r="Z38" s="43" t="n"/>
      <c r="AA38" s="41" t="n"/>
      <c r="AB38" s="40" t="n"/>
      <c r="AC38" s="42" t="n"/>
      <c r="AD38" s="43" t="n"/>
      <c r="AE38" s="41" t="n"/>
      <c r="AF38" s="40" t="n"/>
      <c r="AG38" s="42" t="n"/>
      <c r="AH38" s="43" t="n"/>
      <c r="AI38" s="41" t="inlineStr">
        <is>
          <t>vv</t>
        </is>
      </c>
      <c r="AJ38" s="40" t="inlineStr">
        <is>
          <t>vv</t>
        </is>
      </c>
      <c r="AK38" s="42" t="inlineStr">
        <is>
          <t>vv</t>
        </is>
      </c>
      <c r="AL38" s="43" t="inlineStr">
        <is>
          <t>vv</t>
        </is>
      </c>
      <c r="AM38" s="41" t="inlineStr">
        <is>
          <t>vv</t>
        </is>
      </c>
      <c r="AN38" s="645" t="inlineStr">
        <is>
          <t>vv</t>
        </is>
      </c>
      <c r="AO38" s="42" t="inlineStr">
        <is>
          <t>vv</t>
        </is>
      </c>
      <c r="AP38" s="43" t="n"/>
      <c r="AQ38" s="42" t="n"/>
      <c r="AR38" s="888">
        <f>IFERROR(IF(VLOOKUP($B38,Medewerker!$C$8:$AC$107,27,FALSE)="",VLOOKUP($B38,Medewerker!$C$8:$AC$107,25,FALSE),0),0)</f>
        <v/>
      </c>
      <c r="AS38" s="888">
        <f>IFERROR(IF(B38="",1,IF(VLOOKUP($B38,Medewerker!$C$8:$AY$107,27,FALSE)="",VLOOKUP($B38,Medewerker!$C$8:$AY$107,26,FALSE),0)),0)</f>
        <v/>
      </c>
      <c r="AT38" s="45" t="n"/>
      <c r="AU38" s="46">
        <f>(COUNTIF(F38:AQ38,"afw"))/2</f>
        <v/>
      </c>
      <c r="AV38" s="111">
        <f>((38-(COUNTIF(F38:AQ38,"")))/2)-(COUNTIF(F38:AQ38,"p")/2)-(COUNTIF(F38:AQ38,CONCATENATE("x","*"))/4)</f>
        <v/>
      </c>
      <c r="AW38" s="73">
        <f>IF($B38="","",VLOOKUP($B38,Medewerker!$C$8:$E$107,3,FALSE))</f>
        <v/>
      </c>
      <c r="AX38" s="403">
        <f>IFERROR(VLOOKUP($B38,Planning!$B$6:$AG$105,32,FALSE)*24,"")</f>
        <v/>
      </c>
      <c r="AY38" s="560" t="inlineStr">
        <is>
          <t>nr</t>
        </is>
      </c>
      <c r="AZ38" s="166" t="inlineStr">
        <is>
          <t>Naloopronde</t>
        </is>
      </c>
      <c r="BA38" s="111">
        <f>COUNTIF($F$13:$AQ$63,CONCATENATE(AY38,"*"))/2+COUNTIF($F$13:$AQ$63,CONCATENATE("x",AY38,"*"))/4</f>
        <v/>
      </c>
      <c r="BB38" s="838" t="n"/>
      <c r="BC38" s="31">
        <f>IF(Planning!B31="","",Planning!B31)</f>
        <v/>
      </c>
      <c r="BD38" s="105" t="n"/>
      <c r="BE38" s="885">
        <f>Planning!E31</f>
        <v/>
      </c>
      <c r="BF38" s="885">
        <f>Planning!F31</f>
        <v/>
      </c>
      <c r="BG38" s="886" t="n"/>
      <c r="BH38" s="105" t="n"/>
      <c r="BI38" s="885">
        <f>Planning!I31</f>
        <v/>
      </c>
      <c r="BJ38" s="885">
        <f>Planning!J31</f>
        <v/>
      </c>
      <c r="BK38" s="886" t="n"/>
      <c r="BL38" s="105" t="n"/>
      <c r="BM38" s="885">
        <f>Planning!M31</f>
        <v/>
      </c>
      <c r="BN38" s="885">
        <f>Planning!N31</f>
        <v/>
      </c>
      <c r="BO38" s="886" t="n"/>
      <c r="BP38" s="105" t="n"/>
      <c r="BQ38" s="885">
        <f>Planning!Q31</f>
        <v/>
      </c>
      <c r="BR38" s="885">
        <f>Planning!R31</f>
        <v/>
      </c>
      <c r="BS38" s="886" t="n"/>
      <c r="BT38" s="105" t="n"/>
      <c r="BU38" s="885">
        <f>Planning!U31</f>
        <v/>
      </c>
      <c r="BV38" s="885">
        <f>Planning!V31</f>
        <v/>
      </c>
      <c r="BW38" s="886" t="n"/>
      <c r="BX38" s="105" t="n"/>
      <c r="BY38" s="885">
        <f>Planning!Y31</f>
        <v/>
      </c>
      <c r="BZ38" s="885">
        <f>Planning!Z31</f>
        <v/>
      </c>
      <c r="CA38" s="886" t="n"/>
      <c r="CB38" s="105" t="n"/>
      <c r="CC38" s="885">
        <f>Planning!AC31</f>
        <v/>
      </c>
      <c r="CD38" s="885">
        <f>Planning!AD31</f>
        <v/>
      </c>
      <c r="CE38" s="886" t="n"/>
      <c r="CF38" s="105" t="n"/>
      <c r="CG38" s="887">
        <f>Planning!AG31</f>
        <v/>
      </c>
      <c r="CH38" s="105" t="n"/>
      <c r="CI38" s="252">
        <f>IF(BC38="","",Planning!AI31)</f>
        <v/>
      </c>
      <c r="CJ38" s="252">
        <f>IF(BC38="","",Planning!AJ31)</f>
        <v/>
      </c>
      <c r="CK38" s="252">
        <f>IF(BC38="","",Planning!AK31)</f>
        <v/>
      </c>
      <c r="CL38" s="252">
        <f>IF(BC38="","",Planning!AH31)</f>
        <v/>
      </c>
      <c r="CM38" s="21" t="n"/>
    </row>
    <row r="39" ht="12.75" customHeight="1">
      <c r="A39" s="161">
        <f>IFERROR(IF(VLOOKUP($B39,$BC$13:$CL$86,36,FALSE)&gt;5,0,IF(COUNTIF($B$13:$B$63,$B39)&gt;1,0,27)),27)+IF(B39&lt;&gt;0,0,IF(AV39&gt;0,0.000001,0))</f>
        <v/>
      </c>
      <c r="B39" s="129" t="inlineStr">
        <is>
          <t>Lucas</t>
        </is>
      </c>
      <c r="C39" s="48">
        <f>IFERROR(IF($B39="","",VLOOKUP($B39,Medewerker!$C$8:$AI$107,33,FALSE)),"?")</f>
        <v/>
      </c>
      <c r="D39" s="879">
        <f t="array" ref="D39">IFERROR(IF(LEFT(INDEX($F39:$AQ39,1,SUM(SMALL(IF($F39:$AQ39&lt;&gt;"",COLUMN($F39:$AQ39)),1)-5)),1)="x",SUM(SMALL(IF($F39:$AQ39&lt;&gt;"",$F$11:$AQ$11),1)+"0:15"),SMALL(IF($F39:$AQ39&lt;&gt;"",$F$11:$AQ$11),1)),"")</f>
        <v/>
      </c>
      <c r="E39" s="879">
        <f t="array" ref="E39">IFERROR(IF(LEFT(INDEX($F39:$AQ39,1,SUM(LARGE(IF($F39:$AQ39&lt;&gt;"",COLUMN($F39:$AQ39)),1)-5)),1)="x",SUM(LARGE(IF($F39:$AQ39&lt;&gt;"",$F$11:$AQ$11+"0:30:00"),1)-"0:15"),LARGE(IF($F39:$AQ39&lt;&gt;"",$F$11:$AQ$11+"0:30:00"),1)),"")</f>
        <v/>
      </c>
      <c r="F39" s="43" t="n"/>
      <c r="G39" s="42" t="n"/>
      <c r="H39" s="43" t="n"/>
      <c r="I39" s="43" t="n"/>
      <c r="J39" s="43" t="n"/>
      <c r="K39" s="41" t="n"/>
      <c r="L39" s="40" t="n"/>
      <c r="M39" s="42" t="n"/>
      <c r="N39" s="43" t="n"/>
      <c r="O39" s="41" t="n"/>
      <c r="P39" s="40" t="n"/>
      <c r="Q39" s="42" t="n"/>
      <c r="R39" s="43" t="n"/>
      <c r="S39" s="41" t="n"/>
      <c r="T39" s="40" t="n"/>
      <c r="U39" s="42" t="n"/>
      <c r="V39" s="43" t="n"/>
      <c r="W39" s="41" t="n"/>
      <c r="X39" s="40" t="n"/>
      <c r="Y39" s="42" t="n"/>
      <c r="Z39" s="43" t="n"/>
      <c r="AA39" s="41" t="n"/>
      <c r="AB39" s="40" t="n"/>
      <c r="AC39" s="42" t="n"/>
      <c r="AD39" s="43" t="n"/>
      <c r="AE39" s="41" t="n"/>
      <c r="AF39" s="40" t="n"/>
      <c r="AG39" s="42" t="n"/>
      <c r="AH39" s="43" t="n"/>
      <c r="AI39" s="41" t="inlineStr">
        <is>
          <t>vv</t>
        </is>
      </c>
      <c r="AJ39" s="40" t="inlineStr">
        <is>
          <t>vv</t>
        </is>
      </c>
      <c r="AK39" s="42" t="inlineStr">
        <is>
          <t>vv</t>
        </is>
      </c>
      <c r="AL39" s="43" t="inlineStr">
        <is>
          <t>vv</t>
        </is>
      </c>
      <c r="AM39" s="41" t="inlineStr">
        <is>
          <t>vv</t>
        </is>
      </c>
      <c r="AN39" s="645" t="inlineStr">
        <is>
          <t>vv</t>
        </is>
      </c>
      <c r="AO39" s="42" t="inlineStr">
        <is>
          <t>vv</t>
        </is>
      </c>
      <c r="AP39" s="43" t="n"/>
      <c r="AQ39" s="42" t="n"/>
      <c r="AR39" s="888">
        <f>IFERROR(IF(VLOOKUP($B39,Medewerker!$C$8:$AC$107,27,FALSE)="",VLOOKUP($B39,Medewerker!$C$8:$AC$107,25,FALSE),0),0)</f>
        <v/>
      </c>
      <c r="AS39" s="888">
        <f>IFERROR(IF(B39="",1,IF(VLOOKUP($B39,Medewerker!$C$8:$AY$107,27,FALSE)="",VLOOKUP($B39,Medewerker!$C$8:$AY$107,26,FALSE),0)),0)</f>
        <v/>
      </c>
      <c r="AT39" s="45" t="n"/>
      <c r="AU39" s="46">
        <f>(COUNTIF(F39:AQ39,"afw"))/2</f>
        <v/>
      </c>
      <c r="AV39" s="111">
        <f>((38-(COUNTIF(F39:AQ39,"")))/2)-(COUNTIF(F39:AQ39,"p")/2)-(COUNTIF(F39:AQ39,CONCATENATE("x","*"))/4)</f>
        <v/>
      </c>
      <c r="AW39" s="73">
        <f>IF($B39="","",VLOOKUP($B39,Medewerker!$C$8:$E$107,3,FALSE))</f>
        <v/>
      </c>
      <c r="AX39" s="403">
        <f>IFERROR(VLOOKUP($B39,Planning!$B$6:$AG$105,32,FALSE)*24,"")</f>
        <v/>
      </c>
      <c r="AY39" s="560" t="inlineStr">
        <is>
          <t>us</t>
        </is>
      </c>
      <c r="AZ39" s="166" t="inlineStr">
        <is>
          <t>Vervallen artikelen</t>
        </is>
      </c>
      <c r="BA39" s="111">
        <f>COUNTIF($F$13:$AQ$63,CONCATENATE(AY39,"*"))/2+COUNTIF($F$13:$AQ$63,CONCATENATE("x",AY39,"*"))/4</f>
        <v/>
      </c>
      <c r="BB39" s="838" t="n"/>
      <c r="BC39" s="31">
        <f>IF(Planning!B32="","",Planning!B32)</f>
        <v/>
      </c>
      <c r="BD39" s="105" t="n"/>
      <c r="BE39" s="885">
        <f>Planning!E32</f>
        <v/>
      </c>
      <c r="BF39" s="885">
        <f>Planning!F32</f>
        <v/>
      </c>
      <c r="BG39" s="886" t="n"/>
      <c r="BH39" s="105" t="n"/>
      <c r="BI39" s="885">
        <f>Planning!I32</f>
        <v/>
      </c>
      <c r="BJ39" s="885">
        <f>Planning!J32</f>
        <v/>
      </c>
      <c r="BK39" s="886" t="n"/>
      <c r="BL39" s="105" t="n"/>
      <c r="BM39" s="885">
        <f>Planning!M32</f>
        <v/>
      </c>
      <c r="BN39" s="885">
        <f>Planning!N32</f>
        <v/>
      </c>
      <c r="BO39" s="886" t="n"/>
      <c r="BP39" s="105" t="n"/>
      <c r="BQ39" s="885">
        <f>Planning!Q32</f>
        <v/>
      </c>
      <c r="BR39" s="885">
        <f>Planning!R32</f>
        <v/>
      </c>
      <c r="BS39" s="886" t="n"/>
      <c r="BT39" s="105" t="n"/>
      <c r="BU39" s="885">
        <f>Planning!U32</f>
        <v/>
      </c>
      <c r="BV39" s="885">
        <f>Planning!V32</f>
        <v/>
      </c>
      <c r="BW39" s="886" t="n"/>
      <c r="BX39" s="105" t="n"/>
      <c r="BY39" s="885">
        <f>Planning!Y32</f>
        <v/>
      </c>
      <c r="BZ39" s="885">
        <f>Planning!Z32</f>
        <v/>
      </c>
      <c r="CA39" s="886" t="n"/>
      <c r="CB39" s="105" t="n"/>
      <c r="CC39" s="885">
        <f>Planning!AC32</f>
        <v/>
      </c>
      <c r="CD39" s="885">
        <f>Planning!AD32</f>
        <v/>
      </c>
      <c r="CE39" s="886" t="n"/>
      <c r="CF39" s="105" t="n"/>
      <c r="CG39" s="887">
        <f>Planning!AG32</f>
        <v/>
      </c>
      <c r="CH39" s="105" t="n"/>
      <c r="CI39" s="252">
        <f>IF(BC39="","",Planning!AI32)</f>
        <v/>
      </c>
      <c r="CJ39" s="252">
        <f>IF(BC39="","",Planning!AJ32)</f>
        <v/>
      </c>
      <c r="CK39" s="252">
        <f>IF(BC39="","",Planning!AK32)</f>
        <v/>
      </c>
      <c r="CL39" s="252">
        <f>IF(BC39="","",Planning!AH32)</f>
        <v/>
      </c>
      <c r="CM39" s="21" t="n"/>
    </row>
    <row r="40" ht="12.75" customHeight="1">
      <c r="A40" s="161">
        <f>IFERROR(IF(VLOOKUP($B40,$BC$13:$CL$86,36,FALSE)&gt;5,0,IF(COUNTIF($B$13:$B$63,$B40)&gt;1,0,28)),28)+IF(B40&lt;&gt;0,0,IF(AV40&gt;0,0.000001,0))</f>
        <v/>
      </c>
      <c r="B40" s="129" t="inlineStr">
        <is>
          <t>Sevgyul</t>
        </is>
      </c>
      <c r="C40" s="48">
        <f>IFERROR(IF($B40="","",VLOOKUP($B40,Medewerker!$C$8:$AI$107,33,FALSE)),"?")</f>
        <v/>
      </c>
      <c r="D40" s="879">
        <f t="array" ref="D40">IFERROR(IF(LEFT(INDEX($F40:$AQ40,1,SUM(SMALL(IF($F40:$AQ40&lt;&gt;"",COLUMN($F40:$AQ40)),1)-5)),1)="x",SUM(SMALL(IF($F40:$AQ40&lt;&gt;"",$F$11:$AQ$11),1)+"0:15"),SMALL(IF($F40:$AQ40&lt;&gt;"",$F$11:$AQ$11),1)),"")</f>
        <v/>
      </c>
      <c r="E40" s="879">
        <f t="array" ref="E40">IFERROR(IF(LEFT(INDEX($F40:$AQ40,1,SUM(LARGE(IF($F40:$AQ40&lt;&gt;"",COLUMN($F40:$AQ40)),1)-5)),1)="x",SUM(LARGE(IF($F40:$AQ40&lt;&gt;"",$F$11:$AQ$11+"0:30:00"),1)-"0:15"),LARGE(IF($F40:$AQ40&lt;&gt;"",$F$11:$AQ$11+"0:30:00"),1)),"")</f>
        <v/>
      </c>
      <c r="F40" s="43" t="n"/>
      <c r="G40" s="42" t="n"/>
      <c r="H40" s="43" t="n"/>
      <c r="I40" s="42" t="n"/>
      <c r="J40" s="43" t="n"/>
      <c r="K40" s="41" t="n"/>
      <c r="L40" s="40" t="n"/>
      <c r="M40" s="42" t="n"/>
      <c r="N40" s="43" t="n"/>
      <c r="O40" s="41" t="n"/>
      <c r="P40" s="40" t="n"/>
      <c r="Q40" s="42" t="n"/>
      <c r="R40" s="43" t="n"/>
      <c r="S40" s="41" t="n"/>
      <c r="T40" s="40" t="n"/>
      <c r="U40" s="42" t="n"/>
      <c r="V40" s="43" t="n"/>
      <c r="W40" s="41" t="n"/>
      <c r="X40" s="40" t="n"/>
      <c r="Y40" s="42" t="n"/>
      <c r="Z40" s="43" t="n"/>
      <c r="AA40" s="41" t="n"/>
      <c r="AB40" s="40" t="n"/>
      <c r="AC40" s="42" t="n"/>
      <c r="AD40" s="43" t="n"/>
      <c r="AE40" s="41" t="n"/>
      <c r="AF40" s="40" t="n"/>
      <c r="AG40" s="42" t="n"/>
      <c r="AH40" s="43" t="n"/>
      <c r="AI40" s="41" t="inlineStr">
        <is>
          <t>vv</t>
        </is>
      </c>
      <c r="AJ40" s="40" t="inlineStr">
        <is>
          <t>vv</t>
        </is>
      </c>
      <c r="AK40" s="42" t="inlineStr">
        <is>
          <t>vv</t>
        </is>
      </c>
      <c r="AL40" s="43" t="inlineStr">
        <is>
          <t>vv</t>
        </is>
      </c>
      <c r="AM40" s="41" t="inlineStr">
        <is>
          <t>vv</t>
        </is>
      </c>
      <c r="AN40" s="645" t="inlineStr">
        <is>
          <t>vv</t>
        </is>
      </c>
      <c r="AO40" s="42" t="inlineStr">
        <is>
          <t>vv</t>
        </is>
      </c>
      <c r="AP40" s="43" t="n"/>
      <c r="AQ40" s="42" t="n"/>
      <c r="AR40" s="888">
        <f>IFERROR(IF(VLOOKUP($B40,Medewerker!$C$8:$AC$107,27,FALSE)="",VLOOKUP($B40,Medewerker!$C$8:$AC$107,25,FALSE),0),0)</f>
        <v/>
      </c>
      <c r="AS40" s="888">
        <f>IFERROR(IF(B40="",1,IF(VLOOKUP($B40,Medewerker!$C$8:$AY$107,27,FALSE)="",VLOOKUP($B40,Medewerker!$C$8:$AY$107,26,FALSE),0)),0)</f>
        <v/>
      </c>
      <c r="AT40" s="45" t="n"/>
      <c r="AU40" s="46">
        <f>(COUNTIF(F40:AQ40,"afw"))/2</f>
        <v/>
      </c>
      <c r="AV40" s="111">
        <f>((38-(COUNTIF(F40:AQ40,"")))/2)-(COUNTIF(F40:AQ40,"p")/2)-(COUNTIF(F40:AQ40,CONCATENATE("x","*"))/4)</f>
        <v/>
      </c>
      <c r="AW40" s="73">
        <f>IF($B40="","",VLOOKUP($B40,Medewerker!$C$8:$E$107,3,FALSE))</f>
        <v/>
      </c>
      <c r="AX40" s="403">
        <f>IFERROR(VLOOKUP($B40,Planning!$B$6:$AG$105,32,FALSE)*24,"")</f>
        <v/>
      </c>
      <c r="AY40" s="559" t="inlineStr">
        <is>
          <t>ver</t>
        </is>
      </c>
      <c r="AZ40" s="414" t="inlineStr">
        <is>
          <t>Vernietigen/Reststoffen</t>
        </is>
      </c>
      <c r="BA40" s="111">
        <f>COUNTIF($F$13:$AQ$63,CONCATENATE(AY40,"*"))/2+COUNTIF($F$13:$AQ$63,CONCATENATE("x",AY40,"*"))/4</f>
        <v/>
      </c>
      <c r="BB40" s="838" t="n"/>
      <c r="BC40" s="31">
        <f>IF(Planning!B33="","",Planning!B33)</f>
        <v/>
      </c>
      <c r="BD40" s="105" t="n"/>
      <c r="BE40" s="885">
        <f>Planning!E33</f>
        <v/>
      </c>
      <c r="BF40" s="885">
        <f>Planning!F33</f>
        <v/>
      </c>
      <c r="BG40" s="886" t="n"/>
      <c r="BH40" s="105" t="n"/>
      <c r="BI40" s="885">
        <f>Planning!I33</f>
        <v/>
      </c>
      <c r="BJ40" s="885">
        <f>Planning!J33</f>
        <v/>
      </c>
      <c r="BK40" s="886" t="n"/>
      <c r="BL40" s="105" t="n"/>
      <c r="BM40" s="885">
        <f>Planning!M33</f>
        <v/>
      </c>
      <c r="BN40" s="885">
        <f>Planning!N33</f>
        <v/>
      </c>
      <c r="BO40" s="886" t="n"/>
      <c r="BP40" s="105" t="n"/>
      <c r="BQ40" s="885">
        <f>Planning!Q33</f>
        <v/>
      </c>
      <c r="BR40" s="885">
        <f>Planning!R33</f>
        <v/>
      </c>
      <c r="BS40" s="886" t="n"/>
      <c r="BT40" s="105" t="n"/>
      <c r="BU40" s="885">
        <f>Planning!U33</f>
        <v/>
      </c>
      <c r="BV40" s="885">
        <f>Planning!V33</f>
        <v/>
      </c>
      <c r="BW40" s="886" t="n"/>
      <c r="BX40" s="105" t="n"/>
      <c r="BY40" s="885">
        <f>Planning!Y33</f>
        <v/>
      </c>
      <c r="BZ40" s="885">
        <f>Planning!Z33</f>
        <v/>
      </c>
      <c r="CA40" s="886" t="n"/>
      <c r="CB40" s="105" t="n"/>
      <c r="CC40" s="885">
        <f>Planning!AC33</f>
        <v/>
      </c>
      <c r="CD40" s="885">
        <f>Planning!AD33</f>
        <v/>
      </c>
      <c r="CE40" s="886" t="n"/>
      <c r="CF40" s="105" t="n"/>
      <c r="CG40" s="887">
        <f>Planning!AG33</f>
        <v/>
      </c>
      <c r="CH40" s="105" t="n"/>
      <c r="CI40" s="252">
        <f>IF(BC40="","",Planning!AI33)</f>
        <v/>
      </c>
      <c r="CJ40" s="252">
        <f>IF(BC40="","",Planning!AJ33)</f>
        <v/>
      </c>
      <c r="CK40" s="252">
        <f>IF(BC40="","",Planning!AK33)</f>
        <v/>
      </c>
      <c r="CL40" s="252">
        <f>IF(BC40="","",Planning!AH33)</f>
        <v/>
      </c>
      <c r="CM40" s="21" t="n"/>
    </row>
    <row r="41" ht="12.75" customHeight="1">
      <c r="A41" s="161">
        <f>IFERROR(IF(VLOOKUP($B41,$BC$13:$CL$86,36,FALSE)&gt;5,0,IF(COUNTIF($B$13:$B$63,$B41)&gt;1,0,29)),29)+IF(B41&lt;&gt;0,0,IF(AV41&gt;0,0.000001,0))</f>
        <v/>
      </c>
      <c r="B41" s="129" t="n"/>
      <c r="C41" s="48">
        <f>IFERROR(IF($B41="","",VLOOKUP($B41,Medewerker!$C$8:$AI$107,33,FALSE)),"?")</f>
        <v/>
      </c>
      <c r="D41" s="879">
        <f t="array" ref="D41">IFERROR(IF(LEFT(INDEX($F41:$AQ41,1,SUM(SMALL(IF($F41:$AQ41&lt;&gt;"",COLUMN($F41:$AQ41)),1)-5)),1)="x",SUM(SMALL(IF($F41:$AQ41&lt;&gt;"",$F$11:$AQ$11),1)+"0:15"),SMALL(IF($F41:$AQ41&lt;&gt;"",$F$11:$AQ$11),1)),"")</f>
        <v/>
      </c>
      <c r="E41" s="879">
        <f t="array" ref="E41">IFERROR(IF(LEFT(INDEX($F41:$AQ41,1,SUM(LARGE(IF($F41:$AQ41&lt;&gt;"",COLUMN($F41:$AQ41)),1)-5)),1)="x",SUM(LARGE(IF($F41:$AQ41&lt;&gt;"",$F$11:$AQ$11+"0:30:00"),1)-"0:15"),LARGE(IF($F41:$AQ41&lt;&gt;"",$F$11:$AQ$11+"0:30:00"),1)),"")</f>
        <v/>
      </c>
      <c r="F41" s="43" t="n"/>
      <c r="G41" s="42" t="n"/>
      <c r="H41" s="43" t="n"/>
      <c r="I41" s="42" t="n"/>
      <c r="J41" s="43" t="n"/>
      <c r="K41" s="41" t="n"/>
      <c r="L41" s="40" t="n"/>
      <c r="M41" s="42" t="n"/>
      <c r="N41" s="43" t="n"/>
      <c r="O41" s="41" t="n"/>
      <c r="P41" s="40" t="n"/>
      <c r="Q41" s="42" t="n"/>
      <c r="R41" s="43" t="n"/>
      <c r="S41" s="41" t="n"/>
      <c r="T41" s="40" t="n"/>
      <c r="U41" s="42" t="n"/>
      <c r="V41" s="43" t="n"/>
      <c r="W41" s="41" t="n"/>
      <c r="X41" s="40" t="n"/>
      <c r="Y41" s="42" t="n"/>
      <c r="Z41" s="43" t="n"/>
      <c r="AA41" s="41" t="n"/>
      <c r="AB41" s="40" t="n"/>
      <c r="AC41" s="42" t="n"/>
      <c r="AD41" s="43" t="n"/>
      <c r="AE41" s="41" t="n"/>
      <c r="AF41" s="40" t="n"/>
      <c r="AG41" s="42" t="n"/>
      <c r="AH41" s="43" t="n"/>
      <c r="AI41" s="41" t="n"/>
      <c r="AJ41" s="40" t="n"/>
      <c r="AK41" s="42" t="n"/>
      <c r="AL41" s="43" t="n"/>
      <c r="AM41" s="41" t="n"/>
      <c r="AN41" s="645" t="n"/>
      <c r="AO41" s="42" t="n"/>
      <c r="AP41" s="43" t="n"/>
      <c r="AQ41" s="42" t="n"/>
      <c r="AR41" s="888">
        <f>IFERROR(IF(VLOOKUP($B41,Medewerker!$C$8:$AC$107,27,FALSE)="",VLOOKUP($B41,Medewerker!$C$8:$AC$107,25,FALSE),0),0)</f>
        <v/>
      </c>
      <c r="AS41" s="888">
        <f>IFERROR(IF(B41="",1,IF(VLOOKUP($B41,Medewerker!$C$8:$AY$107,27,FALSE)="",VLOOKUP($B41,Medewerker!$C$8:$AY$107,26,FALSE),0)),0)</f>
        <v/>
      </c>
      <c r="AT41" s="45" t="n"/>
      <c r="AU41" s="46">
        <f>(COUNTIF(F41:AQ41,"afw"))/2</f>
        <v/>
      </c>
      <c r="AV41" s="111">
        <f>((38-(COUNTIF(F41:AQ41,"")))/2)-(COUNTIF(F41:AQ41,"p")/2)-(COUNTIF(F41:AQ41,CONCATENATE("x","*"))/4)</f>
        <v/>
      </c>
      <c r="AW41" s="73">
        <f>IF($B41="","",VLOOKUP($B41,Medewerker!$C$8:$E$107,3,FALSE))</f>
        <v/>
      </c>
      <c r="AX41" s="403">
        <f>IFERROR(VLOOKUP($B41,Planning!$B$6:$AG$105,32,FALSE)*24,"")</f>
        <v/>
      </c>
      <c r="AY41" s="891" t="inlineStr">
        <is>
          <t>Promo/Presentatie</t>
        </is>
      </c>
      <c r="AZ41" s="883" t="n"/>
      <c r="BA41" s="884" t="n"/>
      <c r="BB41" s="838" t="n"/>
      <c r="BC41" s="31">
        <f>IF(Planning!B34="","",Planning!B34)</f>
        <v/>
      </c>
      <c r="BD41" s="105" t="n"/>
      <c r="BE41" s="885">
        <f>Planning!E34</f>
        <v/>
      </c>
      <c r="BF41" s="885">
        <f>Planning!F34</f>
        <v/>
      </c>
      <c r="BG41" s="886" t="n"/>
      <c r="BH41" s="105" t="n"/>
      <c r="BI41" s="885">
        <f>Planning!I34</f>
        <v/>
      </c>
      <c r="BJ41" s="885">
        <f>Planning!J34</f>
        <v/>
      </c>
      <c r="BK41" s="886" t="n"/>
      <c r="BL41" s="105" t="n"/>
      <c r="BM41" s="885">
        <f>Planning!M34</f>
        <v/>
      </c>
      <c r="BN41" s="885">
        <f>Planning!N34</f>
        <v/>
      </c>
      <c r="BO41" s="886" t="n"/>
      <c r="BP41" s="105" t="n"/>
      <c r="BQ41" s="885">
        <f>Planning!Q34</f>
        <v/>
      </c>
      <c r="BR41" s="885">
        <f>Planning!R34</f>
        <v/>
      </c>
      <c r="BS41" s="886" t="n"/>
      <c r="BT41" s="105" t="n"/>
      <c r="BU41" s="885">
        <f>Planning!U34</f>
        <v/>
      </c>
      <c r="BV41" s="885">
        <f>Planning!V34</f>
        <v/>
      </c>
      <c r="BW41" s="886" t="n"/>
      <c r="BX41" s="105" t="n"/>
      <c r="BY41" s="885">
        <f>Planning!Y34</f>
        <v/>
      </c>
      <c r="BZ41" s="885">
        <f>Planning!Z34</f>
        <v/>
      </c>
      <c r="CA41" s="886" t="n"/>
      <c r="CB41" s="105" t="n"/>
      <c r="CC41" s="885">
        <f>Planning!AC34</f>
        <v/>
      </c>
      <c r="CD41" s="885">
        <f>Planning!AD34</f>
        <v/>
      </c>
      <c r="CE41" s="886" t="n"/>
      <c r="CF41" s="105" t="n"/>
      <c r="CG41" s="887">
        <f>Planning!AG34</f>
        <v/>
      </c>
      <c r="CH41" s="105" t="n"/>
      <c r="CI41" s="252">
        <f>IF(BC41="","",Planning!AI34)</f>
        <v/>
      </c>
      <c r="CJ41" s="252">
        <f>IF(BC41="","",Planning!AJ34)</f>
        <v/>
      </c>
      <c r="CK41" s="252">
        <f>IF(BC41="","",Planning!AK34)</f>
        <v/>
      </c>
      <c r="CL41" s="252">
        <f>IF(BC41="","",Planning!AH34)</f>
        <v/>
      </c>
      <c r="CM41" s="21" t="n"/>
    </row>
    <row r="42" ht="12.75" customHeight="1">
      <c r="A42" s="161">
        <f>IFERROR(IF(VLOOKUP($B42,$BC$13:$CL$86,36,FALSE)&gt;5,0,IF(COUNTIF($B$13:$B$63,$B42)&gt;1,0,30)),30)+IF(B42&lt;&gt;0,0,IF(AV42&gt;0,0.000001,0))</f>
        <v/>
      </c>
      <c r="B42" s="129" t="n"/>
      <c r="C42" s="48">
        <f>IFERROR(IF($B42="","",VLOOKUP($B42,Medewerker!$C$8:$AI$107,33,FALSE)),"?")</f>
        <v/>
      </c>
      <c r="D42" s="879">
        <f t="array" ref="D42">IFERROR(IF(LEFT(INDEX($F42:$AQ42,1,SUM(SMALL(IF($F42:$AQ42&lt;&gt;"",COLUMN($F42:$AQ42)),1)-5)),1)="x",SUM(SMALL(IF($F42:$AQ42&lt;&gt;"",$F$11:$AQ$11),1)+"0:15"),SMALL(IF($F42:$AQ42&lt;&gt;"",$F$11:$AQ$11),1)),"")</f>
        <v/>
      </c>
      <c r="E42" s="879">
        <f t="array" ref="E42">IFERROR(IF(LEFT(INDEX($F42:$AQ42,1,SUM(LARGE(IF($F42:$AQ42&lt;&gt;"",COLUMN($F42:$AQ42)),1)-5)),1)="x",SUM(LARGE(IF($F42:$AQ42&lt;&gt;"",$F$11:$AQ$11+"0:30:00"),1)-"0:15"),LARGE(IF($F42:$AQ42&lt;&gt;"",$F$11:$AQ$11+"0:30:00"),1)),"")</f>
        <v/>
      </c>
      <c r="F42" s="43" t="n"/>
      <c r="G42" s="42" t="n"/>
      <c r="H42" s="43" t="n"/>
      <c r="I42" s="42" t="n"/>
      <c r="J42" s="43" t="n"/>
      <c r="K42" s="41" t="n"/>
      <c r="L42" s="40" t="n"/>
      <c r="M42" s="42" t="n"/>
      <c r="N42" s="43" t="n"/>
      <c r="O42" s="41" t="n"/>
      <c r="P42" s="40" t="n"/>
      <c r="Q42" s="42" t="n"/>
      <c r="R42" s="43" t="n"/>
      <c r="S42" s="41" t="n"/>
      <c r="T42" s="40" t="n"/>
      <c r="U42" s="42" t="n"/>
      <c r="V42" s="43" t="n"/>
      <c r="W42" s="41" t="n"/>
      <c r="X42" s="40" t="n"/>
      <c r="Y42" s="42" t="n"/>
      <c r="Z42" s="43" t="n"/>
      <c r="AA42" s="41" t="n"/>
      <c r="AB42" s="40" t="n"/>
      <c r="AC42" s="42" t="n"/>
      <c r="AD42" s="43" t="n"/>
      <c r="AE42" s="41" t="n"/>
      <c r="AF42" s="40" t="n"/>
      <c r="AG42" s="42" t="n"/>
      <c r="AH42" s="43" t="n"/>
      <c r="AI42" s="41" t="n"/>
      <c r="AJ42" s="40" t="n"/>
      <c r="AK42" s="42" t="n"/>
      <c r="AL42" s="43" t="n"/>
      <c r="AM42" s="41" t="n"/>
      <c r="AN42" s="645" t="n"/>
      <c r="AO42" s="42" t="n"/>
      <c r="AP42" s="43" t="n"/>
      <c r="AQ42" s="42" t="n"/>
      <c r="AR42" s="888">
        <f>IFERROR(IF(VLOOKUP($B42,Medewerker!$C$8:$AC$107,27,FALSE)="",VLOOKUP($B42,Medewerker!$C$8:$AC$107,25,FALSE),0),0)</f>
        <v/>
      </c>
      <c r="AS42" s="888">
        <f>IFERROR(IF(B42="",1,IF(VLOOKUP($B42,Medewerker!$C$8:$AY$107,27,FALSE)="",VLOOKUP($B42,Medewerker!$C$8:$AY$107,26,FALSE),0)),0)</f>
        <v/>
      </c>
      <c r="AT42" s="45" t="n"/>
      <c r="AU42" s="46">
        <f>(COUNTIF(F42:AQ42,"afw"))/2</f>
        <v/>
      </c>
      <c r="AV42" s="111">
        <f>((38-(COUNTIF(F42:AQ42,"")))/2)-(COUNTIF(F42:AQ42,"p")/2)-(COUNTIF(F42:AQ42,CONCATENATE("x","*"))/4)</f>
        <v/>
      </c>
      <c r="AW42" s="73">
        <f>IF($B42="","",VLOOKUP($B42,Medewerker!$C$8:$E$107,3,FALSE))</f>
        <v/>
      </c>
      <c r="AX42" s="403">
        <f>IFERROR(VLOOKUP($B42,Planning!$B$6:$AG$105,32,FALSE)*24,"")</f>
        <v/>
      </c>
      <c r="AY42" s="559" t="inlineStr">
        <is>
          <t>act</t>
        </is>
      </c>
      <c r="AZ42" s="71" t="inlineStr">
        <is>
          <t>Actieopbouw</t>
        </is>
      </c>
      <c r="BA42" s="111">
        <f>COUNTIF($F$13:$AQ$63,CONCATENATE(AY42,"*"))/2+COUNTIF($F$13:$AQ$63,CONCATENATE("x",AY42,"*"))/4</f>
        <v/>
      </c>
      <c r="BB42" s="838" t="n"/>
      <c r="BC42" s="31">
        <f>IF(Planning!B35="","",Planning!B35)</f>
        <v/>
      </c>
      <c r="BD42" s="105" t="n"/>
      <c r="BE42" s="885">
        <f>Planning!E35</f>
        <v/>
      </c>
      <c r="BF42" s="885">
        <f>Planning!F35</f>
        <v/>
      </c>
      <c r="BG42" s="886" t="n"/>
      <c r="BH42" s="105" t="n"/>
      <c r="BI42" s="885">
        <f>Planning!I35</f>
        <v/>
      </c>
      <c r="BJ42" s="885">
        <f>Planning!J35</f>
        <v/>
      </c>
      <c r="BK42" s="886" t="n"/>
      <c r="BL42" s="105" t="n"/>
      <c r="BM42" s="885">
        <f>Planning!M35</f>
        <v/>
      </c>
      <c r="BN42" s="885">
        <f>Planning!N35</f>
        <v/>
      </c>
      <c r="BO42" s="886" t="n"/>
      <c r="BP42" s="105" t="n"/>
      <c r="BQ42" s="885">
        <f>Planning!Q35</f>
        <v/>
      </c>
      <c r="BR42" s="885">
        <f>Planning!R35</f>
        <v/>
      </c>
      <c r="BS42" s="886" t="n"/>
      <c r="BT42" s="105" t="n"/>
      <c r="BU42" s="885">
        <f>Planning!U35</f>
        <v/>
      </c>
      <c r="BV42" s="885">
        <f>Planning!V35</f>
        <v/>
      </c>
      <c r="BW42" s="886" t="n"/>
      <c r="BX42" s="105" t="n"/>
      <c r="BY42" s="885">
        <f>Planning!Y35</f>
        <v/>
      </c>
      <c r="BZ42" s="885">
        <f>Planning!Z35</f>
        <v/>
      </c>
      <c r="CA42" s="886" t="n"/>
      <c r="CB42" s="105" t="n"/>
      <c r="CC42" s="885">
        <f>Planning!AC35</f>
        <v/>
      </c>
      <c r="CD42" s="885">
        <f>Planning!AD35</f>
        <v/>
      </c>
      <c r="CE42" s="886" t="n"/>
      <c r="CF42" s="105" t="n"/>
      <c r="CG42" s="887">
        <f>Planning!AG35</f>
        <v/>
      </c>
      <c r="CH42" s="105" t="n"/>
      <c r="CI42" s="252">
        <f>IF(BC42="","",Planning!AI35)</f>
        <v/>
      </c>
      <c r="CJ42" s="252">
        <f>IF(BC42="","",Planning!AJ35)</f>
        <v/>
      </c>
      <c r="CK42" s="252">
        <f>IF(BC42="","",Planning!AK35)</f>
        <v/>
      </c>
      <c r="CL42" s="252">
        <f>IF(BC42="","",Planning!AH35)</f>
        <v/>
      </c>
      <c r="CM42" s="21" t="n"/>
    </row>
    <row r="43" ht="12.75" customHeight="1">
      <c r="A43" s="161">
        <f>IFERROR(IF(VLOOKUP($B43,$BC$13:$CL$86,36,FALSE)&gt;5,0,IF(COUNTIF($B$13:$B$63,$B43)&gt;1,0,31)),31)+IF(B43&lt;&gt;0,0,IF(AV43&gt;0,0.000001,0))</f>
        <v/>
      </c>
      <c r="B43" s="129" t="n"/>
      <c r="C43" s="48">
        <f>IFERROR(IF($B43="","",VLOOKUP($B43,Medewerker!$C$8:$AI$107,33,FALSE)),"?")</f>
        <v/>
      </c>
      <c r="D43" s="879">
        <f t="array" ref="D43">IFERROR(IF(LEFT(INDEX($F43:$AQ43,1,SUM(SMALL(IF($F43:$AQ43&lt;&gt;"",COLUMN($F43:$AQ43)),1)-5)),1)="x",SUM(SMALL(IF($F43:$AQ43&lt;&gt;"",$F$11:$AQ$11),1)+"0:15"),SMALL(IF($F43:$AQ43&lt;&gt;"",$F$11:$AQ$11),1)),"")</f>
        <v/>
      </c>
      <c r="E43" s="879">
        <f t="array" ref="E43">IFERROR(IF(LEFT(INDEX($F43:$AQ43,1,SUM(LARGE(IF($F43:$AQ43&lt;&gt;"",COLUMN($F43:$AQ43)),1)-5)),1)="x",SUM(LARGE(IF($F43:$AQ43&lt;&gt;"",$F$11:$AQ$11+"0:30:00"),1)-"0:15"),LARGE(IF($F43:$AQ43&lt;&gt;"",$F$11:$AQ$11+"0:30:00"),1)),"")</f>
        <v/>
      </c>
      <c r="F43" s="43" t="n"/>
      <c r="G43" s="42" t="n"/>
      <c r="H43" s="43" t="n"/>
      <c r="I43" s="42" t="n"/>
      <c r="J43" s="43" t="n"/>
      <c r="K43" s="41" t="n"/>
      <c r="L43" s="40" t="n"/>
      <c r="M43" s="42" t="n"/>
      <c r="N43" s="43" t="n"/>
      <c r="O43" s="41" t="n"/>
      <c r="P43" s="40" t="n"/>
      <c r="Q43" s="42" t="n"/>
      <c r="R43" s="43" t="n"/>
      <c r="S43" s="41" t="n"/>
      <c r="T43" s="40" t="n"/>
      <c r="U43" s="42" t="n"/>
      <c r="V43" s="43" t="n"/>
      <c r="W43" s="41" t="n"/>
      <c r="X43" s="40" t="n"/>
      <c r="Y43" s="42" t="n"/>
      <c r="Z43" s="43" t="n"/>
      <c r="AA43" s="41" t="n"/>
      <c r="AB43" s="40" t="n"/>
      <c r="AC43" s="42" t="n"/>
      <c r="AD43" s="43" t="n"/>
      <c r="AE43" s="41" t="n"/>
      <c r="AF43" s="40" t="n"/>
      <c r="AG43" s="42" t="n"/>
      <c r="AH43" s="43" t="n"/>
      <c r="AI43" s="41" t="n"/>
      <c r="AJ43" s="40" t="n"/>
      <c r="AK43" s="42" t="n"/>
      <c r="AL43" s="43" t="n"/>
      <c r="AM43" s="41" t="n"/>
      <c r="AN43" s="645" t="n"/>
      <c r="AO43" s="42" t="n"/>
      <c r="AP43" s="43" t="n"/>
      <c r="AQ43" s="42" t="n"/>
      <c r="AR43" s="888">
        <f>IFERROR(IF(VLOOKUP($B43,Medewerker!$C$8:$AC$107,27,FALSE)="",VLOOKUP($B43,Medewerker!$C$8:$AC$107,25,FALSE),0),0)</f>
        <v/>
      </c>
      <c r="AS43" s="888">
        <f>IFERROR(IF(B43="",1,IF(VLOOKUP($B43,Medewerker!$C$8:$AY$107,27,FALSE)="",VLOOKUP($B43,Medewerker!$C$8:$AY$107,26,FALSE),0)),0)</f>
        <v/>
      </c>
      <c r="AT43" s="45" t="n"/>
      <c r="AU43" s="46">
        <f>(COUNTIF(F43:AQ43,"afw"))/2</f>
        <v/>
      </c>
      <c r="AV43" s="111">
        <f>((38-(COUNTIF(F43:AQ43,"")))/2)-(COUNTIF(F43:AQ43,"p")/2)-(COUNTIF(F43:AQ43,CONCATENATE("x","*"))/4)</f>
        <v/>
      </c>
      <c r="AW43" s="73">
        <f>IF($B43="","",VLOOKUP($B43,Medewerker!$C$8:$E$107,3,FALSE))</f>
        <v/>
      </c>
      <c r="AX43" s="403">
        <f>IFERROR(VLOOKUP($B43,Planning!$B$6:$AG$105,32,FALSE)*24,"")</f>
        <v/>
      </c>
      <c r="AY43" s="559" t="inlineStr">
        <is>
          <t>com</t>
        </is>
      </c>
      <c r="AZ43" s="71" t="inlineStr">
        <is>
          <t>Comco sorteren</t>
        </is>
      </c>
      <c r="BA43" s="111">
        <f>COUNTIF($F$13:$AQ$63,CONCATENATE(AY43,"*"))/2+COUNTIF($F$13:$AQ$63,CONCATENATE("x",AY43,"*"))/4</f>
        <v/>
      </c>
      <c r="BB43" s="838" t="n"/>
      <c r="BC43" s="31">
        <f>IF(Planning!B36="","",Planning!B36)</f>
        <v/>
      </c>
      <c r="BD43" s="105" t="n"/>
      <c r="BE43" s="885">
        <f>Planning!E36</f>
        <v/>
      </c>
      <c r="BF43" s="885">
        <f>Planning!F36</f>
        <v/>
      </c>
      <c r="BG43" s="886" t="n"/>
      <c r="BH43" s="105" t="n"/>
      <c r="BI43" s="885">
        <f>Planning!I36</f>
        <v/>
      </c>
      <c r="BJ43" s="885">
        <f>Planning!J36</f>
        <v/>
      </c>
      <c r="BK43" s="886" t="n"/>
      <c r="BL43" s="105" t="n"/>
      <c r="BM43" s="885">
        <f>Planning!M36</f>
        <v/>
      </c>
      <c r="BN43" s="885">
        <f>Planning!N36</f>
        <v/>
      </c>
      <c r="BO43" s="886" t="n"/>
      <c r="BP43" s="105" t="n"/>
      <c r="BQ43" s="885">
        <f>Planning!Q36</f>
        <v/>
      </c>
      <c r="BR43" s="885">
        <f>Planning!R36</f>
        <v/>
      </c>
      <c r="BS43" s="886" t="n"/>
      <c r="BT43" s="105" t="n"/>
      <c r="BU43" s="885">
        <f>Planning!U36</f>
        <v/>
      </c>
      <c r="BV43" s="885">
        <f>Planning!V36</f>
        <v/>
      </c>
      <c r="BW43" s="886" t="n"/>
      <c r="BX43" s="105" t="n"/>
      <c r="BY43" s="885">
        <f>Planning!Y36</f>
        <v/>
      </c>
      <c r="BZ43" s="885">
        <f>Planning!Z36</f>
        <v/>
      </c>
      <c r="CA43" s="886" t="n"/>
      <c r="CB43" s="105" t="n"/>
      <c r="CC43" s="885">
        <f>Planning!AC36</f>
        <v/>
      </c>
      <c r="CD43" s="885">
        <f>Planning!AD36</f>
        <v/>
      </c>
      <c r="CE43" s="886" t="n"/>
      <c r="CF43" s="105" t="n"/>
      <c r="CG43" s="887">
        <f>Planning!AG36</f>
        <v/>
      </c>
      <c r="CH43" s="105" t="n"/>
      <c r="CI43" s="252">
        <f>IF(BC43="","",Planning!AI36)</f>
        <v/>
      </c>
      <c r="CJ43" s="252">
        <f>IF(BC43="","",Planning!AJ36)</f>
        <v/>
      </c>
      <c r="CK43" s="252">
        <f>IF(BC43="","",Planning!AK36)</f>
        <v/>
      </c>
      <c r="CL43" s="252">
        <f>IF(BC43="","",Planning!AH36)</f>
        <v/>
      </c>
      <c r="CM43" s="21" t="n"/>
    </row>
    <row r="44" ht="12.75" customHeight="1">
      <c r="A44" s="161">
        <f>IFERROR(IF(VLOOKUP($B44,$BC$13:$CL$86,36,FALSE)&gt;5,0,IF(COUNTIF($B$13:$B$63,$B44)&gt;1,0,32)),32)+IF(B44&lt;&gt;0,0,IF(AV44&gt;0,0.000001,0))</f>
        <v/>
      </c>
      <c r="B44" s="129" t="n"/>
      <c r="C44" s="48">
        <f>IFERROR(IF($B44="","",VLOOKUP($B44,Medewerker!$C$8:$AI$107,33,FALSE)),"?")</f>
        <v/>
      </c>
      <c r="D44" s="879">
        <f t="array" ref="D44">IFERROR(IF(LEFT(INDEX($F44:$AQ44,1,SUM(SMALL(IF($F44:$AQ44&lt;&gt;"",COLUMN($F44:$AQ44)),1)-5)),1)="x",SUM(SMALL(IF($F44:$AQ44&lt;&gt;"",$F$11:$AQ$11),1)+"0:15"),SMALL(IF($F44:$AQ44&lt;&gt;"",$F$11:$AQ$11),1)),"")</f>
        <v/>
      </c>
      <c r="E44" s="879">
        <f t="array" ref="E44">IFERROR(IF(LEFT(INDEX($F44:$AQ44,1,SUM(LARGE(IF($F44:$AQ44&lt;&gt;"",COLUMN($F44:$AQ44)),1)-5)),1)="x",SUM(LARGE(IF($F44:$AQ44&lt;&gt;"",$F$11:$AQ$11+"0:30:00"),1)-"0:15"),LARGE(IF($F44:$AQ44&lt;&gt;"",$F$11:$AQ$11+"0:30:00"),1)),"")</f>
        <v/>
      </c>
      <c r="F44" s="43" t="n"/>
      <c r="G44" s="42" t="n"/>
      <c r="H44" s="43" t="n"/>
      <c r="I44" s="42" t="n"/>
      <c r="J44" s="43" t="n"/>
      <c r="K44" s="41" t="n"/>
      <c r="L44" s="40" t="n"/>
      <c r="M44" s="42" t="n"/>
      <c r="N44" s="43" t="n"/>
      <c r="O44" s="41" t="n"/>
      <c r="P44" s="40" t="n"/>
      <c r="Q44" s="42" t="n"/>
      <c r="R44" s="43" t="n"/>
      <c r="S44" s="41" t="n"/>
      <c r="T44" s="40" t="n"/>
      <c r="U44" s="42" t="n"/>
      <c r="V44" s="43" t="n"/>
      <c r="W44" s="41" t="n"/>
      <c r="X44" s="40" t="n"/>
      <c r="Y44" s="42" t="n"/>
      <c r="Z44" s="43" t="n"/>
      <c r="AA44" s="41" t="n"/>
      <c r="AB44" s="40" t="n"/>
      <c r="AC44" s="42" t="n"/>
      <c r="AD44" s="43" t="n"/>
      <c r="AE44" s="41" t="n"/>
      <c r="AF44" s="40" t="n"/>
      <c r="AG44" s="42" t="n"/>
      <c r="AH44" s="43" t="n"/>
      <c r="AI44" s="41" t="n"/>
      <c r="AJ44" s="40" t="n"/>
      <c r="AK44" s="42" t="n"/>
      <c r="AL44" s="43" t="n"/>
      <c r="AM44" s="41" t="n"/>
      <c r="AN44" s="645" t="n"/>
      <c r="AO44" s="42" t="n"/>
      <c r="AP44" s="43" t="n"/>
      <c r="AQ44" s="42" t="n"/>
      <c r="AR44" s="888">
        <f>IFERROR(IF(VLOOKUP($B44,Medewerker!$C$8:$AC$107,27,FALSE)="",VLOOKUP($B44,Medewerker!$C$8:$AC$107,25,FALSE),0),0)</f>
        <v/>
      </c>
      <c r="AS44" s="888">
        <f>IFERROR(IF(B44="",1,IF(VLOOKUP($B44,Medewerker!$C$8:$AY$107,27,FALSE)="",VLOOKUP($B44,Medewerker!$C$8:$AY$107,26,FALSE),0)),0)</f>
        <v/>
      </c>
      <c r="AT44" s="45" t="n"/>
      <c r="AU44" s="46">
        <f>(COUNTIF(F44:AQ44,"afw"))/2</f>
        <v/>
      </c>
      <c r="AV44" s="111">
        <f>((38-(COUNTIF(F44:AQ44,"")))/2)-(COUNTIF(F44:AQ44,"p")/2)-(COUNTIF(F44:AQ44,CONCATENATE("x","*"))/4)</f>
        <v/>
      </c>
      <c r="AW44" s="73">
        <f>IF($B44="","",VLOOKUP($B44,Medewerker!$C$8:$E$107,3,FALSE))</f>
        <v/>
      </c>
      <c r="AX44" s="403">
        <f>IFERROR(VLOOKUP($B44,Planning!$B$6:$AG$105,32,FALSE)*24,"")</f>
        <v/>
      </c>
      <c r="AY44" s="558" t="inlineStr">
        <is>
          <t>pro</t>
        </is>
      </c>
      <c r="AZ44" s="71" t="inlineStr">
        <is>
          <t>Promotie</t>
        </is>
      </c>
      <c r="BA44" s="111">
        <f>COUNTIF($F$13:$AQ$63,CONCATENATE(AY44,"*"))/2+COUNTIF($F$13:$AQ$63,CONCATENATE("x",AY44,"*"))/4</f>
        <v/>
      </c>
      <c r="BB44" s="838" t="n"/>
      <c r="BC44" s="31">
        <f>IF(Planning!B37="","",Planning!B37)</f>
        <v/>
      </c>
      <c r="BD44" s="105" t="n"/>
      <c r="BE44" s="885">
        <f>Planning!E37</f>
        <v/>
      </c>
      <c r="BF44" s="885">
        <f>Planning!F37</f>
        <v/>
      </c>
      <c r="BG44" s="886" t="n"/>
      <c r="BH44" s="105" t="n"/>
      <c r="BI44" s="885">
        <f>Planning!I37</f>
        <v/>
      </c>
      <c r="BJ44" s="885">
        <f>Planning!J37</f>
        <v/>
      </c>
      <c r="BK44" s="886" t="n"/>
      <c r="BL44" s="105" t="n"/>
      <c r="BM44" s="885">
        <f>Planning!M37</f>
        <v/>
      </c>
      <c r="BN44" s="885">
        <f>Planning!N37</f>
        <v/>
      </c>
      <c r="BO44" s="886" t="n"/>
      <c r="BP44" s="105" t="n"/>
      <c r="BQ44" s="885">
        <f>Planning!Q37</f>
        <v/>
      </c>
      <c r="BR44" s="885">
        <f>Planning!R37</f>
        <v/>
      </c>
      <c r="BS44" s="886" t="n"/>
      <c r="BT44" s="105" t="n"/>
      <c r="BU44" s="885">
        <f>Planning!U37</f>
        <v/>
      </c>
      <c r="BV44" s="885">
        <f>Planning!V37</f>
        <v/>
      </c>
      <c r="BW44" s="886" t="n"/>
      <c r="BX44" s="105" t="n"/>
      <c r="BY44" s="885">
        <f>Planning!Y37</f>
        <v/>
      </c>
      <c r="BZ44" s="885">
        <f>Planning!Z37</f>
        <v/>
      </c>
      <c r="CA44" s="886" t="n"/>
      <c r="CB44" s="105" t="n"/>
      <c r="CC44" s="885">
        <f>Planning!AC37</f>
        <v/>
      </c>
      <c r="CD44" s="885">
        <f>Planning!AD37</f>
        <v/>
      </c>
      <c r="CE44" s="886" t="n"/>
      <c r="CF44" s="105" t="n"/>
      <c r="CG44" s="887">
        <f>Planning!AG37</f>
        <v/>
      </c>
      <c r="CH44" s="105" t="n"/>
      <c r="CI44" s="252">
        <f>IF(BC44="","",Planning!AI37)</f>
        <v/>
      </c>
      <c r="CJ44" s="252">
        <f>IF(BC44="","",Planning!AJ37)</f>
        <v/>
      </c>
      <c r="CK44" s="252">
        <f>IF(BC44="","",Planning!AK37)</f>
        <v/>
      </c>
      <c r="CL44" s="252">
        <f>IF(BC44="","",Planning!AH37)</f>
        <v/>
      </c>
      <c r="CM44" s="21" t="n"/>
    </row>
    <row r="45" ht="12.75" customHeight="1">
      <c r="A45" s="161">
        <f>IFERROR(IF(VLOOKUP($B45,$BC$13:$CL$86,36,FALSE)&gt;5,0,IF(COUNTIF($B$13:$B$63,$B45)&gt;1,0,33)),33)+IF(B45&lt;&gt;0,0,IF(AV45&gt;0,0.000001,0))</f>
        <v/>
      </c>
      <c r="B45" s="129" t="n"/>
      <c r="C45" s="48">
        <f>IFERROR(IF($B45="","",VLOOKUP($B45,Medewerker!$C$8:$AI$107,33,FALSE)),"?")</f>
        <v/>
      </c>
      <c r="D45" s="879">
        <f t="array" ref="D45">IFERROR(IF(LEFT(INDEX($F45:$AQ45,1,SUM(SMALL(IF($F45:$AQ45&lt;&gt;"",COLUMN($F45:$AQ45)),1)-5)),1)="x",SUM(SMALL(IF($F45:$AQ45&lt;&gt;"",$F$11:$AQ$11),1)+"0:15"),SMALL(IF($F45:$AQ45&lt;&gt;"",$F$11:$AQ$11),1)),"")</f>
        <v/>
      </c>
      <c r="E45" s="879">
        <f t="array" ref="E45">IFERROR(IF(LEFT(INDEX($F45:$AQ45,1,SUM(LARGE(IF($F45:$AQ45&lt;&gt;"",COLUMN($F45:$AQ45)),1)-5)),1)="x",SUM(LARGE(IF($F45:$AQ45&lt;&gt;"",$F$11:$AQ$11+"0:30:00"),1)-"0:15"),LARGE(IF($F45:$AQ45&lt;&gt;"",$F$11:$AQ$11+"0:30:00"),1)),"")</f>
        <v/>
      </c>
      <c r="F45" s="43" t="n"/>
      <c r="G45" s="42" t="n"/>
      <c r="H45" s="43" t="n"/>
      <c r="I45" s="42" t="n"/>
      <c r="J45" s="43" t="n"/>
      <c r="K45" s="41" t="n"/>
      <c r="L45" s="40" t="n"/>
      <c r="M45" s="42" t="n"/>
      <c r="N45" s="43" t="n"/>
      <c r="O45" s="41" t="n"/>
      <c r="P45" s="40" t="n"/>
      <c r="Q45" s="42" t="n"/>
      <c r="R45" s="43" t="n"/>
      <c r="S45" s="41" t="n"/>
      <c r="T45" s="40" t="n"/>
      <c r="U45" s="42" t="n"/>
      <c r="V45" s="43" t="n"/>
      <c r="W45" s="41" t="n"/>
      <c r="X45" s="40" t="n"/>
      <c r="Y45" s="42" t="n"/>
      <c r="Z45" s="43" t="n"/>
      <c r="AA45" s="41" t="n"/>
      <c r="AB45" s="40" t="n"/>
      <c r="AC45" s="42" t="n"/>
      <c r="AD45" s="43" t="n"/>
      <c r="AE45" s="41" t="n"/>
      <c r="AF45" s="40" t="n"/>
      <c r="AG45" s="42" t="n"/>
      <c r="AH45" s="43" t="n"/>
      <c r="AI45" s="41" t="n"/>
      <c r="AJ45" s="40" t="n"/>
      <c r="AK45" s="42" t="n"/>
      <c r="AL45" s="43" t="n"/>
      <c r="AM45" s="41" t="n"/>
      <c r="AN45" s="645" t="n"/>
      <c r="AO45" s="42" t="n"/>
      <c r="AP45" s="43" t="n"/>
      <c r="AQ45" s="42" t="n"/>
      <c r="AR45" s="888">
        <f>IFERROR(IF(VLOOKUP($B45,Medewerker!$C$8:$AC$107,27,FALSE)="",VLOOKUP($B45,Medewerker!$C$8:$AC$107,25,FALSE),0),0)</f>
        <v/>
      </c>
      <c r="AS45" s="888">
        <f>IFERROR(IF(B45="",1,IF(VLOOKUP($B45,Medewerker!$C$8:$AY$107,27,FALSE)="",VLOOKUP($B45,Medewerker!$C$8:$AY$107,26,FALSE),0)),0)</f>
        <v/>
      </c>
      <c r="AT45" s="45" t="n"/>
      <c r="AU45" s="46">
        <f>(COUNTIF(F45:AQ45,"afw"))/2</f>
        <v/>
      </c>
      <c r="AV45" s="111">
        <f>((38-(COUNTIF(F45:AQ45,"")))/2)-(COUNTIF(F45:AQ45,"p")/2)-(COUNTIF(F45:AQ45,CONCATENATE("x","*"))/4)</f>
        <v/>
      </c>
      <c r="AW45" s="73">
        <f>IF($B45="","",VLOOKUP($B45,Medewerker!$C$8:$E$107,3,FALSE))</f>
        <v/>
      </c>
      <c r="AX45" s="403">
        <f>IFERROR(VLOOKUP($B45,Planning!$B$6:$AG$105,32,FALSE)*24,"")</f>
        <v/>
      </c>
      <c r="AY45" s="558" t="inlineStr">
        <is>
          <t>pw</t>
        </is>
      </c>
      <c r="AZ45" s="71" t="inlineStr">
        <is>
          <t>Prijswijzigingen</t>
        </is>
      </c>
      <c r="BA45" s="111">
        <f>COUNTIF($F$13:$AQ$63,CONCATENATE(AY45,"*"))/2+COUNTIF($F$13:$AQ$63,CONCATENATE("x",AY45,"*"))/4</f>
        <v/>
      </c>
      <c r="BB45" s="838" t="n"/>
      <c r="BC45" s="31">
        <f>IF(Planning!B38="","",Planning!B38)</f>
        <v/>
      </c>
      <c r="BD45" s="105" t="n"/>
      <c r="BE45" s="885">
        <f>Planning!E38</f>
        <v/>
      </c>
      <c r="BF45" s="885">
        <f>Planning!F38</f>
        <v/>
      </c>
      <c r="BG45" s="886" t="n"/>
      <c r="BH45" s="105" t="n"/>
      <c r="BI45" s="885">
        <f>Planning!I38</f>
        <v/>
      </c>
      <c r="BJ45" s="885">
        <f>Planning!J38</f>
        <v/>
      </c>
      <c r="BK45" s="886" t="n"/>
      <c r="BL45" s="105" t="n"/>
      <c r="BM45" s="885">
        <f>Planning!M38</f>
        <v/>
      </c>
      <c r="BN45" s="885">
        <f>Planning!N38</f>
        <v/>
      </c>
      <c r="BO45" s="886" t="n"/>
      <c r="BP45" s="105" t="n"/>
      <c r="BQ45" s="885">
        <f>Planning!Q38</f>
        <v/>
      </c>
      <c r="BR45" s="885">
        <f>Planning!R38</f>
        <v/>
      </c>
      <c r="BS45" s="886" t="n"/>
      <c r="BT45" s="105" t="n"/>
      <c r="BU45" s="885">
        <f>Planning!U38</f>
        <v/>
      </c>
      <c r="BV45" s="885">
        <f>Planning!V38</f>
        <v/>
      </c>
      <c r="BW45" s="886" t="n"/>
      <c r="BX45" s="105" t="n"/>
      <c r="BY45" s="885">
        <f>Planning!Y38</f>
        <v/>
      </c>
      <c r="BZ45" s="885">
        <f>Planning!Z38</f>
        <v/>
      </c>
      <c r="CA45" s="886" t="n"/>
      <c r="CB45" s="105" t="n"/>
      <c r="CC45" s="885">
        <f>Planning!AC38</f>
        <v/>
      </c>
      <c r="CD45" s="885">
        <f>Planning!AD38</f>
        <v/>
      </c>
      <c r="CE45" s="886" t="n"/>
      <c r="CF45" s="105" t="n"/>
      <c r="CG45" s="887">
        <f>Planning!AG38</f>
        <v/>
      </c>
      <c r="CH45" s="105" t="n"/>
      <c r="CI45" s="252">
        <f>IF(BC45="","",Planning!AI38)</f>
        <v/>
      </c>
      <c r="CJ45" s="252">
        <f>IF(BC45="","",Planning!AJ38)</f>
        <v/>
      </c>
      <c r="CK45" s="252">
        <f>IF(BC45="","",Planning!AK38)</f>
        <v/>
      </c>
      <c r="CL45" s="252">
        <f>IF(BC45="","",Planning!AH38)</f>
        <v/>
      </c>
      <c r="CM45" s="21" t="n"/>
    </row>
    <row r="46" ht="12.75" customHeight="1">
      <c r="A46" s="161">
        <f>IFERROR(IF(VLOOKUP($B46,$BC$13:$CL$86,36,FALSE)&gt;5,0,IF(COUNTIF($B$13:$B$63,$B46)&gt;1,0,34)),34)+IF(B46&lt;&gt;0,0,IF(AV46&gt;0,0.000001,0))</f>
        <v/>
      </c>
      <c r="B46" s="129" t="n"/>
      <c r="C46" s="48">
        <f>IFERROR(IF($B46="","",VLOOKUP($B46,Medewerker!$C$8:$AI$107,33,FALSE)),"?")</f>
        <v/>
      </c>
      <c r="D46" s="879">
        <f t="array" ref="D46">IFERROR(IF(LEFT(INDEX($F46:$AQ46,1,SUM(SMALL(IF($F46:$AQ46&lt;&gt;"",COLUMN($F46:$AQ46)),1)-5)),1)="x",SUM(SMALL(IF($F46:$AQ46&lt;&gt;"",$F$11:$AQ$11),1)+"0:15"),SMALL(IF($F46:$AQ46&lt;&gt;"",$F$11:$AQ$11),1)),"")</f>
        <v/>
      </c>
      <c r="E46" s="879">
        <f t="array" ref="E46">IFERROR(IF(LEFT(INDEX($F46:$AQ46,1,SUM(LARGE(IF($F46:$AQ46&lt;&gt;"",COLUMN($F46:$AQ46)),1)-5)),1)="x",SUM(LARGE(IF($F46:$AQ46&lt;&gt;"",$F$11:$AQ$11+"0:30:00"),1)-"0:15"),LARGE(IF($F46:$AQ46&lt;&gt;"",$F$11:$AQ$11+"0:30:00"),1)),"")</f>
        <v/>
      </c>
      <c r="F46" s="43" t="n"/>
      <c r="G46" s="42" t="n"/>
      <c r="H46" s="43" t="n"/>
      <c r="I46" s="42" t="n"/>
      <c r="J46" s="43" t="n"/>
      <c r="K46" s="41" t="n"/>
      <c r="L46" s="40" t="n"/>
      <c r="M46" s="42" t="n"/>
      <c r="N46" s="43" t="n"/>
      <c r="O46" s="41" t="n"/>
      <c r="P46" s="40" t="n"/>
      <c r="Q46" s="42" t="n"/>
      <c r="R46" s="43" t="n"/>
      <c r="S46" s="41" t="n"/>
      <c r="T46" s="40" t="n"/>
      <c r="U46" s="42" t="n"/>
      <c r="V46" s="43" t="n"/>
      <c r="W46" s="41" t="n"/>
      <c r="X46" s="40" t="n"/>
      <c r="Y46" s="42" t="n"/>
      <c r="Z46" s="43" t="n"/>
      <c r="AA46" s="41" t="n"/>
      <c r="AB46" s="40" t="n"/>
      <c r="AC46" s="42" t="n"/>
      <c r="AD46" s="43" t="n"/>
      <c r="AE46" s="41" t="n"/>
      <c r="AF46" s="40" t="n"/>
      <c r="AG46" s="42" t="n"/>
      <c r="AH46" s="43" t="n"/>
      <c r="AI46" s="41" t="n"/>
      <c r="AJ46" s="40" t="n"/>
      <c r="AK46" s="42" t="n"/>
      <c r="AL46" s="43" t="n"/>
      <c r="AM46" s="41" t="n"/>
      <c r="AN46" s="645" t="n"/>
      <c r="AO46" s="42" t="n"/>
      <c r="AP46" s="43" t="n"/>
      <c r="AQ46" s="42" t="n"/>
      <c r="AR46" s="888">
        <f>IFERROR(IF(VLOOKUP($B46,Medewerker!$C$8:$AC$107,27,FALSE)="",VLOOKUP($B46,Medewerker!$C$8:$AC$107,25,FALSE),0),0)</f>
        <v/>
      </c>
      <c r="AS46" s="888">
        <f>IFERROR(IF(B46="",1,IF(VLOOKUP($B46,Medewerker!$C$8:$AY$107,27,FALSE)="",VLOOKUP($B46,Medewerker!$C$8:$AY$107,26,FALSE),0)),0)</f>
        <v/>
      </c>
      <c r="AT46" s="45" t="n"/>
      <c r="AU46" s="46">
        <f>(COUNTIF(F46:AQ46,"afw"))/2</f>
        <v/>
      </c>
      <c r="AV46" s="111">
        <f>((38-(COUNTIF(F46:AQ46,"")))/2)-(COUNTIF(F46:AQ46,"p")/2)-(COUNTIF(F46:AQ46,CONCATENATE("x","*"))/4)</f>
        <v/>
      </c>
      <c r="AW46" s="73">
        <f>IF($B46="","",VLOOKUP($B46,Medewerker!$C$8:$E$107,3,FALSE))</f>
        <v/>
      </c>
      <c r="AX46" s="403">
        <f>IFERROR(VLOOKUP($B46,Planning!$B$6:$AG$105,32,FALSE)*24,"")</f>
        <v/>
      </c>
      <c r="AY46" s="558" t="inlineStr">
        <is>
          <t>wap</t>
        </is>
      </c>
      <c r="AZ46" s="71" t="inlineStr">
        <is>
          <t>WAP uitvoeren</t>
        </is>
      </c>
      <c r="BA46" s="111">
        <f>COUNTIF($F$13:$AQ$63,CONCATENATE(AY46,"*"))/2+COUNTIF($F$13:$AQ$63,CONCATENATE("x",AY46,"*"))/4</f>
        <v/>
      </c>
      <c r="BB46" s="838" t="n"/>
      <c r="BC46" s="31">
        <f>IF(Planning!B39="","",Planning!B39)</f>
        <v/>
      </c>
      <c r="BD46" s="105" t="n"/>
      <c r="BE46" s="885">
        <f>Planning!E39</f>
        <v/>
      </c>
      <c r="BF46" s="885">
        <f>Planning!F39</f>
        <v/>
      </c>
      <c r="BG46" s="886" t="n"/>
      <c r="BH46" s="105" t="n"/>
      <c r="BI46" s="885">
        <f>Planning!I39</f>
        <v/>
      </c>
      <c r="BJ46" s="885">
        <f>Planning!J39</f>
        <v/>
      </c>
      <c r="BK46" s="886" t="n"/>
      <c r="BL46" s="105" t="n"/>
      <c r="BM46" s="885">
        <f>Planning!M39</f>
        <v/>
      </c>
      <c r="BN46" s="885">
        <f>Planning!N39</f>
        <v/>
      </c>
      <c r="BO46" s="886" t="n"/>
      <c r="BP46" s="105" t="n"/>
      <c r="BQ46" s="885">
        <f>Planning!Q39</f>
        <v/>
      </c>
      <c r="BR46" s="885">
        <f>Planning!R39</f>
        <v/>
      </c>
      <c r="BS46" s="886" t="n"/>
      <c r="BT46" s="105" t="n"/>
      <c r="BU46" s="885">
        <f>Planning!U39</f>
        <v/>
      </c>
      <c r="BV46" s="885">
        <f>Planning!V39</f>
        <v/>
      </c>
      <c r="BW46" s="886" t="n"/>
      <c r="BX46" s="105" t="n"/>
      <c r="BY46" s="885">
        <f>Planning!Y39</f>
        <v/>
      </c>
      <c r="BZ46" s="885">
        <f>Planning!Z39</f>
        <v/>
      </c>
      <c r="CA46" s="886" t="n"/>
      <c r="CB46" s="105" t="n"/>
      <c r="CC46" s="885">
        <f>Planning!AC39</f>
        <v/>
      </c>
      <c r="CD46" s="885">
        <f>Planning!AD39</f>
        <v/>
      </c>
      <c r="CE46" s="886" t="n"/>
      <c r="CF46" s="105" t="n"/>
      <c r="CG46" s="887">
        <f>Planning!AG39</f>
        <v/>
      </c>
      <c r="CH46" s="105" t="n"/>
      <c r="CI46" s="252">
        <f>IF(BC46="","",Planning!AI39)</f>
        <v/>
      </c>
      <c r="CJ46" s="252">
        <f>IF(BC46="","",Planning!AJ39)</f>
        <v/>
      </c>
      <c r="CK46" s="252">
        <f>IF(BC46="","",Planning!AK39)</f>
        <v/>
      </c>
      <c r="CL46" s="252">
        <f>IF(BC46="","",Planning!AH39)</f>
        <v/>
      </c>
      <c r="CM46" s="21" t="n"/>
    </row>
    <row r="47" ht="12.75" customHeight="1">
      <c r="A47" s="161">
        <f>IFERROR(IF(VLOOKUP($B47,$BC$13:$CL$86,36,FALSE)&gt;5,0,IF(COUNTIF($B$13:$B$63,$B47)&gt;1,0,35)),35)+IF(B47&lt;&gt;0,0,IF(AV47&gt;0,0.000001,0))</f>
        <v/>
      </c>
      <c r="B47" s="129" t="n"/>
      <c r="C47" s="48">
        <f>IFERROR(IF($B47="","",VLOOKUP($B47,Medewerker!$C$8:$AI$107,33,FALSE)),"?")</f>
        <v/>
      </c>
      <c r="D47" s="879">
        <f t="array" ref="D47">IFERROR(IF(LEFT(INDEX($F47:$AQ47,1,SUM(SMALL(IF($F47:$AQ47&lt;&gt;"",COLUMN($F47:$AQ47)),1)-5)),1)="x",SUM(SMALL(IF($F47:$AQ47&lt;&gt;"",$F$11:$AQ$11),1)+"0:15"),SMALL(IF($F47:$AQ47&lt;&gt;"",$F$11:$AQ$11),1)),"")</f>
        <v/>
      </c>
      <c r="E47" s="879">
        <f t="array" ref="E47">IFERROR(IF(LEFT(INDEX($F47:$AQ47,1,SUM(LARGE(IF($F47:$AQ47&lt;&gt;"",COLUMN($F47:$AQ47)),1)-5)),1)="x",SUM(LARGE(IF($F47:$AQ47&lt;&gt;"",$F$11:$AQ$11+"0:30:00"),1)-"0:15"),LARGE(IF($F47:$AQ47&lt;&gt;"",$F$11:$AQ$11+"0:30:00"),1)),"")</f>
        <v/>
      </c>
      <c r="F47" s="43" t="n"/>
      <c r="G47" s="42" t="n"/>
      <c r="H47" s="43" t="n"/>
      <c r="I47" s="42" t="n"/>
      <c r="J47" s="43" t="n"/>
      <c r="K47" s="41" t="n"/>
      <c r="L47" s="40" t="n"/>
      <c r="M47" s="42" t="n"/>
      <c r="N47" s="43" t="n"/>
      <c r="O47" s="41" t="n"/>
      <c r="P47" s="40" t="n"/>
      <c r="Q47" s="42" t="n"/>
      <c r="R47" s="43" t="n"/>
      <c r="S47" s="41" t="n"/>
      <c r="T47" s="40" t="n"/>
      <c r="U47" s="42" t="n"/>
      <c r="V47" s="43" t="n"/>
      <c r="W47" s="41" t="n"/>
      <c r="X47" s="40" t="n"/>
      <c r="Y47" s="42" t="n"/>
      <c r="Z47" s="43" t="n"/>
      <c r="AA47" s="41" t="n"/>
      <c r="AB47" s="40" t="n"/>
      <c r="AC47" s="42" t="n"/>
      <c r="AD47" s="43" t="n"/>
      <c r="AE47" s="41" t="n"/>
      <c r="AF47" s="40" t="n"/>
      <c r="AG47" s="42" t="n"/>
      <c r="AH47" s="43" t="n"/>
      <c r="AI47" s="41" t="n"/>
      <c r="AJ47" s="40" t="n"/>
      <c r="AK47" s="42" t="n"/>
      <c r="AL47" s="43" t="n"/>
      <c r="AM47" s="41" t="n"/>
      <c r="AN47" s="645" t="n"/>
      <c r="AO47" s="42" t="n"/>
      <c r="AP47" s="43" t="n"/>
      <c r="AQ47" s="42" t="n"/>
      <c r="AR47" s="888">
        <f>IFERROR(IF(VLOOKUP($B47,Medewerker!$C$8:$AC$107,27,FALSE)="",VLOOKUP($B47,Medewerker!$C$8:$AC$107,25,FALSE),0),0)</f>
        <v/>
      </c>
      <c r="AS47" s="888">
        <f>IFERROR(IF(B47="",1,IF(VLOOKUP($B47,Medewerker!$C$8:$AY$107,27,FALSE)="",VLOOKUP($B47,Medewerker!$C$8:$AY$107,26,FALSE),0)),0)</f>
        <v/>
      </c>
      <c r="AT47" s="45" t="n"/>
      <c r="AU47" s="46">
        <f>(COUNTIF(F47:AQ47,"afw"))/2</f>
        <v/>
      </c>
      <c r="AV47" s="111">
        <f>((38-(COUNTIF(F47:AQ47,"")))/2)-(COUNTIF(F47:AQ47,"p")/2)-(COUNTIF(F47:AQ47,CONCATENATE("x","*"))/4)</f>
        <v/>
      </c>
      <c r="AW47" s="73">
        <f>IF($B47="","",VLOOKUP($B47,Medewerker!$C$8:$E$107,3,FALSE))</f>
        <v/>
      </c>
      <c r="AX47" s="403">
        <f>IFERROR(VLOOKUP($B47,Planning!$B$6:$AG$105,32,FALSE)*24,"")</f>
        <v/>
      </c>
      <c r="AY47" s="891" t="inlineStr">
        <is>
          <t>Overig</t>
        </is>
      </c>
      <c r="AZ47" s="883" t="n"/>
      <c r="BA47" s="884" t="n"/>
      <c r="BB47" s="838" t="n"/>
      <c r="BC47" s="31">
        <f>IF(Planning!B40="","",Planning!B40)</f>
        <v/>
      </c>
      <c r="BD47" s="105" t="n"/>
      <c r="BE47" s="885">
        <f>Planning!E40</f>
        <v/>
      </c>
      <c r="BF47" s="885">
        <f>Planning!F40</f>
        <v/>
      </c>
      <c r="BG47" s="886" t="n"/>
      <c r="BH47" s="105" t="n"/>
      <c r="BI47" s="885">
        <f>Planning!I40</f>
        <v/>
      </c>
      <c r="BJ47" s="885">
        <f>Planning!J40</f>
        <v/>
      </c>
      <c r="BK47" s="886" t="n"/>
      <c r="BL47" s="105" t="n"/>
      <c r="BM47" s="885">
        <f>Planning!M40</f>
        <v/>
      </c>
      <c r="BN47" s="885">
        <f>Planning!N40</f>
        <v/>
      </c>
      <c r="BO47" s="886" t="n"/>
      <c r="BP47" s="105" t="n"/>
      <c r="BQ47" s="885">
        <f>Planning!Q40</f>
        <v/>
      </c>
      <c r="BR47" s="885">
        <f>Planning!R40</f>
        <v/>
      </c>
      <c r="BS47" s="886" t="n"/>
      <c r="BT47" s="105" t="n"/>
      <c r="BU47" s="885">
        <f>Planning!U40</f>
        <v/>
      </c>
      <c r="BV47" s="885">
        <f>Planning!V40</f>
        <v/>
      </c>
      <c r="BW47" s="886" t="n"/>
      <c r="BX47" s="105" t="n"/>
      <c r="BY47" s="885">
        <f>Planning!Y40</f>
        <v/>
      </c>
      <c r="BZ47" s="885">
        <f>Planning!Z40</f>
        <v/>
      </c>
      <c r="CA47" s="886" t="n"/>
      <c r="CB47" s="105" t="n"/>
      <c r="CC47" s="885">
        <f>Planning!AC40</f>
        <v/>
      </c>
      <c r="CD47" s="885">
        <f>Planning!AD40</f>
        <v/>
      </c>
      <c r="CE47" s="886" t="n"/>
      <c r="CF47" s="105" t="n"/>
      <c r="CG47" s="887">
        <f>Planning!AG40</f>
        <v/>
      </c>
      <c r="CH47" s="105" t="n"/>
      <c r="CI47" s="252">
        <f>IF(BC47="","",Planning!AI40)</f>
        <v/>
      </c>
      <c r="CJ47" s="252">
        <f>IF(BC47="","",Planning!AJ40)</f>
        <v/>
      </c>
      <c r="CK47" s="252">
        <f>IF(BC47="","",Planning!AK40)</f>
        <v/>
      </c>
      <c r="CL47" s="252">
        <f>IF(BC47="","",Planning!AH40)</f>
        <v/>
      </c>
      <c r="CM47" s="21" t="n"/>
    </row>
    <row r="48" ht="12.75" customHeight="1">
      <c r="A48" s="161">
        <f>IFERROR(IF(VLOOKUP($B48,$BC$13:$CL$86,36,FALSE)&gt;5,0,IF(COUNTIF($B$13:$B$63,$B48)&gt;1,0,36)),36)+IF(B48&lt;&gt;0,0,IF(AV48&gt;0,0.000001,0))</f>
        <v/>
      </c>
      <c r="B48" s="129" t="n"/>
      <c r="C48" s="48">
        <f>IFERROR(IF($B48="","",VLOOKUP($B48,Medewerker!$C$8:$AI$107,33,FALSE)),"?")</f>
        <v/>
      </c>
      <c r="D48" s="879">
        <f t="array" ref="D48">IFERROR(IF(LEFT(INDEX($F48:$AQ48,1,SUM(SMALL(IF($F48:$AQ48&lt;&gt;"",COLUMN($F48:$AQ48)),1)-5)),1)="x",SUM(SMALL(IF($F48:$AQ48&lt;&gt;"",$F$11:$AQ$11),1)+"0:15"),SMALL(IF($F48:$AQ48&lt;&gt;"",$F$11:$AQ$11),1)),"")</f>
        <v/>
      </c>
      <c r="E48" s="879">
        <f t="array" ref="E48">IFERROR(IF(LEFT(INDEX($F48:$AQ48,1,SUM(LARGE(IF($F48:$AQ48&lt;&gt;"",COLUMN($F48:$AQ48)),1)-5)),1)="x",SUM(LARGE(IF($F48:$AQ48&lt;&gt;"",$F$11:$AQ$11+"0:30:00"),1)-"0:15"),LARGE(IF($F48:$AQ48&lt;&gt;"",$F$11:$AQ$11+"0:30:00"),1)),"")</f>
        <v/>
      </c>
      <c r="F48" s="43" t="n"/>
      <c r="G48" s="42" t="n"/>
      <c r="H48" s="43" t="n"/>
      <c r="I48" s="42" t="n"/>
      <c r="J48" s="43" t="n"/>
      <c r="K48" s="42" t="n"/>
      <c r="L48" s="43" t="n"/>
      <c r="M48" s="42" t="n"/>
      <c r="N48" s="43" t="n"/>
      <c r="O48" s="42" t="n"/>
      <c r="P48" s="43" t="n"/>
      <c r="Q48" s="42" t="n"/>
      <c r="R48" s="43" t="n"/>
      <c r="S48" s="42" t="n"/>
      <c r="T48" s="43" t="n"/>
      <c r="U48" s="42" t="n"/>
      <c r="V48" s="43" t="n"/>
      <c r="W48" s="42" t="n"/>
      <c r="X48" s="43" t="n"/>
      <c r="Y48" s="42" t="n"/>
      <c r="Z48" s="43" t="n"/>
      <c r="AA48" s="42" t="n"/>
      <c r="AB48" s="43" t="n"/>
      <c r="AC48" s="42" t="n"/>
      <c r="AD48" s="43" t="n"/>
      <c r="AE48" s="42" t="n"/>
      <c r="AF48" s="43" t="n"/>
      <c r="AG48" s="42" t="n"/>
      <c r="AH48" s="43" t="n"/>
      <c r="AI48" s="42" t="n"/>
      <c r="AJ48" s="43" t="n"/>
      <c r="AK48" s="42" t="n"/>
      <c r="AL48" s="43" t="n"/>
      <c r="AM48" s="42" t="n"/>
      <c r="AN48" s="43" t="n"/>
      <c r="AO48" s="42" t="n"/>
      <c r="AP48" s="43" t="n"/>
      <c r="AQ48" s="42" t="n"/>
      <c r="AR48" s="888">
        <f>IFERROR(IF(VLOOKUP($B48,Medewerker!$C$8:$AC$107,27,FALSE)="",VLOOKUP($B48,Medewerker!$C$8:$AC$107,25,FALSE),0),0)</f>
        <v/>
      </c>
      <c r="AS48" s="888">
        <f>IFERROR(IF(B48="",1,IF(VLOOKUP($B48,Medewerker!$C$8:$AY$107,27,FALSE)="",VLOOKUP($B48,Medewerker!$C$8:$AY$107,26,FALSE),0)),0)</f>
        <v/>
      </c>
      <c r="AT48" s="45" t="n"/>
      <c r="AU48" s="46">
        <f>(COUNTIF(F48:AQ48,"afw"))/2</f>
        <v/>
      </c>
      <c r="AV48" s="111">
        <f>((38-(COUNTIF(F48:AQ48,"")))/2)-(COUNTIF(F48:AQ48,"p")/2)-(COUNTIF(F48:AQ48,CONCATENATE("x","*"))/4)</f>
        <v/>
      </c>
      <c r="AW48" s="73">
        <f>IF($B48="","",VLOOKUP($B48,Medewerker!$C$8:$E$107,3,FALSE))</f>
        <v/>
      </c>
      <c r="AX48" s="403">
        <f>IFERROR(VLOOKUP($B48,Planning!$B$6:$AG$105,32,FALSE)*24,"")</f>
        <v/>
      </c>
      <c r="AY48" s="837" t="inlineStr">
        <is>
          <t>km</t>
        </is>
      </c>
      <c r="AZ48" s="414" t="inlineStr">
        <is>
          <t>Kwaliteitsmedewerker</t>
        </is>
      </c>
      <c r="BA48" s="111">
        <f>COUNTIF($F$13:$AQ$63,CONCATENATE(AY48,"*"))/2+COUNTIF($F$13:$AQ$63,CONCATENATE("x",AY48,"*"))/4</f>
        <v/>
      </c>
      <c r="BB48" s="838" t="n"/>
      <c r="BC48" s="31">
        <f>IF(Planning!B41="","",Planning!B41)</f>
        <v/>
      </c>
      <c r="BD48" s="105" t="n"/>
      <c r="BE48" s="885">
        <f>Planning!E41</f>
        <v/>
      </c>
      <c r="BF48" s="885">
        <f>Planning!F41</f>
        <v/>
      </c>
      <c r="BG48" s="886" t="n"/>
      <c r="BH48" s="105" t="n"/>
      <c r="BI48" s="885">
        <f>Planning!I41</f>
        <v/>
      </c>
      <c r="BJ48" s="885">
        <f>Planning!J41</f>
        <v/>
      </c>
      <c r="BK48" s="886" t="n"/>
      <c r="BL48" s="105" t="n"/>
      <c r="BM48" s="885">
        <f>Planning!M41</f>
        <v/>
      </c>
      <c r="BN48" s="885">
        <f>Planning!N41</f>
        <v/>
      </c>
      <c r="BO48" s="886" t="n"/>
      <c r="BP48" s="105" t="n"/>
      <c r="BQ48" s="885">
        <f>Planning!Q41</f>
        <v/>
      </c>
      <c r="BR48" s="885">
        <f>Planning!R41</f>
        <v/>
      </c>
      <c r="BS48" s="886" t="n"/>
      <c r="BT48" s="105" t="n"/>
      <c r="BU48" s="885">
        <f>Planning!U41</f>
        <v/>
      </c>
      <c r="BV48" s="885">
        <f>Planning!V41</f>
        <v/>
      </c>
      <c r="BW48" s="886" t="n"/>
      <c r="BX48" s="105" t="n"/>
      <c r="BY48" s="885">
        <f>Planning!Y41</f>
        <v/>
      </c>
      <c r="BZ48" s="885">
        <f>Planning!Z41</f>
        <v/>
      </c>
      <c r="CA48" s="886" t="n"/>
      <c r="CB48" s="105" t="n"/>
      <c r="CC48" s="885">
        <f>Planning!AC41</f>
        <v/>
      </c>
      <c r="CD48" s="885">
        <f>Planning!AD41</f>
        <v/>
      </c>
      <c r="CE48" s="886" t="n"/>
      <c r="CF48" s="105" t="n"/>
      <c r="CG48" s="887">
        <f>Planning!AG41</f>
        <v/>
      </c>
      <c r="CH48" s="105" t="n"/>
      <c r="CI48" s="252">
        <f>IF(BC48="","",Planning!AI41)</f>
        <v/>
      </c>
      <c r="CJ48" s="252">
        <f>IF(BC48="","",Planning!AJ41)</f>
        <v/>
      </c>
      <c r="CK48" s="252">
        <f>IF(BC48="","",Planning!AK41)</f>
        <v/>
      </c>
      <c r="CL48" s="252">
        <f>IF(BC48="","",Planning!AH41)</f>
        <v/>
      </c>
      <c r="CM48" s="21" t="n"/>
    </row>
    <row r="49" ht="12.75" customHeight="1">
      <c r="A49" s="161">
        <f>IFERROR(IF(VLOOKUP($B49,$BC$13:$CL$86,36,FALSE)&gt;5,0,IF(COUNTIF($B$13:$B$63,$B49)&gt;1,0,37)),37)+IF(B49&lt;&gt;0,0,IF(AV49&gt;0,0.000001,0))</f>
        <v/>
      </c>
      <c r="B49" s="129" t="n"/>
      <c r="C49" s="48">
        <f>IFERROR(IF($B49="","",VLOOKUP($B49,Medewerker!$C$8:$AI$107,33,FALSE)),"?")</f>
        <v/>
      </c>
      <c r="D49" s="879">
        <f t="array" ref="D49">IFERROR(IF(LEFT(INDEX($F49:$AQ49,1,SUM(SMALL(IF($F49:$AQ49&lt;&gt;"",COLUMN($F49:$AQ49)),1)-5)),1)="x",SUM(SMALL(IF($F49:$AQ49&lt;&gt;"",$F$11:$AQ$11),1)+"0:15"),SMALL(IF($F49:$AQ49&lt;&gt;"",$F$11:$AQ$11),1)),"")</f>
        <v/>
      </c>
      <c r="E49" s="879">
        <f t="array" ref="E49">IFERROR(IF(LEFT(INDEX($F49:$AQ49,1,SUM(LARGE(IF($F49:$AQ49&lt;&gt;"",COLUMN($F49:$AQ49)),1)-5)),1)="x",SUM(LARGE(IF($F49:$AQ49&lt;&gt;"",$F$11:$AQ$11+"0:30:00"),1)-"0:15"),LARGE(IF($F49:$AQ49&lt;&gt;"",$F$11:$AQ$11+"0:30:00"),1)),"")</f>
        <v/>
      </c>
      <c r="F49" s="43" t="n"/>
      <c r="G49" s="42" t="n"/>
      <c r="H49" s="43" t="n"/>
      <c r="I49" s="42" t="n"/>
      <c r="J49" s="43" t="n"/>
      <c r="K49" s="42" t="n"/>
      <c r="L49" s="43" t="n"/>
      <c r="M49" s="42" t="n"/>
      <c r="N49" s="43" t="n"/>
      <c r="O49" s="42" t="n"/>
      <c r="P49" s="43" t="n"/>
      <c r="Q49" s="42" t="n"/>
      <c r="R49" s="43" t="n"/>
      <c r="S49" s="42" t="n"/>
      <c r="T49" s="43" t="n"/>
      <c r="U49" s="42" t="n"/>
      <c r="V49" s="43" t="n"/>
      <c r="W49" s="42" t="n"/>
      <c r="X49" s="43" t="n"/>
      <c r="Y49" s="42" t="n"/>
      <c r="Z49" s="43" t="n"/>
      <c r="AA49" s="42" t="n"/>
      <c r="AB49" s="43" t="n"/>
      <c r="AC49" s="42" t="n"/>
      <c r="AD49" s="43" t="n"/>
      <c r="AE49" s="42" t="n"/>
      <c r="AF49" s="43" t="n"/>
      <c r="AG49" s="42" t="n"/>
      <c r="AH49" s="43" t="n"/>
      <c r="AI49" s="42" t="n"/>
      <c r="AJ49" s="43" t="n"/>
      <c r="AK49" s="42" t="n"/>
      <c r="AL49" s="43" t="n"/>
      <c r="AM49" s="42" t="n"/>
      <c r="AN49" s="43" t="n"/>
      <c r="AO49" s="42" t="n"/>
      <c r="AP49" s="43" t="n"/>
      <c r="AQ49" s="42" t="n"/>
      <c r="AR49" s="888">
        <f>IFERROR(IF(VLOOKUP($B49,Medewerker!$C$8:$AC$107,27,FALSE)="",VLOOKUP($B49,Medewerker!$C$8:$AC$107,25,FALSE),0),0)</f>
        <v/>
      </c>
      <c r="AS49" s="888">
        <f>IFERROR(IF(B49="",1,IF(VLOOKUP($B49,Medewerker!$C$8:$AY$107,27,FALSE)="",VLOOKUP($B49,Medewerker!$C$8:$AY$107,26,FALSE),0)),0)</f>
        <v/>
      </c>
      <c r="AT49" s="45" t="n"/>
      <c r="AU49" s="46">
        <f>(COUNTIF(F49:AQ49,"afw"))/2</f>
        <v/>
      </c>
      <c r="AV49" s="111">
        <f>((38-(COUNTIF(F49:AQ49,"")))/2)-(COUNTIF(F49:AQ49,"p")/2)-(COUNTIF(F49:AQ49,CONCATENATE("x","*"))/4)</f>
        <v/>
      </c>
      <c r="AW49" s="73">
        <f>IF($B49="","",VLOOKUP($B49,Medewerker!$C$8:$E$107,3,FALSE))</f>
        <v/>
      </c>
      <c r="AX49" s="403">
        <f>IFERROR(VLOOKUP($B49,Planning!$B$6:$AG$105,32,FALSE)*24,"")</f>
        <v/>
      </c>
      <c r="AY49" s="837" t="inlineStr">
        <is>
          <t>mt</t>
        </is>
      </c>
      <c r="AZ49" s="413" t="inlineStr">
        <is>
          <t>MT of CKW-overleg</t>
        </is>
      </c>
      <c r="BA49" s="111">
        <f>COUNTIF($F$13:$AQ$63,CONCATENATE(AY49,"*"))/2+COUNTIF($F$13:$AQ$63,CONCATENATE("x",AY49,"*"))/4</f>
        <v/>
      </c>
      <c r="BB49" s="838" t="n"/>
      <c r="BC49" s="31">
        <f>IF(Planning!B42="","",Planning!B42)</f>
        <v/>
      </c>
      <c r="BD49" s="105" t="n"/>
      <c r="BE49" s="885">
        <f>Planning!E42</f>
        <v/>
      </c>
      <c r="BF49" s="885">
        <f>Planning!F42</f>
        <v/>
      </c>
      <c r="BG49" s="886" t="n"/>
      <c r="BH49" s="105" t="n"/>
      <c r="BI49" s="885">
        <f>Planning!I42</f>
        <v/>
      </c>
      <c r="BJ49" s="885">
        <f>Planning!J42</f>
        <v/>
      </c>
      <c r="BK49" s="886" t="n"/>
      <c r="BL49" s="105" t="n"/>
      <c r="BM49" s="885">
        <f>Planning!M42</f>
        <v/>
      </c>
      <c r="BN49" s="885">
        <f>Planning!N42</f>
        <v/>
      </c>
      <c r="BO49" s="886" t="n"/>
      <c r="BP49" s="105" t="n"/>
      <c r="BQ49" s="885">
        <f>Planning!Q42</f>
        <v/>
      </c>
      <c r="BR49" s="885">
        <f>Planning!R42</f>
        <v/>
      </c>
      <c r="BS49" s="886" t="n"/>
      <c r="BT49" s="105" t="n"/>
      <c r="BU49" s="885">
        <f>Planning!U42</f>
        <v/>
      </c>
      <c r="BV49" s="885">
        <f>Planning!V42</f>
        <v/>
      </c>
      <c r="BW49" s="886" t="n"/>
      <c r="BX49" s="105" t="n"/>
      <c r="BY49" s="885">
        <f>Planning!Y42</f>
        <v/>
      </c>
      <c r="BZ49" s="885">
        <f>Planning!Z42</f>
        <v/>
      </c>
      <c r="CA49" s="886" t="n"/>
      <c r="CB49" s="105" t="n"/>
      <c r="CC49" s="885">
        <f>Planning!AC42</f>
        <v/>
      </c>
      <c r="CD49" s="885">
        <f>Planning!AD42</f>
        <v/>
      </c>
      <c r="CE49" s="886" t="n"/>
      <c r="CF49" s="105" t="n"/>
      <c r="CG49" s="887">
        <f>Planning!AG42</f>
        <v/>
      </c>
      <c r="CH49" s="105" t="n"/>
      <c r="CI49" s="252">
        <f>IF(BC49="","",Planning!AI42)</f>
        <v/>
      </c>
      <c r="CJ49" s="252">
        <f>IF(BC49="","",Planning!AJ42)</f>
        <v/>
      </c>
      <c r="CK49" s="252">
        <f>IF(BC49="","",Planning!AK42)</f>
        <v/>
      </c>
      <c r="CL49" s="252">
        <f>IF(BC49="","",Planning!AH42)</f>
        <v/>
      </c>
      <c r="CM49" s="21" t="n"/>
    </row>
    <row r="50" ht="12.75" customHeight="1">
      <c r="A50" s="161">
        <f>IFERROR(IF(VLOOKUP($B50,$BC$13:$CL$86,36,FALSE)&gt;5,0,IF(COUNTIF($B$13:$B$63,$B50)&gt;1,0,38)),38)+IF(B50&lt;&gt;0,0,IF(AV50&gt;0,0.000001,0))</f>
        <v/>
      </c>
      <c r="B50" s="129" t="n"/>
      <c r="C50" s="48">
        <f>IFERROR(IF($B50="","",VLOOKUP($B50,Medewerker!$C$8:$AI$107,33,FALSE)),"?")</f>
        <v/>
      </c>
      <c r="D50" s="879">
        <f t="array" ref="D50">IFERROR(IF(LEFT(INDEX($F50:$AQ50,1,SUM(SMALL(IF($F50:$AQ50&lt;&gt;"",COLUMN($F50:$AQ50)),1)-5)),1)="x",SUM(SMALL(IF($F50:$AQ50&lt;&gt;"",$F$11:$AQ$11),1)+"0:15"),SMALL(IF($F50:$AQ50&lt;&gt;"",$F$11:$AQ$11),1)),"")</f>
        <v/>
      </c>
      <c r="E50" s="879">
        <f t="array" ref="E50">IFERROR(IF(LEFT(INDEX($F50:$AQ50,1,SUM(LARGE(IF($F50:$AQ50&lt;&gt;"",COLUMN($F50:$AQ50)),1)-5)),1)="x",SUM(LARGE(IF($F50:$AQ50&lt;&gt;"",$F$11:$AQ$11+"0:30:00"),1)-"0:15"),LARGE(IF($F50:$AQ50&lt;&gt;"",$F$11:$AQ$11+"0:30:00"),1)),"")</f>
        <v/>
      </c>
      <c r="F50" s="43" t="n"/>
      <c r="G50" s="42" t="n"/>
      <c r="H50" s="43" t="n"/>
      <c r="I50" s="42" t="n"/>
      <c r="J50" s="43" t="n"/>
      <c r="K50" s="42" t="n"/>
      <c r="L50" s="43" t="n"/>
      <c r="M50" s="42" t="n"/>
      <c r="N50" s="43" t="n"/>
      <c r="O50" s="42" t="n"/>
      <c r="P50" s="43" t="n"/>
      <c r="Q50" s="42" t="n"/>
      <c r="R50" s="43" t="n"/>
      <c r="S50" s="42" t="n"/>
      <c r="T50" s="43" t="n"/>
      <c r="U50" s="42" t="n"/>
      <c r="V50" s="43" t="n"/>
      <c r="W50" s="42" t="n"/>
      <c r="X50" s="43" t="n"/>
      <c r="Y50" s="42" t="n"/>
      <c r="Z50" s="43" t="n"/>
      <c r="AA50" s="42" t="n"/>
      <c r="AB50" s="43" t="n"/>
      <c r="AC50" s="42" t="n"/>
      <c r="AD50" s="43" t="n"/>
      <c r="AE50" s="42" t="n"/>
      <c r="AF50" s="43" t="n"/>
      <c r="AG50" s="42" t="n"/>
      <c r="AH50" s="43" t="n"/>
      <c r="AI50" s="42" t="n"/>
      <c r="AJ50" s="43" t="n"/>
      <c r="AK50" s="42" t="n"/>
      <c r="AL50" s="43" t="n"/>
      <c r="AM50" s="42" t="n"/>
      <c r="AN50" s="43" t="n"/>
      <c r="AO50" s="42" t="n"/>
      <c r="AP50" s="43" t="n"/>
      <c r="AQ50" s="42" t="n"/>
      <c r="AR50" s="888">
        <f>IFERROR(IF(VLOOKUP($B50,Medewerker!$C$8:$AC$107,27,FALSE)="",VLOOKUP($B50,Medewerker!$C$8:$AC$107,25,FALSE),0),0)</f>
        <v/>
      </c>
      <c r="AS50" s="888">
        <f>IFERROR(IF(B50="",1,IF(VLOOKUP($B50,Medewerker!$C$8:$AY$107,27,FALSE)="",VLOOKUP($B50,Medewerker!$C$8:$AY$107,26,FALSE),0)),0)</f>
        <v/>
      </c>
      <c r="AT50" s="45" t="n"/>
      <c r="AU50" s="46">
        <f>(COUNTIF(F50:AQ50,"afw"))/2</f>
        <v/>
      </c>
      <c r="AV50" s="111">
        <f>((38-(COUNTIF(F50:AQ50,"")))/2)-(COUNTIF(F50:AQ50,"p")/2)-(COUNTIF(F50:AQ50,CONCATENATE("x","*"))/4)</f>
        <v/>
      </c>
      <c r="AW50" s="73">
        <f>IF($B50="","",VLOOKUP($B50,Medewerker!$C$8:$E$107,3,FALSE))</f>
        <v/>
      </c>
      <c r="AX50" s="403">
        <f>IFERROR(VLOOKUP($B50,Planning!$B$6:$AG$105,32,FALSE)*24,"")</f>
        <v/>
      </c>
      <c r="AY50" s="837" t="inlineStr">
        <is>
          <t>ov</t>
        </is>
      </c>
      <c r="AZ50" s="71" t="inlineStr">
        <is>
          <t>Overig</t>
        </is>
      </c>
      <c r="BA50" s="111">
        <f>COUNTIF($F$13:$AQ$63,CONCATENATE(AY50,"*"))/2+COUNTIF($F$13:$AQ$63,CONCATENATE("x",AY50,"*"))/4</f>
        <v/>
      </c>
      <c r="BB50" s="838" t="n"/>
      <c r="BC50" s="31">
        <f>IF(Planning!B43="","",Planning!B43)</f>
        <v/>
      </c>
      <c r="BD50" s="105" t="n"/>
      <c r="BE50" s="885">
        <f>Planning!E43</f>
        <v/>
      </c>
      <c r="BF50" s="885">
        <f>Planning!F43</f>
        <v/>
      </c>
      <c r="BG50" s="886" t="n"/>
      <c r="BH50" s="105" t="n"/>
      <c r="BI50" s="885">
        <f>Planning!I43</f>
        <v/>
      </c>
      <c r="BJ50" s="885">
        <f>Planning!J43</f>
        <v/>
      </c>
      <c r="BK50" s="886" t="n"/>
      <c r="BL50" s="105" t="n"/>
      <c r="BM50" s="885">
        <f>Planning!M43</f>
        <v/>
      </c>
      <c r="BN50" s="885">
        <f>Planning!N43</f>
        <v/>
      </c>
      <c r="BO50" s="886" t="n"/>
      <c r="BP50" s="105" t="n"/>
      <c r="BQ50" s="885">
        <f>Planning!Q43</f>
        <v/>
      </c>
      <c r="BR50" s="885">
        <f>Planning!R43</f>
        <v/>
      </c>
      <c r="BS50" s="886" t="n"/>
      <c r="BT50" s="105" t="n"/>
      <c r="BU50" s="885">
        <f>Planning!U43</f>
        <v/>
      </c>
      <c r="BV50" s="885">
        <f>Planning!V43</f>
        <v/>
      </c>
      <c r="BW50" s="886" t="n"/>
      <c r="BX50" s="105" t="n"/>
      <c r="BY50" s="885">
        <f>Planning!Y43</f>
        <v/>
      </c>
      <c r="BZ50" s="885">
        <f>Planning!Z43</f>
        <v/>
      </c>
      <c r="CA50" s="886" t="n"/>
      <c r="CB50" s="105" t="n"/>
      <c r="CC50" s="885">
        <f>Planning!AC43</f>
        <v/>
      </c>
      <c r="CD50" s="885">
        <f>Planning!AD43</f>
        <v/>
      </c>
      <c r="CE50" s="886" t="n"/>
      <c r="CF50" s="105" t="n"/>
      <c r="CG50" s="887">
        <f>Planning!AG43</f>
        <v/>
      </c>
      <c r="CH50" s="105" t="n"/>
      <c r="CI50" s="252">
        <f>IF(BC50="","",Planning!AI43)</f>
        <v/>
      </c>
      <c r="CJ50" s="252">
        <f>IF(BC50="","",Planning!AJ43)</f>
        <v/>
      </c>
      <c r="CK50" s="252">
        <f>IF(BC50="","",Planning!AK43)</f>
        <v/>
      </c>
      <c r="CL50" s="252">
        <f>IF(BC50="","",Planning!AH43)</f>
        <v/>
      </c>
      <c r="CM50" s="21" t="n"/>
    </row>
    <row r="51" ht="12.75" customHeight="1">
      <c r="A51" s="161">
        <f>IFERROR(IF(VLOOKUP($B51,$BC$13:$CL$86,36,FALSE)&gt;5,0,IF(COUNTIF($B$13:$B$63,$B51)&gt;1,0,39)),39)+IF(B51&lt;&gt;0,0,IF(AV51&gt;0,0.000001,0))</f>
        <v/>
      </c>
      <c r="B51" s="129" t="n"/>
      <c r="C51" s="48">
        <f>IFERROR(IF($B51="","",VLOOKUP($B51,Medewerker!$C$8:$AI$107,33,FALSE)),"?")</f>
        <v/>
      </c>
      <c r="D51" s="879">
        <f t="array" ref="D51">IFERROR(IF(LEFT(INDEX($F51:$AQ51,1,SUM(SMALL(IF($F51:$AQ51&lt;&gt;"",COLUMN($F51:$AQ51)),1)-5)),1)="x",SUM(SMALL(IF($F51:$AQ51&lt;&gt;"",$F$11:$AQ$11),1)+"0:15"),SMALL(IF($F51:$AQ51&lt;&gt;"",$F$11:$AQ$11),1)),"")</f>
        <v/>
      </c>
      <c r="E51" s="879">
        <f t="array" ref="E51">IFERROR(IF(LEFT(INDEX($F51:$AQ51,1,SUM(LARGE(IF($F51:$AQ51&lt;&gt;"",COLUMN($F51:$AQ51)),1)-5)),1)="x",SUM(LARGE(IF($F51:$AQ51&lt;&gt;"",$F$11:$AQ$11+"0:30:00"),1)-"0:15"),LARGE(IF($F51:$AQ51&lt;&gt;"",$F$11:$AQ$11+"0:30:00"),1)),"")</f>
        <v/>
      </c>
      <c r="F51" s="43" t="n"/>
      <c r="G51" s="42" t="n"/>
      <c r="H51" s="43" t="n"/>
      <c r="I51" s="42" t="n"/>
      <c r="J51" s="43" t="n"/>
      <c r="K51" s="42" t="n"/>
      <c r="L51" s="43" t="n"/>
      <c r="M51" s="42" t="n"/>
      <c r="N51" s="43" t="n"/>
      <c r="O51" s="42" t="n"/>
      <c r="P51" s="43" t="n"/>
      <c r="Q51" s="42" t="n"/>
      <c r="R51" s="43" t="n"/>
      <c r="S51" s="42" t="n"/>
      <c r="T51" s="43" t="n"/>
      <c r="U51" s="42" t="n"/>
      <c r="V51" s="43" t="n"/>
      <c r="W51" s="42" t="n"/>
      <c r="X51" s="43" t="n"/>
      <c r="Y51" s="42" t="n"/>
      <c r="Z51" s="43" t="n"/>
      <c r="AA51" s="42" t="n"/>
      <c r="AB51" s="43" t="n"/>
      <c r="AC51" s="42" t="n"/>
      <c r="AD51" s="43" t="n"/>
      <c r="AE51" s="42" t="n"/>
      <c r="AF51" s="43" t="n"/>
      <c r="AG51" s="42" t="n"/>
      <c r="AH51" s="43" t="n"/>
      <c r="AI51" s="42" t="n"/>
      <c r="AJ51" s="43" t="n"/>
      <c r="AK51" s="42" t="n"/>
      <c r="AL51" s="43" t="n"/>
      <c r="AM51" s="42" t="n"/>
      <c r="AN51" s="43" t="n"/>
      <c r="AO51" s="42" t="n"/>
      <c r="AP51" s="43" t="n"/>
      <c r="AQ51" s="42" t="n"/>
      <c r="AR51" s="888">
        <f>IFERROR(IF(VLOOKUP($B51,Medewerker!$C$8:$AC$107,27,FALSE)="",VLOOKUP($B51,Medewerker!$C$8:$AC$107,25,FALSE),0),0)</f>
        <v/>
      </c>
      <c r="AS51" s="888">
        <f>IFERROR(IF(B51="",1,IF(VLOOKUP($B51,Medewerker!$C$8:$AY$107,27,FALSE)="",VLOOKUP($B51,Medewerker!$C$8:$AY$107,26,FALSE),0)),0)</f>
        <v/>
      </c>
      <c r="AT51" s="45" t="n"/>
      <c r="AU51" s="46">
        <f>(COUNTIF(F51:AQ51,"afw"))/2</f>
        <v/>
      </c>
      <c r="AV51" s="111">
        <f>((38-(COUNTIF(F51:AQ51,"")))/2)-(COUNTIF(F51:AQ51,"p")/2)-(COUNTIF(F51:AQ51,CONCATENATE("x","*"))/4)</f>
        <v/>
      </c>
      <c r="AW51" s="73">
        <f>IF($B51="","",VLOOKUP($B51,Medewerker!$C$8:$E$107,3,FALSE))</f>
        <v/>
      </c>
      <c r="AX51" s="403">
        <f>IFERROR(VLOOKUP($B51,Planning!$B$6:$AG$105,32,FALSE)*24,"")</f>
        <v/>
      </c>
      <c r="AY51" s="837" t="inlineStr">
        <is>
          <t>prt</t>
        </is>
      </c>
      <c r="AZ51" s="71" t="inlineStr">
        <is>
          <t>Protime</t>
        </is>
      </c>
      <c r="BA51" s="111">
        <f>COUNTIF($F$13:$AQ$63,CONCATENATE(AY51,"*"))/2+COUNTIF($F$13:$AQ$63,CONCATENATE("x",AY51,"*"))/4</f>
        <v/>
      </c>
      <c r="BB51" s="838" t="n"/>
      <c r="BC51" s="31">
        <f>IF(Planning!B44="","",Planning!B44)</f>
        <v/>
      </c>
      <c r="BD51" s="105" t="n"/>
      <c r="BE51" s="885">
        <f>Planning!E44</f>
        <v/>
      </c>
      <c r="BF51" s="885">
        <f>Planning!F44</f>
        <v/>
      </c>
      <c r="BG51" s="886" t="n"/>
      <c r="BH51" s="105" t="n"/>
      <c r="BI51" s="885">
        <f>Planning!I44</f>
        <v/>
      </c>
      <c r="BJ51" s="885">
        <f>Planning!J44</f>
        <v/>
      </c>
      <c r="BK51" s="886" t="n"/>
      <c r="BL51" s="105" t="n"/>
      <c r="BM51" s="885">
        <f>Planning!M44</f>
        <v/>
      </c>
      <c r="BN51" s="885">
        <f>Planning!N44</f>
        <v/>
      </c>
      <c r="BO51" s="886" t="n"/>
      <c r="BP51" s="105" t="n"/>
      <c r="BQ51" s="885">
        <f>Planning!Q44</f>
        <v/>
      </c>
      <c r="BR51" s="885">
        <f>Planning!R44</f>
        <v/>
      </c>
      <c r="BS51" s="886" t="n"/>
      <c r="BT51" s="105" t="n"/>
      <c r="BU51" s="885">
        <f>Planning!U44</f>
        <v/>
      </c>
      <c r="BV51" s="885">
        <f>Planning!V44</f>
        <v/>
      </c>
      <c r="BW51" s="886" t="n"/>
      <c r="BX51" s="105" t="n"/>
      <c r="BY51" s="885">
        <f>Planning!Y44</f>
        <v/>
      </c>
      <c r="BZ51" s="885">
        <f>Planning!Z44</f>
        <v/>
      </c>
      <c r="CA51" s="886" t="n"/>
      <c r="CB51" s="105" t="n"/>
      <c r="CC51" s="885">
        <f>Planning!AC44</f>
        <v/>
      </c>
      <c r="CD51" s="885">
        <f>Planning!AD44</f>
        <v/>
      </c>
      <c r="CE51" s="886" t="n"/>
      <c r="CF51" s="105" t="n"/>
      <c r="CG51" s="887">
        <f>Planning!AG44</f>
        <v/>
      </c>
      <c r="CH51" s="105" t="n"/>
      <c r="CI51" s="252">
        <f>IF(BC51="","",Planning!AI44)</f>
        <v/>
      </c>
      <c r="CJ51" s="252">
        <f>IF(BC51="","",Planning!AJ44)</f>
        <v/>
      </c>
      <c r="CK51" s="252">
        <f>IF(BC51="","",Planning!AK44)</f>
        <v/>
      </c>
      <c r="CL51" s="252">
        <f>IF(BC51="","",Planning!AH44)</f>
        <v/>
      </c>
      <c r="CM51" s="21" t="n"/>
    </row>
    <row r="52" ht="12.75" customHeight="1">
      <c r="A52" s="161">
        <f>IFERROR(IF(VLOOKUP($B52,$BC$13:$CL$86,36,FALSE)&gt;5,0,IF(COUNTIF($B$13:$B$63,$B52)&gt;1,0,40)),40)+IF(B52&lt;&gt;0,0,IF(AV52&gt;0,0.000001,0))</f>
        <v/>
      </c>
      <c r="B52" s="129" t="n"/>
      <c r="C52" s="48">
        <f>IFERROR(IF($B52="","",VLOOKUP($B52,Medewerker!$C$8:$AI$107,33,FALSE)),"?")</f>
        <v/>
      </c>
      <c r="D52" s="879">
        <f t="array" ref="D52">IFERROR(IF(LEFT(INDEX($F52:$AQ52,1,SUM(SMALL(IF($F52:$AQ52&lt;&gt;"",COLUMN($F52:$AQ52)),1)-5)),1)="x",SUM(SMALL(IF($F52:$AQ52&lt;&gt;"",$F$11:$AQ$11),1)+"0:15"),SMALL(IF($F52:$AQ52&lt;&gt;"",$F$11:$AQ$11),1)),"")</f>
        <v/>
      </c>
      <c r="E52" s="879">
        <f t="array" ref="E52">IFERROR(IF(LEFT(INDEX($F52:$AQ52,1,SUM(LARGE(IF($F52:$AQ52&lt;&gt;"",COLUMN($F52:$AQ52)),1)-5)),1)="x",SUM(LARGE(IF($F52:$AQ52&lt;&gt;"",$F$11:$AQ$11+"0:30:00"),1)-"0:15"),LARGE(IF($F52:$AQ52&lt;&gt;"",$F$11:$AQ$11+"0:30:00"),1)),"")</f>
        <v/>
      </c>
      <c r="F52" s="43" t="n"/>
      <c r="G52" s="42" t="n"/>
      <c r="H52" s="43" t="n"/>
      <c r="I52" s="42" t="n"/>
      <c r="J52" s="43" t="n"/>
      <c r="K52" s="42" t="n"/>
      <c r="L52" s="43" t="n"/>
      <c r="M52" s="42" t="n"/>
      <c r="N52" s="43" t="n"/>
      <c r="O52" s="42" t="n"/>
      <c r="P52" s="43" t="n"/>
      <c r="Q52" s="42" t="n"/>
      <c r="R52" s="43" t="n"/>
      <c r="S52" s="42" t="n"/>
      <c r="T52" s="43" t="n"/>
      <c r="U52" s="42" t="n"/>
      <c r="V52" s="43" t="n"/>
      <c r="W52" s="42" t="n"/>
      <c r="X52" s="43" t="n"/>
      <c r="Y52" s="42" t="n"/>
      <c r="Z52" s="43" t="n"/>
      <c r="AA52" s="42" t="n"/>
      <c r="AB52" s="43" t="n"/>
      <c r="AC52" s="42" t="n"/>
      <c r="AD52" s="43" t="n"/>
      <c r="AE52" s="42" t="n"/>
      <c r="AF52" s="43" t="n"/>
      <c r="AG52" s="42" t="n"/>
      <c r="AH52" s="43" t="n"/>
      <c r="AI52" s="42" t="n"/>
      <c r="AJ52" s="43" t="n"/>
      <c r="AK52" s="42" t="n"/>
      <c r="AL52" s="43" t="n"/>
      <c r="AM52" s="42" t="n"/>
      <c r="AN52" s="43" t="n"/>
      <c r="AO52" s="42" t="n"/>
      <c r="AP52" s="43" t="n"/>
      <c r="AQ52" s="42" t="n"/>
      <c r="AR52" s="888">
        <f>IFERROR(IF(VLOOKUP($B52,Medewerker!$C$8:$AC$107,27,FALSE)="",VLOOKUP($B52,Medewerker!$C$8:$AC$107,25,FALSE),0),0)</f>
        <v/>
      </c>
      <c r="AS52" s="888">
        <f>IFERROR(IF(B52="",1,IF(VLOOKUP($B52,Medewerker!$C$8:$AY$107,27,FALSE)="",VLOOKUP($B52,Medewerker!$C$8:$AY$107,26,FALSE),0)),0)</f>
        <v/>
      </c>
      <c r="AT52" s="45" t="n"/>
      <c r="AU52" s="46">
        <f>(COUNTIF(F52:AQ52,"afw"))/2</f>
        <v/>
      </c>
      <c r="AV52" s="111">
        <f>((38-(COUNTIF(F52:AQ52,"")))/2)-(COUNTIF(F52:AQ52,"p")/2)-(COUNTIF(F52:AQ52,CONCATENATE("x","*"))/4)</f>
        <v/>
      </c>
      <c r="AW52" s="73">
        <f>IF($B52="","",VLOOKUP($B52,Medewerker!$C$8:$E$107,3,FALSE))</f>
        <v/>
      </c>
      <c r="AX52" s="403">
        <f>IFERROR(VLOOKUP($B52,Planning!$B$6:$AG$105,32,FALSE)*24,"")</f>
        <v/>
      </c>
      <c r="AY52" s="837" t="inlineStr">
        <is>
          <t>sl</t>
        </is>
      </c>
      <c r="AZ52" s="71" t="inlineStr">
        <is>
          <t>Shift leiden</t>
        </is>
      </c>
      <c r="BA52" s="111">
        <f>COUNTIF($F$13:$AQ$63,CONCATENATE(AY52,"*"))/2+COUNTIF($F$13:$AQ$63,CONCATENATE("x",AY52,"*"))/4</f>
        <v/>
      </c>
      <c r="BB52" s="838" t="n"/>
      <c r="BC52" s="31">
        <f>IF(Planning!B45="","",Planning!B45)</f>
        <v/>
      </c>
      <c r="BD52" s="105" t="n"/>
      <c r="BE52" s="885">
        <f>Planning!E45</f>
        <v/>
      </c>
      <c r="BF52" s="885">
        <f>Planning!F45</f>
        <v/>
      </c>
      <c r="BG52" s="886" t="n"/>
      <c r="BH52" s="105" t="n"/>
      <c r="BI52" s="885">
        <f>Planning!I45</f>
        <v/>
      </c>
      <c r="BJ52" s="885">
        <f>Planning!J45</f>
        <v/>
      </c>
      <c r="BK52" s="886" t="n"/>
      <c r="BL52" s="105" t="n"/>
      <c r="BM52" s="885">
        <f>Planning!M45</f>
        <v/>
      </c>
      <c r="BN52" s="885">
        <f>Planning!N45</f>
        <v/>
      </c>
      <c r="BO52" s="886" t="n"/>
      <c r="BP52" s="105" t="n"/>
      <c r="BQ52" s="885">
        <f>Planning!Q45</f>
        <v/>
      </c>
      <c r="BR52" s="885">
        <f>Planning!R45</f>
        <v/>
      </c>
      <c r="BS52" s="886" t="n"/>
      <c r="BT52" s="105" t="n"/>
      <c r="BU52" s="885">
        <f>Planning!U45</f>
        <v/>
      </c>
      <c r="BV52" s="885">
        <f>Planning!V45</f>
        <v/>
      </c>
      <c r="BW52" s="886" t="n"/>
      <c r="BX52" s="105" t="n"/>
      <c r="BY52" s="885">
        <f>Planning!Y45</f>
        <v/>
      </c>
      <c r="BZ52" s="885">
        <f>Planning!Z45</f>
        <v/>
      </c>
      <c r="CA52" s="886" t="n"/>
      <c r="CB52" s="105" t="n"/>
      <c r="CC52" s="885">
        <f>Planning!AC45</f>
        <v/>
      </c>
      <c r="CD52" s="885">
        <f>Planning!AD45</f>
        <v/>
      </c>
      <c r="CE52" s="886" t="n"/>
      <c r="CF52" s="105" t="n"/>
      <c r="CG52" s="887">
        <f>Planning!AG45</f>
        <v/>
      </c>
      <c r="CH52" s="105" t="n"/>
      <c r="CI52" s="252">
        <f>IF(BC52="","",Planning!AI45)</f>
        <v/>
      </c>
      <c r="CJ52" s="252">
        <f>IF(BC52="","",Planning!AJ45)</f>
        <v/>
      </c>
      <c r="CK52" s="252">
        <f>IF(BC52="","",Planning!AK45)</f>
        <v/>
      </c>
      <c r="CL52" s="252">
        <f>IF(BC52="","",Planning!AH45)</f>
        <v/>
      </c>
      <c r="CM52" s="21" t="n"/>
    </row>
    <row r="53" ht="12.75" customHeight="1">
      <c r="A53" s="161">
        <f>IFERROR(IF(VLOOKUP($B53,$BC$13:$CL$86,36,FALSE)&gt;5,0,IF(COUNTIF($B$13:$B$63,$B53)&gt;1,0,41)),41)+IF(B53&lt;&gt;0,0,IF(AV53&gt;0,0.000001,0))</f>
        <v/>
      </c>
      <c r="B53" s="129" t="n"/>
      <c r="C53" s="48">
        <f>IFERROR(IF($B53="","",VLOOKUP($B53,Medewerker!$C$8:$AI$107,33,FALSE)),"?")</f>
        <v/>
      </c>
      <c r="D53" s="879">
        <f t="array" ref="D53">IFERROR(IF(LEFT(INDEX($F53:$AQ53,1,SUM(SMALL(IF($F53:$AQ53&lt;&gt;"",COLUMN($F53:$AQ53)),1)-5)),1)="x",SUM(SMALL(IF($F53:$AQ53&lt;&gt;"",$F$11:$AQ$11),1)+"0:15"),SMALL(IF($F53:$AQ53&lt;&gt;"",$F$11:$AQ$11),1)),"")</f>
        <v/>
      </c>
      <c r="E53" s="879">
        <f t="array" ref="E53">IFERROR(IF(LEFT(INDEX($F53:$AQ53,1,SUM(LARGE(IF($F53:$AQ53&lt;&gt;"",COLUMN($F53:$AQ53)),1)-5)),1)="x",SUM(LARGE(IF($F53:$AQ53&lt;&gt;"",$F$11:$AQ$11+"0:30:00"),1)-"0:15"),LARGE(IF($F53:$AQ53&lt;&gt;"",$F$11:$AQ$11+"0:30:00"),1)),"")</f>
        <v/>
      </c>
      <c r="F53" s="43" t="n"/>
      <c r="G53" s="42" t="n"/>
      <c r="H53" s="43" t="n"/>
      <c r="I53" s="42" t="n"/>
      <c r="J53" s="43" t="n"/>
      <c r="K53" s="42" t="n"/>
      <c r="L53" s="43" t="n"/>
      <c r="M53" s="42" t="n"/>
      <c r="N53" s="43" t="n"/>
      <c r="O53" s="42" t="n"/>
      <c r="P53" s="43" t="n"/>
      <c r="Q53" s="42" t="n"/>
      <c r="R53" s="43" t="n"/>
      <c r="S53" s="42" t="n"/>
      <c r="T53" s="43" t="n"/>
      <c r="U53" s="42" t="n"/>
      <c r="V53" s="43" t="n"/>
      <c r="W53" s="42" t="n"/>
      <c r="X53" s="43" t="n"/>
      <c r="Y53" s="42" t="n"/>
      <c r="Z53" s="43" t="n"/>
      <c r="AA53" s="42" t="n"/>
      <c r="AB53" s="43" t="n"/>
      <c r="AC53" s="42" t="n"/>
      <c r="AD53" s="43" t="n"/>
      <c r="AE53" s="42" t="n"/>
      <c r="AF53" s="43" t="n"/>
      <c r="AG53" s="42" t="n"/>
      <c r="AH53" s="43" t="n"/>
      <c r="AI53" s="42" t="n"/>
      <c r="AJ53" s="43" t="n"/>
      <c r="AK53" s="42" t="n"/>
      <c r="AL53" s="43" t="n"/>
      <c r="AM53" s="42" t="n"/>
      <c r="AN53" s="43" t="n"/>
      <c r="AO53" s="42" t="n"/>
      <c r="AP53" s="43" t="n"/>
      <c r="AQ53" s="42" t="n"/>
      <c r="AR53" s="888">
        <f>IFERROR(IF(VLOOKUP($B53,Medewerker!$C$8:$AC$107,27,FALSE)="",VLOOKUP($B53,Medewerker!$C$8:$AC$107,25,FALSE),0),0)</f>
        <v/>
      </c>
      <c r="AS53" s="888">
        <f>IFERROR(IF(B53="",1,IF(VLOOKUP($B53,Medewerker!$C$8:$AY$107,27,FALSE)="",VLOOKUP($B53,Medewerker!$C$8:$AY$107,26,FALSE),0)),0)</f>
        <v/>
      </c>
      <c r="AT53" s="45" t="n"/>
      <c r="AU53" s="46">
        <f>(COUNTIF(F53:AQ53,"afw"))/2</f>
        <v/>
      </c>
      <c r="AV53" s="111">
        <f>((38-(COUNTIF(F53:AQ53,"")))/2)-(COUNTIF(F53:AQ53,"p")/2)-(COUNTIF(F53:AQ53,CONCATENATE("x","*"))/4)</f>
        <v/>
      </c>
      <c r="AW53" s="73">
        <f>IF($B53="","",VLOOKUP($B53,Medewerker!$C$8:$E$107,3,FALSE))</f>
        <v/>
      </c>
      <c r="AX53" s="403">
        <f>IFERROR(VLOOKUP($B53,Planning!$B$6:$AG$105,32,FALSE)*24,"")</f>
        <v/>
      </c>
      <c r="AY53" s="837" t="inlineStr">
        <is>
          <t>vp</t>
        </is>
      </c>
      <c r="AZ53" s="71" t="inlineStr">
        <is>
          <t>Vulshiftplanning</t>
        </is>
      </c>
      <c r="BA53" s="111">
        <f>COUNTIF($F$13:$AQ$63,CONCATENATE(AY53,"*"))/2+COUNTIF($F$13:$AQ$63,CONCATENATE("x",AY53,"*"))/4</f>
        <v/>
      </c>
      <c r="BB53" s="838" t="n"/>
      <c r="BC53" s="31">
        <f>IF(Planning!B46="","",Planning!B46)</f>
        <v/>
      </c>
      <c r="BD53" s="105" t="n"/>
      <c r="BE53" s="885">
        <f>Planning!E46</f>
        <v/>
      </c>
      <c r="BF53" s="885">
        <f>Planning!F46</f>
        <v/>
      </c>
      <c r="BG53" s="886" t="n"/>
      <c r="BH53" s="105" t="n"/>
      <c r="BI53" s="885">
        <f>Planning!I46</f>
        <v/>
      </c>
      <c r="BJ53" s="885">
        <f>Planning!J46</f>
        <v/>
      </c>
      <c r="BK53" s="886" t="n"/>
      <c r="BL53" s="105" t="n"/>
      <c r="BM53" s="885">
        <f>Planning!M46</f>
        <v/>
      </c>
      <c r="BN53" s="885">
        <f>Planning!N46</f>
        <v/>
      </c>
      <c r="BO53" s="886" t="n"/>
      <c r="BP53" s="105" t="n"/>
      <c r="BQ53" s="885">
        <f>Planning!Q46</f>
        <v/>
      </c>
      <c r="BR53" s="885">
        <f>Planning!R46</f>
        <v/>
      </c>
      <c r="BS53" s="886" t="n"/>
      <c r="BT53" s="105" t="n"/>
      <c r="BU53" s="885">
        <f>Planning!U46</f>
        <v/>
      </c>
      <c r="BV53" s="885">
        <f>Planning!V46</f>
        <v/>
      </c>
      <c r="BW53" s="886" t="n"/>
      <c r="BX53" s="105" t="n"/>
      <c r="BY53" s="885">
        <f>Planning!Y46</f>
        <v/>
      </c>
      <c r="BZ53" s="885">
        <f>Planning!Z46</f>
        <v/>
      </c>
      <c r="CA53" s="886" t="n"/>
      <c r="CB53" s="105" t="n"/>
      <c r="CC53" s="885">
        <f>Planning!AC46</f>
        <v/>
      </c>
      <c r="CD53" s="885">
        <f>Planning!AD46</f>
        <v/>
      </c>
      <c r="CE53" s="886" t="n"/>
      <c r="CF53" s="105" t="n"/>
      <c r="CG53" s="887">
        <f>Planning!AG46</f>
        <v/>
      </c>
      <c r="CH53" s="105" t="n"/>
      <c r="CI53" s="252">
        <f>IF(BC53="","",Planning!AI46)</f>
        <v/>
      </c>
      <c r="CJ53" s="252">
        <f>IF(BC53="","",Planning!AJ46)</f>
        <v/>
      </c>
      <c r="CK53" s="252">
        <f>IF(BC53="","",Planning!AK46)</f>
        <v/>
      </c>
      <c r="CL53" s="252">
        <f>IF(BC53="","",Planning!AH46)</f>
        <v/>
      </c>
      <c r="CM53" s="21" t="n"/>
    </row>
    <row r="54" ht="12.75" customHeight="1">
      <c r="A54" s="161">
        <f>IFERROR(IF(VLOOKUP($B54,$BC$13:$CL$86,36,FALSE)&gt;5,0,IF(COUNTIF($B$13:$B$63,$B54)&gt;1,0,42)),42)+IF(B54&lt;&gt;0,0,IF(AV54&gt;0,0.000001,0))</f>
        <v/>
      </c>
      <c r="B54" s="129" t="n"/>
      <c r="C54" s="48">
        <f>IFERROR(IF($B54="","",VLOOKUP($B54,Medewerker!$C$8:$AI$107,33,FALSE)),"?")</f>
        <v/>
      </c>
      <c r="D54" s="879">
        <f t="array" ref="D54">IFERROR(IF(LEFT(INDEX($F54:$AQ54,1,SUM(SMALL(IF($F54:$AQ54&lt;&gt;"",COLUMN($F54:$AQ54)),1)-5)),1)="x",SUM(SMALL(IF($F54:$AQ54&lt;&gt;"",$F$11:$AQ$11),1)+"0:15"),SMALL(IF($F54:$AQ54&lt;&gt;"",$F$11:$AQ$11),1)),"")</f>
        <v/>
      </c>
      <c r="E54" s="879">
        <f t="array" ref="E54">IFERROR(IF(LEFT(INDEX($F54:$AQ54,1,SUM(LARGE(IF($F54:$AQ54&lt;&gt;"",COLUMN($F54:$AQ54)),1)-5)),1)="x",SUM(LARGE(IF($F54:$AQ54&lt;&gt;"",$F$11:$AQ$11+"0:30:00"),1)-"0:15"),LARGE(IF($F54:$AQ54&lt;&gt;"",$F$11:$AQ$11+"0:30:00"),1)),"")</f>
        <v/>
      </c>
      <c r="F54" s="43" t="n"/>
      <c r="G54" s="42" t="n"/>
      <c r="H54" s="43" t="n"/>
      <c r="I54" s="42" t="n"/>
      <c r="J54" s="43" t="n"/>
      <c r="K54" s="42" t="n"/>
      <c r="L54" s="43" t="n"/>
      <c r="M54" s="42" t="n"/>
      <c r="N54" s="43" t="n"/>
      <c r="O54" s="42" t="n"/>
      <c r="P54" s="43" t="n"/>
      <c r="Q54" s="42" t="n"/>
      <c r="R54" s="43" t="n"/>
      <c r="S54" s="42" t="n"/>
      <c r="T54" s="43" t="n"/>
      <c r="U54" s="42" t="n"/>
      <c r="V54" s="43" t="n"/>
      <c r="W54" s="42" t="n"/>
      <c r="X54" s="43" t="n"/>
      <c r="Y54" s="42" t="n"/>
      <c r="Z54" s="43" t="n"/>
      <c r="AA54" s="42" t="n"/>
      <c r="AB54" s="43" t="n"/>
      <c r="AC54" s="42" t="n"/>
      <c r="AD54" s="43" t="n"/>
      <c r="AE54" s="42" t="n"/>
      <c r="AF54" s="43" t="n"/>
      <c r="AG54" s="42" t="n"/>
      <c r="AH54" s="43" t="n"/>
      <c r="AI54" s="42" t="n"/>
      <c r="AJ54" s="43" t="n"/>
      <c r="AK54" s="42" t="n"/>
      <c r="AL54" s="43" t="n"/>
      <c r="AM54" s="42" t="n"/>
      <c r="AN54" s="43" t="n"/>
      <c r="AO54" s="42" t="n"/>
      <c r="AP54" s="43" t="n"/>
      <c r="AQ54" s="42" t="n"/>
      <c r="AR54" s="888">
        <f>IFERROR(IF(VLOOKUP($B54,Medewerker!$C$8:$AC$107,27,FALSE)="",VLOOKUP($B54,Medewerker!$C$8:$AC$107,25,FALSE),0),0)</f>
        <v/>
      </c>
      <c r="AS54" s="888">
        <f>IFERROR(IF(B54="",1,IF(VLOOKUP($B54,Medewerker!$C$8:$AY$107,27,FALSE)="",VLOOKUP($B54,Medewerker!$C$8:$AY$107,26,FALSE),0)),0)</f>
        <v/>
      </c>
      <c r="AT54" s="45" t="n"/>
      <c r="AU54" s="46">
        <f>(COUNTIF(F54:AQ54,"afw"))/2</f>
        <v/>
      </c>
      <c r="AV54" s="111">
        <f>((38-(COUNTIF(F54:AQ54,"")))/2)-(COUNTIF(F54:AQ54,"p")/2)-(COUNTIF(F54:AQ54,CONCATENATE("x","*"))/4)</f>
        <v/>
      </c>
      <c r="AW54" s="73">
        <f>IF($B54="","",VLOOKUP($B54,Medewerker!$C$8:$E$107,3,FALSE))</f>
        <v/>
      </c>
      <c r="AX54" s="403">
        <f>IFERROR(VLOOKUP($B54,Planning!$B$6:$AG$105,32,FALSE)*24,"")</f>
        <v/>
      </c>
      <c r="AY54" s="837" t="inlineStr">
        <is>
          <t>wh</t>
        </is>
      </c>
      <c r="AZ54" s="413" t="inlineStr">
        <is>
          <t>Winkelwagens halen</t>
        </is>
      </c>
      <c r="BA54" s="111">
        <f>COUNTIF($F$13:$AQ$63,CONCATENATE(AY54,"*"))/2+COUNTIF($F$13:$AQ$63,CONCATENATE("x",AY54,"*"))/4</f>
        <v/>
      </c>
      <c r="BB54" s="838" t="n"/>
      <c r="BC54" s="31">
        <f>IF(Planning!B47="","",Planning!B47)</f>
        <v/>
      </c>
      <c r="BD54" s="105" t="n"/>
      <c r="BE54" s="885">
        <f>Planning!E47</f>
        <v/>
      </c>
      <c r="BF54" s="885">
        <f>Planning!F47</f>
        <v/>
      </c>
      <c r="BG54" s="886" t="n"/>
      <c r="BH54" s="105" t="n"/>
      <c r="BI54" s="885">
        <f>Planning!I47</f>
        <v/>
      </c>
      <c r="BJ54" s="885">
        <f>Planning!J47</f>
        <v/>
      </c>
      <c r="BK54" s="886" t="n"/>
      <c r="BL54" s="105" t="n"/>
      <c r="BM54" s="885">
        <f>Planning!M47</f>
        <v/>
      </c>
      <c r="BN54" s="885">
        <f>Planning!N47</f>
        <v/>
      </c>
      <c r="BO54" s="886" t="n"/>
      <c r="BP54" s="105" t="n"/>
      <c r="BQ54" s="885">
        <f>Planning!Q47</f>
        <v/>
      </c>
      <c r="BR54" s="885">
        <f>Planning!R47</f>
        <v/>
      </c>
      <c r="BS54" s="886" t="n"/>
      <c r="BT54" s="105" t="n"/>
      <c r="BU54" s="885">
        <f>Planning!U47</f>
        <v/>
      </c>
      <c r="BV54" s="885">
        <f>Planning!V47</f>
        <v/>
      </c>
      <c r="BW54" s="886" t="n"/>
      <c r="BX54" s="105" t="n"/>
      <c r="BY54" s="885">
        <f>Planning!Y47</f>
        <v/>
      </c>
      <c r="BZ54" s="885">
        <f>Planning!Z47</f>
        <v/>
      </c>
      <c r="CA54" s="886" t="n"/>
      <c r="CB54" s="105" t="n"/>
      <c r="CC54" s="885">
        <f>Planning!AC47</f>
        <v/>
      </c>
      <c r="CD54" s="885">
        <f>Planning!AD47</f>
        <v/>
      </c>
      <c r="CE54" s="886" t="n"/>
      <c r="CF54" s="105" t="n"/>
      <c r="CG54" s="887">
        <f>Planning!AG47</f>
        <v/>
      </c>
      <c r="CH54" s="105" t="n"/>
      <c r="CI54" s="252">
        <f>IF(BC54="","",Planning!AI47)</f>
        <v/>
      </c>
      <c r="CJ54" s="252">
        <f>IF(BC54="","",Planning!AJ47)</f>
        <v/>
      </c>
      <c r="CK54" s="252">
        <f>IF(BC54="","",Planning!AK47)</f>
        <v/>
      </c>
      <c r="CL54" s="252">
        <f>IF(BC54="","",Planning!AH47)</f>
        <v/>
      </c>
      <c r="CM54" s="21" t="n"/>
    </row>
    <row r="55" ht="12.75" customHeight="1">
      <c r="A55" s="161">
        <f>IFERROR(IF(VLOOKUP($B55,$BC$13:$CL$86,36,FALSE)&gt;5,0,IF(COUNTIF($B$13:$B$63,$B55)&gt;1,0,43)),43)+IF(B55&lt;&gt;0,0,IF(AV55&gt;0,0.000001,0))</f>
        <v/>
      </c>
      <c r="B55" s="129" t="n"/>
      <c r="C55" s="48">
        <f>IFERROR(IF($B55="","",VLOOKUP($B55,Medewerker!$C$8:$AI$107,33,FALSE)),"?")</f>
        <v/>
      </c>
      <c r="D55" s="879">
        <f t="array" ref="D55">IFERROR(IF(LEFT(INDEX($F55:$AQ55,1,SUM(SMALL(IF($F55:$AQ55&lt;&gt;"",COLUMN($F55:$AQ55)),1)-5)),1)="x",SUM(SMALL(IF($F55:$AQ55&lt;&gt;"",$F$11:$AQ$11),1)+"0:15"),SMALL(IF($F55:$AQ55&lt;&gt;"",$F$11:$AQ$11),1)),"")</f>
        <v/>
      </c>
      <c r="E55" s="879">
        <f t="array" ref="E55">IFERROR(IF(LEFT(INDEX($F55:$AQ55,1,SUM(LARGE(IF($F55:$AQ55&lt;&gt;"",COLUMN($F55:$AQ55)),1)-5)),1)="x",SUM(LARGE(IF($F55:$AQ55&lt;&gt;"",$F$11:$AQ$11+"0:30:00"),1)-"0:15"),LARGE(IF($F55:$AQ55&lt;&gt;"",$F$11:$AQ$11+"0:30:00"),1)),"")</f>
        <v/>
      </c>
      <c r="F55" s="43" t="n"/>
      <c r="G55" s="42" t="n"/>
      <c r="H55" s="43" t="n"/>
      <c r="I55" s="42" t="n"/>
      <c r="J55" s="43" t="n"/>
      <c r="K55" s="41" t="n"/>
      <c r="L55" s="40" t="n"/>
      <c r="M55" s="42" t="n"/>
      <c r="N55" s="43" t="n"/>
      <c r="O55" s="41" t="n"/>
      <c r="P55" s="40" t="n"/>
      <c r="Q55" s="42" t="n"/>
      <c r="R55" s="43" t="n"/>
      <c r="S55" s="41" t="n"/>
      <c r="T55" s="40" t="n"/>
      <c r="U55" s="42" t="n"/>
      <c r="V55" s="43" t="n"/>
      <c r="W55" s="41" t="n"/>
      <c r="X55" s="40" t="n"/>
      <c r="Y55" s="42" t="n"/>
      <c r="Z55" s="43" t="n"/>
      <c r="AA55" s="41" t="n"/>
      <c r="AB55" s="40" t="n"/>
      <c r="AC55" s="42" t="n"/>
      <c r="AD55" s="43" t="n"/>
      <c r="AE55" s="41" t="n"/>
      <c r="AF55" s="40" t="n"/>
      <c r="AG55" s="42" t="n"/>
      <c r="AH55" s="43" t="n"/>
      <c r="AI55" s="41" t="n"/>
      <c r="AJ55" s="40" t="n"/>
      <c r="AK55" s="42" t="n"/>
      <c r="AL55" s="43" t="n"/>
      <c r="AM55" s="41" t="n"/>
      <c r="AN55" s="645" t="n"/>
      <c r="AO55" s="42" t="n"/>
      <c r="AP55" s="43" t="n"/>
      <c r="AQ55" s="42" t="n"/>
      <c r="AR55" s="888">
        <f>IFERROR(IF(VLOOKUP($B55,Medewerker!$C$8:$AC$107,27,FALSE)="",VLOOKUP($B55,Medewerker!$C$8:$AC$107,25,FALSE),0),0)</f>
        <v/>
      </c>
      <c r="AS55" s="888">
        <f>IFERROR(IF(B55="",1,IF(VLOOKUP($B55,Medewerker!$C$8:$AY$107,27,FALSE)="",VLOOKUP($B55,Medewerker!$C$8:$AY$107,26,FALSE),0)),0)</f>
        <v/>
      </c>
      <c r="AT55" s="45" t="n"/>
      <c r="AU55" s="46">
        <f>(COUNTIF(F55:AQ55,"afw"))/2</f>
        <v/>
      </c>
      <c r="AV55" s="111">
        <f>((38-(COUNTIF(F55:AQ55,"")))/2)-(COUNTIF(F55:AQ55,"p")/2)-(COUNTIF(F55:AQ55,CONCATENATE("x","*"))/4)</f>
        <v/>
      </c>
      <c r="AW55" s="73">
        <f>IF($B55="","",VLOOKUP($B55,Medewerker!$C$8:$E$107,3,FALSE))</f>
        <v/>
      </c>
      <c r="AX55" s="403">
        <f>IFERROR(VLOOKUP($B55,Planning!$B$6:$AG$105,32,FALSE)*24,"")</f>
        <v/>
      </c>
      <c r="AY55" s="837" t="inlineStr">
        <is>
          <t>wp</t>
        </is>
      </c>
      <c r="AZ55" s="71" t="inlineStr">
        <is>
          <t>Weekplanning</t>
        </is>
      </c>
      <c r="BA55" s="111">
        <f>COUNTIF($F$13:$AQ$63,CONCATENATE(AY55,"*"))/2+COUNTIF($F$13:$AQ$63,CONCATENATE("x",AY55,"*"))/4</f>
        <v/>
      </c>
      <c r="BB55" s="838" t="n"/>
      <c r="BC55" s="31">
        <f>IF(Planning!B48="","",Planning!B48)</f>
        <v/>
      </c>
      <c r="BD55" s="105" t="n"/>
      <c r="BE55" s="885">
        <f>Planning!E48</f>
        <v/>
      </c>
      <c r="BF55" s="885">
        <f>Planning!F48</f>
        <v/>
      </c>
      <c r="BG55" s="886" t="n"/>
      <c r="BH55" s="105" t="n"/>
      <c r="BI55" s="885">
        <f>Planning!I48</f>
        <v/>
      </c>
      <c r="BJ55" s="885">
        <f>Planning!J48</f>
        <v/>
      </c>
      <c r="BK55" s="886" t="n"/>
      <c r="BL55" s="105" t="n"/>
      <c r="BM55" s="885">
        <f>Planning!M48</f>
        <v/>
      </c>
      <c r="BN55" s="885">
        <f>Planning!N48</f>
        <v/>
      </c>
      <c r="BO55" s="886" t="n"/>
      <c r="BP55" s="105" t="n"/>
      <c r="BQ55" s="885">
        <f>Planning!Q48</f>
        <v/>
      </c>
      <c r="BR55" s="885">
        <f>Planning!R48</f>
        <v/>
      </c>
      <c r="BS55" s="886" t="n"/>
      <c r="BT55" s="105" t="n"/>
      <c r="BU55" s="885">
        <f>Planning!U48</f>
        <v/>
      </c>
      <c r="BV55" s="885">
        <f>Planning!V48</f>
        <v/>
      </c>
      <c r="BW55" s="886" t="n"/>
      <c r="BX55" s="105" t="n"/>
      <c r="BY55" s="885">
        <f>Planning!Y48</f>
        <v/>
      </c>
      <c r="BZ55" s="885">
        <f>Planning!Z48</f>
        <v/>
      </c>
      <c r="CA55" s="886" t="n"/>
      <c r="CB55" s="105" t="n"/>
      <c r="CC55" s="885">
        <f>Planning!AC48</f>
        <v/>
      </c>
      <c r="CD55" s="885">
        <f>Planning!AD48</f>
        <v/>
      </c>
      <c r="CE55" s="886" t="n"/>
      <c r="CF55" s="105" t="n"/>
      <c r="CG55" s="887">
        <f>Planning!AG48</f>
        <v/>
      </c>
      <c r="CH55" s="105" t="n"/>
      <c r="CI55" s="252">
        <f>IF(BC55="","",Planning!AI48)</f>
        <v/>
      </c>
      <c r="CJ55" s="252">
        <f>IF(BC55="","",Planning!AJ48)</f>
        <v/>
      </c>
      <c r="CK55" s="252">
        <f>IF(BC55="","",Planning!AK48)</f>
        <v/>
      </c>
      <c r="CL55" s="252">
        <f>IF(BC55="","",Planning!AH48)</f>
        <v/>
      </c>
      <c r="CM55" s="21" t="n"/>
    </row>
    <row r="56" ht="12.75" customHeight="1">
      <c r="A56" s="161">
        <f>IFERROR(IF(VLOOKUP($B56,$BC$13:$CL$86,36,FALSE)&gt;5,0,IF(COUNTIF($B$13:$B$63,$B56)&gt;1,0,44)),44)+IF(B56&lt;&gt;0,0,IF(AV56&gt;0,0.000001,0))</f>
        <v/>
      </c>
      <c r="B56" s="129" t="n"/>
      <c r="C56" s="48">
        <f>IFERROR(IF($B56="","",VLOOKUP($B56,Medewerker!$C$8:$AI$107,33,FALSE)),"?")</f>
        <v/>
      </c>
      <c r="D56" s="879">
        <f t="array" ref="D56">IFERROR(IF(LEFT(INDEX($F56:$AQ56,1,SUM(SMALL(IF($F56:$AQ56&lt;&gt;"",COLUMN($F56:$AQ56)),1)-5)),1)="x",SUM(SMALL(IF($F56:$AQ56&lt;&gt;"",$F$11:$AQ$11),1)+"0:15"),SMALL(IF($F56:$AQ56&lt;&gt;"",$F$11:$AQ$11),1)),"")</f>
        <v/>
      </c>
      <c r="E56" s="879">
        <f t="array" ref="E56">IFERROR(IF(LEFT(INDEX($F56:$AQ56,1,SUM(LARGE(IF($F56:$AQ56&lt;&gt;"",COLUMN($F56:$AQ56)),1)-5)),1)="x",SUM(LARGE(IF($F56:$AQ56&lt;&gt;"",$F$11:$AQ$11+"0:30:00"),1)-"0:15"),LARGE(IF($F56:$AQ56&lt;&gt;"",$F$11:$AQ$11+"0:30:00"),1)),"")</f>
        <v/>
      </c>
      <c r="F56" s="43" t="n"/>
      <c r="G56" s="42" t="n"/>
      <c r="H56" s="43" t="n"/>
      <c r="I56" s="42" t="n"/>
      <c r="J56" s="43" t="n"/>
      <c r="K56" s="41" t="n"/>
      <c r="L56" s="40" t="n"/>
      <c r="M56" s="42" t="n"/>
      <c r="N56" s="43" t="n"/>
      <c r="O56" s="41" t="n"/>
      <c r="P56" s="40" t="n"/>
      <c r="Q56" s="42" t="n"/>
      <c r="R56" s="43" t="n"/>
      <c r="S56" s="41" t="n"/>
      <c r="T56" s="40" t="n"/>
      <c r="U56" s="42" t="n"/>
      <c r="V56" s="43" t="n"/>
      <c r="W56" s="41" t="n"/>
      <c r="X56" s="40" t="n"/>
      <c r="Y56" s="42" t="n"/>
      <c r="Z56" s="43" t="n"/>
      <c r="AA56" s="41" t="n"/>
      <c r="AB56" s="40" t="n"/>
      <c r="AC56" s="42" t="n"/>
      <c r="AD56" s="43" t="n"/>
      <c r="AE56" s="41" t="n"/>
      <c r="AF56" s="40" t="n"/>
      <c r="AG56" s="42" t="n"/>
      <c r="AH56" s="43" t="n"/>
      <c r="AI56" s="41" t="n"/>
      <c r="AJ56" s="40" t="n"/>
      <c r="AK56" s="42" t="n"/>
      <c r="AL56" s="43" t="n"/>
      <c r="AM56" s="41" t="n"/>
      <c r="AN56" s="645" t="n"/>
      <c r="AO56" s="42" t="n"/>
      <c r="AP56" s="43" t="n"/>
      <c r="AQ56" s="42" t="n"/>
      <c r="AR56" s="888">
        <f>IFERROR(IF(VLOOKUP($B56,Medewerker!$C$8:$AC$107,27,FALSE)="",VLOOKUP($B56,Medewerker!$C$8:$AC$107,25,FALSE),0),0)</f>
        <v/>
      </c>
      <c r="AS56" s="888">
        <f>IFERROR(IF(B56="",1,IF(VLOOKUP($B56,Medewerker!$C$8:$AY$107,27,FALSE)="",VLOOKUP($B56,Medewerker!$C$8:$AY$107,26,FALSE),0)),0)</f>
        <v/>
      </c>
      <c r="AT56" s="45" t="n"/>
      <c r="AU56" s="46">
        <f>(COUNTIF(F56:AQ56,"afw"))/2</f>
        <v/>
      </c>
      <c r="AV56" s="111">
        <f>((38-(COUNTIF(F56:AQ56,"")))/2)-(COUNTIF(F56:AQ56,"p")/2)-(COUNTIF(F56:AQ56,CONCATENATE("x","*"))/4)</f>
        <v/>
      </c>
      <c r="AW56" s="73">
        <f>IF($B56="","",VLOOKUP($B56,Medewerker!$C$8:$E$107,3,FALSE))</f>
        <v/>
      </c>
      <c r="AX56" s="403">
        <f>IFERROR(VLOOKUP($B56,Planning!$B$6:$AG$105,32,FALSE)*24,"")</f>
        <v/>
      </c>
      <c r="AY56" s="558" t="inlineStr">
        <is>
          <t>wv</t>
        </is>
      </c>
      <c r="AZ56" s="71" t="inlineStr">
        <is>
          <t>Winkelverzorging</t>
        </is>
      </c>
      <c r="BA56" s="111">
        <f>COUNTIF($F$13:$AQ$63,CONCATENATE(AY56,"*"))/2+COUNTIF($F$13:$AQ$63,CONCATENATE("x",AY56,"*"))/4</f>
        <v/>
      </c>
      <c r="BB56" s="838" t="n"/>
      <c r="BC56" s="31">
        <f>IF(Planning!B49="","",Planning!B49)</f>
        <v/>
      </c>
      <c r="BD56" s="105" t="n"/>
      <c r="BE56" s="885">
        <f>Planning!E49</f>
        <v/>
      </c>
      <c r="BF56" s="885">
        <f>Planning!F49</f>
        <v/>
      </c>
      <c r="BG56" s="886" t="n"/>
      <c r="BH56" s="105" t="n"/>
      <c r="BI56" s="885">
        <f>Planning!I49</f>
        <v/>
      </c>
      <c r="BJ56" s="885">
        <f>Planning!J49</f>
        <v/>
      </c>
      <c r="BK56" s="886" t="n"/>
      <c r="BL56" s="105" t="n"/>
      <c r="BM56" s="885">
        <f>Planning!M49</f>
        <v/>
      </c>
      <c r="BN56" s="885">
        <f>Planning!N49</f>
        <v/>
      </c>
      <c r="BO56" s="886" t="n"/>
      <c r="BP56" s="105" t="n"/>
      <c r="BQ56" s="885">
        <f>Planning!Q49</f>
        <v/>
      </c>
      <c r="BR56" s="885">
        <f>Planning!R49</f>
        <v/>
      </c>
      <c r="BS56" s="886" t="n"/>
      <c r="BT56" s="105" t="n"/>
      <c r="BU56" s="885">
        <f>Planning!U49</f>
        <v/>
      </c>
      <c r="BV56" s="885">
        <f>Planning!V49</f>
        <v/>
      </c>
      <c r="BW56" s="886" t="n"/>
      <c r="BX56" s="105" t="n"/>
      <c r="BY56" s="885">
        <f>Planning!Y49</f>
        <v/>
      </c>
      <c r="BZ56" s="885">
        <f>Planning!Z49</f>
        <v/>
      </c>
      <c r="CA56" s="886" t="n"/>
      <c r="CB56" s="105" t="n"/>
      <c r="CC56" s="885">
        <f>Planning!AC49</f>
        <v/>
      </c>
      <c r="CD56" s="885">
        <f>Planning!AD49</f>
        <v/>
      </c>
      <c r="CE56" s="886" t="n"/>
      <c r="CF56" s="105" t="n"/>
      <c r="CG56" s="887">
        <f>Planning!AG49</f>
        <v/>
      </c>
      <c r="CH56" s="105" t="n"/>
      <c r="CI56" s="252">
        <f>IF(BC56="","",Planning!AI49)</f>
        <v/>
      </c>
      <c r="CJ56" s="252">
        <f>IF(BC56="","",Planning!AJ49)</f>
        <v/>
      </c>
      <c r="CK56" s="252">
        <f>IF(BC56="","",Planning!AK49)</f>
        <v/>
      </c>
      <c r="CL56" s="252">
        <f>IF(BC56="","",Planning!AH49)</f>
        <v/>
      </c>
      <c r="CM56" s="21" t="n"/>
    </row>
    <row r="57" ht="12.75" customHeight="1">
      <c r="A57" s="161">
        <f>IFERROR(IF(VLOOKUP($B57,$BC$13:$CL$86,36,FALSE)&gt;5,0,IF(COUNTIF($B$13:$B$63,$B57)&gt;1,0,45)),45)+IF(B57&lt;&gt;0,0,IF(AV57&gt;0,0.000001,0))</f>
        <v/>
      </c>
      <c r="B57" s="129" t="n"/>
      <c r="C57" s="48">
        <f>IFERROR(IF($B57="","",VLOOKUP($B57,Medewerker!$C$8:$AI$107,33,FALSE)),"?")</f>
        <v/>
      </c>
      <c r="D57" s="879">
        <f t="array" ref="D57">IFERROR(IF(LEFT(INDEX($F57:$AQ57,1,SUM(SMALL(IF($F57:$AQ57&lt;&gt;"",COLUMN($F57:$AQ57)),1)-5)),1)="x",SUM(SMALL(IF($F57:$AQ57&lt;&gt;"",$F$11:$AQ$11),1)+"0:15"),SMALL(IF($F57:$AQ57&lt;&gt;"",$F$11:$AQ$11),1)),"")</f>
        <v/>
      </c>
      <c r="E57" s="879">
        <f t="array" ref="E57">IFERROR(IF(LEFT(INDEX($F57:$AQ57,1,SUM(LARGE(IF($F57:$AQ57&lt;&gt;"",COLUMN($F57:$AQ57)),1)-5)),1)="x",SUM(LARGE(IF($F57:$AQ57&lt;&gt;"",$F$11:$AQ$11+"0:30:00"),1)-"0:15"),LARGE(IF($F57:$AQ57&lt;&gt;"",$F$11:$AQ$11+"0:30:00"),1)),"")</f>
        <v/>
      </c>
      <c r="F57" s="43" t="n"/>
      <c r="G57" s="42" t="n"/>
      <c r="H57" s="43" t="n"/>
      <c r="I57" s="42" t="n"/>
      <c r="J57" s="43" t="n"/>
      <c r="K57" s="41" t="n"/>
      <c r="L57" s="40" t="n"/>
      <c r="M57" s="42" t="n"/>
      <c r="N57" s="43" t="n"/>
      <c r="O57" s="41" t="n"/>
      <c r="P57" s="40" t="n"/>
      <c r="Q57" s="42" t="n"/>
      <c r="R57" s="43" t="n"/>
      <c r="S57" s="41" t="n"/>
      <c r="T57" s="40" t="n"/>
      <c r="U57" s="42" t="n"/>
      <c r="V57" s="43" t="n"/>
      <c r="W57" s="41" t="n"/>
      <c r="X57" s="40" t="n"/>
      <c r="Y57" s="42" t="n"/>
      <c r="Z57" s="43" t="n"/>
      <c r="AA57" s="41" t="n"/>
      <c r="AB57" s="40" t="n"/>
      <c r="AC57" s="42" t="n"/>
      <c r="AD57" s="43" t="n"/>
      <c r="AE57" s="41" t="n"/>
      <c r="AF57" s="40" t="n"/>
      <c r="AG57" s="42" t="n"/>
      <c r="AH57" s="43" t="n"/>
      <c r="AI57" s="41" t="n"/>
      <c r="AJ57" s="40" t="n"/>
      <c r="AK57" s="42" t="n"/>
      <c r="AL57" s="43" t="n"/>
      <c r="AM57" s="41" t="n"/>
      <c r="AN57" s="645" t="n"/>
      <c r="AO57" s="42" t="n"/>
      <c r="AP57" s="43" t="n"/>
      <c r="AQ57" s="42" t="n"/>
      <c r="AR57" s="888">
        <f>IFERROR(IF(VLOOKUP($B57,Medewerker!$C$8:$AC$107,27,FALSE)="",VLOOKUP($B57,Medewerker!$C$8:$AC$107,25,FALSE),0),0)</f>
        <v/>
      </c>
      <c r="AS57" s="888">
        <f>IFERROR(IF(B57="",1,IF(VLOOKUP($B57,Medewerker!$C$8:$AY$107,27,FALSE)="",VLOOKUP($B57,Medewerker!$C$8:$AY$107,26,FALSE),0)),0)</f>
        <v/>
      </c>
      <c r="AT57" s="45" t="n"/>
      <c r="AU57" s="46">
        <f>(COUNTIF(F57:AQ57,"afw"))/2</f>
        <v/>
      </c>
      <c r="AV57" s="111">
        <f>((38-(COUNTIF(F57:AQ57,"")))/2)-(COUNTIF(F57:AQ57,"p")/2)-(COUNTIF(F57:AQ57,CONCATENATE("x","*"))/4)</f>
        <v/>
      </c>
      <c r="AW57" s="73">
        <f>IF($B57="","",VLOOKUP($B57,Medewerker!$C$8:$E$107,3,FALSE))</f>
        <v/>
      </c>
      <c r="AX57" s="403">
        <f>IFERROR(VLOOKUP($B57,Planning!$B$6:$AG$105,32,FALSE)*24,"")</f>
        <v/>
      </c>
      <c r="AY57" s="837">
        <f>IF(Instellingen!I7="ja","pup","")</f>
        <v/>
      </c>
      <c r="AZ57" s="71">
        <f>IF(Instellingen!I7="ja","Pick-Up-Point","")</f>
        <v/>
      </c>
      <c r="BA57" s="111">
        <f>IF(Instellingen!I7="ja",COUNTIF($F$13:$AQ$63,CONCATENATE(AY57,"*"))/2+COUNTIF($F$13:$AQ$63,CONCATENATE("x",AY57,"*"))/4,"")</f>
        <v/>
      </c>
      <c r="BB57" s="838" t="n"/>
      <c r="BC57" s="31">
        <f>IF(Planning!B50="","",Planning!B50)</f>
        <v/>
      </c>
      <c r="BD57" s="105" t="n"/>
      <c r="BE57" s="885">
        <f>Planning!E50</f>
        <v/>
      </c>
      <c r="BF57" s="885">
        <f>Planning!F50</f>
        <v/>
      </c>
      <c r="BG57" s="886" t="n"/>
      <c r="BH57" s="105" t="n"/>
      <c r="BI57" s="885">
        <f>Planning!I50</f>
        <v/>
      </c>
      <c r="BJ57" s="885">
        <f>Planning!J50</f>
        <v/>
      </c>
      <c r="BK57" s="886" t="n"/>
      <c r="BL57" s="105" t="n"/>
      <c r="BM57" s="885">
        <f>Planning!M50</f>
        <v/>
      </c>
      <c r="BN57" s="885">
        <f>Planning!N50</f>
        <v/>
      </c>
      <c r="BO57" s="886" t="n"/>
      <c r="BP57" s="105" t="n"/>
      <c r="BQ57" s="885">
        <f>Planning!Q50</f>
        <v/>
      </c>
      <c r="BR57" s="885">
        <f>Planning!R50</f>
        <v/>
      </c>
      <c r="BS57" s="886" t="n"/>
      <c r="BT57" s="105" t="n"/>
      <c r="BU57" s="885">
        <f>Planning!U50</f>
        <v/>
      </c>
      <c r="BV57" s="885">
        <f>Planning!V50</f>
        <v/>
      </c>
      <c r="BW57" s="886" t="n"/>
      <c r="BX57" s="105" t="n"/>
      <c r="BY57" s="885">
        <f>Planning!Y50</f>
        <v/>
      </c>
      <c r="BZ57" s="885">
        <f>Planning!Z50</f>
        <v/>
      </c>
      <c r="CA57" s="886" t="n"/>
      <c r="CB57" s="105" t="n"/>
      <c r="CC57" s="885">
        <f>Planning!AC50</f>
        <v/>
      </c>
      <c r="CD57" s="885">
        <f>Planning!AD50</f>
        <v/>
      </c>
      <c r="CE57" s="886" t="n"/>
      <c r="CF57" s="105" t="n"/>
      <c r="CG57" s="887">
        <f>Planning!AG50</f>
        <v/>
      </c>
      <c r="CH57" s="105" t="n"/>
      <c r="CI57" s="252">
        <f>IF(BC57="","",Planning!AI50)</f>
        <v/>
      </c>
      <c r="CJ57" s="252">
        <f>IF(BC57="","",Planning!AJ50)</f>
        <v/>
      </c>
      <c r="CK57" s="252">
        <f>IF(BC57="","",Planning!AK50)</f>
        <v/>
      </c>
      <c r="CL57" s="252">
        <f>IF(BC57="","",Planning!AH50)</f>
        <v/>
      </c>
      <c r="CM57" s="21" t="n"/>
    </row>
    <row r="58" ht="12.75" customHeight="1">
      <c r="A58" s="161">
        <f>IFERROR(IF(VLOOKUP($B58,$BC$13:$CL$86,36,FALSE)&gt;5,0,IF(COUNTIF($B$13:$B$63,$B58)&gt;1,0,46)),46)+IF(B58&lt;&gt;0,0,IF(AV58&gt;0,0.000001,0))</f>
        <v/>
      </c>
      <c r="B58" s="129" t="n"/>
      <c r="C58" s="48">
        <f>IFERROR(IF($B58="","",VLOOKUP($B58,Medewerker!$C$8:$AI$107,33,FALSE)),"?")</f>
        <v/>
      </c>
      <c r="D58" s="879">
        <f t="array" ref="D58">IFERROR(IF(LEFT(INDEX($F58:$AQ58,1,SUM(SMALL(IF($F58:$AQ58&lt;&gt;"",COLUMN($F58:$AQ58)),1)-5)),1)="x",SUM(SMALL(IF($F58:$AQ58&lt;&gt;"",$F$11:$AQ$11),1)+"0:15"),SMALL(IF($F58:$AQ58&lt;&gt;"",$F$11:$AQ$11),1)),"")</f>
        <v/>
      </c>
      <c r="E58" s="879">
        <f t="array" ref="E58">IFERROR(IF(LEFT(INDEX($F58:$AQ58,1,SUM(LARGE(IF($F58:$AQ58&lt;&gt;"",COLUMN($F58:$AQ58)),1)-5)),1)="x",SUM(LARGE(IF($F58:$AQ58&lt;&gt;"",$F$11:$AQ$11+"0:30:00"),1)-"0:15"),LARGE(IF($F58:$AQ58&lt;&gt;"",$F$11:$AQ$11+"0:30:00"),1)),"")</f>
        <v/>
      </c>
      <c r="F58" s="43" t="n"/>
      <c r="G58" s="42" t="n"/>
      <c r="H58" s="43" t="n"/>
      <c r="I58" s="42" t="n"/>
      <c r="J58" s="43" t="n"/>
      <c r="K58" s="41" t="n"/>
      <c r="L58" s="40" t="n"/>
      <c r="M58" s="42" t="n"/>
      <c r="N58" s="43" t="n"/>
      <c r="O58" s="41" t="n"/>
      <c r="P58" s="40" t="n"/>
      <c r="Q58" s="42" t="n"/>
      <c r="R58" s="43" t="n"/>
      <c r="S58" s="41" t="n"/>
      <c r="T58" s="40" t="n"/>
      <c r="U58" s="42" t="n"/>
      <c r="V58" s="43" t="n"/>
      <c r="W58" s="41" t="n"/>
      <c r="X58" s="40" t="n"/>
      <c r="Y58" s="42" t="n"/>
      <c r="Z58" s="43" t="n"/>
      <c r="AA58" s="41" t="n"/>
      <c r="AB58" s="40" t="n"/>
      <c r="AC58" s="42" t="n"/>
      <c r="AD58" s="43" t="n"/>
      <c r="AE58" s="41" t="n"/>
      <c r="AF58" s="40" t="n"/>
      <c r="AG58" s="42" t="n"/>
      <c r="AH58" s="43" t="n"/>
      <c r="AI58" s="41" t="n"/>
      <c r="AJ58" s="40" t="n"/>
      <c r="AK58" s="42" t="n"/>
      <c r="AL58" s="43" t="n"/>
      <c r="AM58" s="41" t="n"/>
      <c r="AN58" s="645" t="n"/>
      <c r="AO58" s="42" t="n"/>
      <c r="AP58" s="43" t="n"/>
      <c r="AQ58" s="42" t="n"/>
      <c r="AR58" s="888">
        <f>IFERROR(IF(VLOOKUP($B58,Medewerker!$C$8:$AC$107,27,FALSE)="",VLOOKUP($B58,Medewerker!$C$8:$AC$107,25,FALSE),0),0)</f>
        <v/>
      </c>
      <c r="AS58" s="888">
        <f>IFERROR(IF(B58="",1,IF(VLOOKUP($B58,Medewerker!$C$8:$AY$107,27,FALSE)="",VLOOKUP($B58,Medewerker!$C$8:$AY$107,26,FALSE),0)),0)</f>
        <v/>
      </c>
      <c r="AT58" s="45" t="n"/>
      <c r="AU58" s="46">
        <f>(COUNTIF(F58:AQ58,"afw"))/2</f>
        <v/>
      </c>
      <c r="AV58" s="111">
        <f>((38-(COUNTIF(F58:AQ58,"")))/2)-(COUNTIF(F58:AQ58,"p")/2)-(COUNTIF(F58:AQ58,CONCATENATE("x","*"))/4)</f>
        <v/>
      </c>
      <c r="AW58" s="73">
        <f>IF($B58="","",VLOOKUP($B58,Medewerker!$C$8:$E$107,3,FALSE))</f>
        <v/>
      </c>
      <c r="AX58" s="403">
        <f>IFERROR(VLOOKUP($B58,Planning!$B$6:$AG$105,32,FALSE)*24,"")</f>
        <v/>
      </c>
      <c r="AY58" s="411">
        <f>IF(Ma!AY58="","",Ma!AY58)</f>
        <v/>
      </c>
      <c r="AZ58" s="166">
        <f>IF(Ma!AZ58="","",Ma!AZ58)</f>
        <v/>
      </c>
      <c r="BA58" s="111">
        <f>IFERROR(IF(AY58="","",(COUNTIF($F$13:$AQ$63,CONCATENATE(AY58,"*"))/2+COUNTIF($F$13:$AQ$63,CONCATENATE("x",AY58,"*"))/4)),"")</f>
        <v/>
      </c>
      <c r="BB58" s="838" t="n"/>
      <c r="BC58" s="31">
        <f>IF(Planning!B51="","",Planning!B51)</f>
        <v/>
      </c>
      <c r="BD58" s="105" t="n"/>
      <c r="BE58" s="885">
        <f>Planning!E51</f>
        <v/>
      </c>
      <c r="BF58" s="885">
        <f>Planning!F51</f>
        <v/>
      </c>
      <c r="BG58" s="886" t="n"/>
      <c r="BH58" s="105" t="n"/>
      <c r="BI58" s="885">
        <f>Planning!I51</f>
        <v/>
      </c>
      <c r="BJ58" s="885">
        <f>Planning!J51</f>
        <v/>
      </c>
      <c r="BK58" s="886" t="n"/>
      <c r="BL58" s="105" t="n"/>
      <c r="BM58" s="885">
        <f>Planning!M51</f>
        <v/>
      </c>
      <c r="BN58" s="885">
        <f>Planning!N51</f>
        <v/>
      </c>
      <c r="BO58" s="886" t="n"/>
      <c r="BP58" s="105" t="n"/>
      <c r="BQ58" s="885">
        <f>Planning!Q51</f>
        <v/>
      </c>
      <c r="BR58" s="885">
        <f>Planning!R51</f>
        <v/>
      </c>
      <c r="BS58" s="886" t="n"/>
      <c r="BT58" s="105" t="n"/>
      <c r="BU58" s="885">
        <f>Planning!U51</f>
        <v/>
      </c>
      <c r="BV58" s="885">
        <f>Planning!V51</f>
        <v/>
      </c>
      <c r="BW58" s="886" t="n"/>
      <c r="BX58" s="105" t="n"/>
      <c r="BY58" s="885">
        <f>Planning!Y51</f>
        <v/>
      </c>
      <c r="BZ58" s="885">
        <f>Planning!Z51</f>
        <v/>
      </c>
      <c r="CA58" s="886" t="n"/>
      <c r="CB58" s="105" t="n"/>
      <c r="CC58" s="885">
        <f>Planning!AC51</f>
        <v/>
      </c>
      <c r="CD58" s="885">
        <f>Planning!AD51</f>
        <v/>
      </c>
      <c r="CE58" s="886" t="n"/>
      <c r="CF58" s="105" t="n"/>
      <c r="CG58" s="887">
        <f>Planning!AG51</f>
        <v/>
      </c>
      <c r="CH58" s="105" t="n"/>
      <c r="CI58" s="252">
        <f>IF(BC58="","",Planning!AI51)</f>
        <v/>
      </c>
      <c r="CJ58" s="252">
        <f>IF(BC58="","",Planning!AJ51)</f>
        <v/>
      </c>
      <c r="CK58" s="252">
        <f>IF(BC58="","",Planning!AK51)</f>
        <v/>
      </c>
      <c r="CL58" s="252">
        <f>IF(BC58="","",Planning!AH51)</f>
        <v/>
      </c>
      <c r="CM58" s="21" t="n"/>
    </row>
    <row r="59" ht="12.75" customHeight="1">
      <c r="A59" s="161">
        <f>IFERROR(IF(VLOOKUP($B59,$BC$13:$CL$86,36,FALSE)&gt;5,0,IF(COUNTIF($B$13:$B$63,$B59)&gt;1,0,47)),47)+IF(B59&lt;&gt;0,0,IF(AV59&gt;0,0.000001,0))</f>
        <v/>
      </c>
      <c r="B59" s="129" t="n"/>
      <c r="C59" s="48">
        <f>IFERROR(IF($B59="","",VLOOKUP($B59,Medewerker!$C$8:$AI$107,33,FALSE)),"?")</f>
        <v/>
      </c>
      <c r="D59" s="879">
        <f t="array" ref="D59">IFERROR(IF(LEFT(INDEX($F59:$AQ59,1,SUM(SMALL(IF($F59:$AQ59&lt;&gt;"",COLUMN($F59:$AQ59)),1)-5)),1)="x",SUM(SMALL(IF($F59:$AQ59&lt;&gt;"",$F$11:$AQ$11),1)+"0:15"),SMALL(IF($F59:$AQ59&lt;&gt;"",$F$11:$AQ$11),1)),"")</f>
        <v/>
      </c>
      <c r="E59" s="879">
        <f t="array" ref="E59">IFERROR(IF(LEFT(INDEX($F59:$AQ59,1,SUM(LARGE(IF($F59:$AQ59&lt;&gt;"",COLUMN($F59:$AQ59)),1)-5)),1)="x",SUM(LARGE(IF($F59:$AQ59&lt;&gt;"",$F$11:$AQ$11+"0:30:00"),1)-"0:15"),LARGE(IF($F59:$AQ59&lt;&gt;"",$F$11:$AQ$11+"0:30:00"),1)),"")</f>
        <v/>
      </c>
      <c r="F59" s="43" t="n"/>
      <c r="G59" s="42" t="n"/>
      <c r="H59" s="43" t="n"/>
      <c r="I59" s="42" t="n"/>
      <c r="J59" s="43" t="n"/>
      <c r="K59" s="41" t="n"/>
      <c r="L59" s="40" t="n"/>
      <c r="M59" s="42" t="n"/>
      <c r="N59" s="43" t="n"/>
      <c r="O59" s="41" t="n"/>
      <c r="P59" s="40" t="n"/>
      <c r="Q59" s="42" t="n"/>
      <c r="R59" s="43" t="n"/>
      <c r="S59" s="41" t="n"/>
      <c r="T59" s="40" t="n"/>
      <c r="U59" s="42" t="n"/>
      <c r="V59" s="43" t="n"/>
      <c r="W59" s="41" t="n"/>
      <c r="X59" s="40" t="n"/>
      <c r="Y59" s="42" t="n"/>
      <c r="Z59" s="43" t="n"/>
      <c r="AA59" s="41" t="n"/>
      <c r="AB59" s="40" t="n"/>
      <c r="AC59" s="42" t="n"/>
      <c r="AD59" s="43" t="n"/>
      <c r="AE59" s="41" t="n"/>
      <c r="AF59" s="40" t="n"/>
      <c r="AG59" s="42" t="n"/>
      <c r="AH59" s="43" t="n"/>
      <c r="AI59" s="41" t="n"/>
      <c r="AJ59" s="40" t="n"/>
      <c r="AK59" s="42" t="n"/>
      <c r="AL59" s="43" t="n"/>
      <c r="AM59" s="41" t="n"/>
      <c r="AN59" s="645" t="n"/>
      <c r="AO59" s="42" t="n"/>
      <c r="AP59" s="43" t="n"/>
      <c r="AQ59" s="42" t="n"/>
      <c r="AR59" s="888">
        <f>IFERROR(IF(VLOOKUP($B59,Medewerker!$C$8:$AC$107,27,FALSE)="",VLOOKUP($B59,Medewerker!$C$8:$AC$107,25,FALSE),0),0)</f>
        <v/>
      </c>
      <c r="AS59" s="888">
        <f>IFERROR(IF(B59="",1,IF(VLOOKUP($B59,Medewerker!$C$8:$AY$107,27,FALSE)="",VLOOKUP($B59,Medewerker!$C$8:$AY$107,26,FALSE),0)),0)</f>
        <v/>
      </c>
      <c r="AT59" s="45" t="n"/>
      <c r="AU59" s="46">
        <f>(COUNTIF(F59:AQ59,"afw"))/2</f>
        <v/>
      </c>
      <c r="AV59" s="111">
        <f>((38-(COUNTIF(F59:AQ59,"")))/2)-(COUNTIF(F59:AQ59,"p")/2)-(COUNTIF(F59:AQ59,CONCATENATE("x","*"))/4)</f>
        <v/>
      </c>
      <c r="AW59" s="73">
        <f>IF($B59="","",VLOOKUP($B59,Medewerker!$C$8:$E$107,3,FALSE))</f>
        <v/>
      </c>
      <c r="AX59" s="403">
        <f>IFERROR(VLOOKUP($B59,Planning!$B$6:$AG$105,32,FALSE)*24,"")</f>
        <v/>
      </c>
      <c r="AY59" s="411">
        <f>IF(Ma!AY59="","",Ma!AY59)</f>
        <v/>
      </c>
      <c r="AZ59" s="166">
        <f>IF(Ma!AZ59="","",Ma!AZ59)</f>
        <v/>
      </c>
      <c r="BA59" s="111">
        <f>IFERROR(IF(AY59="","",(COUNTIF($F$13:$AQ$63,CONCATENATE(AY59,"*"))/2+COUNTIF($F$13:$AQ$63,CONCATENATE("x",AY59,"*"))/4)),"")</f>
        <v/>
      </c>
      <c r="BB59" s="838" t="n"/>
      <c r="BC59" s="31">
        <f>IF(Planning!B52="","",Planning!B52)</f>
        <v/>
      </c>
      <c r="BD59" s="105" t="n"/>
      <c r="BE59" s="885">
        <f>Planning!E52</f>
        <v/>
      </c>
      <c r="BF59" s="885">
        <f>Planning!F52</f>
        <v/>
      </c>
      <c r="BG59" s="886" t="n"/>
      <c r="BH59" s="105" t="n"/>
      <c r="BI59" s="885">
        <f>Planning!I52</f>
        <v/>
      </c>
      <c r="BJ59" s="885">
        <f>Planning!J52</f>
        <v/>
      </c>
      <c r="BK59" s="886" t="n"/>
      <c r="BL59" s="105" t="n"/>
      <c r="BM59" s="885">
        <f>Planning!M52</f>
        <v/>
      </c>
      <c r="BN59" s="885">
        <f>Planning!N52</f>
        <v/>
      </c>
      <c r="BO59" s="886" t="n"/>
      <c r="BP59" s="105" t="n"/>
      <c r="BQ59" s="885">
        <f>Planning!Q52</f>
        <v/>
      </c>
      <c r="BR59" s="885">
        <f>Planning!R52</f>
        <v/>
      </c>
      <c r="BS59" s="886" t="n"/>
      <c r="BT59" s="105" t="n"/>
      <c r="BU59" s="885">
        <f>Planning!U52</f>
        <v/>
      </c>
      <c r="BV59" s="885">
        <f>Planning!V52</f>
        <v/>
      </c>
      <c r="BW59" s="886" t="n"/>
      <c r="BX59" s="105" t="n"/>
      <c r="BY59" s="885">
        <f>Planning!Y52</f>
        <v/>
      </c>
      <c r="BZ59" s="885">
        <f>Planning!Z52</f>
        <v/>
      </c>
      <c r="CA59" s="886" t="n"/>
      <c r="CB59" s="105" t="n"/>
      <c r="CC59" s="885">
        <f>Planning!AC52</f>
        <v/>
      </c>
      <c r="CD59" s="885">
        <f>Planning!AD52</f>
        <v/>
      </c>
      <c r="CE59" s="886" t="n"/>
      <c r="CF59" s="105" t="n"/>
      <c r="CG59" s="887">
        <f>Planning!AG52</f>
        <v/>
      </c>
      <c r="CH59" s="105" t="n"/>
      <c r="CI59" s="252">
        <f>IF(BC59="","",Planning!AI52)</f>
        <v/>
      </c>
      <c r="CJ59" s="252">
        <f>IF(BC59="","",Planning!AJ52)</f>
        <v/>
      </c>
      <c r="CK59" s="252">
        <f>IF(BC59="","",Planning!AK52)</f>
        <v/>
      </c>
      <c r="CL59" s="252">
        <f>IF(BC59="","",Planning!AH52)</f>
        <v/>
      </c>
      <c r="CM59" s="21" t="n"/>
    </row>
    <row r="60" ht="12.75" customHeight="1">
      <c r="A60" s="161">
        <f>IFERROR(IF(VLOOKUP($B60,$BC$13:$CL$86,36,FALSE)&gt;5,0,IF(COUNTIF($B$13:$B$63,$B60)&gt;1,0,48)),48)+IF(B60&lt;&gt;0,0,IF(AV60&gt;0,0.000001,0))</f>
        <v/>
      </c>
      <c r="B60" s="129" t="n"/>
      <c r="C60" s="48">
        <f>IFERROR(IF($B60="","",VLOOKUP($B60,Medewerker!$C$8:$AI$107,33,FALSE)),"?")</f>
        <v/>
      </c>
      <c r="D60" s="879">
        <f t="array" ref="D60">IFERROR(IF(LEFT(INDEX($F60:$AQ60,1,SUM(SMALL(IF($F60:$AQ60&lt;&gt;"",COLUMN($F60:$AQ60)),1)-5)),1)="x",SUM(SMALL(IF($F60:$AQ60&lt;&gt;"",$F$11:$AQ$11),1)+"0:15"),SMALL(IF($F60:$AQ60&lt;&gt;"",$F$11:$AQ$11),1)),"")</f>
        <v/>
      </c>
      <c r="E60" s="879">
        <f t="array" ref="E60">IFERROR(IF(LEFT(INDEX($F60:$AQ60,1,SUM(LARGE(IF($F60:$AQ60&lt;&gt;"",COLUMN($F60:$AQ60)),1)-5)),1)="x",SUM(LARGE(IF($F60:$AQ60&lt;&gt;"",$F$11:$AQ$11+"0:30:00"),1)-"0:15"),LARGE(IF($F60:$AQ60&lt;&gt;"",$F$11:$AQ$11+"0:30:00"),1)),"")</f>
        <v/>
      </c>
      <c r="F60" s="43" t="n"/>
      <c r="G60" s="42" t="n"/>
      <c r="H60" s="43" t="n"/>
      <c r="I60" s="42" t="n"/>
      <c r="J60" s="43" t="n"/>
      <c r="K60" s="41" t="n"/>
      <c r="L60" s="40" t="n"/>
      <c r="M60" s="42" t="n"/>
      <c r="N60" s="43" t="n"/>
      <c r="O60" s="41" t="n"/>
      <c r="P60" s="40" t="n"/>
      <c r="Q60" s="42" t="n"/>
      <c r="R60" s="43" t="n"/>
      <c r="S60" s="41" t="n"/>
      <c r="T60" s="40" t="n"/>
      <c r="U60" s="42" t="n"/>
      <c r="V60" s="43" t="n"/>
      <c r="W60" s="41" t="n"/>
      <c r="X60" s="40" t="n"/>
      <c r="Y60" s="42" t="n"/>
      <c r="Z60" s="43" t="n"/>
      <c r="AA60" s="41" t="n"/>
      <c r="AB60" s="40" t="n"/>
      <c r="AC60" s="42" t="n"/>
      <c r="AD60" s="43" t="n"/>
      <c r="AE60" s="41" t="n"/>
      <c r="AF60" s="40" t="n"/>
      <c r="AG60" s="42" t="n"/>
      <c r="AH60" s="43" t="n"/>
      <c r="AI60" s="41" t="n"/>
      <c r="AJ60" s="40" t="n"/>
      <c r="AK60" s="42" t="n"/>
      <c r="AL60" s="43" t="n"/>
      <c r="AM60" s="41" t="n"/>
      <c r="AN60" s="645" t="n"/>
      <c r="AO60" s="42" t="n"/>
      <c r="AP60" s="43" t="n"/>
      <c r="AQ60" s="42" t="n"/>
      <c r="AR60" s="888">
        <f>IFERROR(IF(VLOOKUP($B60,Medewerker!$C$8:$AC$107,27,FALSE)="",VLOOKUP($B60,Medewerker!$C$8:$AC$107,25,FALSE),0),0)</f>
        <v/>
      </c>
      <c r="AS60" s="888">
        <f>IFERROR(IF(B60="",1,IF(VLOOKUP($B60,Medewerker!$C$8:$AY$107,27,FALSE)="",VLOOKUP($B60,Medewerker!$C$8:$AY$107,26,FALSE),0)),0)</f>
        <v/>
      </c>
      <c r="AT60" s="45" t="n"/>
      <c r="AU60" s="46">
        <f>(COUNTIF(F60:AQ60,"afw"))/2</f>
        <v/>
      </c>
      <c r="AV60" s="111">
        <f>((38-(COUNTIF(F60:AQ60,"")))/2)-(COUNTIF(F60:AQ60,"p")/2)-(COUNTIF(F60:AQ60,CONCATENATE("x","*"))/4)</f>
        <v/>
      </c>
      <c r="AW60" s="73">
        <f>IF($B60="","",VLOOKUP($B60,Medewerker!$C$8:$E$107,3,FALSE))</f>
        <v/>
      </c>
      <c r="AX60" s="403">
        <f>IFERROR(VLOOKUP($B60,Planning!$B$6:$AG$105,32,FALSE)*24,"")</f>
        <v/>
      </c>
      <c r="AY60" s="411">
        <f>IF(Ma!AY60="","",Ma!AY60)</f>
        <v/>
      </c>
      <c r="AZ60" s="166">
        <f>IF(Ma!AZ60="","",Ma!AZ60)</f>
        <v/>
      </c>
      <c r="BA60" s="111">
        <f>IFERROR(IF(AY60="","",(COUNTIF($F$13:$AQ$63,CONCATENATE(AY60,"*"))/2+COUNTIF($F$13:$AQ$63,CONCATENATE("x",AY60,"*"))/4)),"")</f>
        <v/>
      </c>
      <c r="BB60" s="838" t="n"/>
      <c r="BC60" s="31">
        <f>IF(Planning!B53="","",Planning!B53)</f>
        <v/>
      </c>
      <c r="BD60" s="105" t="n"/>
      <c r="BE60" s="885">
        <f>Planning!E53</f>
        <v/>
      </c>
      <c r="BF60" s="885">
        <f>Planning!F53</f>
        <v/>
      </c>
      <c r="BG60" s="886" t="n"/>
      <c r="BH60" s="105" t="n"/>
      <c r="BI60" s="885">
        <f>Planning!I53</f>
        <v/>
      </c>
      <c r="BJ60" s="885">
        <f>Planning!J53</f>
        <v/>
      </c>
      <c r="BK60" s="886" t="n"/>
      <c r="BL60" s="105" t="n"/>
      <c r="BM60" s="885">
        <f>Planning!M53</f>
        <v/>
      </c>
      <c r="BN60" s="885">
        <f>Planning!N53</f>
        <v/>
      </c>
      <c r="BO60" s="886" t="n"/>
      <c r="BP60" s="105" t="n"/>
      <c r="BQ60" s="885">
        <f>Planning!Q53</f>
        <v/>
      </c>
      <c r="BR60" s="885">
        <f>Planning!R53</f>
        <v/>
      </c>
      <c r="BS60" s="886" t="n"/>
      <c r="BT60" s="105" t="n"/>
      <c r="BU60" s="885">
        <f>Planning!U53</f>
        <v/>
      </c>
      <c r="BV60" s="885">
        <f>Planning!V53</f>
        <v/>
      </c>
      <c r="BW60" s="886" t="n"/>
      <c r="BX60" s="105" t="n"/>
      <c r="BY60" s="885">
        <f>Planning!Y53</f>
        <v/>
      </c>
      <c r="BZ60" s="885">
        <f>Planning!Z53</f>
        <v/>
      </c>
      <c r="CA60" s="886" t="n"/>
      <c r="CB60" s="105" t="n"/>
      <c r="CC60" s="885">
        <f>Planning!AC53</f>
        <v/>
      </c>
      <c r="CD60" s="885">
        <f>Planning!AD53</f>
        <v/>
      </c>
      <c r="CE60" s="886" t="n"/>
      <c r="CF60" s="105" t="n"/>
      <c r="CG60" s="887">
        <f>Planning!AG53</f>
        <v/>
      </c>
      <c r="CH60" s="105" t="n"/>
      <c r="CI60" s="252">
        <f>IF(BC60="","",Planning!AI53)</f>
        <v/>
      </c>
      <c r="CJ60" s="252">
        <f>IF(BC60="","",Planning!AJ53)</f>
        <v/>
      </c>
      <c r="CK60" s="252">
        <f>IF(BC60="","",Planning!AK53)</f>
        <v/>
      </c>
      <c r="CL60" s="252">
        <f>IF(BC60="","",Planning!AH53)</f>
        <v/>
      </c>
      <c r="CM60" s="21" t="n"/>
    </row>
    <row r="61" ht="12.75" customHeight="1">
      <c r="A61" s="161">
        <f>IFERROR(IF(VLOOKUP($B61,$BC$13:$CL$86,36,FALSE)&gt;5,0,IF(COUNTIF($B$13:$B$63,$B61)&gt;1,0,49)),49)+IF(B61&lt;&gt;0,0,IF(AV61&gt;0,0.000001,0))</f>
        <v/>
      </c>
      <c r="B61" s="129" t="n"/>
      <c r="C61" s="48">
        <f>IFERROR(IF($B61="","",VLOOKUP($B61,Medewerker!$C$8:$AI$107,33,FALSE)),"?")</f>
        <v/>
      </c>
      <c r="D61" s="879">
        <f t="array" ref="D61">IFERROR(IF(LEFT(INDEX($F61:$AQ61,1,SUM(SMALL(IF($F61:$AQ61&lt;&gt;"",COLUMN($F61:$AQ61)),1)-5)),1)="x",SUM(SMALL(IF($F61:$AQ61&lt;&gt;"",$F$11:$AQ$11),1)+"0:15"),SMALL(IF($F61:$AQ61&lt;&gt;"",$F$11:$AQ$11),1)),"")</f>
        <v/>
      </c>
      <c r="E61" s="879">
        <f t="array" ref="E61">IFERROR(IF(LEFT(INDEX($F61:$AQ61,1,SUM(LARGE(IF($F61:$AQ61&lt;&gt;"",COLUMN($F61:$AQ61)),1)-5)),1)="x",SUM(LARGE(IF($F61:$AQ61&lt;&gt;"",$F$11:$AQ$11+"0:30:00"),1)-"0:15"),LARGE(IF($F61:$AQ61&lt;&gt;"",$F$11:$AQ$11+"0:30:00"),1)),"")</f>
        <v/>
      </c>
      <c r="F61" s="43" t="n"/>
      <c r="G61" s="42" t="n"/>
      <c r="H61" s="43" t="n"/>
      <c r="I61" s="42" t="n"/>
      <c r="J61" s="43" t="n"/>
      <c r="K61" s="41" t="n"/>
      <c r="L61" s="40" t="n"/>
      <c r="M61" s="42" t="n"/>
      <c r="N61" s="43" t="n"/>
      <c r="O61" s="41" t="n"/>
      <c r="P61" s="40" t="n"/>
      <c r="Q61" s="42" t="n"/>
      <c r="R61" s="43" t="n"/>
      <c r="S61" s="41" t="n"/>
      <c r="T61" s="40" t="n"/>
      <c r="U61" s="42" t="n"/>
      <c r="V61" s="43" t="n"/>
      <c r="W61" s="41" t="n"/>
      <c r="X61" s="40" t="n"/>
      <c r="Y61" s="42" t="n"/>
      <c r="Z61" s="43" t="n"/>
      <c r="AA61" s="41" t="n"/>
      <c r="AB61" s="40" t="n"/>
      <c r="AC61" s="42" t="n"/>
      <c r="AD61" s="43" t="n"/>
      <c r="AE61" s="41" t="n"/>
      <c r="AF61" s="40" t="n"/>
      <c r="AG61" s="42" t="n"/>
      <c r="AH61" s="43" t="n"/>
      <c r="AI61" s="41" t="n"/>
      <c r="AJ61" s="40" t="n"/>
      <c r="AK61" s="42" t="n"/>
      <c r="AL61" s="43" t="n"/>
      <c r="AM61" s="41" t="n"/>
      <c r="AN61" s="645" t="n"/>
      <c r="AO61" s="42" t="n"/>
      <c r="AP61" s="43" t="n"/>
      <c r="AQ61" s="42" t="n"/>
      <c r="AR61" s="888">
        <f>IFERROR(IF(VLOOKUP($B61,Medewerker!$C$8:$AC$107,27,FALSE)="",VLOOKUP($B61,Medewerker!$C$8:$AC$107,25,FALSE),0),0)</f>
        <v/>
      </c>
      <c r="AS61" s="888">
        <f>IFERROR(IF(B61="",1,IF(VLOOKUP($B61,Medewerker!$C$8:$AY$107,27,FALSE)="",VLOOKUP($B61,Medewerker!$C$8:$AY$107,26,FALSE),0)),0)</f>
        <v/>
      </c>
      <c r="AT61" s="45" t="n"/>
      <c r="AU61" s="46">
        <f>(COUNTIF(F61:AQ61,"afw"))/2</f>
        <v/>
      </c>
      <c r="AV61" s="111">
        <f>((38-(COUNTIF(F61:AQ61,"")))/2)-(COUNTIF(F61:AQ61,"p")/2)-(COUNTIF(F61:AQ61,CONCATENATE("x","*"))/4)</f>
        <v/>
      </c>
      <c r="AW61" s="73">
        <f>IF($B61="","",VLOOKUP($B61,Medewerker!$C$8:$E$107,3,FALSE))</f>
        <v/>
      </c>
      <c r="AX61" s="403">
        <f>IFERROR(VLOOKUP($B61,Planning!$B$6:$AG$105,32,FALSE)*24,"")</f>
        <v/>
      </c>
      <c r="AY61" s="892" t="inlineStr">
        <is>
          <t>Taken zonder legenda</t>
        </is>
      </c>
      <c r="AZ61" s="893" t="n"/>
      <c r="BA61" s="565">
        <f>$BA$65</f>
        <v/>
      </c>
      <c r="BB61" s="838" t="n"/>
      <c r="BC61" s="31">
        <f>IF(Planning!B54="","",Planning!B54)</f>
        <v/>
      </c>
      <c r="BD61" s="105" t="n"/>
      <c r="BE61" s="885">
        <f>Planning!E54</f>
        <v/>
      </c>
      <c r="BF61" s="885">
        <f>Planning!F54</f>
        <v/>
      </c>
      <c r="BG61" s="886" t="n"/>
      <c r="BH61" s="105" t="n"/>
      <c r="BI61" s="885">
        <f>Planning!I54</f>
        <v/>
      </c>
      <c r="BJ61" s="885">
        <f>Planning!J54</f>
        <v/>
      </c>
      <c r="BK61" s="886" t="n"/>
      <c r="BL61" s="105" t="n"/>
      <c r="BM61" s="885">
        <f>Planning!M54</f>
        <v/>
      </c>
      <c r="BN61" s="885">
        <f>Planning!N54</f>
        <v/>
      </c>
      <c r="BO61" s="886" t="n"/>
      <c r="BP61" s="105" t="n"/>
      <c r="BQ61" s="885">
        <f>Planning!Q54</f>
        <v/>
      </c>
      <c r="BR61" s="885">
        <f>Planning!R54</f>
        <v/>
      </c>
      <c r="BS61" s="886" t="n"/>
      <c r="BT61" s="105" t="n"/>
      <c r="BU61" s="885">
        <f>Planning!U54</f>
        <v/>
      </c>
      <c r="BV61" s="885">
        <f>Planning!V54</f>
        <v/>
      </c>
      <c r="BW61" s="886" t="n"/>
      <c r="BX61" s="105" t="n"/>
      <c r="BY61" s="885">
        <f>Planning!Y54</f>
        <v/>
      </c>
      <c r="BZ61" s="885">
        <f>Planning!Z54</f>
        <v/>
      </c>
      <c r="CA61" s="886" t="n"/>
      <c r="CB61" s="105" t="n"/>
      <c r="CC61" s="885">
        <f>Planning!AC54</f>
        <v/>
      </c>
      <c r="CD61" s="885">
        <f>Planning!AD54</f>
        <v/>
      </c>
      <c r="CE61" s="886" t="n"/>
      <c r="CF61" s="105" t="n"/>
      <c r="CG61" s="887">
        <f>Planning!AG54</f>
        <v/>
      </c>
      <c r="CH61" s="105" t="n"/>
      <c r="CI61" s="252">
        <f>IF(BC61="","",Planning!AI54)</f>
        <v/>
      </c>
      <c r="CJ61" s="252">
        <f>IF(BC61="","",Planning!AJ54)</f>
        <v/>
      </c>
      <c r="CK61" s="252">
        <f>IF(BC61="","",Planning!AK54)</f>
        <v/>
      </c>
      <c r="CL61" s="252">
        <f>IF(BC61="","",Planning!AH54)</f>
        <v/>
      </c>
      <c r="CM61" s="21" t="n"/>
    </row>
    <row r="62" ht="12.75" customHeight="1">
      <c r="A62" s="161">
        <f>IFERROR(IF(VLOOKUP($B62,$BC$13:$CL$86,36,FALSE)&gt;5,0,IF(COUNTIF($B$13:$B$63,$B62)&gt;1,0,50)),50)+IF(B62&lt;&gt;0,0,IF(AV62&gt;0,0.000001,0))</f>
        <v/>
      </c>
      <c r="B62" s="129" t="n"/>
      <c r="C62" s="48">
        <f>IFERROR(IF($B62="","",VLOOKUP($B62,Medewerker!$C$8:$AI$107,33,FALSE)),"?")</f>
        <v/>
      </c>
      <c r="D62" s="879">
        <f t="array" ref="D62">IFERROR(IF(LEFT(INDEX($F62:$AQ62,1,SUM(SMALL(IF($F62:$AQ62&lt;&gt;"",COLUMN($F62:$AQ62)),1)-5)),1)="x",SUM(SMALL(IF($F62:$AQ62&lt;&gt;"",$F$11:$AQ$11),1)+"0:15"),SMALL(IF($F62:$AQ62&lt;&gt;"",$F$11:$AQ$11),1)),"")</f>
        <v/>
      </c>
      <c r="E62" s="879">
        <f t="array" ref="E62">IFERROR(IF(LEFT(INDEX($F62:$AQ62,1,SUM(LARGE(IF($F62:$AQ62&lt;&gt;"",COLUMN($F62:$AQ62)),1)-5)),1)="x",SUM(LARGE(IF($F62:$AQ62&lt;&gt;"",$F$11:$AQ$11+"0:30:00"),1)-"0:15"),LARGE(IF($F62:$AQ62&lt;&gt;"",$F$11:$AQ$11+"0:30:00"),1)),"")</f>
        <v/>
      </c>
      <c r="F62" s="43" t="n"/>
      <c r="G62" s="42" t="n"/>
      <c r="H62" s="43" t="n"/>
      <c r="I62" s="42" t="n"/>
      <c r="J62" s="43" t="n"/>
      <c r="K62" s="41" t="n"/>
      <c r="L62" s="40" t="n"/>
      <c r="M62" s="42" t="n"/>
      <c r="N62" s="43" t="n"/>
      <c r="O62" s="41" t="n"/>
      <c r="P62" s="40" t="n"/>
      <c r="Q62" s="42" t="n"/>
      <c r="R62" s="43" t="n"/>
      <c r="S62" s="41" t="n"/>
      <c r="T62" s="40" t="n"/>
      <c r="U62" s="42" t="n"/>
      <c r="V62" s="43" t="n"/>
      <c r="W62" s="41" t="n"/>
      <c r="X62" s="40" t="n"/>
      <c r="Y62" s="42" t="n"/>
      <c r="Z62" s="43" t="n"/>
      <c r="AA62" s="41" t="n"/>
      <c r="AB62" s="40" t="n"/>
      <c r="AC62" s="42" t="n"/>
      <c r="AD62" s="43" t="n"/>
      <c r="AE62" s="41" t="n"/>
      <c r="AF62" s="40" t="n"/>
      <c r="AG62" s="42" t="n"/>
      <c r="AH62" s="43" t="n"/>
      <c r="AI62" s="41" t="n"/>
      <c r="AJ62" s="40" t="n"/>
      <c r="AK62" s="42" t="n"/>
      <c r="AL62" s="43" t="n"/>
      <c r="AM62" s="41" t="n"/>
      <c r="AN62" s="645" t="n"/>
      <c r="AO62" s="42" t="n"/>
      <c r="AP62" s="43" t="n"/>
      <c r="AQ62" s="42" t="n"/>
      <c r="AR62" s="888">
        <f>IFERROR(IF(VLOOKUP($B62,Medewerker!$C$8:$AC$107,27,FALSE)="",VLOOKUP($B62,Medewerker!$C$8:$AC$107,25,FALSE),0),0)</f>
        <v/>
      </c>
      <c r="AS62" s="888">
        <f>IFERROR(IF(B62="",1,IF(VLOOKUP($B62,Medewerker!$C$8:$AY$107,27,FALSE)="",VLOOKUP($B62,Medewerker!$C$8:$AY$107,26,FALSE),0)),0)</f>
        <v/>
      </c>
      <c r="AT62" s="45" t="n"/>
      <c r="AU62" s="46">
        <f>(COUNTIF(F62:AQ62,"afw"))/2</f>
        <v/>
      </c>
      <c r="AV62" s="111">
        <f>((38-(COUNTIF(F62:AQ62,"")))/2)-(COUNTIF(F62:AQ62,"p")/2)-(COUNTIF(F62:AQ62,CONCATENATE("x","*"))/4)</f>
        <v/>
      </c>
      <c r="AW62" s="73">
        <f>IF($B62="","",VLOOKUP($B62,Medewerker!$C$8:$E$107,3,FALSE))</f>
        <v/>
      </c>
      <c r="AX62" s="403">
        <f>IFERROR(VLOOKUP($B62,Planning!$B$6:$AG$105,32,FALSE)*24,"")</f>
        <v/>
      </c>
      <c r="AY62" s="409" t="inlineStr">
        <is>
          <t>p</t>
        </is>
      </c>
      <c r="AZ62" s="167" t="inlineStr">
        <is>
          <t>Pauze (onbetaald)</t>
        </is>
      </c>
      <c r="BA62" s="410">
        <f>MAX((COUNTIF($F$13:$AQ$63,CONCATENATE(AY62,"*"))/2+COUNTIF($F$13:$AQ$63,CONCATENATE("x",AY62,"*"))/4)-SUM(BA57,BA51,BA45,BA44),0)</f>
        <v/>
      </c>
      <c r="BB62" s="838" t="n"/>
      <c r="BC62" s="31">
        <f>IF(Planning!B55="","",Planning!B55)</f>
        <v/>
      </c>
      <c r="BD62" s="105" t="n"/>
      <c r="BE62" s="885">
        <f>Planning!E55</f>
        <v/>
      </c>
      <c r="BF62" s="885">
        <f>Planning!F55</f>
        <v/>
      </c>
      <c r="BG62" s="886" t="n"/>
      <c r="BH62" s="105" t="n"/>
      <c r="BI62" s="885">
        <f>Planning!I55</f>
        <v/>
      </c>
      <c r="BJ62" s="885">
        <f>Planning!J55</f>
        <v/>
      </c>
      <c r="BK62" s="886" t="n"/>
      <c r="BL62" s="105" t="n"/>
      <c r="BM62" s="885">
        <f>Planning!M55</f>
        <v/>
      </c>
      <c r="BN62" s="885">
        <f>Planning!N55</f>
        <v/>
      </c>
      <c r="BO62" s="886" t="n"/>
      <c r="BP62" s="105" t="n"/>
      <c r="BQ62" s="885">
        <f>Planning!Q55</f>
        <v/>
      </c>
      <c r="BR62" s="885">
        <f>Planning!R55</f>
        <v/>
      </c>
      <c r="BS62" s="886" t="n"/>
      <c r="BT62" s="105" t="n"/>
      <c r="BU62" s="885">
        <f>Planning!U55</f>
        <v/>
      </c>
      <c r="BV62" s="885">
        <f>Planning!V55</f>
        <v/>
      </c>
      <c r="BW62" s="886" t="n"/>
      <c r="BX62" s="105" t="n"/>
      <c r="BY62" s="885">
        <f>Planning!Y55</f>
        <v/>
      </c>
      <c r="BZ62" s="885">
        <f>Planning!Z55</f>
        <v/>
      </c>
      <c r="CA62" s="886" t="n"/>
      <c r="CB62" s="105" t="n"/>
      <c r="CC62" s="885">
        <f>Planning!AC55</f>
        <v/>
      </c>
      <c r="CD62" s="885">
        <f>Planning!AD55</f>
        <v/>
      </c>
      <c r="CE62" s="886" t="n"/>
      <c r="CF62" s="105" t="n"/>
      <c r="CG62" s="887">
        <f>Planning!AG55</f>
        <v/>
      </c>
      <c r="CH62" s="105" t="n"/>
      <c r="CI62" s="252">
        <f>IF(BC62="","",Planning!AI55)</f>
        <v/>
      </c>
      <c r="CJ62" s="252">
        <f>IF(BC62="","",Planning!AJ55)</f>
        <v/>
      </c>
      <c r="CK62" s="252">
        <f>IF(BC62="","",Planning!AK55)</f>
        <v/>
      </c>
      <c r="CL62" s="252">
        <f>IF(BC62="","",Planning!AH55)</f>
        <v/>
      </c>
      <c r="CM62" s="21" t="n"/>
    </row>
    <row r="63" ht="12.75" customHeight="1">
      <c r="A63" s="161">
        <f>IFERROR(IF(VLOOKUP($B63,$BC$13:$CL$86,36,FALSE)&gt;5,0,IF(COUNTIF($B$13:$B$63,$B63)&gt;1,0,51)),51)+IF(B63&lt;&gt;0,0,IF(AV63&gt;0,0.000001,0))</f>
        <v/>
      </c>
      <c r="B63" s="130" t="n"/>
      <c r="C63" s="131">
        <f>IFERROR(IF($B63="","",VLOOKUP($B63,Medewerker!$C$8:$AI$107,33,FALSE)),"?")</f>
        <v/>
      </c>
      <c r="D63" s="894">
        <f t="array" ref="D63">IFERROR(IF(LEFT(INDEX($F63:$AQ63,1,SUM(SMALL(IF($F63:$AQ63&lt;&gt;"",COLUMN($F63:$AQ63)),1)-5)),1)="x",SUM(SMALL(IF($F63:$AQ63&lt;&gt;"",$F$11:$AQ$11),1)+"0:15"),SMALL(IF($F63:$AQ63&lt;&gt;"",$F$11:$AQ$11),1)),"")</f>
        <v/>
      </c>
      <c r="E63" s="894">
        <f t="array" ref="E63">IFERROR(IF(LEFT(INDEX($F63:$AQ63,1,SUM(LARGE(IF($F63:$AQ63&lt;&gt;"",COLUMN($F63:$AQ63)),1)-5)),1)="x",SUM(LARGE(IF($F63:$AQ63&lt;&gt;"",$F$11:$AQ$11+"0:30:00"),1)-"0:15"),LARGE(IF($F63:$AQ63&lt;&gt;"",$F$11:$AQ$11+"0:30:00"),1)),"")</f>
        <v/>
      </c>
      <c r="F63" s="133" t="n"/>
      <c r="G63" s="134" t="n"/>
      <c r="H63" s="133" t="n"/>
      <c r="I63" s="134" t="n"/>
      <c r="J63" s="133" t="n"/>
      <c r="K63" s="135" t="n"/>
      <c r="L63" s="136" t="n"/>
      <c r="M63" s="134" t="n"/>
      <c r="N63" s="133" t="n"/>
      <c r="O63" s="135" t="n"/>
      <c r="P63" s="136" t="n"/>
      <c r="Q63" s="134" t="n"/>
      <c r="R63" s="133" t="n"/>
      <c r="S63" s="135" t="n"/>
      <c r="T63" s="136" t="n"/>
      <c r="U63" s="134" t="n"/>
      <c r="V63" s="133" t="n"/>
      <c r="W63" s="135" t="n"/>
      <c r="X63" s="136" t="n"/>
      <c r="Y63" s="134" t="n"/>
      <c r="Z63" s="133" t="n"/>
      <c r="AA63" s="135" t="n"/>
      <c r="AB63" s="136" t="n"/>
      <c r="AC63" s="134" t="n"/>
      <c r="AD63" s="133" t="n"/>
      <c r="AE63" s="135" t="n"/>
      <c r="AF63" s="136" t="n"/>
      <c r="AG63" s="134" t="n"/>
      <c r="AH63" s="133" t="n"/>
      <c r="AI63" s="135" t="n"/>
      <c r="AJ63" s="136" t="n"/>
      <c r="AK63" s="134" t="n"/>
      <c r="AL63" s="133" t="n"/>
      <c r="AM63" s="135" t="n"/>
      <c r="AN63" s="646" t="n"/>
      <c r="AO63" s="134" t="n"/>
      <c r="AP63" s="133" t="n"/>
      <c r="AQ63" s="134" t="n"/>
      <c r="AR63" s="895">
        <f>IFERROR(IF(VLOOKUP($B63,Medewerker!$C$8:$AC$107,27,FALSE)="",VLOOKUP($B63,Medewerker!$C$8:$AC$107,25,FALSE),0),0)</f>
        <v/>
      </c>
      <c r="AS63" s="895">
        <f>IFERROR(IF(B63="",1,IF(VLOOKUP($B63,Medewerker!$C$8:$AY$107,27,FALSE)="",VLOOKUP($B63,Medewerker!$C$8:$AY$107,26,FALSE),0)),0)</f>
        <v/>
      </c>
      <c r="AT63" s="138" t="n"/>
      <c r="AU63" s="139">
        <f>(COUNTIF(F63:AQ63,"afw"))/2</f>
        <v/>
      </c>
      <c r="AV63" s="140">
        <f>((38-(COUNTIF(F63:AQ63,"")))/2)-(COUNTIF(F63:AQ63,"p")/2)-(COUNTIF(F63:AQ63,CONCATENATE("x","*"))/4)</f>
        <v/>
      </c>
      <c r="AW63" s="402">
        <f>IF($B63="","",VLOOKUP($B63,Medewerker!$C$8:$E$107,3,FALSE))</f>
        <v/>
      </c>
      <c r="AX63" s="405">
        <f>IFERROR(VLOOKUP($B63,Planning!$B$6:$AG$105,32,FALSE)*24,"")</f>
        <v/>
      </c>
      <c r="AY63" s="462" t="inlineStr">
        <is>
          <t>afw</t>
        </is>
      </c>
      <c r="AZ63" s="463" t="inlineStr">
        <is>
          <t>Afwezig / ziek</t>
        </is>
      </c>
      <c r="BA63" s="464">
        <f>SUM(AU13:AU63)</f>
        <v/>
      </c>
      <c r="BB63" s="838" t="n"/>
      <c r="BC63" s="31">
        <f>IF(Planning!B56="","",Planning!B56)</f>
        <v/>
      </c>
      <c r="BD63" s="105" t="n"/>
      <c r="BE63" s="885">
        <f>Planning!E56</f>
        <v/>
      </c>
      <c r="BF63" s="885">
        <f>Planning!F56</f>
        <v/>
      </c>
      <c r="BG63" s="886" t="n"/>
      <c r="BH63" s="105" t="n"/>
      <c r="BI63" s="885">
        <f>Planning!I56</f>
        <v/>
      </c>
      <c r="BJ63" s="885">
        <f>Planning!J56</f>
        <v/>
      </c>
      <c r="BK63" s="886" t="n"/>
      <c r="BL63" s="105" t="n"/>
      <c r="BM63" s="885">
        <f>Planning!M56</f>
        <v/>
      </c>
      <c r="BN63" s="885">
        <f>Planning!N56</f>
        <v/>
      </c>
      <c r="BO63" s="886" t="n"/>
      <c r="BP63" s="105" t="n"/>
      <c r="BQ63" s="885">
        <f>Planning!Q56</f>
        <v/>
      </c>
      <c r="BR63" s="885">
        <f>Planning!R56</f>
        <v/>
      </c>
      <c r="BS63" s="886" t="n"/>
      <c r="BT63" s="105" t="n"/>
      <c r="BU63" s="885">
        <f>Planning!U56</f>
        <v/>
      </c>
      <c r="BV63" s="885">
        <f>Planning!V56</f>
        <v/>
      </c>
      <c r="BW63" s="886" t="n"/>
      <c r="BX63" s="105" t="n"/>
      <c r="BY63" s="885">
        <f>Planning!Y56</f>
        <v/>
      </c>
      <c r="BZ63" s="885">
        <f>Planning!Z56</f>
        <v/>
      </c>
      <c r="CA63" s="886" t="n"/>
      <c r="CB63" s="105" t="n"/>
      <c r="CC63" s="885">
        <f>Planning!AC56</f>
        <v/>
      </c>
      <c r="CD63" s="885">
        <f>Planning!AD56</f>
        <v/>
      </c>
      <c r="CE63" s="886" t="n"/>
      <c r="CF63" s="105" t="n"/>
      <c r="CG63" s="887">
        <f>Planning!AG56</f>
        <v/>
      </c>
      <c r="CH63" s="105" t="n"/>
      <c r="CI63" s="252">
        <f>IF(BC63="","",Planning!AI56)</f>
        <v/>
      </c>
      <c r="CJ63" s="252">
        <f>IF(BC63="","",Planning!AJ56)</f>
        <v/>
      </c>
      <c r="CK63" s="252">
        <f>IF(BC63="","",Planning!AK56)</f>
        <v/>
      </c>
      <c r="CL63" s="252">
        <f>IF(BC63="","",Planning!AH56)</f>
        <v/>
      </c>
      <c r="CM63" s="21" t="n"/>
    </row>
    <row r="64" ht="13.5" customHeight="1">
      <c r="A64" s="401" t="n"/>
      <c r="B64" s="108" t="n"/>
      <c r="C64" s="109" t="n"/>
      <c r="D64" s="109" t="n"/>
      <c r="E64" s="109" t="n"/>
      <c r="F64" s="109" t="n"/>
      <c r="G64" s="109" t="n"/>
      <c r="H64" s="260" t="n"/>
      <c r="I64" s="260" t="n"/>
      <c r="J64" s="261" t="n"/>
      <c r="K64" s="261" t="n"/>
      <c r="L64" s="261" t="n"/>
      <c r="M64" s="261" t="n"/>
      <c r="N64" s="261" t="n"/>
      <c r="O64" s="261" t="n"/>
      <c r="P64" s="261" t="n"/>
      <c r="Q64" s="261" t="n"/>
      <c r="R64" s="261" t="n"/>
      <c r="S64" s="261" t="n"/>
      <c r="T64" s="261" t="n"/>
      <c r="U64" s="262" t="n"/>
      <c r="V64" s="261" t="n"/>
      <c r="W64" s="261" t="n"/>
      <c r="X64" s="261" t="n"/>
      <c r="Y64" s="261" t="n"/>
      <c r="Z64" s="261" t="n"/>
      <c r="AA64" s="261" t="n"/>
      <c r="AB64" s="261" t="n"/>
      <c r="AC64" s="261" t="n"/>
      <c r="AD64" s="261" t="n"/>
      <c r="AE64" s="261" t="n"/>
      <c r="AF64" s="261" t="n"/>
      <c r="AG64" s="261" t="n"/>
      <c r="AH64" s="262" t="n"/>
      <c r="AI64" s="262" t="n"/>
      <c r="AJ64" s="262" t="n"/>
      <c r="AK64" s="262" t="n"/>
      <c r="AL64" s="47" t="n"/>
      <c r="AM64" s="47" t="n"/>
      <c r="AN64" s="47" t="n"/>
      <c r="AO64" s="47" t="n"/>
      <c r="AP64" s="47" t="n"/>
      <c r="AQ64" s="47" t="n"/>
      <c r="AR64" s="47" t="n"/>
      <c r="AS64" s="47" t="n"/>
      <c r="AT64" s="47" t="n"/>
      <c r="AU64" s="47" t="n"/>
      <c r="AV64" s="117" t="n"/>
      <c r="AW64" s="35" t="n"/>
      <c r="AX64" s="35" t="n"/>
      <c r="AY64" s="831" t="n"/>
      <c r="AZ64" s="50" t="n"/>
      <c r="BC64" s="31">
        <f>IF(Planning!B57="","",Planning!B57)</f>
        <v/>
      </c>
      <c r="BD64" s="105" t="n"/>
      <c r="BE64" s="885">
        <f>Planning!E57</f>
        <v/>
      </c>
      <c r="BF64" s="885">
        <f>Planning!F57</f>
        <v/>
      </c>
      <c r="BG64" s="886" t="n"/>
      <c r="BH64" s="105" t="n"/>
      <c r="BI64" s="885">
        <f>Planning!I57</f>
        <v/>
      </c>
      <c r="BJ64" s="885">
        <f>Planning!J57</f>
        <v/>
      </c>
      <c r="BK64" s="886" t="n"/>
      <c r="BL64" s="105" t="n"/>
      <c r="BM64" s="885">
        <f>Planning!M57</f>
        <v/>
      </c>
      <c r="BN64" s="885">
        <f>Planning!N57</f>
        <v/>
      </c>
      <c r="BO64" s="886" t="n"/>
      <c r="BP64" s="105" t="n"/>
      <c r="BQ64" s="885">
        <f>Planning!Q57</f>
        <v/>
      </c>
      <c r="BR64" s="885">
        <f>Planning!R57</f>
        <v/>
      </c>
      <c r="BS64" s="886" t="n"/>
      <c r="BT64" s="105" t="n"/>
      <c r="BU64" s="885">
        <f>Planning!U57</f>
        <v/>
      </c>
      <c r="BV64" s="885">
        <f>Planning!V57</f>
        <v/>
      </c>
      <c r="BW64" s="886" t="n"/>
      <c r="BX64" s="105" t="n"/>
      <c r="BY64" s="885">
        <f>Planning!Y57</f>
        <v/>
      </c>
      <c r="BZ64" s="885">
        <f>Planning!Z57</f>
        <v/>
      </c>
      <c r="CA64" s="886" t="n"/>
      <c r="CB64" s="105" t="n"/>
      <c r="CC64" s="885">
        <f>Planning!AC57</f>
        <v/>
      </c>
      <c r="CD64" s="885">
        <f>Planning!AD57</f>
        <v/>
      </c>
      <c r="CE64" s="886" t="n"/>
      <c r="CF64" s="105" t="n"/>
      <c r="CG64" s="887">
        <f>Planning!AG57</f>
        <v/>
      </c>
      <c r="CH64" s="105" t="n"/>
      <c r="CI64" s="252">
        <f>IF(BC64="","",Planning!AI57)</f>
        <v/>
      </c>
      <c r="CJ64" s="252">
        <f>IF(BC64="","",Planning!AJ57)</f>
        <v/>
      </c>
      <c r="CK64" s="252">
        <f>IF(BC64="","",Planning!AK57)</f>
        <v/>
      </c>
      <c r="CL64" s="252">
        <f>IF(BC64="","",Planning!AH57)</f>
        <v/>
      </c>
      <c r="CM64" s="21" t="n"/>
    </row>
    <row r="65" ht="13.5" customHeight="1">
      <c r="A65" s="162" t="n"/>
      <c r="B65" s="896" t="inlineStr">
        <is>
          <t>Spoorboekje</t>
        </is>
      </c>
      <c r="C65" s="897" t="n"/>
      <c r="D65" s="862" t="n"/>
      <c r="E65" s="109" t="n"/>
      <c r="F65" s="109" t="n"/>
      <c r="G65" s="109" t="n"/>
      <c r="H65" s="898" t="inlineStr">
        <is>
          <t>Legenda</t>
        </is>
      </c>
      <c r="I65" s="897" t="n"/>
      <c r="J65" s="897" t="n"/>
      <c r="K65" s="897" t="n"/>
      <c r="L65" s="897" t="n"/>
      <c r="M65" s="897" t="n"/>
      <c r="N65" s="897" t="n"/>
      <c r="O65" s="897" t="n"/>
      <c r="P65" s="897" t="n"/>
      <c r="Q65" s="897" t="n"/>
      <c r="R65" s="897" t="n"/>
      <c r="S65" s="897" t="n"/>
      <c r="T65" s="897" t="n"/>
      <c r="U65" s="897" t="n"/>
      <c r="V65" s="897" t="n"/>
      <c r="W65" s="897" t="n"/>
      <c r="X65" s="897" t="n"/>
      <c r="Y65" s="897" t="n"/>
      <c r="Z65" s="897" t="n"/>
      <c r="AA65" s="897" t="n"/>
      <c r="AB65" s="897" t="n"/>
      <c r="AC65" s="897" t="n"/>
      <c r="AD65" s="897" t="n"/>
      <c r="AE65" s="897" t="n"/>
      <c r="AF65" s="897" t="n"/>
      <c r="AG65" s="897" t="n"/>
      <c r="AH65" s="897" t="n"/>
      <c r="AI65" s="897" t="n"/>
      <c r="AJ65" s="897" t="n"/>
      <c r="AK65" s="862" t="n"/>
      <c r="AL65" s="47" t="n"/>
      <c r="AM65" s="47" t="n"/>
      <c r="AN65" s="47" t="n"/>
      <c r="AO65" s="47" t="n"/>
      <c r="AP65" s="47" t="n"/>
      <c r="AQ65" s="501" t="n"/>
      <c r="AR65" s="501" t="n"/>
      <c r="AS65" s="501" t="n"/>
      <c r="AT65" s="501" t="n"/>
      <c r="AU65" s="501" t="n"/>
      <c r="AV65" s="507">
        <f>SUM(AV13:AV63)-BA63</f>
        <v/>
      </c>
      <c r="AW65" s="508" t="n"/>
      <c r="AX65" s="509" t="n"/>
      <c r="AY65" s="508" t="n"/>
      <c r="AZ65" s="510" t="n"/>
      <c r="BA65" s="511">
        <f>AV65-SUM(BA14:BA22,BA24:BA30,BA32:BA34,BA36:BA40,BA42:BA46,BA48:BA60)</f>
        <v/>
      </c>
      <c r="BC65" s="31">
        <f>IF(Planning!B58="","",Planning!B58)</f>
        <v/>
      </c>
      <c r="BD65" s="105" t="n"/>
      <c r="BE65" s="885">
        <f>Planning!E58</f>
        <v/>
      </c>
      <c r="BF65" s="885">
        <f>Planning!F58</f>
        <v/>
      </c>
      <c r="BG65" s="886" t="n"/>
      <c r="BH65" s="105" t="n"/>
      <c r="BI65" s="885">
        <f>Planning!I58</f>
        <v/>
      </c>
      <c r="BJ65" s="885">
        <f>Planning!J58</f>
        <v/>
      </c>
      <c r="BK65" s="886" t="n"/>
      <c r="BL65" s="105" t="n"/>
      <c r="BM65" s="885">
        <f>Planning!M58</f>
        <v/>
      </c>
      <c r="BN65" s="885">
        <f>Planning!N58</f>
        <v/>
      </c>
      <c r="BO65" s="886" t="n"/>
      <c r="BP65" s="105" t="n"/>
      <c r="BQ65" s="885">
        <f>Planning!Q58</f>
        <v/>
      </c>
      <c r="BR65" s="885">
        <f>Planning!R58</f>
        <v/>
      </c>
      <c r="BS65" s="886" t="n"/>
      <c r="BT65" s="105" t="n"/>
      <c r="BU65" s="885">
        <f>Planning!U58</f>
        <v/>
      </c>
      <c r="BV65" s="885">
        <f>Planning!V58</f>
        <v/>
      </c>
      <c r="BW65" s="886" t="n"/>
      <c r="BX65" s="105" t="n"/>
      <c r="BY65" s="885">
        <f>Planning!Y58</f>
        <v/>
      </c>
      <c r="BZ65" s="885">
        <f>Planning!Z58</f>
        <v/>
      </c>
      <c r="CA65" s="886" t="n"/>
      <c r="CB65" s="105" t="n"/>
      <c r="CC65" s="885">
        <f>Planning!AC58</f>
        <v/>
      </c>
      <c r="CD65" s="885">
        <f>Planning!AD58</f>
        <v/>
      </c>
      <c r="CE65" s="886" t="n"/>
      <c r="CF65" s="105" t="n"/>
      <c r="CG65" s="887">
        <f>Planning!AG58</f>
        <v/>
      </c>
      <c r="CH65" s="105" t="n"/>
      <c r="CI65" s="252">
        <f>IF(BC65="","",Planning!AI58)</f>
        <v/>
      </c>
      <c r="CJ65" s="252">
        <f>IF(BC65="","",Planning!AJ58)</f>
        <v/>
      </c>
      <c r="CK65" s="252">
        <f>IF(BC65="","",Planning!AK58)</f>
        <v/>
      </c>
      <c r="CL65" s="252">
        <f>IF(BC65="","",Planning!AH58)</f>
        <v/>
      </c>
      <c r="CM65" s="21" t="n"/>
    </row>
    <row r="66" ht="13.5" customHeight="1">
      <c r="A66" s="162" t="n"/>
      <c r="B66" s="442">
        <f>IFERROR(IF(COUNTIF(Instellingen!$R$30:$R$37,"")&gt;7,"",VLOOKUP(SMALL(Instellingen!$R$30:$R$37,1),Instellingen!$R$30:$T$37,3,FALSE)),"")</f>
        <v/>
      </c>
      <c r="C66" s="899">
        <f>IFERROR(IF(B66="","",VLOOKUP(B66,Instellingen!$B$30:$K$37,10,FALSE)),"")</f>
        <v/>
      </c>
      <c r="D66" s="862" t="n"/>
      <c r="E66" s="109" t="n"/>
      <c r="F66" s="109" t="n"/>
      <c r="G66" s="109" t="n"/>
      <c r="H66" s="900" t="inlineStr">
        <is>
          <t>Vullen</t>
        </is>
      </c>
      <c r="I66" s="883" t="n"/>
      <c r="J66" s="883" t="n"/>
      <c r="K66" s="883" t="n"/>
      <c r="L66" s="883" t="n"/>
      <c r="M66" s="883" t="n"/>
      <c r="N66" s="883" t="n"/>
      <c r="O66" s="883" t="n"/>
      <c r="P66" s="883" t="n"/>
      <c r="Q66" s="884" t="n"/>
      <c r="R66" s="673" t="inlineStr">
        <is>
          <t>vcr - Risicoartikelen tellen</t>
        </is>
      </c>
      <c r="S66" s="264" t="n"/>
      <c r="T66" s="264" t="n"/>
      <c r="U66" s="264" t="n"/>
      <c r="V66" s="264" t="n"/>
      <c r="W66" s="264" t="n"/>
      <c r="X66" s="264" t="n"/>
      <c r="Y66" s="264" t="n"/>
      <c r="Z66" s="901">
        <f>BA30</f>
        <v/>
      </c>
      <c r="AA66" s="866" t="n"/>
      <c r="AB66" s="900" t="inlineStr">
        <is>
          <t>Overig</t>
        </is>
      </c>
      <c r="AC66" s="883" t="n"/>
      <c r="AD66" s="883" t="n"/>
      <c r="AE66" s="883" t="n"/>
      <c r="AF66" s="883" t="n"/>
      <c r="AG66" s="883" t="n"/>
      <c r="AH66" s="883" t="n"/>
      <c r="AI66" s="883" t="n"/>
      <c r="AJ66" s="883" t="n"/>
      <c r="AK66" s="884" t="n"/>
      <c r="AL66" s="47" t="n"/>
      <c r="AM66" s="47" t="n"/>
      <c r="AN66" s="47" t="n"/>
      <c r="AO66" s="47" t="n"/>
      <c r="AP66" s="47" t="n"/>
      <c r="AQ66" s="501" t="n"/>
      <c r="AR66" s="501" t="n"/>
      <c r="AS66" s="501" t="n"/>
      <c r="AT66" s="501" t="n"/>
      <c r="AU66" s="501" t="n"/>
      <c r="AV66" s="514" t="n"/>
      <c r="AW66" s="508" t="n"/>
      <c r="AX66" s="509" t="n"/>
      <c r="AY66" s="508" t="n"/>
      <c r="AZ66" s="510" t="n"/>
      <c r="BA66" s="299" t="n"/>
      <c r="BC66" s="31">
        <f>IF(Planning!B59="","",Planning!B59)</f>
        <v/>
      </c>
      <c r="BD66" s="105" t="n"/>
      <c r="BE66" s="885">
        <f>Planning!E59</f>
        <v/>
      </c>
      <c r="BF66" s="885">
        <f>Planning!F59</f>
        <v/>
      </c>
      <c r="BG66" s="886" t="n"/>
      <c r="BH66" s="105" t="n"/>
      <c r="BI66" s="885">
        <f>Planning!I59</f>
        <v/>
      </c>
      <c r="BJ66" s="885">
        <f>Planning!J59</f>
        <v/>
      </c>
      <c r="BK66" s="886" t="n"/>
      <c r="BL66" s="105" t="n"/>
      <c r="BM66" s="885">
        <f>Planning!M59</f>
        <v/>
      </c>
      <c r="BN66" s="885">
        <f>Planning!N59</f>
        <v/>
      </c>
      <c r="BO66" s="886" t="n"/>
      <c r="BP66" s="105" t="n"/>
      <c r="BQ66" s="885">
        <f>Planning!Q59</f>
        <v/>
      </c>
      <c r="BR66" s="885">
        <f>Planning!R59</f>
        <v/>
      </c>
      <c r="BS66" s="886" t="n"/>
      <c r="BT66" s="105" t="n"/>
      <c r="BU66" s="885">
        <f>Planning!U59</f>
        <v/>
      </c>
      <c r="BV66" s="885">
        <f>Planning!V59</f>
        <v/>
      </c>
      <c r="BW66" s="886" t="n"/>
      <c r="BX66" s="105" t="n"/>
      <c r="BY66" s="885">
        <f>Planning!Y59</f>
        <v/>
      </c>
      <c r="BZ66" s="885">
        <f>Planning!Z59</f>
        <v/>
      </c>
      <c r="CA66" s="886" t="n"/>
      <c r="CB66" s="105" t="n"/>
      <c r="CC66" s="885">
        <f>Planning!AC59</f>
        <v/>
      </c>
      <c r="CD66" s="885">
        <f>Planning!AD59</f>
        <v/>
      </c>
      <c r="CE66" s="886" t="n"/>
      <c r="CF66" s="105" t="n"/>
      <c r="CG66" s="887">
        <f>Planning!AG59</f>
        <v/>
      </c>
      <c r="CH66" s="105" t="n"/>
      <c r="CI66" s="252">
        <f>IF(BC66="","",Planning!AI59)</f>
        <v/>
      </c>
      <c r="CJ66" s="252">
        <f>IF(BC66="","",Planning!AJ59)</f>
        <v/>
      </c>
      <c r="CK66" s="252">
        <f>IF(BC66="","",Planning!AK59)</f>
        <v/>
      </c>
      <c r="CL66" s="252">
        <f>IF(BC66="","",Planning!AH59)</f>
        <v/>
      </c>
      <c r="CM66" s="21" t="n"/>
    </row>
    <row r="67" ht="13.5" customHeight="1">
      <c r="A67" s="162" t="n"/>
      <c r="B67" s="440">
        <f>IFERROR(IF(COUNTIF(Instellingen!$R$30:$R$37,"")&gt;6,"",VLOOKUP(SMALL(Instellingen!$R$30:$R$37,2),Instellingen!$R$30:$T$37,3,FALSE)),"")</f>
        <v/>
      </c>
      <c r="C67" s="902">
        <f>IFERROR(IF(B67="","",VLOOKUP(B67,Instellingen!$B$30:$K$37,10,FALSE)),"")</f>
        <v/>
      </c>
      <c r="D67" s="866" t="n"/>
      <c r="E67" s="109" t="n"/>
      <c r="F67" s="109" t="n"/>
      <c r="G67" s="109" t="n"/>
      <c r="H67" s="673" t="inlineStr">
        <is>
          <t>hv - Houdbaar vullen</t>
        </is>
      </c>
      <c r="I67" s="264" t="n"/>
      <c r="J67" s="264" t="n"/>
      <c r="K67" s="264" t="n"/>
      <c r="L67" s="264" t="n"/>
      <c r="M67" s="264" t="n"/>
      <c r="N67" s="264" t="n"/>
      <c r="O67" s="264" t="n"/>
      <c r="P67" s="901">
        <f>BA14</f>
        <v/>
      </c>
      <c r="Q67" s="866" t="n"/>
      <c r="R67" s="687" t="inlineStr">
        <is>
          <t>Magazijn</t>
        </is>
      </c>
      <c r="S67" s="883" t="n"/>
      <c r="T67" s="883" t="n"/>
      <c r="U67" s="883" t="n"/>
      <c r="V67" s="883" t="n"/>
      <c r="W67" s="883" t="n"/>
      <c r="X67" s="883" t="n"/>
      <c r="Y67" s="883" t="n"/>
      <c r="Z67" s="883" t="n"/>
      <c r="AA67" s="883" t="n"/>
      <c r="AB67" s="924" t="inlineStr">
        <is>
          <t>km - Kwaliteitsmedewerker</t>
        </is>
      </c>
      <c r="AC67" s="897" t="n"/>
      <c r="AD67" s="897" t="n"/>
      <c r="AE67" s="897" t="n"/>
      <c r="AF67" s="897" t="n"/>
      <c r="AG67" s="897" t="n"/>
      <c r="AH67" s="897" t="n"/>
      <c r="AI67" s="862" t="n"/>
      <c r="AJ67" s="904">
        <f>BA48</f>
        <v/>
      </c>
      <c r="AK67" s="866" t="n"/>
      <c r="AL67" s="47" t="n"/>
      <c r="AM67" s="47" t="n"/>
      <c r="AN67" s="47" t="n"/>
      <c r="AO67" s="47" t="n"/>
      <c r="AP67" s="47" t="n"/>
      <c r="AQ67" s="501" t="n"/>
      <c r="AR67" s="501" t="n"/>
      <c r="AS67" s="501" t="n"/>
      <c r="AT67" s="501" t="n"/>
      <c r="AU67" s="501" t="n"/>
      <c r="AV67" s="504" t="n"/>
      <c r="AW67" s="502" t="n"/>
      <c r="AX67" s="503" t="n"/>
      <c r="AY67" s="502" t="n"/>
      <c r="AZ67" s="512" t="n"/>
      <c r="BA67" s="263" t="n"/>
      <c r="BC67" s="31">
        <f>IF(Planning!B60="","",Planning!B60)</f>
        <v/>
      </c>
      <c r="BD67" s="105" t="n"/>
      <c r="BE67" s="885">
        <f>Planning!E60</f>
        <v/>
      </c>
      <c r="BF67" s="885">
        <f>Planning!F60</f>
        <v/>
      </c>
      <c r="BG67" s="886" t="n"/>
      <c r="BH67" s="105" t="n"/>
      <c r="BI67" s="885">
        <f>Planning!I60</f>
        <v/>
      </c>
      <c r="BJ67" s="885">
        <f>Planning!J60</f>
        <v/>
      </c>
      <c r="BK67" s="886" t="n"/>
      <c r="BL67" s="105" t="n"/>
      <c r="BM67" s="885">
        <f>Planning!M60</f>
        <v/>
      </c>
      <c r="BN67" s="885">
        <f>Planning!N60</f>
        <v/>
      </c>
      <c r="BO67" s="886" t="n"/>
      <c r="BP67" s="105" t="n"/>
      <c r="BQ67" s="885">
        <f>Planning!Q60</f>
        <v/>
      </c>
      <c r="BR67" s="885">
        <f>Planning!R60</f>
        <v/>
      </c>
      <c r="BS67" s="886" t="n"/>
      <c r="BT67" s="105" t="n"/>
      <c r="BU67" s="885">
        <f>Planning!U60</f>
        <v/>
      </c>
      <c r="BV67" s="885">
        <f>Planning!V60</f>
        <v/>
      </c>
      <c r="BW67" s="886" t="n"/>
      <c r="BX67" s="105" t="n"/>
      <c r="BY67" s="885">
        <f>Planning!Y60</f>
        <v/>
      </c>
      <c r="BZ67" s="885">
        <f>Planning!Z60</f>
        <v/>
      </c>
      <c r="CA67" s="886" t="n"/>
      <c r="CB67" s="105" t="n"/>
      <c r="CC67" s="885">
        <f>Planning!AC60</f>
        <v/>
      </c>
      <c r="CD67" s="885">
        <f>Planning!AD60</f>
        <v/>
      </c>
      <c r="CE67" s="886" t="n"/>
      <c r="CF67" s="105" t="n"/>
      <c r="CG67" s="887">
        <f>Planning!AG60</f>
        <v/>
      </c>
      <c r="CH67" s="105" t="n"/>
      <c r="CI67" s="252">
        <f>IF(BC67="","",Planning!AI60)</f>
        <v/>
      </c>
      <c r="CJ67" s="252">
        <f>IF(BC67="","",Planning!AJ60)</f>
        <v/>
      </c>
      <c r="CK67" s="252">
        <f>IF(BC67="","",Planning!AK60)</f>
        <v/>
      </c>
      <c r="CL67" s="252">
        <f>IF(BC67="","",Planning!AH60)</f>
        <v/>
      </c>
      <c r="CM67" s="21" t="n"/>
    </row>
    <row r="68" ht="13.5" customHeight="1">
      <c r="A68" s="159" t="n"/>
      <c r="B68" s="440">
        <f>IFERROR(IF(COUNTIF(Instellingen!$R$30:$R$37,"")&gt;5,"",VLOOKUP(SMALL(Instellingen!$R$30:$R$37,3),Instellingen!$R$30:$T$37,3,FALSE)),"")</f>
        <v/>
      </c>
      <c r="C68" s="902">
        <f>IFERROR(IF(B68="","",VLOOKUP(B68,Instellingen!$B$30:$K$37,10,FALSE)),"")</f>
        <v/>
      </c>
      <c r="D68" s="866" t="n"/>
      <c r="E68" s="109" t="n"/>
      <c r="F68" s="109" t="n"/>
      <c r="G68" s="109" t="n"/>
      <c r="H68" s="673" t="inlineStr">
        <is>
          <t>dv - Diepvries vullen</t>
        </is>
      </c>
      <c r="I68" s="264" t="n"/>
      <c r="J68" s="264" t="n"/>
      <c r="K68" s="264" t="n"/>
      <c r="L68" s="264" t="n"/>
      <c r="M68" s="264" t="n"/>
      <c r="N68" s="264" t="n"/>
      <c r="O68" s="264" t="n"/>
      <c r="P68" s="901">
        <f>BA15</f>
        <v/>
      </c>
      <c r="Q68" s="866" t="n"/>
      <c r="R68" s="673" t="inlineStr">
        <is>
          <t>l - Lossen/Retouren</t>
        </is>
      </c>
      <c r="S68" s="264" t="n"/>
      <c r="T68" s="264" t="n"/>
      <c r="U68" s="264" t="n"/>
      <c r="V68" s="264" t="n"/>
      <c r="W68" s="264" t="n"/>
      <c r="X68" s="264" t="n"/>
      <c r="Y68" s="264" t="n"/>
      <c r="Z68" s="675">
        <f>BA32</f>
        <v/>
      </c>
      <c r="AA68" s="264" t="n"/>
      <c r="AB68" s="907" t="inlineStr">
        <is>
          <t>mt - MT of CKW-overleg</t>
        </is>
      </c>
      <c r="AC68" s="264" t="n"/>
      <c r="AD68" s="264" t="n"/>
      <c r="AE68" s="264" t="n"/>
      <c r="AF68" s="264" t="n"/>
      <c r="AG68" s="264" t="n"/>
      <c r="AH68" s="264" t="n"/>
      <c r="AI68" s="866" t="n"/>
      <c r="AJ68" s="904">
        <f>BA49</f>
        <v/>
      </c>
      <c r="AK68" s="866" t="n"/>
      <c r="AL68" s="47" t="n"/>
      <c r="AM68" s="47" t="n"/>
      <c r="AN68" s="47" t="n"/>
      <c r="AO68" s="47" t="n"/>
      <c r="AP68" s="47" t="n"/>
      <c r="AQ68" s="501" t="n"/>
      <c r="AR68" s="501" t="n"/>
      <c r="AS68" s="501" t="n"/>
      <c r="AT68" s="501" t="n"/>
      <c r="AU68" s="501" t="n"/>
      <c r="AV68" s="504" t="n"/>
      <c r="AW68" s="502" t="n"/>
      <c r="AX68" s="503" t="n"/>
      <c r="AY68" s="502" t="n"/>
      <c r="AZ68" s="512" t="n"/>
      <c r="BA68" s="263" t="n"/>
      <c r="BC68" s="31">
        <f>IF(Planning!B61="","",Planning!B61)</f>
        <v/>
      </c>
      <c r="BD68" s="105" t="n"/>
      <c r="BE68" s="885">
        <f>Planning!E61</f>
        <v/>
      </c>
      <c r="BF68" s="885">
        <f>Planning!F61</f>
        <v/>
      </c>
      <c r="BG68" s="886" t="n"/>
      <c r="BH68" s="105" t="n"/>
      <c r="BI68" s="885">
        <f>Planning!I61</f>
        <v/>
      </c>
      <c r="BJ68" s="885">
        <f>Planning!J61</f>
        <v/>
      </c>
      <c r="BK68" s="886" t="n"/>
      <c r="BL68" s="105" t="n"/>
      <c r="BM68" s="885">
        <f>Planning!M61</f>
        <v/>
      </c>
      <c r="BN68" s="885">
        <f>Planning!N61</f>
        <v/>
      </c>
      <c r="BO68" s="886" t="n"/>
      <c r="BP68" s="105" t="n"/>
      <c r="BQ68" s="885">
        <f>Planning!Q61</f>
        <v/>
      </c>
      <c r="BR68" s="885">
        <f>Planning!R61</f>
        <v/>
      </c>
      <c r="BS68" s="886" t="n"/>
      <c r="BT68" s="105" t="n"/>
      <c r="BU68" s="885">
        <f>Planning!U61</f>
        <v/>
      </c>
      <c r="BV68" s="885">
        <f>Planning!V61</f>
        <v/>
      </c>
      <c r="BW68" s="886" t="n"/>
      <c r="BX68" s="105" t="n"/>
      <c r="BY68" s="885">
        <f>Planning!Y61</f>
        <v/>
      </c>
      <c r="BZ68" s="885">
        <f>Planning!Z61</f>
        <v/>
      </c>
      <c r="CA68" s="886" t="n"/>
      <c r="CB68" s="105" t="n"/>
      <c r="CC68" s="885">
        <f>Planning!AC61</f>
        <v/>
      </c>
      <c r="CD68" s="885">
        <f>Planning!AD61</f>
        <v/>
      </c>
      <c r="CE68" s="886" t="n"/>
      <c r="CF68" s="105" t="n"/>
      <c r="CG68" s="887">
        <f>Planning!AG61</f>
        <v/>
      </c>
      <c r="CH68" s="105" t="n"/>
      <c r="CI68" s="252">
        <f>IF(BC68="","",Planning!AI61)</f>
        <v/>
      </c>
      <c r="CJ68" s="252">
        <f>IF(BC68="","",Planning!AJ61)</f>
        <v/>
      </c>
      <c r="CK68" s="252">
        <f>IF(BC68="","",Planning!AK61)</f>
        <v/>
      </c>
      <c r="CL68" s="252">
        <f>IF(BC68="","",Planning!AH61)</f>
        <v/>
      </c>
      <c r="CM68" s="21" t="n"/>
    </row>
    <row r="69" ht="13.5" customHeight="1">
      <c r="A69" s="159" t="n"/>
      <c r="B69" s="440">
        <f>IFERROR(IF(COUNTIF(Instellingen!$R$30:$R$37,"")&gt;4,"",VLOOKUP(SMALL(Instellingen!$R$30:$R$37,4),Instellingen!$R$30:$T$37,3,FALSE)),"")</f>
        <v/>
      </c>
      <c r="C69" s="902">
        <f>IFERROR(IF(B69="","",VLOOKUP(B69,Instellingen!$B$30:$K$37,10,FALSE)),"")</f>
        <v/>
      </c>
      <c r="D69" s="866" t="n"/>
      <c r="E69" s="109" t="n"/>
      <c r="F69" s="109" t="n"/>
      <c r="G69" s="109" t="n"/>
      <c r="H69" s="673" t="inlineStr">
        <is>
          <t>vv - Vers vullen</t>
        </is>
      </c>
      <c r="I69" s="264" t="n"/>
      <c r="J69" s="264" t="n"/>
      <c r="K69" s="264" t="n"/>
      <c r="L69" s="264" t="n"/>
      <c r="M69" s="264" t="n"/>
      <c r="N69" s="264" t="n"/>
      <c r="O69" s="264" t="n"/>
      <c r="P69" s="901">
        <f>BA16</f>
        <v/>
      </c>
      <c r="Q69" s="866" t="n"/>
      <c r="R69" s="673" t="inlineStr">
        <is>
          <t>ma - Magazijn</t>
        </is>
      </c>
      <c r="S69" s="264" t="n"/>
      <c r="T69" s="264" t="n"/>
      <c r="U69" s="264" t="n"/>
      <c r="V69" s="264" t="n"/>
      <c r="W69" s="264" t="n"/>
      <c r="X69" s="264" t="n"/>
      <c r="Y69" s="264" t="n"/>
      <c r="Z69" s="675">
        <f>BA33</f>
        <v/>
      </c>
      <c r="AA69" s="264" t="n"/>
      <c r="AB69" s="907" t="inlineStr">
        <is>
          <t>ov - Overig</t>
        </is>
      </c>
      <c r="AC69" s="264" t="n"/>
      <c r="AD69" s="264" t="n"/>
      <c r="AE69" s="264" t="n"/>
      <c r="AF69" s="264" t="n"/>
      <c r="AG69" s="264" t="n"/>
      <c r="AH69" s="264" t="n"/>
      <c r="AI69" s="866" t="n"/>
      <c r="AJ69" s="904">
        <f>BA50</f>
        <v/>
      </c>
      <c r="AK69" s="866" t="n"/>
      <c r="AL69" s="47" t="n"/>
      <c r="AM69" s="47" t="n"/>
      <c r="AN69" s="47" t="n"/>
      <c r="AO69" s="47" t="n"/>
      <c r="AP69" s="47" t="n"/>
      <c r="AQ69" s="501" t="n"/>
      <c r="AR69" s="501" t="n"/>
      <c r="AS69" s="501" t="n"/>
      <c r="AT69" s="501" t="n"/>
      <c r="AU69" s="501" t="n"/>
      <c r="AV69" s="504" t="n"/>
      <c r="AW69" s="502" t="n"/>
      <c r="AX69" s="505" t="n"/>
      <c r="AY69" s="263" t="n"/>
      <c r="AZ69" s="513" t="n"/>
      <c r="BA69" s="263" t="n"/>
      <c r="BC69" s="31">
        <f>IF(Planning!B62="","",Planning!B62)</f>
        <v/>
      </c>
      <c r="BD69" s="105" t="n"/>
      <c r="BE69" s="885">
        <f>Planning!E62</f>
        <v/>
      </c>
      <c r="BF69" s="885">
        <f>Planning!F62</f>
        <v/>
      </c>
      <c r="BG69" s="886" t="n"/>
      <c r="BH69" s="105" t="n"/>
      <c r="BI69" s="885">
        <f>Planning!I62</f>
        <v/>
      </c>
      <c r="BJ69" s="885">
        <f>Planning!J62</f>
        <v/>
      </c>
      <c r="BK69" s="886" t="n"/>
      <c r="BL69" s="105" t="n"/>
      <c r="BM69" s="885">
        <f>Planning!M62</f>
        <v/>
      </c>
      <c r="BN69" s="885">
        <f>Planning!N62</f>
        <v/>
      </c>
      <c r="BO69" s="886" t="n"/>
      <c r="BP69" s="105" t="n"/>
      <c r="BQ69" s="885">
        <f>Planning!Q62</f>
        <v/>
      </c>
      <c r="BR69" s="885">
        <f>Planning!R62</f>
        <v/>
      </c>
      <c r="BS69" s="886" t="n"/>
      <c r="BT69" s="105" t="n"/>
      <c r="BU69" s="885">
        <f>Planning!U62</f>
        <v/>
      </c>
      <c r="BV69" s="885">
        <f>Planning!V62</f>
        <v/>
      </c>
      <c r="BW69" s="886" t="n"/>
      <c r="BX69" s="105" t="n"/>
      <c r="BY69" s="885">
        <f>Planning!Y62</f>
        <v/>
      </c>
      <c r="BZ69" s="885">
        <f>Planning!Z62</f>
        <v/>
      </c>
      <c r="CA69" s="886" t="n"/>
      <c r="CB69" s="105" t="n"/>
      <c r="CC69" s="885">
        <f>Planning!AC62</f>
        <v/>
      </c>
      <c r="CD69" s="885">
        <f>Planning!AD62</f>
        <v/>
      </c>
      <c r="CE69" s="886" t="n"/>
      <c r="CF69" s="105" t="n"/>
      <c r="CG69" s="887">
        <f>Planning!AG62</f>
        <v/>
      </c>
      <c r="CH69" s="105" t="n"/>
      <c r="CI69" s="252">
        <f>IF(BC69="","",Planning!AI62)</f>
        <v/>
      </c>
      <c r="CJ69" s="252">
        <f>IF(BC69="","",Planning!AJ62)</f>
        <v/>
      </c>
      <c r="CK69" s="252">
        <f>IF(BC69="","",Planning!AK62)</f>
        <v/>
      </c>
      <c r="CL69" s="252">
        <f>IF(BC69="","",Planning!AH62)</f>
        <v/>
      </c>
      <c r="CM69" s="21" t="n"/>
    </row>
    <row r="70" ht="13.5" customHeight="1">
      <c r="A70" s="159" t="n"/>
      <c r="B70" s="440">
        <f>IFERROR(IF(COUNTIF(Instellingen!$R$30:$R$37,"")&gt;3,"",VLOOKUP(SMALL(Instellingen!$R$30:$R$37,5),Instellingen!$R$30:$T$37,3,FALSE)),"")</f>
        <v/>
      </c>
      <c r="C70" s="902">
        <f>IFERROR(IF(B70="","",VLOOKUP(B70,Instellingen!$B$30:$K$37,10,FALSE)),"")</f>
        <v/>
      </c>
      <c r="D70" s="866" t="n"/>
      <c r="E70" s="109" t="n"/>
      <c r="F70" s="109" t="n"/>
      <c r="G70" s="109" t="n"/>
      <c r="H70" s="673" t="inlineStr">
        <is>
          <t>nh - Navulling HB</t>
        </is>
      </c>
      <c r="I70" s="264" t="n"/>
      <c r="J70" s="264" t="n"/>
      <c r="K70" s="264" t="n"/>
      <c r="L70" s="264" t="n"/>
      <c r="M70" s="264" t="n"/>
      <c r="N70" s="264" t="n"/>
      <c r="O70" s="264" t="n"/>
      <c r="P70" s="901">
        <f>BA17</f>
        <v/>
      </c>
      <c r="Q70" s="866" t="n"/>
      <c r="R70" s="661" t="inlineStr">
        <is>
          <t>sp - Splitsen</t>
        </is>
      </c>
      <c r="S70" s="906" t="n"/>
      <c r="T70" s="906" t="n"/>
      <c r="U70" s="906" t="n"/>
      <c r="V70" s="906" t="n"/>
      <c r="W70" s="906" t="n"/>
      <c r="X70" s="906" t="n"/>
      <c r="Y70" s="906" t="n"/>
      <c r="Z70" s="675">
        <f>BA34</f>
        <v/>
      </c>
      <c r="AA70" s="264" t="n"/>
      <c r="AB70" s="907" t="inlineStr">
        <is>
          <t>prt - Protime</t>
        </is>
      </c>
      <c r="AC70" s="264" t="n"/>
      <c r="AD70" s="264" t="n"/>
      <c r="AE70" s="264" t="n"/>
      <c r="AF70" s="264" t="n"/>
      <c r="AG70" s="264" t="n"/>
      <c r="AH70" s="264" t="n"/>
      <c r="AI70" s="866" t="n"/>
      <c r="AJ70" s="904">
        <f>BA51</f>
        <v/>
      </c>
      <c r="AK70" s="866" t="n"/>
      <c r="AL70" s="47" t="n"/>
      <c r="AM70" s="47" t="n"/>
      <c r="AN70" s="47" t="n"/>
      <c r="AO70" s="47" t="n"/>
      <c r="AP70" s="47" t="n"/>
      <c r="AQ70" s="501" t="n"/>
      <c r="AR70" s="501" t="n"/>
      <c r="AS70" s="501" t="n"/>
      <c r="AT70" s="501" t="n"/>
      <c r="AU70" s="501" t="n"/>
      <c r="AV70" s="504" t="n"/>
      <c r="AW70" s="502" t="n"/>
      <c r="AX70" s="505" t="n"/>
      <c r="AY70" s="263" t="n"/>
      <c r="AZ70" s="513" t="n"/>
      <c r="BA70" s="263" t="n"/>
      <c r="BC70" s="31">
        <f>IF(Planning!B63="","",Planning!B63)</f>
        <v/>
      </c>
      <c r="BD70" s="105" t="n"/>
      <c r="BE70" s="885">
        <f>Planning!E63</f>
        <v/>
      </c>
      <c r="BF70" s="885">
        <f>Planning!F63</f>
        <v/>
      </c>
      <c r="BG70" s="886" t="n"/>
      <c r="BH70" s="105" t="n"/>
      <c r="BI70" s="885">
        <f>Planning!I63</f>
        <v/>
      </c>
      <c r="BJ70" s="885">
        <f>Planning!J63</f>
        <v/>
      </c>
      <c r="BK70" s="886" t="n"/>
      <c r="BL70" s="105" t="n"/>
      <c r="BM70" s="885">
        <f>Planning!M63</f>
        <v/>
      </c>
      <c r="BN70" s="885">
        <f>Planning!N63</f>
        <v/>
      </c>
      <c r="BO70" s="886" t="n"/>
      <c r="BP70" s="105" t="n"/>
      <c r="BQ70" s="885">
        <f>Planning!Q63</f>
        <v/>
      </c>
      <c r="BR70" s="885">
        <f>Planning!R63</f>
        <v/>
      </c>
      <c r="BS70" s="886" t="n"/>
      <c r="BT70" s="105" t="n"/>
      <c r="BU70" s="885">
        <f>Planning!U63</f>
        <v/>
      </c>
      <c r="BV70" s="885">
        <f>Planning!V63</f>
        <v/>
      </c>
      <c r="BW70" s="886" t="n"/>
      <c r="BX70" s="105" t="n"/>
      <c r="BY70" s="885">
        <f>Planning!Y63</f>
        <v/>
      </c>
      <c r="BZ70" s="885">
        <f>Planning!Z63</f>
        <v/>
      </c>
      <c r="CA70" s="886" t="n"/>
      <c r="CB70" s="105" t="n"/>
      <c r="CC70" s="885">
        <f>Planning!AC63</f>
        <v/>
      </c>
      <c r="CD70" s="885">
        <f>Planning!AD63</f>
        <v/>
      </c>
      <c r="CE70" s="886" t="n"/>
      <c r="CF70" s="105" t="n"/>
      <c r="CG70" s="887">
        <f>Planning!AG63</f>
        <v/>
      </c>
      <c r="CH70" s="105" t="n"/>
      <c r="CI70" s="252">
        <f>IF(BC70="","",Planning!AI63)</f>
        <v/>
      </c>
      <c r="CJ70" s="252">
        <f>IF(BC70="","",Planning!AJ63)</f>
        <v/>
      </c>
      <c r="CK70" s="252">
        <f>IF(BC70="","",Planning!AK63)</f>
        <v/>
      </c>
      <c r="CL70" s="252">
        <f>IF(BC70="","",Planning!AH63)</f>
        <v/>
      </c>
      <c r="CM70" s="21" t="n"/>
    </row>
    <row r="71" ht="13.5" customHeight="1">
      <c r="A71" s="159" t="n"/>
      <c r="B71" s="251">
        <f>IFERROR(IF(COUNTIF(Instellingen!$R$30:$R$37,"")&gt;2,"",VLOOKUP(SMALL(Instellingen!$R$30:$R$37,6),Instellingen!$R$30:$T$37,3,FALSE)),"")</f>
        <v/>
      </c>
      <c r="C71" s="902">
        <f>IFERROR(IF(B71="","",VLOOKUP(B71,Instellingen!$B$30:$K$37,10,FALSE)),"")</f>
        <v/>
      </c>
      <c r="D71" s="866" t="n"/>
      <c r="E71" s="109" t="n"/>
      <c r="F71" s="109" t="n"/>
      <c r="G71" s="109" t="n"/>
      <c r="H71" s="673" t="inlineStr">
        <is>
          <t>nd - Navulling DV</t>
        </is>
      </c>
      <c r="I71" s="264" t="n"/>
      <c r="J71" s="264" t="n"/>
      <c r="K71" s="264" t="n"/>
      <c r="L71" s="264" t="n"/>
      <c r="M71" s="264" t="n"/>
      <c r="N71" s="264" t="n"/>
      <c r="O71" s="264" t="n"/>
      <c r="P71" s="901">
        <f>BA18</f>
        <v/>
      </c>
      <c r="Q71" s="866" t="n"/>
      <c r="R71" s="687" t="inlineStr">
        <is>
          <t>Afprijzen</t>
        </is>
      </c>
      <c r="S71" s="883" t="n"/>
      <c r="T71" s="883" t="n"/>
      <c r="U71" s="883" t="n"/>
      <c r="V71" s="883" t="n"/>
      <c r="W71" s="883" t="n"/>
      <c r="X71" s="883" t="n"/>
      <c r="Y71" s="883" t="n"/>
      <c r="Z71" s="883" t="n"/>
      <c r="AA71" s="883" t="n"/>
      <c r="AB71" s="907" t="inlineStr">
        <is>
          <t>sl - Shift leiden</t>
        </is>
      </c>
      <c r="AC71" s="264" t="n"/>
      <c r="AD71" s="264" t="n"/>
      <c r="AE71" s="264" t="n"/>
      <c r="AF71" s="264" t="n"/>
      <c r="AG71" s="264" t="n"/>
      <c r="AH71" s="264" t="n"/>
      <c r="AI71" s="866" t="n"/>
      <c r="AJ71" s="904">
        <f>BA52</f>
        <v/>
      </c>
      <c r="AK71" s="866" t="n"/>
      <c r="AL71" s="47" t="n"/>
      <c r="AM71" s="47" t="n"/>
      <c r="AN71" s="47" t="n"/>
      <c r="AO71" s="47" t="n"/>
      <c r="AP71" s="47" t="n"/>
      <c r="AQ71" s="501" t="n"/>
      <c r="AR71" s="501" t="n"/>
      <c r="AS71" s="501" t="n"/>
      <c r="AT71" s="501" t="n"/>
      <c r="AU71" s="501" t="n"/>
      <c r="AV71" s="504" t="n"/>
      <c r="AW71" s="502" t="n"/>
      <c r="AX71" s="505" t="n"/>
      <c r="AY71" s="263" t="n"/>
      <c r="AZ71" s="513" t="n"/>
      <c r="BA71" s="263" t="n"/>
      <c r="BC71" s="31">
        <f>IF(Planning!B64="","",Planning!B64)</f>
        <v/>
      </c>
      <c r="BD71" s="105" t="n"/>
      <c r="BE71" s="885">
        <f>Planning!E64</f>
        <v/>
      </c>
      <c r="BF71" s="885">
        <f>Planning!F64</f>
        <v/>
      </c>
      <c r="BG71" s="886" t="n"/>
      <c r="BH71" s="105" t="n"/>
      <c r="BI71" s="885">
        <f>Planning!I64</f>
        <v/>
      </c>
      <c r="BJ71" s="885">
        <f>Planning!J64</f>
        <v/>
      </c>
      <c r="BK71" s="886" t="n"/>
      <c r="BL71" s="105" t="n"/>
      <c r="BM71" s="885">
        <f>Planning!M64</f>
        <v/>
      </c>
      <c r="BN71" s="885">
        <f>Planning!N64</f>
        <v/>
      </c>
      <c r="BO71" s="886" t="n"/>
      <c r="BP71" s="105" t="n"/>
      <c r="BQ71" s="885">
        <f>Planning!Q64</f>
        <v/>
      </c>
      <c r="BR71" s="885">
        <f>Planning!R64</f>
        <v/>
      </c>
      <c r="BS71" s="886" t="n"/>
      <c r="BT71" s="105" t="n"/>
      <c r="BU71" s="885">
        <f>Planning!U64</f>
        <v/>
      </c>
      <c r="BV71" s="885">
        <f>Planning!V64</f>
        <v/>
      </c>
      <c r="BW71" s="886" t="n"/>
      <c r="BX71" s="105" t="n"/>
      <c r="BY71" s="885">
        <f>Planning!Y64</f>
        <v/>
      </c>
      <c r="BZ71" s="885">
        <f>Planning!Z64</f>
        <v/>
      </c>
      <c r="CA71" s="886" t="n"/>
      <c r="CB71" s="105" t="n"/>
      <c r="CC71" s="885">
        <f>Planning!AC64</f>
        <v/>
      </c>
      <c r="CD71" s="885">
        <f>Planning!AD64</f>
        <v/>
      </c>
      <c r="CE71" s="886" t="n"/>
      <c r="CF71" s="105" t="n"/>
      <c r="CG71" s="887">
        <f>Planning!AG64</f>
        <v/>
      </c>
      <c r="CH71" s="105" t="n"/>
      <c r="CI71" s="252">
        <f>IF(BC71="","",Planning!AI64)</f>
        <v/>
      </c>
      <c r="CJ71" s="252">
        <f>IF(BC71="","",Planning!AJ64)</f>
        <v/>
      </c>
      <c r="CK71" s="252">
        <f>IF(BC71="","",Planning!AK64)</f>
        <v/>
      </c>
      <c r="CL71" s="252">
        <f>IF(BC71="","",Planning!AH64)</f>
        <v/>
      </c>
      <c r="CM71" s="21" t="n"/>
    </row>
    <row r="72" ht="13.5" customHeight="1">
      <c r="A72" s="159" t="n"/>
      <c r="B72" s="441">
        <f>IFERROR(IF(COUNTIF(Instellingen!$R$30:$R$37,"")&gt;1,"",VLOOKUP(SMALL(Instellingen!$R$30:$R$37,7),Instellingen!$R$30:$T$37,3,FALSE)),"")</f>
        <v/>
      </c>
      <c r="C72" s="908">
        <f>IFERROR(IF(B72="","",VLOOKUP(B72,Instellingen!$B$30:$K$37,10,FALSE)),"")</f>
        <v/>
      </c>
      <c r="D72" s="869" t="n"/>
      <c r="E72" s="109" t="n"/>
      <c r="F72" s="109" t="n"/>
      <c r="G72" s="109" t="n"/>
      <c r="H72" s="673" t="inlineStr">
        <is>
          <t>nv - Navulling Vers</t>
        </is>
      </c>
      <c r="I72" s="264" t="n"/>
      <c r="J72" s="264" t="n"/>
      <c r="K72" s="264" t="n"/>
      <c r="L72" s="264" t="n"/>
      <c r="M72" s="264" t="n"/>
      <c r="N72" s="264" t="n"/>
      <c r="O72" s="264" t="n"/>
      <c r="P72" s="901">
        <f>BA19</f>
        <v/>
      </c>
      <c r="Q72" s="866" t="n"/>
      <c r="R72" s="673" t="inlineStr">
        <is>
          <t>afp - Afprijzen</t>
        </is>
      </c>
      <c r="S72" s="264" t="n"/>
      <c r="T72" s="264" t="n"/>
      <c r="U72" s="264" t="n"/>
      <c r="V72" s="264" t="n"/>
      <c r="W72" s="264" t="n"/>
      <c r="X72" s="264" t="n"/>
      <c r="Y72" s="264" t="n"/>
      <c r="Z72" s="675">
        <f>BA36</f>
        <v/>
      </c>
      <c r="AA72" s="264" t="n"/>
      <c r="AB72" s="907" t="inlineStr">
        <is>
          <t>vp - Vulshiftplanning</t>
        </is>
      </c>
      <c r="AC72" s="264" t="n"/>
      <c r="AD72" s="264" t="n"/>
      <c r="AE72" s="264" t="n"/>
      <c r="AF72" s="264" t="n"/>
      <c r="AG72" s="264" t="n"/>
      <c r="AH72" s="264" t="n"/>
      <c r="AI72" s="866" t="n"/>
      <c r="AJ72" s="904">
        <f>BA53</f>
        <v/>
      </c>
      <c r="AK72" s="866" t="n"/>
      <c r="AL72" s="47" t="n"/>
      <c r="AM72" s="47" t="n"/>
      <c r="AN72" s="47" t="n"/>
      <c r="AO72" s="47" t="n"/>
      <c r="AP72" s="47" t="n"/>
      <c r="AQ72" s="501" t="n"/>
      <c r="AR72" s="501" t="n"/>
      <c r="AS72" s="501" t="n"/>
      <c r="AT72" s="501" t="n"/>
      <c r="AU72" s="501" t="n"/>
      <c r="AV72" s="504" t="n"/>
      <c r="AW72" s="502" t="n"/>
      <c r="AX72" s="505" t="n"/>
      <c r="AY72" s="263" t="n"/>
      <c r="AZ72" s="513" t="n"/>
      <c r="BA72" s="263" t="n"/>
      <c r="BC72" s="31">
        <f>IF(Planning!B65="","",Planning!B65)</f>
        <v/>
      </c>
      <c r="BD72" s="105" t="n"/>
      <c r="BE72" s="885">
        <f>Planning!E65</f>
        <v/>
      </c>
      <c r="BF72" s="885">
        <f>Planning!F65</f>
        <v/>
      </c>
      <c r="BG72" s="886" t="n"/>
      <c r="BH72" s="105" t="n"/>
      <c r="BI72" s="885">
        <f>Planning!I65</f>
        <v/>
      </c>
      <c r="BJ72" s="885">
        <f>Planning!J65</f>
        <v/>
      </c>
      <c r="BK72" s="886" t="n"/>
      <c r="BL72" s="105" t="n"/>
      <c r="BM72" s="885">
        <f>Planning!M65</f>
        <v/>
      </c>
      <c r="BN72" s="885">
        <f>Planning!N65</f>
        <v/>
      </c>
      <c r="BO72" s="886" t="n"/>
      <c r="BP72" s="105" t="n"/>
      <c r="BQ72" s="885">
        <f>Planning!Q65</f>
        <v/>
      </c>
      <c r="BR72" s="885">
        <f>Planning!R65</f>
        <v/>
      </c>
      <c r="BS72" s="886" t="n"/>
      <c r="BT72" s="105" t="n"/>
      <c r="BU72" s="885">
        <f>Planning!U65</f>
        <v/>
      </c>
      <c r="BV72" s="885">
        <f>Planning!V65</f>
        <v/>
      </c>
      <c r="BW72" s="886" t="n"/>
      <c r="BX72" s="105" t="n"/>
      <c r="BY72" s="885">
        <f>Planning!Y65</f>
        <v/>
      </c>
      <c r="BZ72" s="885">
        <f>Planning!Z65</f>
        <v/>
      </c>
      <c r="CA72" s="886" t="n"/>
      <c r="CB72" s="105" t="n"/>
      <c r="CC72" s="885">
        <f>Planning!AC65</f>
        <v/>
      </c>
      <c r="CD72" s="885">
        <f>Planning!AD65</f>
        <v/>
      </c>
      <c r="CE72" s="886" t="n"/>
      <c r="CF72" s="105" t="n"/>
      <c r="CG72" s="887">
        <f>Planning!AG65</f>
        <v/>
      </c>
      <c r="CH72" s="105" t="n"/>
      <c r="CI72" s="252">
        <f>IF(BC72="","",Planning!AI65)</f>
        <v/>
      </c>
      <c r="CJ72" s="252">
        <f>IF(BC72="","",Planning!AJ65)</f>
        <v/>
      </c>
      <c r="CK72" s="252">
        <f>IF(BC72="","",Planning!AK65)</f>
        <v/>
      </c>
      <c r="CL72" s="252">
        <f>IF(BC72="","",Planning!AH65)</f>
        <v/>
      </c>
      <c r="CM72" s="21" t="n"/>
    </row>
    <row r="73" ht="13.5" customHeight="1">
      <c r="A73" s="159" t="n"/>
      <c r="B73" s="109" t="n"/>
      <c r="C73" s="109" t="n"/>
      <c r="D73" s="109" t="n"/>
      <c r="E73" s="109" t="n"/>
      <c r="F73" s="109" t="n"/>
      <c r="G73" s="109" t="n"/>
      <c r="H73" s="673" t="inlineStr">
        <is>
          <t>rh - Restant HB</t>
        </is>
      </c>
      <c r="I73" s="264" t="n"/>
      <c r="J73" s="264" t="n"/>
      <c r="K73" s="264" t="n"/>
      <c r="L73" s="264" t="n"/>
      <c r="M73" s="264" t="n"/>
      <c r="N73" s="264" t="n"/>
      <c r="O73" s="264" t="n"/>
      <c r="P73" s="901">
        <f>BA20</f>
        <v/>
      </c>
      <c r="Q73" s="866" t="n"/>
      <c r="R73" s="673" t="inlineStr">
        <is>
          <t>cb - Codeboek</t>
        </is>
      </c>
      <c r="S73" s="264" t="n"/>
      <c r="T73" s="264" t="n"/>
      <c r="U73" s="264" t="n"/>
      <c r="V73" s="264" t="n"/>
      <c r="W73" s="264" t="n"/>
      <c r="X73" s="264" t="n"/>
      <c r="Y73" s="264" t="n"/>
      <c r="Z73" s="675">
        <f>BA37</f>
        <v/>
      </c>
      <c r="AA73" s="264" t="n"/>
      <c r="AB73" s="907" t="inlineStr">
        <is>
          <t>wh - Winkelwagens halen</t>
        </is>
      </c>
      <c r="AC73" s="264" t="n"/>
      <c r="AD73" s="264" t="n"/>
      <c r="AE73" s="264" t="n"/>
      <c r="AF73" s="264" t="n"/>
      <c r="AG73" s="264" t="n"/>
      <c r="AH73" s="264" t="n"/>
      <c r="AI73" s="866" t="n"/>
      <c r="AJ73" s="901">
        <f>BA54</f>
        <v/>
      </c>
      <c r="AK73" s="866" t="n"/>
      <c r="AL73" s="47" t="n"/>
      <c r="AM73" s="47" t="n"/>
      <c r="AN73" s="47" t="n"/>
      <c r="AO73" s="47" t="n"/>
      <c r="AP73" s="47" t="n"/>
      <c r="AQ73" s="501" t="n"/>
      <c r="AR73" s="501" t="n"/>
      <c r="AS73" s="501" t="n"/>
      <c r="AT73" s="501" t="n"/>
      <c r="AU73" s="501" t="n"/>
      <c r="AV73" s="504" t="n"/>
      <c r="AW73" s="502" t="n"/>
      <c r="AX73" s="505" t="n"/>
      <c r="AY73" s="506" t="n"/>
      <c r="AZ73" s="501" t="n"/>
      <c r="BA73" s="263" t="n"/>
      <c r="BC73" s="31">
        <f>IF(Planning!B66="","",Planning!B66)</f>
        <v/>
      </c>
      <c r="BD73" s="105" t="n"/>
      <c r="BE73" s="885">
        <f>Planning!E66</f>
        <v/>
      </c>
      <c r="BF73" s="885">
        <f>Planning!F66</f>
        <v/>
      </c>
      <c r="BG73" s="886" t="n"/>
      <c r="BH73" s="105" t="n"/>
      <c r="BI73" s="885">
        <f>Planning!I66</f>
        <v/>
      </c>
      <c r="BJ73" s="885">
        <f>Planning!J66</f>
        <v/>
      </c>
      <c r="BK73" s="886" t="n"/>
      <c r="BL73" s="105" t="n"/>
      <c r="BM73" s="885">
        <f>Planning!M66</f>
        <v/>
      </c>
      <c r="BN73" s="885">
        <f>Planning!N66</f>
        <v/>
      </c>
      <c r="BO73" s="886" t="n"/>
      <c r="BP73" s="105" t="n"/>
      <c r="BQ73" s="885">
        <f>Planning!Q66</f>
        <v/>
      </c>
      <c r="BR73" s="885">
        <f>Planning!R66</f>
        <v/>
      </c>
      <c r="BS73" s="886" t="n"/>
      <c r="BT73" s="105" t="n"/>
      <c r="BU73" s="885">
        <f>Planning!U66</f>
        <v/>
      </c>
      <c r="BV73" s="885">
        <f>Planning!V66</f>
        <v/>
      </c>
      <c r="BW73" s="886" t="n"/>
      <c r="BX73" s="105" t="n"/>
      <c r="BY73" s="885">
        <f>Planning!Y66</f>
        <v/>
      </c>
      <c r="BZ73" s="885">
        <f>Planning!Z66</f>
        <v/>
      </c>
      <c r="CA73" s="886" t="n"/>
      <c r="CB73" s="105" t="n"/>
      <c r="CC73" s="885">
        <f>Planning!AC66</f>
        <v/>
      </c>
      <c r="CD73" s="885">
        <f>Planning!AD66</f>
        <v/>
      </c>
      <c r="CE73" s="886" t="n"/>
      <c r="CF73" s="105" t="n"/>
      <c r="CG73" s="887">
        <f>Planning!AG66</f>
        <v/>
      </c>
      <c r="CH73" s="105" t="n"/>
      <c r="CI73" s="252">
        <f>IF(BC73="","",Planning!AI66)</f>
        <v/>
      </c>
      <c r="CJ73" s="252">
        <f>IF(BC73="","",Planning!AJ66)</f>
        <v/>
      </c>
      <c r="CK73" s="252">
        <f>IF(BC73="","",Planning!AK66)</f>
        <v/>
      </c>
      <c r="CL73" s="252">
        <f>IF(BC73="","",Planning!AH66)</f>
        <v/>
      </c>
      <c r="CM73" s="21" t="n"/>
    </row>
    <row r="74" ht="13.5" customHeight="1">
      <c r="A74" s="159" t="n"/>
      <c r="B74" s="896" t="inlineStr">
        <is>
          <t>OBM's</t>
        </is>
      </c>
      <c r="C74" s="897" t="n"/>
      <c r="D74" s="862" t="n"/>
      <c r="E74" s="109" t="n"/>
      <c r="F74" s="109" t="n"/>
      <c r="G74" s="109" t="n"/>
      <c r="H74" s="673" t="inlineStr">
        <is>
          <t>rd - Restant DV</t>
        </is>
      </c>
      <c r="I74" s="264" t="n"/>
      <c r="J74" s="264" t="n"/>
      <c r="K74" s="264" t="n"/>
      <c r="L74" s="264" t="n"/>
      <c r="M74" s="264" t="n"/>
      <c r="N74" s="264" t="n"/>
      <c r="O74" s="264" t="n"/>
      <c r="P74" s="901">
        <f>BA21</f>
        <v/>
      </c>
      <c r="Q74" s="866" t="n"/>
      <c r="R74" s="673" t="inlineStr">
        <is>
          <t>nr - Naloopronde</t>
        </is>
      </c>
      <c r="S74" s="264" t="n"/>
      <c r="T74" s="264" t="n"/>
      <c r="U74" s="264" t="n"/>
      <c r="V74" s="264" t="n"/>
      <c r="W74" s="264" t="n"/>
      <c r="X74" s="264" t="n"/>
      <c r="Y74" s="264" t="n"/>
      <c r="Z74" s="675">
        <f>BA38</f>
        <v/>
      </c>
      <c r="AA74" s="264" t="n"/>
      <c r="AB74" s="907" t="inlineStr">
        <is>
          <t>wp - Weekplanning</t>
        </is>
      </c>
      <c r="AC74" s="264" t="n"/>
      <c r="AD74" s="264" t="n"/>
      <c r="AE74" s="264" t="n"/>
      <c r="AF74" s="264" t="n"/>
      <c r="AG74" s="264" t="n"/>
      <c r="AH74" s="264" t="n"/>
      <c r="AI74" s="866" t="n"/>
      <c r="AJ74" s="901">
        <f>BA55</f>
        <v/>
      </c>
      <c r="AK74" s="866" t="n"/>
      <c r="AL74" s="47" t="n"/>
      <c r="AM74" s="47" t="n"/>
      <c r="AN74" s="47" t="n"/>
      <c r="AO74" s="47" t="n"/>
      <c r="AP74" s="47" t="n"/>
      <c r="AQ74" s="501" t="n"/>
      <c r="AR74" s="501" t="n"/>
      <c r="AS74" s="501" t="n"/>
      <c r="AT74" s="501" t="n"/>
      <c r="AU74" s="501" t="n"/>
      <c r="AV74" s="504" t="n"/>
      <c r="AW74" s="502" t="n"/>
      <c r="AX74" s="505" t="n"/>
      <c r="AY74" s="263" t="n"/>
      <c r="AZ74" s="501" t="n"/>
      <c r="BA74" s="263" t="n"/>
      <c r="BC74" s="31">
        <f>IF(Planning!B67="","",Planning!B67)</f>
        <v/>
      </c>
      <c r="BD74" s="105" t="n"/>
      <c r="BE74" s="885">
        <f>Planning!E67</f>
        <v/>
      </c>
      <c r="BF74" s="885">
        <f>Planning!F67</f>
        <v/>
      </c>
      <c r="BG74" s="886" t="n"/>
      <c r="BH74" s="105" t="n"/>
      <c r="BI74" s="885">
        <f>Planning!I67</f>
        <v/>
      </c>
      <c r="BJ74" s="885">
        <f>Planning!J67</f>
        <v/>
      </c>
      <c r="BK74" s="886" t="n"/>
      <c r="BL74" s="105" t="n"/>
      <c r="BM74" s="885">
        <f>Planning!M67</f>
        <v/>
      </c>
      <c r="BN74" s="885">
        <f>Planning!N67</f>
        <v/>
      </c>
      <c r="BO74" s="886" t="n"/>
      <c r="BP74" s="105" t="n"/>
      <c r="BQ74" s="885">
        <f>Planning!Q67</f>
        <v/>
      </c>
      <c r="BR74" s="885">
        <f>Planning!R67</f>
        <v/>
      </c>
      <c r="BS74" s="886" t="n"/>
      <c r="BT74" s="105" t="n"/>
      <c r="BU74" s="885">
        <f>Planning!U67</f>
        <v/>
      </c>
      <c r="BV74" s="885">
        <f>Planning!V67</f>
        <v/>
      </c>
      <c r="BW74" s="886" t="n"/>
      <c r="BX74" s="105" t="n"/>
      <c r="BY74" s="885">
        <f>Planning!Y67</f>
        <v/>
      </c>
      <c r="BZ74" s="885">
        <f>Planning!Z67</f>
        <v/>
      </c>
      <c r="CA74" s="886" t="n"/>
      <c r="CB74" s="105" t="n"/>
      <c r="CC74" s="885">
        <f>Planning!AC67</f>
        <v/>
      </c>
      <c r="CD74" s="885">
        <f>Planning!AD67</f>
        <v/>
      </c>
      <c r="CE74" s="886" t="n"/>
      <c r="CF74" s="105" t="n"/>
      <c r="CG74" s="887">
        <f>Planning!AG67</f>
        <v/>
      </c>
      <c r="CH74" s="105" t="n"/>
      <c r="CI74" s="252">
        <f>IF(BC74="","",Planning!AI67)</f>
        <v/>
      </c>
      <c r="CJ74" s="252">
        <f>IF(BC74="","",Planning!AJ67)</f>
        <v/>
      </c>
      <c r="CK74" s="252">
        <f>IF(BC74="","",Planning!AK67)</f>
        <v/>
      </c>
      <c r="CL74" s="252">
        <f>IF(BC74="","",Planning!AH67)</f>
        <v/>
      </c>
      <c r="CM74" s="21" t="n"/>
    </row>
    <row r="75" ht="13.5" customHeight="1">
      <c r="A75" s="159" t="n"/>
      <c r="B75" s="442">
        <f>IFERROR(IF(COUNTIF(Instellingen!$R$40:$R$47,"")&gt;7,"",VLOOKUP(SMALL(Instellingen!$R$40:$R$47,1),Instellingen!$R$40:$T$47,3,FALSE)),"")</f>
        <v/>
      </c>
      <c r="C75" s="899">
        <f>IFERROR(IF(B75="","",VLOOKUP(B75,Instellingen!$B$40:$K$47,10,FALSE)),"")</f>
        <v/>
      </c>
      <c r="D75" s="862" t="n"/>
      <c r="E75" s="109" t="n"/>
      <c r="F75" s="109" t="n"/>
      <c r="G75" s="109" t="n"/>
      <c r="H75" s="673" t="inlineStr">
        <is>
          <t>rv - Restant Vers</t>
        </is>
      </c>
      <c r="I75" s="264" t="n"/>
      <c r="J75" s="264" t="n"/>
      <c r="K75" s="264" t="n"/>
      <c r="L75" s="264" t="n"/>
      <c r="M75" s="264" t="n"/>
      <c r="N75" s="264" t="n"/>
      <c r="O75" s="264" t="n"/>
      <c r="P75" s="901">
        <f>BA22</f>
        <v/>
      </c>
      <c r="Q75" s="866" t="n"/>
      <c r="R75" s="673" t="inlineStr">
        <is>
          <t>us - Vervallen artikelen</t>
        </is>
      </c>
      <c r="S75" s="264" t="n"/>
      <c r="T75" s="264" t="n"/>
      <c r="U75" s="264" t="n"/>
      <c r="V75" s="264" t="n"/>
      <c r="W75" s="264" t="n"/>
      <c r="X75" s="264" t="n"/>
      <c r="Y75" s="264" t="n"/>
      <c r="Z75" s="675">
        <f>BA39</f>
        <v/>
      </c>
      <c r="AA75" s="264" t="n"/>
      <c r="AB75" s="907" t="inlineStr">
        <is>
          <t>wv - Winkelverzorging</t>
        </is>
      </c>
      <c r="AC75" s="264" t="n"/>
      <c r="AD75" s="264" t="n"/>
      <c r="AE75" s="264" t="n"/>
      <c r="AF75" s="264" t="n"/>
      <c r="AG75" s="264" t="n"/>
      <c r="AH75" s="264" t="n"/>
      <c r="AI75" s="866" t="n"/>
      <c r="AJ75" s="901">
        <f>BA56</f>
        <v/>
      </c>
      <c r="AK75" s="866" t="n"/>
      <c r="AL75" s="47" t="n"/>
      <c r="AM75" s="47" t="n"/>
      <c r="AN75" s="47" t="n"/>
      <c r="AO75" s="47" t="n"/>
      <c r="AP75" s="47" t="n"/>
      <c r="AQ75" s="501" t="n"/>
      <c r="AR75" s="501" t="n"/>
      <c r="AS75" s="501" t="n"/>
      <c r="AT75" s="501" t="n"/>
      <c r="AU75" s="501" t="n"/>
      <c r="AV75" s="504" t="n"/>
      <c r="AW75" s="502" t="n"/>
      <c r="AX75" s="505" t="n"/>
      <c r="AY75" s="263" t="n"/>
      <c r="AZ75" s="501" t="n"/>
      <c r="BA75" s="263" t="n"/>
      <c r="BC75" s="31">
        <f>IF(Planning!B68="","",Planning!B68)</f>
        <v/>
      </c>
      <c r="BD75" s="105" t="n"/>
      <c r="BE75" s="885">
        <f>Planning!E68</f>
        <v/>
      </c>
      <c r="BF75" s="885">
        <f>Planning!F68</f>
        <v/>
      </c>
      <c r="BG75" s="886" t="n"/>
      <c r="BH75" s="105" t="n"/>
      <c r="BI75" s="885">
        <f>Planning!I68</f>
        <v/>
      </c>
      <c r="BJ75" s="885">
        <f>Planning!J68</f>
        <v/>
      </c>
      <c r="BK75" s="886" t="n"/>
      <c r="BL75" s="105" t="n"/>
      <c r="BM75" s="885">
        <f>Planning!M68</f>
        <v/>
      </c>
      <c r="BN75" s="885">
        <f>Planning!N68</f>
        <v/>
      </c>
      <c r="BO75" s="886" t="n"/>
      <c r="BP75" s="105" t="n"/>
      <c r="BQ75" s="885">
        <f>Planning!Q68</f>
        <v/>
      </c>
      <c r="BR75" s="885">
        <f>Planning!R68</f>
        <v/>
      </c>
      <c r="BS75" s="886" t="n"/>
      <c r="BT75" s="105" t="n"/>
      <c r="BU75" s="885">
        <f>Planning!U68</f>
        <v/>
      </c>
      <c r="BV75" s="885">
        <f>Planning!V68</f>
        <v/>
      </c>
      <c r="BW75" s="886" t="n"/>
      <c r="BX75" s="105" t="n"/>
      <c r="BY75" s="885">
        <f>Planning!Y68</f>
        <v/>
      </c>
      <c r="BZ75" s="885">
        <f>Planning!Z68</f>
        <v/>
      </c>
      <c r="CA75" s="886" t="n"/>
      <c r="CB75" s="105" t="n"/>
      <c r="CC75" s="885">
        <f>Planning!AC68</f>
        <v/>
      </c>
      <c r="CD75" s="885">
        <f>Planning!AD68</f>
        <v/>
      </c>
      <c r="CE75" s="886" t="n"/>
      <c r="CF75" s="105" t="n"/>
      <c r="CG75" s="887">
        <f>Planning!AG68</f>
        <v/>
      </c>
      <c r="CH75" s="105" t="n"/>
      <c r="CI75" s="252">
        <f>IF(BC75="","",Planning!AI68)</f>
        <v/>
      </c>
      <c r="CJ75" s="252">
        <f>IF(BC75="","",Planning!AJ68)</f>
        <v/>
      </c>
      <c r="CK75" s="252">
        <f>IF(BC75="","",Planning!AK68)</f>
        <v/>
      </c>
      <c r="CL75" s="252">
        <f>IF(BC75="","",Planning!AH68)</f>
        <v/>
      </c>
      <c r="CM75" s="21" t="n"/>
    </row>
    <row r="76" ht="13.5" customHeight="1">
      <c r="A76" s="159" t="n"/>
      <c r="B76" s="440">
        <f>IFERROR(IF(COUNTIF(Instellingen!$R$40:$R$47,"")&gt;6,"",VLOOKUP(SMALL(Instellingen!$R$40:$R$47,2),Instellingen!$R$40:$T$47,3,FALSE)),"")</f>
        <v/>
      </c>
      <c r="C76" s="902">
        <f>IFERROR(IF(B76="","",VLOOKUP(B76,Instellingen!$B$40:$K$47,10,FALSE)),"")</f>
        <v/>
      </c>
      <c r="D76" s="866" t="n"/>
      <c r="H76" s="900" t="inlineStr">
        <is>
          <t>Restant/Telproces</t>
        </is>
      </c>
      <c r="I76" s="883" t="n"/>
      <c r="J76" s="883" t="n"/>
      <c r="K76" s="883" t="n"/>
      <c r="L76" s="883" t="n"/>
      <c r="M76" s="883" t="n"/>
      <c r="N76" s="883" t="n"/>
      <c r="O76" s="883" t="n"/>
      <c r="P76" s="883" t="n"/>
      <c r="Q76" s="884" t="n"/>
      <c r="R76" s="673" t="inlineStr">
        <is>
          <t>ver - Vernietigen/Reststoffen</t>
        </is>
      </c>
      <c r="S76" s="264" t="n"/>
      <c r="T76" s="264" t="n"/>
      <c r="U76" s="264" t="n"/>
      <c r="V76" s="264" t="n"/>
      <c r="W76" s="264" t="n"/>
      <c r="X76" s="264" t="n"/>
      <c r="Y76" s="264" t="n"/>
      <c r="Z76" s="675">
        <f>BA40</f>
        <v/>
      </c>
      <c r="AA76" s="264" t="n"/>
      <c r="AB76" s="907">
        <f>IF(Instellingen!I7="ja","pup - Pick-Up-Point","")</f>
        <v/>
      </c>
      <c r="AC76" s="264" t="n"/>
      <c r="AD76" s="264" t="n"/>
      <c r="AE76" s="264" t="n"/>
      <c r="AF76" s="264" t="n"/>
      <c r="AG76" s="264" t="n"/>
      <c r="AH76" s="264" t="n"/>
      <c r="AI76" s="866" t="n"/>
      <c r="AJ76" s="901">
        <f>IF(Instellingen!I7="ja",BA57,"")</f>
        <v/>
      </c>
      <c r="AK76" s="866" t="n"/>
      <c r="AL76" s="47" t="n"/>
      <c r="AM76" s="47" t="n"/>
      <c r="AN76" s="47" t="n"/>
      <c r="AO76" s="47" t="n"/>
      <c r="AP76" s="47" t="n"/>
      <c r="AQ76" s="501" t="n"/>
      <c r="AR76" s="501" t="n"/>
      <c r="AS76" s="501" t="n"/>
      <c r="AT76" s="501" t="n"/>
      <c r="AU76" s="501" t="n"/>
      <c r="AV76" s="504" t="n"/>
      <c r="AW76" s="502" t="n"/>
      <c r="AX76" s="505" t="n"/>
      <c r="AY76" s="263" t="n"/>
      <c r="AZ76" s="501" t="n"/>
      <c r="BA76" s="263" t="n"/>
      <c r="BC76" s="31">
        <f>IF(Planning!B69="","",Planning!B69)</f>
        <v/>
      </c>
      <c r="BD76" s="105" t="n"/>
      <c r="BE76" s="885">
        <f>Planning!E69</f>
        <v/>
      </c>
      <c r="BF76" s="885">
        <f>Planning!F69</f>
        <v/>
      </c>
      <c r="BG76" s="886" t="n"/>
      <c r="BH76" s="105" t="n"/>
      <c r="BI76" s="885">
        <f>Planning!I69</f>
        <v/>
      </c>
      <c r="BJ76" s="885">
        <f>Planning!J69</f>
        <v/>
      </c>
      <c r="BK76" s="886" t="n"/>
      <c r="BL76" s="105" t="n"/>
      <c r="BM76" s="885">
        <f>Planning!M69</f>
        <v/>
      </c>
      <c r="BN76" s="885">
        <f>Planning!N69</f>
        <v/>
      </c>
      <c r="BO76" s="886" t="n"/>
      <c r="BP76" s="105" t="n"/>
      <c r="BQ76" s="885">
        <f>Planning!Q69</f>
        <v/>
      </c>
      <c r="BR76" s="885">
        <f>Planning!R69</f>
        <v/>
      </c>
      <c r="BS76" s="886" t="n"/>
      <c r="BT76" s="105" t="n"/>
      <c r="BU76" s="885">
        <f>Planning!U69</f>
        <v/>
      </c>
      <c r="BV76" s="885">
        <f>Planning!V69</f>
        <v/>
      </c>
      <c r="BW76" s="886" t="n"/>
      <c r="BX76" s="105" t="n"/>
      <c r="BY76" s="885">
        <f>Planning!Y69</f>
        <v/>
      </c>
      <c r="BZ76" s="885">
        <f>Planning!Z69</f>
        <v/>
      </c>
      <c r="CA76" s="886" t="n"/>
      <c r="CB76" s="105" t="n"/>
      <c r="CC76" s="885">
        <f>Planning!AC69</f>
        <v/>
      </c>
      <c r="CD76" s="885">
        <f>Planning!AD69</f>
        <v/>
      </c>
      <c r="CE76" s="886" t="n"/>
      <c r="CF76" s="105" t="n"/>
      <c r="CG76" s="887">
        <f>Planning!AG69</f>
        <v/>
      </c>
      <c r="CH76" s="105" t="n"/>
      <c r="CI76" s="252">
        <f>IF(BC76="","",Planning!AI69)</f>
        <v/>
      </c>
      <c r="CJ76" s="252">
        <f>IF(BC76="","",Planning!AJ69)</f>
        <v/>
      </c>
      <c r="CK76" s="252">
        <f>IF(BC76="","",Planning!AK69)</f>
        <v/>
      </c>
      <c r="CL76" s="252">
        <f>IF(BC76="","",Planning!AH69)</f>
        <v/>
      </c>
      <c r="CM76" s="21" t="n"/>
    </row>
    <row r="77" ht="13.5" customHeight="1">
      <c r="A77" s="159" t="n"/>
      <c r="B77" s="440">
        <f>IFERROR(IF(COUNTIF(Instellingen!$R$40:$R$47,"")&gt;5,"",VLOOKUP(SMALL(Instellingen!$R$40:$R$47,3),Instellingen!$R$40:$T$47,3,FALSE)),"")</f>
        <v/>
      </c>
      <c r="C77" s="902">
        <f>IFERROR(IF(B77="","",VLOOKUP(B77,Instellingen!$B$40:$K$47,10,FALSE)),"")</f>
        <v/>
      </c>
      <c r="D77" s="866" t="n"/>
      <c r="H77" s="673" t="inlineStr">
        <is>
          <t>br - Bepalen restant</t>
        </is>
      </c>
      <c r="I77" s="264" t="n"/>
      <c r="J77" s="264" t="n"/>
      <c r="K77" s="264" t="n"/>
      <c r="L77" s="264" t="n"/>
      <c r="M77" s="264" t="n"/>
      <c r="N77" s="264" t="n"/>
      <c r="O77" s="264" t="n"/>
      <c r="P77" s="901">
        <f>BA24</f>
        <v/>
      </c>
      <c r="Q77" s="866" t="n"/>
      <c r="R77" s="687" t="inlineStr">
        <is>
          <t>Promo/Presentatie</t>
        </is>
      </c>
      <c r="S77" s="883" t="n"/>
      <c r="T77" s="883" t="n"/>
      <c r="U77" s="883" t="n"/>
      <c r="V77" s="883" t="n"/>
      <c r="W77" s="883" t="n"/>
      <c r="X77" s="883" t="n"/>
      <c r="Y77" s="883" t="n"/>
      <c r="Z77" s="883" t="n"/>
      <c r="AA77" s="883" t="n"/>
      <c r="AB77" s="907">
        <f>IF(AY58="","",CONCATENATE(AY58," - ",AZ58))</f>
        <v/>
      </c>
      <c r="AC77" s="264" t="n"/>
      <c r="AD77" s="264" t="n"/>
      <c r="AE77" s="264" t="n"/>
      <c r="AF77" s="264" t="n"/>
      <c r="AG77" s="264" t="n"/>
      <c r="AH77" s="264" t="n"/>
      <c r="AI77" s="866" t="n"/>
      <c r="AJ77" s="901">
        <f>IF(AY58="","",BA58)</f>
        <v/>
      </c>
      <c r="AK77" s="866" t="n"/>
      <c r="AL77" s="47" t="n"/>
      <c r="AM77" s="47" t="n"/>
      <c r="AN77" s="47" t="n"/>
      <c r="AO77" s="47" t="n"/>
      <c r="AP77" s="47" t="n"/>
      <c r="AQ77" s="47" t="n"/>
      <c r="AR77" s="47" t="n"/>
      <c r="AS77" s="47" t="n"/>
      <c r="AT77" s="47" t="n"/>
      <c r="AU77" s="47" t="n"/>
      <c r="AV77" s="118" t="n"/>
      <c r="AW77" s="310" t="n"/>
      <c r="AX77" s="36" t="n"/>
      <c r="AY77" s="64" t="n"/>
      <c r="AZ77" s="838" t="n"/>
      <c r="BC77" s="31">
        <f>IF(Planning!B70="","",Planning!B70)</f>
        <v/>
      </c>
      <c r="BD77" s="105" t="n"/>
      <c r="BE77" s="885">
        <f>Planning!E70</f>
        <v/>
      </c>
      <c r="BF77" s="885">
        <f>Planning!F70</f>
        <v/>
      </c>
      <c r="BG77" s="886" t="n"/>
      <c r="BH77" s="105" t="n"/>
      <c r="BI77" s="885">
        <f>Planning!I70</f>
        <v/>
      </c>
      <c r="BJ77" s="885">
        <f>Planning!J70</f>
        <v/>
      </c>
      <c r="BK77" s="886" t="n"/>
      <c r="BL77" s="105" t="n"/>
      <c r="BM77" s="885">
        <f>Planning!M70</f>
        <v/>
      </c>
      <c r="BN77" s="885">
        <f>Planning!N70</f>
        <v/>
      </c>
      <c r="BO77" s="886" t="n"/>
      <c r="BP77" s="105" t="n"/>
      <c r="BQ77" s="885">
        <f>Planning!Q70</f>
        <v/>
      </c>
      <c r="BR77" s="885">
        <f>Planning!R70</f>
        <v/>
      </c>
      <c r="BS77" s="886" t="n"/>
      <c r="BT77" s="105" t="n"/>
      <c r="BU77" s="885">
        <f>Planning!U70</f>
        <v/>
      </c>
      <c r="BV77" s="885">
        <f>Planning!V70</f>
        <v/>
      </c>
      <c r="BW77" s="886" t="n"/>
      <c r="BX77" s="105" t="n"/>
      <c r="BY77" s="885">
        <f>Planning!Y70</f>
        <v/>
      </c>
      <c r="BZ77" s="885">
        <f>Planning!Z70</f>
        <v/>
      </c>
      <c r="CA77" s="886" t="n"/>
      <c r="CB77" s="105" t="n"/>
      <c r="CC77" s="885">
        <f>Planning!AC70</f>
        <v/>
      </c>
      <c r="CD77" s="885">
        <f>Planning!AD70</f>
        <v/>
      </c>
      <c r="CE77" s="886" t="n"/>
      <c r="CF77" s="105" t="n"/>
      <c r="CG77" s="887">
        <f>Planning!AG70</f>
        <v/>
      </c>
      <c r="CH77" s="105" t="n"/>
      <c r="CI77" s="252">
        <f>IF(BC77="","",Planning!AI70)</f>
        <v/>
      </c>
      <c r="CJ77" s="252">
        <f>IF(BC77="","",Planning!AJ70)</f>
        <v/>
      </c>
      <c r="CK77" s="252">
        <f>IF(BC77="","",Planning!AK70)</f>
        <v/>
      </c>
      <c r="CL77" s="252">
        <f>IF(BC77="","",Planning!AH70)</f>
        <v/>
      </c>
      <c r="CM77" s="21" t="n"/>
    </row>
    <row r="78" ht="13.5" customHeight="1">
      <c r="A78" s="159" t="n"/>
      <c r="B78" s="440">
        <f>IFERROR(IF(COUNTIF(Instellingen!$R$40:$R$47,"")&gt;4,"",VLOOKUP(SMALL(Instellingen!$R$40:$R$47,4),Instellingen!$R$40:$T$47,3,FALSE)),"")</f>
        <v/>
      </c>
      <c r="C78" s="902">
        <f>IFERROR(IF(B78="","",VLOOKUP(B78,Instellingen!$B$40:$K$47,10,FALSE)),"")</f>
        <v/>
      </c>
      <c r="D78" s="866" t="n"/>
      <c r="H78" s="673" t="inlineStr">
        <is>
          <t>bl - Bepalen langrestant</t>
        </is>
      </c>
      <c r="I78" s="264" t="n"/>
      <c r="J78" s="264" t="n"/>
      <c r="K78" s="264" t="n"/>
      <c r="L78" s="264" t="n"/>
      <c r="M78" s="264" t="n"/>
      <c r="N78" s="264" t="n"/>
      <c r="O78" s="264" t="n"/>
      <c r="P78" s="901">
        <f>BA25</f>
        <v/>
      </c>
      <c r="Q78" s="866" t="n"/>
      <c r="R78" s="673" t="inlineStr">
        <is>
          <t>act - Actieopbouw</t>
        </is>
      </c>
      <c r="S78" s="264" t="n"/>
      <c r="T78" s="264" t="n"/>
      <c r="U78" s="264" t="n"/>
      <c r="V78" s="264" t="n"/>
      <c r="W78" s="264" t="n"/>
      <c r="X78" s="264" t="n"/>
      <c r="Y78" s="264" t="n"/>
      <c r="Z78" s="675">
        <f>BA42</f>
        <v/>
      </c>
      <c r="AA78" s="264" t="n"/>
      <c r="AB78" s="907">
        <f>IF(AY59="","",CONCATENATE(AY59," - ",AZ59))</f>
        <v/>
      </c>
      <c r="AC78" s="264" t="n"/>
      <c r="AD78" s="264" t="n"/>
      <c r="AE78" s="264" t="n"/>
      <c r="AF78" s="264" t="n"/>
      <c r="AG78" s="264" t="n"/>
      <c r="AH78" s="264" t="n"/>
      <c r="AI78" s="866" t="n"/>
      <c r="AJ78" s="901">
        <f>IF(AY59="","",BA59)</f>
        <v/>
      </c>
      <c r="AK78" s="866" t="n"/>
      <c r="AL78" s="47" t="n"/>
      <c r="AM78" s="47" t="n"/>
      <c r="AN78" s="47" t="n"/>
      <c r="AO78" s="47" t="n"/>
      <c r="AP78" s="47" t="n"/>
      <c r="AQ78" s="47" t="n"/>
      <c r="AR78" s="47" t="n"/>
      <c r="AS78" s="47" t="n"/>
      <c r="AT78" s="47" t="n"/>
      <c r="AU78" s="47" t="n"/>
      <c r="AV78" s="118" t="n"/>
      <c r="AW78" s="310" t="n"/>
      <c r="AX78" s="36" t="n"/>
      <c r="AY78" s="64" t="n"/>
      <c r="AZ78" s="838" t="n"/>
      <c r="BC78" s="31">
        <f>IF(Planning!B71="","",Planning!B71)</f>
        <v/>
      </c>
      <c r="BD78" s="105" t="n"/>
      <c r="BE78" s="885">
        <f>Planning!E71</f>
        <v/>
      </c>
      <c r="BF78" s="885">
        <f>Planning!F71</f>
        <v/>
      </c>
      <c r="BG78" s="886" t="n"/>
      <c r="BH78" s="105" t="n"/>
      <c r="BI78" s="885">
        <f>Planning!I71</f>
        <v/>
      </c>
      <c r="BJ78" s="885">
        <f>Planning!J71</f>
        <v/>
      </c>
      <c r="BK78" s="886" t="n"/>
      <c r="BL78" s="105" t="n"/>
      <c r="BM78" s="885">
        <f>Planning!M71</f>
        <v/>
      </c>
      <c r="BN78" s="885">
        <f>Planning!N71</f>
        <v/>
      </c>
      <c r="BO78" s="886" t="n"/>
      <c r="BP78" s="105" t="n"/>
      <c r="BQ78" s="885">
        <f>Planning!Q71</f>
        <v/>
      </c>
      <c r="BR78" s="885">
        <f>Planning!R71</f>
        <v/>
      </c>
      <c r="BS78" s="886" t="n"/>
      <c r="BT78" s="105" t="n"/>
      <c r="BU78" s="885">
        <f>Planning!U71</f>
        <v/>
      </c>
      <c r="BV78" s="885">
        <f>Planning!V71</f>
        <v/>
      </c>
      <c r="BW78" s="886" t="n"/>
      <c r="BX78" s="105" t="n"/>
      <c r="BY78" s="885">
        <f>Planning!Y71</f>
        <v/>
      </c>
      <c r="BZ78" s="885">
        <f>Planning!Z71</f>
        <v/>
      </c>
      <c r="CA78" s="886" t="n"/>
      <c r="CB78" s="105" t="n"/>
      <c r="CC78" s="885">
        <f>Planning!AC71</f>
        <v/>
      </c>
      <c r="CD78" s="885">
        <f>Planning!AD71</f>
        <v/>
      </c>
      <c r="CE78" s="886" t="n"/>
      <c r="CF78" s="105" t="n"/>
      <c r="CG78" s="887">
        <f>Planning!AG71</f>
        <v/>
      </c>
      <c r="CH78" s="105" t="n"/>
      <c r="CI78" s="252">
        <f>IF(BC78="","",Planning!AI71)</f>
        <v/>
      </c>
      <c r="CJ78" s="252">
        <f>IF(BC78="","",Planning!AJ71)</f>
        <v/>
      </c>
      <c r="CK78" s="252">
        <f>IF(BC78="","",Planning!AK71)</f>
        <v/>
      </c>
      <c r="CL78" s="252">
        <f>IF(BC78="","",Planning!AH71)</f>
        <v/>
      </c>
      <c r="CM78" s="21" t="n"/>
    </row>
    <row r="79" ht="13.5" customHeight="1">
      <c r="A79" s="159" t="n"/>
      <c r="B79" s="440">
        <f>IFERROR(IF(COUNTIF(Instellingen!$R$40:$R$47,"")&gt;3,"",VLOOKUP(SMALL(Instellingen!$R$40:$R$47,5),Instellingen!$R$40:$T$47,3,FALSE)),"")</f>
        <v/>
      </c>
      <c r="C79" s="902">
        <f>IFERROR(IF(B79="","",VLOOKUP(B79,Instellingen!$B$40:$K$47,10,FALSE)),"")</f>
        <v/>
      </c>
      <c r="D79" s="866" t="n"/>
      <c r="H79" s="673" t="inlineStr">
        <is>
          <t>hl - Hardlopers vullen</t>
        </is>
      </c>
      <c r="I79" s="264" t="n"/>
      <c r="J79" s="264" t="n"/>
      <c r="K79" s="264" t="n"/>
      <c r="L79" s="264" t="n"/>
      <c r="M79" s="264" t="n"/>
      <c r="N79" s="264" t="n"/>
      <c r="O79" s="264" t="n"/>
      <c r="P79" s="901">
        <f>BA26</f>
        <v/>
      </c>
      <c r="Q79" s="866" t="n"/>
      <c r="R79" s="673" t="inlineStr">
        <is>
          <t>com - Comco sorteren</t>
        </is>
      </c>
      <c r="S79" s="264" t="n"/>
      <c r="T79" s="264" t="n"/>
      <c r="U79" s="264" t="n"/>
      <c r="V79" s="264" t="n"/>
      <c r="W79" s="264" t="n"/>
      <c r="X79" s="264" t="n"/>
      <c r="Y79" s="264" t="n"/>
      <c r="Z79" s="675">
        <f>BA43</f>
        <v/>
      </c>
      <c r="AA79" s="264" t="n"/>
      <c r="AB79" s="907">
        <f>IF(AY60="","",CONCATENATE(AY60," - ",AZ60))</f>
        <v/>
      </c>
      <c r="AC79" s="264" t="n"/>
      <c r="AD79" s="264" t="n"/>
      <c r="AE79" s="264" t="n"/>
      <c r="AF79" s="264" t="n"/>
      <c r="AG79" s="264" t="n"/>
      <c r="AH79" s="264" t="n"/>
      <c r="AI79" s="866" t="n"/>
      <c r="AJ79" s="901">
        <f>IF(AY60="","",BA60)</f>
        <v/>
      </c>
      <c r="AK79" s="866" t="n"/>
      <c r="AL79" s="47" t="n"/>
      <c r="AM79" s="47" t="n"/>
      <c r="AN79" s="47" t="n"/>
      <c r="AO79" s="47" t="n"/>
      <c r="AP79" s="47" t="n"/>
      <c r="AQ79" s="47" t="n"/>
      <c r="AR79" s="47" t="n"/>
      <c r="AS79" s="47" t="n"/>
      <c r="AT79" s="47" t="n"/>
      <c r="AU79" s="47" t="n"/>
      <c r="AV79" s="118" t="n"/>
      <c r="AW79" s="310" t="n"/>
      <c r="AX79" s="36" t="n"/>
      <c r="AY79" s="64" t="n"/>
      <c r="AZ79" s="838" t="n"/>
      <c r="BC79" s="31">
        <f>IF(Planning!B72="","",Planning!B72)</f>
        <v/>
      </c>
      <c r="BD79" s="105" t="n"/>
      <c r="BE79" s="885">
        <f>Planning!E72</f>
        <v/>
      </c>
      <c r="BF79" s="885">
        <f>Planning!F72</f>
        <v/>
      </c>
      <c r="BG79" s="886" t="n"/>
      <c r="BH79" s="105" t="n"/>
      <c r="BI79" s="885">
        <f>Planning!I72</f>
        <v/>
      </c>
      <c r="BJ79" s="885">
        <f>Planning!J72</f>
        <v/>
      </c>
      <c r="BK79" s="886" t="n"/>
      <c r="BL79" s="105" t="n"/>
      <c r="BM79" s="885">
        <f>Planning!M72</f>
        <v/>
      </c>
      <c r="BN79" s="885">
        <f>Planning!N72</f>
        <v/>
      </c>
      <c r="BO79" s="886" t="n"/>
      <c r="BP79" s="105" t="n"/>
      <c r="BQ79" s="885">
        <f>Planning!Q72</f>
        <v/>
      </c>
      <c r="BR79" s="885">
        <f>Planning!R72</f>
        <v/>
      </c>
      <c r="BS79" s="886" t="n"/>
      <c r="BT79" s="105" t="n"/>
      <c r="BU79" s="885">
        <f>Planning!U72</f>
        <v/>
      </c>
      <c r="BV79" s="885">
        <f>Planning!V72</f>
        <v/>
      </c>
      <c r="BW79" s="886" t="n"/>
      <c r="BX79" s="105" t="n"/>
      <c r="BY79" s="885">
        <f>Planning!Y72</f>
        <v/>
      </c>
      <c r="BZ79" s="885">
        <f>Planning!Z72</f>
        <v/>
      </c>
      <c r="CA79" s="886" t="n"/>
      <c r="CB79" s="105" t="n"/>
      <c r="CC79" s="885">
        <f>Planning!AC72</f>
        <v/>
      </c>
      <c r="CD79" s="885">
        <f>Planning!AD72</f>
        <v/>
      </c>
      <c r="CE79" s="886" t="n"/>
      <c r="CF79" s="105" t="n"/>
      <c r="CG79" s="887">
        <f>Planning!AG72</f>
        <v/>
      </c>
      <c r="CH79" s="105" t="n"/>
      <c r="CI79" s="252">
        <f>IF(BC79="","",Planning!AI72)</f>
        <v/>
      </c>
      <c r="CJ79" s="252">
        <f>IF(BC79="","",Planning!AJ72)</f>
        <v/>
      </c>
      <c r="CK79" s="252">
        <f>IF(BC79="","",Planning!AK72)</f>
        <v/>
      </c>
      <c r="CL79" s="252">
        <f>IF(BC79="","",Planning!AH72)</f>
        <v/>
      </c>
      <c r="CM79" s="21" t="n"/>
    </row>
    <row r="80" ht="13.5" customHeight="1">
      <c r="A80" s="159" t="n"/>
      <c r="B80" s="251">
        <f>IFERROR(IF(COUNTIF(Instellingen!$R$40:$R$47,"")&gt;2,"",VLOOKUP(SMALL(Instellingen!$R$40:$R$47,6),Instellingen!$R$40:$T$47,3,FALSE)),"")</f>
        <v/>
      </c>
      <c r="C80" s="902">
        <f>IFERROR(IF(B80="","",VLOOKUP(B80,Instellingen!$B$40:$K$47,10,FALSE)),"")</f>
        <v/>
      </c>
      <c r="D80" s="866" t="n"/>
      <c r="H80" s="673" t="inlineStr">
        <is>
          <t>lhb - Neeverkoop HB</t>
        </is>
      </c>
      <c r="I80" s="264" t="n"/>
      <c r="J80" s="264" t="n"/>
      <c r="K80" s="264" t="n"/>
      <c r="L80" s="264" t="n"/>
      <c r="M80" s="264" t="n"/>
      <c r="N80" s="264" t="n"/>
      <c r="O80" s="264" t="n"/>
      <c r="P80" s="901">
        <f>BA27</f>
        <v/>
      </c>
      <c r="Q80" s="866" t="n"/>
      <c r="R80" s="673" t="inlineStr">
        <is>
          <t>pro - Promotie</t>
        </is>
      </c>
      <c r="S80" s="264" t="n"/>
      <c r="T80" s="264" t="n"/>
      <c r="U80" s="264" t="n"/>
      <c r="V80" s="264" t="n"/>
      <c r="W80" s="264" t="n"/>
      <c r="X80" s="264" t="n"/>
      <c r="Y80" s="264" t="n"/>
      <c r="Z80" s="675">
        <f>BA44</f>
        <v/>
      </c>
      <c r="AA80" s="264" t="n"/>
      <c r="AB80" s="909">
        <f>IF(BA61=0,"","Taken zonder legenda")</f>
        <v/>
      </c>
      <c r="AC80" s="264" t="n"/>
      <c r="AD80" s="264" t="n"/>
      <c r="AE80" s="264" t="n"/>
      <c r="AF80" s="264" t="n"/>
      <c r="AG80" s="264" t="n"/>
      <c r="AH80" s="264" t="n"/>
      <c r="AI80" s="866" t="n"/>
      <c r="AJ80" s="910">
        <f>IF(BA61=0,"",BA61)</f>
        <v/>
      </c>
      <c r="AK80" s="866" t="n"/>
      <c r="AL80" s="47" t="n"/>
      <c r="AM80" s="47" t="n"/>
      <c r="AN80" s="47" t="n"/>
      <c r="AO80" s="47" t="n"/>
      <c r="AP80" s="47" t="n"/>
      <c r="AQ80" s="47" t="n"/>
      <c r="AR80" s="47" t="n"/>
      <c r="AS80" s="47" t="n"/>
      <c r="AT80" s="47" t="n"/>
      <c r="AU80" s="47" t="n"/>
      <c r="AV80" s="118" t="n"/>
      <c r="AW80" s="310" t="n"/>
      <c r="AX80" s="36" t="n"/>
      <c r="AY80" s="64" t="n"/>
      <c r="AZ80" s="838" t="n"/>
      <c r="BC80" s="31">
        <f>IF(Planning!B73="","",Planning!B73)</f>
        <v/>
      </c>
      <c r="BD80" s="105" t="n"/>
      <c r="BE80" s="885">
        <f>Planning!E73</f>
        <v/>
      </c>
      <c r="BF80" s="885">
        <f>Planning!F73</f>
        <v/>
      </c>
      <c r="BG80" s="886" t="n"/>
      <c r="BH80" s="105" t="n"/>
      <c r="BI80" s="885">
        <f>Planning!I73</f>
        <v/>
      </c>
      <c r="BJ80" s="885">
        <f>Planning!J73</f>
        <v/>
      </c>
      <c r="BK80" s="886" t="n"/>
      <c r="BL80" s="105" t="n"/>
      <c r="BM80" s="885">
        <f>Planning!M73</f>
        <v/>
      </c>
      <c r="BN80" s="885">
        <f>Planning!N73</f>
        <v/>
      </c>
      <c r="BO80" s="886" t="n"/>
      <c r="BP80" s="105" t="n"/>
      <c r="BQ80" s="885">
        <f>Planning!Q73</f>
        <v/>
      </c>
      <c r="BR80" s="885">
        <f>Planning!R73</f>
        <v/>
      </c>
      <c r="BS80" s="886" t="n"/>
      <c r="BT80" s="105" t="n"/>
      <c r="BU80" s="885">
        <f>Planning!U73</f>
        <v/>
      </c>
      <c r="BV80" s="885">
        <f>Planning!V73</f>
        <v/>
      </c>
      <c r="BW80" s="886" t="n"/>
      <c r="BX80" s="105" t="n"/>
      <c r="BY80" s="885">
        <f>Planning!Y73</f>
        <v/>
      </c>
      <c r="BZ80" s="885">
        <f>Planning!Z73</f>
        <v/>
      </c>
      <c r="CA80" s="886" t="n"/>
      <c r="CB80" s="105" t="n"/>
      <c r="CC80" s="885">
        <f>Planning!AC73</f>
        <v/>
      </c>
      <c r="CD80" s="885">
        <f>Planning!AD73</f>
        <v/>
      </c>
      <c r="CE80" s="886" t="n"/>
      <c r="CF80" s="105" t="n"/>
      <c r="CG80" s="887">
        <f>Planning!AG73</f>
        <v/>
      </c>
      <c r="CH80" s="105" t="n"/>
      <c r="CI80" s="252">
        <f>IF(BC80="","",Planning!AI73)</f>
        <v/>
      </c>
      <c r="CJ80" s="252">
        <f>IF(BC80="","",Planning!AJ73)</f>
        <v/>
      </c>
      <c r="CK80" s="252">
        <f>IF(BC80="","",Planning!AK73)</f>
        <v/>
      </c>
      <c r="CL80" s="252">
        <f>IF(BC80="","",Planning!AH73)</f>
        <v/>
      </c>
      <c r="CM80" s="21" t="n"/>
    </row>
    <row r="81" ht="13.5" customHeight="1">
      <c r="A81" s="159" t="n"/>
      <c r="B81" s="440">
        <f>IFERROR(IF(COUNTIF(Instellingen!$R$40:$R$47,"")&gt;1,"",VLOOKUP(SMALL(Instellingen!$R$40:$R$47,7),Instellingen!$R$40:$T$47,3,FALSE)),"")</f>
        <v/>
      </c>
      <c r="C81" s="902">
        <f>IFERROR(IF(B81="","",VLOOKUP(B81,Instellingen!$B$40:$K$47,10,FALSE)),"")</f>
        <v/>
      </c>
      <c r="D81" s="866" t="n"/>
      <c r="H81" s="673" t="inlineStr">
        <is>
          <t>ldv - Neeverkoop DV</t>
        </is>
      </c>
      <c r="I81" s="264" t="n"/>
      <c r="J81" s="264" t="n"/>
      <c r="K81" s="264" t="n"/>
      <c r="L81" s="264" t="n"/>
      <c r="M81" s="264" t="n"/>
      <c r="N81" s="264" t="n"/>
      <c r="O81" s="264" t="n"/>
      <c r="P81" s="901">
        <f>BA28</f>
        <v/>
      </c>
      <c r="Q81" s="866" t="n"/>
      <c r="R81" s="673" t="inlineStr">
        <is>
          <t>pw - Prijswijzigingen</t>
        </is>
      </c>
      <c r="S81" s="264" t="n"/>
      <c r="T81" s="264" t="n"/>
      <c r="U81" s="264" t="n"/>
      <c r="V81" s="264" t="n"/>
      <c r="W81" s="264" t="n"/>
      <c r="X81" s="264" t="n"/>
      <c r="Y81" s="264" t="n"/>
      <c r="Z81" s="675">
        <f>BA45</f>
        <v/>
      </c>
      <c r="AA81" s="264" t="n"/>
      <c r="AB81" s="911" t="inlineStr">
        <is>
          <t>p - Pauze (onbetaald)</t>
        </is>
      </c>
      <c r="AC81" s="264" t="n"/>
      <c r="AD81" s="264" t="n"/>
      <c r="AE81" s="264" t="n"/>
      <c r="AF81" s="264" t="n"/>
      <c r="AG81" s="264" t="n"/>
      <c r="AH81" s="264" t="n"/>
      <c r="AI81" s="866" t="n"/>
      <c r="AJ81" s="912">
        <f>BA62</f>
        <v/>
      </c>
      <c r="AK81" s="866" t="n"/>
      <c r="AL81" s="47" t="n"/>
      <c r="AM81" s="47" t="n"/>
      <c r="AN81" s="47" t="n"/>
      <c r="AO81" s="47" t="n"/>
      <c r="AP81" s="47" t="n"/>
      <c r="AQ81" s="47" t="n"/>
      <c r="AR81" s="47" t="n"/>
      <c r="AS81" s="47" t="n"/>
      <c r="AT81" s="47" t="n"/>
      <c r="AU81" s="47" t="n"/>
      <c r="AV81" s="118" t="n"/>
      <c r="AW81" s="310" t="n"/>
      <c r="AX81" s="36" t="n"/>
      <c r="AY81" s="64" t="n"/>
      <c r="AZ81" s="838" t="n"/>
      <c r="BC81" s="31">
        <f>IF(Planning!B74="","",Planning!B74)</f>
        <v/>
      </c>
      <c r="BD81" s="105" t="n"/>
      <c r="BE81" s="885">
        <f>Planning!E74</f>
        <v/>
      </c>
      <c r="BF81" s="885">
        <f>Planning!F74</f>
        <v/>
      </c>
      <c r="BG81" s="886" t="n"/>
      <c r="BH81" s="105" t="n"/>
      <c r="BI81" s="885">
        <f>Planning!I74</f>
        <v/>
      </c>
      <c r="BJ81" s="885">
        <f>Planning!J74</f>
        <v/>
      </c>
      <c r="BK81" s="886" t="n"/>
      <c r="BL81" s="105" t="n"/>
      <c r="BM81" s="885">
        <f>Planning!M74</f>
        <v/>
      </c>
      <c r="BN81" s="885">
        <f>Planning!N74</f>
        <v/>
      </c>
      <c r="BO81" s="886" t="n"/>
      <c r="BP81" s="105" t="n"/>
      <c r="BQ81" s="885">
        <f>Planning!Q74</f>
        <v/>
      </c>
      <c r="BR81" s="885">
        <f>Planning!R74</f>
        <v/>
      </c>
      <c r="BS81" s="886" t="n"/>
      <c r="BT81" s="105" t="n"/>
      <c r="BU81" s="885">
        <f>Planning!U74</f>
        <v/>
      </c>
      <c r="BV81" s="885">
        <f>Planning!V74</f>
        <v/>
      </c>
      <c r="BW81" s="886" t="n"/>
      <c r="BX81" s="105" t="n"/>
      <c r="BY81" s="885">
        <f>Planning!Y74</f>
        <v/>
      </c>
      <c r="BZ81" s="885">
        <f>Planning!Z74</f>
        <v/>
      </c>
      <c r="CA81" s="886" t="n"/>
      <c r="CB81" s="105" t="n"/>
      <c r="CC81" s="885">
        <f>Planning!AC74</f>
        <v/>
      </c>
      <c r="CD81" s="885">
        <f>Planning!AD74</f>
        <v/>
      </c>
      <c r="CE81" s="886" t="n"/>
      <c r="CF81" s="105" t="n"/>
      <c r="CG81" s="887">
        <f>Planning!AG74</f>
        <v/>
      </c>
      <c r="CH81" s="105" t="n"/>
      <c r="CI81" s="252">
        <f>IF(BC81="","",Planning!AI74)</f>
        <v/>
      </c>
      <c r="CJ81" s="252">
        <f>IF(BC81="","",Planning!AJ74)</f>
        <v/>
      </c>
      <c r="CK81" s="252">
        <f>IF(BC81="","",Planning!AK74)</f>
        <v/>
      </c>
      <c r="CL81" s="252">
        <f>IF(BC81="","",Planning!AH74)</f>
        <v/>
      </c>
      <c r="CM81" s="21" t="n"/>
    </row>
    <row r="82" ht="13.5" customHeight="1">
      <c r="A82" s="159" t="n"/>
      <c r="B82" s="441">
        <f>IFERROR(IF(COUNTIF(Instellingen!$R$40:$R$47,"")&gt;0,"",VLOOKUP(SMALL(Instellingen!$R$40:$R$47,8),Instellingen!$R$40:$T$47,3,FALSE)),"")</f>
        <v/>
      </c>
      <c r="C82" s="908">
        <f>IFERROR(IF(B82="","",VLOOKUP(B82,Instellingen!$B$40:$K$47,10,FALSE)),"")</f>
        <v/>
      </c>
      <c r="D82" s="869" t="n"/>
      <c r="H82" s="661" t="inlineStr">
        <is>
          <t>lvv - Neeverkoop Vers</t>
        </is>
      </c>
      <c r="I82" s="906" t="n"/>
      <c r="J82" s="906" t="n"/>
      <c r="K82" s="906" t="n"/>
      <c r="L82" s="906" t="n"/>
      <c r="M82" s="906" t="n"/>
      <c r="N82" s="906" t="n"/>
      <c r="O82" s="906" t="n"/>
      <c r="P82" s="913">
        <f>BA29</f>
        <v/>
      </c>
      <c r="Q82" s="869" t="n"/>
      <c r="R82" s="661" t="inlineStr">
        <is>
          <t>wap - WAP uitvoeren</t>
        </is>
      </c>
      <c r="S82" s="906" t="n"/>
      <c r="T82" s="906" t="n"/>
      <c r="U82" s="906" t="n"/>
      <c r="V82" s="906" t="n"/>
      <c r="W82" s="906" t="n"/>
      <c r="X82" s="906" t="n"/>
      <c r="Y82" s="906" t="n"/>
      <c r="Z82" s="663">
        <f>BA46</f>
        <v/>
      </c>
      <c r="AA82" s="906" t="n"/>
      <c r="AB82" s="914" t="inlineStr">
        <is>
          <t>afw - Afwezig / ziek</t>
        </is>
      </c>
      <c r="AC82" s="906" t="n"/>
      <c r="AD82" s="906" t="n"/>
      <c r="AE82" s="906" t="n"/>
      <c r="AF82" s="906" t="n"/>
      <c r="AG82" s="906" t="n"/>
      <c r="AH82" s="906" t="n"/>
      <c r="AI82" s="869" t="n"/>
      <c r="AJ82" s="915">
        <f>BA63</f>
        <v/>
      </c>
      <c r="AK82" s="869" t="n"/>
      <c r="AL82" s="47" t="n"/>
      <c r="AM82" s="47" t="n"/>
      <c r="AN82" s="47" t="n"/>
      <c r="AO82" s="47" t="n"/>
      <c r="AP82" s="47" t="n"/>
      <c r="AQ82" s="47" t="n"/>
      <c r="AR82" s="47" t="n"/>
      <c r="AS82" s="47" t="n"/>
      <c r="AT82" s="47" t="n"/>
      <c r="AU82" s="47" t="n"/>
      <c r="AV82" s="118" t="n"/>
      <c r="AW82" s="310" t="n"/>
      <c r="AX82" s="36" t="n"/>
      <c r="AY82" s="64" t="n"/>
      <c r="AZ82" s="838" t="n"/>
      <c r="BC82" s="31">
        <f>IF(Planning!B75="","",Planning!B75)</f>
        <v/>
      </c>
      <c r="BD82" s="105" t="n"/>
      <c r="BE82" s="885">
        <f>Planning!E75</f>
        <v/>
      </c>
      <c r="BF82" s="885">
        <f>Planning!F75</f>
        <v/>
      </c>
      <c r="BG82" s="886" t="n"/>
      <c r="BH82" s="105" t="n"/>
      <c r="BI82" s="885">
        <f>Planning!I75</f>
        <v/>
      </c>
      <c r="BJ82" s="885">
        <f>Planning!J75</f>
        <v/>
      </c>
      <c r="BK82" s="886" t="n"/>
      <c r="BL82" s="105" t="n"/>
      <c r="BM82" s="885">
        <f>Planning!M75</f>
        <v/>
      </c>
      <c r="BN82" s="885">
        <f>Planning!N75</f>
        <v/>
      </c>
      <c r="BO82" s="886" t="n"/>
      <c r="BP82" s="105" t="n"/>
      <c r="BQ82" s="885">
        <f>Planning!Q75</f>
        <v/>
      </c>
      <c r="BR82" s="885">
        <f>Planning!R75</f>
        <v/>
      </c>
      <c r="BS82" s="886" t="n"/>
      <c r="BT82" s="105" t="n"/>
      <c r="BU82" s="885">
        <f>Planning!U75</f>
        <v/>
      </c>
      <c r="BV82" s="885">
        <f>Planning!V75</f>
        <v/>
      </c>
      <c r="BW82" s="886" t="n"/>
      <c r="BX82" s="105" t="n"/>
      <c r="BY82" s="885">
        <f>Planning!Y75</f>
        <v/>
      </c>
      <c r="BZ82" s="885">
        <f>Planning!Z75</f>
        <v/>
      </c>
      <c r="CA82" s="886" t="n"/>
      <c r="CB82" s="105" t="n"/>
      <c r="CC82" s="885">
        <f>Planning!AC75</f>
        <v/>
      </c>
      <c r="CD82" s="885">
        <f>Planning!AD75</f>
        <v/>
      </c>
      <c r="CE82" s="886" t="n"/>
      <c r="CF82" s="105" t="n"/>
      <c r="CG82" s="887">
        <f>Planning!AG75</f>
        <v/>
      </c>
      <c r="CH82" s="105" t="n"/>
      <c r="CI82" s="252">
        <f>IF(BC82="","",Planning!AI75)</f>
        <v/>
      </c>
      <c r="CJ82" s="252">
        <f>IF(BC82="","",Planning!AJ75)</f>
        <v/>
      </c>
      <c r="CK82" s="252">
        <f>IF(BC82="","",Planning!AK75)</f>
        <v/>
      </c>
      <c r="CL82" s="252">
        <f>IF(BC82="","",Planning!AH75)</f>
        <v/>
      </c>
      <c r="CM82" s="21" t="n"/>
    </row>
    <row r="83" ht="6" customHeight="1">
      <c r="A83" s="159" t="n"/>
      <c r="P83" s="310" t="n"/>
      <c r="Q83" s="310" t="n"/>
      <c r="W83" s="110" t="n"/>
      <c r="X83" s="109" t="n"/>
      <c r="Y83" s="109" t="n"/>
      <c r="Z83" s="109" t="n"/>
      <c r="AA83" s="109" t="n"/>
      <c r="AB83" s="109" t="n"/>
      <c r="AC83" s="109" t="n"/>
      <c r="AD83" s="109" t="n"/>
      <c r="AE83" s="109" t="n"/>
      <c r="AF83" s="109" t="n"/>
      <c r="AG83" s="109" t="n"/>
      <c r="AH83" s="47" t="n"/>
      <c r="AI83" s="47" t="n"/>
      <c r="AJ83" s="47" t="n"/>
      <c r="AK83" s="47" t="n"/>
      <c r="AL83" s="47" t="n"/>
      <c r="AM83" s="47" t="n"/>
      <c r="AN83" s="47" t="n"/>
      <c r="AO83" s="47" t="n"/>
      <c r="AP83" s="47" t="n"/>
      <c r="AQ83" s="47" t="n"/>
      <c r="AR83" s="47" t="n"/>
      <c r="AS83" s="47" t="n"/>
      <c r="AT83" s="47" t="n"/>
      <c r="AU83" s="47" t="n"/>
      <c r="AV83" s="118" t="n"/>
      <c r="AW83" s="310" t="n"/>
      <c r="AX83" s="36" t="n"/>
      <c r="AY83" s="64" t="n"/>
      <c r="AZ83" s="838" t="n"/>
      <c r="CM83" s="21" t="n"/>
    </row>
    <row r="84" ht="13.5" customHeight="1">
      <c r="A84" s="159" t="n"/>
      <c r="B84" s="916" t="inlineStr">
        <is>
          <t>Opmerkingen</t>
        </is>
      </c>
      <c r="C84" s="883" t="n"/>
      <c r="D84" s="883" t="n"/>
      <c r="E84" s="883" t="n"/>
      <c r="F84" s="883" t="n"/>
      <c r="G84" s="883" t="n"/>
      <c r="H84" s="883" t="n"/>
      <c r="I84" s="883" t="n"/>
      <c r="J84" s="883" t="n"/>
      <c r="K84" s="883" t="n"/>
      <c r="L84" s="883" t="n"/>
      <c r="M84" s="883" t="n"/>
      <c r="N84" s="883" t="n"/>
      <c r="O84" s="883" t="n"/>
      <c r="P84" s="883" t="n"/>
      <c r="Q84" s="883" t="n"/>
      <c r="R84" s="883" t="n"/>
      <c r="S84" s="883" t="n"/>
      <c r="T84" s="883" t="n"/>
      <c r="U84" s="883" t="n"/>
      <c r="V84" s="883" t="n"/>
      <c r="W84" s="883" t="n"/>
      <c r="X84" s="883" t="n"/>
      <c r="Y84" s="883" t="n"/>
      <c r="Z84" s="883" t="n"/>
      <c r="AA84" s="883" t="n"/>
      <c r="AB84" s="883" t="n"/>
      <c r="AC84" s="883" t="n"/>
      <c r="AD84" s="883" t="n"/>
      <c r="AE84" s="883" t="n"/>
      <c r="AF84" s="883" t="n"/>
      <c r="AG84" s="883" t="n"/>
      <c r="AH84" s="883" t="n"/>
      <c r="AI84" s="883" t="n"/>
      <c r="AJ84" s="883" t="n"/>
      <c r="AK84" s="884" t="n"/>
      <c r="AL84" s="47" t="n"/>
      <c r="AM84" s="47" t="n"/>
      <c r="AN84" s="47" t="n"/>
      <c r="AO84" s="47" t="n"/>
      <c r="AP84" s="47" t="n"/>
      <c r="AQ84" s="47" t="n"/>
      <c r="AR84" s="47" t="n"/>
      <c r="AS84" s="47" t="n"/>
      <c r="AT84" s="47" t="n"/>
      <c r="AU84" s="47" t="n"/>
      <c r="AV84" s="118" t="n"/>
      <c r="AW84" s="310" t="n"/>
      <c r="AX84" s="36" t="n"/>
      <c r="AY84" s="64" t="n"/>
      <c r="AZ84" s="838" t="n"/>
      <c r="CM84" s="21" t="n"/>
    </row>
    <row r="85" ht="13.5" customHeight="1">
      <c r="A85" s="159" t="n"/>
      <c r="B85" s="917" t="n"/>
      <c r="C85" s="918" t="n"/>
      <c r="D85" s="918" t="n"/>
      <c r="E85" s="918" t="n"/>
      <c r="F85" s="918" t="n"/>
      <c r="G85" s="918" t="n"/>
      <c r="H85" s="918" t="n"/>
      <c r="I85" s="918" t="n"/>
      <c r="J85" s="918" t="n"/>
      <c r="K85" s="918" t="n"/>
      <c r="L85" s="918" t="n"/>
      <c r="M85" s="918" t="n"/>
      <c r="N85" s="918" t="n"/>
      <c r="O85" s="918" t="n"/>
      <c r="P85" s="918" t="n"/>
      <c r="Q85" s="918" t="n"/>
      <c r="R85" s="918" t="n"/>
      <c r="S85" s="918" t="n"/>
      <c r="T85" s="918" t="n"/>
      <c r="U85" s="918" t="n"/>
      <c r="V85" s="918" t="n"/>
      <c r="W85" s="918" t="n"/>
      <c r="X85" s="918" t="n"/>
      <c r="Y85" s="918" t="n"/>
      <c r="Z85" s="918" t="n"/>
      <c r="AA85" s="918" t="n"/>
      <c r="AB85" s="918" t="n"/>
      <c r="AC85" s="918" t="n"/>
      <c r="AD85" s="918" t="n"/>
      <c r="AE85" s="918" t="n"/>
      <c r="AF85" s="918" t="n"/>
      <c r="AG85" s="918" t="n"/>
      <c r="AH85" s="918" t="n"/>
      <c r="AI85" s="918" t="n"/>
      <c r="AJ85" s="918" t="n"/>
      <c r="AK85" s="919" t="n"/>
      <c r="AL85" s="47" t="n"/>
      <c r="AM85" s="47" t="n"/>
      <c r="AN85" s="47" t="n"/>
      <c r="AO85" s="47" t="n"/>
      <c r="AP85" s="47" t="n"/>
      <c r="AQ85" s="47" t="n"/>
      <c r="AR85" s="47" t="n"/>
      <c r="AS85" s="47" t="n"/>
      <c r="AT85" s="47" t="n"/>
      <c r="AU85" s="47" t="n"/>
      <c r="AV85" s="118" t="n"/>
      <c r="AW85" s="310" t="n"/>
      <c r="AX85" s="36" t="n"/>
      <c r="AY85" s="64" t="n"/>
      <c r="AZ85" s="838" t="n"/>
      <c r="CM85" s="21" t="n"/>
    </row>
    <row r="86" ht="13.5" customHeight="1">
      <c r="A86" s="159" t="n"/>
      <c r="B86" s="920" t="n"/>
      <c r="C86" s="921" t="n"/>
      <c r="D86" s="921" t="n"/>
      <c r="E86" s="921" t="n"/>
      <c r="F86" s="921" t="n"/>
      <c r="G86" s="921" t="n"/>
      <c r="H86" s="921" t="n"/>
      <c r="I86" s="921" t="n"/>
      <c r="J86" s="921" t="n"/>
      <c r="K86" s="921" t="n"/>
      <c r="L86" s="921" t="n"/>
      <c r="M86" s="921" t="n"/>
      <c r="N86" s="921" t="n"/>
      <c r="O86" s="921" t="n"/>
      <c r="P86" s="921" t="n"/>
      <c r="Q86" s="921" t="n"/>
      <c r="R86" s="921" t="n"/>
      <c r="S86" s="921" t="n"/>
      <c r="T86" s="921" t="n"/>
      <c r="U86" s="921" t="n"/>
      <c r="V86" s="921" t="n"/>
      <c r="W86" s="921" t="n"/>
      <c r="X86" s="921" t="n"/>
      <c r="Y86" s="921" t="n"/>
      <c r="Z86" s="921" t="n"/>
      <c r="AA86" s="921" t="n"/>
      <c r="AB86" s="921" t="n"/>
      <c r="AC86" s="921" t="n"/>
      <c r="AD86" s="921" t="n"/>
      <c r="AE86" s="921" t="n"/>
      <c r="AF86" s="921" t="n"/>
      <c r="AG86" s="921" t="n"/>
      <c r="AH86" s="921" t="n"/>
      <c r="AI86" s="921" t="n"/>
      <c r="AJ86" s="921" t="n"/>
      <c r="AK86" s="922" t="n"/>
      <c r="AL86" s="47" t="n"/>
      <c r="AM86" s="47" t="n"/>
      <c r="AN86" s="47" t="n"/>
      <c r="AO86" s="47" t="n"/>
      <c r="AP86" s="47" t="n"/>
      <c r="AQ86" s="47" t="n"/>
      <c r="AR86" s="47" t="n"/>
      <c r="AS86" s="47" t="n"/>
      <c r="AT86" s="47" t="n"/>
      <c r="AU86" s="47" t="n"/>
      <c r="AV86" s="118" t="n"/>
      <c r="AW86" s="310" t="n"/>
      <c r="AX86" s="36" t="n"/>
      <c r="AY86" s="64" t="n"/>
      <c r="AZ86" s="838" t="n"/>
      <c r="CM86" s="21" t="n"/>
    </row>
    <row r="87" ht="6" customHeight="1">
      <c r="A87" s="163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 t="n"/>
      <c r="P87" s="119" t="n"/>
      <c r="Q87" s="119" t="n"/>
      <c r="R87" s="119" t="n"/>
      <c r="S87" s="119" t="n"/>
      <c r="T87" s="119" t="n"/>
      <c r="U87" s="120" t="n"/>
      <c r="V87" s="121" t="n"/>
      <c r="W87" s="121" t="n"/>
      <c r="X87" s="121" t="n"/>
      <c r="Y87" s="121" t="n"/>
      <c r="Z87" s="121" t="n"/>
      <c r="AA87" s="121" t="n"/>
      <c r="AB87" s="121" t="n"/>
      <c r="AC87" s="121" t="n"/>
      <c r="AD87" s="121" t="n"/>
      <c r="AE87" s="121" t="n"/>
      <c r="AF87" s="121" t="n"/>
      <c r="AG87" s="121" t="n"/>
      <c r="AH87" s="121" t="n"/>
      <c r="AI87" s="121" t="n"/>
      <c r="AJ87" s="121" t="n"/>
      <c r="AK87" s="121" t="n"/>
      <c r="AL87" s="121" t="n"/>
      <c r="AM87" s="121" t="n"/>
      <c r="AN87" s="121" t="n"/>
      <c r="AO87" s="121" t="n"/>
      <c r="AP87" s="121" t="n"/>
      <c r="AQ87" s="121" t="n"/>
      <c r="AR87" s="121" t="n"/>
      <c r="AS87" s="121" t="n"/>
      <c r="AT87" s="121" t="n"/>
      <c r="AU87" s="121" t="n"/>
      <c r="AV87" s="923" t="n"/>
      <c r="AW87" s="310" t="n"/>
      <c r="AX87" s="36" t="n"/>
      <c r="AY87" s="64" t="n"/>
      <c r="AZ87" s="838" t="n"/>
      <c r="CM87" s="21" t="n"/>
    </row>
  </sheetData>
  <mergeCells count="192">
    <mergeCell ref="H66:Q66"/>
    <mergeCell ref="AY61:AZ61"/>
    <mergeCell ref="N2:P2"/>
    <mergeCell ref="AC5:AE5"/>
    <mergeCell ref="H78:O78"/>
    <mergeCell ref="Q4:S4"/>
    <mergeCell ref="BM12:BN12"/>
    <mergeCell ref="Z76:AA76"/>
    <mergeCell ref="AB80:AI80"/>
    <mergeCell ref="Z3:AB3"/>
    <mergeCell ref="AC4:AE4"/>
    <mergeCell ref="R79:Y79"/>
    <mergeCell ref="C79:D79"/>
    <mergeCell ref="P69:Q69"/>
    <mergeCell ref="Z66:AA66"/>
    <mergeCell ref="T2:V2"/>
    <mergeCell ref="AB79:AI79"/>
    <mergeCell ref="Z75:AA75"/>
    <mergeCell ref="L12:M12"/>
    <mergeCell ref="AF5:AH5"/>
    <mergeCell ref="N12:O12"/>
    <mergeCell ref="AF2:AH2"/>
    <mergeCell ref="Z5:AB5"/>
    <mergeCell ref="AJ67:AK67"/>
    <mergeCell ref="H73:O73"/>
    <mergeCell ref="AB72:AI72"/>
    <mergeCell ref="P80:Q80"/>
    <mergeCell ref="AB81:AI81"/>
    <mergeCell ref="H70:O70"/>
    <mergeCell ref="R74:Y74"/>
    <mergeCell ref="W2:Y2"/>
    <mergeCell ref="R12:S12"/>
    <mergeCell ref="AJ69:AK69"/>
    <mergeCell ref="T12:U12"/>
    <mergeCell ref="P70:Q70"/>
    <mergeCell ref="AB71:AI71"/>
    <mergeCell ref="AL12:AM12"/>
    <mergeCell ref="AJ78:AK78"/>
    <mergeCell ref="AN12:AO12"/>
    <mergeCell ref="AF12:AG12"/>
    <mergeCell ref="C76:D76"/>
    <mergeCell ref="R76:Y76"/>
    <mergeCell ref="AF3:AH3"/>
    <mergeCell ref="K3:M3"/>
    <mergeCell ref="N4:P4"/>
    <mergeCell ref="AJ80:AK80"/>
    <mergeCell ref="R66:Y66"/>
    <mergeCell ref="C67:D67"/>
    <mergeCell ref="K5:M5"/>
    <mergeCell ref="H77:O77"/>
    <mergeCell ref="T4:V4"/>
    <mergeCell ref="R68:Y68"/>
    <mergeCell ref="Z80:AA80"/>
    <mergeCell ref="AF4:AH4"/>
    <mergeCell ref="P79:Q79"/>
    <mergeCell ref="C69:D69"/>
    <mergeCell ref="P73:Q73"/>
    <mergeCell ref="Q5:S5"/>
    <mergeCell ref="AJ81:AK81"/>
    <mergeCell ref="BI12:BJ12"/>
    <mergeCell ref="H67:O67"/>
    <mergeCell ref="AB66:AK66"/>
    <mergeCell ref="AJ71:AK71"/>
    <mergeCell ref="BU12:BV12"/>
    <mergeCell ref="AX6:BA9"/>
    <mergeCell ref="AI4:AK4"/>
    <mergeCell ref="R77:AA77"/>
    <mergeCell ref="Z2:AB2"/>
    <mergeCell ref="R78:Y78"/>
    <mergeCell ref="AJ73:AK73"/>
    <mergeCell ref="AB75:AI75"/>
    <mergeCell ref="BY12:BZ12"/>
    <mergeCell ref="AJ82:AK82"/>
    <mergeCell ref="B74:D74"/>
    <mergeCell ref="B85:AK86"/>
    <mergeCell ref="R80:Y80"/>
    <mergeCell ref="AX10:BA10"/>
    <mergeCell ref="AY31:BA31"/>
    <mergeCell ref="H79:O79"/>
    <mergeCell ref="P77:Q77"/>
    <mergeCell ref="Z12:AA12"/>
    <mergeCell ref="Z68:AA68"/>
    <mergeCell ref="R70:Y70"/>
    <mergeCell ref="AB12:AC12"/>
    <mergeCell ref="K4:M4"/>
    <mergeCell ref="AJ68:AK68"/>
    <mergeCell ref="AB70:AI70"/>
    <mergeCell ref="H72:O72"/>
    <mergeCell ref="C71:D71"/>
    <mergeCell ref="H81:O81"/>
    <mergeCell ref="T3:V3"/>
    <mergeCell ref="W4:Y4"/>
    <mergeCell ref="H12:I12"/>
    <mergeCell ref="P78:Q78"/>
    <mergeCell ref="Z69:AA69"/>
    <mergeCell ref="J12:K12"/>
    <mergeCell ref="T5:V5"/>
    <mergeCell ref="AR11:AS11"/>
    <mergeCell ref="Z78:AA78"/>
    <mergeCell ref="C82:D82"/>
    <mergeCell ref="AY23:BA23"/>
    <mergeCell ref="H71:O71"/>
    <mergeCell ref="C66:D66"/>
    <mergeCell ref="P71:Q71"/>
    <mergeCell ref="AY13:BA13"/>
    <mergeCell ref="C77:D77"/>
    <mergeCell ref="AH12:AI12"/>
    <mergeCell ref="AJ12:AK12"/>
    <mergeCell ref="C68:D68"/>
    <mergeCell ref="AB74:AI74"/>
    <mergeCell ref="H82:O82"/>
    <mergeCell ref="W3:Y3"/>
    <mergeCell ref="AJ70:AK70"/>
    <mergeCell ref="AB76:AI76"/>
    <mergeCell ref="AY35:BA35"/>
    <mergeCell ref="H76:Q76"/>
    <mergeCell ref="R69:Y69"/>
    <mergeCell ref="Z81:AA81"/>
    <mergeCell ref="C75:D75"/>
    <mergeCell ref="B65:D65"/>
    <mergeCell ref="AI3:AK3"/>
    <mergeCell ref="C80:D80"/>
    <mergeCell ref="P67:Q67"/>
    <mergeCell ref="R67:AA67"/>
    <mergeCell ref="B84:AK84"/>
    <mergeCell ref="A1:J3"/>
    <mergeCell ref="BE12:BF12"/>
    <mergeCell ref="AB77:AI77"/>
    <mergeCell ref="Z73:AA73"/>
    <mergeCell ref="AJ77:AK77"/>
    <mergeCell ref="AI5:AK5"/>
    <mergeCell ref="P82:Q82"/>
    <mergeCell ref="Z82:AA82"/>
    <mergeCell ref="BQ12:BR12"/>
    <mergeCell ref="AB67:AI67"/>
    <mergeCell ref="C70:D70"/>
    <mergeCell ref="P75:Q75"/>
    <mergeCell ref="AJ74:AK74"/>
    <mergeCell ref="H80:O80"/>
    <mergeCell ref="R72:Y72"/>
    <mergeCell ref="P12:Q12"/>
    <mergeCell ref="P68:Q68"/>
    <mergeCell ref="AB69:AI69"/>
    <mergeCell ref="R81:Y81"/>
    <mergeCell ref="AJ76:AK76"/>
    <mergeCell ref="AB78:AI78"/>
    <mergeCell ref="AY41:BA41"/>
    <mergeCell ref="AY47:BA47"/>
    <mergeCell ref="N3:P3"/>
    <mergeCell ref="AD12:AE12"/>
    <mergeCell ref="AJ75:AK75"/>
    <mergeCell ref="V12:W12"/>
    <mergeCell ref="X12:Y12"/>
    <mergeCell ref="AP12:AQ12"/>
    <mergeCell ref="R73:Y73"/>
    <mergeCell ref="R82:Y82"/>
    <mergeCell ref="N5:P5"/>
    <mergeCell ref="AB73:AI73"/>
    <mergeCell ref="Z70:AA70"/>
    <mergeCell ref="R71:AA71"/>
    <mergeCell ref="K2:M2"/>
    <mergeCell ref="F12:G12"/>
    <mergeCell ref="P72:Q72"/>
    <mergeCell ref="H74:O74"/>
    <mergeCell ref="H68:O68"/>
    <mergeCell ref="P81:Q81"/>
    <mergeCell ref="Z72:AA72"/>
    <mergeCell ref="AJ72:AK72"/>
    <mergeCell ref="Z4:AB4"/>
    <mergeCell ref="Q2:S2"/>
    <mergeCell ref="AI2:AK2"/>
    <mergeCell ref="H65:AK65"/>
    <mergeCell ref="AC2:AE2"/>
    <mergeCell ref="AY3:AZ4"/>
    <mergeCell ref="H69:O69"/>
    <mergeCell ref="AB82:AI82"/>
    <mergeCell ref="AY2:AZ2"/>
    <mergeCell ref="A4:J5"/>
    <mergeCell ref="Z79:AA79"/>
    <mergeCell ref="H75:O75"/>
    <mergeCell ref="R75:Y75"/>
    <mergeCell ref="Q3:S3"/>
    <mergeCell ref="AJ79:AK79"/>
    <mergeCell ref="C72:D72"/>
    <mergeCell ref="CC12:CD12"/>
    <mergeCell ref="W5:Y5"/>
    <mergeCell ref="C81:D81"/>
    <mergeCell ref="AB68:AI68"/>
    <mergeCell ref="AC3:AE3"/>
    <mergeCell ref="P74:Q74"/>
    <mergeCell ref="C78:D78"/>
    <mergeCell ref="Z74:AA74"/>
  </mergeCells>
  <conditionalFormatting sqref="A13:A63">
    <cfRule type="cellIs" priority="56" operator="equal" dxfId="50">
      <formula>0</formula>
    </cfRule>
  </conditionalFormatting>
  <conditionalFormatting sqref="D13:D63">
    <cfRule type="expression" priority="23" dxfId="48">
      <formula>IF(D13&lt;AR13,TRUE,FALSE)</formula>
    </cfRule>
    <cfRule type="expression" priority="24" dxfId="48">
      <formula>IF(D13&gt;AS13,TRUE,FALSE)</formula>
    </cfRule>
  </conditionalFormatting>
  <conditionalFormatting sqref="D13:E63">
    <cfRule type="containsBlanks" priority="20" dxfId="47">
      <formula>LEN(TRIM(D13))=0</formula>
    </cfRule>
  </conditionalFormatting>
  <conditionalFormatting sqref="E13:E63">
    <cfRule type="expression" priority="21" dxfId="28">
      <formula>IF(E13&gt;AS13,TRUE,FALSE)</formula>
    </cfRule>
    <cfRule type="expression" priority="22" dxfId="28">
      <formula>IF(E13&lt;AR13,TRUE,FALSE)</formula>
    </cfRule>
  </conditionalFormatting>
  <conditionalFormatting sqref="F13:AQ63">
    <cfRule type="cellIs" priority="18" operator="equal" dxfId="44">
      <formula>"p"</formula>
    </cfRule>
    <cfRule type="cellIs" priority="19" operator="equal" dxfId="43">
      <formula>"afw"</formula>
    </cfRule>
  </conditionalFormatting>
  <conditionalFormatting sqref="N5:AK5">
    <cfRule type="cellIs" priority="41" operator="lessThan" dxfId="18">
      <formula>0</formula>
    </cfRule>
  </conditionalFormatting>
  <conditionalFormatting sqref="AX6:BA9">
    <cfRule type="notContainsBlanks" priority="53" dxfId="41">
      <formula>LEN(TRIM(AX6))&gt;0</formula>
    </cfRule>
  </conditionalFormatting>
  <conditionalFormatting sqref="AY2:AZ4">
    <cfRule type="expression" priority="54" dxfId="28">
      <formula>IF($AY$3="nee",TRUE,FALSE)</formula>
    </cfRule>
  </conditionalFormatting>
  <conditionalFormatting sqref="AY61:BA61">
    <cfRule type="expression" priority="8" dxfId="6">
      <formula>IF($BA$61=0,TRUE,FALSE)</formula>
    </cfRule>
  </conditionalFormatting>
  <conditionalFormatting sqref="CI13:CI86">
    <cfRule type="cellIs" priority="25" operator="notBetween" dxfId="36">
      <formula>-3</formula>
      <formula>3</formula>
    </cfRule>
  </conditionalFormatting>
  <conditionalFormatting sqref="CJ13:CK86">
    <cfRule type="containsText" priority="26" operator="containsText" dxfId="36" text="nee">
      <formula>NOT(ISERROR(SEARCH("nee",CJ13)))</formula>
    </cfRule>
  </conditionalFormatting>
  <conditionalFormatting sqref="CL13:CL86">
    <cfRule type="cellIs" priority="27" operator="greaterThan" dxfId="36">
      <formula>5</formula>
    </cfRule>
  </conditionalFormatting>
  <dataValidations count="2">
    <dataValidation sqref="B29:B63" showDropDown="0" showInputMessage="0" showErrorMessage="1" allowBlank="1" type="list">
      <formula1>namenlijst</formula1>
    </dataValidation>
    <dataValidation sqref="B14:B28" showDropDown="0" showInputMessage="1" showErrorMessage="1" allowBlank="1" prompt=" - " type="list">
      <formula1>namenlijst</formula1>
    </dataValidation>
  </dataValidations>
  <pageMargins left="0.7" right="0.7" top="0.75" bottom="0.75" header="0.3" footer="0.3"/>
  <pageSetup orientation="landscape" paperSize="9" scale="26" fitToHeight="0"/>
</worksheet>
</file>

<file path=xl/worksheets/sheet10.xml><?xml version="1.0" encoding="utf-8"?>
<worksheet xmlns="http://schemas.openxmlformats.org/spreadsheetml/2006/main">
  <sheetPr codeName="Sheet10">
    <tabColor rgb="FF1696D0"/>
    <outlinePr summaryBelow="0" summaryRight="0"/>
    <pageSetUpPr fitToPage="1"/>
  </sheetPr>
  <dimension ref="A1:CM87"/>
  <sheetViews>
    <sheetView showGridLines="0" showRowColHeaders="0" topLeftCell="A28" zoomScaleNormal="100" workbookViewId="0">
      <selection activeCell="B43" sqref="B43"/>
    </sheetView>
  </sheetViews>
  <sheetFormatPr baseColWidth="8" defaultColWidth="17.28515625" defaultRowHeight="15" customHeight="1"/>
  <cols>
    <col width="1.7109375" customWidth="1" style="164" min="1" max="1"/>
    <col width="21.7109375" customWidth="1" style="264" min="2" max="2"/>
    <col width="5.85546875" customWidth="1" style="264" min="3" max="3"/>
    <col width="4.7109375" customWidth="1" style="264" min="4" max="5"/>
    <col width="2.7109375" customWidth="1" style="264" min="6" max="41"/>
    <col width="2.42578125" customWidth="1" style="264" min="42" max="42"/>
    <col width="2.7109375" customWidth="1" style="264" min="43" max="43"/>
    <col hidden="1" width="5.42578125" customWidth="1" style="264" min="44" max="47"/>
    <col width="4.7109375" customWidth="1" style="264" min="48" max="48"/>
    <col width="5" customWidth="1" style="264" min="49" max="50"/>
    <col width="4.140625" customWidth="1" style="264" min="51" max="51"/>
    <col width="12.5703125" customWidth="1" style="264" min="52" max="52"/>
    <col width="5.42578125" customWidth="1" style="264" min="53" max="53"/>
    <col width="2.85546875" customWidth="1" style="264" min="54" max="54"/>
    <col width="18.85546875" customWidth="1" style="264" min="55" max="55"/>
    <col width="0.42578125" customWidth="1" style="264" min="56" max="56"/>
    <col width="4.7109375" customWidth="1" style="264" min="57" max="58"/>
    <col hidden="1" width="3.28515625" customWidth="1" style="264" min="59" max="59"/>
    <col width="0.42578125" customWidth="1" style="264" min="60" max="60"/>
    <col width="4.7109375" customWidth="1" style="264" min="61" max="62"/>
    <col hidden="1" width="3.28515625" customWidth="1" style="264" min="63" max="63"/>
    <col width="0.42578125" customWidth="1" style="264" min="64" max="64"/>
    <col width="4.7109375" customWidth="1" style="264" min="65" max="66"/>
    <col hidden="1" width="3.28515625" customWidth="1" style="264" min="67" max="67"/>
    <col width="0.42578125" customWidth="1" style="264" min="68" max="68"/>
    <col width="4.7109375" customWidth="1" style="264" min="69" max="70"/>
    <col hidden="1" width="3.28515625" customWidth="1" style="264" min="71" max="71"/>
    <col width="0.42578125" customWidth="1" style="264" min="72" max="72"/>
    <col width="4.7109375" customWidth="1" style="264" min="73" max="74"/>
    <col hidden="1" width="3.28515625" customWidth="1" style="264" min="75" max="75"/>
    <col width="0.42578125" customWidth="1" style="264" min="76" max="76"/>
    <col width="4.7109375" customWidth="1" style="264" min="77" max="78"/>
    <col hidden="1" width="3.28515625" customWidth="1" style="264" min="79" max="79"/>
    <col width="0.42578125" customWidth="1" style="264" min="80" max="80"/>
    <col width="4.7109375" customWidth="1" style="264" min="81" max="82"/>
    <col hidden="1" width="3.28515625" customWidth="1" style="264" min="83" max="83"/>
    <col width="0.42578125" customWidth="1" style="264" min="84" max="84"/>
    <col width="5.7109375" customWidth="1" style="264" min="85" max="85"/>
    <col width="0.42578125" customWidth="1" style="264" min="86" max="86"/>
    <col width="3.85546875" customWidth="1" style="264" min="87" max="90"/>
    <col width="0.85546875" customWidth="1" style="264" min="91" max="91"/>
    <col width="17.28515625" customWidth="1" style="264" min="92" max="16384"/>
  </cols>
  <sheetData>
    <row r="1" ht="6" customHeight="1" thickBot="1">
      <c r="A1" s="720">
        <f>CONCATENATE("Planning week ",IF(Access!C4="B","BASIS",IF(Access!C4="","BASIS",WEEKNUM(Access!C4,21))))</f>
        <v/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  <c r="AR1" s="112" t="n"/>
      <c r="AS1" s="112" t="n"/>
      <c r="AT1" s="112" t="n"/>
      <c r="AU1" s="112" t="n"/>
      <c r="AV1" s="113" t="n"/>
    </row>
    <row r="2" ht="14.1" customHeight="1">
      <c r="A2" s="858" t="n"/>
      <c r="B2" s="264" t="n"/>
      <c r="C2" s="264" t="n"/>
      <c r="D2" s="264" t="n"/>
      <c r="E2" s="264" t="n"/>
      <c r="F2" s="264" t="n"/>
      <c r="G2" s="264" t="n"/>
      <c r="H2" s="264" t="n"/>
      <c r="I2" s="264" t="n"/>
      <c r="J2" s="264" t="n"/>
      <c r="K2" s="724" t="n"/>
      <c r="L2" s="859" t="n"/>
      <c r="M2" s="860" t="n"/>
      <c r="N2" s="725" t="inlineStr">
        <is>
          <t>Maandag</t>
        </is>
      </c>
      <c r="O2" s="859" t="n"/>
      <c r="P2" s="860" t="n"/>
      <c r="Q2" s="725" t="inlineStr">
        <is>
          <t>Dinsdag</t>
        </is>
      </c>
      <c r="R2" s="859" t="n"/>
      <c r="S2" s="860" t="n"/>
      <c r="T2" s="725" t="inlineStr">
        <is>
          <t>Woensdag</t>
        </is>
      </c>
      <c r="U2" s="859" t="n"/>
      <c r="V2" s="860" t="n"/>
      <c r="W2" s="725" t="inlineStr">
        <is>
          <t>Donderdag</t>
        </is>
      </c>
      <c r="X2" s="859" t="n"/>
      <c r="Y2" s="860" t="n"/>
      <c r="Z2" s="725" t="inlineStr">
        <is>
          <t>Vrijdag</t>
        </is>
      </c>
      <c r="AA2" s="859" t="n"/>
      <c r="AB2" s="860" t="n"/>
      <c r="AC2" s="725" t="inlineStr">
        <is>
          <t>Zaterdag</t>
        </is>
      </c>
      <c r="AD2" s="859" t="n"/>
      <c r="AE2" s="860" t="n"/>
      <c r="AF2" s="725" t="inlineStr">
        <is>
          <t>Zondag</t>
        </is>
      </c>
      <c r="AG2" s="859" t="n"/>
      <c r="AH2" s="860" t="n"/>
      <c r="AI2" s="740" t="inlineStr">
        <is>
          <t>Totaal</t>
        </is>
      </c>
      <c r="AJ2" s="859" t="n"/>
      <c r="AK2" s="860" t="n"/>
      <c r="AL2" s="258" t="n"/>
      <c r="AM2" s="259" t="n"/>
      <c r="AN2" s="259" t="n"/>
      <c r="AO2" s="259" t="n"/>
      <c r="AP2" s="259" t="n"/>
      <c r="AQ2" s="259" t="n"/>
      <c r="AR2" s="259" t="n"/>
      <c r="AS2" s="259" t="n"/>
      <c r="AT2" s="259" t="n"/>
      <c r="AU2" s="259" t="n"/>
      <c r="AV2" s="114" t="n"/>
      <c r="AW2" s="106" t="n"/>
      <c r="AX2" s="838" t="n"/>
      <c r="AY2" s="861" t="inlineStr">
        <is>
          <t>Planning OK?</t>
        </is>
      </c>
      <c r="AZ2" s="862" t="n"/>
      <c r="BA2" s="19" t="n"/>
      <c r="BB2" s="838" t="n"/>
      <c r="BC2" s="20" t="n"/>
      <c r="BD2" s="20" t="n"/>
      <c r="BE2" s="20" t="n"/>
      <c r="BF2" s="20" t="n"/>
      <c r="BG2" s="20" t="n"/>
      <c r="BH2" s="20" t="n"/>
      <c r="BI2" s="20" t="n"/>
      <c r="BJ2" s="20" t="n"/>
      <c r="BK2" s="20" t="n"/>
      <c r="BL2" s="20" t="n"/>
      <c r="BM2" s="20" t="n"/>
      <c r="BN2" s="20" t="n"/>
      <c r="BO2" s="20" t="n"/>
      <c r="BP2" s="20" t="n"/>
      <c r="BQ2" s="20" t="n"/>
      <c r="BR2" s="20" t="n"/>
      <c r="BS2" s="20" t="n"/>
      <c r="BT2" s="20" t="n"/>
      <c r="BU2" s="20" t="n"/>
      <c r="BV2" s="20" t="n"/>
      <c r="BW2" s="20" t="n"/>
      <c r="BX2" s="20" t="n"/>
      <c r="BY2" s="20" t="n"/>
      <c r="BZ2" s="20" t="n"/>
      <c r="CA2" s="20" t="n"/>
      <c r="CB2" s="20" t="n"/>
      <c r="CC2" s="20" t="n"/>
      <c r="CD2" s="20" t="n"/>
      <c r="CE2" s="20" t="n"/>
      <c r="CF2" s="20" t="n"/>
      <c r="CG2" s="20" t="n"/>
      <c r="CH2" s="20" t="n"/>
      <c r="CI2" s="20" t="n"/>
      <c r="CJ2" s="20" t="n"/>
      <c r="CK2" s="20" t="n"/>
      <c r="CL2" s="20" t="n"/>
      <c r="CM2" s="20" t="n"/>
    </row>
    <row r="3" ht="14.1" customHeight="1">
      <c r="A3" s="858" t="n"/>
      <c r="B3" s="264" t="n"/>
      <c r="C3" s="264" t="n"/>
      <c r="D3" s="264" t="n"/>
      <c r="E3" s="264" t="n"/>
      <c r="F3" s="264" t="n"/>
      <c r="G3" s="264" t="n"/>
      <c r="H3" s="264" t="n"/>
      <c r="I3" s="264" t="n"/>
      <c r="J3" s="264" t="n"/>
      <c r="K3" s="728" t="inlineStr">
        <is>
          <t>Gepland</t>
        </is>
      </c>
      <c r="L3" s="863" t="n"/>
      <c r="M3" s="864" t="n"/>
      <c r="N3" s="731">
        <f>Ma!AV65</f>
        <v/>
      </c>
      <c r="O3" s="863" t="n"/>
      <c r="P3" s="864" t="n"/>
      <c r="Q3" s="731">
        <f>Di!AV65</f>
        <v/>
      </c>
      <c r="R3" s="863" t="n"/>
      <c r="S3" s="864" t="n"/>
      <c r="T3" s="749">
        <f>Wo!AV65</f>
        <v/>
      </c>
      <c r="U3" s="863" t="n"/>
      <c r="V3" s="864" t="n"/>
      <c r="W3" s="731">
        <f>Do!AV65</f>
        <v/>
      </c>
      <c r="X3" s="863" t="n"/>
      <c r="Y3" s="864" t="n"/>
      <c r="Z3" s="731">
        <f>Vr!AV65</f>
        <v/>
      </c>
      <c r="AA3" s="863" t="n"/>
      <c r="AB3" s="864" t="n"/>
      <c r="AC3" s="731">
        <f>Za!AV65</f>
        <v/>
      </c>
      <c r="AD3" s="863" t="n"/>
      <c r="AE3" s="864" t="n"/>
      <c r="AF3" s="730">
        <f>Zo!AV65</f>
        <v/>
      </c>
      <c r="AG3" s="863" t="n"/>
      <c r="AH3" s="864" t="n"/>
      <c r="AI3" s="713">
        <f>SUM(N3:AH3)</f>
        <v/>
      </c>
      <c r="AJ3" s="863" t="n"/>
      <c r="AK3" s="864" t="n"/>
      <c r="AL3" s="96" t="n"/>
      <c r="AM3" s="96" t="n"/>
      <c r="AN3" s="96" t="n"/>
      <c r="AO3" s="96" t="n"/>
      <c r="AP3" s="96" t="n"/>
      <c r="AQ3" s="96" t="n"/>
      <c r="AR3" s="96" t="n"/>
      <c r="AS3" s="96" t="n"/>
      <c r="AT3" s="96" t="n"/>
      <c r="AU3" s="96" t="n"/>
      <c r="AV3" s="114" t="n"/>
      <c r="AW3" s="106" t="n"/>
      <c r="AX3" s="838" t="n"/>
      <c r="AY3" s="865">
        <f>IF(SUM(A13:A63)=1326,"JA","NEE")</f>
        <v/>
      </c>
      <c r="AZ3" s="866" t="n"/>
      <c r="BA3" s="19" t="n"/>
      <c r="BB3" s="838" t="n"/>
      <c r="BC3" s="20" t="n"/>
      <c r="BD3" s="20" t="n"/>
      <c r="BE3" s="20" t="n"/>
      <c r="BF3" s="20" t="n"/>
      <c r="BG3" s="20" t="n"/>
      <c r="BH3" s="20" t="n"/>
      <c r="BI3" s="20" t="n"/>
      <c r="BJ3" s="20" t="n"/>
      <c r="BK3" s="20" t="n"/>
      <c r="BL3" s="20" t="n"/>
      <c r="BM3" s="20" t="n"/>
      <c r="BN3" s="20" t="n"/>
      <c r="BO3" s="20" t="n"/>
      <c r="BP3" s="20" t="n"/>
      <c r="BQ3" s="20" t="n"/>
      <c r="BR3" s="20" t="n"/>
      <c r="BS3" s="20" t="n"/>
      <c r="BT3" s="20" t="n"/>
      <c r="BU3" s="20" t="n"/>
      <c r="BV3" s="20" t="n"/>
      <c r="BW3" s="20" t="n"/>
      <c r="BX3" s="20" t="n"/>
      <c r="BY3" s="20" t="n"/>
      <c r="BZ3" s="20" t="n"/>
      <c r="CA3" s="20" t="n"/>
      <c r="CB3" s="20" t="n"/>
      <c r="CC3" s="20" t="n"/>
      <c r="CD3" s="20" t="n"/>
      <c r="CE3" s="20" t="n"/>
      <c r="CF3" s="20" t="n"/>
      <c r="CG3" s="20" t="n"/>
      <c r="CH3" s="20" t="n"/>
      <c r="CI3" s="20" t="n"/>
      <c r="CJ3" s="20" t="n"/>
      <c r="CK3" s="20" t="n"/>
      <c r="CL3" s="20" t="n"/>
      <c r="CM3" s="20" t="n"/>
    </row>
    <row r="4" ht="14.1" customHeight="1">
      <c r="A4" s="867">
        <f>CONCATENATE("zondag ",IF(Access!C4="","",TEXT(Access!C4+6,"D-M-JJJJ")))</f>
        <v/>
      </c>
      <c r="B4" s="264" t="n"/>
      <c r="C4" s="264" t="n"/>
      <c r="D4" s="264" t="n"/>
      <c r="E4" s="264" t="n"/>
      <c r="F4" s="264" t="n"/>
      <c r="G4" s="264" t="n"/>
      <c r="H4" s="264" t="n"/>
      <c r="I4" s="264" t="n"/>
      <c r="J4" s="264" t="n"/>
      <c r="K4" s="728" t="inlineStr">
        <is>
          <t>Norm</t>
        </is>
      </c>
      <c r="L4" s="863" t="n"/>
      <c r="M4" s="864" t="n"/>
      <c r="N4" s="731">
        <f>Instellingen!F23</f>
        <v/>
      </c>
      <c r="O4" s="863" t="n"/>
      <c r="P4" s="864" t="n"/>
      <c r="Q4" s="731">
        <f>Instellingen!G23</f>
        <v/>
      </c>
      <c r="R4" s="863" t="n"/>
      <c r="S4" s="864" t="n"/>
      <c r="T4" s="749">
        <f>Instellingen!H23</f>
        <v/>
      </c>
      <c r="U4" s="863" t="n"/>
      <c r="V4" s="864" t="n"/>
      <c r="W4" s="731">
        <f>Instellingen!I23</f>
        <v/>
      </c>
      <c r="X4" s="863" t="n"/>
      <c r="Y4" s="864" t="n"/>
      <c r="Z4" s="731">
        <f>Instellingen!J23</f>
        <v/>
      </c>
      <c r="AA4" s="863" t="n"/>
      <c r="AB4" s="864" t="n"/>
      <c r="AC4" s="731">
        <f>Instellingen!K23</f>
        <v/>
      </c>
      <c r="AD4" s="863" t="n"/>
      <c r="AE4" s="864" t="n"/>
      <c r="AF4" s="730">
        <f>Instellingen!L23</f>
        <v/>
      </c>
      <c r="AG4" s="863" t="n"/>
      <c r="AH4" s="864" t="n"/>
      <c r="AI4" s="713">
        <f>Begroting!N71</f>
        <v/>
      </c>
      <c r="AJ4" s="863" t="n"/>
      <c r="AK4" s="864" t="n"/>
      <c r="AL4" s="96" t="n"/>
      <c r="AM4" s="96" t="n"/>
      <c r="AN4" s="96" t="n"/>
      <c r="AO4" s="96" t="n"/>
      <c r="AP4" s="96" t="n"/>
      <c r="AQ4" s="96" t="n"/>
      <c r="AR4" s="96" t="n"/>
      <c r="AS4" s="96" t="n"/>
      <c r="AT4" s="96" t="n"/>
      <c r="AU4" s="96" t="n"/>
      <c r="AV4" s="114" t="n"/>
      <c r="AW4" s="106" t="n"/>
      <c r="AX4" s="838" t="n"/>
      <c r="AY4" s="868" t="n"/>
      <c r="AZ4" s="869" t="n"/>
      <c r="BA4" s="19" t="n"/>
      <c r="BB4" s="838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20" t="n"/>
      <c r="BU4" s="20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  <c r="CE4" s="20" t="n"/>
      <c r="CF4" s="20" t="n"/>
      <c r="CG4" s="20" t="n"/>
      <c r="CH4" s="20" t="n"/>
      <c r="CI4" s="20" t="n"/>
      <c r="CJ4" s="20" t="n"/>
      <c r="CK4" s="20" t="n"/>
      <c r="CL4" s="20" t="n"/>
      <c r="CM4" s="20" t="n"/>
    </row>
    <row r="5" ht="14.1" customHeight="1" thickBot="1">
      <c r="A5" s="858" t="n"/>
      <c r="B5" s="264" t="n"/>
      <c r="C5" s="264" t="n"/>
      <c r="D5" s="264" t="n"/>
      <c r="E5" s="264" t="n"/>
      <c r="F5" s="264" t="n"/>
      <c r="G5" s="264" t="n"/>
      <c r="H5" s="264" t="n"/>
      <c r="I5" s="264" t="n"/>
      <c r="J5" s="264" t="n"/>
      <c r="K5" s="732" t="inlineStr">
        <is>
          <t>Verschil</t>
        </is>
      </c>
      <c r="L5" s="870" t="n"/>
      <c r="M5" s="871" t="n"/>
      <c r="N5" s="735">
        <f>N4-N3</f>
        <v/>
      </c>
      <c r="O5" s="870" t="n"/>
      <c r="P5" s="871" t="n"/>
      <c r="Q5" s="735">
        <f>Q4-Q3</f>
        <v/>
      </c>
      <c r="R5" s="870" t="n"/>
      <c r="S5" s="871" t="n"/>
      <c r="T5" s="750">
        <f>T4-T3</f>
        <v/>
      </c>
      <c r="U5" s="870" t="n"/>
      <c r="V5" s="871" t="n"/>
      <c r="W5" s="735">
        <f>W4-W3</f>
        <v/>
      </c>
      <c r="X5" s="870" t="n"/>
      <c r="Y5" s="871" t="n"/>
      <c r="Z5" s="735">
        <f>Z4-Z3</f>
        <v/>
      </c>
      <c r="AA5" s="870" t="n"/>
      <c r="AB5" s="871" t="n"/>
      <c r="AC5" s="735">
        <f>AC4-AC3</f>
        <v/>
      </c>
      <c r="AD5" s="870" t="n"/>
      <c r="AE5" s="871" t="n"/>
      <c r="AF5" s="734">
        <f>AF4-AF3</f>
        <v/>
      </c>
      <c r="AG5" s="870" t="n"/>
      <c r="AH5" s="871" t="n"/>
      <c r="AI5" s="742">
        <f>AI4-AI3</f>
        <v/>
      </c>
      <c r="AJ5" s="870" t="n"/>
      <c r="AK5" s="871" t="n"/>
      <c r="AL5" s="96" t="n"/>
      <c r="AM5" s="96" t="n"/>
      <c r="AN5" s="96" t="n"/>
      <c r="AO5" s="96" t="n"/>
      <c r="AP5" s="96" t="n"/>
      <c r="AQ5" s="96" t="n"/>
      <c r="AR5" s="96" t="n"/>
      <c r="AS5" s="96" t="n"/>
      <c r="AT5" s="96" t="n"/>
      <c r="AU5" s="96" t="n"/>
      <c r="AV5" s="114" t="n"/>
      <c r="AW5" s="123" t="n"/>
      <c r="AX5" s="125" t="n"/>
      <c r="AY5" s="125" t="n"/>
      <c r="AZ5" s="125" t="n"/>
      <c r="BA5" s="125" t="n"/>
      <c r="BB5" s="124" t="n"/>
      <c r="BC5" s="838" t="n"/>
      <c r="BD5" s="838" t="n"/>
      <c r="BE5" s="838" t="n"/>
      <c r="BF5" s="838" t="n"/>
      <c r="BG5" s="838" t="n"/>
      <c r="BH5" s="838" t="n"/>
      <c r="BI5" s="838" t="n"/>
      <c r="BJ5" s="838" t="n"/>
      <c r="BK5" s="838" t="n"/>
      <c r="BL5" s="838" t="n"/>
      <c r="BM5" s="838" t="n"/>
      <c r="BN5" s="838" t="n"/>
      <c r="BO5" s="838" t="n"/>
      <c r="BP5" s="838" t="n"/>
      <c r="BQ5" s="21" t="n"/>
      <c r="BR5" s="21" t="n"/>
      <c r="BS5" s="21" t="n"/>
      <c r="BT5" s="21" t="n"/>
      <c r="BU5" s="21" t="n"/>
      <c r="BV5" s="21" t="n"/>
      <c r="BW5" s="21" t="n"/>
      <c r="BX5" s="21" t="n"/>
      <c r="BY5" s="21" t="n"/>
      <c r="BZ5" s="21" t="n"/>
      <c r="CA5" s="21" t="n"/>
      <c r="CB5" s="21" t="n"/>
      <c r="CC5" s="21" t="n"/>
      <c r="CD5" s="21" t="n"/>
      <c r="CE5" s="21" t="n"/>
      <c r="CF5" s="21" t="n"/>
      <c r="CG5" s="21" t="n"/>
      <c r="CH5" s="21" t="n"/>
      <c r="CI5" s="21" t="n"/>
      <c r="CJ5" s="21" t="n"/>
      <c r="CK5" s="21" t="n"/>
      <c r="CL5" s="21" t="n"/>
      <c r="CM5" s="21" t="n"/>
    </row>
    <row r="6" ht="5.1" customHeight="1">
      <c r="A6" s="165" t="n"/>
      <c r="B6" s="96" t="n"/>
      <c r="C6" s="96" t="n"/>
      <c r="D6" s="96" t="n"/>
      <c r="E6" s="96" t="n"/>
      <c r="F6" s="96" t="n"/>
      <c r="G6" s="96" t="n"/>
      <c r="H6" s="96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  <c r="AA6" s="96" t="n"/>
      <c r="AB6" s="96" t="n"/>
      <c r="AC6" s="96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6" t="n"/>
      <c r="AM6" s="96" t="n"/>
      <c r="AN6" s="96" t="n"/>
      <c r="AO6" s="96" t="n"/>
      <c r="AP6" s="96" t="n"/>
      <c r="AQ6" s="96" t="n"/>
      <c r="AR6" s="96" t="n"/>
      <c r="AS6" s="96" t="n"/>
      <c r="AT6" s="96" t="n"/>
      <c r="AU6" s="96" t="n"/>
      <c r="AV6" s="114" t="n"/>
      <c r="AW6" s="123" t="n"/>
      <c r="AX6" s="744">
        <f>IFERROR(VLOOKUP(Access!C4+6,'Instellingen HIDE'!H:I,2,FALSE),"")</f>
        <v/>
      </c>
      <c r="AY6" s="264" t="n"/>
      <c r="AZ6" s="264" t="n"/>
      <c r="BA6" s="264" t="n"/>
      <c r="BB6" s="124" t="n"/>
      <c r="BC6" s="838" t="n"/>
      <c r="BD6" s="838" t="n"/>
      <c r="BE6" s="838" t="n"/>
      <c r="BF6" s="838" t="n"/>
      <c r="BG6" s="838" t="n"/>
      <c r="BH6" s="838" t="n"/>
      <c r="BI6" s="838" t="n"/>
      <c r="BJ6" s="838" t="n"/>
      <c r="BK6" s="838" t="n"/>
      <c r="BL6" s="838" t="n"/>
      <c r="BM6" s="838" t="n"/>
      <c r="BN6" s="838" t="n"/>
      <c r="BO6" s="838" t="n"/>
      <c r="BP6" s="838" t="n"/>
      <c r="BQ6" s="21" t="n"/>
      <c r="BR6" s="21" t="n"/>
      <c r="BS6" s="21" t="n"/>
      <c r="BT6" s="21" t="n"/>
      <c r="BU6" s="21" t="n"/>
      <c r="BV6" s="21" t="n"/>
      <c r="BW6" s="21" t="n"/>
      <c r="BX6" s="21" t="n"/>
      <c r="BY6" s="21" t="n"/>
      <c r="BZ6" s="21" t="n"/>
      <c r="CA6" s="21" t="n"/>
      <c r="CB6" s="21" t="n"/>
      <c r="CC6" s="21" t="n"/>
      <c r="CD6" s="21" t="n"/>
      <c r="CE6" s="21" t="n"/>
      <c r="CF6" s="21" t="n"/>
      <c r="CG6" s="21" t="n"/>
      <c r="CH6" s="21" t="n"/>
      <c r="CI6" s="21" t="n"/>
      <c r="CJ6" s="21" t="n"/>
      <c r="CK6" s="21" t="n"/>
      <c r="CL6" s="21" t="n"/>
      <c r="CM6" s="21" t="n"/>
    </row>
    <row r="7" ht="3" customHeight="1">
      <c r="A7" s="604" t="n"/>
      <c r="B7" s="605" t="n"/>
      <c r="C7" s="605" t="n"/>
      <c r="D7" s="605" t="n"/>
      <c r="E7" s="605" t="n"/>
      <c r="F7" s="605" t="n"/>
      <c r="G7" s="605" t="n"/>
      <c r="H7" s="605" t="n"/>
      <c r="I7" s="605" t="n"/>
      <c r="J7" s="605" t="n"/>
      <c r="K7" s="605" t="n"/>
      <c r="L7" s="605" t="n"/>
      <c r="M7" s="605" t="n"/>
      <c r="N7" s="605" t="n"/>
      <c r="O7" s="605" t="n"/>
      <c r="P7" s="605" t="n"/>
      <c r="Q7" s="605" t="n"/>
      <c r="R7" s="605" t="n"/>
      <c r="S7" s="605" t="n"/>
      <c r="T7" s="605" t="n"/>
      <c r="U7" s="605" t="n"/>
      <c r="V7" s="605" t="n"/>
      <c r="W7" s="605" t="n"/>
      <c r="X7" s="605" t="n"/>
      <c r="Y7" s="605" t="n"/>
      <c r="Z7" s="605" t="n"/>
      <c r="AA7" s="605" t="n"/>
      <c r="AB7" s="605" t="n"/>
      <c r="AC7" s="605" t="n"/>
      <c r="AD7" s="605" t="n"/>
      <c r="AE7" s="605" t="n"/>
      <c r="AF7" s="605" t="n"/>
      <c r="AG7" s="605" t="n"/>
      <c r="AH7" s="605" t="n"/>
      <c r="AI7" s="605" t="n"/>
      <c r="AJ7" s="605" t="n"/>
      <c r="AK7" s="605" t="n"/>
      <c r="AL7" s="605" t="n"/>
      <c r="AM7" s="605" t="n"/>
      <c r="AN7" s="605" t="n"/>
      <c r="AO7" s="605" t="n"/>
      <c r="AP7" s="605" t="n"/>
      <c r="AQ7" s="605" t="n"/>
      <c r="AR7" s="605" t="n"/>
      <c r="AS7" s="605" t="n"/>
      <c r="AT7" s="605" t="n"/>
      <c r="AU7" s="605" t="n"/>
      <c r="AV7" s="605" t="inlineStr">
        <is>
          <t>t</t>
        </is>
      </c>
      <c r="AW7" s="124" t="n"/>
      <c r="AX7" s="264" t="n"/>
      <c r="AY7" s="264" t="n"/>
      <c r="AZ7" s="264" t="n"/>
      <c r="BA7" s="264" t="n"/>
      <c r="BB7" s="124" t="n"/>
      <c r="BC7" s="838" t="n"/>
      <c r="BD7" s="838" t="n"/>
      <c r="BE7" s="838" t="n"/>
      <c r="BF7" s="838" t="n"/>
      <c r="BG7" s="838" t="n"/>
      <c r="BH7" s="838" t="n"/>
      <c r="BI7" s="838" t="n"/>
      <c r="BJ7" s="838" t="n"/>
      <c r="BK7" s="838" t="n"/>
      <c r="BL7" s="838" t="n"/>
      <c r="BM7" s="838" t="n"/>
      <c r="BN7" s="838" t="n"/>
      <c r="BO7" s="838" t="n"/>
      <c r="BP7" s="838" t="n"/>
      <c r="BQ7" s="21" t="n"/>
      <c r="BR7" s="21" t="n"/>
      <c r="BS7" s="21" t="n"/>
      <c r="BT7" s="21" t="n"/>
      <c r="BU7" s="21" t="n"/>
      <c r="BV7" s="21" t="n"/>
      <c r="BW7" s="21" t="n"/>
      <c r="BX7" s="21" t="n"/>
      <c r="BY7" s="21" t="n"/>
      <c r="BZ7" s="21" t="n"/>
      <c r="CA7" s="21" t="n"/>
      <c r="CB7" s="21" t="n"/>
      <c r="CC7" s="21" t="n"/>
      <c r="CD7" s="21" t="n"/>
      <c r="CE7" s="21" t="n"/>
      <c r="CF7" s="21" t="n"/>
      <c r="CG7" s="21" t="n"/>
      <c r="CH7" s="21" t="n"/>
      <c r="CI7" s="21" t="n"/>
      <c r="CJ7" s="21" t="n"/>
      <c r="CK7" s="21" t="n"/>
      <c r="CL7" s="21" t="n"/>
      <c r="CM7" s="21" t="n"/>
    </row>
    <row r="8" ht="3" customHeight="1">
      <c r="A8" s="602" t="n"/>
      <c r="B8" s="603" t="n"/>
      <c r="C8" s="603" t="n"/>
      <c r="D8" s="603" t="n"/>
      <c r="E8" s="603" t="n"/>
      <c r="F8" s="603" t="n"/>
      <c r="G8" s="603" t="n"/>
      <c r="H8" s="603" t="n"/>
      <c r="I8" s="603" t="n"/>
      <c r="J8" s="603" t="n"/>
      <c r="K8" s="603" t="n"/>
      <c r="L8" s="603" t="n"/>
      <c r="M8" s="603" t="n"/>
      <c r="N8" s="603" t="n"/>
      <c r="O8" s="603" t="n"/>
      <c r="P8" s="603" t="n"/>
      <c r="Q8" s="603" t="n"/>
      <c r="R8" s="603" t="n"/>
      <c r="S8" s="603" t="n"/>
      <c r="T8" s="603" t="n"/>
      <c r="U8" s="603" t="n"/>
      <c r="V8" s="603" t="n"/>
      <c r="W8" s="603" t="n"/>
      <c r="X8" s="603" t="n"/>
      <c r="Y8" s="603" t="n"/>
      <c r="Z8" s="603" t="n"/>
      <c r="AA8" s="603" t="n"/>
      <c r="AB8" s="603" t="n"/>
      <c r="AC8" s="603" t="n"/>
      <c r="AD8" s="603" t="n"/>
      <c r="AE8" s="603" t="n"/>
      <c r="AF8" s="603" t="n"/>
      <c r="AG8" s="603" t="n"/>
      <c r="AH8" s="603" t="n"/>
      <c r="AI8" s="603" t="n"/>
      <c r="AJ8" s="603" t="n"/>
      <c r="AK8" s="603" t="n"/>
      <c r="AL8" s="603" t="n"/>
      <c r="AM8" s="603" t="n"/>
      <c r="AN8" s="603" t="n"/>
      <c r="AO8" s="603" t="n"/>
      <c r="AP8" s="603" t="n"/>
      <c r="AQ8" s="603" t="n"/>
      <c r="AR8" s="603" t="n"/>
      <c r="AS8" s="603" t="n"/>
      <c r="AT8" s="603" t="n"/>
      <c r="AU8" s="603" t="n"/>
      <c r="AV8" s="603" t="n"/>
      <c r="AW8" s="124" t="n"/>
      <c r="AX8" s="264" t="n"/>
      <c r="AY8" s="264" t="n"/>
      <c r="AZ8" s="264" t="n"/>
      <c r="BA8" s="264" t="n"/>
      <c r="BB8" s="124" t="n"/>
      <c r="BC8" s="838" t="n"/>
      <c r="BD8" s="838" t="n"/>
      <c r="BE8" s="838" t="n"/>
      <c r="BF8" s="838" t="n"/>
      <c r="BG8" s="838" t="n"/>
      <c r="BH8" s="838" t="n"/>
      <c r="BI8" s="838" t="n"/>
      <c r="BJ8" s="838" t="n"/>
      <c r="BK8" s="838" t="n"/>
      <c r="BL8" s="838" t="n"/>
      <c r="BM8" s="838" t="n"/>
      <c r="BN8" s="838" t="n"/>
      <c r="BO8" s="838" t="n"/>
      <c r="BP8" s="838" t="n"/>
      <c r="BQ8" s="21" t="n"/>
      <c r="BR8" s="21" t="n"/>
      <c r="BS8" s="21" t="n"/>
      <c r="BT8" s="21" t="n"/>
      <c r="BU8" s="21" t="n"/>
      <c r="BV8" s="21" t="n"/>
      <c r="BW8" s="21" t="n"/>
      <c r="BX8" s="21" t="n"/>
      <c r="BY8" s="21" t="n"/>
      <c r="BZ8" s="21" t="n"/>
      <c r="CA8" s="21" t="n"/>
      <c r="CB8" s="21" t="n"/>
      <c r="CC8" s="21" t="n"/>
      <c r="CD8" s="21" t="n"/>
      <c r="CE8" s="21" t="n"/>
      <c r="CF8" s="21" t="n"/>
      <c r="CG8" s="21" t="n"/>
      <c r="CH8" s="21" t="n"/>
      <c r="CI8" s="21" t="n"/>
      <c r="CJ8" s="21" t="n"/>
      <c r="CK8" s="21" t="n"/>
      <c r="CL8" s="21" t="n"/>
      <c r="CM8" s="21" t="n"/>
    </row>
    <row r="9" ht="12" customHeight="1">
      <c r="A9" s="159" t="n"/>
      <c r="B9" s="838">
        <f>CONCATENATE("AH ",VLOOKUP(Access!C3,'Instellingen HIDE'!A:B,2,FALSE),", ",VLOOKUP(Access!C3,'Instellingen HIDE'!A:C,3,FALSE),", ",VLOOKUP(Access!C3,'Instellingen HIDE'!A:D,4,FALSE)," ",VLOOKUP(Access!C3,'Instellingen HIDE'!A:E,5,FALSE),", (telefoon: ",VLOOKUP(Access!C3,'Instellingen HIDE'!A:F,6,FALSE),")")</f>
        <v/>
      </c>
      <c r="C9" s="838" t="n"/>
      <c r="D9" s="838" t="n"/>
      <c r="E9" s="838" t="n"/>
      <c r="F9" s="838" t="n"/>
      <c r="G9" s="838" t="n"/>
      <c r="H9" s="838" t="n"/>
      <c r="I9" s="838" t="n"/>
      <c r="J9" s="838" t="n"/>
      <c r="K9" s="838" t="n"/>
      <c r="L9" s="838" t="n"/>
      <c r="M9" s="838" t="n"/>
      <c r="N9" s="838" t="n"/>
      <c r="O9" s="838" t="n"/>
      <c r="P9" s="838" t="n"/>
      <c r="Q9" s="838" t="n"/>
      <c r="R9" s="838" t="n"/>
      <c r="S9" s="838" t="n"/>
      <c r="T9" s="838" t="n"/>
      <c r="U9" s="838" t="n"/>
      <c r="V9" s="838" t="n"/>
      <c r="W9" s="838" t="n"/>
      <c r="X9" s="838" t="n"/>
      <c r="Y9" s="838" t="n"/>
      <c r="Z9" s="838" t="n"/>
      <c r="AA9" s="838" t="n"/>
      <c r="AB9" s="838" t="n"/>
      <c r="AC9" s="838" t="n"/>
      <c r="AD9" s="838" t="n"/>
      <c r="AE9" s="838" t="n"/>
      <c r="AF9" s="838" t="n"/>
      <c r="AG9" s="838" t="n"/>
      <c r="AH9" s="838" t="n"/>
      <c r="AI9" s="838" t="n"/>
      <c r="AJ9" s="838" t="n"/>
      <c r="AK9" s="838" t="n"/>
      <c r="AL9" s="838" t="n"/>
      <c r="AM9" s="838" t="n"/>
      <c r="AN9" s="838" t="n"/>
      <c r="AO9" s="838" t="n"/>
      <c r="AP9" s="838" t="n"/>
      <c r="AQ9" s="838" t="n"/>
      <c r="AR9" s="838" t="n"/>
      <c r="AS9" s="838" t="n"/>
      <c r="AT9" s="838" t="n"/>
      <c r="AU9" s="838" t="n"/>
      <c r="AV9" s="115" t="inlineStr">
        <is>
          <t>DagritmeONLINE Versie  100.53</t>
        </is>
      </c>
      <c r="AW9" s="123" t="n"/>
      <c r="AX9" s="264" t="n"/>
      <c r="AY9" s="264" t="n"/>
      <c r="AZ9" s="264" t="n"/>
      <c r="BA9" s="264" t="n"/>
      <c r="BB9" s="124" t="n"/>
      <c r="BC9" s="838" t="n"/>
      <c r="BD9" s="838" t="n"/>
      <c r="BE9" s="838" t="n"/>
      <c r="BF9" s="838" t="n"/>
      <c r="BG9" s="838" t="n"/>
      <c r="BH9" s="838" t="n"/>
      <c r="BI9" s="838" t="n"/>
      <c r="BJ9" s="838" t="n"/>
      <c r="BK9" s="838" t="n"/>
      <c r="BL9" s="838" t="n"/>
      <c r="BM9" s="838" t="n"/>
      <c r="BN9" s="838" t="n"/>
      <c r="BO9" s="838" t="n"/>
      <c r="BP9" s="838" t="n"/>
      <c r="BQ9" s="21" t="n"/>
      <c r="BR9" s="21" t="n"/>
      <c r="BS9" s="21" t="n"/>
      <c r="BT9" s="21" t="n"/>
      <c r="BU9" s="21" t="n"/>
      <c r="BV9" s="21" t="n"/>
      <c r="BW9" s="21" t="n"/>
      <c r="BX9" s="21" t="n"/>
      <c r="BY9" s="21" t="n"/>
      <c r="BZ9" s="21" t="n"/>
      <c r="CA9" s="21" t="n"/>
      <c r="CB9" s="21" t="n"/>
      <c r="CC9" s="21" t="n"/>
      <c r="CD9" s="21" t="n"/>
      <c r="CE9" s="21" t="n"/>
      <c r="CF9" s="21" t="n"/>
      <c r="CG9" s="21" t="n"/>
      <c r="CH9" s="21" t="n"/>
      <c r="CI9" s="21" t="n"/>
      <c r="CJ9" s="21" t="n"/>
      <c r="CK9" s="21" t="n"/>
      <c r="CL9" s="21" t="n"/>
      <c r="CM9" s="21" t="n"/>
    </row>
    <row r="10" ht="6" customHeight="1">
      <c r="A10" s="160" t="n"/>
      <c r="B10" s="95" t="n"/>
      <c r="C10" s="95" t="n"/>
      <c r="D10" s="95" t="n"/>
      <c r="E10" s="95" t="n"/>
      <c r="F10" s="95" t="n"/>
      <c r="G10" s="95" t="n"/>
      <c r="H10" s="95" t="n"/>
      <c r="I10" s="95" t="n"/>
      <c r="J10" s="95" t="n"/>
      <c r="K10" s="95" t="n"/>
      <c r="L10" s="95" t="n"/>
      <c r="M10" s="95" t="n"/>
      <c r="N10" s="95" t="n"/>
      <c r="O10" s="95" t="n"/>
      <c r="P10" s="95" t="n"/>
      <c r="Q10" s="95" t="n"/>
      <c r="R10" s="95" t="n"/>
      <c r="S10" s="95" t="n"/>
      <c r="T10" s="95" t="n"/>
      <c r="U10" s="95" t="n"/>
      <c r="V10" s="95" t="n"/>
      <c r="W10" s="95" t="n"/>
      <c r="X10" s="95" t="n"/>
      <c r="Y10" s="95" t="n"/>
      <c r="Z10" s="95" t="n"/>
      <c r="AA10" s="95" t="n"/>
      <c r="AB10" s="95" t="n"/>
      <c r="AC10" s="95" t="n"/>
      <c r="AD10" s="95" t="n"/>
      <c r="AE10" s="95" t="n"/>
      <c r="AF10" s="95" t="n"/>
      <c r="AG10" s="95" t="n"/>
      <c r="AH10" s="95" t="n"/>
      <c r="AI10" s="95" t="n"/>
      <c r="AJ10" s="95" t="n"/>
      <c r="AK10" s="95" t="n"/>
      <c r="AL10" s="95" t="n"/>
      <c r="AM10" s="95" t="n"/>
      <c r="AN10" s="95" t="n"/>
      <c r="AO10" s="95" t="n"/>
      <c r="AP10" s="95" t="n"/>
      <c r="AQ10" s="95" t="n"/>
      <c r="AR10" s="95" t="n"/>
      <c r="AS10" s="95" t="n"/>
      <c r="AT10" s="95" t="n"/>
      <c r="AU10" s="95" t="n"/>
      <c r="AV10" s="114" t="n"/>
      <c r="AW10" s="106" t="n"/>
      <c r="AX10" s="745" t="n"/>
      <c r="AY10" s="264" t="n"/>
      <c r="AZ10" s="264" t="n"/>
      <c r="BA10" s="264" t="n"/>
      <c r="BB10" s="838" t="n"/>
      <c r="BC10" s="838" t="n"/>
      <c r="BD10" s="838" t="n"/>
      <c r="BE10" s="838" t="n"/>
      <c r="BF10" s="838" t="n"/>
      <c r="BG10" s="838" t="n"/>
      <c r="BH10" s="838" t="n"/>
      <c r="BI10" s="838" t="n"/>
      <c r="BJ10" s="838" t="n"/>
      <c r="BK10" s="838" t="n"/>
      <c r="BL10" s="838" t="n"/>
      <c r="BM10" s="838" t="n"/>
      <c r="BN10" s="838" t="n"/>
      <c r="BO10" s="838" t="n"/>
      <c r="BP10" s="838" t="n"/>
      <c r="BQ10" s="21" t="n"/>
      <c r="BR10" s="21" t="n"/>
      <c r="BS10" s="21" t="n"/>
      <c r="BT10" s="21" t="n"/>
      <c r="BU10" s="21" t="n"/>
      <c r="BV10" s="21" t="n"/>
      <c r="BW10" s="21" t="n"/>
      <c r="BX10" s="21" t="n"/>
      <c r="BY10" s="21" t="n"/>
      <c r="BZ10" s="21" t="n"/>
      <c r="CA10" s="21" t="n"/>
      <c r="CB10" s="21" t="n"/>
      <c r="CC10" s="21" t="n"/>
      <c r="CD10" s="21" t="n"/>
      <c r="CE10" s="21" t="n"/>
      <c r="CF10" s="21" t="n"/>
      <c r="CG10" s="21" t="n"/>
      <c r="CH10" s="21" t="n"/>
      <c r="CI10" s="21" t="n"/>
      <c r="CJ10" s="21" t="n"/>
      <c r="CK10" s="21" t="n"/>
      <c r="CL10" s="21" t="n"/>
      <c r="CM10" s="21" t="n"/>
    </row>
    <row r="11" hidden="1" ht="13.5" customHeight="1">
      <c r="A11" s="159" t="n"/>
      <c r="B11" s="838" t="n"/>
      <c r="C11" s="95" t="n"/>
      <c r="D11" s="95" t="n"/>
      <c r="E11" s="95" t="n"/>
      <c r="F11" s="23" t="n">
        <v>0.2083333333333333</v>
      </c>
      <c r="G11" s="24" t="n">
        <v>0.2291666666666667</v>
      </c>
      <c r="H11" s="24" t="n">
        <v>0.25</v>
      </c>
      <c r="I11" s="24" t="n">
        <v>0.2708333333333333</v>
      </c>
      <c r="J11" s="24" t="n">
        <v>0.2916666666666667</v>
      </c>
      <c r="K11" s="24" t="n">
        <v>0.3125</v>
      </c>
      <c r="L11" s="24" t="n">
        <v>0.3333333333333333</v>
      </c>
      <c r="M11" s="24" t="n">
        <v>0.3541666666666667</v>
      </c>
      <c r="N11" s="24" t="n">
        <v>0.375</v>
      </c>
      <c r="O11" s="24" t="n">
        <v>0.3958333333333333</v>
      </c>
      <c r="P11" s="24" t="n">
        <v>0.4166666666666667</v>
      </c>
      <c r="Q11" s="24" t="n">
        <v>0.4375</v>
      </c>
      <c r="R11" s="24" t="n">
        <v>0.4583333333333333</v>
      </c>
      <c r="S11" s="24" t="n">
        <v>0.4791666666666667</v>
      </c>
      <c r="T11" s="24" t="n">
        <v>0.5</v>
      </c>
      <c r="U11" s="24" t="n">
        <v>0.5208333333333334</v>
      </c>
      <c r="V11" s="24" t="n">
        <v>0.5416666666666666</v>
      </c>
      <c r="W11" s="24" t="n">
        <v>0.5625</v>
      </c>
      <c r="X11" s="24" t="n">
        <v>0.5833333333333334</v>
      </c>
      <c r="Y11" s="24" t="n">
        <v>0.6041666666666666</v>
      </c>
      <c r="Z11" s="24" t="n">
        <v>0.625</v>
      </c>
      <c r="AA11" s="24" t="n">
        <v>0.6458333333333334</v>
      </c>
      <c r="AB11" s="24" t="n">
        <v>0.6666666666666666</v>
      </c>
      <c r="AC11" s="24" t="n">
        <v>0.6875</v>
      </c>
      <c r="AD11" s="53" t="n">
        <v>0.7083333333333334</v>
      </c>
      <c r="AE11" s="53" t="n">
        <v>0.7291666666666666</v>
      </c>
      <c r="AF11" s="53" t="n">
        <v>0.75</v>
      </c>
      <c r="AG11" s="53" t="n">
        <v>0.7708333333333334</v>
      </c>
      <c r="AH11" s="53" t="n">
        <v>0.7916666666666666</v>
      </c>
      <c r="AI11" s="53" t="n">
        <v>0.8125</v>
      </c>
      <c r="AJ11" s="53" t="n">
        <v>0.8333333333333334</v>
      </c>
      <c r="AK11" s="53" t="n">
        <v>0.8541666666666666</v>
      </c>
      <c r="AL11" s="54" t="n">
        <v>0.875</v>
      </c>
      <c r="AM11" s="55" t="n">
        <v>0.8958333333333334</v>
      </c>
      <c r="AN11" s="25" t="n">
        <v>0.9166666666666666</v>
      </c>
      <c r="AO11" s="55" t="n">
        <v>0.9375</v>
      </c>
      <c r="AP11" s="26" t="n">
        <v>0.9583333333333334</v>
      </c>
      <c r="AQ11" s="27" t="n">
        <v>0.9791666666666666</v>
      </c>
      <c r="AR11" s="719" t="inlineStr">
        <is>
          <t>Beschikbaarheid</t>
        </is>
      </c>
      <c r="AS11" s="264" t="n"/>
      <c r="AT11" s="719" t="n"/>
      <c r="AU11" s="106" t="n"/>
      <c r="AV11" s="116" t="n"/>
      <c r="AW11" s="106" t="n"/>
      <c r="AX11" s="838" t="n"/>
      <c r="AY11" s="17" t="n"/>
      <c r="AZ11" s="18" t="n"/>
      <c r="BA11" s="19" t="n"/>
      <c r="BB11" s="838" t="n"/>
      <c r="BC11" s="838" t="n"/>
      <c r="BD11" s="838" t="n"/>
      <c r="BE11" s="838" t="n"/>
      <c r="BF11" s="838" t="n"/>
      <c r="BG11" s="838" t="n"/>
      <c r="BH11" s="838" t="n"/>
      <c r="BI11" s="838" t="n"/>
      <c r="BJ11" s="838" t="n"/>
      <c r="BK11" s="838" t="n"/>
      <c r="BL11" s="838" t="n"/>
      <c r="BM11" s="838" t="n"/>
      <c r="BN11" s="838" t="n"/>
      <c r="BO11" s="838" t="n"/>
      <c r="BP11" s="838" t="n"/>
      <c r="BQ11" s="21" t="n"/>
      <c r="BR11" s="21" t="n"/>
      <c r="BS11" s="21" t="n"/>
      <c r="BT11" s="21" t="n"/>
      <c r="BU11" s="21" t="n"/>
      <c r="BV11" s="21" t="n"/>
      <c r="BW11" s="21" t="n"/>
      <c r="BX11" s="21" t="n"/>
      <c r="BY11" s="21" t="n"/>
      <c r="BZ11" s="21" t="n"/>
      <c r="CA11" s="21" t="n"/>
      <c r="CB11" s="21" t="n"/>
      <c r="CC11" s="21" t="n"/>
      <c r="CD11" s="21" t="n"/>
      <c r="CE11" s="21" t="n"/>
      <c r="CF11" s="21" t="n"/>
      <c r="CG11" s="21" t="n"/>
      <c r="CH11" s="21" t="n"/>
      <c r="CI11" s="21" t="n"/>
      <c r="CJ11" s="21" t="n"/>
      <c r="CK11" s="21" t="n"/>
      <c r="CL11" s="21" t="n"/>
      <c r="CM11" s="21" t="n"/>
    </row>
    <row r="12" ht="12" customHeight="1">
      <c r="A12" s="160" t="n"/>
      <c r="B12" s="107" t="n"/>
      <c r="C12" s="97" t="inlineStr">
        <is>
          <t>Functie</t>
        </is>
      </c>
      <c r="D12" s="97" t="inlineStr">
        <is>
          <t>Begin</t>
        </is>
      </c>
      <c r="E12" s="97" t="inlineStr">
        <is>
          <t>Eind</t>
        </is>
      </c>
      <c r="F12" s="872" t="n">
        <v>0.2083333333333333</v>
      </c>
      <c r="G12" s="873" t="n"/>
      <c r="H12" s="874" t="n">
        <v>0.25</v>
      </c>
      <c r="I12" s="875" t="n"/>
      <c r="J12" s="874" t="n">
        <v>0.2916666666666667</v>
      </c>
      <c r="K12" s="875" t="n"/>
      <c r="L12" s="874" t="n">
        <v>0.3333333333333333</v>
      </c>
      <c r="M12" s="875" t="n"/>
      <c r="N12" s="874" t="n">
        <v>0.375</v>
      </c>
      <c r="O12" s="875" t="n"/>
      <c r="P12" s="874" t="n">
        <v>0.4166666666666667</v>
      </c>
      <c r="Q12" s="875" t="n"/>
      <c r="R12" s="874" t="n">
        <v>0.4583333333333333</v>
      </c>
      <c r="S12" s="875" t="n"/>
      <c r="T12" s="874" t="n">
        <v>0.5</v>
      </c>
      <c r="U12" s="875" t="n"/>
      <c r="V12" s="874" t="n">
        <v>0.5416666666666666</v>
      </c>
      <c r="W12" s="875" t="n"/>
      <c r="X12" s="874" t="n">
        <v>0.5833333333333334</v>
      </c>
      <c r="Y12" s="875" t="n"/>
      <c r="Z12" s="874" t="n">
        <v>0.625</v>
      </c>
      <c r="AA12" s="875" t="n"/>
      <c r="AB12" s="874" t="n">
        <v>0.6666666666666666</v>
      </c>
      <c r="AC12" s="875" t="n"/>
      <c r="AD12" s="874" t="n">
        <v>0.7083333333333334</v>
      </c>
      <c r="AE12" s="875" t="n"/>
      <c r="AF12" s="876" t="n">
        <v>0.75</v>
      </c>
      <c r="AG12" s="875" t="n"/>
      <c r="AH12" s="874" t="n">
        <v>0.7916666666666666</v>
      </c>
      <c r="AI12" s="875" t="n"/>
      <c r="AJ12" s="874" t="n">
        <v>0.8333333333333334</v>
      </c>
      <c r="AK12" s="875" t="n"/>
      <c r="AL12" s="872" t="n">
        <v>0.875</v>
      </c>
      <c r="AM12" s="873" t="n"/>
      <c r="AN12" s="872" t="n">
        <v>0.9166666666666666</v>
      </c>
      <c r="AO12" s="873" t="n"/>
      <c r="AP12" s="872" t="n">
        <v>0.9583333333333334</v>
      </c>
      <c r="AQ12" s="873" t="n"/>
      <c r="AR12" s="98" t="inlineStr">
        <is>
          <t>Begin</t>
        </is>
      </c>
      <c r="AS12" s="98" t="inlineStr">
        <is>
          <t>Eind</t>
        </is>
      </c>
      <c r="AT12" s="99" t="n"/>
      <c r="AU12" s="432" t="inlineStr">
        <is>
          <t>Afw</t>
        </is>
      </c>
      <c r="AV12" s="433" t="inlineStr">
        <is>
          <t>Uren</t>
        </is>
      </c>
      <c r="AW12" s="100" t="inlineStr">
        <is>
          <t>Cont</t>
        </is>
      </c>
      <c r="AX12" s="101" t="inlineStr">
        <is>
          <t>Week</t>
        </is>
      </c>
      <c r="AY12" s="17" t="n"/>
      <c r="AZ12" s="28" t="n"/>
      <c r="BA12" s="29">
        <f>IF(AY12&lt;99,IF(AY12=0,"",((COUNTIF($E$13:$AQ$61,AY12))/2)),IF(AY12=0,"",((COUNTIF($E$13:$AQ$61,CONCATENATE(AY12,"*")))/2)+(COUNTIF($E$13:$AQ$61,CONCATENATE("x",AY12,"*")))/4))</f>
        <v/>
      </c>
      <c r="BB12" s="838" t="n"/>
      <c r="BC12" s="102" t="inlineStr">
        <is>
          <t>Naam</t>
        </is>
      </c>
      <c r="BD12" s="103" t="n"/>
      <c r="BE12" s="877" t="inlineStr">
        <is>
          <t>Maandag</t>
        </is>
      </c>
      <c r="BF12" s="878" t="n"/>
      <c r="BG12" s="103" t="n"/>
      <c r="BH12" s="103" t="n"/>
      <c r="BI12" s="877" t="inlineStr">
        <is>
          <t>Dinsdag</t>
        </is>
      </c>
      <c r="BJ12" s="878" t="n"/>
      <c r="BK12" s="103" t="n"/>
      <c r="BL12" s="103" t="n"/>
      <c r="BM12" s="877" t="inlineStr">
        <is>
          <t>Woensdag</t>
        </is>
      </c>
      <c r="BN12" s="878" t="n"/>
      <c r="BO12" s="103" t="n"/>
      <c r="BP12" s="103" t="n"/>
      <c r="BQ12" s="877" t="inlineStr">
        <is>
          <t>Donderdag</t>
        </is>
      </c>
      <c r="BR12" s="878" t="n"/>
      <c r="BS12" s="103" t="n"/>
      <c r="BT12" s="103" t="n"/>
      <c r="BU12" s="877" t="inlineStr">
        <is>
          <t>Vrijdag</t>
        </is>
      </c>
      <c r="BV12" s="878" t="n"/>
      <c r="BW12" s="103" t="n"/>
      <c r="BX12" s="103" t="n"/>
      <c r="BY12" s="877" t="inlineStr">
        <is>
          <t>Zaterdag</t>
        </is>
      </c>
      <c r="BZ12" s="878" t="n"/>
      <c r="CA12" s="103" t="n"/>
      <c r="CB12" s="103" t="n"/>
      <c r="CC12" s="877" t="inlineStr">
        <is>
          <t>Zondag</t>
        </is>
      </c>
      <c r="CD12" s="878" t="n"/>
      <c r="CE12" s="103" t="n"/>
      <c r="CF12" s="103" t="n"/>
      <c r="CG12" s="103" t="n"/>
      <c r="CH12" s="103" t="n"/>
      <c r="CI12" s="250">
        <f>"+/-"</f>
        <v/>
      </c>
      <c r="CJ12" s="250">
        <f>CONCATENATE("&lt;",ROUNDUP(Instellingen!$I$8,0))</f>
        <v/>
      </c>
      <c r="CK12" s="250">
        <f>CONCATENATE("&lt;",ROUNDUP(Instellingen!$I$9,0))</f>
        <v/>
      </c>
      <c r="CL12" s="104" t="inlineStr">
        <is>
          <t>Dag</t>
        </is>
      </c>
      <c r="CM12" s="21" t="n"/>
    </row>
    <row r="13" ht="12.75" customHeight="1">
      <c r="A13" s="161">
        <f>IFERROR(IF(VLOOKUP($B13,$BC$13:$CL$86,36,FALSE)&gt;5,0,IF(COUNTIF($B$13:$B$63,$B13)&gt;1,0,1)),1)+IF(B13&lt;&gt;0,0,IF(AV13&gt;0,0.000001,0))</f>
        <v/>
      </c>
      <c r="B13" s="51" t="inlineStr">
        <is>
          <t>Zubaid Shinwari</t>
        </is>
      </c>
      <c r="C13" s="48">
        <f>IFERROR(IF($B13="","",VLOOKUP($B13,Medewerker!$C$8:$AI$107,33,FALSE)),"?")</f>
        <v/>
      </c>
      <c r="D13" s="879">
        <f t="array" ref="D13">IFERROR(IF(LEFT(INDEX($F13:$AQ13,1,SUM(SMALL(IF($F13:$AQ13&lt;&gt;"",COLUMN($F13:$AQ13)),1)-5)),1)="x",SUM(SMALL(IF($F13:$AQ13&lt;&gt;"",$F$11:$AQ$11),1)+"0:15"),SMALL(IF($F13:$AQ13&lt;&gt;"",$F$11:$AQ$11),1)),"")</f>
        <v/>
      </c>
      <c r="E13" s="879">
        <f t="array" ref="E13">IFERROR(IF(LEFT(INDEX($F13:$AQ13,1,SUM(LARGE(IF($F13:$AQ13&lt;&gt;"",COLUMN($F13:$AQ13)),1)-5)),1)="x",SUM(LARGE(IF($F13:$AQ13&lt;&gt;"",$F$11:$AQ$11+"0:30:00"),1)-"0:15"),LARGE(IF($F13:$AQ13&lt;&gt;"",$F$11:$AQ$11+"0:30:00"),1)),"")</f>
        <v/>
      </c>
      <c r="F13" s="37" t="n"/>
      <c r="G13" s="38" t="n"/>
      <c r="H13" s="37" t="n"/>
      <c r="I13" s="41" t="n"/>
      <c r="J13" s="40" t="inlineStr">
        <is>
          <t>sl</t>
        </is>
      </c>
      <c r="K13" s="42" t="inlineStr">
        <is>
          <t>sl</t>
        </is>
      </c>
      <c r="L13" s="43" t="inlineStr">
        <is>
          <t>sl</t>
        </is>
      </c>
      <c r="M13" s="41" t="inlineStr">
        <is>
          <t>sl</t>
        </is>
      </c>
      <c r="N13" s="40" t="inlineStr">
        <is>
          <t>sl</t>
        </is>
      </c>
      <c r="O13" s="42" t="inlineStr">
        <is>
          <t>sl</t>
        </is>
      </c>
      <c r="P13" s="43" t="inlineStr">
        <is>
          <t>p</t>
        </is>
      </c>
      <c r="Q13" s="41" t="inlineStr">
        <is>
          <t>sl</t>
        </is>
      </c>
      <c r="R13" s="40" t="inlineStr">
        <is>
          <t>sl</t>
        </is>
      </c>
      <c r="S13" s="42" t="inlineStr">
        <is>
          <t>sl</t>
        </is>
      </c>
      <c r="T13" s="43" t="inlineStr">
        <is>
          <t>sl</t>
        </is>
      </c>
      <c r="U13" s="41" t="inlineStr">
        <is>
          <t>sl</t>
        </is>
      </c>
      <c r="V13" s="40" t="inlineStr">
        <is>
          <t>sl</t>
        </is>
      </c>
      <c r="W13" s="42" t="inlineStr">
        <is>
          <t>sl</t>
        </is>
      </c>
      <c r="X13" s="43" t="inlineStr">
        <is>
          <t>sl</t>
        </is>
      </c>
      <c r="Y13" s="41" t="n"/>
      <c r="Z13" s="40" t="n"/>
      <c r="AA13" s="42" t="n"/>
      <c r="AB13" s="43" t="n"/>
      <c r="AC13" s="41" t="n"/>
      <c r="AD13" s="40" t="n"/>
      <c r="AE13" s="42" t="n"/>
      <c r="AF13" s="43" t="n"/>
      <c r="AG13" s="41" t="n"/>
      <c r="AH13" s="40" t="n"/>
      <c r="AI13" s="42" t="n"/>
      <c r="AJ13" s="43" t="n"/>
      <c r="AK13" s="41" t="n"/>
      <c r="AL13" s="40" t="n"/>
      <c r="AM13" s="41" t="n"/>
      <c r="AN13" s="645" t="n"/>
      <c r="AO13" s="42" t="n"/>
      <c r="AP13" s="37" t="n"/>
      <c r="AQ13" s="38" t="n"/>
      <c r="AR13" s="880">
        <f>IFERROR(IF(VLOOKUP($B13,Medewerker!$C$8:$AG$107,31,FALSE)="",VLOOKUP($B13,Medewerker!$C$8:$AG$107,29,FALSE),0),0)</f>
        <v/>
      </c>
      <c r="AS13" s="881">
        <f>IFERROR(IF(B13="",1,IF(VLOOKUP($B13,Medewerker!$C$8:$AG$107,31,FALSE)="",VLOOKUP($B13,Medewerker!$C$8:$AG$107,30,FALSE),0)),0)</f>
        <v/>
      </c>
      <c r="AT13" s="49" t="n"/>
      <c r="AU13" s="49">
        <f>(COUNTIF(F13:AQ13,"afw"))/2</f>
        <v/>
      </c>
      <c r="AV13" s="111">
        <f>((38-(COUNTIF(F13:AQ13,"")))/2)-(COUNTIF(F13:AQ13,"p")/2)-(COUNTIF(F13:AQ13,CONCATENATE("x","*"))/4)</f>
        <v/>
      </c>
      <c r="AW13" s="70">
        <f>IF($B13="","",VLOOKUP($B13,Medewerker!$C$8:$E$107,3,FALSE))</f>
        <v/>
      </c>
      <c r="AX13" s="404">
        <f>IFERROR(VLOOKUP($B13,Planning!$B$6:$AG$105,32,FALSE)*24,"")</f>
        <v/>
      </c>
      <c r="AY13" s="882" t="inlineStr">
        <is>
          <t>Vullen</t>
        </is>
      </c>
      <c r="AZ13" s="883" t="n"/>
      <c r="BA13" s="884" t="n"/>
      <c r="BB13" s="838" t="n"/>
      <c r="BC13" s="31">
        <f>IF(Planning!B6="","",Planning!B6)</f>
        <v/>
      </c>
      <c r="BD13" s="105" t="n"/>
      <c r="BE13" s="885">
        <f>Planning!E6</f>
        <v/>
      </c>
      <c r="BF13" s="885">
        <f>Planning!F6</f>
        <v/>
      </c>
      <c r="BG13" s="886" t="n"/>
      <c r="BH13" s="105" t="n"/>
      <c r="BI13" s="885">
        <f>Planning!I6</f>
        <v/>
      </c>
      <c r="BJ13" s="885">
        <f>Planning!J6</f>
        <v/>
      </c>
      <c r="BK13" s="886" t="n"/>
      <c r="BL13" s="105" t="n"/>
      <c r="BM13" s="885">
        <f>Planning!M6</f>
        <v/>
      </c>
      <c r="BN13" s="885">
        <f>Planning!N6</f>
        <v/>
      </c>
      <c r="BO13" s="886" t="n"/>
      <c r="BP13" s="105" t="n"/>
      <c r="BQ13" s="885">
        <f>Planning!Q6</f>
        <v/>
      </c>
      <c r="BR13" s="885">
        <f>Planning!R6</f>
        <v/>
      </c>
      <c r="BS13" s="886" t="n"/>
      <c r="BT13" s="105" t="n"/>
      <c r="BU13" s="885">
        <f>Planning!U6</f>
        <v/>
      </c>
      <c r="BV13" s="885">
        <f>Planning!V6</f>
        <v/>
      </c>
      <c r="BW13" s="886" t="n"/>
      <c r="BX13" s="105" t="n"/>
      <c r="BY13" s="885">
        <f>Planning!Y6</f>
        <v/>
      </c>
      <c r="BZ13" s="885">
        <f>Planning!Z6</f>
        <v/>
      </c>
      <c r="CA13" s="886" t="n"/>
      <c r="CB13" s="105" t="n"/>
      <c r="CC13" s="885">
        <f>Planning!AC6</f>
        <v/>
      </c>
      <c r="CD13" s="885">
        <f>Planning!AD6</f>
        <v/>
      </c>
      <c r="CE13" s="886" t="n"/>
      <c r="CF13" s="105" t="n"/>
      <c r="CG13" s="887">
        <f>Planning!AG6</f>
        <v/>
      </c>
      <c r="CH13" s="105" t="n"/>
      <c r="CI13" s="252">
        <f>IF(BC13="","",Planning!AI6)</f>
        <v/>
      </c>
      <c r="CJ13" s="252">
        <f>IF(BC13="","",Planning!AJ6)</f>
        <v/>
      </c>
      <c r="CK13" s="252">
        <f>IF(BC13="","",Planning!AK6)</f>
        <v/>
      </c>
      <c r="CL13" s="252">
        <f>IF(BC13="","",Planning!AH6)</f>
        <v/>
      </c>
      <c r="CM13" s="21" t="n"/>
    </row>
    <row r="14" ht="12.75" customHeight="1">
      <c r="A14" s="161">
        <f>IFERROR(IF(VLOOKUP($B14,$BC$13:$CL$86,36,FALSE)&gt;5,0,IF(COUNTIF($B$13:$B$63,$B14)&gt;1,0,2)),2)+IF(B14&lt;&gt;0,0,IF(AV14&gt;0,0.000001,0))</f>
        <v/>
      </c>
      <c r="B14" s="52" t="inlineStr">
        <is>
          <t>Stefan</t>
        </is>
      </c>
      <c r="C14" s="48">
        <f>IFERROR(IF($B14="","",VLOOKUP($B14,Medewerker!$C$8:$AI$107,33,FALSE)),"?")</f>
        <v/>
      </c>
      <c r="D14" s="879">
        <f t="array" ref="D14">IFERROR(IF(LEFT(INDEX($F14:$AQ14,1,SUM(SMALL(IF($F14:$AQ14&lt;&gt;"",COLUMN($F14:$AQ14)),1)-5)),1)="x",SUM(SMALL(IF($F14:$AQ14&lt;&gt;"",$F$11:$AQ$11),1)+"0:15"),SMALL(IF($F14:$AQ14&lt;&gt;"",$F$11:$AQ$11),1)),"")</f>
        <v/>
      </c>
      <c r="E14" s="879">
        <f t="array" ref="E14">IFERROR(IF(LEFT(INDEX($F14:$AQ14,1,SUM(LARGE(IF($F14:$AQ14&lt;&gt;"",COLUMN($F14:$AQ14)),1)-5)),1)="x",SUM(LARGE(IF($F14:$AQ14&lt;&gt;"",$F$11:$AQ$11+"0:30:00"),1)-"0:15"),LARGE(IF($F14:$AQ14&lt;&gt;"",$F$11:$AQ$11+"0:30:00"),1)),"")</f>
        <v/>
      </c>
      <c r="F14" s="40" t="n"/>
      <c r="G14" s="41" t="n"/>
      <c r="H14" s="40" t="n"/>
      <c r="I14" s="41" t="n"/>
      <c r="J14" s="40" t="n"/>
      <c r="K14" s="42" t="n"/>
      <c r="L14" s="43" t="n"/>
      <c r="M14" s="41" t="n"/>
      <c r="N14" s="40" t="n"/>
      <c r="O14" s="42" t="n"/>
      <c r="P14" s="43" t="inlineStr">
        <is>
          <t>act</t>
        </is>
      </c>
      <c r="Q14" s="41" t="inlineStr">
        <is>
          <t>act</t>
        </is>
      </c>
      <c r="R14" s="40" t="inlineStr">
        <is>
          <t>act</t>
        </is>
      </c>
      <c r="S14" s="42" t="inlineStr">
        <is>
          <t>act</t>
        </is>
      </c>
      <c r="T14" s="43" t="inlineStr">
        <is>
          <t>act</t>
        </is>
      </c>
      <c r="U14" s="41" t="inlineStr">
        <is>
          <t>act</t>
        </is>
      </c>
      <c r="V14" s="40" t="inlineStr">
        <is>
          <t>act</t>
        </is>
      </c>
      <c r="W14" s="42" t="inlineStr">
        <is>
          <t>act</t>
        </is>
      </c>
      <c r="X14" s="43" t="inlineStr">
        <is>
          <t>p</t>
        </is>
      </c>
      <c r="Y14" s="41" t="inlineStr">
        <is>
          <t>act</t>
        </is>
      </c>
      <c r="Z14" s="40" t="inlineStr">
        <is>
          <t>act</t>
        </is>
      </c>
      <c r="AA14" s="42" t="inlineStr">
        <is>
          <t>act</t>
        </is>
      </c>
      <c r="AB14" s="43" t="inlineStr">
        <is>
          <t>act</t>
        </is>
      </c>
      <c r="AC14" s="41" t="inlineStr">
        <is>
          <t>act</t>
        </is>
      </c>
      <c r="AD14" s="40" t="inlineStr">
        <is>
          <t>act</t>
        </is>
      </c>
      <c r="AE14" s="42" t="inlineStr">
        <is>
          <t>act</t>
        </is>
      </c>
      <c r="AF14" s="43" t="n"/>
      <c r="AG14" s="41" t="n"/>
      <c r="AH14" s="40" t="n"/>
      <c r="AI14" s="42" t="n"/>
      <c r="AJ14" s="43" t="n"/>
      <c r="AK14" s="41" t="n"/>
      <c r="AL14" s="40" t="n"/>
      <c r="AM14" s="41" t="n"/>
      <c r="AN14" s="645" t="n"/>
      <c r="AO14" s="42" t="n"/>
      <c r="AP14" s="40" t="n"/>
      <c r="AQ14" s="41" t="n"/>
      <c r="AR14" s="888">
        <f>IFERROR(IF(VLOOKUP($B14,Medewerker!$C$8:$AG$107,31,FALSE)="",VLOOKUP($B14,Medewerker!$C$8:$AG$107,29,FALSE),0),0)</f>
        <v/>
      </c>
      <c r="AS14" s="889">
        <f>IFERROR(IF(B14="",1,IF(VLOOKUP($B14,Medewerker!$C$8:$AG$107,31,FALSE)="",VLOOKUP($B14,Medewerker!$C$8:$AG$107,30,FALSE),0)),0)</f>
        <v/>
      </c>
      <c r="AT14" s="30" t="n"/>
      <c r="AU14" s="30">
        <f>(COUNTIF(F14:AQ14,"afw"))/2</f>
        <v/>
      </c>
      <c r="AV14" s="111">
        <f>((38-(COUNTIF(F14:AQ14,"")))/2)-(COUNTIF(F14:AQ14,"p")/2)-(COUNTIF(F14:AQ14,CONCATENATE("x","*"))/4)</f>
        <v/>
      </c>
      <c r="AW14" s="73">
        <f>IF($B14="","",VLOOKUP($B14,Medewerker!$C$8:$E$107,3,FALSE))</f>
        <v/>
      </c>
      <c r="AX14" s="403">
        <f>IFERROR(VLOOKUP($B14,Planning!$B$6:$AG$105,32,FALSE)*24,"")</f>
        <v/>
      </c>
      <c r="AY14" s="406" t="inlineStr">
        <is>
          <t>hv</t>
        </is>
      </c>
      <c r="AZ14" s="166" t="inlineStr">
        <is>
          <t>Houdbaar vullen</t>
        </is>
      </c>
      <c r="BA14" s="111">
        <f>COUNTIF($F$13:$AQ$63,CONCATENATE(AY14,"*"))/2+COUNTIF($F$13:$AQ$63,CONCATENATE("x",AY14,"*"))/4</f>
        <v/>
      </c>
      <c r="BB14" s="838" t="n"/>
      <c r="BC14" s="31">
        <f>IF(Planning!B7="","",Planning!B7)</f>
        <v/>
      </c>
      <c r="BD14" s="105" t="n"/>
      <c r="BE14" s="885">
        <f>Planning!E7</f>
        <v/>
      </c>
      <c r="BF14" s="885">
        <f>Planning!F7</f>
        <v/>
      </c>
      <c r="BG14" s="886" t="n"/>
      <c r="BH14" s="105" t="n"/>
      <c r="BI14" s="885">
        <f>Planning!I7</f>
        <v/>
      </c>
      <c r="BJ14" s="885">
        <f>Planning!J7</f>
        <v/>
      </c>
      <c r="BK14" s="886" t="n"/>
      <c r="BL14" s="105" t="n"/>
      <c r="BM14" s="885">
        <f>Planning!M7</f>
        <v/>
      </c>
      <c r="BN14" s="885">
        <f>Planning!N7</f>
        <v/>
      </c>
      <c r="BO14" s="886" t="n"/>
      <c r="BP14" s="105" t="n"/>
      <c r="BQ14" s="885">
        <f>Planning!Q7</f>
        <v/>
      </c>
      <c r="BR14" s="885">
        <f>Planning!R7</f>
        <v/>
      </c>
      <c r="BS14" s="886" t="n"/>
      <c r="BT14" s="105" t="n"/>
      <c r="BU14" s="885">
        <f>Planning!U7</f>
        <v/>
      </c>
      <c r="BV14" s="885">
        <f>Planning!V7</f>
        <v/>
      </c>
      <c r="BW14" s="886" t="n"/>
      <c r="BX14" s="105" t="n"/>
      <c r="BY14" s="885">
        <f>Planning!Y7</f>
        <v/>
      </c>
      <c r="BZ14" s="885">
        <f>Planning!Z7</f>
        <v/>
      </c>
      <c r="CA14" s="886" t="n"/>
      <c r="CB14" s="105" t="n"/>
      <c r="CC14" s="885">
        <f>Planning!AC7</f>
        <v/>
      </c>
      <c r="CD14" s="885">
        <f>Planning!AD7</f>
        <v/>
      </c>
      <c r="CE14" s="886" t="n"/>
      <c r="CF14" s="105" t="n"/>
      <c r="CG14" s="887">
        <f>Planning!AG7</f>
        <v/>
      </c>
      <c r="CH14" s="105" t="n"/>
      <c r="CI14" s="252">
        <f>IF(BC14="","",Planning!AI7)</f>
        <v/>
      </c>
      <c r="CJ14" s="252">
        <f>IF(BC14="","",Planning!AJ7)</f>
        <v/>
      </c>
      <c r="CK14" s="252">
        <f>IF(BC14="","",Planning!AK7)</f>
        <v/>
      </c>
      <c r="CL14" s="252">
        <f>IF(BC14="","",Planning!AH7)</f>
        <v/>
      </c>
      <c r="CM14" s="21" t="n"/>
    </row>
    <row r="15" ht="12.75" customHeight="1">
      <c r="A15" s="161">
        <f>IFERROR(IF(VLOOKUP($B15,$BC$13:$CL$86,36,FALSE)&gt;5,0,IF(COUNTIF($B$13:$B$63,$B15)&gt;1,0,3)),3)+IF(B15&lt;&gt;0,0,IF(AV15&gt;0,0.000001,0))</f>
        <v/>
      </c>
      <c r="B15" s="52" t="n"/>
      <c r="C15" s="48">
        <f>IFERROR(IF($B15="","",VLOOKUP($B15,Medewerker!$C$8:$AI$107,33,FALSE)),"?")</f>
        <v/>
      </c>
      <c r="D15" s="879">
        <f t="array" ref="D15">IFERROR(IF(LEFT(INDEX($F15:$AQ15,1,SUM(SMALL(IF($F15:$AQ15&lt;&gt;"",COLUMN($F15:$AQ15)),1)-5)),1)="x",SUM(SMALL(IF($F15:$AQ15&lt;&gt;"",$F$11:$AQ$11),1)+"0:15"),SMALL(IF($F15:$AQ15&lt;&gt;"",$F$11:$AQ$11),1)),"")</f>
        <v/>
      </c>
      <c r="E15" s="879">
        <f t="array" ref="E15">IFERROR(IF(LEFT(INDEX($F15:$AQ15,1,SUM(LARGE(IF($F15:$AQ15&lt;&gt;"",COLUMN($F15:$AQ15)),1)-5)),1)="x",SUM(LARGE(IF($F15:$AQ15&lt;&gt;"",$F$11:$AQ$11+"0:30:00"),1)-"0:15"),LARGE(IF($F15:$AQ15&lt;&gt;"",$F$11:$AQ$11+"0:30:00"),1)),"")</f>
        <v/>
      </c>
      <c r="F15" s="40" t="n"/>
      <c r="G15" s="41" t="n"/>
      <c r="H15" s="40" t="n"/>
      <c r="I15" s="41" t="n"/>
      <c r="J15" s="40" t="n"/>
      <c r="K15" s="42" t="n"/>
      <c r="L15" s="43" t="n"/>
      <c r="M15" s="41" t="n"/>
      <c r="N15" s="40" t="n"/>
      <c r="O15" s="42" t="n"/>
      <c r="P15" s="43" t="n"/>
      <c r="Q15" s="41" t="n"/>
      <c r="R15" s="40" t="n"/>
      <c r="S15" s="42" t="n"/>
      <c r="T15" s="43" t="n"/>
      <c r="U15" s="41" t="n"/>
      <c r="V15" s="40" t="n"/>
      <c r="W15" s="42" t="n"/>
      <c r="X15" s="43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41" t="n"/>
      <c r="AH15" s="41" t="n"/>
      <c r="AI15" s="41" t="n"/>
      <c r="AJ15" s="41" t="n"/>
      <c r="AK15" s="41" t="n"/>
      <c r="AL15" s="41" t="n"/>
      <c r="AM15" s="41" t="n"/>
      <c r="AN15" s="41" t="n"/>
      <c r="AO15" s="41" t="n"/>
      <c r="AP15" s="41" t="n"/>
      <c r="AQ15" s="41" t="n"/>
      <c r="AR15" s="888">
        <f>IFERROR(IF(VLOOKUP($B15,Medewerker!$C$8:$AG$107,31,FALSE)="",VLOOKUP($B15,Medewerker!$C$8:$AG$107,29,FALSE),0),0)</f>
        <v/>
      </c>
      <c r="AS15" s="889">
        <f>IFERROR(IF(B15="",1,IF(VLOOKUP($B15,Medewerker!$C$8:$AG$107,31,FALSE)="",VLOOKUP($B15,Medewerker!$C$8:$AG$107,30,FALSE),0)),0)</f>
        <v/>
      </c>
      <c r="AT15" s="30" t="n"/>
      <c r="AU15" s="30">
        <f>(COUNTIF(F15:AQ15,"afw"))/2</f>
        <v/>
      </c>
      <c r="AV15" s="111">
        <f>((38-(COUNTIF(F15:AQ15,"")))/2)-(COUNTIF(F15:AQ15,"p")/2)-(COUNTIF(F15:AQ15,CONCATENATE("x","*"))/4)</f>
        <v/>
      </c>
      <c r="AW15" s="73">
        <f>IF($B15="","",VLOOKUP($B15,Medewerker!$C$8:$E$107,3,FALSE))</f>
        <v/>
      </c>
      <c r="AX15" s="403">
        <f>IFERROR(VLOOKUP($B15,Planning!$B$6:$AG$105,32,FALSE)*24,"")</f>
        <v/>
      </c>
      <c r="AY15" s="406" t="inlineStr">
        <is>
          <t>dv</t>
        </is>
      </c>
      <c r="AZ15" s="166" t="inlineStr">
        <is>
          <t>Diepvries vullen</t>
        </is>
      </c>
      <c r="BA15" s="111">
        <f>COUNTIF($F$13:$AQ$63,CONCATENATE(AY15,"*"))/2+COUNTIF($F$13:$AQ$63,CONCATENATE("x",AY15,"*"))/4</f>
        <v/>
      </c>
      <c r="BB15" s="838" t="n"/>
      <c r="BC15" s="31">
        <f>IF(Planning!B8="","",Planning!B8)</f>
        <v/>
      </c>
      <c r="BD15" s="105" t="n"/>
      <c r="BE15" s="885">
        <f>Planning!E8</f>
        <v/>
      </c>
      <c r="BF15" s="885">
        <f>Planning!F8</f>
        <v/>
      </c>
      <c r="BG15" s="886" t="n"/>
      <c r="BH15" s="105" t="n"/>
      <c r="BI15" s="885">
        <f>Planning!I8</f>
        <v/>
      </c>
      <c r="BJ15" s="885">
        <f>Planning!J8</f>
        <v/>
      </c>
      <c r="BK15" s="886" t="n"/>
      <c r="BL15" s="105" t="n"/>
      <c r="BM15" s="885">
        <f>Planning!M8</f>
        <v/>
      </c>
      <c r="BN15" s="885">
        <f>Planning!N8</f>
        <v/>
      </c>
      <c r="BO15" s="886" t="n"/>
      <c r="BP15" s="105" t="n"/>
      <c r="BQ15" s="885">
        <f>Planning!Q8</f>
        <v/>
      </c>
      <c r="BR15" s="885">
        <f>Planning!R8</f>
        <v/>
      </c>
      <c r="BS15" s="886" t="n"/>
      <c r="BT15" s="105" t="n"/>
      <c r="BU15" s="885">
        <f>Planning!U8</f>
        <v/>
      </c>
      <c r="BV15" s="885">
        <f>Planning!V8</f>
        <v/>
      </c>
      <c r="BW15" s="886" t="n"/>
      <c r="BX15" s="105" t="n"/>
      <c r="BY15" s="885">
        <f>Planning!Y8</f>
        <v/>
      </c>
      <c r="BZ15" s="885">
        <f>Planning!Z8</f>
        <v/>
      </c>
      <c r="CA15" s="886" t="n"/>
      <c r="CB15" s="105" t="n"/>
      <c r="CC15" s="885">
        <f>Planning!AC8</f>
        <v/>
      </c>
      <c r="CD15" s="885">
        <f>Planning!AD8</f>
        <v/>
      </c>
      <c r="CE15" s="886" t="n"/>
      <c r="CF15" s="105" t="n"/>
      <c r="CG15" s="887">
        <f>Planning!AG8</f>
        <v/>
      </c>
      <c r="CH15" s="105" t="n"/>
      <c r="CI15" s="252">
        <f>IF(BC15="","",Planning!AI8)</f>
        <v/>
      </c>
      <c r="CJ15" s="252">
        <f>IF(BC15="","",Planning!AJ8)</f>
        <v/>
      </c>
      <c r="CK15" s="252">
        <f>IF(BC15="","",Planning!AK8)</f>
        <v/>
      </c>
      <c r="CL15" s="252">
        <f>IF(BC15="","",Planning!AH8)</f>
        <v/>
      </c>
      <c r="CM15" s="21" t="n"/>
    </row>
    <row r="16" ht="12.75" customHeight="1">
      <c r="A16" s="161">
        <f>IFERROR(IF(VLOOKUP($B16,$BC$13:$CL$86,36,FALSE)&gt;5,0,IF(COUNTIF($B$13:$B$63,$B16)&gt;1,0,4)),4)+IF(B16&lt;&gt;0,0,IF(AV16&gt;0,0.000001,0))</f>
        <v/>
      </c>
      <c r="B16" s="52" t="n"/>
      <c r="C16" s="48">
        <f>IFERROR(IF($B16="","",VLOOKUP($B16,Medewerker!$C$8:$AI$107,33,FALSE)),"?")</f>
        <v/>
      </c>
      <c r="D16" s="879">
        <f t="array" ref="D16">IFERROR(IF(LEFT(INDEX($F16:$AQ16,1,SUM(SMALL(IF($F16:$AQ16&lt;&gt;"",COLUMN($F16:$AQ16)),1)-5)),1)="x",SUM(SMALL(IF($F16:$AQ16&lt;&gt;"",$F$11:$AQ$11),1)+"0:15"),SMALL(IF($F16:$AQ16&lt;&gt;"",$F$11:$AQ$11),1)),"")</f>
        <v/>
      </c>
      <c r="E16" s="879">
        <f t="array" ref="E16">IFERROR(IF(LEFT(INDEX($F16:$AQ16,1,SUM(LARGE(IF($F16:$AQ16&lt;&gt;"",COLUMN($F16:$AQ16)),1)-5)),1)="x",SUM(LARGE(IF($F16:$AQ16&lt;&gt;"",$F$11:$AQ$11+"0:30:00"),1)-"0:15"),LARGE(IF($F16:$AQ16&lt;&gt;"",$F$11:$AQ$11+"0:30:00"),1)),"")</f>
        <v/>
      </c>
      <c r="F16" s="40" t="n"/>
      <c r="G16" s="41" t="n"/>
      <c r="H16" s="40" t="n"/>
      <c r="I16" s="41" t="n"/>
      <c r="J16" s="40" t="n"/>
      <c r="K16" s="42" t="n"/>
      <c r="L16" s="43" t="n"/>
      <c r="M16" s="41" t="n"/>
      <c r="N16" s="40" t="n"/>
      <c r="O16" s="42" t="n"/>
      <c r="P16" s="43" t="n"/>
      <c r="Q16" s="41" t="n"/>
      <c r="R16" s="40" t="n"/>
      <c r="S16" s="42" t="n"/>
      <c r="T16" s="43" t="n"/>
      <c r="U16" s="41" t="n"/>
      <c r="V16" s="40" t="n"/>
      <c r="W16" s="42" t="n"/>
      <c r="X16" s="43" t="n"/>
      <c r="Y16" s="41" t="n"/>
      <c r="Z16" s="40" t="n"/>
      <c r="AA16" s="42" t="n"/>
      <c r="AB16" s="43" t="n"/>
      <c r="AC16" s="41" t="n"/>
      <c r="AD16" s="40" t="n"/>
      <c r="AE16" s="42" t="n"/>
      <c r="AF16" s="43" t="n"/>
      <c r="AG16" s="41" t="n"/>
      <c r="AH16" s="40" t="n"/>
      <c r="AI16" s="42" t="n"/>
      <c r="AJ16" s="43" t="n"/>
      <c r="AK16" s="41" t="n"/>
      <c r="AL16" s="40" t="n"/>
      <c r="AM16" s="41" t="n"/>
      <c r="AN16" s="645" t="n"/>
      <c r="AO16" s="42" t="n"/>
      <c r="AP16" s="40" t="n"/>
      <c r="AQ16" s="41" t="n"/>
      <c r="AR16" s="888">
        <f>IFERROR(IF(VLOOKUP($B16,Medewerker!$C$8:$AG$107,31,FALSE)="",VLOOKUP($B16,Medewerker!$C$8:$AG$107,29,FALSE),0),0)</f>
        <v/>
      </c>
      <c r="AS16" s="889">
        <f>IFERROR(IF(B16="",1,IF(VLOOKUP($B16,Medewerker!$C$8:$AG$107,31,FALSE)="",VLOOKUP($B16,Medewerker!$C$8:$AG$107,30,FALSE),0)),0)</f>
        <v/>
      </c>
      <c r="AT16" s="30" t="n"/>
      <c r="AU16" s="30">
        <f>(COUNTIF(F16:AQ16,"afw"))/2</f>
        <v/>
      </c>
      <c r="AV16" s="111">
        <f>((38-(COUNTIF(F16:AQ16,"")))/2)-(COUNTIF(F16:AQ16,"p")/2)-(COUNTIF(F16:AQ16,CONCATENATE("x","*"))/4)</f>
        <v/>
      </c>
      <c r="AW16" s="73">
        <f>IF($B16="","",VLOOKUP($B16,Medewerker!$C$8:$E$107,3,FALSE))</f>
        <v/>
      </c>
      <c r="AX16" s="403">
        <f>IFERROR(VLOOKUP($B16,Planning!$B$6:$AG$105,32,FALSE)*24,"")</f>
        <v/>
      </c>
      <c r="AY16" s="406" t="inlineStr">
        <is>
          <t>vv</t>
        </is>
      </c>
      <c r="AZ16" s="166" t="inlineStr">
        <is>
          <t>Vers vullen</t>
        </is>
      </c>
      <c r="BA16" s="111">
        <f>COUNTIF($F$13:$AQ$63,CONCATENATE(AY16,"*"))/2+COUNTIF($F$13:$AQ$63,CONCATENATE("x",AY16,"*"))/4</f>
        <v/>
      </c>
      <c r="BB16" s="838" t="n"/>
      <c r="BC16" s="31">
        <f>IF(Planning!B9="","",Planning!B9)</f>
        <v/>
      </c>
      <c r="BD16" s="105" t="n"/>
      <c r="BE16" s="885">
        <f>Planning!E9</f>
        <v/>
      </c>
      <c r="BF16" s="885">
        <f>Planning!F9</f>
        <v/>
      </c>
      <c r="BG16" s="886" t="n"/>
      <c r="BH16" s="105" t="n"/>
      <c r="BI16" s="885">
        <f>Planning!I9</f>
        <v/>
      </c>
      <c r="BJ16" s="885">
        <f>Planning!J9</f>
        <v/>
      </c>
      <c r="BK16" s="886" t="n"/>
      <c r="BL16" s="105" t="n"/>
      <c r="BM16" s="885">
        <f>Planning!M9</f>
        <v/>
      </c>
      <c r="BN16" s="885">
        <f>Planning!N9</f>
        <v/>
      </c>
      <c r="BO16" s="886" t="n"/>
      <c r="BP16" s="105" t="n"/>
      <c r="BQ16" s="885">
        <f>Planning!Q9</f>
        <v/>
      </c>
      <c r="BR16" s="885">
        <f>Planning!R9</f>
        <v/>
      </c>
      <c r="BS16" s="886" t="n"/>
      <c r="BT16" s="105" t="n"/>
      <c r="BU16" s="885">
        <f>Planning!U9</f>
        <v/>
      </c>
      <c r="BV16" s="885">
        <f>Planning!V9</f>
        <v/>
      </c>
      <c r="BW16" s="886" t="n"/>
      <c r="BX16" s="105" t="n"/>
      <c r="BY16" s="885">
        <f>Planning!Y9</f>
        <v/>
      </c>
      <c r="BZ16" s="885">
        <f>Planning!Z9</f>
        <v/>
      </c>
      <c r="CA16" s="886" t="n"/>
      <c r="CB16" s="105" t="n"/>
      <c r="CC16" s="885">
        <f>Planning!AC9</f>
        <v/>
      </c>
      <c r="CD16" s="885">
        <f>Planning!AD9</f>
        <v/>
      </c>
      <c r="CE16" s="886" t="n"/>
      <c r="CF16" s="105" t="n"/>
      <c r="CG16" s="887">
        <f>Planning!AG9</f>
        <v/>
      </c>
      <c r="CH16" s="105" t="n"/>
      <c r="CI16" s="252">
        <f>IF(BC16="","",Planning!AI9)</f>
        <v/>
      </c>
      <c r="CJ16" s="252">
        <f>IF(BC16="","",Planning!AJ9)</f>
        <v/>
      </c>
      <c r="CK16" s="252">
        <f>IF(BC16="","",Planning!AK9)</f>
        <v/>
      </c>
      <c r="CL16" s="252">
        <f>IF(BC16="","",Planning!AH9)</f>
        <v/>
      </c>
      <c r="CM16" s="21" t="n"/>
    </row>
    <row r="17" ht="12.75" customHeight="1">
      <c r="A17" s="161">
        <f>IFERROR(IF(VLOOKUP($B17,$BC$13:$CL$86,36,FALSE)&gt;5,0,IF(COUNTIF($B$13:$B$63,$B17)&gt;1,0,5)),5)+IF(B17&lt;&gt;0,0,IF(AV17&gt;0,0.000001,0))</f>
        <v/>
      </c>
      <c r="B17" s="52" t="inlineStr">
        <is>
          <t>Mina</t>
        </is>
      </c>
      <c r="C17" s="48">
        <f>IFERROR(IF($B17="","",VLOOKUP($B17,Medewerker!$C$8:$AI$107,33,FALSE)),"?")</f>
        <v/>
      </c>
      <c r="D17" s="879">
        <f t="array" ref="D17">IFERROR(IF(LEFT(INDEX($F17:$AQ17,1,SUM(SMALL(IF($F17:$AQ17&lt;&gt;"",COLUMN($F17:$AQ17)),1)-5)),1)="x",SUM(SMALL(IF($F17:$AQ17&lt;&gt;"",$F$11:$AQ$11),1)+"0:15"),SMALL(IF($F17:$AQ17&lt;&gt;"",$F$11:$AQ$11),1)),"")</f>
        <v/>
      </c>
      <c r="E17" s="879">
        <f t="array" ref="E17">IFERROR(IF(LEFT(INDEX($F17:$AQ17,1,SUM(LARGE(IF($F17:$AQ17&lt;&gt;"",COLUMN($F17:$AQ17)),1)-5)),1)="x",SUM(LARGE(IF($F17:$AQ17&lt;&gt;"",$F$11:$AQ$11+"0:30:00"),1)-"0:15"),LARGE(IF($F17:$AQ17&lt;&gt;"",$F$11:$AQ$11+"0:30:00"),1)),"")</f>
        <v/>
      </c>
      <c r="F17" s="40" t="n"/>
      <c r="G17" s="41" t="n"/>
      <c r="H17" s="40" t="n"/>
      <c r="I17" s="41" t="n"/>
      <c r="J17" s="40" t="n"/>
      <c r="K17" s="42" t="n"/>
      <c r="L17" s="43" t="inlineStr">
        <is>
          <t>cb</t>
        </is>
      </c>
      <c r="M17" s="41" t="inlineStr">
        <is>
          <t>cb</t>
        </is>
      </c>
      <c r="N17" s="40" t="inlineStr">
        <is>
          <t>cb</t>
        </is>
      </c>
      <c r="O17" s="42" t="inlineStr">
        <is>
          <t>cb</t>
        </is>
      </c>
      <c r="P17" s="43" t="inlineStr">
        <is>
          <t>cb</t>
        </is>
      </c>
      <c r="Q17" s="43" t="inlineStr">
        <is>
          <t>cb</t>
        </is>
      </c>
      <c r="R17" s="43" t="inlineStr">
        <is>
          <t>cb</t>
        </is>
      </c>
      <c r="S17" s="43" t="inlineStr">
        <is>
          <t>cb</t>
        </is>
      </c>
      <c r="T17" s="43" t="inlineStr">
        <is>
          <t>cb</t>
        </is>
      </c>
      <c r="U17" s="43" t="inlineStr">
        <is>
          <t>cb</t>
        </is>
      </c>
      <c r="V17" s="41" t="inlineStr">
        <is>
          <t>p</t>
        </is>
      </c>
      <c r="W17" s="41" t="inlineStr">
        <is>
          <t>hv</t>
        </is>
      </c>
      <c r="X17" s="41" t="inlineStr">
        <is>
          <t>hv</t>
        </is>
      </c>
      <c r="Y17" s="41" t="inlineStr">
        <is>
          <t>hv</t>
        </is>
      </c>
      <c r="Z17" s="40" t="inlineStr">
        <is>
          <t>hv</t>
        </is>
      </c>
      <c r="AA17" s="42" t="n"/>
      <c r="AB17" s="43" t="n"/>
      <c r="AC17" s="41" t="n"/>
      <c r="AD17" s="40" t="n"/>
      <c r="AE17" s="42" t="n"/>
      <c r="AF17" s="43" t="n"/>
      <c r="AG17" s="41" t="n"/>
      <c r="AH17" s="40" t="n"/>
      <c r="AI17" s="42" t="n"/>
      <c r="AJ17" s="43" t="n"/>
      <c r="AK17" s="41" t="n"/>
      <c r="AL17" s="40" t="n"/>
      <c r="AM17" s="41" t="n"/>
      <c r="AN17" s="645" t="n"/>
      <c r="AO17" s="42" t="n"/>
      <c r="AP17" s="40" t="n"/>
      <c r="AQ17" s="41" t="n"/>
      <c r="AR17" s="888">
        <f>IFERROR(IF(VLOOKUP($B17,Medewerker!$C$8:$AG$107,31,FALSE)="",VLOOKUP($B17,Medewerker!$C$8:$AG$107,29,FALSE),0),0)</f>
        <v/>
      </c>
      <c r="AS17" s="889">
        <f>IFERROR(IF(B17="",1,IF(VLOOKUP($B17,Medewerker!$C$8:$AG$107,31,FALSE)="",VLOOKUP($B17,Medewerker!$C$8:$AG$107,30,FALSE),0)),0)</f>
        <v/>
      </c>
      <c r="AT17" s="30" t="n"/>
      <c r="AU17" s="30">
        <f>(COUNTIF(F17:AQ17,"afw"))/2</f>
        <v/>
      </c>
      <c r="AV17" s="111">
        <f>((38-(COUNTIF(F17:AQ17,"")))/2)-(COUNTIF(F17:AQ17,"p")/2)-(COUNTIF(F17:AQ17,CONCATENATE("x","*"))/4)</f>
        <v/>
      </c>
      <c r="AW17" s="73">
        <f>IF($B17="","",VLOOKUP($B17,Medewerker!$C$8:$E$107,3,FALSE))</f>
        <v/>
      </c>
      <c r="AX17" s="403">
        <f>IFERROR(VLOOKUP($B17,Planning!$B$6:$AG$105,32,FALSE)*24,"")</f>
        <v/>
      </c>
      <c r="AY17" s="406" t="inlineStr">
        <is>
          <t>nh</t>
        </is>
      </c>
      <c r="AZ17" s="166" t="inlineStr">
        <is>
          <t>Navulling HB</t>
        </is>
      </c>
      <c r="BA17" s="111">
        <f>COUNTIF($F$13:$AQ$63,CONCATENATE(AY17,"*"))/2+COUNTIF($F$13:$AQ$63,CONCATENATE("x",AY17,"*"))/4</f>
        <v/>
      </c>
      <c r="BB17" s="838" t="n"/>
      <c r="BC17" s="31">
        <f>IF(Planning!B10="","",Planning!B10)</f>
        <v/>
      </c>
      <c r="BD17" s="105" t="n"/>
      <c r="BE17" s="885">
        <f>Planning!E10</f>
        <v/>
      </c>
      <c r="BF17" s="885">
        <f>Planning!F10</f>
        <v/>
      </c>
      <c r="BG17" s="886" t="n"/>
      <c r="BH17" s="105" t="n"/>
      <c r="BI17" s="885">
        <f>Planning!I10</f>
        <v/>
      </c>
      <c r="BJ17" s="885">
        <f>Planning!J10</f>
        <v/>
      </c>
      <c r="BK17" s="886" t="n"/>
      <c r="BL17" s="105" t="n"/>
      <c r="BM17" s="885">
        <f>Planning!M10</f>
        <v/>
      </c>
      <c r="BN17" s="885">
        <f>Planning!N10</f>
        <v/>
      </c>
      <c r="BO17" s="886" t="n"/>
      <c r="BP17" s="105" t="n"/>
      <c r="BQ17" s="885">
        <f>Planning!Q10</f>
        <v/>
      </c>
      <c r="BR17" s="885">
        <f>Planning!R10</f>
        <v/>
      </c>
      <c r="BS17" s="886" t="n"/>
      <c r="BT17" s="105" t="n"/>
      <c r="BU17" s="885">
        <f>Planning!U10</f>
        <v/>
      </c>
      <c r="BV17" s="885">
        <f>Planning!V10</f>
        <v/>
      </c>
      <c r="BW17" s="886" t="n"/>
      <c r="BX17" s="105" t="n"/>
      <c r="BY17" s="885">
        <f>Planning!Y10</f>
        <v/>
      </c>
      <c r="BZ17" s="885">
        <f>Planning!Z10</f>
        <v/>
      </c>
      <c r="CA17" s="886" t="n"/>
      <c r="CB17" s="105" t="n"/>
      <c r="CC17" s="885">
        <f>Planning!AC10</f>
        <v/>
      </c>
      <c r="CD17" s="885">
        <f>Planning!AD10</f>
        <v/>
      </c>
      <c r="CE17" s="886" t="n"/>
      <c r="CF17" s="105" t="n"/>
      <c r="CG17" s="887">
        <f>Planning!AG10</f>
        <v/>
      </c>
      <c r="CH17" s="105" t="n"/>
      <c r="CI17" s="252">
        <f>IF(BC17="","",Planning!AI10)</f>
        <v/>
      </c>
      <c r="CJ17" s="252">
        <f>IF(BC17="","",Planning!AJ10)</f>
        <v/>
      </c>
      <c r="CK17" s="252">
        <f>IF(BC17="","",Planning!AK10)</f>
        <v/>
      </c>
      <c r="CL17" s="252">
        <f>IF(BC17="","",Planning!AH10)</f>
        <v/>
      </c>
      <c r="CM17" s="21" t="n"/>
    </row>
    <row r="18" ht="12.75" customHeight="1">
      <c r="A18" s="161">
        <f>IFERROR(IF(VLOOKUP($B18,$BC$13:$CL$86,36,FALSE)&gt;5,0,IF(COUNTIF($B$13:$B$63,$B18)&gt;1,0,6)),6)+IF(B18&lt;&gt;0,0,IF(AV18&gt;0,0.000001,0))</f>
        <v/>
      </c>
      <c r="B18" s="52" t="n"/>
      <c r="C18" s="48">
        <f>IFERROR(IF($B18="","",VLOOKUP($B18,Medewerker!$C$8:$AI$107,33,FALSE)),"?")</f>
        <v/>
      </c>
      <c r="D18" s="879">
        <f t="array" ref="D18">IFERROR(IF(LEFT(INDEX($F18:$AQ18,1,SUM(SMALL(IF($F18:$AQ18&lt;&gt;"",COLUMN($F18:$AQ18)),1)-5)),1)="x",SUM(SMALL(IF($F18:$AQ18&lt;&gt;"",$F$11:$AQ$11),1)+"0:15"),SMALL(IF($F18:$AQ18&lt;&gt;"",$F$11:$AQ$11),1)),"")</f>
        <v/>
      </c>
      <c r="E18" s="879">
        <f t="array" ref="E18">IFERROR(IF(LEFT(INDEX($F18:$AQ18,1,SUM(LARGE(IF($F18:$AQ18&lt;&gt;"",COLUMN($F18:$AQ18)),1)-5)),1)="x",SUM(LARGE(IF($F18:$AQ18&lt;&gt;"",$F$11:$AQ$11+"0:30:00"),1)-"0:15"),LARGE(IF($F18:$AQ18&lt;&gt;"",$F$11:$AQ$11+"0:30:00"),1)),"")</f>
        <v/>
      </c>
      <c r="F18" s="40" t="n"/>
      <c r="G18" s="41" t="n"/>
      <c r="H18" s="40" t="n"/>
      <c r="I18" s="41" t="n"/>
      <c r="J18" s="40" t="n"/>
      <c r="K18" s="42" t="n"/>
      <c r="L18" s="43" t="n"/>
      <c r="M18" s="41" t="n"/>
      <c r="N18" s="40" t="n"/>
      <c r="O18" s="42" t="n"/>
      <c r="P18" s="43" t="n"/>
      <c r="Q18" s="41" t="n"/>
      <c r="R18" s="40" t="n"/>
      <c r="S18" s="42" t="n"/>
      <c r="T18" s="43" t="n"/>
      <c r="U18" s="41" t="n"/>
      <c r="V18" s="40" t="n"/>
      <c r="W18" s="42" t="n"/>
      <c r="X18" s="43" t="n"/>
      <c r="Y18" s="41" t="n"/>
      <c r="Z18" s="40" t="n"/>
      <c r="AA18" s="42" t="n"/>
      <c r="AB18" s="43" t="n"/>
      <c r="AC18" s="41" t="n"/>
      <c r="AD18" s="40" t="n"/>
      <c r="AE18" s="42" t="n"/>
      <c r="AF18" s="43" t="n"/>
      <c r="AG18" s="41" t="n"/>
      <c r="AH18" s="40" t="n"/>
      <c r="AI18" s="42" t="n"/>
      <c r="AJ18" s="43" t="n"/>
      <c r="AK18" s="41" t="n"/>
      <c r="AL18" s="40" t="n"/>
      <c r="AM18" s="41" t="n"/>
      <c r="AN18" s="645" t="n"/>
      <c r="AO18" s="42" t="n"/>
      <c r="AP18" s="40" t="n"/>
      <c r="AQ18" s="41" t="n"/>
      <c r="AR18" s="888">
        <f>IFERROR(IF(VLOOKUP($B18,Medewerker!$C$8:$AG$107,31,FALSE)="",VLOOKUP($B18,Medewerker!$C$8:$AG$107,29,FALSE),0),0)</f>
        <v/>
      </c>
      <c r="AS18" s="889">
        <f>IFERROR(IF(B18="",1,IF(VLOOKUP($B18,Medewerker!$C$8:$AG$107,31,FALSE)="",VLOOKUP($B18,Medewerker!$C$8:$AG$107,30,FALSE),0)),0)</f>
        <v/>
      </c>
      <c r="AT18" s="30" t="n"/>
      <c r="AU18" s="30">
        <f>(COUNTIF(F18:AQ18,"afw"))/2</f>
        <v/>
      </c>
      <c r="AV18" s="111">
        <f>((38-(COUNTIF(F18:AQ18,"")))/2)-(COUNTIF(F18:AQ18,"p")/2)-(COUNTIF(F18:AQ18,CONCATENATE("x","*"))/4)</f>
        <v/>
      </c>
      <c r="AW18" s="73">
        <f>IF($B18="","",VLOOKUP($B18,Medewerker!$C$8:$E$107,3,FALSE))</f>
        <v/>
      </c>
      <c r="AX18" s="403">
        <f>IFERROR(VLOOKUP($B18,Planning!$B$6:$AG$105,32,FALSE)*24,"")</f>
        <v/>
      </c>
      <c r="AY18" s="406" t="inlineStr">
        <is>
          <t>nd</t>
        </is>
      </c>
      <c r="AZ18" s="166" t="inlineStr">
        <is>
          <t>Navulling DV</t>
        </is>
      </c>
      <c r="BA18" s="111">
        <f>COUNTIF($F$13:$AQ$63,CONCATENATE(AY18,"*"))/2+COUNTIF($F$13:$AQ$63,CONCATENATE("x",AY18,"*"))/4</f>
        <v/>
      </c>
      <c r="BB18" s="838" t="n"/>
      <c r="BC18" s="31">
        <f>IF(Planning!B11="","",Planning!B11)</f>
        <v/>
      </c>
      <c r="BD18" s="105" t="n"/>
      <c r="BE18" s="885">
        <f>Planning!E11</f>
        <v/>
      </c>
      <c r="BF18" s="885">
        <f>Planning!F11</f>
        <v/>
      </c>
      <c r="BG18" s="886" t="n"/>
      <c r="BH18" s="105" t="n"/>
      <c r="BI18" s="885">
        <f>Planning!I11</f>
        <v/>
      </c>
      <c r="BJ18" s="885">
        <f>Planning!J11</f>
        <v/>
      </c>
      <c r="BK18" s="886" t="n"/>
      <c r="BL18" s="105" t="n"/>
      <c r="BM18" s="885">
        <f>Planning!M11</f>
        <v/>
      </c>
      <c r="BN18" s="885">
        <f>Planning!N11</f>
        <v/>
      </c>
      <c r="BO18" s="886" t="n"/>
      <c r="BP18" s="105" t="n"/>
      <c r="BQ18" s="885">
        <f>Planning!Q11</f>
        <v/>
      </c>
      <c r="BR18" s="885">
        <f>Planning!R11</f>
        <v/>
      </c>
      <c r="BS18" s="886" t="n"/>
      <c r="BT18" s="105" t="n"/>
      <c r="BU18" s="885">
        <f>Planning!U11</f>
        <v/>
      </c>
      <c r="BV18" s="885">
        <f>Planning!V11</f>
        <v/>
      </c>
      <c r="BW18" s="886" t="n"/>
      <c r="BX18" s="105" t="n"/>
      <c r="BY18" s="885">
        <f>Planning!Y11</f>
        <v/>
      </c>
      <c r="BZ18" s="885">
        <f>Planning!Z11</f>
        <v/>
      </c>
      <c r="CA18" s="886" t="n"/>
      <c r="CB18" s="105" t="n"/>
      <c r="CC18" s="885">
        <f>Planning!AC11</f>
        <v/>
      </c>
      <c r="CD18" s="885">
        <f>Planning!AD11</f>
        <v/>
      </c>
      <c r="CE18" s="886" t="n"/>
      <c r="CF18" s="105" t="n"/>
      <c r="CG18" s="887">
        <f>Planning!AG11</f>
        <v/>
      </c>
      <c r="CH18" s="105" t="n"/>
      <c r="CI18" s="252">
        <f>IF(BC18="","",Planning!AI11)</f>
        <v/>
      </c>
      <c r="CJ18" s="252">
        <f>IF(BC18="","",Planning!AJ11)</f>
        <v/>
      </c>
      <c r="CK18" s="252">
        <f>IF(BC18="","",Planning!AK11)</f>
        <v/>
      </c>
      <c r="CL18" s="252">
        <f>IF(BC18="","",Planning!AH11)</f>
        <v/>
      </c>
      <c r="CM18" s="21" t="n"/>
    </row>
    <row r="19" ht="12.75" customHeight="1">
      <c r="A19" s="161">
        <f>IFERROR(IF(VLOOKUP($B19,$BC$13:$CL$86,36,FALSE)&gt;5,0,IF(COUNTIF($B$13:$B$63,$B19)&gt;1,0,7)),7)+IF(B19&lt;&gt;0,0,IF(AV19&gt;0,0.000001,0))</f>
        <v/>
      </c>
      <c r="B19" s="52" t="inlineStr">
        <is>
          <t>Nataliia</t>
        </is>
      </c>
      <c r="C19" s="48">
        <f>IFERROR(IF($B19="","",VLOOKUP($B19,Medewerker!$C$8:$AI$107,33,FALSE)),"?")</f>
        <v/>
      </c>
      <c r="D19" s="879">
        <f t="array" ref="D19">IFERROR(IF(LEFT(INDEX($F19:$AQ19,1,SUM(SMALL(IF($F19:$AQ19&lt;&gt;"",COLUMN($F19:$AQ19)),1)-5)),1)="x",SUM(SMALL(IF($F19:$AQ19&lt;&gt;"",$F$11:$AQ$11),1)+"0:15"),SMALL(IF($F19:$AQ19&lt;&gt;"",$F$11:$AQ$11),1)),"")</f>
        <v/>
      </c>
      <c r="E19" s="879">
        <f t="array" ref="E19">IFERROR(IF(LEFT(INDEX($F19:$AQ19,1,SUM(LARGE(IF($F19:$AQ19&lt;&gt;"",COLUMN($F19:$AQ19)),1)-5)),1)="x",SUM(LARGE(IF($F19:$AQ19&lt;&gt;"",$F$11:$AQ$11+"0:30:00"),1)-"0:15"),LARGE(IF($F19:$AQ19&lt;&gt;"",$F$11:$AQ$11+"0:30:00"),1)),"")</f>
        <v/>
      </c>
      <c r="F19" s="40" t="n"/>
      <c r="G19" s="41" t="n"/>
      <c r="H19" s="40" t="n"/>
      <c r="I19" s="41" t="n"/>
      <c r="J19" s="40" t="inlineStr">
        <is>
          <t>km</t>
        </is>
      </c>
      <c r="K19" s="42" t="inlineStr">
        <is>
          <t>km</t>
        </is>
      </c>
      <c r="L19" s="43" t="inlineStr">
        <is>
          <t>km</t>
        </is>
      </c>
      <c r="M19" s="41" t="inlineStr">
        <is>
          <t>km</t>
        </is>
      </c>
      <c r="N19" s="40" t="inlineStr">
        <is>
          <t>km</t>
        </is>
      </c>
      <c r="O19" s="42" t="inlineStr">
        <is>
          <t>p</t>
        </is>
      </c>
      <c r="P19" s="43" t="inlineStr">
        <is>
          <t>km</t>
        </is>
      </c>
      <c r="Q19" s="41" t="inlineStr">
        <is>
          <t>km</t>
        </is>
      </c>
      <c r="R19" s="40" t="inlineStr">
        <is>
          <t>km</t>
        </is>
      </c>
      <c r="S19" s="42" t="inlineStr">
        <is>
          <t>km</t>
        </is>
      </c>
      <c r="T19" s="43" t="inlineStr">
        <is>
          <t>km</t>
        </is>
      </c>
      <c r="U19" s="41" t="inlineStr">
        <is>
          <t>km</t>
        </is>
      </c>
      <c r="V19" s="40" t="inlineStr">
        <is>
          <t>km</t>
        </is>
      </c>
      <c r="W19" s="42" t="inlineStr">
        <is>
          <t>km</t>
        </is>
      </c>
      <c r="X19" s="43" t="inlineStr">
        <is>
          <t>km</t>
        </is>
      </c>
      <c r="Y19" s="41" t="n"/>
      <c r="Z19" s="40" t="n"/>
      <c r="AA19" s="42" t="n"/>
      <c r="AB19" s="43" t="n"/>
      <c r="AC19" s="41" t="n"/>
      <c r="AD19" s="40" t="n"/>
      <c r="AE19" s="42" t="n"/>
      <c r="AF19" s="43" t="n"/>
      <c r="AG19" s="41" t="n"/>
      <c r="AH19" s="40" t="n"/>
      <c r="AI19" s="42" t="n"/>
      <c r="AJ19" s="43" t="n"/>
      <c r="AK19" s="41" t="n"/>
      <c r="AL19" s="40" t="n"/>
      <c r="AM19" s="41" t="n"/>
      <c r="AN19" s="645" t="n"/>
      <c r="AO19" s="42" t="n"/>
      <c r="AP19" s="40" t="n"/>
      <c r="AQ19" s="41" t="n"/>
      <c r="AR19" s="888">
        <f>IFERROR(IF(VLOOKUP($B19,Medewerker!$C$8:$AG$107,31,FALSE)="",VLOOKUP($B19,Medewerker!$C$8:$AG$107,29,FALSE),0),0)</f>
        <v/>
      </c>
      <c r="AS19" s="889">
        <f>IFERROR(IF(B19="",1,IF(VLOOKUP($B19,Medewerker!$C$8:$AG$107,31,FALSE)="",VLOOKUP($B19,Medewerker!$C$8:$AG$107,30,FALSE),0)),0)</f>
        <v/>
      </c>
      <c r="AT19" s="30" t="n"/>
      <c r="AU19" s="30">
        <f>(COUNTIF(F19:AQ19,"afw"))/2</f>
        <v/>
      </c>
      <c r="AV19" s="111">
        <f>((38-(COUNTIF(F19:AQ19,"")))/2)-(COUNTIF(F19:AQ19,"p")/2)-(COUNTIF(F19:AQ19,CONCATENATE("x","*"))/4)</f>
        <v/>
      </c>
      <c r="AW19" s="73">
        <f>IF($B19="","",VLOOKUP($B19,Medewerker!$C$8:$E$107,3,FALSE))</f>
        <v/>
      </c>
      <c r="AX19" s="403">
        <f>IFERROR(VLOOKUP($B19,Planning!$B$6:$AG$105,32,FALSE)*24,"")</f>
        <v/>
      </c>
      <c r="AY19" s="406" t="inlineStr">
        <is>
          <t>nv</t>
        </is>
      </c>
      <c r="AZ19" s="166" t="inlineStr">
        <is>
          <t>Navulling Vers</t>
        </is>
      </c>
      <c r="BA19" s="111">
        <f>COUNTIF($F$13:$AQ$63,CONCATENATE(AY19,"*"))/2+COUNTIF($F$13:$AQ$63,CONCATENATE("x",AY19,"*"))/4</f>
        <v/>
      </c>
      <c r="BB19" s="838" t="n"/>
      <c r="BC19" s="31">
        <f>IF(Planning!B12="","",Planning!B12)</f>
        <v/>
      </c>
      <c r="BD19" s="105" t="n"/>
      <c r="BE19" s="885">
        <f>Planning!E12</f>
        <v/>
      </c>
      <c r="BF19" s="885">
        <f>Planning!F12</f>
        <v/>
      </c>
      <c r="BG19" s="886" t="n"/>
      <c r="BH19" s="105" t="n"/>
      <c r="BI19" s="885">
        <f>Planning!I12</f>
        <v/>
      </c>
      <c r="BJ19" s="885">
        <f>Planning!J12</f>
        <v/>
      </c>
      <c r="BK19" s="886" t="n"/>
      <c r="BL19" s="105" t="n"/>
      <c r="BM19" s="885">
        <f>Planning!M12</f>
        <v/>
      </c>
      <c r="BN19" s="885">
        <f>Planning!N12</f>
        <v/>
      </c>
      <c r="BO19" s="886" t="n"/>
      <c r="BP19" s="105" t="n"/>
      <c r="BQ19" s="885">
        <f>Planning!Q12</f>
        <v/>
      </c>
      <c r="BR19" s="885">
        <f>Planning!R12</f>
        <v/>
      </c>
      <c r="BS19" s="886" t="n"/>
      <c r="BT19" s="105" t="n"/>
      <c r="BU19" s="885">
        <f>Planning!U12</f>
        <v/>
      </c>
      <c r="BV19" s="885">
        <f>Planning!V12</f>
        <v/>
      </c>
      <c r="BW19" s="886" t="n"/>
      <c r="BX19" s="105" t="n"/>
      <c r="BY19" s="885">
        <f>Planning!Y12</f>
        <v/>
      </c>
      <c r="BZ19" s="885">
        <f>Planning!Z12</f>
        <v/>
      </c>
      <c r="CA19" s="886" t="n"/>
      <c r="CB19" s="105" t="n"/>
      <c r="CC19" s="885">
        <f>Planning!AC12</f>
        <v/>
      </c>
      <c r="CD19" s="885">
        <f>Planning!AD12</f>
        <v/>
      </c>
      <c r="CE19" s="886" t="n"/>
      <c r="CF19" s="105" t="n"/>
      <c r="CG19" s="887">
        <f>Planning!AG12</f>
        <v/>
      </c>
      <c r="CH19" s="105" t="n"/>
      <c r="CI19" s="252">
        <f>IF(BC19="","",Planning!AI12)</f>
        <v/>
      </c>
      <c r="CJ19" s="252">
        <f>IF(BC19="","",Planning!AJ12)</f>
        <v/>
      </c>
      <c r="CK19" s="252">
        <f>IF(BC19="","",Planning!AK12)</f>
        <v/>
      </c>
      <c r="CL19" s="252">
        <f>IF(BC19="","",Planning!AH12)</f>
        <v/>
      </c>
      <c r="CM19" s="21" t="n"/>
    </row>
    <row r="20" ht="12.75" customHeight="1">
      <c r="A20" s="161">
        <f>IFERROR(IF(VLOOKUP($B20,$BC$13:$CL$86,36,FALSE)&gt;5,0,IF(COUNTIF($B$13:$B$63,$B20)&gt;1,0,8)),8)+IF(B20&lt;&gt;0,0,IF(AV20&gt;0,0.000001,0))</f>
        <v/>
      </c>
      <c r="B20" s="52" t="n"/>
      <c r="C20" s="48">
        <f>IFERROR(IF($B20="","",VLOOKUP($B20,Medewerker!$C$8:$AI$107,33,FALSE)),"?")</f>
        <v/>
      </c>
      <c r="D20" s="879">
        <f t="array" ref="D20">IFERROR(IF(LEFT(INDEX($F20:$AQ20,1,SUM(SMALL(IF($F20:$AQ20&lt;&gt;"",COLUMN($F20:$AQ20)),1)-5)),1)="x",SUM(SMALL(IF($F20:$AQ20&lt;&gt;"",$F$11:$AQ$11),1)+"0:15"),SMALL(IF($F20:$AQ20&lt;&gt;"",$F$11:$AQ$11),1)),"")</f>
        <v/>
      </c>
      <c r="E20" s="879">
        <f t="array" ref="E20">IFERROR(IF(LEFT(INDEX($F20:$AQ20,1,SUM(LARGE(IF($F20:$AQ20&lt;&gt;"",COLUMN($F20:$AQ20)),1)-5)),1)="x",SUM(LARGE(IF($F20:$AQ20&lt;&gt;"",$F$11:$AQ$11+"0:30:00"),1)-"0:15"),LARGE(IF($F20:$AQ20&lt;&gt;"",$F$11:$AQ$11+"0:30:00"),1)),"")</f>
        <v/>
      </c>
      <c r="F20" s="40" t="n"/>
      <c r="G20" s="41" t="n"/>
      <c r="H20" s="40" t="n"/>
      <c r="I20" s="41" t="n"/>
      <c r="J20" s="40" t="n"/>
      <c r="K20" s="42" t="n"/>
      <c r="L20" s="43" t="n"/>
      <c r="M20" s="41" t="n"/>
      <c r="N20" s="40" t="n"/>
      <c r="O20" s="42" t="n"/>
      <c r="P20" s="43" t="n"/>
      <c r="Q20" s="41" t="n"/>
      <c r="R20" s="40" t="n"/>
      <c r="S20" s="42" t="n"/>
      <c r="T20" s="43" t="n"/>
      <c r="U20" s="41" t="n"/>
      <c r="V20" s="40" t="n"/>
      <c r="W20" s="42" t="n"/>
      <c r="X20" s="43" t="n"/>
      <c r="Y20" s="41" t="n"/>
      <c r="Z20" s="40" t="n"/>
      <c r="AA20" s="42" t="n"/>
      <c r="AB20" s="43" t="n"/>
      <c r="AC20" s="41" t="n"/>
      <c r="AD20" s="40" t="n"/>
      <c r="AE20" s="42" t="n"/>
      <c r="AF20" s="43" t="n"/>
      <c r="AG20" s="41" t="n"/>
      <c r="AH20" s="40" t="n"/>
      <c r="AI20" s="42" t="n"/>
      <c r="AJ20" s="43" t="n"/>
      <c r="AK20" s="41" t="n"/>
      <c r="AL20" s="40" t="n"/>
      <c r="AM20" s="41" t="n"/>
      <c r="AN20" s="645" t="n"/>
      <c r="AO20" s="42" t="n"/>
      <c r="AP20" s="40" t="n"/>
      <c r="AQ20" s="41" t="n"/>
      <c r="AR20" s="888">
        <f>IFERROR(IF(VLOOKUP($B20,Medewerker!$C$8:$AG$107,31,FALSE)="",VLOOKUP($B20,Medewerker!$C$8:$AG$107,29,FALSE),0),0)</f>
        <v/>
      </c>
      <c r="AS20" s="889">
        <f>IFERROR(IF(B20="",1,IF(VLOOKUP($B20,Medewerker!$C$8:$AG$107,31,FALSE)="",VLOOKUP($B20,Medewerker!$C$8:$AG$107,30,FALSE),0)),0)</f>
        <v/>
      </c>
      <c r="AT20" s="30" t="n"/>
      <c r="AU20" s="30">
        <f>(COUNTIF(F20:AQ20,"afw"))/2</f>
        <v/>
      </c>
      <c r="AV20" s="111">
        <f>((38-(COUNTIF(F20:AQ20,"")))/2)-(COUNTIF(F20:AQ20,"p")/2)-(COUNTIF(F20:AQ20,CONCATENATE("x","*"))/4)</f>
        <v/>
      </c>
      <c r="AW20" s="73">
        <f>IF($B20="","",VLOOKUP($B20,Medewerker!$C$8:$E$107,3,FALSE))</f>
        <v/>
      </c>
      <c r="AX20" s="403">
        <f>IFERROR(VLOOKUP($B20,Planning!$B$6:$AG$105,32,FALSE)*24,"")</f>
        <v/>
      </c>
      <c r="AY20" s="406" t="inlineStr">
        <is>
          <t>rh</t>
        </is>
      </c>
      <c r="AZ20" s="166" t="inlineStr">
        <is>
          <t>Restant HB</t>
        </is>
      </c>
      <c r="BA20" s="111">
        <f>COUNTIF($F$13:$AQ$63,CONCATENATE(AY20,"*"))/2+COUNTIF($F$13:$AQ$63,CONCATENATE("x",AY20,"*"))/4</f>
        <v/>
      </c>
      <c r="BB20" s="838" t="n"/>
      <c r="BC20" s="31">
        <f>IF(Planning!B13="","",Planning!B13)</f>
        <v/>
      </c>
      <c r="BD20" s="105" t="n"/>
      <c r="BE20" s="885">
        <f>Planning!E13</f>
        <v/>
      </c>
      <c r="BF20" s="885">
        <f>Planning!F13</f>
        <v/>
      </c>
      <c r="BG20" s="886" t="n"/>
      <c r="BH20" s="105" t="n"/>
      <c r="BI20" s="885">
        <f>Planning!I13</f>
        <v/>
      </c>
      <c r="BJ20" s="885">
        <f>Planning!J13</f>
        <v/>
      </c>
      <c r="BK20" s="886" t="n"/>
      <c r="BL20" s="105" t="n"/>
      <c r="BM20" s="885">
        <f>Planning!M13</f>
        <v/>
      </c>
      <c r="BN20" s="885">
        <f>Planning!N13</f>
        <v/>
      </c>
      <c r="BO20" s="886" t="n"/>
      <c r="BP20" s="105" t="n"/>
      <c r="BQ20" s="885">
        <f>Planning!Q13</f>
        <v/>
      </c>
      <c r="BR20" s="885">
        <f>Planning!R13</f>
        <v/>
      </c>
      <c r="BS20" s="886" t="n"/>
      <c r="BT20" s="105" t="n"/>
      <c r="BU20" s="885">
        <f>Planning!U13</f>
        <v/>
      </c>
      <c r="BV20" s="885">
        <f>Planning!V13</f>
        <v/>
      </c>
      <c r="BW20" s="886" t="n"/>
      <c r="BX20" s="105" t="n"/>
      <c r="BY20" s="885">
        <f>Planning!Y13</f>
        <v/>
      </c>
      <c r="BZ20" s="885">
        <f>Planning!Z13</f>
        <v/>
      </c>
      <c r="CA20" s="886" t="n"/>
      <c r="CB20" s="105" t="n"/>
      <c r="CC20" s="885">
        <f>Planning!AC13</f>
        <v/>
      </c>
      <c r="CD20" s="885">
        <f>Planning!AD13</f>
        <v/>
      </c>
      <c r="CE20" s="886" t="n"/>
      <c r="CF20" s="105" t="n"/>
      <c r="CG20" s="887">
        <f>Planning!AG13</f>
        <v/>
      </c>
      <c r="CH20" s="105" t="n"/>
      <c r="CI20" s="252">
        <f>IF(BC20="","",Planning!AI13)</f>
        <v/>
      </c>
      <c r="CJ20" s="252">
        <f>IF(BC20="","",Planning!AJ13)</f>
        <v/>
      </c>
      <c r="CK20" s="252">
        <f>IF(BC20="","",Planning!AK13)</f>
        <v/>
      </c>
      <c r="CL20" s="252">
        <f>IF(BC20="","",Planning!AH13)</f>
        <v/>
      </c>
      <c r="CM20" s="21" t="n"/>
    </row>
    <row r="21" ht="12.75" customHeight="1">
      <c r="A21" s="161">
        <f>IFERROR(IF(VLOOKUP($B21,$BC$13:$CL$86,36,FALSE)&gt;5,0,IF(COUNTIF($B$13:$B$63,$B21)&gt;1,0,9)),9)+IF(B21&lt;&gt;0,0,IF(AV21&gt;0,0.000001,0))</f>
        <v/>
      </c>
      <c r="B21" s="52" t="inlineStr">
        <is>
          <t>Natacha Reugemeuter</t>
        </is>
      </c>
      <c r="C21" s="48">
        <f>IFERROR(IF($B21="","",VLOOKUP($B21,Medewerker!$C$8:$AI$107,33,FALSE)),"?")</f>
        <v/>
      </c>
      <c r="D21" s="879">
        <f t="array" ref="D21">IFERROR(IF(LEFT(INDEX($F21:$AQ21,1,SUM(SMALL(IF($F21:$AQ21&lt;&gt;"",COLUMN($F21:$AQ21)),1)-5)),1)="x",SUM(SMALL(IF($F21:$AQ21&lt;&gt;"",$F$11:$AQ$11),1)+"0:15"),SMALL(IF($F21:$AQ21&lt;&gt;"",$F$11:$AQ$11),1)),"")</f>
        <v/>
      </c>
      <c r="E21" s="879">
        <f t="array" ref="E21">IFERROR(IF(LEFT(INDEX($F21:$AQ21,1,SUM(LARGE(IF($F21:$AQ21&lt;&gt;"",COLUMN($F21:$AQ21)),1)-5)),1)="x",SUM(LARGE(IF($F21:$AQ21&lt;&gt;"",$F$11:$AQ$11+"0:30:00"),1)-"0:15"),LARGE(IF($F21:$AQ21&lt;&gt;"",$F$11:$AQ$11+"0:30:00"),1)),"")</f>
        <v/>
      </c>
      <c r="F21" s="40" t="n"/>
      <c r="G21" s="41" t="n"/>
      <c r="H21" s="40" t="n"/>
      <c r="I21" s="41" t="n"/>
      <c r="J21" s="40" t="n"/>
      <c r="K21" s="42" t="n"/>
      <c r="L21" s="43" t="n"/>
      <c r="M21" s="41" t="n"/>
      <c r="N21" s="40" t="n"/>
      <c r="O21" s="42" t="inlineStr">
        <is>
          <t>hv</t>
        </is>
      </c>
      <c r="P21" s="43" t="inlineStr">
        <is>
          <t>hv</t>
        </is>
      </c>
      <c r="Q21" s="43" t="inlineStr">
        <is>
          <t>hv</t>
        </is>
      </c>
      <c r="R21" s="43" t="inlineStr">
        <is>
          <t>hv</t>
        </is>
      </c>
      <c r="S21" s="43" t="inlineStr">
        <is>
          <t>hv</t>
        </is>
      </c>
      <c r="T21" s="43" t="inlineStr">
        <is>
          <t>hv</t>
        </is>
      </c>
      <c r="U21" s="43" t="inlineStr">
        <is>
          <t>hv</t>
        </is>
      </c>
      <c r="V21" s="43" t="inlineStr">
        <is>
          <t>hv</t>
        </is>
      </c>
      <c r="W21" s="42" t="inlineStr">
        <is>
          <t>hv</t>
        </is>
      </c>
      <c r="X21" s="43" t="inlineStr">
        <is>
          <t>hv</t>
        </is>
      </c>
      <c r="Y21" s="41" t="n"/>
      <c r="Z21" s="40" t="n"/>
      <c r="AA21" s="42" t="n"/>
      <c r="AB21" s="43" t="n"/>
      <c r="AC21" s="41" t="n"/>
      <c r="AD21" s="40" t="n"/>
      <c r="AE21" s="42" t="n"/>
      <c r="AF21" s="43" t="n"/>
      <c r="AG21" s="41" t="n"/>
      <c r="AH21" s="40" t="n"/>
      <c r="AI21" s="42" t="n"/>
      <c r="AJ21" s="43" t="n"/>
      <c r="AK21" s="41" t="n"/>
      <c r="AL21" s="40" t="n"/>
      <c r="AM21" s="41" t="n"/>
      <c r="AN21" s="645" t="n"/>
      <c r="AO21" s="42" t="n"/>
      <c r="AP21" s="40" t="n"/>
      <c r="AQ21" s="41" t="n"/>
      <c r="AR21" s="888">
        <f>IFERROR(IF(VLOOKUP($B21,Medewerker!$C$8:$AG$107,31,FALSE)="",VLOOKUP($B21,Medewerker!$C$8:$AG$107,29,FALSE),0),0)</f>
        <v/>
      </c>
      <c r="AS21" s="889">
        <f>IFERROR(IF(B21="",1,IF(VLOOKUP($B21,Medewerker!$C$8:$AG$107,31,FALSE)="",VLOOKUP($B21,Medewerker!$C$8:$AG$107,30,FALSE),0)),0)</f>
        <v/>
      </c>
      <c r="AT21" s="30" t="n"/>
      <c r="AU21" s="30">
        <f>(COUNTIF(F21:AQ21,"afw"))/2</f>
        <v/>
      </c>
      <c r="AV21" s="111">
        <f>((38-(COUNTIF(F21:AQ21,"")))/2)-(COUNTIF(F21:AQ21,"p")/2)-(COUNTIF(F21:AQ21,CONCATENATE("x","*"))/4)</f>
        <v/>
      </c>
      <c r="AW21" s="73">
        <f>IF($B21="","",VLOOKUP($B21,Medewerker!$C$8:$E$107,3,FALSE))</f>
        <v/>
      </c>
      <c r="AX21" s="403">
        <f>IFERROR(VLOOKUP($B21,Planning!$B$6:$AG$105,32,FALSE)*24,"")</f>
        <v/>
      </c>
      <c r="AY21" s="406" t="inlineStr">
        <is>
          <t>rd</t>
        </is>
      </c>
      <c r="AZ21" s="166" t="inlineStr">
        <is>
          <t>Restant DV</t>
        </is>
      </c>
      <c r="BA21" s="111">
        <f>COUNTIF($F$13:$AQ$63,CONCATENATE(AY21,"*"))/2+COUNTIF($F$13:$AQ$63,CONCATENATE("x",AY21,"*"))/4</f>
        <v/>
      </c>
      <c r="BB21" s="838" t="n"/>
      <c r="BC21" s="31">
        <f>IF(Planning!B14="","",Planning!B14)</f>
        <v/>
      </c>
      <c r="BD21" s="105" t="n"/>
      <c r="BE21" s="885">
        <f>Planning!E14</f>
        <v/>
      </c>
      <c r="BF21" s="885">
        <f>Planning!F14</f>
        <v/>
      </c>
      <c r="BG21" s="886" t="n"/>
      <c r="BH21" s="105" t="n"/>
      <c r="BI21" s="885">
        <f>Planning!I14</f>
        <v/>
      </c>
      <c r="BJ21" s="885">
        <f>Planning!J14</f>
        <v/>
      </c>
      <c r="BK21" s="886" t="n"/>
      <c r="BL21" s="105" t="n"/>
      <c r="BM21" s="885">
        <f>Planning!M14</f>
        <v/>
      </c>
      <c r="BN21" s="885">
        <f>Planning!N14</f>
        <v/>
      </c>
      <c r="BO21" s="886" t="n"/>
      <c r="BP21" s="105" t="n"/>
      <c r="BQ21" s="885">
        <f>Planning!Q14</f>
        <v/>
      </c>
      <c r="BR21" s="885">
        <f>Planning!R14</f>
        <v/>
      </c>
      <c r="BS21" s="886" t="n"/>
      <c r="BT21" s="105" t="n"/>
      <c r="BU21" s="885">
        <f>Planning!U14</f>
        <v/>
      </c>
      <c r="BV21" s="885">
        <f>Planning!V14</f>
        <v/>
      </c>
      <c r="BW21" s="886" t="n"/>
      <c r="BX21" s="105" t="n"/>
      <c r="BY21" s="885">
        <f>Planning!Y14</f>
        <v/>
      </c>
      <c r="BZ21" s="885">
        <f>Planning!Z14</f>
        <v/>
      </c>
      <c r="CA21" s="886" t="n"/>
      <c r="CB21" s="105" t="n"/>
      <c r="CC21" s="885">
        <f>Planning!AC14</f>
        <v/>
      </c>
      <c r="CD21" s="885">
        <f>Planning!AD14</f>
        <v/>
      </c>
      <c r="CE21" s="886" t="n"/>
      <c r="CF21" s="105" t="n"/>
      <c r="CG21" s="887">
        <f>Planning!AG14</f>
        <v/>
      </c>
      <c r="CH21" s="105" t="n"/>
      <c r="CI21" s="252">
        <f>IF(BC21="","",Planning!AI14)</f>
        <v/>
      </c>
      <c r="CJ21" s="252">
        <f>IF(BC21="","",Planning!AJ14)</f>
        <v/>
      </c>
      <c r="CK21" s="252">
        <f>IF(BC21="","",Planning!AK14)</f>
        <v/>
      </c>
      <c r="CL21" s="252">
        <f>IF(BC21="","",Planning!AH14)</f>
        <v/>
      </c>
      <c r="CM21" s="34" t="n"/>
    </row>
    <row r="22" ht="12.75" customHeight="1">
      <c r="A22" s="161">
        <f>IFERROR(IF(VLOOKUP($B22,$BC$13:$CL$86,36,FALSE)&gt;5,0,IF(COUNTIF($B$13:$B$63,$B22)&gt;1,0,10)),10)+IF(B22&lt;&gt;0,0,IF(AV22&gt;0,0.000001,0))</f>
        <v/>
      </c>
      <c r="B22" s="126" t="inlineStr">
        <is>
          <t>Oemaima</t>
        </is>
      </c>
      <c r="C22" s="48">
        <f>IFERROR(IF($B22="","",VLOOKUP($B22,Medewerker!$C$8:$AI$107,33,FALSE)),"?")</f>
        <v/>
      </c>
      <c r="D22" s="879">
        <f t="array" ref="D22">IFERROR(IF(LEFT(INDEX($F22:$AQ22,1,SUM(SMALL(IF($F22:$AQ22&lt;&gt;"",COLUMN($F22:$AQ22)),1)-5)),1)="x",SUM(SMALL(IF($F22:$AQ22&lt;&gt;"",$F$11:$AQ$11),1)+"0:15"),SMALL(IF($F22:$AQ22&lt;&gt;"",$F$11:$AQ$11),1)),"")</f>
        <v/>
      </c>
      <c r="E22" s="879">
        <f t="array" ref="E22">IFERROR(IF(LEFT(INDEX($F22:$AQ22,1,SUM(LARGE(IF($F22:$AQ22&lt;&gt;"",COLUMN($F22:$AQ22)),1)-5)),1)="x",SUM(LARGE(IF($F22:$AQ22&lt;&gt;"",$F$11:$AQ$11+"0:30:00"),1)-"0:15"),LARGE(IF($F22:$AQ22&lt;&gt;"",$F$11:$AQ$11+"0:30:00"),1)),"")</f>
        <v/>
      </c>
      <c r="F22" s="40" t="n"/>
      <c r="G22" s="41" t="n"/>
      <c r="H22" s="40" t="n"/>
      <c r="I22" s="41" t="n"/>
      <c r="J22" s="40" t="n"/>
      <c r="K22" s="42" t="n"/>
      <c r="L22" s="43" t="n"/>
      <c r="M22" s="41" t="n"/>
      <c r="N22" s="40" t="n"/>
      <c r="O22" s="42" t="inlineStr">
        <is>
          <t>hv</t>
        </is>
      </c>
      <c r="P22" s="43" t="inlineStr">
        <is>
          <t>hv</t>
        </is>
      </c>
      <c r="Q22" s="41" t="inlineStr">
        <is>
          <t>hv</t>
        </is>
      </c>
      <c r="R22" s="40" t="inlineStr">
        <is>
          <t>hv</t>
        </is>
      </c>
      <c r="S22" s="42" t="inlineStr">
        <is>
          <t>hv</t>
        </is>
      </c>
      <c r="T22" s="43" t="inlineStr">
        <is>
          <t>hv</t>
        </is>
      </c>
      <c r="U22" s="41" t="inlineStr">
        <is>
          <t>hv</t>
        </is>
      </c>
      <c r="V22" s="40" t="inlineStr">
        <is>
          <t>hv</t>
        </is>
      </c>
      <c r="W22" s="42" t="inlineStr">
        <is>
          <t>hv</t>
        </is>
      </c>
      <c r="X22" s="43" t="inlineStr">
        <is>
          <t>hv</t>
        </is>
      </c>
      <c r="Y22" s="41" t="n"/>
      <c r="Z22" s="40" t="n"/>
      <c r="AA22" s="42" t="n"/>
      <c r="AB22" s="43" t="n"/>
      <c r="AC22" s="41" t="n"/>
      <c r="AD22" s="40" t="n"/>
      <c r="AE22" s="42" t="n"/>
      <c r="AF22" s="43" t="n"/>
      <c r="AG22" s="41" t="n"/>
      <c r="AH22" s="40" t="n"/>
      <c r="AI22" s="42" t="n"/>
      <c r="AJ22" s="43" t="n"/>
      <c r="AK22" s="41" t="n"/>
      <c r="AL22" s="40" t="n"/>
      <c r="AM22" s="41" t="n"/>
      <c r="AN22" s="645" t="n"/>
      <c r="AO22" s="42" t="n"/>
      <c r="AP22" s="40" t="n"/>
      <c r="AQ22" s="41" t="n"/>
      <c r="AR22" s="888">
        <f>IFERROR(IF(VLOOKUP($B22,Medewerker!$C$8:$AG$107,31,FALSE)="",VLOOKUP($B22,Medewerker!$C$8:$AG$107,29,FALSE),0),0)</f>
        <v/>
      </c>
      <c r="AS22" s="889">
        <f>IFERROR(IF(B22="",1,IF(VLOOKUP($B22,Medewerker!$C$8:$AG$107,31,FALSE)="",VLOOKUP($B22,Medewerker!$C$8:$AG$107,30,FALSE),0)),0)</f>
        <v/>
      </c>
      <c r="AT22" s="30" t="n"/>
      <c r="AU22" s="30">
        <f>(COUNTIF(F22:AQ22,"afw"))/2</f>
        <v/>
      </c>
      <c r="AV22" s="111">
        <f>((38-(COUNTIF(F22:AQ22,"")))/2)-(COUNTIF(F22:AQ22,"p")/2)-(COUNTIF(F22:AQ22,CONCATENATE("x","*"))/4)</f>
        <v/>
      </c>
      <c r="AW22" s="73">
        <f>IF($B22="","",VLOOKUP($B22,Medewerker!$C$8:$E$107,3,FALSE))</f>
        <v/>
      </c>
      <c r="AX22" s="403">
        <f>IFERROR(VLOOKUP($B22,Planning!$B$6:$AG$105,32,FALSE)*24,"")</f>
        <v/>
      </c>
      <c r="AY22" s="406" t="inlineStr">
        <is>
          <t>rv</t>
        </is>
      </c>
      <c r="AZ22" s="166" t="inlineStr">
        <is>
          <t>Restant Vers</t>
        </is>
      </c>
      <c r="BA22" s="111">
        <f>COUNTIF($F$13:$AQ$63,CONCATENATE(AY22,"*"))/2+COUNTIF($F$13:$AQ$63,CONCATENATE("x",AY22,"*"))/4</f>
        <v/>
      </c>
      <c r="BB22" s="838" t="n"/>
      <c r="BC22" s="31">
        <f>IF(Planning!B15="","",Planning!B15)</f>
        <v/>
      </c>
      <c r="BD22" s="105" t="n"/>
      <c r="BE22" s="885">
        <f>Planning!E15</f>
        <v/>
      </c>
      <c r="BF22" s="885">
        <f>Planning!F15</f>
        <v/>
      </c>
      <c r="BG22" s="886" t="n"/>
      <c r="BH22" s="105" t="n"/>
      <c r="BI22" s="885">
        <f>Planning!I15</f>
        <v/>
      </c>
      <c r="BJ22" s="885">
        <f>Planning!J15</f>
        <v/>
      </c>
      <c r="BK22" s="886" t="n"/>
      <c r="BL22" s="105" t="n"/>
      <c r="BM22" s="885">
        <f>Planning!M15</f>
        <v/>
      </c>
      <c r="BN22" s="885">
        <f>Planning!N15</f>
        <v/>
      </c>
      <c r="BO22" s="886" t="n"/>
      <c r="BP22" s="105" t="n"/>
      <c r="BQ22" s="885">
        <f>Planning!Q15</f>
        <v/>
      </c>
      <c r="BR22" s="885">
        <f>Planning!R15</f>
        <v/>
      </c>
      <c r="BS22" s="886" t="n"/>
      <c r="BT22" s="105" t="n"/>
      <c r="BU22" s="885">
        <f>Planning!U15</f>
        <v/>
      </c>
      <c r="BV22" s="885">
        <f>Planning!V15</f>
        <v/>
      </c>
      <c r="BW22" s="886" t="n"/>
      <c r="BX22" s="105" t="n"/>
      <c r="BY22" s="885">
        <f>Planning!Y15</f>
        <v/>
      </c>
      <c r="BZ22" s="885">
        <f>Planning!Z15</f>
        <v/>
      </c>
      <c r="CA22" s="886" t="n"/>
      <c r="CB22" s="105" t="n"/>
      <c r="CC22" s="885">
        <f>Planning!AC15</f>
        <v/>
      </c>
      <c r="CD22" s="885">
        <f>Planning!AD15</f>
        <v/>
      </c>
      <c r="CE22" s="886" t="n"/>
      <c r="CF22" s="105" t="n"/>
      <c r="CG22" s="887">
        <f>Planning!AG15</f>
        <v/>
      </c>
      <c r="CH22" s="105" t="n"/>
      <c r="CI22" s="252">
        <f>IF(BC22="","",Planning!AI15)</f>
        <v/>
      </c>
      <c r="CJ22" s="252">
        <f>IF(BC22="","",Planning!AJ15)</f>
        <v/>
      </c>
      <c r="CK22" s="252">
        <f>IF(BC22="","",Planning!AK15)</f>
        <v/>
      </c>
      <c r="CL22" s="252">
        <f>IF(BC22="","",Planning!AH15)</f>
        <v/>
      </c>
      <c r="CM22" s="21" t="n"/>
    </row>
    <row r="23" ht="12.75" customHeight="1">
      <c r="A23" s="161">
        <f>IFERROR(IF(VLOOKUP($B23,$BC$13:$CL$86,36,FALSE)&gt;5,0,IF(COUNTIF($B$13:$B$63,$B23)&gt;1,0,11)),11)+IF(B23&lt;&gt;0,0,IF(AV23&gt;0,0.000001,0))</f>
        <v/>
      </c>
      <c r="B23" s="126" t="inlineStr">
        <is>
          <t>Yoselin</t>
        </is>
      </c>
      <c r="C23" s="48">
        <f>IFERROR(IF($B23="","",VLOOKUP($B23,Medewerker!$C$8:$AI$107,33,FALSE)),"?")</f>
        <v/>
      </c>
      <c r="D23" s="879">
        <f t="array" ref="D23">IFERROR(IF(LEFT(INDEX($F23:$AQ23,1,SUM(SMALL(IF($F23:$AQ23&lt;&gt;"",COLUMN($F23:$AQ23)),1)-5)),1)="x",SUM(SMALL(IF($F23:$AQ23&lt;&gt;"",$F$11:$AQ$11),1)+"0:15"),SMALL(IF($F23:$AQ23&lt;&gt;"",$F$11:$AQ$11),1)),"")</f>
        <v/>
      </c>
      <c r="E23" s="879">
        <f t="array" ref="E23">IFERROR(IF(LEFT(INDEX($F23:$AQ23,1,SUM(LARGE(IF($F23:$AQ23&lt;&gt;"",COLUMN($F23:$AQ23)),1)-5)),1)="x",SUM(LARGE(IF($F23:$AQ23&lt;&gt;"",$F$11:$AQ$11+"0:30:00"),1)-"0:15"),LARGE(IF($F23:$AQ23&lt;&gt;"",$F$11:$AQ$11+"0:30:00"),1)),"")</f>
        <v/>
      </c>
      <c r="F23" s="40" t="n"/>
      <c r="G23" s="41" t="n"/>
      <c r="H23" s="40" t="n"/>
      <c r="I23" s="41" t="n"/>
      <c r="J23" s="40" t="n"/>
      <c r="K23" s="42" t="n"/>
      <c r="L23" s="43" t="n"/>
      <c r="M23" s="41" t="n"/>
      <c r="N23" s="40" t="n"/>
      <c r="O23" s="42" t="inlineStr">
        <is>
          <t>hv</t>
        </is>
      </c>
      <c r="P23" s="43" t="inlineStr">
        <is>
          <t>hv</t>
        </is>
      </c>
      <c r="Q23" s="41" t="inlineStr">
        <is>
          <t>hv</t>
        </is>
      </c>
      <c r="R23" s="40" t="inlineStr">
        <is>
          <t>hv</t>
        </is>
      </c>
      <c r="S23" s="42" t="inlineStr">
        <is>
          <t>hv</t>
        </is>
      </c>
      <c r="T23" s="43" t="inlineStr">
        <is>
          <t>hv</t>
        </is>
      </c>
      <c r="U23" s="41" t="inlineStr">
        <is>
          <t>hv</t>
        </is>
      </c>
      <c r="V23" s="40" t="inlineStr">
        <is>
          <t>hv</t>
        </is>
      </c>
      <c r="W23" s="42" t="inlineStr">
        <is>
          <t>hv</t>
        </is>
      </c>
      <c r="X23" s="43" t="inlineStr">
        <is>
          <t>hv</t>
        </is>
      </c>
      <c r="Y23" s="41" t="n"/>
      <c r="Z23" s="40" t="n"/>
      <c r="AA23" s="42" t="n"/>
      <c r="AB23" s="43" t="n"/>
      <c r="AC23" s="41" t="n"/>
      <c r="AD23" s="40" t="n"/>
      <c r="AE23" s="42" t="n"/>
      <c r="AF23" s="43" t="n"/>
      <c r="AG23" s="41" t="n"/>
      <c r="AH23" s="40" t="n"/>
      <c r="AI23" s="42" t="n"/>
      <c r="AJ23" s="43" t="n"/>
      <c r="AK23" s="41" t="n"/>
      <c r="AL23" s="40" t="n"/>
      <c r="AM23" s="41" t="n"/>
      <c r="AN23" s="645" t="n"/>
      <c r="AO23" s="42" t="n"/>
      <c r="AP23" s="40" t="n"/>
      <c r="AQ23" s="41" t="n"/>
      <c r="AR23" s="888">
        <f>IFERROR(IF(VLOOKUP($B23,Medewerker!$C$8:$AG$107,31,FALSE)="",VLOOKUP($B23,Medewerker!$C$8:$AG$107,29,FALSE),0),0)</f>
        <v/>
      </c>
      <c r="AS23" s="889">
        <f>IFERROR(IF(B23="",1,IF(VLOOKUP($B23,Medewerker!$C$8:$AG$107,31,FALSE)="",VLOOKUP($B23,Medewerker!$C$8:$AG$107,30,FALSE),0)),0)</f>
        <v/>
      </c>
      <c r="AT23" s="30" t="n"/>
      <c r="AU23" s="30">
        <f>(COUNTIF(F23:AQ23,"afw"))/2</f>
        <v/>
      </c>
      <c r="AV23" s="111">
        <f>((38-(COUNTIF(F23:AQ23,"")))/2)-(COUNTIF(F23:AQ23,"p")/2)-(COUNTIF(F23:AQ23,CONCATENATE("x","*"))/4)</f>
        <v/>
      </c>
      <c r="AW23" s="73">
        <f>IF($B23="","",VLOOKUP($B23,Medewerker!$C$8:$E$107,3,FALSE))</f>
        <v/>
      </c>
      <c r="AX23" s="403">
        <f>IFERROR(VLOOKUP($B23,Planning!$B$6:$AG$105,32,FALSE)*24,"")</f>
        <v/>
      </c>
      <c r="AY23" s="882" t="inlineStr">
        <is>
          <t>Restant/Telproces</t>
        </is>
      </c>
      <c r="AZ23" s="883" t="n"/>
      <c r="BA23" s="884" t="n"/>
      <c r="BB23" s="838" t="n"/>
      <c r="BC23" s="31">
        <f>IF(Planning!B16="","",Planning!B16)</f>
        <v/>
      </c>
      <c r="BD23" s="105" t="n"/>
      <c r="BE23" s="885">
        <f>Planning!E16</f>
        <v/>
      </c>
      <c r="BF23" s="885">
        <f>Planning!F16</f>
        <v/>
      </c>
      <c r="BG23" s="886" t="n"/>
      <c r="BH23" s="105" t="n"/>
      <c r="BI23" s="885">
        <f>Planning!I16</f>
        <v/>
      </c>
      <c r="BJ23" s="885">
        <f>Planning!J16</f>
        <v/>
      </c>
      <c r="BK23" s="886" t="n"/>
      <c r="BL23" s="105" t="n"/>
      <c r="BM23" s="885">
        <f>Planning!M16</f>
        <v/>
      </c>
      <c r="BN23" s="885">
        <f>Planning!N16</f>
        <v/>
      </c>
      <c r="BO23" s="886" t="n"/>
      <c r="BP23" s="105" t="n"/>
      <c r="BQ23" s="885">
        <f>Planning!Q16</f>
        <v/>
      </c>
      <c r="BR23" s="885">
        <f>Planning!R16</f>
        <v/>
      </c>
      <c r="BS23" s="886" t="n"/>
      <c r="BT23" s="105" t="n"/>
      <c r="BU23" s="885">
        <f>Planning!U16</f>
        <v/>
      </c>
      <c r="BV23" s="885">
        <f>Planning!V16</f>
        <v/>
      </c>
      <c r="BW23" s="886" t="n"/>
      <c r="BX23" s="105" t="n"/>
      <c r="BY23" s="885">
        <f>Planning!Y16</f>
        <v/>
      </c>
      <c r="BZ23" s="885">
        <f>Planning!Z16</f>
        <v/>
      </c>
      <c r="CA23" s="886" t="n"/>
      <c r="CB23" s="105" t="n"/>
      <c r="CC23" s="885">
        <f>Planning!AC16</f>
        <v/>
      </c>
      <c r="CD23" s="885">
        <f>Planning!AD16</f>
        <v/>
      </c>
      <c r="CE23" s="886" t="n"/>
      <c r="CF23" s="105" t="n"/>
      <c r="CG23" s="887">
        <f>Planning!AG16</f>
        <v/>
      </c>
      <c r="CH23" s="105" t="n"/>
      <c r="CI23" s="252">
        <f>IF(BC23="","",Planning!AI16)</f>
        <v/>
      </c>
      <c r="CJ23" s="252">
        <f>IF(BC23="","",Planning!AJ16)</f>
        <v/>
      </c>
      <c r="CK23" s="252">
        <f>IF(BC23="","",Planning!AK16)</f>
        <v/>
      </c>
      <c r="CL23" s="252">
        <f>IF(BC23="","",Planning!AH16)</f>
        <v/>
      </c>
      <c r="CM23" s="21" t="n"/>
    </row>
    <row r="24" ht="12.75" customHeight="1">
      <c r="A24" s="161">
        <f>IFERROR(IF(VLOOKUP($B24,$BC$13:$CL$86,36,FALSE)&gt;5,0,IF(COUNTIF($B$13:$B$63,$B24)&gt;1,0,12)),12)+IF(B24&lt;&gt;0,0,IF(AV24&gt;0,0.000001,0))</f>
        <v/>
      </c>
      <c r="B24" s="126" t="inlineStr">
        <is>
          <t>Snesjana</t>
        </is>
      </c>
      <c r="C24" s="48">
        <f>IFERROR(IF($B24="","",VLOOKUP($B24,Medewerker!$C$8:$AI$107,33,FALSE)),"?")</f>
        <v/>
      </c>
      <c r="D24" s="879">
        <f t="array" ref="D24">IFERROR(IF(LEFT(INDEX($F24:$AQ24,1,SUM(SMALL(IF($F24:$AQ24&lt;&gt;"",COLUMN($F24:$AQ24)),1)-5)),1)="x",SUM(SMALL(IF($F24:$AQ24&lt;&gt;"",$F$11:$AQ$11),1)+"0:15"),SMALL(IF($F24:$AQ24&lt;&gt;"",$F$11:$AQ$11),1)),"")</f>
        <v/>
      </c>
      <c r="E24" s="879">
        <f t="array" ref="E24">IFERROR(IF(LEFT(INDEX($F24:$AQ24,1,SUM(LARGE(IF($F24:$AQ24&lt;&gt;"",COLUMN($F24:$AQ24)),1)-5)),1)="x",SUM(LARGE(IF($F24:$AQ24&lt;&gt;"",$F$11:$AQ$11+"0:30:00"),1)-"0:15"),LARGE(IF($F24:$AQ24&lt;&gt;"",$F$11:$AQ$11+"0:30:00"),1)),"")</f>
        <v/>
      </c>
      <c r="F24" s="40" t="n"/>
      <c r="G24" s="41" t="n"/>
      <c r="H24" s="40" t="n"/>
      <c r="I24" s="41" t="n"/>
      <c r="J24" s="40" t="n"/>
      <c r="K24" s="42" t="n"/>
      <c r="L24" s="43" t="n"/>
      <c r="M24" s="41" t="n"/>
      <c r="N24" s="40" t="n"/>
      <c r="O24" s="42" t="inlineStr">
        <is>
          <t>hv</t>
        </is>
      </c>
      <c r="P24" s="43" t="inlineStr">
        <is>
          <t>hv</t>
        </is>
      </c>
      <c r="Q24" s="41" t="inlineStr">
        <is>
          <t>hv</t>
        </is>
      </c>
      <c r="R24" s="40" t="inlineStr">
        <is>
          <t>hv</t>
        </is>
      </c>
      <c r="S24" s="42" t="inlineStr">
        <is>
          <t>hv</t>
        </is>
      </c>
      <c r="T24" s="43" t="inlineStr">
        <is>
          <t>hv</t>
        </is>
      </c>
      <c r="U24" s="41" t="inlineStr">
        <is>
          <t>hv</t>
        </is>
      </c>
      <c r="V24" s="40" t="inlineStr">
        <is>
          <t>hv</t>
        </is>
      </c>
      <c r="W24" s="42" t="inlineStr">
        <is>
          <t>hv</t>
        </is>
      </c>
      <c r="X24" s="43" t="inlineStr">
        <is>
          <t>hv</t>
        </is>
      </c>
      <c r="Y24" s="41" t="n"/>
      <c r="Z24" s="40" t="n"/>
      <c r="AA24" s="42" t="n"/>
      <c r="AB24" s="43" t="n"/>
      <c r="AC24" s="41" t="n"/>
      <c r="AD24" s="40" t="n"/>
      <c r="AE24" s="42" t="n"/>
      <c r="AF24" s="43" t="n"/>
      <c r="AG24" s="41" t="n"/>
      <c r="AH24" s="40" t="n"/>
      <c r="AI24" s="42" t="n"/>
      <c r="AJ24" s="43" t="n"/>
      <c r="AK24" s="41" t="n"/>
      <c r="AL24" s="40" t="n"/>
      <c r="AM24" s="41" t="n"/>
      <c r="AN24" s="645" t="n"/>
      <c r="AO24" s="42" t="n"/>
      <c r="AP24" s="40" t="n"/>
      <c r="AQ24" s="41" t="n"/>
      <c r="AR24" s="888">
        <f>IFERROR(IF(VLOOKUP($B24,Medewerker!$C$8:$AG$107,31,FALSE)="",VLOOKUP($B24,Medewerker!$C$8:$AG$107,29,FALSE),0),0)</f>
        <v/>
      </c>
      <c r="AS24" s="889">
        <f>IFERROR(IF(B24="",1,IF(VLOOKUP($B24,Medewerker!$C$8:$AG$107,31,FALSE)="",VLOOKUP($B24,Medewerker!$C$8:$AG$107,30,FALSE),0)),0)</f>
        <v/>
      </c>
      <c r="AT24" s="30" t="n"/>
      <c r="AU24" s="30">
        <f>(COUNTIF(F24:AQ24,"afw"))/2</f>
        <v/>
      </c>
      <c r="AV24" s="111">
        <f>((38-(COUNTIF(F24:AQ24,"")))/2)-(COUNTIF(F24:AQ24,"p")/2)-(COUNTIF(F24:AQ24,CONCATENATE("x","*"))/4)</f>
        <v/>
      </c>
      <c r="AW24" s="73">
        <f>IF($B24="","",VLOOKUP($B24,Medewerker!$C$8:$E$107,3,FALSE))</f>
        <v/>
      </c>
      <c r="AX24" s="403">
        <f>IFERROR(VLOOKUP($B24,Planning!$B$6:$AG$105,32,FALSE)*24,"")</f>
        <v/>
      </c>
      <c r="AY24" s="562" t="inlineStr">
        <is>
          <t>br</t>
        </is>
      </c>
      <c r="AZ24" s="166" t="inlineStr">
        <is>
          <t>Bepalen restant</t>
        </is>
      </c>
      <c r="BA24" s="111">
        <f>COUNTIF($F$13:$AQ$63,CONCATENATE(AY24,"*"))/2+COUNTIF($F$13:$AQ$63,CONCATENATE("x",AY24,"*"))/4</f>
        <v/>
      </c>
      <c r="BB24" s="838" t="n"/>
      <c r="BC24" s="31">
        <f>IF(Planning!B17="","",Planning!B17)</f>
        <v/>
      </c>
      <c r="BD24" s="105" t="n"/>
      <c r="BE24" s="885">
        <f>Planning!E17</f>
        <v/>
      </c>
      <c r="BF24" s="885">
        <f>Planning!F17</f>
        <v/>
      </c>
      <c r="BG24" s="886" t="n"/>
      <c r="BH24" s="105" t="n"/>
      <c r="BI24" s="885">
        <f>Planning!I17</f>
        <v/>
      </c>
      <c r="BJ24" s="885">
        <f>Planning!J17</f>
        <v/>
      </c>
      <c r="BK24" s="886" t="n"/>
      <c r="BL24" s="105" t="n"/>
      <c r="BM24" s="885">
        <f>Planning!M17</f>
        <v/>
      </c>
      <c r="BN24" s="885">
        <f>Planning!N17</f>
        <v/>
      </c>
      <c r="BO24" s="886" t="n"/>
      <c r="BP24" s="105" t="n"/>
      <c r="BQ24" s="885">
        <f>Planning!Q17</f>
        <v/>
      </c>
      <c r="BR24" s="885">
        <f>Planning!R17</f>
        <v/>
      </c>
      <c r="BS24" s="886" t="n"/>
      <c r="BT24" s="105" t="n"/>
      <c r="BU24" s="885">
        <f>Planning!U17</f>
        <v/>
      </c>
      <c r="BV24" s="885">
        <f>Planning!V17</f>
        <v/>
      </c>
      <c r="BW24" s="886" t="n"/>
      <c r="BX24" s="105" t="n"/>
      <c r="BY24" s="885">
        <f>Planning!Y17</f>
        <v/>
      </c>
      <c r="BZ24" s="885">
        <f>Planning!Z17</f>
        <v/>
      </c>
      <c r="CA24" s="886" t="n"/>
      <c r="CB24" s="105" t="n"/>
      <c r="CC24" s="885">
        <f>Planning!AC17</f>
        <v/>
      </c>
      <c r="CD24" s="885">
        <f>Planning!AD17</f>
        <v/>
      </c>
      <c r="CE24" s="886" t="n"/>
      <c r="CF24" s="105" t="n"/>
      <c r="CG24" s="887">
        <f>Planning!AG17</f>
        <v/>
      </c>
      <c r="CH24" s="105" t="n"/>
      <c r="CI24" s="252">
        <f>IF(BC24="","",Planning!AI17)</f>
        <v/>
      </c>
      <c r="CJ24" s="252">
        <f>IF(BC24="","",Planning!AJ17)</f>
        <v/>
      </c>
      <c r="CK24" s="252">
        <f>IF(BC24="","",Planning!AK17)</f>
        <v/>
      </c>
      <c r="CL24" s="252">
        <f>IF(BC24="","",Planning!AH17)</f>
        <v/>
      </c>
      <c r="CM24" s="21" t="n"/>
    </row>
    <row r="25" ht="12.75" customHeight="1">
      <c r="A25" s="161">
        <f>IFERROR(IF(VLOOKUP($B25,$BC$13:$CL$86,36,FALSE)&gt;5,0,IF(COUNTIF($B$13:$B$63,$B25)&gt;1,0,13)),13)+IF(B25&lt;&gt;0,0,IF(AV25&gt;0,0.000001,0))</f>
        <v/>
      </c>
      <c r="B25" s="129" t="n"/>
      <c r="C25" s="48">
        <f>IFERROR(IF($B25="","",VLOOKUP($B25,Medewerker!$C$8:$AI$107,33,FALSE)),"?")</f>
        <v/>
      </c>
      <c r="D25" s="879">
        <f t="array" ref="D25">IFERROR(IF(LEFT(INDEX($F25:$AQ25,1,SUM(SMALL(IF($F25:$AQ25&lt;&gt;"",COLUMN($F25:$AQ25)),1)-5)),1)="x",SUM(SMALL(IF($F25:$AQ25&lt;&gt;"",$F$11:$AQ$11),1)+"0:15"),SMALL(IF($F25:$AQ25&lt;&gt;"",$F$11:$AQ$11),1)),"")</f>
        <v/>
      </c>
      <c r="E25" s="879">
        <f t="array" ref="E25">IFERROR(IF(LEFT(INDEX($F25:$AQ25,1,SUM(LARGE(IF($F25:$AQ25&lt;&gt;"",COLUMN($F25:$AQ25)),1)-5)),1)="x",SUM(LARGE(IF($F25:$AQ25&lt;&gt;"",$F$11:$AQ$11+"0:30:00"),1)-"0:15"),LARGE(IF($F25:$AQ25&lt;&gt;"",$F$11:$AQ$11+"0:30:00"),1)),"")</f>
        <v/>
      </c>
      <c r="F25" s="40" t="n"/>
      <c r="G25" s="41" t="n"/>
      <c r="H25" s="40" t="n"/>
      <c r="I25" s="41" t="n"/>
      <c r="J25" s="40" t="n"/>
      <c r="K25" s="42" t="n"/>
      <c r="L25" s="43" t="n"/>
      <c r="M25" s="41" t="n"/>
      <c r="N25" s="40" t="n"/>
      <c r="O25" s="42" t="n"/>
      <c r="P25" s="43" t="n"/>
      <c r="Q25" s="41" t="n"/>
      <c r="R25" s="40" t="n"/>
      <c r="S25" s="42" t="n"/>
      <c r="T25" s="43" t="n"/>
      <c r="U25" s="41" t="n"/>
      <c r="V25" s="40" t="n"/>
      <c r="W25" s="42" t="n"/>
      <c r="X25" s="43" t="n"/>
      <c r="Y25" s="41" t="n"/>
      <c r="Z25" s="40" t="n"/>
      <c r="AA25" s="42" t="n"/>
      <c r="AB25" s="43" t="n"/>
      <c r="AC25" s="41" t="n"/>
      <c r="AD25" s="40" t="n"/>
      <c r="AE25" s="42" t="n"/>
      <c r="AF25" s="43" t="n"/>
      <c r="AG25" s="41" t="n"/>
      <c r="AH25" s="40" t="n"/>
      <c r="AI25" s="42" t="n"/>
      <c r="AJ25" s="43" t="n"/>
      <c r="AK25" s="41" t="n"/>
      <c r="AL25" s="40" t="n"/>
      <c r="AM25" s="41" t="n"/>
      <c r="AN25" s="645" t="n"/>
      <c r="AO25" s="42" t="n"/>
      <c r="AP25" s="40" t="n"/>
      <c r="AQ25" s="41" t="n"/>
      <c r="AR25" s="888">
        <f>IFERROR(IF(VLOOKUP($B25,Medewerker!$C$8:$AG$107,31,FALSE)="",VLOOKUP($B25,Medewerker!$C$8:$AG$107,29,FALSE),0),0)</f>
        <v/>
      </c>
      <c r="AS25" s="889">
        <f>IFERROR(IF(B25="",1,IF(VLOOKUP($B25,Medewerker!$C$8:$AG$107,31,FALSE)="",VLOOKUP($B25,Medewerker!$C$8:$AG$107,30,FALSE),0)),0)</f>
        <v/>
      </c>
      <c r="AT25" s="30" t="n"/>
      <c r="AU25" s="30">
        <f>(COUNTIF(F25:AQ25,"afw"))/2</f>
        <v/>
      </c>
      <c r="AV25" s="111">
        <f>((38-(COUNTIF(F25:AQ25,"")))/2)-(COUNTIF(F25:AQ25,"p")/2)-(COUNTIF(F25:AQ25,CONCATENATE("x","*"))/4)</f>
        <v/>
      </c>
      <c r="AW25" s="73">
        <f>IF($B25="","",VLOOKUP($B25,Medewerker!$C$8:$E$107,3,FALSE))</f>
        <v/>
      </c>
      <c r="AX25" s="403">
        <f>IFERROR(VLOOKUP($B25,Planning!$B$6:$AG$105,32,FALSE)*24,"")</f>
        <v/>
      </c>
      <c r="AY25" s="563" t="inlineStr">
        <is>
          <t>bl</t>
        </is>
      </c>
      <c r="AZ25" s="412" t="inlineStr">
        <is>
          <t>Bepalen langrestant</t>
        </is>
      </c>
      <c r="BA25" s="111">
        <f>COUNTIF($F$13:$AQ$63,CONCATENATE(AY25,"*"))/2+COUNTIF($F$13:$AQ$63,CONCATENATE("x",AY25,"*"))/4</f>
        <v/>
      </c>
      <c r="BB25" s="838" t="n"/>
      <c r="BC25" s="31">
        <f>IF(Planning!B18="","",Planning!B18)</f>
        <v/>
      </c>
      <c r="BD25" s="105" t="n"/>
      <c r="BE25" s="885">
        <f>Planning!E18</f>
        <v/>
      </c>
      <c r="BF25" s="885">
        <f>Planning!F18</f>
        <v/>
      </c>
      <c r="BG25" s="886" t="n"/>
      <c r="BH25" s="105" t="n"/>
      <c r="BI25" s="885">
        <f>Planning!I18</f>
        <v/>
      </c>
      <c r="BJ25" s="885">
        <f>Planning!J18</f>
        <v/>
      </c>
      <c r="BK25" s="886" t="n"/>
      <c r="BL25" s="105" t="n"/>
      <c r="BM25" s="885">
        <f>Planning!M18</f>
        <v/>
      </c>
      <c r="BN25" s="885">
        <f>Planning!N18</f>
        <v/>
      </c>
      <c r="BO25" s="886" t="n"/>
      <c r="BP25" s="105" t="n"/>
      <c r="BQ25" s="885">
        <f>Planning!Q18</f>
        <v/>
      </c>
      <c r="BR25" s="885">
        <f>Planning!R18</f>
        <v/>
      </c>
      <c r="BS25" s="886" t="n"/>
      <c r="BT25" s="105" t="n"/>
      <c r="BU25" s="885">
        <f>Planning!U18</f>
        <v/>
      </c>
      <c r="BV25" s="885">
        <f>Planning!V18</f>
        <v/>
      </c>
      <c r="BW25" s="886" t="n"/>
      <c r="BX25" s="105" t="n"/>
      <c r="BY25" s="885">
        <f>Planning!Y18</f>
        <v/>
      </c>
      <c r="BZ25" s="885">
        <f>Planning!Z18</f>
        <v/>
      </c>
      <c r="CA25" s="886" t="n"/>
      <c r="CB25" s="105" t="n"/>
      <c r="CC25" s="885">
        <f>Planning!AC18</f>
        <v/>
      </c>
      <c r="CD25" s="885">
        <f>Planning!AD18</f>
        <v/>
      </c>
      <c r="CE25" s="886" t="n"/>
      <c r="CF25" s="105" t="n"/>
      <c r="CG25" s="887">
        <f>Planning!AG18</f>
        <v/>
      </c>
      <c r="CH25" s="105" t="n"/>
      <c r="CI25" s="252">
        <f>IF(BC25="","",Planning!AI18)</f>
        <v/>
      </c>
      <c r="CJ25" s="252">
        <f>IF(BC25="","",Planning!AJ18)</f>
        <v/>
      </c>
      <c r="CK25" s="252">
        <f>IF(BC25="","",Planning!AK18)</f>
        <v/>
      </c>
      <c r="CL25" s="252">
        <f>IF(BC25="","",Planning!AH18)</f>
        <v/>
      </c>
      <c r="CM25" s="21" t="n"/>
    </row>
    <row r="26" ht="12.75" customHeight="1">
      <c r="A26" s="161">
        <f>IFERROR(IF(VLOOKUP($B26,$BC$13:$CL$86,36,FALSE)&gt;5,0,IF(COUNTIF($B$13:$B$63,$B26)&gt;1,0,14)),14)+IF(B26&lt;&gt;0,0,IF(AV26&gt;0,0.000001,0))</f>
        <v/>
      </c>
      <c r="B26" s="129" t="inlineStr">
        <is>
          <t>Mo Samar</t>
        </is>
      </c>
      <c r="C26" s="48">
        <f>IFERROR(IF($B26="","",VLOOKUP($B26,Medewerker!$C$8:$AI$107,33,FALSE)),"?")</f>
        <v/>
      </c>
      <c r="D26" s="879">
        <f t="array" ref="D26">IFERROR(IF(LEFT(INDEX($F26:$AQ26,1,SUM(SMALL(IF($F26:$AQ26&lt;&gt;"",COLUMN($F26:$AQ26)),1)-5)),1)="x",SUM(SMALL(IF($F26:$AQ26&lt;&gt;"",$F$11:$AQ$11),1)+"0:15"),SMALL(IF($F26:$AQ26&lt;&gt;"",$F$11:$AQ$11),1)),"")</f>
        <v/>
      </c>
      <c r="E26" s="879">
        <f t="array" ref="E26">IFERROR(IF(LEFT(INDEX($F26:$AQ26,1,SUM(LARGE(IF($F26:$AQ26&lt;&gt;"",COLUMN($F26:$AQ26)),1)-5)),1)="x",SUM(LARGE(IF($F26:$AQ26&lt;&gt;"",$F$11:$AQ$11+"0:30:00"),1)-"0:15"),LARGE(IF($F26:$AQ26&lt;&gt;"",$F$11:$AQ$11+"0:30:00"),1)),"")</f>
        <v/>
      </c>
      <c r="F26" s="40" t="n"/>
      <c r="G26" s="41" t="n"/>
      <c r="H26" s="40" t="n"/>
      <c r="I26" s="41" t="n"/>
      <c r="J26" s="40" t="inlineStr">
        <is>
          <t>nh</t>
        </is>
      </c>
      <c r="K26" s="42" t="inlineStr">
        <is>
          <t>nh</t>
        </is>
      </c>
      <c r="L26" s="43" t="inlineStr">
        <is>
          <t>l</t>
        </is>
      </c>
      <c r="M26" s="41" t="inlineStr">
        <is>
          <t>sp</t>
        </is>
      </c>
      <c r="N26" s="40" t="inlineStr">
        <is>
          <t>sp</t>
        </is>
      </c>
      <c r="O26" s="42" t="inlineStr">
        <is>
          <t>sp</t>
        </is>
      </c>
      <c r="P26" s="43" t="inlineStr">
        <is>
          <t>sp</t>
        </is>
      </c>
      <c r="Q26" s="41" t="inlineStr">
        <is>
          <t>sp</t>
        </is>
      </c>
      <c r="R26" s="40" t="inlineStr">
        <is>
          <t>p</t>
        </is>
      </c>
      <c r="S26" s="42" t="inlineStr">
        <is>
          <t>hv</t>
        </is>
      </c>
      <c r="T26" s="43" t="inlineStr">
        <is>
          <t>hv</t>
        </is>
      </c>
      <c r="U26" s="41" t="inlineStr">
        <is>
          <t>hv</t>
        </is>
      </c>
      <c r="V26" s="40" t="inlineStr">
        <is>
          <t>hv</t>
        </is>
      </c>
      <c r="W26" s="42" t="inlineStr">
        <is>
          <t>hv</t>
        </is>
      </c>
      <c r="X26" s="43" t="n"/>
      <c r="Y26" s="41" t="n"/>
      <c r="Z26" s="40" t="n"/>
      <c r="AA26" s="42" t="n"/>
      <c r="AB26" s="43" t="n"/>
      <c r="AC26" s="41" t="n"/>
      <c r="AD26" s="40" t="n"/>
      <c r="AE26" s="42" t="n"/>
      <c r="AF26" s="43" t="n"/>
      <c r="AG26" s="41" t="n"/>
      <c r="AH26" s="40" t="n"/>
      <c r="AI26" s="42" t="n"/>
      <c r="AJ26" s="43" t="n"/>
      <c r="AK26" s="41" t="n"/>
      <c r="AL26" s="40" t="n"/>
      <c r="AM26" s="41" t="n"/>
      <c r="AN26" s="645" t="n"/>
      <c r="AO26" s="42" t="n"/>
      <c r="AP26" s="40" t="n"/>
      <c r="AQ26" s="41" t="n"/>
      <c r="AR26" s="888">
        <f>IFERROR(IF(VLOOKUP($B26,Medewerker!$C$8:$AG$107,31,FALSE)="",VLOOKUP($B26,Medewerker!$C$8:$AG$107,29,FALSE),0),0)</f>
        <v/>
      </c>
      <c r="AS26" s="889">
        <f>IFERROR(IF(B26="",1,IF(VLOOKUP($B26,Medewerker!$C$8:$AG$107,31,FALSE)="",VLOOKUP($B26,Medewerker!$C$8:$AG$107,30,FALSE),0)),0)</f>
        <v/>
      </c>
      <c r="AT26" s="30" t="n"/>
      <c r="AU26" s="30">
        <f>(COUNTIF(F26:AQ26,"afw"))/2</f>
        <v/>
      </c>
      <c r="AV26" s="111">
        <f>((38-(COUNTIF(F26:AQ26,"")))/2)-(COUNTIF(F26:AQ26,"p")/2)-(COUNTIF(F26:AQ26,CONCATENATE("x","*"))/4)</f>
        <v/>
      </c>
      <c r="AW26" s="73">
        <f>IF($B26="","",VLOOKUP($B26,Medewerker!$C$8:$E$107,3,FALSE))</f>
        <v/>
      </c>
      <c r="AX26" s="403">
        <f>IFERROR(VLOOKUP($B26,Planning!$B$6:$AG$105,32,FALSE)*24,"")</f>
        <v/>
      </c>
      <c r="AY26" s="562" t="inlineStr">
        <is>
          <t>hl</t>
        </is>
      </c>
      <c r="AZ26" s="166" t="inlineStr">
        <is>
          <t>Hardlopers vullen</t>
        </is>
      </c>
      <c r="BA26" s="111">
        <f>COUNTIF($F$13:$AQ$63,CONCATENATE(AY26,"*"))/2+COUNTIF($F$13:$AQ$63,CONCATENATE("x",AY26,"*"))/4</f>
        <v/>
      </c>
      <c r="BB26" s="838" t="n"/>
      <c r="BC26" s="31">
        <f>IF(Planning!B19="","",Planning!B19)</f>
        <v/>
      </c>
      <c r="BD26" s="105" t="n"/>
      <c r="BE26" s="885">
        <f>Planning!E19</f>
        <v/>
      </c>
      <c r="BF26" s="885">
        <f>Planning!F19</f>
        <v/>
      </c>
      <c r="BG26" s="886" t="n"/>
      <c r="BH26" s="105" t="n"/>
      <c r="BI26" s="885">
        <f>Planning!I19</f>
        <v/>
      </c>
      <c r="BJ26" s="885">
        <f>Planning!J19</f>
        <v/>
      </c>
      <c r="BK26" s="886" t="n"/>
      <c r="BL26" s="105" t="n"/>
      <c r="BM26" s="885">
        <f>Planning!M19</f>
        <v/>
      </c>
      <c r="BN26" s="885">
        <f>Planning!N19</f>
        <v/>
      </c>
      <c r="BO26" s="886" t="n"/>
      <c r="BP26" s="105" t="n"/>
      <c r="BQ26" s="885">
        <f>Planning!Q19</f>
        <v/>
      </c>
      <c r="BR26" s="885">
        <f>Planning!R19</f>
        <v/>
      </c>
      <c r="BS26" s="886" t="n"/>
      <c r="BT26" s="105" t="n"/>
      <c r="BU26" s="885">
        <f>Planning!U19</f>
        <v/>
      </c>
      <c r="BV26" s="885">
        <f>Planning!V19</f>
        <v/>
      </c>
      <c r="BW26" s="886" t="n"/>
      <c r="BX26" s="105" t="n"/>
      <c r="BY26" s="885">
        <f>Planning!Y19</f>
        <v/>
      </c>
      <c r="BZ26" s="885">
        <f>Planning!Z19</f>
        <v/>
      </c>
      <c r="CA26" s="886" t="n"/>
      <c r="CB26" s="105" t="n"/>
      <c r="CC26" s="885">
        <f>Planning!AC19</f>
        <v/>
      </c>
      <c r="CD26" s="885">
        <f>Planning!AD19</f>
        <v/>
      </c>
      <c r="CE26" s="886" t="n"/>
      <c r="CF26" s="105" t="n"/>
      <c r="CG26" s="887">
        <f>Planning!AG19</f>
        <v/>
      </c>
      <c r="CH26" s="105" t="n"/>
      <c r="CI26" s="252">
        <f>IF(BC26="","",Planning!AI19)</f>
        <v/>
      </c>
      <c r="CJ26" s="252">
        <f>IF(BC26="","",Planning!AJ19)</f>
        <v/>
      </c>
      <c r="CK26" s="252">
        <f>IF(BC26="","",Planning!AK19)</f>
        <v/>
      </c>
      <c r="CL26" s="252">
        <f>IF(BC26="","",Planning!AH19)</f>
        <v/>
      </c>
      <c r="CM26" s="21" t="n"/>
    </row>
    <row r="27" ht="12.75" customHeight="1">
      <c r="A27" s="161">
        <f>IFERROR(IF(VLOOKUP($B27,$BC$13:$CL$86,36,FALSE)&gt;5,0,IF(COUNTIF($B$13:$B$63,$B27)&gt;1,0,15)),15)+IF(B27&lt;&gt;0,0,IF(AV27&gt;0,0.000001,0))</f>
        <v/>
      </c>
      <c r="B27" s="129" t="inlineStr">
        <is>
          <t>Mike Odafe</t>
        </is>
      </c>
      <c r="C27" s="48">
        <f>IFERROR(IF($B27="","",VLOOKUP($B27,Medewerker!$C$8:$AI$107,33,FALSE)),"?")</f>
        <v/>
      </c>
      <c r="D27" s="879">
        <f t="array" ref="D27">IFERROR(IF(LEFT(INDEX($F27:$AQ27,1,SUM(SMALL(IF($F27:$AQ27&lt;&gt;"",COLUMN($F27:$AQ27)),1)-5)),1)="x",SUM(SMALL(IF($F27:$AQ27&lt;&gt;"",$F$11:$AQ$11),1)+"0:15"),SMALL(IF($F27:$AQ27&lt;&gt;"",$F$11:$AQ$11),1)),"")</f>
        <v/>
      </c>
      <c r="E27" s="879">
        <f t="array" ref="E27">IFERROR(IF(LEFT(INDEX($F27:$AQ27,1,SUM(LARGE(IF($F27:$AQ27&lt;&gt;"",COLUMN($F27:$AQ27)),1)-5)),1)="x",SUM(LARGE(IF($F27:$AQ27&lt;&gt;"",$F$11:$AQ$11+"0:30:00"),1)-"0:15"),LARGE(IF($F27:$AQ27&lt;&gt;"",$F$11:$AQ$11+"0:30:00"),1)),"")</f>
        <v/>
      </c>
      <c r="F27" s="40" t="n"/>
      <c r="G27" s="41" t="n"/>
      <c r="H27" s="40" t="n"/>
      <c r="I27" s="41" t="n"/>
      <c r="J27" s="40" t="inlineStr">
        <is>
          <t>nh</t>
        </is>
      </c>
      <c r="K27" s="42" t="inlineStr">
        <is>
          <t>nh</t>
        </is>
      </c>
      <c r="L27" s="43" t="inlineStr">
        <is>
          <t>l</t>
        </is>
      </c>
      <c r="M27" s="41" t="inlineStr">
        <is>
          <t>hv</t>
        </is>
      </c>
      <c r="N27" s="40" t="inlineStr">
        <is>
          <t>hv</t>
        </is>
      </c>
      <c r="O27" s="42" t="inlineStr">
        <is>
          <t>hv</t>
        </is>
      </c>
      <c r="P27" s="43" t="inlineStr">
        <is>
          <t>hv</t>
        </is>
      </c>
      <c r="Q27" s="41" t="inlineStr">
        <is>
          <t>hv</t>
        </is>
      </c>
      <c r="R27" s="40" t="inlineStr">
        <is>
          <t>p</t>
        </is>
      </c>
      <c r="S27" s="42" t="inlineStr">
        <is>
          <t>hv</t>
        </is>
      </c>
      <c r="T27" s="43" t="inlineStr">
        <is>
          <t>hv</t>
        </is>
      </c>
      <c r="U27" s="41" t="inlineStr">
        <is>
          <t>hv</t>
        </is>
      </c>
      <c r="V27" s="40" t="inlineStr">
        <is>
          <t>hv</t>
        </is>
      </c>
      <c r="W27" s="42" t="inlineStr">
        <is>
          <t>hv</t>
        </is>
      </c>
      <c r="X27" s="43" t="inlineStr">
        <is>
          <t>hv</t>
        </is>
      </c>
      <c r="Y27" s="41" t="inlineStr">
        <is>
          <t>hv</t>
        </is>
      </c>
      <c r="Z27" s="40" t="n"/>
      <c r="AA27" s="42" t="n"/>
      <c r="AB27" s="43" t="n"/>
      <c r="AC27" s="41" t="n"/>
      <c r="AD27" s="40" t="n"/>
      <c r="AE27" s="42" t="n"/>
      <c r="AF27" s="43" t="n"/>
      <c r="AG27" s="41" t="n"/>
      <c r="AH27" s="40" t="n"/>
      <c r="AI27" s="42" t="n"/>
      <c r="AJ27" s="43" t="n"/>
      <c r="AK27" s="41" t="n"/>
      <c r="AL27" s="40" t="n"/>
      <c r="AM27" s="41" t="n"/>
      <c r="AN27" s="645" t="n"/>
      <c r="AO27" s="42" t="n"/>
      <c r="AP27" s="40" t="n"/>
      <c r="AQ27" s="41" t="n"/>
      <c r="AR27" s="888">
        <f>IFERROR(IF(VLOOKUP($B27,Medewerker!$C$8:$AG$107,31,FALSE)="",VLOOKUP($B27,Medewerker!$C$8:$AG$107,29,FALSE),0),0)</f>
        <v/>
      </c>
      <c r="AS27" s="889">
        <f>IFERROR(IF(B27="",1,IF(VLOOKUP($B27,Medewerker!$C$8:$AG$107,31,FALSE)="",VLOOKUP($B27,Medewerker!$C$8:$AG$107,30,FALSE),0)),0)</f>
        <v/>
      </c>
      <c r="AT27" s="30" t="n"/>
      <c r="AU27" s="30">
        <f>(COUNTIF(F27:AQ27,"afw"))/2</f>
        <v/>
      </c>
      <c r="AV27" s="111">
        <f>((38-(COUNTIF(F27:AQ27,"")))/2)-(COUNTIF(F27:AQ27,"p")/2)-(COUNTIF(F27:AQ27,CONCATENATE("x","*"))/4)</f>
        <v/>
      </c>
      <c r="AW27" s="73">
        <f>IF($B27="","",VLOOKUP($B27,Medewerker!$C$8:$E$107,3,FALSE))</f>
        <v/>
      </c>
      <c r="AX27" s="403">
        <f>IFERROR(VLOOKUP($B27,Planning!$B$6:$AG$105,32,FALSE)*24,"")</f>
        <v/>
      </c>
      <c r="AY27" s="563" t="inlineStr">
        <is>
          <t>lhb</t>
        </is>
      </c>
      <c r="AZ27" s="71" t="inlineStr">
        <is>
          <t>Neeverkoop HB</t>
        </is>
      </c>
      <c r="BA27" s="111">
        <f>COUNTIF($F$13:$AQ$63,CONCATENATE(AY27,"*"))/2+COUNTIF($F$13:$AQ$63,CONCATENATE("x",AY27,"*"))/4</f>
        <v/>
      </c>
      <c r="BB27" s="838" t="n"/>
      <c r="BC27" s="31">
        <f>IF(Planning!B20="","",Planning!B20)</f>
        <v/>
      </c>
      <c r="BD27" s="105" t="n"/>
      <c r="BE27" s="885">
        <f>Planning!E20</f>
        <v/>
      </c>
      <c r="BF27" s="885">
        <f>Planning!F20</f>
        <v/>
      </c>
      <c r="BG27" s="886" t="n"/>
      <c r="BH27" s="105" t="n"/>
      <c r="BI27" s="885">
        <f>Planning!I20</f>
        <v/>
      </c>
      <c r="BJ27" s="885">
        <f>Planning!J20</f>
        <v/>
      </c>
      <c r="BK27" s="886" t="n"/>
      <c r="BL27" s="105" t="n"/>
      <c r="BM27" s="885">
        <f>Planning!M20</f>
        <v/>
      </c>
      <c r="BN27" s="885">
        <f>Planning!N20</f>
        <v/>
      </c>
      <c r="BO27" s="886" t="n"/>
      <c r="BP27" s="105" t="n"/>
      <c r="BQ27" s="885">
        <f>Planning!Q20</f>
        <v/>
      </c>
      <c r="BR27" s="885">
        <f>Planning!R20</f>
        <v/>
      </c>
      <c r="BS27" s="886" t="n"/>
      <c r="BT27" s="105" t="n"/>
      <c r="BU27" s="885">
        <f>Planning!U20</f>
        <v/>
      </c>
      <c r="BV27" s="885">
        <f>Planning!V20</f>
        <v/>
      </c>
      <c r="BW27" s="886" t="n"/>
      <c r="BX27" s="105" t="n"/>
      <c r="BY27" s="885">
        <f>Planning!Y20</f>
        <v/>
      </c>
      <c r="BZ27" s="885">
        <f>Planning!Z20</f>
        <v/>
      </c>
      <c r="CA27" s="886" t="n"/>
      <c r="CB27" s="105" t="n"/>
      <c r="CC27" s="885">
        <f>Planning!AC20</f>
        <v/>
      </c>
      <c r="CD27" s="885">
        <f>Planning!AD20</f>
        <v/>
      </c>
      <c r="CE27" s="886" t="n"/>
      <c r="CF27" s="105" t="n"/>
      <c r="CG27" s="887">
        <f>Planning!AG20</f>
        <v/>
      </c>
      <c r="CH27" s="105" t="n"/>
      <c r="CI27" s="252">
        <f>IF(BC27="","",Planning!AI20)</f>
        <v/>
      </c>
      <c r="CJ27" s="252">
        <f>IF(BC27="","",Planning!AJ20)</f>
        <v/>
      </c>
      <c r="CK27" s="252">
        <f>IF(BC27="","",Planning!AK20)</f>
        <v/>
      </c>
      <c r="CL27" s="252">
        <f>IF(BC27="","",Planning!AH20)</f>
        <v/>
      </c>
      <c r="CM27" s="21" t="n"/>
    </row>
    <row r="28" ht="12.75" customHeight="1">
      <c r="A28" s="161">
        <f>IFERROR(IF(VLOOKUP($B28,$BC$13:$CL$86,36,FALSE)&gt;5,0,IF(COUNTIF($B$13:$B$63,$B28)&gt;1,0,16)),16)+IF(B28&lt;&gt;0,0,IF(AV28&gt;0,0.000001,0))</f>
        <v/>
      </c>
      <c r="B28" s="129" t="n"/>
      <c r="C28" s="48">
        <f>IFERROR(IF($B28="","",VLOOKUP($B28,Medewerker!$C$8:$AI$107,33,FALSE)),"?")</f>
        <v/>
      </c>
      <c r="D28" s="879">
        <f t="array" ref="D28">IFERROR(IF(LEFT(INDEX($F28:$AQ28,1,SUM(SMALL(IF($F28:$AQ28&lt;&gt;"",COLUMN($F28:$AQ28)),1)-5)),1)="x",SUM(SMALL(IF($F28:$AQ28&lt;&gt;"",$F$11:$AQ$11),1)+"0:15"),SMALL(IF($F28:$AQ28&lt;&gt;"",$F$11:$AQ$11),1)),"")</f>
        <v/>
      </c>
      <c r="E28" s="879">
        <f t="array" ref="E28">IFERROR(IF(LEFT(INDEX($F28:$AQ28,1,SUM(LARGE(IF($F28:$AQ28&lt;&gt;"",COLUMN($F28:$AQ28)),1)-5)),1)="x",SUM(LARGE(IF($F28:$AQ28&lt;&gt;"",$F$11:$AQ$11+"0:30:00"),1)-"0:15"),LARGE(IF($F28:$AQ28&lt;&gt;"",$F$11:$AQ$11+"0:30:00"),1)),"")</f>
        <v/>
      </c>
      <c r="F28" s="40" t="n"/>
      <c r="G28" s="41" t="n"/>
      <c r="H28" s="40" t="n"/>
      <c r="I28" s="41" t="n"/>
      <c r="J28" s="40" t="n"/>
      <c r="K28" s="42" t="n"/>
      <c r="L28" s="43" t="n"/>
      <c r="M28" s="41" t="n"/>
      <c r="N28" s="40" t="n"/>
      <c r="O28" s="42" t="n"/>
      <c r="P28" s="43" t="n"/>
      <c r="Q28" s="41" t="n"/>
      <c r="R28" s="40" t="n"/>
      <c r="S28" s="42" t="n"/>
      <c r="T28" s="43" t="n"/>
      <c r="U28" s="41" t="n"/>
      <c r="V28" s="40" t="n"/>
      <c r="W28" s="42" t="n"/>
      <c r="X28" s="43" t="n"/>
      <c r="Y28" s="41" t="n"/>
      <c r="Z28" s="40" t="n"/>
      <c r="AA28" s="42" t="n"/>
      <c r="AB28" s="43" t="n"/>
      <c r="AC28" s="41" t="n"/>
      <c r="AD28" s="40" t="n"/>
      <c r="AE28" s="42" t="n"/>
      <c r="AF28" s="43" t="n"/>
      <c r="AG28" s="41" t="n"/>
      <c r="AH28" s="40" t="n"/>
      <c r="AI28" s="42" t="n"/>
      <c r="AJ28" s="43" t="n"/>
      <c r="AK28" s="41" t="n"/>
      <c r="AL28" s="40" t="n"/>
      <c r="AM28" s="41" t="n"/>
      <c r="AN28" s="645" t="n"/>
      <c r="AO28" s="42" t="n"/>
      <c r="AP28" s="40" t="n"/>
      <c r="AQ28" s="41" t="n"/>
      <c r="AR28" s="888">
        <f>IFERROR(IF(VLOOKUP($B28,Medewerker!$C$8:$AG$107,31,FALSE)="",VLOOKUP($B28,Medewerker!$C$8:$AG$107,29,FALSE),0),0)</f>
        <v/>
      </c>
      <c r="AS28" s="889">
        <f>IFERROR(IF(B28="",1,IF(VLOOKUP($B28,Medewerker!$C$8:$AG$107,31,FALSE)="",VLOOKUP($B28,Medewerker!$C$8:$AG$107,30,FALSE),0)),0)</f>
        <v/>
      </c>
      <c r="AT28" s="30" t="n"/>
      <c r="AU28" s="30">
        <f>(COUNTIF(F28:AQ28,"afw"))/2</f>
        <v/>
      </c>
      <c r="AV28" s="111">
        <f>((38-(COUNTIF(F28:AQ28,"")))/2)-(COUNTIF(F28:AQ28,"p")/2)-(COUNTIF(F28:AQ28,CONCATENATE("x","*"))/4)</f>
        <v/>
      </c>
      <c r="AW28" s="73">
        <f>IF($B28="","",VLOOKUP($B28,Medewerker!$C$8:$E$107,3,FALSE))</f>
        <v/>
      </c>
      <c r="AX28" s="403">
        <f>IFERROR(VLOOKUP($B28,Planning!$B$6:$AG$105,32,FALSE)*24,"")</f>
        <v/>
      </c>
      <c r="AY28" s="562" t="inlineStr">
        <is>
          <t>ldv</t>
        </is>
      </c>
      <c r="AZ28" s="166" t="inlineStr">
        <is>
          <t>Neeverkoop DV</t>
        </is>
      </c>
      <c r="BA28" s="111">
        <f>COUNTIF($F$13:$AQ$63,CONCATENATE(AY28,"*"))/2+COUNTIF($F$13:$AQ$63,CONCATENATE("x",AY28,"*"))/4</f>
        <v/>
      </c>
      <c r="BB28" s="838" t="n"/>
      <c r="BC28" s="31">
        <f>IF(Planning!B21="","",Planning!B21)</f>
        <v/>
      </c>
      <c r="BD28" s="105" t="n"/>
      <c r="BE28" s="885">
        <f>Planning!E21</f>
        <v/>
      </c>
      <c r="BF28" s="885">
        <f>Planning!F21</f>
        <v/>
      </c>
      <c r="BG28" s="886" t="n"/>
      <c r="BH28" s="105" t="n"/>
      <c r="BI28" s="885">
        <f>Planning!I21</f>
        <v/>
      </c>
      <c r="BJ28" s="885">
        <f>Planning!J21</f>
        <v/>
      </c>
      <c r="BK28" s="886" t="n"/>
      <c r="BL28" s="105" t="n"/>
      <c r="BM28" s="885">
        <f>Planning!M21</f>
        <v/>
      </c>
      <c r="BN28" s="885">
        <f>Planning!N21</f>
        <v/>
      </c>
      <c r="BO28" s="886" t="n"/>
      <c r="BP28" s="105" t="n"/>
      <c r="BQ28" s="885">
        <f>Planning!Q21</f>
        <v/>
      </c>
      <c r="BR28" s="885">
        <f>Planning!R21</f>
        <v/>
      </c>
      <c r="BS28" s="886" t="n"/>
      <c r="BT28" s="105" t="n"/>
      <c r="BU28" s="885">
        <f>Planning!U21</f>
        <v/>
      </c>
      <c r="BV28" s="885">
        <f>Planning!V21</f>
        <v/>
      </c>
      <c r="BW28" s="886" t="n"/>
      <c r="BX28" s="105" t="n"/>
      <c r="BY28" s="885">
        <f>Planning!Y21</f>
        <v/>
      </c>
      <c r="BZ28" s="885">
        <f>Planning!Z21</f>
        <v/>
      </c>
      <c r="CA28" s="886" t="n"/>
      <c r="CB28" s="105" t="n"/>
      <c r="CC28" s="885">
        <f>Planning!AC21</f>
        <v/>
      </c>
      <c r="CD28" s="885">
        <f>Planning!AD21</f>
        <v/>
      </c>
      <c r="CE28" s="886" t="n"/>
      <c r="CF28" s="105" t="n"/>
      <c r="CG28" s="887">
        <f>Planning!AG21</f>
        <v/>
      </c>
      <c r="CH28" s="105" t="n"/>
      <c r="CI28" s="252">
        <f>IF(BC28="","",Planning!AI21)</f>
        <v/>
      </c>
      <c r="CJ28" s="252">
        <f>IF(BC28="","",Planning!AJ21)</f>
        <v/>
      </c>
      <c r="CK28" s="252">
        <f>IF(BC28="","",Planning!AK21)</f>
        <v/>
      </c>
      <c r="CL28" s="252">
        <f>IF(BC28="","",Planning!AH21)</f>
        <v/>
      </c>
      <c r="CM28" s="21" t="n"/>
    </row>
    <row r="29" ht="12.75" customHeight="1">
      <c r="A29" s="161">
        <f>IFERROR(IF(VLOOKUP($B29,$BC$13:$CL$86,36,FALSE)&gt;5,0,IF(COUNTIF($B$13:$B$63,$B29)&gt;1,0,17)),17)+IF(B29&lt;&gt;0,0,IF(AV29&gt;0,0.000001,0))</f>
        <v/>
      </c>
      <c r="B29" s="129" t="inlineStr">
        <is>
          <t>Fatmir Bilalovski</t>
        </is>
      </c>
      <c r="C29" s="127">
        <f>IFERROR(IF($B29="","",VLOOKUP($B29,Medewerker!$C$8:$AI$107,33,FALSE)),"?")</f>
        <v/>
      </c>
      <c r="D29" s="890">
        <f t="array" ref="D29">IFERROR(IF(LEFT(INDEX($F29:$AQ29,1,SUM(SMALL(IF($F29:$AQ29&lt;&gt;"",COLUMN($F29:$AQ29)),1)-5)),1)="x",SUM(SMALL(IF($F29:$AQ29&lt;&gt;"",$F$11:$AQ$11),1)+"0:15"),SMALL(IF($F29:$AQ29&lt;&gt;"",$F$11:$AQ$11),1)),"")</f>
        <v/>
      </c>
      <c r="E29" s="890">
        <f t="array" ref="E29">IFERROR(IF(LEFT(INDEX($F29:$AQ29,1,SUM(LARGE(IF($F29:$AQ29&lt;&gt;"",COLUMN($F29:$AQ29)),1)-5)),1)="x",SUM(LARGE(IF($F29:$AQ29&lt;&gt;"",$F$11:$AQ$11+"0:30:00"),1)-"0:15"),LARGE(IF($F29:$AQ29&lt;&gt;"",$F$11:$AQ$11+"0:30:00"),1)),"")</f>
        <v/>
      </c>
      <c r="F29" s="40" t="n"/>
      <c r="G29" s="41" t="n"/>
      <c r="H29" s="40" t="n"/>
      <c r="I29" s="42" t="n"/>
      <c r="J29" s="43" t="n"/>
      <c r="K29" s="41" t="n"/>
      <c r="L29" s="40" t="inlineStr">
        <is>
          <t>rd</t>
        </is>
      </c>
      <c r="M29" s="42" t="inlineStr">
        <is>
          <t>rd</t>
        </is>
      </c>
      <c r="N29" s="43" t="inlineStr">
        <is>
          <t>dv</t>
        </is>
      </c>
      <c r="O29" s="41" t="inlineStr">
        <is>
          <t>dv</t>
        </is>
      </c>
      <c r="P29" s="40" t="inlineStr">
        <is>
          <t>dv</t>
        </is>
      </c>
      <c r="Q29" s="42" t="inlineStr">
        <is>
          <t>dv</t>
        </is>
      </c>
      <c r="R29" s="43" t="inlineStr">
        <is>
          <t>dv</t>
        </is>
      </c>
      <c r="S29" s="41" t="n"/>
      <c r="T29" s="40" t="n"/>
      <c r="U29" s="42" t="n"/>
      <c r="V29" s="43" t="n"/>
      <c r="W29" s="41" t="n"/>
      <c r="X29" s="40" t="n"/>
      <c r="Y29" s="42" t="n"/>
      <c r="Z29" s="43" t="n"/>
      <c r="AA29" s="41" t="n"/>
      <c r="AB29" s="40" t="n"/>
      <c r="AC29" s="42" t="n"/>
      <c r="AD29" s="43" t="n"/>
      <c r="AE29" s="41" t="n"/>
      <c r="AF29" s="40" t="n"/>
      <c r="AG29" s="42" t="n"/>
      <c r="AH29" s="43" t="n"/>
      <c r="AI29" s="41" t="n"/>
      <c r="AJ29" s="40" t="n"/>
      <c r="AK29" s="42" t="n"/>
      <c r="AL29" s="43" t="n"/>
      <c r="AM29" s="41" t="n"/>
      <c r="AN29" s="645" t="n"/>
      <c r="AO29" s="42" t="n"/>
      <c r="AP29" s="40" t="n"/>
      <c r="AQ29" s="41" t="n"/>
      <c r="AR29" s="888">
        <f>IFERROR(IF(VLOOKUP($B29,Medewerker!$C$8:$AG$107,31,FALSE)="",VLOOKUP($B29,Medewerker!$C$8:$AG$107,29,FALSE),0),0)</f>
        <v/>
      </c>
      <c r="AS29" s="889">
        <f>IFERROR(IF(B29="",1,IF(VLOOKUP($B29,Medewerker!$C$8:$AG$107,31,FALSE)="",VLOOKUP($B29,Medewerker!$C$8:$AG$107,30,FALSE),0)),0)</f>
        <v/>
      </c>
      <c r="AT29" s="30" t="n"/>
      <c r="AU29" s="30">
        <f>(COUNTIF(F29:AQ29,"afw"))/2</f>
        <v/>
      </c>
      <c r="AV29" s="111">
        <f>((38-(COUNTIF(F29:AQ29,"")))/2)-(COUNTIF(F29:AQ29,"p")/2)-(COUNTIF(F29:AQ29,CONCATENATE("x","*"))/4)</f>
        <v/>
      </c>
      <c r="AW29" s="73">
        <f>IF($B29="","",VLOOKUP($B29,Medewerker!$C$8:$E$107,3,FALSE))</f>
        <v/>
      </c>
      <c r="AX29" s="403">
        <f>IFERROR(VLOOKUP($B29,Planning!$B$6:$AG$105,32,FALSE)*24,"")</f>
        <v/>
      </c>
      <c r="AY29" s="563" t="inlineStr">
        <is>
          <t>lvv</t>
        </is>
      </c>
      <c r="AZ29" s="413" t="inlineStr">
        <is>
          <t>Neeverkoop Vers</t>
        </is>
      </c>
      <c r="BA29" s="111">
        <f>COUNTIF($F$13:$AQ$63,CONCATENATE(AY29,"*"))/2+COUNTIF($F$13:$AQ$63,CONCATENATE("x",AY29,"*"))/4</f>
        <v/>
      </c>
      <c r="BB29" s="838" t="n"/>
      <c r="BC29" s="31">
        <f>IF(Planning!B22="","",Planning!B22)</f>
        <v/>
      </c>
      <c r="BD29" s="105" t="n"/>
      <c r="BE29" s="885">
        <f>Planning!E22</f>
        <v/>
      </c>
      <c r="BF29" s="885">
        <f>Planning!F22</f>
        <v/>
      </c>
      <c r="BG29" s="886" t="n"/>
      <c r="BH29" s="105" t="n"/>
      <c r="BI29" s="885">
        <f>Planning!I22</f>
        <v/>
      </c>
      <c r="BJ29" s="885">
        <f>Planning!J22</f>
        <v/>
      </c>
      <c r="BK29" s="886" t="n"/>
      <c r="BL29" s="105" t="n"/>
      <c r="BM29" s="885">
        <f>Planning!M22</f>
        <v/>
      </c>
      <c r="BN29" s="885">
        <f>Planning!N22</f>
        <v/>
      </c>
      <c r="BO29" s="886" t="n"/>
      <c r="BP29" s="105" t="n"/>
      <c r="BQ29" s="885">
        <f>Planning!Q22</f>
        <v/>
      </c>
      <c r="BR29" s="885">
        <f>Planning!R22</f>
        <v/>
      </c>
      <c r="BS29" s="886" t="n"/>
      <c r="BT29" s="105" t="n"/>
      <c r="BU29" s="885">
        <f>Planning!U22</f>
        <v/>
      </c>
      <c r="BV29" s="885">
        <f>Planning!V22</f>
        <v/>
      </c>
      <c r="BW29" s="886" t="n"/>
      <c r="BX29" s="105" t="n"/>
      <c r="BY29" s="885">
        <f>Planning!Y22</f>
        <v/>
      </c>
      <c r="BZ29" s="885">
        <f>Planning!Z22</f>
        <v/>
      </c>
      <c r="CA29" s="886" t="n"/>
      <c r="CB29" s="105" t="n"/>
      <c r="CC29" s="885">
        <f>Planning!AC22</f>
        <v/>
      </c>
      <c r="CD29" s="885">
        <f>Planning!AD22</f>
        <v/>
      </c>
      <c r="CE29" s="886" t="n"/>
      <c r="CF29" s="105" t="n"/>
      <c r="CG29" s="887">
        <f>Planning!AG22</f>
        <v/>
      </c>
      <c r="CH29" s="105" t="n"/>
      <c r="CI29" s="252">
        <f>IF(BC29="","",Planning!AI22)</f>
        <v/>
      </c>
      <c r="CJ29" s="252">
        <f>IF(BC29="","",Planning!AJ22)</f>
        <v/>
      </c>
      <c r="CK29" s="252">
        <f>IF(BC29="","",Planning!AK22)</f>
        <v/>
      </c>
      <c r="CL29" s="252">
        <f>IF(BC29="","",Planning!AH22)</f>
        <v/>
      </c>
      <c r="CM29" s="21" t="n"/>
    </row>
    <row r="30" ht="12.75" customHeight="1">
      <c r="A30" s="161">
        <f>IFERROR(IF(VLOOKUP($B30,$BC$13:$CL$86,36,FALSE)&gt;5,0,IF(COUNTIF($B$13:$B$63,$B30)&gt;1,0,18)),18)+IF(B30&lt;&gt;0,0,IF(AV30&gt;0,0.000001,0))</f>
        <v/>
      </c>
      <c r="B30" s="129" t="n"/>
      <c r="C30" s="127">
        <f>IFERROR(IF($B30="","",VLOOKUP($B30,Medewerker!$C$8:$AI$107,33,FALSE)),"?")</f>
        <v/>
      </c>
      <c r="D30" s="890">
        <f t="array" ref="D30">IFERROR(IF(LEFT(INDEX($F30:$AQ30,1,SUM(SMALL(IF($F30:$AQ30&lt;&gt;"",COLUMN($F30:$AQ30)),1)-5)),1)="x",SUM(SMALL(IF($F30:$AQ30&lt;&gt;"",$F$11:$AQ$11),1)+"0:15"),SMALL(IF($F30:$AQ30&lt;&gt;"",$F$11:$AQ$11),1)),"")</f>
        <v/>
      </c>
      <c r="E30" s="890">
        <f t="array" ref="E30">IFERROR(IF(LEFT(INDEX($F30:$AQ30,1,SUM(LARGE(IF($F30:$AQ30&lt;&gt;"",COLUMN($F30:$AQ30)),1)-5)),1)="x",SUM(LARGE(IF($F30:$AQ30&lt;&gt;"",$F$11:$AQ$11+"0:30:00"),1)-"0:15"),LARGE(IF($F30:$AQ30&lt;&gt;"",$F$11:$AQ$11+"0:30:00"),1)),"")</f>
        <v/>
      </c>
      <c r="F30" s="40" t="n"/>
      <c r="G30" s="41" t="n"/>
      <c r="H30" s="40" t="n"/>
      <c r="I30" s="42" t="n"/>
      <c r="J30" s="43" t="n"/>
      <c r="K30" s="41" t="n"/>
      <c r="L30" s="40" t="n"/>
      <c r="M30" s="42" t="n"/>
      <c r="N30" s="43" t="n"/>
      <c r="O30" s="41" t="n"/>
      <c r="P30" s="40" t="n"/>
      <c r="Q30" s="42" t="n"/>
      <c r="R30" s="43" t="n"/>
      <c r="S30" s="41" t="n"/>
      <c r="T30" s="40" t="n"/>
      <c r="U30" s="42" t="n"/>
      <c r="V30" s="43" t="n"/>
      <c r="W30" s="41" t="n"/>
      <c r="X30" s="40" t="n"/>
      <c r="Y30" s="42" t="n"/>
      <c r="Z30" s="43" t="n"/>
      <c r="AA30" s="41" t="n"/>
      <c r="AB30" s="40" t="n"/>
      <c r="AC30" s="42" t="n"/>
      <c r="AD30" s="43" t="n"/>
      <c r="AE30" s="41" t="n"/>
      <c r="AF30" s="40" t="n"/>
      <c r="AG30" s="42" t="n"/>
      <c r="AH30" s="43" t="n"/>
      <c r="AI30" s="41" t="n"/>
      <c r="AJ30" s="40" t="n"/>
      <c r="AK30" s="42" t="n"/>
      <c r="AL30" s="43" t="n"/>
      <c r="AM30" s="41" t="n"/>
      <c r="AN30" s="645" t="n"/>
      <c r="AO30" s="42" t="n"/>
      <c r="AP30" s="40" t="n"/>
      <c r="AQ30" s="41" t="n"/>
      <c r="AR30" s="888">
        <f>IFERROR(IF(VLOOKUP($B30,Medewerker!$C$8:$AG$107,31,FALSE)="",VLOOKUP($B30,Medewerker!$C$8:$AG$107,29,FALSE),0),0)</f>
        <v/>
      </c>
      <c r="AS30" s="889">
        <f>IFERROR(IF(B30="",1,IF(VLOOKUP($B30,Medewerker!$C$8:$AG$107,31,FALSE)="",VLOOKUP($B30,Medewerker!$C$8:$AG$107,30,FALSE),0)),0)</f>
        <v/>
      </c>
      <c r="AT30" s="30" t="n"/>
      <c r="AU30" s="30">
        <f>(COUNTIF(F30:AQ30,"afw"))/2</f>
        <v/>
      </c>
      <c r="AV30" s="111">
        <f>((38-(COUNTIF(F30:AQ30,"")))/2)-(COUNTIF(F30:AQ30,"p")/2)-(COUNTIF(F30:AQ30,CONCATENATE("x","*"))/4)</f>
        <v/>
      </c>
      <c r="AW30" s="73">
        <f>IF($B30="","",VLOOKUP($B30,Medewerker!$C$8:$E$107,3,FALSE))</f>
        <v/>
      </c>
      <c r="AX30" s="403">
        <f>IFERROR(VLOOKUP($B30,Planning!$B$6:$AG$105,32,FALSE)*24,"")</f>
        <v/>
      </c>
      <c r="AY30" s="564" t="inlineStr">
        <is>
          <t>vcr</t>
        </is>
      </c>
      <c r="AZ30" s="561" t="inlineStr">
        <is>
          <t>Risicoartikelen tellen</t>
        </is>
      </c>
      <c r="BA30" s="140">
        <f>COUNTIF($F$13:$AQ$63,CONCATENATE(AY30,"*"))/2+COUNTIF($F$13:$AQ$63,CONCATENATE("x",AY30,"*"))/4</f>
        <v/>
      </c>
      <c r="BB30" s="838" t="n"/>
      <c r="BC30" s="31">
        <f>IF(Planning!B23="","",Planning!B23)</f>
        <v/>
      </c>
      <c r="BD30" s="105" t="n"/>
      <c r="BE30" s="885">
        <f>Planning!E23</f>
        <v/>
      </c>
      <c r="BF30" s="885">
        <f>Planning!F23</f>
        <v/>
      </c>
      <c r="BG30" s="886" t="n"/>
      <c r="BH30" s="105" t="n"/>
      <c r="BI30" s="885">
        <f>Planning!I23</f>
        <v/>
      </c>
      <c r="BJ30" s="885">
        <f>Planning!J23</f>
        <v/>
      </c>
      <c r="BK30" s="886" t="n"/>
      <c r="BL30" s="105" t="n"/>
      <c r="BM30" s="885">
        <f>Planning!M23</f>
        <v/>
      </c>
      <c r="BN30" s="885">
        <f>Planning!N23</f>
        <v/>
      </c>
      <c r="BO30" s="886" t="n"/>
      <c r="BP30" s="105" t="n"/>
      <c r="BQ30" s="885">
        <f>Planning!Q23</f>
        <v/>
      </c>
      <c r="BR30" s="885">
        <f>Planning!R23</f>
        <v/>
      </c>
      <c r="BS30" s="886" t="n"/>
      <c r="BT30" s="105" t="n"/>
      <c r="BU30" s="885">
        <f>Planning!U23</f>
        <v/>
      </c>
      <c r="BV30" s="885">
        <f>Planning!V23</f>
        <v/>
      </c>
      <c r="BW30" s="886" t="n"/>
      <c r="BX30" s="105" t="n"/>
      <c r="BY30" s="885">
        <f>Planning!Y23</f>
        <v/>
      </c>
      <c r="BZ30" s="885">
        <f>Planning!Z23</f>
        <v/>
      </c>
      <c r="CA30" s="886" t="n"/>
      <c r="CB30" s="105" t="n"/>
      <c r="CC30" s="885">
        <f>Planning!AC23</f>
        <v/>
      </c>
      <c r="CD30" s="885">
        <f>Planning!AD23</f>
        <v/>
      </c>
      <c r="CE30" s="886" t="n"/>
      <c r="CF30" s="105" t="n"/>
      <c r="CG30" s="887">
        <f>Planning!AG23</f>
        <v/>
      </c>
      <c r="CH30" s="105" t="n"/>
      <c r="CI30" s="252">
        <f>IF(BC30="","",Planning!AI23)</f>
        <v/>
      </c>
      <c r="CJ30" s="252">
        <f>IF(BC30="","",Planning!AJ23)</f>
        <v/>
      </c>
      <c r="CK30" s="252">
        <f>IF(BC30="","",Planning!AK23)</f>
        <v/>
      </c>
      <c r="CL30" s="252">
        <f>IF(BC30="","",Planning!AH23)</f>
        <v/>
      </c>
      <c r="CM30" s="21" t="n"/>
    </row>
    <row r="31" ht="12.75" customHeight="1">
      <c r="A31" s="161">
        <f>IFERROR(IF(VLOOKUP($B31,$BC$13:$CL$86,36,FALSE)&gt;5,0,IF(COUNTIF($B$13:$B$63,$B31)&gt;1,0,19)),19)+IF(B31&lt;&gt;0,0,IF(AV31&gt;0,0.000001,0))</f>
        <v/>
      </c>
      <c r="B31" s="129" t="inlineStr">
        <is>
          <t>Rachid Ahrass</t>
        </is>
      </c>
      <c r="C31" s="127">
        <f>IFERROR(IF($B31="","",VLOOKUP($B31,Medewerker!$C$8:$AI$107,33,FALSE)),"?")</f>
        <v/>
      </c>
      <c r="D31" s="890">
        <f t="array" ref="D31">IFERROR(IF(LEFT(INDEX($F31:$AQ31,1,SUM(SMALL(IF($F31:$AQ31&lt;&gt;"",COLUMN($F31:$AQ31)),1)-5)),1)="x",SUM(SMALL(IF($F31:$AQ31&lt;&gt;"",$F$11:$AQ$11),1)+"0:15"),SMALL(IF($F31:$AQ31&lt;&gt;"",$F$11:$AQ$11),1)),"")</f>
        <v/>
      </c>
      <c r="E31" s="890">
        <f t="array" ref="E31">IFERROR(IF(LEFT(INDEX($F31:$AQ31,1,SUM(LARGE(IF($F31:$AQ31&lt;&gt;"",COLUMN($F31:$AQ31)),1)-5)),1)="x",SUM(LARGE(IF($F31:$AQ31&lt;&gt;"",$F$11:$AQ$11+"0:30:00"),1)-"0:15"),LARGE(IF($F31:$AQ31&lt;&gt;"",$F$11:$AQ$11+"0:30:00"),1)),"")</f>
        <v/>
      </c>
      <c r="F31" s="40" t="n"/>
      <c r="G31" s="41" t="n"/>
      <c r="H31" s="40" t="n"/>
      <c r="I31" s="42" t="n"/>
      <c r="J31" s="43" t="n"/>
      <c r="K31" s="41" t="n"/>
      <c r="L31" s="40" t="n"/>
      <c r="M31" s="42" t="n"/>
      <c r="N31" s="43" t="n"/>
      <c r="O31" s="41" t="n"/>
      <c r="P31" s="40" t="n"/>
      <c r="Q31" s="42" t="n"/>
      <c r="R31" s="43" t="n"/>
      <c r="S31" s="41" t="n"/>
      <c r="T31" s="40" t="n"/>
      <c r="U31" s="42" t="n"/>
      <c r="V31" s="43" t="n"/>
      <c r="W31" s="41" t="n"/>
      <c r="X31" s="40" t="inlineStr">
        <is>
          <t>nh</t>
        </is>
      </c>
      <c r="Y31" s="42" t="inlineStr">
        <is>
          <t>nh</t>
        </is>
      </c>
      <c r="Z31" s="43" t="inlineStr">
        <is>
          <t>nh</t>
        </is>
      </c>
      <c r="AA31" s="41" t="inlineStr">
        <is>
          <t>nh</t>
        </is>
      </c>
      <c r="AB31" s="40" t="inlineStr">
        <is>
          <t>nh</t>
        </is>
      </c>
      <c r="AC31" s="42" t="inlineStr">
        <is>
          <t>nh</t>
        </is>
      </c>
      <c r="AD31" s="43" t="inlineStr">
        <is>
          <t>nh</t>
        </is>
      </c>
      <c r="AE31" s="41" t="inlineStr">
        <is>
          <t>nh</t>
        </is>
      </c>
      <c r="AF31" s="40" t="inlineStr">
        <is>
          <t>nh</t>
        </is>
      </c>
      <c r="AG31" s="42" t="inlineStr">
        <is>
          <t>p</t>
        </is>
      </c>
      <c r="AH31" s="43" t="inlineStr">
        <is>
          <t>ma</t>
        </is>
      </c>
      <c r="AI31" s="41" t="inlineStr">
        <is>
          <t>ma</t>
        </is>
      </c>
      <c r="AJ31" s="40" t="inlineStr">
        <is>
          <t>l</t>
        </is>
      </c>
      <c r="AK31" s="42" t="inlineStr">
        <is>
          <t>sp</t>
        </is>
      </c>
      <c r="AL31" s="43" t="inlineStr">
        <is>
          <t>sp</t>
        </is>
      </c>
      <c r="AM31" s="41" t="inlineStr">
        <is>
          <t>ma</t>
        </is>
      </c>
      <c r="AN31" s="645" t="n"/>
      <c r="AO31" s="42" t="n"/>
      <c r="AP31" s="40" t="n"/>
      <c r="AQ31" s="41" t="n"/>
      <c r="AR31" s="888">
        <f>IFERROR(IF(VLOOKUP($B31,Medewerker!$C$8:$AG$107,31,FALSE)="",VLOOKUP($B31,Medewerker!$C$8:$AG$107,29,FALSE),0),0)</f>
        <v/>
      </c>
      <c r="AS31" s="889">
        <f>IFERROR(IF(B31="",1,IF(VLOOKUP($B31,Medewerker!$C$8:$AG$107,31,FALSE)="",VLOOKUP($B31,Medewerker!$C$8:$AG$107,30,FALSE),0)),0)</f>
        <v/>
      </c>
      <c r="AT31" s="30" t="n"/>
      <c r="AU31" s="30">
        <f>(COUNTIF(F31:AQ31,"afw"))/2</f>
        <v/>
      </c>
      <c r="AV31" s="111">
        <f>((38-(COUNTIF(F31:AQ31,"")))/2)-(COUNTIF(F31:AQ31,"p")/2)-(COUNTIF(F31:AQ31,CONCATENATE("x","*"))/4)</f>
        <v/>
      </c>
      <c r="AW31" s="73">
        <f>IF($B31="","",VLOOKUP($B31,Medewerker!$C$8:$E$107,3,FALSE))</f>
        <v/>
      </c>
      <c r="AX31" s="403">
        <f>IFERROR(VLOOKUP($B31,Planning!$B$6:$AG$105,32,FALSE)*24,"")</f>
        <v/>
      </c>
      <c r="AY31" s="882" t="inlineStr">
        <is>
          <t>Magazijn</t>
        </is>
      </c>
      <c r="AZ31" s="883" t="n"/>
      <c r="BA31" s="884" t="n"/>
      <c r="BB31" s="838" t="n"/>
      <c r="BC31" s="31">
        <f>IF(Planning!B24="","",Planning!B24)</f>
        <v/>
      </c>
      <c r="BD31" s="105" t="n"/>
      <c r="BE31" s="885">
        <f>Planning!E24</f>
        <v/>
      </c>
      <c r="BF31" s="885">
        <f>Planning!F24</f>
        <v/>
      </c>
      <c r="BG31" s="886" t="n"/>
      <c r="BH31" s="105" t="n"/>
      <c r="BI31" s="885">
        <f>Planning!I24</f>
        <v/>
      </c>
      <c r="BJ31" s="885">
        <f>Planning!J24</f>
        <v/>
      </c>
      <c r="BK31" s="886" t="n"/>
      <c r="BL31" s="105" t="n"/>
      <c r="BM31" s="885">
        <f>Planning!M24</f>
        <v/>
      </c>
      <c r="BN31" s="885">
        <f>Planning!N24</f>
        <v/>
      </c>
      <c r="BO31" s="886" t="n"/>
      <c r="BP31" s="105" t="n"/>
      <c r="BQ31" s="885">
        <f>Planning!Q24</f>
        <v/>
      </c>
      <c r="BR31" s="885">
        <f>Planning!R24</f>
        <v/>
      </c>
      <c r="BS31" s="886" t="n"/>
      <c r="BT31" s="105" t="n"/>
      <c r="BU31" s="885">
        <f>Planning!U24</f>
        <v/>
      </c>
      <c r="BV31" s="885">
        <f>Planning!V24</f>
        <v/>
      </c>
      <c r="BW31" s="886" t="n"/>
      <c r="BX31" s="105" t="n"/>
      <c r="BY31" s="885">
        <f>Planning!Y24</f>
        <v/>
      </c>
      <c r="BZ31" s="885">
        <f>Planning!Z24</f>
        <v/>
      </c>
      <c r="CA31" s="886" t="n"/>
      <c r="CB31" s="105" t="n"/>
      <c r="CC31" s="885">
        <f>Planning!AC24</f>
        <v/>
      </c>
      <c r="CD31" s="885">
        <f>Planning!AD24</f>
        <v/>
      </c>
      <c r="CE31" s="886" t="n"/>
      <c r="CF31" s="105" t="n"/>
      <c r="CG31" s="887">
        <f>Planning!AG24</f>
        <v/>
      </c>
      <c r="CH31" s="105" t="n"/>
      <c r="CI31" s="252">
        <f>IF(BC31="","",Planning!AI24)</f>
        <v/>
      </c>
      <c r="CJ31" s="252">
        <f>IF(BC31="","",Planning!AJ24)</f>
        <v/>
      </c>
      <c r="CK31" s="252">
        <f>IF(BC31="","",Planning!AK24)</f>
        <v/>
      </c>
      <c r="CL31" s="252">
        <f>IF(BC31="","",Planning!AH24)</f>
        <v/>
      </c>
      <c r="CM31" s="21" t="n"/>
    </row>
    <row r="32" ht="12.75" customHeight="1">
      <c r="A32" s="161">
        <f>IFERROR(IF(VLOOKUP($B32,$BC$13:$CL$86,36,FALSE)&gt;5,0,IF(COUNTIF($B$13:$B$63,$B32)&gt;1,0,20)),20)+IF(B32&lt;&gt;0,0,IF(AV32&gt;0,0.000001,0))</f>
        <v/>
      </c>
      <c r="B32" s="129" t="n"/>
      <c r="C32" s="48">
        <f>IFERROR(IF($B32="","",VLOOKUP($B32,Medewerker!$C$8:$AI$107,33,FALSE)),"?")</f>
        <v/>
      </c>
      <c r="D32" s="879">
        <f t="array" ref="D32">IFERROR(IF(LEFT(INDEX($F32:$AQ32,1,SUM(SMALL(IF($F32:$AQ32&lt;&gt;"",COLUMN($F32:$AQ32)),1)-5)),1)="x",SUM(SMALL(IF($F32:$AQ32&lt;&gt;"",$F$11:$AQ$11),1)+"0:15"),SMALL(IF($F32:$AQ32&lt;&gt;"",$F$11:$AQ$11),1)),"")</f>
        <v/>
      </c>
      <c r="E32" s="879">
        <f t="array" ref="E32">IFERROR(IF(LEFT(INDEX($F32:$AQ32,1,SUM(LARGE(IF($F32:$AQ32&lt;&gt;"",COLUMN($F32:$AQ32)),1)-5)),1)="x",SUM(LARGE(IF($F32:$AQ32&lt;&gt;"",$F$11:$AQ$11+"0:30:00"),1)-"0:15"),LARGE(IF($F32:$AQ32&lt;&gt;"",$F$11:$AQ$11+"0:30:00"),1)),"")</f>
        <v/>
      </c>
      <c r="F32" s="40" t="n"/>
      <c r="G32" s="41" t="n"/>
      <c r="H32" s="40" t="n"/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  <c r="AL32" s="41" t="n"/>
      <c r="AM32" s="41" t="n"/>
      <c r="AN32" s="41" t="n"/>
      <c r="AO32" s="42" t="n"/>
      <c r="AP32" s="40" t="n"/>
      <c r="AQ32" s="41" t="n"/>
      <c r="AR32" s="888">
        <f>IFERROR(IF(VLOOKUP($B32,Medewerker!$C$8:$AG$107,31,FALSE)="",VLOOKUP($B32,Medewerker!$C$8:$AG$107,29,FALSE),0),0)</f>
        <v/>
      </c>
      <c r="AS32" s="889">
        <f>IFERROR(IF(B32="",1,IF(VLOOKUP($B32,Medewerker!$C$8:$AG$107,31,FALSE)="",VLOOKUP($B32,Medewerker!$C$8:$AG$107,30,FALSE),0)),0)</f>
        <v/>
      </c>
      <c r="AT32" s="30" t="n"/>
      <c r="AU32" s="30">
        <f>(COUNTIF(F32:AQ32,"afw"))/2</f>
        <v/>
      </c>
      <c r="AV32" s="111">
        <f>((38-(COUNTIF(F32:AQ32,"")))/2)-(COUNTIF(F32:AQ32,"p")/2)-(COUNTIF(F32:AQ32,CONCATENATE("x","*"))/4)</f>
        <v/>
      </c>
      <c r="AW32" s="73">
        <f>IF($B32="","",VLOOKUP($B32,Medewerker!$C$8:$E$107,3,FALSE))</f>
        <v/>
      </c>
      <c r="AX32" s="403">
        <f>IFERROR(VLOOKUP($B32,Planning!$B$6:$AG$105,32,FALSE)*24,"")</f>
        <v/>
      </c>
      <c r="AY32" s="407" t="inlineStr">
        <is>
          <t>l</t>
        </is>
      </c>
      <c r="AZ32" s="166" t="inlineStr">
        <is>
          <t>Lossen/Retouren</t>
        </is>
      </c>
      <c r="BA32" s="111">
        <f>COUNTIF($F$13:$AQ$63,CONCATENATE(AY32,"*"))/2+COUNTIF($F$13:$AQ$63,CONCATENATE("x",AY32,"*"))/4-SUM(BA27:BA29)</f>
        <v/>
      </c>
      <c r="BB32" s="838" t="n"/>
      <c r="BC32" s="31">
        <f>IF(Planning!B25="","",Planning!B25)</f>
        <v/>
      </c>
      <c r="BD32" s="105" t="n"/>
      <c r="BE32" s="885">
        <f>Planning!E25</f>
        <v/>
      </c>
      <c r="BF32" s="885">
        <f>Planning!F25</f>
        <v/>
      </c>
      <c r="BG32" s="886" t="n"/>
      <c r="BH32" s="105" t="n"/>
      <c r="BI32" s="885">
        <f>Planning!I25</f>
        <v/>
      </c>
      <c r="BJ32" s="885">
        <f>Planning!J25</f>
        <v/>
      </c>
      <c r="BK32" s="886" t="n"/>
      <c r="BL32" s="105" t="n"/>
      <c r="BM32" s="885">
        <f>Planning!M25</f>
        <v/>
      </c>
      <c r="BN32" s="885">
        <f>Planning!N25</f>
        <v/>
      </c>
      <c r="BO32" s="886" t="n"/>
      <c r="BP32" s="105" t="n"/>
      <c r="BQ32" s="885">
        <f>Planning!Q25</f>
        <v/>
      </c>
      <c r="BR32" s="885">
        <f>Planning!R25</f>
        <v/>
      </c>
      <c r="BS32" s="886" t="n"/>
      <c r="BT32" s="105" t="n"/>
      <c r="BU32" s="885">
        <f>Planning!U25</f>
        <v/>
      </c>
      <c r="BV32" s="885">
        <f>Planning!V25</f>
        <v/>
      </c>
      <c r="BW32" s="886" t="n"/>
      <c r="BX32" s="105" t="n"/>
      <c r="BY32" s="885">
        <f>Planning!Y25</f>
        <v/>
      </c>
      <c r="BZ32" s="885">
        <f>Planning!Z25</f>
        <v/>
      </c>
      <c r="CA32" s="886" t="n"/>
      <c r="CB32" s="105" t="n"/>
      <c r="CC32" s="885">
        <f>Planning!AC25</f>
        <v/>
      </c>
      <c r="CD32" s="885">
        <f>Planning!AD25</f>
        <v/>
      </c>
      <c r="CE32" s="886" t="n"/>
      <c r="CF32" s="105" t="n"/>
      <c r="CG32" s="887">
        <f>Planning!AG25</f>
        <v/>
      </c>
      <c r="CH32" s="105" t="n"/>
      <c r="CI32" s="252">
        <f>IF(BC32="","",Planning!AI25)</f>
        <v/>
      </c>
      <c r="CJ32" s="252">
        <f>IF(BC32="","",Planning!AJ25)</f>
        <v/>
      </c>
      <c r="CK32" s="252">
        <f>IF(BC32="","",Planning!AK25)</f>
        <v/>
      </c>
      <c r="CL32" s="252">
        <f>IF(BC32="","",Planning!AH25)</f>
        <v/>
      </c>
      <c r="CM32" s="21" t="n"/>
    </row>
    <row r="33" ht="12.75" customHeight="1">
      <c r="A33" s="161">
        <f>IFERROR(IF(VLOOKUP($B33,$BC$13:$CL$86,36,FALSE)&gt;5,0,IF(COUNTIF($B$13:$B$63,$B33)&gt;1,0,21)),21)+IF(B33&lt;&gt;0,0,IF(AV33&gt;0,0.000001,0))</f>
        <v/>
      </c>
      <c r="B33" s="129" t="inlineStr">
        <is>
          <t>Laila Bishir</t>
        </is>
      </c>
      <c r="C33" s="48">
        <f>IFERROR(IF($B33="","",VLOOKUP($B33,Medewerker!$C$8:$AI$107,33,FALSE)),"?")</f>
        <v/>
      </c>
      <c r="D33" s="879">
        <f t="array" ref="D33">IFERROR(IF(LEFT(INDEX($F33:$AQ33,1,SUM(SMALL(IF($F33:$AQ33&lt;&gt;"",COLUMN($F33:$AQ33)),1)-5)),1)="x",SUM(SMALL(IF($F33:$AQ33&lt;&gt;"",$F$11:$AQ$11),1)+"0:15"),SMALL(IF($F33:$AQ33&lt;&gt;"",$F$11:$AQ$11),1)),"")</f>
        <v/>
      </c>
      <c r="E33" s="879">
        <f t="array" ref="E33">IFERROR(IF(LEFT(INDEX($F33:$AQ33,1,SUM(LARGE(IF($F33:$AQ33&lt;&gt;"",COLUMN($F33:$AQ33)),1)-5)),1)="x",SUM(LARGE(IF($F33:$AQ33&lt;&gt;"",$F$11:$AQ$11+"0:30:00"),1)-"0:15"),LARGE(IF($F33:$AQ33&lt;&gt;"",$F$11:$AQ$11+"0:30:00"),1)),"")</f>
        <v/>
      </c>
      <c r="F33" s="40" t="n"/>
      <c r="G33" s="41" t="n"/>
      <c r="H33" s="40" t="n"/>
      <c r="I33" s="41" t="n"/>
      <c r="J33" s="43" t="inlineStr">
        <is>
          <t>vv</t>
        </is>
      </c>
      <c r="K33" s="41" t="inlineStr">
        <is>
          <t>vv</t>
        </is>
      </c>
      <c r="L33" s="40" t="inlineStr">
        <is>
          <t>vv</t>
        </is>
      </c>
      <c r="M33" s="42" t="inlineStr">
        <is>
          <t>vv</t>
        </is>
      </c>
      <c r="N33" s="43" t="inlineStr">
        <is>
          <t>vv</t>
        </is>
      </c>
      <c r="O33" s="41" t="inlineStr">
        <is>
          <t>vv</t>
        </is>
      </c>
      <c r="P33" s="40" t="inlineStr">
        <is>
          <t>vv</t>
        </is>
      </c>
      <c r="Q33" s="42" t="inlineStr">
        <is>
          <t>p</t>
        </is>
      </c>
      <c r="R33" s="43" t="inlineStr">
        <is>
          <t>vv</t>
        </is>
      </c>
      <c r="S33" s="41" t="inlineStr">
        <is>
          <t>vv</t>
        </is>
      </c>
      <c r="T33" s="40" t="inlineStr">
        <is>
          <t>vv</t>
        </is>
      </c>
      <c r="U33" s="42" t="inlineStr">
        <is>
          <t>vv</t>
        </is>
      </c>
      <c r="V33" s="43" t="inlineStr">
        <is>
          <t>vv</t>
        </is>
      </c>
      <c r="W33" s="41" t="inlineStr">
        <is>
          <t>vv</t>
        </is>
      </c>
      <c r="X33" s="40" t="n"/>
      <c r="Y33" s="42" t="n"/>
      <c r="Z33" s="43" t="n"/>
      <c r="AA33" s="41" t="n"/>
      <c r="AB33" s="40" t="n"/>
      <c r="AC33" s="42" t="n"/>
      <c r="AD33" s="43" t="n"/>
      <c r="AE33" s="41" t="n"/>
      <c r="AF33" s="40" t="n"/>
      <c r="AG33" s="42" t="n"/>
      <c r="AH33" s="43" t="n"/>
      <c r="AI33" s="41" t="n"/>
      <c r="AJ33" s="40" t="n"/>
      <c r="AK33" s="42" t="n"/>
      <c r="AL33" s="43" t="n"/>
      <c r="AM33" s="41" t="n"/>
      <c r="AN33" s="645" t="n"/>
      <c r="AO33" s="42" t="n"/>
      <c r="AP33" s="40" t="n"/>
      <c r="AQ33" s="41" t="n"/>
      <c r="AR33" s="888">
        <f>IFERROR(IF(VLOOKUP($B33,Medewerker!$C$8:$AG$107,31,FALSE)="",VLOOKUP($B33,Medewerker!$C$8:$AG$107,29,FALSE),0),0)</f>
        <v/>
      </c>
      <c r="AS33" s="889">
        <f>IFERROR(IF(B33="",1,IF(VLOOKUP($B33,Medewerker!$C$8:$AG$107,31,FALSE)="",VLOOKUP($B33,Medewerker!$C$8:$AG$107,30,FALSE),0)),0)</f>
        <v/>
      </c>
      <c r="AT33" s="30" t="n"/>
      <c r="AU33" s="30">
        <f>(COUNTIF(F33:AQ33,"afw"))/2</f>
        <v/>
      </c>
      <c r="AV33" s="111">
        <f>((38-(COUNTIF(F33:AQ33,"")))/2)-(COUNTIF(F33:AQ33,"p")/2)-(COUNTIF(F33:AQ33,CONCATENATE("x","*"))/4)</f>
        <v/>
      </c>
      <c r="AW33" s="73">
        <f>IF($B33="","",VLOOKUP($B33,Medewerker!$C$8:$E$107,3,FALSE))</f>
        <v/>
      </c>
      <c r="AX33" s="403">
        <f>IFERROR(VLOOKUP($B33,Planning!$B$6:$AG$105,32,FALSE)*24,"")</f>
        <v/>
      </c>
      <c r="AY33" s="407" t="inlineStr">
        <is>
          <t>ma</t>
        </is>
      </c>
      <c r="AZ33" s="166" t="inlineStr">
        <is>
          <t>Magazijn</t>
        </is>
      </c>
      <c r="BA33" s="111">
        <f>COUNTIF($F$13:$AQ$63,CONCATENATE(AY33,"*"))/2+COUNTIF($F$13:$AQ$63,CONCATENATE("x",AY33,"*"))/4</f>
        <v/>
      </c>
      <c r="BB33" s="838" t="n"/>
      <c r="BC33" s="31">
        <f>IF(Planning!B26="","",Planning!B26)</f>
        <v/>
      </c>
      <c r="BD33" s="105" t="n"/>
      <c r="BE33" s="885">
        <f>Planning!E26</f>
        <v/>
      </c>
      <c r="BF33" s="885">
        <f>Planning!F26</f>
        <v/>
      </c>
      <c r="BG33" s="886" t="n"/>
      <c r="BH33" s="105" t="n"/>
      <c r="BI33" s="885">
        <f>Planning!I26</f>
        <v/>
      </c>
      <c r="BJ33" s="885">
        <f>Planning!J26</f>
        <v/>
      </c>
      <c r="BK33" s="886" t="n"/>
      <c r="BL33" s="105" t="n"/>
      <c r="BM33" s="885">
        <f>Planning!M26</f>
        <v/>
      </c>
      <c r="BN33" s="885">
        <f>Planning!N26</f>
        <v/>
      </c>
      <c r="BO33" s="886" t="n"/>
      <c r="BP33" s="105" t="n"/>
      <c r="BQ33" s="885">
        <f>Planning!Q26</f>
        <v/>
      </c>
      <c r="BR33" s="885">
        <f>Planning!R26</f>
        <v/>
      </c>
      <c r="BS33" s="886" t="n"/>
      <c r="BT33" s="105" t="n"/>
      <c r="BU33" s="885">
        <f>Planning!U26</f>
        <v/>
      </c>
      <c r="BV33" s="885">
        <f>Planning!V26</f>
        <v/>
      </c>
      <c r="BW33" s="886" t="n"/>
      <c r="BX33" s="105" t="n"/>
      <c r="BY33" s="885">
        <f>Planning!Y26</f>
        <v/>
      </c>
      <c r="BZ33" s="885">
        <f>Planning!Z26</f>
        <v/>
      </c>
      <c r="CA33" s="886" t="n"/>
      <c r="CB33" s="105" t="n"/>
      <c r="CC33" s="885">
        <f>Planning!AC26</f>
        <v/>
      </c>
      <c r="CD33" s="885">
        <f>Planning!AD26</f>
        <v/>
      </c>
      <c r="CE33" s="886" t="n"/>
      <c r="CF33" s="105" t="n"/>
      <c r="CG33" s="887">
        <f>Planning!AG26</f>
        <v/>
      </c>
      <c r="CH33" s="105" t="n"/>
      <c r="CI33" s="252">
        <f>IF(BC33="","",Planning!AI26)</f>
        <v/>
      </c>
      <c r="CJ33" s="252">
        <f>IF(BC33="","",Planning!AJ26)</f>
        <v/>
      </c>
      <c r="CK33" s="252">
        <f>IF(BC33="","",Planning!AK26)</f>
        <v/>
      </c>
      <c r="CL33" s="252">
        <f>IF(BC33="","",Planning!AH26)</f>
        <v/>
      </c>
      <c r="CM33" s="21" t="n"/>
    </row>
    <row r="34" ht="12.75" customHeight="1">
      <c r="A34" s="161">
        <f>IFERROR(IF(VLOOKUP($B34,$BC$13:$CL$86,36,FALSE)&gt;5,0,IF(COUNTIF($B$13:$B$63,$B34)&gt;1,0,22)),22)+IF(B34&lt;&gt;0,0,IF(AV34&gt;0,0.000001,0))</f>
        <v/>
      </c>
      <c r="B34" s="129" t="n"/>
      <c r="C34" s="48">
        <f>IFERROR(IF($B34="","",VLOOKUP($B34,Medewerker!$C$8:$AI$107,33,FALSE)),"?")</f>
        <v/>
      </c>
      <c r="D34" s="879">
        <f t="array" ref="D34">IFERROR(IF(LEFT(INDEX($F34:$AQ34,1,SUM(SMALL(IF($F34:$AQ34&lt;&gt;"",COLUMN($F34:$AQ34)),1)-5)),1)="x",SUM(SMALL(IF($F34:$AQ34&lt;&gt;"",$F$11:$AQ$11),1)+"0:15"),SMALL(IF($F34:$AQ34&lt;&gt;"",$F$11:$AQ$11),1)),"")</f>
        <v/>
      </c>
      <c r="E34" s="879">
        <f t="array" ref="E34">IFERROR(IF(LEFT(INDEX($F34:$AQ34,1,SUM(LARGE(IF($F34:$AQ34&lt;&gt;"",COLUMN($F34:$AQ34)),1)-5)),1)="x",SUM(LARGE(IF($F34:$AQ34&lt;&gt;"",$F$11:$AQ$11+"0:30:00"),1)-"0:15"),LARGE(IF($F34:$AQ34&lt;&gt;"",$F$11:$AQ$11+"0:30:00"),1)),"")</f>
        <v/>
      </c>
      <c r="F34" s="40" t="n"/>
      <c r="G34" s="41" t="n"/>
      <c r="H34" s="40" t="n"/>
      <c r="I34" s="41" t="n"/>
      <c r="J34" s="43" t="n"/>
      <c r="K34" s="41" t="n"/>
      <c r="L34" s="40" t="n"/>
      <c r="M34" s="42" t="n"/>
      <c r="N34" s="43" t="n"/>
      <c r="O34" s="41" t="n"/>
      <c r="P34" s="40" t="n"/>
      <c r="Q34" s="42" t="n"/>
      <c r="R34" s="43" t="n"/>
      <c r="S34" s="41" t="n"/>
      <c r="T34" s="40" t="n"/>
      <c r="U34" s="42" t="n"/>
      <c r="V34" s="43" t="n"/>
      <c r="W34" s="41" t="n"/>
      <c r="X34" s="40" t="n"/>
      <c r="Y34" s="42" t="n"/>
      <c r="Z34" s="43" t="n"/>
      <c r="AA34" s="41" t="n"/>
      <c r="AB34" s="40" t="n"/>
      <c r="AC34" s="42" t="n"/>
      <c r="AD34" s="43" t="n"/>
      <c r="AE34" s="41" t="n"/>
      <c r="AF34" s="40" t="n"/>
      <c r="AG34" s="42" t="n"/>
      <c r="AH34" s="43" t="n"/>
      <c r="AI34" s="41" t="n"/>
      <c r="AJ34" s="40" t="n"/>
      <c r="AK34" s="42" t="n"/>
      <c r="AL34" s="43" t="n"/>
      <c r="AM34" s="41" t="n"/>
      <c r="AN34" s="645" t="n"/>
      <c r="AO34" s="42" t="n"/>
      <c r="AP34" s="40" t="n"/>
      <c r="AQ34" s="41" t="n"/>
      <c r="AR34" s="888">
        <f>IFERROR(IF(VLOOKUP($B34,Medewerker!$C$8:$AG$107,31,FALSE)="",VLOOKUP($B34,Medewerker!$C$8:$AG$107,29,FALSE),0),0)</f>
        <v/>
      </c>
      <c r="AS34" s="889">
        <f>IFERROR(IF(B34="",1,IF(VLOOKUP($B34,Medewerker!$C$8:$AG$107,31,FALSE)="",VLOOKUP($B34,Medewerker!$C$8:$AG$107,30,FALSE),0)),0)</f>
        <v/>
      </c>
      <c r="AT34" s="30" t="n"/>
      <c r="AU34" s="30">
        <f>(COUNTIF(F34:AQ34,"afw"))/2</f>
        <v/>
      </c>
      <c r="AV34" s="111">
        <f>((38-(COUNTIF(F34:AQ34,"")))/2)-(COUNTIF(F34:AQ34,"p")/2)-(COUNTIF(F34:AQ34,CONCATENATE("x","*"))/4)</f>
        <v/>
      </c>
      <c r="AW34" s="73">
        <f>IF($B34="","",VLOOKUP($B34,Medewerker!$C$8:$E$107,3,FALSE))</f>
        <v/>
      </c>
      <c r="AX34" s="403">
        <f>IFERROR(VLOOKUP($B34,Planning!$B$6:$AG$105,32,FALSE)*24,"")</f>
        <v/>
      </c>
      <c r="AY34" s="407" t="inlineStr">
        <is>
          <t>sp</t>
        </is>
      </c>
      <c r="AZ34" s="166" t="inlineStr">
        <is>
          <t>Splitsen</t>
        </is>
      </c>
      <c r="BA34" s="111">
        <f>COUNTIF($F$13:$AQ$63,CONCATENATE(AY34,"*"))/2+COUNTIF($F$13:$AQ$63,CONCATENATE("x",AY34,"*"))/4</f>
        <v/>
      </c>
      <c r="BB34" s="838" t="n"/>
      <c r="BC34" s="31">
        <f>IF(Planning!B27="","",Planning!B27)</f>
        <v/>
      </c>
      <c r="BD34" s="105" t="n"/>
      <c r="BE34" s="885">
        <f>Planning!E27</f>
        <v/>
      </c>
      <c r="BF34" s="885">
        <f>Planning!F27</f>
        <v/>
      </c>
      <c r="BG34" s="886" t="n"/>
      <c r="BH34" s="105" t="n"/>
      <c r="BI34" s="885">
        <f>Planning!I27</f>
        <v/>
      </c>
      <c r="BJ34" s="885">
        <f>Planning!J27</f>
        <v/>
      </c>
      <c r="BK34" s="886" t="n"/>
      <c r="BL34" s="105" t="n"/>
      <c r="BM34" s="885">
        <f>Planning!M27</f>
        <v/>
      </c>
      <c r="BN34" s="885">
        <f>Planning!N27</f>
        <v/>
      </c>
      <c r="BO34" s="886" t="n"/>
      <c r="BP34" s="105" t="n"/>
      <c r="BQ34" s="885">
        <f>Planning!Q27</f>
        <v/>
      </c>
      <c r="BR34" s="885">
        <f>Planning!R27</f>
        <v/>
      </c>
      <c r="BS34" s="886" t="n"/>
      <c r="BT34" s="105" t="n"/>
      <c r="BU34" s="885">
        <f>Planning!U27</f>
        <v/>
      </c>
      <c r="BV34" s="885">
        <f>Planning!V27</f>
        <v/>
      </c>
      <c r="BW34" s="886" t="n"/>
      <c r="BX34" s="105" t="n"/>
      <c r="BY34" s="885">
        <f>Planning!Y27</f>
        <v/>
      </c>
      <c r="BZ34" s="885">
        <f>Planning!Z27</f>
        <v/>
      </c>
      <c r="CA34" s="886" t="n"/>
      <c r="CB34" s="105" t="n"/>
      <c r="CC34" s="885">
        <f>Planning!AC27</f>
        <v/>
      </c>
      <c r="CD34" s="885">
        <f>Planning!AD27</f>
        <v/>
      </c>
      <c r="CE34" s="886" t="n"/>
      <c r="CF34" s="105" t="n"/>
      <c r="CG34" s="887">
        <f>Planning!AG27</f>
        <v/>
      </c>
      <c r="CH34" s="105" t="n"/>
      <c r="CI34" s="252">
        <f>IF(BC34="","",Planning!AI27)</f>
        <v/>
      </c>
      <c r="CJ34" s="252">
        <f>IF(BC34="","",Planning!AJ27)</f>
        <v/>
      </c>
      <c r="CK34" s="252">
        <f>IF(BC34="","",Planning!AK27)</f>
        <v/>
      </c>
      <c r="CL34" s="252">
        <f>IF(BC34="","",Planning!AH27)</f>
        <v/>
      </c>
      <c r="CM34" s="21" t="n"/>
    </row>
    <row r="35" ht="12.75" customHeight="1">
      <c r="A35" s="161">
        <f>IFERROR(IF(VLOOKUP($B35,$BC$13:$CL$86,36,FALSE)&gt;5,0,IF(COUNTIF($B$13:$B$63,$B35)&gt;1,0,23)),23)+IF(B35&lt;&gt;0,0,IF(AV35&gt;0,0.000001,0))</f>
        <v/>
      </c>
      <c r="B35" s="129" t="inlineStr">
        <is>
          <t>Viktor Toth</t>
        </is>
      </c>
      <c r="C35" s="48">
        <f>IFERROR(IF($B35="","",VLOOKUP($B35,Medewerker!$C$8:$AI$107,33,FALSE)),"?")</f>
        <v/>
      </c>
      <c r="D35" s="879">
        <f t="array" ref="D35">IFERROR(IF(LEFT(INDEX($F35:$AQ35,1,SUM(SMALL(IF($F35:$AQ35&lt;&gt;"",COLUMN($F35:$AQ35)),1)-5)),1)="x",SUM(SMALL(IF($F35:$AQ35&lt;&gt;"",$F$11:$AQ$11),1)+"0:15"),SMALL(IF($F35:$AQ35&lt;&gt;"",$F$11:$AQ$11),1)),"")</f>
        <v/>
      </c>
      <c r="E35" s="879">
        <f t="array" ref="E35">IFERROR(IF(LEFT(INDEX($F35:$AQ35,1,SUM(LARGE(IF($F35:$AQ35&lt;&gt;"",COLUMN($F35:$AQ35)),1)-5)),1)="x",SUM(LARGE(IF($F35:$AQ35&lt;&gt;"",$F$11:$AQ$11+"0:30:00"),1)-"0:15"),LARGE(IF($F35:$AQ35&lt;&gt;"",$F$11:$AQ$11+"0:30:00"),1)),"")</f>
        <v/>
      </c>
      <c r="F35" s="40" t="n"/>
      <c r="G35" s="41" t="n"/>
      <c r="H35" s="40" t="n"/>
      <c r="I35" s="41" t="n"/>
      <c r="J35" s="43" t="n"/>
      <c r="K35" s="41" t="n"/>
      <c r="L35" s="40" t="n"/>
      <c r="M35" s="42" t="n"/>
      <c r="N35" s="43" t="n"/>
      <c r="O35" s="41" t="n"/>
      <c r="P35" s="40" t="n"/>
      <c r="Q35" s="42" t="n"/>
      <c r="R35" s="43" t="n"/>
      <c r="S35" s="41" t="n"/>
      <c r="T35" s="40" t="n"/>
      <c r="U35" s="42" t="n"/>
      <c r="V35" s="43" t="n"/>
      <c r="W35" s="41" t="n"/>
      <c r="X35" s="40" t="n"/>
      <c r="Y35" s="42" t="n"/>
      <c r="Z35" s="43" t="n"/>
      <c r="AA35" s="41" t="inlineStr">
        <is>
          <t>rv</t>
        </is>
      </c>
      <c r="AB35" s="40" t="inlineStr">
        <is>
          <t>rv</t>
        </is>
      </c>
      <c r="AC35" s="42" t="inlineStr">
        <is>
          <t>rv</t>
        </is>
      </c>
      <c r="AD35" s="43" t="inlineStr">
        <is>
          <t>rv</t>
        </is>
      </c>
      <c r="AE35" s="41" t="inlineStr">
        <is>
          <t>rv</t>
        </is>
      </c>
      <c r="AF35" s="40" t="inlineStr">
        <is>
          <t>rv</t>
        </is>
      </c>
      <c r="AG35" s="42" t="inlineStr">
        <is>
          <t>rv</t>
        </is>
      </c>
      <c r="AH35" s="43" t="inlineStr">
        <is>
          <t>rv</t>
        </is>
      </c>
      <c r="AI35" s="41" t="inlineStr">
        <is>
          <t>p</t>
        </is>
      </c>
      <c r="AJ35" s="40" t="inlineStr">
        <is>
          <t>l</t>
        </is>
      </c>
      <c r="AK35" s="42" t="inlineStr">
        <is>
          <t>sp</t>
        </is>
      </c>
      <c r="AL35" s="43" t="inlineStr">
        <is>
          <t>sp</t>
        </is>
      </c>
      <c r="AM35" s="41" t="inlineStr">
        <is>
          <t>rv</t>
        </is>
      </c>
      <c r="AN35" s="645" t="inlineStr">
        <is>
          <t>rv</t>
        </is>
      </c>
      <c r="AO35" s="42" t="inlineStr">
        <is>
          <t>rv</t>
        </is>
      </c>
      <c r="AP35" s="40" t="n"/>
      <c r="AQ35" s="41" t="n"/>
      <c r="AR35" s="888">
        <f>IFERROR(IF(VLOOKUP($B35,Medewerker!$C$8:$AG$107,31,FALSE)="",VLOOKUP($B35,Medewerker!$C$8:$AG$107,29,FALSE),0),0)</f>
        <v/>
      </c>
      <c r="AS35" s="889">
        <f>IFERROR(IF(B35="",1,IF(VLOOKUP($B35,Medewerker!$C$8:$AG$107,31,FALSE)="",VLOOKUP($B35,Medewerker!$C$8:$AG$107,30,FALSE),0)),0)</f>
        <v/>
      </c>
      <c r="AT35" s="30" t="n"/>
      <c r="AU35" s="30">
        <f>(COUNTIF(F35:AQ35,"afw"))/2</f>
        <v/>
      </c>
      <c r="AV35" s="111">
        <f>((38-(COUNTIF(F35:AQ35,"")))/2)-(COUNTIF(F35:AQ35,"p")/2)-(COUNTIF(F35:AQ35,CONCATENATE("x","*"))/4)</f>
        <v/>
      </c>
      <c r="AW35" s="73">
        <f>IF($B35="","",VLOOKUP($B35,Medewerker!$C$8:$E$107,3,FALSE))</f>
        <v/>
      </c>
      <c r="AX35" s="403">
        <f>IFERROR(VLOOKUP($B35,Planning!$B$6:$AG$105,32,FALSE)*24,"")</f>
        <v/>
      </c>
      <c r="AY35" s="882" t="inlineStr">
        <is>
          <t>Afprijzen</t>
        </is>
      </c>
      <c r="AZ35" s="883" t="n"/>
      <c r="BA35" s="884" t="n"/>
      <c r="BB35" s="838" t="n"/>
      <c r="BC35" s="31">
        <f>IF(Planning!B28="","",Planning!B28)</f>
        <v/>
      </c>
      <c r="BD35" s="105" t="n"/>
      <c r="BE35" s="885">
        <f>Planning!E28</f>
        <v/>
      </c>
      <c r="BF35" s="885">
        <f>Planning!F28</f>
        <v/>
      </c>
      <c r="BG35" s="886" t="n"/>
      <c r="BH35" s="105" t="n"/>
      <c r="BI35" s="885">
        <f>Planning!I28</f>
        <v/>
      </c>
      <c r="BJ35" s="885">
        <f>Planning!J28</f>
        <v/>
      </c>
      <c r="BK35" s="886" t="n"/>
      <c r="BL35" s="105" t="n"/>
      <c r="BM35" s="885">
        <f>Planning!M28</f>
        <v/>
      </c>
      <c r="BN35" s="885">
        <f>Planning!N28</f>
        <v/>
      </c>
      <c r="BO35" s="886" t="n"/>
      <c r="BP35" s="105" t="n"/>
      <c r="BQ35" s="885">
        <f>Planning!Q28</f>
        <v/>
      </c>
      <c r="BR35" s="885">
        <f>Planning!R28</f>
        <v/>
      </c>
      <c r="BS35" s="886" t="n"/>
      <c r="BT35" s="105" t="n"/>
      <c r="BU35" s="885">
        <f>Planning!U28</f>
        <v/>
      </c>
      <c r="BV35" s="885">
        <f>Planning!V28</f>
        <v/>
      </c>
      <c r="BW35" s="886" t="n"/>
      <c r="BX35" s="105" t="n"/>
      <c r="BY35" s="885">
        <f>Planning!Y28</f>
        <v/>
      </c>
      <c r="BZ35" s="885">
        <f>Planning!Z28</f>
        <v/>
      </c>
      <c r="CA35" s="886" t="n"/>
      <c r="CB35" s="105" t="n"/>
      <c r="CC35" s="885">
        <f>Planning!AC28</f>
        <v/>
      </c>
      <c r="CD35" s="885">
        <f>Planning!AD28</f>
        <v/>
      </c>
      <c r="CE35" s="886" t="n"/>
      <c r="CF35" s="105" t="n"/>
      <c r="CG35" s="887">
        <f>Planning!AG28</f>
        <v/>
      </c>
      <c r="CH35" s="105" t="n"/>
      <c r="CI35" s="252">
        <f>IF(BC35="","",Planning!AI28)</f>
        <v/>
      </c>
      <c r="CJ35" s="252">
        <f>IF(BC35="","",Planning!AJ28)</f>
        <v/>
      </c>
      <c r="CK35" s="252">
        <f>IF(BC35="","",Planning!AK28)</f>
        <v/>
      </c>
      <c r="CL35" s="252">
        <f>IF(BC35="","",Planning!AH28)</f>
        <v/>
      </c>
      <c r="CM35" s="21" t="n"/>
    </row>
    <row r="36" ht="12.75" customHeight="1">
      <c r="A36" s="161">
        <f>IFERROR(IF(VLOOKUP($B36,$BC$13:$CL$86,36,FALSE)&gt;5,0,IF(COUNTIF($B$13:$B$63,$B36)&gt;1,0,24)),24)+IF(B36&lt;&gt;0,0,IF(AV36&gt;0,0.000001,0))</f>
        <v/>
      </c>
      <c r="B36" s="129" t="inlineStr">
        <is>
          <t>Umer</t>
        </is>
      </c>
      <c r="C36" s="48">
        <f>IFERROR(IF($B36="","",VLOOKUP($B36,Medewerker!$C$8:$AI$107,33,FALSE)),"?")</f>
        <v/>
      </c>
      <c r="D36" s="879">
        <f t="array" ref="D36">IFERROR(IF(LEFT(INDEX($F36:$AQ36,1,SUM(SMALL(IF($F36:$AQ36&lt;&gt;"",COLUMN($F36:$AQ36)),1)-5)),1)="x",SUM(SMALL(IF($F36:$AQ36&lt;&gt;"",$F$11:$AQ$11),1)+"0:15"),SMALL(IF($F36:$AQ36&lt;&gt;"",$F$11:$AQ$11),1)),"")</f>
        <v/>
      </c>
      <c r="E36" s="879">
        <f t="array" ref="E36">IFERROR(IF(LEFT(INDEX($F36:$AQ36,1,SUM(LARGE(IF($F36:$AQ36&lt;&gt;"",COLUMN($F36:$AQ36)),1)-5)),1)="x",SUM(LARGE(IF($F36:$AQ36&lt;&gt;"",$F$11:$AQ$11+"0:30:00"),1)-"0:15"),LARGE(IF($F36:$AQ36&lt;&gt;"",$F$11:$AQ$11+"0:30:00"),1)),"")</f>
        <v/>
      </c>
      <c r="F36" s="43" t="n"/>
      <c r="G36" s="42" t="n"/>
      <c r="H36" s="43" t="n"/>
      <c r="I36" s="42" t="n"/>
      <c r="J36" s="43" t="n"/>
      <c r="K36" s="41" t="n"/>
      <c r="L36" s="40" t="n"/>
      <c r="M36" s="42" t="n"/>
      <c r="N36" s="43" t="n"/>
      <c r="O36" s="41" t="n"/>
      <c r="P36" s="40" t="n"/>
      <c r="Q36" s="42" t="n"/>
      <c r="R36" s="43" t="n"/>
      <c r="S36" s="41" t="n"/>
      <c r="T36" s="40" t="n"/>
      <c r="U36" s="42" t="n"/>
      <c r="V36" s="43" t="n"/>
      <c r="W36" s="41" t="n"/>
      <c r="X36" s="40" t="n"/>
      <c r="Y36" s="42" t="n"/>
      <c r="Z36" s="43" t="n"/>
      <c r="AA36" s="41" t="n"/>
      <c r="AB36" s="40" t="inlineStr">
        <is>
          <t>rv</t>
        </is>
      </c>
      <c r="AC36" s="42" t="inlineStr">
        <is>
          <t>rv</t>
        </is>
      </c>
      <c r="AD36" s="43" t="inlineStr">
        <is>
          <t>rv</t>
        </is>
      </c>
      <c r="AE36" s="41" t="inlineStr">
        <is>
          <t>rv</t>
        </is>
      </c>
      <c r="AF36" s="40" t="inlineStr">
        <is>
          <t>rv</t>
        </is>
      </c>
      <c r="AG36" s="42" t="inlineStr">
        <is>
          <t>rv</t>
        </is>
      </c>
      <c r="AH36" s="43" t="inlineStr">
        <is>
          <t>rv</t>
        </is>
      </c>
      <c r="AI36" s="41" t="inlineStr">
        <is>
          <t>p</t>
        </is>
      </c>
      <c r="AJ36" s="40" t="inlineStr">
        <is>
          <t>l</t>
        </is>
      </c>
      <c r="AK36" s="42" t="inlineStr">
        <is>
          <t>sp</t>
        </is>
      </c>
      <c r="AL36" s="43" t="inlineStr">
        <is>
          <t>sp</t>
        </is>
      </c>
      <c r="AM36" s="41" t="inlineStr">
        <is>
          <t>rv</t>
        </is>
      </c>
      <c r="AN36" s="645" t="inlineStr">
        <is>
          <t>rv</t>
        </is>
      </c>
      <c r="AO36" s="42" t="inlineStr">
        <is>
          <t>rv</t>
        </is>
      </c>
      <c r="AP36" s="43" t="n"/>
      <c r="AQ36" s="42" t="n"/>
      <c r="AR36" s="888">
        <f>IFERROR(IF(VLOOKUP($B36,Medewerker!$C$8:$AG$107,31,FALSE)="",VLOOKUP($B36,Medewerker!$C$8:$AG$107,29,FALSE),0),0)</f>
        <v/>
      </c>
      <c r="AS36" s="888">
        <f>IFERROR(IF(B36="",1,IF(VLOOKUP($B36,Medewerker!$C$8:$AG$107,31,FALSE)="",VLOOKUP($B36,Medewerker!$C$8:$AG$107,30,FALSE),0)),0)</f>
        <v/>
      </c>
      <c r="AT36" s="45" t="n"/>
      <c r="AU36" s="46">
        <f>(COUNTIF(F36:AQ36,"afw"))/2</f>
        <v/>
      </c>
      <c r="AV36" s="111">
        <f>((38-(COUNTIF(F36:AQ36,"")))/2)-(COUNTIF(F36:AQ36,"p")/2)-(COUNTIF(F36:AQ36,CONCATENATE("x","*"))/4)</f>
        <v/>
      </c>
      <c r="AW36" s="73">
        <f>IF($B36="","",VLOOKUP($B36,Medewerker!$C$8:$E$107,3,FALSE))</f>
        <v/>
      </c>
      <c r="AX36" s="403">
        <f>IFERROR(VLOOKUP($B36,Planning!$B$6:$AG$105,32,FALSE)*24,"")</f>
        <v/>
      </c>
      <c r="AY36" s="559" t="inlineStr">
        <is>
          <t>afp</t>
        </is>
      </c>
      <c r="AZ36" s="71" t="inlineStr">
        <is>
          <t>Afprijzen</t>
        </is>
      </c>
      <c r="BA36" s="111">
        <f>COUNTIF($F$13:$AQ$63,CONCATENATE(AY36,"*"))/2+COUNTIF($F$13:$AQ$63,CONCATENATE("x",AY36,"*"))/4</f>
        <v/>
      </c>
      <c r="BB36" s="838" t="n"/>
      <c r="BC36" s="31">
        <f>IF(Planning!B29="","",Planning!B29)</f>
        <v/>
      </c>
      <c r="BD36" s="105" t="n"/>
      <c r="BE36" s="885">
        <f>Planning!E29</f>
        <v/>
      </c>
      <c r="BF36" s="885">
        <f>Planning!F29</f>
        <v/>
      </c>
      <c r="BG36" s="886" t="n"/>
      <c r="BH36" s="105" t="n"/>
      <c r="BI36" s="885">
        <f>Planning!I29</f>
        <v/>
      </c>
      <c r="BJ36" s="885">
        <f>Planning!J29</f>
        <v/>
      </c>
      <c r="BK36" s="886" t="n"/>
      <c r="BL36" s="105" t="n"/>
      <c r="BM36" s="885">
        <f>Planning!M29</f>
        <v/>
      </c>
      <c r="BN36" s="885">
        <f>Planning!N29</f>
        <v/>
      </c>
      <c r="BO36" s="886" t="n"/>
      <c r="BP36" s="105" t="n"/>
      <c r="BQ36" s="885">
        <f>Planning!Q29</f>
        <v/>
      </c>
      <c r="BR36" s="885">
        <f>Planning!R29</f>
        <v/>
      </c>
      <c r="BS36" s="886" t="n"/>
      <c r="BT36" s="105" t="n"/>
      <c r="BU36" s="885">
        <f>Planning!U29</f>
        <v/>
      </c>
      <c r="BV36" s="885">
        <f>Planning!V29</f>
        <v/>
      </c>
      <c r="BW36" s="886" t="n"/>
      <c r="BX36" s="105" t="n"/>
      <c r="BY36" s="885">
        <f>Planning!Y29</f>
        <v/>
      </c>
      <c r="BZ36" s="885">
        <f>Planning!Z29</f>
        <v/>
      </c>
      <c r="CA36" s="886" t="n"/>
      <c r="CB36" s="105" t="n"/>
      <c r="CC36" s="885">
        <f>Planning!AC29</f>
        <v/>
      </c>
      <c r="CD36" s="885">
        <f>Planning!AD29</f>
        <v/>
      </c>
      <c r="CE36" s="886" t="n"/>
      <c r="CF36" s="105" t="n"/>
      <c r="CG36" s="887">
        <f>Planning!AG29</f>
        <v/>
      </c>
      <c r="CH36" s="105" t="n"/>
      <c r="CI36" s="252">
        <f>IF(BC36="","",Planning!AI29)</f>
        <v/>
      </c>
      <c r="CJ36" s="252">
        <f>IF(BC36="","",Planning!AJ29)</f>
        <v/>
      </c>
      <c r="CK36" s="252">
        <f>IF(BC36="","",Planning!AK29)</f>
        <v/>
      </c>
      <c r="CL36" s="252">
        <f>IF(BC36="","",Planning!AH29)</f>
        <v/>
      </c>
      <c r="CM36" s="21" t="n"/>
    </row>
    <row r="37" ht="12.75" customHeight="1">
      <c r="A37" s="161">
        <f>IFERROR(IF(VLOOKUP($B37,$BC$13:$CL$86,36,FALSE)&gt;5,0,IF(COUNTIF($B$13:$B$63,$B37)&gt;1,0,25)),25)+IF(B37&lt;&gt;0,0,IF(AV37&gt;0,0.000001,0))</f>
        <v/>
      </c>
      <c r="B37" s="129" t="inlineStr">
        <is>
          <t>Lucas</t>
        </is>
      </c>
      <c r="C37" s="48">
        <f>IFERROR(IF($B37="","",VLOOKUP($B37,Medewerker!$C$8:$AI$107,33,FALSE)),"?")</f>
        <v/>
      </c>
      <c r="D37" s="879">
        <f t="array" ref="D37">IFERROR(IF(LEFT(INDEX($F37:$AQ37,1,SUM(SMALL(IF($F37:$AQ37&lt;&gt;"",COLUMN($F37:$AQ37)),1)-5)),1)="x",SUM(SMALL(IF($F37:$AQ37&lt;&gt;"",$F$11:$AQ$11),1)+"0:15"),SMALL(IF($F37:$AQ37&lt;&gt;"",$F$11:$AQ$11),1)),"")</f>
        <v/>
      </c>
      <c r="E37" s="879">
        <f t="array" ref="E37">IFERROR(IF(LEFT(INDEX($F37:$AQ37,1,SUM(LARGE(IF($F37:$AQ37&lt;&gt;"",COLUMN($F37:$AQ37)),1)-5)),1)="x",SUM(LARGE(IF($F37:$AQ37&lt;&gt;"",$F$11:$AQ$11+"0:30:00"),1)-"0:15"),LARGE(IF($F37:$AQ37&lt;&gt;"",$F$11:$AQ$11+"0:30:00"),1)),"")</f>
        <v/>
      </c>
      <c r="F37" s="43" t="n"/>
      <c r="G37" s="42" t="n"/>
      <c r="H37" s="43" t="n"/>
      <c r="I37" s="42" t="n"/>
      <c r="J37" s="43" t="n"/>
      <c r="K37" s="41" t="n"/>
      <c r="L37" s="40" t="n"/>
      <c r="M37" s="42" t="n"/>
      <c r="N37" s="43" t="n"/>
      <c r="O37" s="41" t="n"/>
      <c r="P37" s="40" t="n"/>
      <c r="Q37" s="42" t="n"/>
      <c r="R37" s="43" t="n"/>
      <c r="S37" s="41" t="n"/>
      <c r="T37" s="40" t="n"/>
      <c r="U37" s="42" t="n"/>
      <c r="V37" s="43" t="n"/>
      <c r="W37" s="41" t="n"/>
      <c r="X37" s="40" t="n"/>
      <c r="Y37" s="42" t="n"/>
      <c r="Z37" s="43" t="n"/>
      <c r="AA37" s="41" t="n"/>
      <c r="AB37" s="40" t="n"/>
      <c r="AC37" s="42" t="n"/>
      <c r="AD37" s="43" t="n"/>
      <c r="AE37" s="41" t="n"/>
      <c r="AF37" s="40" t="n"/>
      <c r="AG37" s="42" t="n"/>
      <c r="AH37" s="43" t="n"/>
      <c r="AI37" s="41" t="inlineStr">
        <is>
          <t>vv</t>
        </is>
      </c>
      <c r="AJ37" s="40" t="inlineStr">
        <is>
          <t>vv</t>
        </is>
      </c>
      <c r="AK37" s="42" t="inlineStr">
        <is>
          <t>vv</t>
        </is>
      </c>
      <c r="AL37" s="43" t="inlineStr">
        <is>
          <t>vv</t>
        </is>
      </c>
      <c r="AM37" s="41" t="inlineStr">
        <is>
          <t>vv</t>
        </is>
      </c>
      <c r="AN37" s="645" t="inlineStr">
        <is>
          <t>vv</t>
        </is>
      </c>
      <c r="AO37" s="42" t="inlineStr">
        <is>
          <t>vv</t>
        </is>
      </c>
      <c r="AP37" s="43" t="n"/>
      <c r="AQ37" s="42" t="n"/>
      <c r="AR37" s="888">
        <f>IFERROR(IF(VLOOKUP($B37,Medewerker!$C$8:$AG$107,31,FALSE)="",VLOOKUP($B37,Medewerker!$C$8:$AG$107,29,FALSE),0),0)</f>
        <v/>
      </c>
      <c r="AS37" s="888">
        <f>IFERROR(IF(B37="",1,IF(VLOOKUP($B37,Medewerker!$C$8:$AG$107,31,FALSE)="",VLOOKUP($B37,Medewerker!$C$8:$AG$107,30,FALSE),0)),0)</f>
        <v/>
      </c>
      <c r="AT37" s="45" t="n"/>
      <c r="AU37" s="46">
        <f>(COUNTIF(F37:AQ37,"afw"))/2</f>
        <v/>
      </c>
      <c r="AV37" s="111">
        <f>((38-(COUNTIF(F37:AQ37,"")))/2)-(COUNTIF(F37:AQ37,"p")/2)-(COUNTIF(F37:AQ37,CONCATENATE("x","*"))/4)</f>
        <v/>
      </c>
      <c r="AW37" s="73">
        <f>IF($B37="","",VLOOKUP($B37,Medewerker!$C$8:$E$107,3,FALSE))</f>
        <v/>
      </c>
      <c r="AX37" s="403">
        <f>IFERROR(VLOOKUP($B37,Planning!$B$6:$AG$105,32,FALSE)*24,"")</f>
        <v/>
      </c>
      <c r="AY37" s="560" t="inlineStr">
        <is>
          <t>cb</t>
        </is>
      </c>
      <c r="AZ37" s="166" t="inlineStr">
        <is>
          <t>Codeboek</t>
        </is>
      </c>
      <c r="BA37" s="111">
        <f>COUNTIF($F$13:$AQ$63,CONCATENATE(AY37,"*"))/2+COUNTIF($F$13:$AQ$63,CONCATENATE("x",AY37,"*"))/4</f>
        <v/>
      </c>
      <c r="BB37" s="838" t="n"/>
      <c r="BC37" s="31">
        <f>IF(Planning!B30="","",Planning!B30)</f>
        <v/>
      </c>
      <c r="BD37" s="105" t="n"/>
      <c r="BE37" s="885">
        <f>Planning!E30</f>
        <v/>
      </c>
      <c r="BF37" s="885">
        <f>Planning!F30</f>
        <v/>
      </c>
      <c r="BG37" s="886" t="n"/>
      <c r="BH37" s="105" t="n"/>
      <c r="BI37" s="885">
        <f>Planning!I30</f>
        <v/>
      </c>
      <c r="BJ37" s="885">
        <f>Planning!J30</f>
        <v/>
      </c>
      <c r="BK37" s="886" t="n"/>
      <c r="BL37" s="105" t="n"/>
      <c r="BM37" s="885">
        <f>Planning!M30</f>
        <v/>
      </c>
      <c r="BN37" s="885">
        <f>Planning!N30</f>
        <v/>
      </c>
      <c r="BO37" s="886" t="n"/>
      <c r="BP37" s="105" t="n"/>
      <c r="BQ37" s="885">
        <f>Planning!Q30</f>
        <v/>
      </c>
      <c r="BR37" s="885">
        <f>Planning!R30</f>
        <v/>
      </c>
      <c r="BS37" s="886" t="n"/>
      <c r="BT37" s="105" t="n"/>
      <c r="BU37" s="885">
        <f>Planning!U30</f>
        <v/>
      </c>
      <c r="BV37" s="885">
        <f>Planning!V30</f>
        <v/>
      </c>
      <c r="BW37" s="886" t="n"/>
      <c r="BX37" s="105" t="n"/>
      <c r="BY37" s="885">
        <f>Planning!Y30</f>
        <v/>
      </c>
      <c r="BZ37" s="885">
        <f>Planning!Z30</f>
        <v/>
      </c>
      <c r="CA37" s="886" t="n"/>
      <c r="CB37" s="105" t="n"/>
      <c r="CC37" s="885">
        <f>Planning!AC30</f>
        <v/>
      </c>
      <c r="CD37" s="885">
        <f>Planning!AD30</f>
        <v/>
      </c>
      <c r="CE37" s="886" t="n"/>
      <c r="CF37" s="105" t="n"/>
      <c r="CG37" s="887">
        <f>Planning!AG30</f>
        <v/>
      </c>
      <c r="CH37" s="105" t="n"/>
      <c r="CI37" s="252">
        <f>IF(BC37="","",Planning!AI30)</f>
        <v/>
      </c>
      <c r="CJ37" s="252">
        <f>IF(BC37="","",Planning!AJ30)</f>
        <v/>
      </c>
      <c r="CK37" s="252">
        <f>IF(BC37="","",Planning!AK30)</f>
        <v/>
      </c>
      <c r="CL37" s="252">
        <f>IF(BC37="","",Planning!AH30)</f>
        <v/>
      </c>
      <c r="CM37" s="21" t="n"/>
    </row>
    <row r="38" ht="12.75" customHeight="1">
      <c r="A38" s="161">
        <f>IFERROR(IF(VLOOKUP($B38,$BC$13:$CL$86,36,FALSE)&gt;5,0,IF(COUNTIF($B$13:$B$63,$B38)&gt;1,0,26)),26)+IF(B38&lt;&gt;0,0,IF(AV38&gt;0,0.000001,0))</f>
        <v/>
      </c>
      <c r="B38" s="129" t="inlineStr">
        <is>
          <t>Sevgyul</t>
        </is>
      </c>
      <c r="C38" s="48">
        <f>IFERROR(IF($B38="","",VLOOKUP($B38,Medewerker!$C$8:$AI$107,33,FALSE)),"?")</f>
        <v/>
      </c>
      <c r="D38" s="879">
        <f t="array" ref="D38">IFERROR(IF(LEFT(INDEX($F38:$AQ38,1,SUM(SMALL(IF($F38:$AQ38&lt;&gt;"",COLUMN($F38:$AQ38)),1)-5)),1)="x",SUM(SMALL(IF($F38:$AQ38&lt;&gt;"",$F$11:$AQ$11),1)+"0:15"),SMALL(IF($F38:$AQ38&lt;&gt;"",$F$11:$AQ$11),1)),"")</f>
        <v/>
      </c>
      <c r="E38" s="879">
        <f t="array" ref="E38">IFERROR(IF(LEFT(INDEX($F38:$AQ38,1,SUM(LARGE(IF($F38:$AQ38&lt;&gt;"",COLUMN($F38:$AQ38)),1)-5)),1)="x",SUM(LARGE(IF($F38:$AQ38&lt;&gt;"",$F$11:$AQ$11+"0:30:00"),1)-"0:15"),LARGE(IF($F38:$AQ38&lt;&gt;"",$F$11:$AQ$11+"0:30:00"),1)),"")</f>
        <v/>
      </c>
      <c r="F38" s="43" t="n"/>
      <c r="G38" s="42" t="n"/>
      <c r="H38" s="43" t="n"/>
      <c r="I38" s="42" t="n"/>
      <c r="J38" s="43" t="n"/>
      <c r="K38" s="41" t="n"/>
      <c r="L38" s="40" t="n"/>
      <c r="M38" s="42" t="n"/>
      <c r="N38" s="43" t="n"/>
      <c r="O38" s="41" t="n"/>
      <c r="P38" s="40" t="n"/>
      <c r="Q38" s="42" t="n"/>
      <c r="R38" s="43" t="n"/>
      <c r="S38" s="41" t="n"/>
      <c r="T38" s="40" t="n"/>
      <c r="U38" s="42" t="n"/>
      <c r="V38" s="43" t="n"/>
      <c r="W38" s="41" t="n"/>
      <c r="X38" s="40" t="n"/>
      <c r="Y38" s="42" t="n"/>
      <c r="Z38" s="43" t="n"/>
      <c r="AA38" s="41" t="n"/>
      <c r="AB38" s="40" t="n"/>
      <c r="AC38" s="42" t="n"/>
      <c r="AD38" s="43" t="n"/>
      <c r="AE38" s="41" t="n"/>
      <c r="AF38" s="40" t="n"/>
      <c r="AG38" s="42" t="n"/>
      <c r="AH38" s="43" t="n"/>
      <c r="AI38" s="41" t="inlineStr">
        <is>
          <t>vv</t>
        </is>
      </c>
      <c r="AJ38" s="40" t="inlineStr">
        <is>
          <t>vv</t>
        </is>
      </c>
      <c r="AK38" s="42" t="inlineStr">
        <is>
          <t>vv</t>
        </is>
      </c>
      <c r="AL38" s="43" t="inlineStr">
        <is>
          <t>vv</t>
        </is>
      </c>
      <c r="AM38" s="41" t="inlineStr">
        <is>
          <t>vv</t>
        </is>
      </c>
      <c r="AN38" s="645" t="inlineStr">
        <is>
          <t>vv</t>
        </is>
      </c>
      <c r="AO38" s="42" t="inlineStr">
        <is>
          <t>vv</t>
        </is>
      </c>
      <c r="AP38" s="43" t="n"/>
      <c r="AQ38" s="42" t="n"/>
      <c r="AR38" s="888">
        <f>IFERROR(IF(VLOOKUP($B38,Medewerker!$C$8:$AG$107,31,FALSE)="",VLOOKUP($B38,Medewerker!$C$8:$AG$107,29,FALSE),0),0)</f>
        <v/>
      </c>
      <c r="AS38" s="888">
        <f>IFERROR(IF(B38="",1,IF(VLOOKUP($B38,Medewerker!$C$8:$AG$107,31,FALSE)="",VLOOKUP($B38,Medewerker!$C$8:$AG$107,30,FALSE),0)),0)</f>
        <v/>
      </c>
      <c r="AT38" s="45" t="n"/>
      <c r="AU38" s="46">
        <f>(COUNTIF(F38:AQ38,"afw"))/2</f>
        <v/>
      </c>
      <c r="AV38" s="111">
        <f>((38-(COUNTIF(F38:AQ38,"")))/2)-(COUNTIF(F38:AQ38,"p")/2)-(COUNTIF(F38:AQ38,CONCATENATE("x","*"))/4)</f>
        <v/>
      </c>
      <c r="AW38" s="73">
        <f>IF($B38="","",VLOOKUP($B38,Medewerker!$C$8:$E$107,3,FALSE))</f>
        <v/>
      </c>
      <c r="AX38" s="403">
        <f>IFERROR(VLOOKUP($B38,Planning!$B$6:$AG$105,32,FALSE)*24,"")</f>
        <v/>
      </c>
      <c r="AY38" s="560" t="inlineStr">
        <is>
          <t>nr</t>
        </is>
      </c>
      <c r="AZ38" s="166" t="inlineStr">
        <is>
          <t>Naloopronde</t>
        </is>
      </c>
      <c r="BA38" s="111">
        <f>COUNTIF($F$13:$AQ$63,CONCATENATE(AY38,"*"))/2+COUNTIF($F$13:$AQ$63,CONCATENATE("x",AY38,"*"))/4</f>
        <v/>
      </c>
      <c r="BB38" s="838" t="n"/>
      <c r="BC38" s="31">
        <f>IF(Planning!B31="","",Planning!B31)</f>
        <v/>
      </c>
      <c r="BD38" s="105" t="n"/>
      <c r="BE38" s="885">
        <f>Planning!E31</f>
        <v/>
      </c>
      <c r="BF38" s="885">
        <f>Planning!F31</f>
        <v/>
      </c>
      <c r="BG38" s="886" t="n"/>
      <c r="BH38" s="105" t="n"/>
      <c r="BI38" s="885">
        <f>Planning!I31</f>
        <v/>
      </c>
      <c r="BJ38" s="885">
        <f>Planning!J31</f>
        <v/>
      </c>
      <c r="BK38" s="886" t="n"/>
      <c r="BL38" s="105" t="n"/>
      <c r="BM38" s="885">
        <f>Planning!M31</f>
        <v/>
      </c>
      <c r="BN38" s="885">
        <f>Planning!N31</f>
        <v/>
      </c>
      <c r="BO38" s="886" t="n"/>
      <c r="BP38" s="105" t="n"/>
      <c r="BQ38" s="885">
        <f>Planning!Q31</f>
        <v/>
      </c>
      <c r="BR38" s="885">
        <f>Planning!R31</f>
        <v/>
      </c>
      <c r="BS38" s="886" t="n"/>
      <c r="BT38" s="105" t="n"/>
      <c r="BU38" s="885">
        <f>Planning!U31</f>
        <v/>
      </c>
      <c r="BV38" s="885">
        <f>Planning!V31</f>
        <v/>
      </c>
      <c r="BW38" s="886" t="n"/>
      <c r="BX38" s="105" t="n"/>
      <c r="BY38" s="885">
        <f>Planning!Y31</f>
        <v/>
      </c>
      <c r="BZ38" s="885">
        <f>Planning!Z31</f>
        <v/>
      </c>
      <c r="CA38" s="886" t="n"/>
      <c r="CB38" s="105" t="n"/>
      <c r="CC38" s="885">
        <f>Planning!AC31</f>
        <v/>
      </c>
      <c r="CD38" s="885">
        <f>Planning!AD31</f>
        <v/>
      </c>
      <c r="CE38" s="886" t="n"/>
      <c r="CF38" s="105" t="n"/>
      <c r="CG38" s="887">
        <f>Planning!AG31</f>
        <v/>
      </c>
      <c r="CH38" s="105" t="n"/>
      <c r="CI38" s="252">
        <f>IF(BC38="","",Planning!AI31)</f>
        <v/>
      </c>
      <c r="CJ38" s="252">
        <f>IF(BC38="","",Planning!AJ31)</f>
        <v/>
      </c>
      <c r="CK38" s="252">
        <f>IF(BC38="","",Planning!AK31)</f>
        <v/>
      </c>
      <c r="CL38" s="252">
        <f>IF(BC38="","",Planning!AH31)</f>
        <v/>
      </c>
      <c r="CM38" s="21" t="n"/>
    </row>
    <row r="39" ht="12.75" customHeight="1">
      <c r="A39" s="161">
        <f>IFERROR(IF(VLOOKUP($B39,$BC$13:$CL$86,36,FALSE)&gt;5,0,IF(COUNTIF($B$13:$B$63,$B39)&gt;1,0,27)),27)+IF(B39&lt;&gt;0,0,IF(AV39&gt;0,0.000001,0))</f>
        <v/>
      </c>
      <c r="B39" s="129" t="inlineStr">
        <is>
          <t>Yasmina ibrahimin</t>
        </is>
      </c>
      <c r="C39" s="48">
        <f>IFERROR(IF($B39="","",VLOOKUP($B39,Medewerker!$C$8:$AI$107,33,FALSE)),"?")</f>
        <v/>
      </c>
      <c r="D39" s="879">
        <f t="array" ref="D39">IFERROR(IF(LEFT(INDEX($F39:$AQ39,1,SUM(SMALL(IF($F39:$AQ39&lt;&gt;"",COLUMN($F39:$AQ39)),1)-5)),1)="x",SUM(SMALL(IF($F39:$AQ39&lt;&gt;"",$F$11:$AQ$11),1)+"0:15"),SMALL(IF($F39:$AQ39&lt;&gt;"",$F$11:$AQ$11),1)),"")</f>
        <v/>
      </c>
      <c r="E39" s="879">
        <f t="array" ref="E39">IFERROR(IF(LEFT(INDEX($F39:$AQ39,1,SUM(LARGE(IF($F39:$AQ39&lt;&gt;"",COLUMN($F39:$AQ39)),1)-5)),1)="x",SUM(LARGE(IF($F39:$AQ39&lt;&gt;"",$F$11:$AQ$11+"0:30:00"),1)-"0:15"),LARGE(IF($F39:$AQ39&lt;&gt;"",$F$11:$AQ$11+"0:30:00"),1)),"")</f>
        <v/>
      </c>
      <c r="F39" s="43" t="n"/>
      <c r="G39" s="42" t="n"/>
      <c r="H39" s="43" t="n"/>
      <c r="I39" s="42" t="n"/>
      <c r="J39" s="43" t="n"/>
      <c r="K39" s="41" t="n"/>
      <c r="L39" s="40" t="n"/>
      <c r="M39" s="42" t="n"/>
      <c r="N39" s="43" t="n"/>
      <c r="O39" s="41" t="n"/>
      <c r="P39" s="40" t="n"/>
      <c r="Q39" s="42" t="n"/>
      <c r="R39" s="43" t="n"/>
      <c r="S39" s="41" t="n"/>
      <c r="T39" s="40" t="n"/>
      <c r="U39" s="42" t="n"/>
      <c r="V39" s="43" t="n"/>
      <c r="W39" s="41" t="n"/>
      <c r="X39" s="40" t="n"/>
      <c r="Y39" s="42" t="n"/>
      <c r="Z39" s="43" t="n"/>
      <c r="AA39" s="41" t="inlineStr">
        <is>
          <t>nh</t>
        </is>
      </c>
      <c r="AB39" s="43" t="inlineStr">
        <is>
          <t>nh</t>
        </is>
      </c>
      <c r="AC39" s="43" t="inlineStr">
        <is>
          <t>nh</t>
        </is>
      </c>
      <c r="AD39" s="43" t="inlineStr">
        <is>
          <t>nh</t>
        </is>
      </c>
      <c r="AE39" s="43" t="inlineStr">
        <is>
          <t>nh</t>
        </is>
      </c>
      <c r="AF39" s="43" t="inlineStr">
        <is>
          <t>nh</t>
        </is>
      </c>
      <c r="AG39" s="43" t="inlineStr">
        <is>
          <t>nh</t>
        </is>
      </c>
      <c r="AH39" s="43" t="inlineStr">
        <is>
          <t>nh</t>
        </is>
      </c>
      <c r="AI39" s="41" t="inlineStr">
        <is>
          <t>p</t>
        </is>
      </c>
      <c r="AJ39" s="40" t="inlineStr">
        <is>
          <t>vv</t>
        </is>
      </c>
      <c r="AK39" s="42" t="inlineStr">
        <is>
          <t>vv</t>
        </is>
      </c>
      <c r="AL39" s="43" t="inlineStr">
        <is>
          <t>vv</t>
        </is>
      </c>
      <c r="AM39" s="41" t="inlineStr">
        <is>
          <t>vv</t>
        </is>
      </c>
      <c r="AN39" s="645" t="inlineStr">
        <is>
          <t>vv</t>
        </is>
      </c>
      <c r="AO39" s="42" t="inlineStr">
        <is>
          <t>vv</t>
        </is>
      </c>
      <c r="AP39" s="43" t="n"/>
      <c r="AQ39" s="42" t="n"/>
      <c r="AR39" s="888">
        <f>IFERROR(IF(VLOOKUP($B39,Medewerker!$C$8:$AG$107,31,FALSE)="",VLOOKUP($B39,Medewerker!$C$8:$AG$107,29,FALSE),0),0)</f>
        <v/>
      </c>
      <c r="AS39" s="888">
        <f>IFERROR(IF(B39="",1,IF(VLOOKUP($B39,Medewerker!$C$8:$AG$107,31,FALSE)="",VLOOKUP($B39,Medewerker!$C$8:$AG$107,30,FALSE),0)),0)</f>
        <v/>
      </c>
      <c r="AT39" s="45" t="n"/>
      <c r="AU39" s="46">
        <f>(COUNTIF(F39:AQ39,"afw"))/2</f>
        <v/>
      </c>
      <c r="AV39" s="111">
        <f>((38-(COUNTIF(F39:AQ39,"")))/2)-(COUNTIF(F39:AQ39,"p")/2)-(COUNTIF(F39:AQ39,CONCATENATE("x","*"))/4)</f>
        <v/>
      </c>
      <c r="AW39" s="73">
        <f>IF($B39="","",VLOOKUP($B39,Medewerker!$C$8:$E$107,3,FALSE))</f>
        <v/>
      </c>
      <c r="AX39" s="403">
        <f>IFERROR(VLOOKUP($B39,Planning!$B$6:$AG$105,32,FALSE)*24,"")</f>
        <v/>
      </c>
      <c r="AY39" s="560" t="inlineStr">
        <is>
          <t>us</t>
        </is>
      </c>
      <c r="AZ39" s="166" t="inlineStr">
        <is>
          <t>Vervallen artikelen</t>
        </is>
      </c>
      <c r="BA39" s="111">
        <f>COUNTIF($F$13:$AQ$63,CONCATENATE(AY39,"*"))/2+COUNTIF($F$13:$AQ$63,CONCATENATE("x",AY39,"*"))/4</f>
        <v/>
      </c>
      <c r="BB39" s="838" t="n"/>
      <c r="BC39" s="31">
        <f>IF(Planning!B32="","",Planning!B32)</f>
        <v/>
      </c>
      <c r="BD39" s="105" t="n"/>
      <c r="BE39" s="885">
        <f>Planning!E32</f>
        <v/>
      </c>
      <c r="BF39" s="885">
        <f>Planning!F32</f>
        <v/>
      </c>
      <c r="BG39" s="886" t="n"/>
      <c r="BH39" s="105" t="n"/>
      <c r="BI39" s="885">
        <f>Planning!I32</f>
        <v/>
      </c>
      <c r="BJ39" s="885">
        <f>Planning!J32</f>
        <v/>
      </c>
      <c r="BK39" s="886" t="n"/>
      <c r="BL39" s="105" t="n"/>
      <c r="BM39" s="885">
        <f>Planning!M32</f>
        <v/>
      </c>
      <c r="BN39" s="885">
        <f>Planning!N32</f>
        <v/>
      </c>
      <c r="BO39" s="886" t="n"/>
      <c r="BP39" s="105" t="n"/>
      <c r="BQ39" s="885">
        <f>Planning!Q32</f>
        <v/>
      </c>
      <c r="BR39" s="885">
        <f>Planning!R32</f>
        <v/>
      </c>
      <c r="BS39" s="886" t="n"/>
      <c r="BT39" s="105" t="n"/>
      <c r="BU39" s="885">
        <f>Planning!U32</f>
        <v/>
      </c>
      <c r="BV39" s="885">
        <f>Planning!V32</f>
        <v/>
      </c>
      <c r="BW39" s="886" t="n"/>
      <c r="BX39" s="105" t="n"/>
      <c r="BY39" s="885">
        <f>Planning!Y32</f>
        <v/>
      </c>
      <c r="BZ39" s="885">
        <f>Planning!Z32</f>
        <v/>
      </c>
      <c r="CA39" s="886" t="n"/>
      <c r="CB39" s="105" t="n"/>
      <c r="CC39" s="885">
        <f>Planning!AC32</f>
        <v/>
      </c>
      <c r="CD39" s="885">
        <f>Planning!AD32</f>
        <v/>
      </c>
      <c r="CE39" s="886" t="n"/>
      <c r="CF39" s="105" t="n"/>
      <c r="CG39" s="887">
        <f>Planning!AG32</f>
        <v/>
      </c>
      <c r="CH39" s="105" t="n"/>
      <c r="CI39" s="252">
        <f>IF(BC39="","",Planning!AI32)</f>
        <v/>
      </c>
      <c r="CJ39" s="252">
        <f>IF(BC39="","",Planning!AJ32)</f>
        <v/>
      </c>
      <c r="CK39" s="252">
        <f>IF(BC39="","",Planning!AK32)</f>
        <v/>
      </c>
      <c r="CL39" s="252">
        <f>IF(BC39="","",Planning!AH32)</f>
        <v/>
      </c>
      <c r="CM39" s="21" t="n"/>
    </row>
    <row r="40" ht="12.75" customHeight="1">
      <c r="A40" s="161">
        <f>IFERROR(IF(VLOOKUP($B40,$BC$13:$CL$86,36,FALSE)&gt;5,0,IF(COUNTIF($B$13:$B$63,$B40)&gt;1,0,28)),28)+IF(B40&lt;&gt;0,0,IF(AV40&gt;0,0.000001,0))</f>
        <v/>
      </c>
      <c r="B40" s="129" t="n"/>
      <c r="C40" s="48">
        <f>IFERROR(IF($B40="","",VLOOKUP($B40,Medewerker!$C$8:$AI$107,33,FALSE)),"?")</f>
        <v/>
      </c>
      <c r="D40" s="879">
        <f t="array" ref="D40">IFERROR(IF(LEFT(INDEX($F40:$AQ40,1,SUM(SMALL(IF($F40:$AQ40&lt;&gt;"",COLUMN($F40:$AQ40)),1)-5)),1)="x",SUM(SMALL(IF($F40:$AQ40&lt;&gt;"",$F$11:$AQ$11),1)+"0:15"),SMALL(IF($F40:$AQ40&lt;&gt;"",$F$11:$AQ$11),1)),"")</f>
        <v/>
      </c>
      <c r="E40" s="879">
        <f t="array" ref="E40">IFERROR(IF(LEFT(INDEX($F40:$AQ40,1,SUM(LARGE(IF($F40:$AQ40&lt;&gt;"",COLUMN($F40:$AQ40)),1)-5)),1)="x",SUM(LARGE(IF($F40:$AQ40&lt;&gt;"",$F$11:$AQ$11+"0:30:00"),1)-"0:15"),LARGE(IF($F40:$AQ40&lt;&gt;"",$F$11:$AQ$11+"0:30:00"),1)),"")</f>
        <v/>
      </c>
      <c r="F40" s="43" t="n"/>
      <c r="G40" s="42" t="n"/>
      <c r="H40" s="43" t="n"/>
      <c r="I40" s="42" t="n"/>
      <c r="J40" s="43" t="n"/>
      <c r="K40" s="41" t="n"/>
      <c r="L40" s="40" t="n"/>
      <c r="M40" s="42" t="n"/>
      <c r="N40" s="43" t="n"/>
      <c r="O40" s="41" t="n"/>
      <c r="P40" s="40" t="n"/>
      <c r="Q40" s="42" t="n"/>
      <c r="R40" s="43" t="n"/>
      <c r="S40" s="41" t="n"/>
      <c r="T40" s="40" t="n"/>
      <c r="U40" s="42" t="n"/>
      <c r="V40" s="43" t="n"/>
      <c r="W40" s="41" t="n"/>
      <c r="X40" s="40" t="n"/>
      <c r="Y40" s="42" t="n"/>
      <c r="Z40" s="43" t="n"/>
      <c r="AA40" s="41" t="n"/>
      <c r="AB40" s="40" t="n"/>
      <c r="AC40" s="42" t="n"/>
      <c r="AD40" s="43" t="n"/>
      <c r="AE40" s="41" t="n"/>
      <c r="AF40" s="40" t="n"/>
      <c r="AG40" s="42" t="n"/>
      <c r="AH40" s="43" t="n"/>
      <c r="AI40" s="41" t="n"/>
      <c r="AJ40" s="40" t="n"/>
      <c r="AK40" s="42" t="n"/>
      <c r="AL40" s="43" t="n"/>
      <c r="AM40" s="41" t="n"/>
      <c r="AN40" s="645" t="n"/>
      <c r="AO40" s="42" t="n"/>
      <c r="AP40" s="43" t="n"/>
      <c r="AQ40" s="42" t="n"/>
      <c r="AR40" s="888">
        <f>IFERROR(IF(VLOOKUP($B40,Medewerker!$C$8:$AG$107,31,FALSE)="",VLOOKUP($B40,Medewerker!$C$8:$AG$107,29,FALSE),0),0)</f>
        <v/>
      </c>
      <c r="AS40" s="888">
        <f>IFERROR(IF(B40="",1,IF(VLOOKUP($B40,Medewerker!$C$8:$AG$107,31,FALSE)="",VLOOKUP($B40,Medewerker!$C$8:$AG$107,30,FALSE),0)),0)</f>
        <v/>
      </c>
      <c r="AT40" s="45" t="n"/>
      <c r="AU40" s="46">
        <f>(COUNTIF(F40:AQ40,"afw"))/2</f>
        <v/>
      </c>
      <c r="AV40" s="111">
        <f>((38-(COUNTIF(F40:AQ40,"")))/2)-(COUNTIF(F40:AQ40,"p")/2)-(COUNTIF(F40:AQ40,CONCATENATE("x","*"))/4)</f>
        <v/>
      </c>
      <c r="AW40" s="73">
        <f>IF($B40="","",VLOOKUP($B40,Medewerker!$C$8:$E$107,3,FALSE))</f>
        <v/>
      </c>
      <c r="AX40" s="403">
        <f>IFERROR(VLOOKUP($B40,Planning!$B$6:$AG$105,32,FALSE)*24,"")</f>
        <v/>
      </c>
      <c r="AY40" s="559" t="inlineStr">
        <is>
          <t>ver</t>
        </is>
      </c>
      <c r="AZ40" s="414" t="inlineStr">
        <is>
          <t>Vernietigen/Reststoffen</t>
        </is>
      </c>
      <c r="BA40" s="111">
        <f>COUNTIF($F$13:$AQ$63,CONCATENATE(AY40,"*"))/2+COUNTIF($F$13:$AQ$63,CONCATENATE("x",AY40,"*"))/4</f>
        <v/>
      </c>
      <c r="BB40" s="838" t="n"/>
      <c r="BC40" s="31">
        <f>IF(Planning!B33="","",Planning!B33)</f>
        <v/>
      </c>
      <c r="BD40" s="105" t="n"/>
      <c r="BE40" s="885">
        <f>Planning!E33</f>
        <v/>
      </c>
      <c r="BF40" s="885">
        <f>Planning!F33</f>
        <v/>
      </c>
      <c r="BG40" s="886" t="n"/>
      <c r="BH40" s="105" t="n"/>
      <c r="BI40" s="885">
        <f>Planning!I33</f>
        <v/>
      </c>
      <c r="BJ40" s="885">
        <f>Planning!J33</f>
        <v/>
      </c>
      <c r="BK40" s="886" t="n"/>
      <c r="BL40" s="105" t="n"/>
      <c r="BM40" s="885">
        <f>Planning!M33</f>
        <v/>
      </c>
      <c r="BN40" s="885">
        <f>Planning!N33</f>
        <v/>
      </c>
      <c r="BO40" s="886" t="n"/>
      <c r="BP40" s="105" t="n"/>
      <c r="BQ40" s="885">
        <f>Planning!Q33</f>
        <v/>
      </c>
      <c r="BR40" s="885">
        <f>Planning!R33</f>
        <v/>
      </c>
      <c r="BS40" s="886" t="n"/>
      <c r="BT40" s="105" t="n"/>
      <c r="BU40" s="885">
        <f>Planning!U33</f>
        <v/>
      </c>
      <c r="BV40" s="885">
        <f>Planning!V33</f>
        <v/>
      </c>
      <c r="BW40" s="886" t="n"/>
      <c r="BX40" s="105" t="n"/>
      <c r="BY40" s="885">
        <f>Planning!Y33</f>
        <v/>
      </c>
      <c r="BZ40" s="885">
        <f>Planning!Z33</f>
        <v/>
      </c>
      <c r="CA40" s="886" t="n"/>
      <c r="CB40" s="105" t="n"/>
      <c r="CC40" s="885">
        <f>Planning!AC33</f>
        <v/>
      </c>
      <c r="CD40" s="885">
        <f>Planning!AD33</f>
        <v/>
      </c>
      <c r="CE40" s="886" t="n"/>
      <c r="CF40" s="105" t="n"/>
      <c r="CG40" s="887">
        <f>Planning!AG33</f>
        <v/>
      </c>
      <c r="CH40" s="105" t="n"/>
      <c r="CI40" s="252">
        <f>IF(BC40="","",Planning!AI33)</f>
        <v/>
      </c>
      <c r="CJ40" s="252">
        <f>IF(BC40="","",Planning!AJ33)</f>
        <v/>
      </c>
      <c r="CK40" s="252">
        <f>IF(BC40="","",Planning!AK33)</f>
        <v/>
      </c>
      <c r="CL40" s="252">
        <f>IF(BC40="","",Planning!AH33)</f>
        <v/>
      </c>
      <c r="CM40" s="21" t="n"/>
    </row>
    <row r="41" ht="12.75" customHeight="1">
      <c r="A41" s="161">
        <f>IFERROR(IF(VLOOKUP($B41,$BC$13:$CL$86,36,FALSE)&gt;5,0,IF(COUNTIF($B$13:$B$63,$B41)&gt;1,0,29)),29)+IF(B41&lt;&gt;0,0,IF(AV41&gt;0,0.000001,0))</f>
        <v/>
      </c>
      <c r="B41" s="129" t="inlineStr">
        <is>
          <t>Yulia</t>
        </is>
      </c>
      <c r="C41" s="48">
        <f>IFERROR(IF($B41="","",VLOOKUP($B41,Medewerker!$C$8:$AI$107,33,FALSE)),"?")</f>
        <v/>
      </c>
      <c r="D41" s="879">
        <f t="array" ref="D41">IFERROR(IF(LEFT(INDEX($F41:$AQ41,1,SUM(SMALL(IF($F41:$AQ41&lt;&gt;"",COLUMN($F41:$AQ41)),1)-5)),1)="x",SUM(SMALL(IF($F41:$AQ41&lt;&gt;"",$F$11:$AQ$11),1)+"0:15"),SMALL(IF($F41:$AQ41&lt;&gt;"",$F$11:$AQ$11),1)),"")</f>
        <v/>
      </c>
      <c r="E41" s="879">
        <f t="array" ref="E41">IFERROR(IF(LEFT(INDEX($F41:$AQ41,1,SUM(LARGE(IF($F41:$AQ41&lt;&gt;"",COLUMN($F41:$AQ41)),1)-5)),1)="x",SUM(LARGE(IF($F41:$AQ41&lt;&gt;"",$F$11:$AQ$11+"0:30:00"),1)-"0:15"),LARGE(IF($F41:$AQ41&lt;&gt;"",$F$11:$AQ$11+"0:30:00"),1)),"")</f>
        <v/>
      </c>
      <c r="F41" s="43" t="n"/>
      <c r="G41" s="42" t="n"/>
      <c r="H41" s="43" t="n"/>
      <c r="I41" s="42" t="n"/>
      <c r="J41" s="43" t="n"/>
      <c r="K41" s="41" t="n"/>
      <c r="L41" s="40" t="n"/>
      <c r="M41" s="42" t="n"/>
      <c r="N41" s="43" t="n"/>
      <c r="O41" s="41" t="n"/>
      <c r="P41" s="40" t="n"/>
      <c r="Q41" s="42" t="n"/>
      <c r="R41" s="43" t="n"/>
      <c r="S41" s="41" t="n"/>
      <c r="T41" s="40" t="n"/>
      <c r="U41" s="42" t="n"/>
      <c r="V41" s="43" t="n"/>
      <c r="W41" s="41" t="n"/>
      <c r="X41" s="40" t="n"/>
      <c r="Y41" s="42" t="n"/>
      <c r="Z41" s="43" t="n"/>
      <c r="AA41" s="41" t="n"/>
      <c r="AB41" s="40" t="n"/>
      <c r="AC41" s="42" t="n"/>
      <c r="AD41" s="43" t="n"/>
      <c r="AE41" s="41" t="n"/>
      <c r="AF41" s="40" t="n"/>
      <c r="AG41" s="42" t="n"/>
      <c r="AH41" s="43" t="n"/>
      <c r="AI41" s="41" t="inlineStr">
        <is>
          <t>wv</t>
        </is>
      </c>
      <c r="AJ41" s="41" t="inlineStr">
        <is>
          <t>wv</t>
        </is>
      </c>
      <c r="AK41" s="41" t="inlineStr">
        <is>
          <t>wv</t>
        </is>
      </c>
      <c r="AL41" s="41" t="inlineStr">
        <is>
          <t>wv</t>
        </is>
      </c>
      <c r="AM41" s="41" t="inlineStr">
        <is>
          <t>wv</t>
        </is>
      </c>
      <c r="AN41" s="41" t="inlineStr">
        <is>
          <t>wv</t>
        </is>
      </c>
      <c r="AO41" s="41" t="inlineStr">
        <is>
          <t>wv</t>
        </is>
      </c>
      <c r="AP41" s="41" t="n"/>
      <c r="AQ41" s="42" t="n"/>
      <c r="AR41" s="888">
        <f>IFERROR(IF(VLOOKUP($B41,Medewerker!$C$8:$AG$107,31,FALSE)="",VLOOKUP($B41,Medewerker!$C$8:$AG$107,29,FALSE),0),0)</f>
        <v/>
      </c>
      <c r="AS41" s="888">
        <f>IFERROR(IF(B41="",1,IF(VLOOKUP($B41,Medewerker!$C$8:$AG$107,31,FALSE)="",VLOOKUP($B41,Medewerker!$C$8:$AG$107,30,FALSE),0)),0)</f>
        <v/>
      </c>
      <c r="AT41" s="45" t="n"/>
      <c r="AU41" s="46">
        <f>(COUNTIF(F41:AQ41,"afw"))/2</f>
        <v/>
      </c>
      <c r="AV41" s="111">
        <f>((38-(COUNTIF(F41:AQ41,"")))/2)-(COUNTIF(F41:AQ41,"p")/2)-(COUNTIF(F41:AQ41,CONCATENATE("x","*"))/4)</f>
        <v/>
      </c>
      <c r="AW41" s="73">
        <f>IF($B41="","",VLOOKUP($B41,Medewerker!$C$8:$E$107,3,FALSE))</f>
        <v/>
      </c>
      <c r="AX41" s="403">
        <f>IFERROR(VLOOKUP($B41,Planning!$B$6:$AG$105,32,FALSE)*24,"")</f>
        <v/>
      </c>
      <c r="AY41" s="891" t="inlineStr">
        <is>
          <t>Promo/Presentatie</t>
        </is>
      </c>
      <c r="AZ41" s="883" t="n"/>
      <c r="BA41" s="884" t="n"/>
      <c r="BB41" s="838" t="n"/>
      <c r="BC41" s="31">
        <f>IF(Planning!B34="","",Planning!B34)</f>
        <v/>
      </c>
      <c r="BD41" s="105" t="n"/>
      <c r="BE41" s="885">
        <f>Planning!E34</f>
        <v/>
      </c>
      <c r="BF41" s="885">
        <f>Planning!F34</f>
        <v/>
      </c>
      <c r="BG41" s="886" t="n"/>
      <c r="BH41" s="105" t="n"/>
      <c r="BI41" s="885">
        <f>Planning!I34</f>
        <v/>
      </c>
      <c r="BJ41" s="885">
        <f>Planning!J34</f>
        <v/>
      </c>
      <c r="BK41" s="886" t="n"/>
      <c r="BL41" s="105" t="n"/>
      <c r="BM41" s="885">
        <f>Planning!M34</f>
        <v/>
      </c>
      <c r="BN41" s="885">
        <f>Planning!N34</f>
        <v/>
      </c>
      <c r="BO41" s="886" t="n"/>
      <c r="BP41" s="105" t="n"/>
      <c r="BQ41" s="885">
        <f>Planning!Q34</f>
        <v/>
      </c>
      <c r="BR41" s="885">
        <f>Planning!R34</f>
        <v/>
      </c>
      <c r="BS41" s="886" t="n"/>
      <c r="BT41" s="105" t="n"/>
      <c r="BU41" s="885">
        <f>Planning!U34</f>
        <v/>
      </c>
      <c r="BV41" s="885">
        <f>Planning!V34</f>
        <v/>
      </c>
      <c r="BW41" s="886" t="n"/>
      <c r="BX41" s="105" t="n"/>
      <c r="BY41" s="885">
        <f>Planning!Y34</f>
        <v/>
      </c>
      <c r="BZ41" s="885">
        <f>Planning!Z34</f>
        <v/>
      </c>
      <c r="CA41" s="886" t="n"/>
      <c r="CB41" s="105" t="n"/>
      <c r="CC41" s="885">
        <f>Planning!AC34</f>
        <v/>
      </c>
      <c r="CD41" s="885">
        <f>Planning!AD34</f>
        <v/>
      </c>
      <c r="CE41" s="886" t="n"/>
      <c r="CF41" s="105" t="n"/>
      <c r="CG41" s="887">
        <f>Planning!AG34</f>
        <v/>
      </c>
      <c r="CH41" s="105" t="n"/>
      <c r="CI41" s="252">
        <f>IF(BC41="","",Planning!AI34)</f>
        <v/>
      </c>
      <c r="CJ41" s="252">
        <f>IF(BC41="","",Planning!AJ34)</f>
        <v/>
      </c>
      <c r="CK41" s="252">
        <f>IF(BC41="","",Planning!AK34)</f>
        <v/>
      </c>
      <c r="CL41" s="252">
        <f>IF(BC41="","",Planning!AH34)</f>
        <v/>
      </c>
      <c r="CM41" s="21" t="n"/>
    </row>
    <row r="42" ht="12.75" customHeight="1">
      <c r="A42" s="161">
        <f>IFERROR(IF(VLOOKUP($B42,$BC$13:$CL$86,36,FALSE)&gt;5,0,IF(COUNTIF($B$13:$B$63,$B42)&gt;1,0,30)),30)+IF(B42&lt;&gt;0,0,IF(AV42&gt;0,0.000001,0))</f>
        <v/>
      </c>
      <c r="B42" s="129" t="inlineStr">
        <is>
          <t>Ayoub</t>
        </is>
      </c>
      <c r="C42" s="48">
        <f>IFERROR(IF($B42="","",VLOOKUP($B42,Medewerker!$C$8:$AI$107,33,FALSE)),"?")</f>
        <v/>
      </c>
      <c r="D42" s="879">
        <f t="array" ref="D42">IFERROR(IF(LEFT(INDEX($F42:$AQ42,1,SUM(SMALL(IF($F42:$AQ42&lt;&gt;"",COLUMN($F42:$AQ42)),1)-5)),1)="x",SUM(SMALL(IF($F42:$AQ42&lt;&gt;"",$F$11:$AQ$11),1)+"0:15"),SMALL(IF($F42:$AQ42&lt;&gt;"",$F$11:$AQ$11),1)),"")</f>
        <v/>
      </c>
      <c r="E42" s="879">
        <f t="array" ref="E42">IFERROR(IF(LEFT(INDEX($F42:$AQ42,1,SUM(LARGE(IF($F42:$AQ42&lt;&gt;"",COLUMN($F42:$AQ42)),1)-5)),1)="x",SUM(LARGE(IF($F42:$AQ42&lt;&gt;"",$F$11:$AQ$11+"0:30:00"),1)-"0:15"),LARGE(IF($F42:$AQ42&lt;&gt;"",$F$11:$AQ$11+"0:30:00"),1)),"")</f>
        <v/>
      </c>
      <c r="F42" s="43" t="n"/>
      <c r="G42" s="42" t="n"/>
      <c r="H42" s="43" t="n"/>
      <c r="I42" s="42" t="n"/>
      <c r="J42" s="43" t="n"/>
      <c r="K42" s="41" t="n"/>
      <c r="L42" s="40" t="n"/>
      <c r="M42" s="42" t="n"/>
      <c r="N42" s="43" t="n"/>
      <c r="O42" s="41" t="n"/>
      <c r="P42" s="40" t="n"/>
      <c r="Q42" s="42" t="n"/>
      <c r="R42" s="43" t="n"/>
      <c r="S42" s="41" t="n"/>
      <c r="T42" s="40" t="n"/>
      <c r="U42" s="42" t="n"/>
      <c r="V42" s="43" t="n"/>
      <c r="W42" s="41" t="n"/>
      <c r="X42" s="40" t="n"/>
      <c r="Y42" s="42" t="n"/>
      <c r="Z42" s="43" t="n"/>
      <c r="AA42" s="41" t="n"/>
      <c r="AB42" s="40" t="n"/>
      <c r="AC42" s="42" t="n"/>
      <c r="AD42" s="43" t="n"/>
      <c r="AE42" s="41" t="n"/>
      <c r="AF42" s="40" t="n"/>
      <c r="AG42" s="42" t="n"/>
      <c r="AH42" s="43" t="n"/>
      <c r="AI42" s="41" t="inlineStr">
        <is>
          <t>wv</t>
        </is>
      </c>
      <c r="AJ42" s="41" t="inlineStr">
        <is>
          <t>wv</t>
        </is>
      </c>
      <c r="AK42" s="41" t="inlineStr">
        <is>
          <t>wv</t>
        </is>
      </c>
      <c r="AL42" s="41" t="inlineStr">
        <is>
          <t>wv</t>
        </is>
      </c>
      <c r="AM42" s="41" t="inlineStr">
        <is>
          <t>wv</t>
        </is>
      </c>
      <c r="AN42" s="41" t="inlineStr">
        <is>
          <t>wv</t>
        </is>
      </c>
      <c r="AO42" s="41" t="inlineStr">
        <is>
          <t>wv</t>
        </is>
      </c>
      <c r="AP42" s="43" t="n"/>
      <c r="AQ42" s="42" t="n"/>
      <c r="AR42" s="888">
        <f>IFERROR(IF(VLOOKUP($B42,Medewerker!$C$8:$AG$107,31,FALSE)="",VLOOKUP($B42,Medewerker!$C$8:$AG$107,29,FALSE),0),0)</f>
        <v/>
      </c>
      <c r="AS42" s="888">
        <f>IFERROR(IF(B42="",1,IF(VLOOKUP($B42,Medewerker!$C$8:$AG$107,31,FALSE)="",VLOOKUP($B42,Medewerker!$C$8:$AG$107,30,FALSE),0)),0)</f>
        <v/>
      </c>
      <c r="AT42" s="45" t="n"/>
      <c r="AU42" s="46">
        <f>(COUNTIF(F42:AQ42,"afw"))/2</f>
        <v/>
      </c>
      <c r="AV42" s="111">
        <f>((38-(COUNTIF(F42:AQ42,"")))/2)-(COUNTIF(F42:AQ42,"p")/2)-(COUNTIF(F42:AQ42,CONCATENATE("x","*"))/4)</f>
        <v/>
      </c>
      <c r="AW42" s="73">
        <f>IF($B42="","",VLOOKUP($B42,Medewerker!$C$8:$E$107,3,FALSE))</f>
        <v/>
      </c>
      <c r="AX42" s="403">
        <f>IFERROR(VLOOKUP($B42,Planning!$B$6:$AG$105,32,FALSE)*24,"")</f>
        <v/>
      </c>
      <c r="AY42" s="559" t="inlineStr">
        <is>
          <t>act</t>
        </is>
      </c>
      <c r="AZ42" s="71" t="inlineStr">
        <is>
          <t>Actieopbouw</t>
        </is>
      </c>
      <c r="BA42" s="111">
        <f>COUNTIF($F$13:$AQ$63,CONCATENATE(AY42,"*"))/2+COUNTIF($F$13:$AQ$63,CONCATENATE("x",AY42,"*"))/4</f>
        <v/>
      </c>
      <c r="BB42" s="838" t="n"/>
      <c r="BC42" s="31">
        <f>IF(Planning!B35="","",Planning!B35)</f>
        <v/>
      </c>
      <c r="BD42" s="105" t="n"/>
      <c r="BE42" s="885">
        <f>Planning!E35</f>
        <v/>
      </c>
      <c r="BF42" s="885">
        <f>Planning!F35</f>
        <v/>
      </c>
      <c r="BG42" s="886" t="n"/>
      <c r="BH42" s="105" t="n"/>
      <c r="BI42" s="885">
        <f>Planning!I35</f>
        <v/>
      </c>
      <c r="BJ42" s="885">
        <f>Planning!J35</f>
        <v/>
      </c>
      <c r="BK42" s="886" t="n"/>
      <c r="BL42" s="105" t="n"/>
      <c r="BM42" s="885">
        <f>Planning!M35</f>
        <v/>
      </c>
      <c r="BN42" s="885">
        <f>Planning!N35</f>
        <v/>
      </c>
      <c r="BO42" s="886" t="n"/>
      <c r="BP42" s="105" t="n"/>
      <c r="BQ42" s="885">
        <f>Planning!Q35</f>
        <v/>
      </c>
      <c r="BR42" s="885">
        <f>Planning!R35</f>
        <v/>
      </c>
      <c r="BS42" s="886" t="n"/>
      <c r="BT42" s="105" t="n"/>
      <c r="BU42" s="885">
        <f>Planning!U35</f>
        <v/>
      </c>
      <c r="BV42" s="885">
        <f>Planning!V35</f>
        <v/>
      </c>
      <c r="BW42" s="886" t="n"/>
      <c r="BX42" s="105" t="n"/>
      <c r="BY42" s="885">
        <f>Planning!Y35</f>
        <v/>
      </c>
      <c r="BZ42" s="885">
        <f>Planning!Z35</f>
        <v/>
      </c>
      <c r="CA42" s="886" t="n"/>
      <c r="CB42" s="105" t="n"/>
      <c r="CC42" s="885">
        <f>Planning!AC35</f>
        <v/>
      </c>
      <c r="CD42" s="885">
        <f>Planning!AD35</f>
        <v/>
      </c>
      <c r="CE42" s="886" t="n"/>
      <c r="CF42" s="105" t="n"/>
      <c r="CG42" s="887">
        <f>Planning!AG35</f>
        <v/>
      </c>
      <c r="CH42" s="105" t="n"/>
      <c r="CI42" s="252">
        <f>IF(BC42="","",Planning!AI35)</f>
        <v/>
      </c>
      <c r="CJ42" s="252">
        <f>IF(BC42="","",Planning!AJ35)</f>
        <v/>
      </c>
      <c r="CK42" s="252">
        <f>IF(BC42="","",Planning!AK35)</f>
        <v/>
      </c>
      <c r="CL42" s="252">
        <f>IF(BC42="","",Planning!AH35)</f>
        <v/>
      </c>
      <c r="CM42" s="21" t="n"/>
    </row>
    <row r="43" ht="12.75" customHeight="1">
      <c r="A43" s="161">
        <f>IFERROR(IF(VLOOKUP($B43,$BC$13:$CL$86,36,FALSE)&gt;5,0,IF(COUNTIF($B$13:$B$63,$B43)&gt;1,0,31)),31)+IF(B43&lt;&gt;0,0,IF(AV43&gt;0,0.000001,0))</f>
        <v/>
      </c>
      <c r="B43" s="129" t="inlineStr">
        <is>
          <t>Soumia</t>
        </is>
      </c>
      <c r="C43" s="48">
        <f>IFERROR(IF($B43="","",VLOOKUP($B43,Medewerker!$C$8:$AI$107,33,FALSE)),"?")</f>
        <v/>
      </c>
      <c r="D43" s="879">
        <f t="array" ref="D43">IFERROR(IF(LEFT(INDEX($F43:$AQ43,1,SUM(SMALL(IF($F43:$AQ43&lt;&gt;"",COLUMN($F43:$AQ43)),1)-5)),1)="x",SUM(SMALL(IF($F43:$AQ43&lt;&gt;"",$F$11:$AQ$11),1)+"0:15"),SMALL(IF($F43:$AQ43&lt;&gt;"",$F$11:$AQ$11),1)),"")</f>
        <v/>
      </c>
      <c r="E43" s="879">
        <f t="array" ref="E43">IFERROR(IF(LEFT(INDEX($F43:$AQ43,1,SUM(LARGE(IF($F43:$AQ43&lt;&gt;"",COLUMN($F43:$AQ43)),1)-5)),1)="x",SUM(LARGE(IF($F43:$AQ43&lt;&gt;"",$F$11:$AQ$11+"0:30:00"),1)-"0:15"),LARGE(IF($F43:$AQ43&lt;&gt;"",$F$11:$AQ$11+"0:30:00"),1)),"")</f>
        <v/>
      </c>
      <c r="F43" s="43" t="n"/>
      <c r="G43" s="42" t="n"/>
      <c r="H43" s="43" t="n"/>
      <c r="I43" s="42" t="n"/>
      <c r="J43" s="43" t="n"/>
      <c r="K43" s="41" t="n"/>
      <c r="L43" s="40" t="n"/>
      <c r="M43" s="42" t="n"/>
      <c r="N43" s="43" t="n"/>
      <c r="O43" s="41" t="n"/>
      <c r="P43" s="40" t="n"/>
      <c r="Q43" s="42" t="n"/>
      <c r="R43" s="43" t="n"/>
      <c r="S43" s="41" t="n"/>
      <c r="T43" s="40" t="n"/>
      <c r="U43" s="42" t="n"/>
      <c r="V43" s="43" t="n"/>
      <c r="W43" s="41" t="n"/>
      <c r="X43" s="40" t="n"/>
      <c r="Y43" s="42" t="n"/>
      <c r="Z43" s="43" t="n"/>
      <c r="AA43" s="41" t="n"/>
      <c r="AB43" s="40" t="n"/>
      <c r="AC43" s="42" t="n"/>
      <c r="AD43" s="43" t="n"/>
      <c r="AE43" s="41" t="n"/>
      <c r="AF43" s="40" t="n"/>
      <c r="AG43" s="42" t="n"/>
      <c r="AH43" s="43" t="n"/>
      <c r="AI43" s="41" t="inlineStr">
        <is>
          <t>wv</t>
        </is>
      </c>
      <c r="AJ43" s="41" t="inlineStr">
        <is>
          <t>wv</t>
        </is>
      </c>
      <c r="AK43" s="41" t="inlineStr">
        <is>
          <t>wv</t>
        </is>
      </c>
      <c r="AL43" s="41" t="inlineStr">
        <is>
          <t>wv</t>
        </is>
      </c>
      <c r="AM43" s="41" t="inlineStr">
        <is>
          <t>wv</t>
        </is>
      </c>
      <c r="AN43" s="41" t="inlineStr">
        <is>
          <t>wv</t>
        </is>
      </c>
      <c r="AO43" s="41" t="inlineStr">
        <is>
          <t>wv</t>
        </is>
      </c>
      <c r="AP43" s="43" t="n"/>
      <c r="AQ43" s="42" t="n"/>
      <c r="AR43" s="888">
        <f>IFERROR(IF(VLOOKUP($B43,Medewerker!$C$8:$AG$107,31,FALSE)="",VLOOKUP($B43,Medewerker!$C$8:$AG$107,29,FALSE),0),0)</f>
        <v/>
      </c>
      <c r="AS43" s="888">
        <f>IFERROR(IF(B43="",1,IF(VLOOKUP($B43,Medewerker!$C$8:$AG$107,31,FALSE)="",VLOOKUP($B43,Medewerker!$C$8:$AG$107,30,FALSE),0)),0)</f>
        <v/>
      </c>
      <c r="AT43" s="45" t="n"/>
      <c r="AU43" s="46">
        <f>(COUNTIF(F43:AQ43,"afw"))/2</f>
        <v/>
      </c>
      <c r="AV43" s="111">
        <f>((38-(COUNTIF(F43:AQ43,"")))/2)-(COUNTIF(F43:AQ43,"p")/2)-(COUNTIF(F43:AQ43,CONCATENATE("x","*"))/4)</f>
        <v/>
      </c>
      <c r="AW43" s="73">
        <f>IF($B43="","",VLOOKUP($B43,Medewerker!$C$8:$E$107,3,FALSE))</f>
        <v/>
      </c>
      <c r="AX43" s="403">
        <f>IFERROR(VLOOKUP($B43,Planning!$B$6:$AG$105,32,FALSE)*24,"")</f>
        <v/>
      </c>
      <c r="AY43" s="559" t="inlineStr">
        <is>
          <t>com</t>
        </is>
      </c>
      <c r="AZ43" s="71" t="inlineStr">
        <is>
          <t>Comco sorteren</t>
        </is>
      </c>
      <c r="BA43" s="111">
        <f>COUNTIF($F$13:$AQ$63,CONCATENATE(AY43,"*"))/2+COUNTIF($F$13:$AQ$63,CONCATENATE("x",AY43,"*"))/4</f>
        <v/>
      </c>
      <c r="BB43" s="838" t="n"/>
      <c r="BC43" s="31">
        <f>IF(Planning!B36="","",Planning!B36)</f>
        <v/>
      </c>
      <c r="BD43" s="105" t="n"/>
      <c r="BE43" s="885">
        <f>Planning!E36</f>
        <v/>
      </c>
      <c r="BF43" s="885">
        <f>Planning!F36</f>
        <v/>
      </c>
      <c r="BG43" s="886" t="n"/>
      <c r="BH43" s="105" t="n"/>
      <c r="BI43" s="885">
        <f>Planning!I36</f>
        <v/>
      </c>
      <c r="BJ43" s="885">
        <f>Planning!J36</f>
        <v/>
      </c>
      <c r="BK43" s="886" t="n"/>
      <c r="BL43" s="105" t="n"/>
      <c r="BM43" s="885">
        <f>Planning!M36</f>
        <v/>
      </c>
      <c r="BN43" s="885">
        <f>Planning!N36</f>
        <v/>
      </c>
      <c r="BO43" s="886" t="n"/>
      <c r="BP43" s="105" t="n"/>
      <c r="BQ43" s="885">
        <f>Planning!Q36</f>
        <v/>
      </c>
      <c r="BR43" s="885">
        <f>Planning!R36</f>
        <v/>
      </c>
      <c r="BS43" s="886" t="n"/>
      <c r="BT43" s="105" t="n"/>
      <c r="BU43" s="885">
        <f>Planning!U36</f>
        <v/>
      </c>
      <c r="BV43" s="885">
        <f>Planning!V36</f>
        <v/>
      </c>
      <c r="BW43" s="886" t="n"/>
      <c r="BX43" s="105" t="n"/>
      <c r="BY43" s="885">
        <f>Planning!Y36</f>
        <v/>
      </c>
      <c r="BZ43" s="885">
        <f>Planning!Z36</f>
        <v/>
      </c>
      <c r="CA43" s="886" t="n"/>
      <c r="CB43" s="105" t="n"/>
      <c r="CC43" s="885">
        <f>Planning!AC36</f>
        <v/>
      </c>
      <c r="CD43" s="885">
        <f>Planning!AD36</f>
        <v/>
      </c>
      <c r="CE43" s="886" t="n"/>
      <c r="CF43" s="105" t="n"/>
      <c r="CG43" s="887">
        <f>Planning!AG36</f>
        <v/>
      </c>
      <c r="CH43" s="105" t="n"/>
      <c r="CI43" s="252">
        <f>IF(BC43="","",Planning!AI36)</f>
        <v/>
      </c>
      <c r="CJ43" s="252">
        <f>IF(BC43="","",Planning!AJ36)</f>
        <v/>
      </c>
      <c r="CK43" s="252">
        <f>IF(BC43="","",Planning!AK36)</f>
        <v/>
      </c>
      <c r="CL43" s="252">
        <f>IF(BC43="","",Planning!AH36)</f>
        <v/>
      </c>
      <c r="CM43" s="21" t="n"/>
    </row>
    <row r="44" ht="12.75" customHeight="1">
      <c r="A44" s="161">
        <f>IFERROR(IF(VLOOKUP($B44,$BC$13:$CL$86,36,FALSE)&gt;5,0,IF(COUNTIF($B$13:$B$63,$B44)&gt;1,0,32)),32)+IF(B44&lt;&gt;0,0,IF(AV44&gt;0,0.000001,0))</f>
        <v/>
      </c>
      <c r="B44" s="129" t="n"/>
      <c r="C44" s="48">
        <f>IFERROR(IF($B44="","",VLOOKUP($B44,Medewerker!$C$8:$AI$107,33,FALSE)),"?")</f>
        <v/>
      </c>
      <c r="D44" s="879">
        <f t="array" ref="D44">IFERROR(IF(LEFT(INDEX($F44:$AQ44,1,SUM(SMALL(IF($F44:$AQ44&lt;&gt;"",COLUMN($F44:$AQ44)),1)-5)),1)="x",SUM(SMALL(IF($F44:$AQ44&lt;&gt;"",$F$11:$AQ$11),1)+"0:15"),SMALL(IF($F44:$AQ44&lt;&gt;"",$F$11:$AQ$11),1)),"")</f>
        <v/>
      </c>
      <c r="E44" s="879">
        <f t="array" ref="E44">IFERROR(IF(LEFT(INDEX($F44:$AQ44,1,SUM(LARGE(IF($F44:$AQ44&lt;&gt;"",COLUMN($F44:$AQ44)),1)-5)),1)="x",SUM(LARGE(IF($F44:$AQ44&lt;&gt;"",$F$11:$AQ$11+"0:30:00"),1)-"0:15"),LARGE(IF($F44:$AQ44&lt;&gt;"",$F$11:$AQ$11+"0:30:00"),1)),"")</f>
        <v/>
      </c>
      <c r="F44" s="43" t="n"/>
      <c r="G44" s="42" t="n"/>
      <c r="H44" s="43" t="n"/>
      <c r="I44" s="42" t="n"/>
      <c r="J44" s="43" t="n"/>
      <c r="K44" s="41" t="n"/>
      <c r="L44" s="40" t="n"/>
      <c r="M44" s="42" t="n"/>
      <c r="N44" s="43" t="n"/>
      <c r="O44" s="41" t="n"/>
      <c r="P44" s="40" t="n"/>
      <c r="Q44" s="42" t="n"/>
      <c r="R44" s="43" t="n"/>
      <c r="S44" s="41" t="n"/>
      <c r="T44" s="40" t="n"/>
      <c r="U44" s="42" t="n"/>
      <c r="V44" s="43" t="n"/>
      <c r="W44" s="41" t="n"/>
      <c r="X44" s="40" t="n"/>
      <c r="Y44" s="42" t="n"/>
      <c r="Z44" s="43" t="n"/>
      <c r="AA44" s="41" t="n"/>
      <c r="AB44" s="40" t="n"/>
      <c r="AC44" s="42" t="n"/>
      <c r="AD44" s="43" t="n"/>
      <c r="AE44" s="41" t="n"/>
      <c r="AF44" s="40" t="n"/>
      <c r="AG44" s="42" t="n"/>
      <c r="AH44" s="43" t="n"/>
      <c r="AI44" s="41" t="n"/>
      <c r="AJ44" s="40" t="n"/>
      <c r="AK44" s="42" t="n"/>
      <c r="AL44" s="43" t="n"/>
      <c r="AM44" s="41" t="n"/>
      <c r="AN44" s="645" t="n"/>
      <c r="AO44" s="42" t="n"/>
      <c r="AP44" s="43" t="n"/>
      <c r="AQ44" s="42" t="n"/>
      <c r="AR44" s="888">
        <f>IFERROR(IF(VLOOKUP($B44,Medewerker!$C$8:$AG$107,31,FALSE)="",VLOOKUP($B44,Medewerker!$C$8:$AG$107,29,FALSE),0),0)</f>
        <v/>
      </c>
      <c r="AS44" s="888">
        <f>IFERROR(IF(B44="",1,IF(VLOOKUP($B44,Medewerker!$C$8:$AG$107,31,FALSE)="",VLOOKUP($B44,Medewerker!$C$8:$AG$107,30,FALSE),0)),0)</f>
        <v/>
      </c>
      <c r="AT44" s="45" t="n"/>
      <c r="AU44" s="46">
        <f>(COUNTIF(F44:AQ44,"afw"))/2</f>
        <v/>
      </c>
      <c r="AV44" s="111">
        <f>((38-(COUNTIF(F44:AQ44,"")))/2)-(COUNTIF(F44:AQ44,"p")/2)-(COUNTIF(F44:AQ44,CONCATENATE("x","*"))/4)</f>
        <v/>
      </c>
      <c r="AW44" s="73">
        <f>IF($B44="","",VLOOKUP($B44,Medewerker!$C$8:$E$107,3,FALSE))</f>
        <v/>
      </c>
      <c r="AX44" s="403">
        <f>IFERROR(VLOOKUP($B44,Planning!$B$6:$AG$105,32,FALSE)*24,"")</f>
        <v/>
      </c>
      <c r="AY44" s="558" t="inlineStr">
        <is>
          <t>pro</t>
        </is>
      </c>
      <c r="AZ44" s="71" t="inlineStr">
        <is>
          <t>Promotie</t>
        </is>
      </c>
      <c r="BA44" s="111">
        <f>COUNTIF($F$13:$AQ$63,CONCATENATE(AY44,"*"))/2+COUNTIF($F$13:$AQ$63,CONCATENATE("x",AY44,"*"))/4</f>
        <v/>
      </c>
      <c r="BB44" s="838" t="n"/>
      <c r="BC44" s="31">
        <f>IF(Planning!B37="","",Planning!B37)</f>
        <v/>
      </c>
      <c r="BD44" s="105" t="n"/>
      <c r="BE44" s="885">
        <f>Planning!E37</f>
        <v/>
      </c>
      <c r="BF44" s="885">
        <f>Planning!F37</f>
        <v/>
      </c>
      <c r="BG44" s="886" t="n"/>
      <c r="BH44" s="105" t="n"/>
      <c r="BI44" s="885">
        <f>Planning!I37</f>
        <v/>
      </c>
      <c r="BJ44" s="885">
        <f>Planning!J37</f>
        <v/>
      </c>
      <c r="BK44" s="886" t="n"/>
      <c r="BL44" s="105" t="n"/>
      <c r="BM44" s="885">
        <f>Planning!M37</f>
        <v/>
      </c>
      <c r="BN44" s="885">
        <f>Planning!N37</f>
        <v/>
      </c>
      <c r="BO44" s="886" t="n"/>
      <c r="BP44" s="105" t="n"/>
      <c r="BQ44" s="885">
        <f>Planning!Q37</f>
        <v/>
      </c>
      <c r="BR44" s="885">
        <f>Planning!R37</f>
        <v/>
      </c>
      <c r="BS44" s="886" t="n"/>
      <c r="BT44" s="105" t="n"/>
      <c r="BU44" s="885">
        <f>Planning!U37</f>
        <v/>
      </c>
      <c r="BV44" s="885">
        <f>Planning!V37</f>
        <v/>
      </c>
      <c r="BW44" s="886" t="n"/>
      <c r="BX44" s="105" t="n"/>
      <c r="BY44" s="885">
        <f>Planning!Y37</f>
        <v/>
      </c>
      <c r="BZ44" s="885">
        <f>Planning!Z37</f>
        <v/>
      </c>
      <c r="CA44" s="886" t="n"/>
      <c r="CB44" s="105" t="n"/>
      <c r="CC44" s="885">
        <f>Planning!AC37</f>
        <v/>
      </c>
      <c r="CD44" s="885">
        <f>Planning!AD37</f>
        <v/>
      </c>
      <c r="CE44" s="886" t="n"/>
      <c r="CF44" s="105" t="n"/>
      <c r="CG44" s="887">
        <f>Planning!AG37</f>
        <v/>
      </c>
      <c r="CH44" s="105" t="n"/>
      <c r="CI44" s="252">
        <f>IF(BC44="","",Planning!AI37)</f>
        <v/>
      </c>
      <c r="CJ44" s="252">
        <f>IF(BC44="","",Planning!AJ37)</f>
        <v/>
      </c>
      <c r="CK44" s="252">
        <f>IF(BC44="","",Planning!AK37)</f>
        <v/>
      </c>
      <c r="CL44" s="252">
        <f>IF(BC44="","",Planning!AH37)</f>
        <v/>
      </c>
      <c r="CM44" s="21" t="n"/>
    </row>
    <row r="45" ht="12.75" customHeight="1">
      <c r="A45" s="161">
        <f>IFERROR(IF(VLOOKUP($B45,$BC$13:$CL$86,36,FALSE)&gt;5,0,IF(COUNTIF($B$13:$B$63,$B45)&gt;1,0,33)),33)+IF(B45&lt;&gt;0,0,IF(AV45&gt;0,0.000001,0))</f>
        <v/>
      </c>
      <c r="B45" s="129" t="n"/>
      <c r="C45" s="48">
        <f>IFERROR(IF($B45="","",VLOOKUP($B45,Medewerker!$C$8:$AI$107,33,FALSE)),"?")</f>
        <v/>
      </c>
      <c r="D45" s="879">
        <f t="array" ref="D45">IFERROR(IF(LEFT(INDEX($F45:$AQ45,1,SUM(SMALL(IF($F45:$AQ45&lt;&gt;"",COLUMN($F45:$AQ45)),1)-5)),1)="x",SUM(SMALL(IF($F45:$AQ45&lt;&gt;"",$F$11:$AQ$11),1)+"0:15"),SMALL(IF($F45:$AQ45&lt;&gt;"",$F$11:$AQ$11),1)),"")</f>
        <v/>
      </c>
      <c r="E45" s="879">
        <f t="array" ref="E45">IFERROR(IF(LEFT(INDEX($F45:$AQ45,1,SUM(LARGE(IF($F45:$AQ45&lt;&gt;"",COLUMN($F45:$AQ45)),1)-5)),1)="x",SUM(LARGE(IF($F45:$AQ45&lt;&gt;"",$F$11:$AQ$11+"0:30:00"),1)-"0:15"),LARGE(IF($F45:$AQ45&lt;&gt;"",$F$11:$AQ$11+"0:30:00"),1)),"")</f>
        <v/>
      </c>
      <c r="F45" s="43" t="n"/>
      <c r="G45" s="42" t="n"/>
      <c r="H45" s="43" t="n"/>
      <c r="I45" s="42" t="n"/>
      <c r="J45" s="43" t="n"/>
      <c r="K45" s="41" t="n"/>
      <c r="L45" s="40" t="n"/>
      <c r="M45" s="42" t="n"/>
      <c r="N45" s="43" t="n"/>
      <c r="O45" s="41" t="n"/>
      <c r="P45" s="40" t="n"/>
      <c r="Q45" s="42" t="n"/>
      <c r="R45" s="43" t="n"/>
      <c r="S45" s="41" t="n"/>
      <c r="T45" s="40" t="n"/>
      <c r="U45" s="42" t="n"/>
      <c r="V45" s="43" t="n"/>
      <c r="W45" s="41" t="n"/>
      <c r="X45" s="40" t="n"/>
      <c r="Y45" s="42" t="n"/>
      <c r="Z45" s="43" t="n"/>
      <c r="AA45" s="41" t="n"/>
      <c r="AB45" s="40" t="n"/>
      <c r="AC45" s="42" t="n"/>
      <c r="AD45" s="43" t="n"/>
      <c r="AE45" s="41" t="n"/>
      <c r="AF45" s="40" t="n"/>
      <c r="AG45" s="42" t="n"/>
      <c r="AH45" s="43" t="n"/>
      <c r="AI45" s="41" t="n"/>
      <c r="AJ45" s="40" t="n"/>
      <c r="AK45" s="42" t="n"/>
      <c r="AL45" s="43" t="n"/>
      <c r="AM45" s="41" t="n"/>
      <c r="AN45" s="645" t="n"/>
      <c r="AO45" s="42" t="n"/>
      <c r="AP45" s="43" t="n"/>
      <c r="AQ45" s="42" t="n"/>
      <c r="AR45" s="888">
        <f>IFERROR(IF(VLOOKUP($B45,Medewerker!$C$8:$AG$107,31,FALSE)="",VLOOKUP($B45,Medewerker!$C$8:$AG$107,29,FALSE),0),0)</f>
        <v/>
      </c>
      <c r="AS45" s="888">
        <f>IFERROR(IF(B45="",1,IF(VLOOKUP($B45,Medewerker!$C$8:$AG$107,31,FALSE)="",VLOOKUP($B45,Medewerker!$C$8:$AG$107,30,FALSE),0)),0)</f>
        <v/>
      </c>
      <c r="AT45" s="45" t="n"/>
      <c r="AU45" s="46">
        <f>(COUNTIF(F45:AQ45,"afw"))/2</f>
        <v/>
      </c>
      <c r="AV45" s="111">
        <f>((38-(COUNTIF(F45:AQ45,"")))/2)-(COUNTIF(F45:AQ45,"p")/2)-(COUNTIF(F45:AQ45,CONCATENATE("x","*"))/4)</f>
        <v/>
      </c>
      <c r="AW45" s="73">
        <f>IF($B45="","",VLOOKUP($B45,Medewerker!$C$8:$E$107,3,FALSE))</f>
        <v/>
      </c>
      <c r="AX45" s="403">
        <f>IFERROR(VLOOKUP($B45,Planning!$B$6:$AG$105,32,FALSE)*24,"")</f>
        <v/>
      </c>
      <c r="AY45" s="558" t="inlineStr">
        <is>
          <t>pw</t>
        </is>
      </c>
      <c r="AZ45" s="71" t="inlineStr">
        <is>
          <t>Prijswijzigingen</t>
        </is>
      </c>
      <c r="BA45" s="111">
        <f>COUNTIF($F$13:$AQ$63,CONCATENATE(AY45,"*"))/2+COUNTIF($F$13:$AQ$63,CONCATENATE("x",AY45,"*"))/4</f>
        <v/>
      </c>
      <c r="BB45" s="838" t="n"/>
      <c r="BC45" s="31">
        <f>IF(Planning!B38="","",Planning!B38)</f>
        <v/>
      </c>
      <c r="BD45" s="105" t="n"/>
      <c r="BE45" s="885">
        <f>Planning!E38</f>
        <v/>
      </c>
      <c r="BF45" s="885">
        <f>Planning!F38</f>
        <v/>
      </c>
      <c r="BG45" s="886" t="n"/>
      <c r="BH45" s="105" t="n"/>
      <c r="BI45" s="885">
        <f>Planning!I38</f>
        <v/>
      </c>
      <c r="BJ45" s="885">
        <f>Planning!J38</f>
        <v/>
      </c>
      <c r="BK45" s="886" t="n"/>
      <c r="BL45" s="105" t="n"/>
      <c r="BM45" s="885">
        <f>Planning!M38</f>
        <v/>
      </c>
      <c r="BN45" s="885">
        <f>Planning!N38</f>
        <v/>
      </c>
      <c r="BO45" s="886" t="n"/>
      <c r="BP45" s="105" t="n"/>
      <c r="BQ45" s="885">
        <f>Planning!Q38</f>
        <v/>
      </c>
      <c r="BR45" s="885">
        <f>Planning!R38</f>
        <v/>
      </c>
      <c r="BS45" s="886" t="n"/>
      <c r="BT45" s="105" t="n"/>
      <c r="BU45" s="885">
        <f>Planning!U38</f>
        <v/>
      </c>
      <c r="BV45" s="885">
        <f>Planning!V38</f>
        <v/>
      </c>
      <c r="BW45" s="886" t="n"/>
      <c r="BX45" s="105" t="n"/>
      <c r="BY45" s="885">
        <f>Planning!Y38</f>
        <v/>
      </c>
      <c r="BZ45" s="885">
        <f>Planning!Z38</f>
        <v/>
      </c>
      <c r="CA45" s="886" t="n"/>
      <c r="CB45" s="105" t="n"/>
      <c r="CC45" s="885">
        <f>Planning!AC38</f>
        <v/>
      </c>
      <c r="CD45" s="885">
        <f>Planning!AD38</f>
        <v/>
      </c>
      <c r="CE45" s="886" t="n"/>
      <c r="CF45" s="105" t="n"/>
      <c r="CG45" s="887">
        <f>Planning!AG38</f>
        <v/>
      </c>
      <c r="CH45" s="105" t="n"/>
      <c r="CI45" s="252">
        <f>IF(BC45="","",Planning!AI38)</f>
        <v/>
      </c>
      <c r="CJ45" s="252">
        <f>IF(BC45="","",Planning!AJ38)</f>
        <v/>
      </c>
      <c r="CK45" s="252">
        <f>IF(BC45="","",Planning!AK38)</f>
        <v/>
      </c>
      <c r="CL45" s="252">
        <f>IF(BC45="","",Planning!AH38)</f>
        <v/>
      </c>
      <c r="CM45" s="21" t="n"/>
    </row>
    <row r="46" ht="12.75" customHeight="1">
      <c r="A46" s="161">
        <f>IFERROR(IF(VLOOKUP($B46,$BC$13:$CL$86,36,FALSE)&gt;5,0,IF(COUNTIF($B$13:$B$63,$B46)&gt;1,0,34)),34)+IF(B46&lt;&gt;0,0,IF(AV46&gt;0,0.000001,0))</f>
        <v/>
      </c>
      <c r="B46" s="129" t="n"/>
      <c r="C46" s="48">
        <f>IFERROR(IF($B46="","",VLOOKUP($B46,Medewerker!$C$8:$AI$107,33,FALSE)),"?")</f>
        <v/>
      </c>
      <c r="D46" s="879">
        <f t="array" ref="D46">IFERROR(IF(LEFT(INDEX($F46:$AQ46,1,SUM(SMALL(IF($F46:$AQ46&lt;&gt;"",COLUMN($F46:$AQ46)),1)-5)),1)="x",SUM(SMALL(IF($F46:$AQ46&lt;&gt;"",$F$11:$AQ$11),1)+"0:15"),SMALL(IF($F46:$AQ46&lt;&gt;"",$F$11:$AQ$11),1)),"")</f>
        <v/>
      </c>
      <c r="E46" s="879">
        <f t="array" ref="E46">IFERROR(IF(LEFT(INDEX($F46:$AQ46,1,SUM(LARGE(IF($F46:$AQ46&lt;&gt;"",COLUMN($F46:$AQ46)),1)-5)),1)="x",SUM(LARGE(IF($F46:$AQ46&lt;&gt;"",$F$11:$AQ$11+"0:30:00"),1)-"0:15"),LARGE(IF($F46:$AQ46&lt;&gt;"",$F$11:$AQ$11+"0:30:00"),1)),"")</f>
        <v/>
      </c>
      <c r="F46" s="43" t="n"/>
      <c r="G46" s="42" t="n"/>
      <c r="H46" s="43" t="n"/>
      <c r="I46" s="42" t="n"/>
      <c r="J46" s="43" t="n"/>
      <c r="K46" s="41" t="n"/>
      <c r="L46" s="40" t="n"/>
      <c r="M46" s="42" t="n"/>
      <c r="N46" s="43" t="n"/>
      <c r="O46" s="41" t="n"/>
      <c r="P46" s="40" t="n"/>
      <c r="Q46" s="42" t="n"/>
      <c r="R46" s="43" t="n"/>
      <c r="S46" s="41" t="n"/>
      <c r="T46" s="40" t="n"/>
      <c r="U46" s="42" t="n"/>
      <c r="V46" s="43" t="n"/>
      <c r="W46" s="41" t="n"/>
      <c r="X46" s="40" t="n"/>
      <c r="Y46" s="42" t="n"/>
      <c r="Z46" s="43" t="n"/>
      <c r="AA46" s="41" t="n"/>
      <c r="AB46" s="40" t="n"/>
      <c r="AC46" s="42" t="n"/>
      <c r="AD46" s="43" t="n"/>
      <c r="AE46" s="41" t="n"/>
      <c r="AF46" s="40" t="n"/>
      <c r="AG46" s="42" t="n"/>
      <c r="AH46" s="43" t="n"/>
      <c r="AI46" s="41" t="n"/>
      <c r="AJ46" s="40" t="n"/>
      <c r="AK46" s="42" t="n"/>
      <c r="AL46" s="43" t="n"/>
      <c r="AM46" s="41" t="n"/>
      <c r="AN46" s="645" t="n"/>
      <c r="AO46" s="42" t="n"/>
      <c r="AP46" s="43" t="n"/>
      <c r="AQ46" s="42" t="n"/>
      <c r="AR46" s="888">
        <f>IFERROR(IF(VLOOKUP($B46,Medewerker!$C$8:$AG$107,31,FALSE)="",VLOOKUP($B46,Medewerker!$C$8:$AG$107,29,FALSE),0),0)</f>
        <v/>
      </c>
      <c r="AS46" s="888">
        <f>IFERROR(IF(B46="",1,IF(VLOOKUP($B46,Medewerker!$C$8:$AG$107,31,FALSE)="",VLOOKUP($B46,Medewerker!$C$8:$AG$107,30,FALSE),0)),0)</f>
        <v/>
      </c>
      <c r="AT46" s="45" t="n"/>
      <c r="AU46" s="46">
        <f>(COUNTIF(F46:AQ46,"afw"))/2</f>
        <v/>
      </c>
      <c r="AV46" s="111">
        <f>((38-(COUNTIF(F46:AQ46,"")))/2)-(COUNTIF(F46:AQ46,"p")/2)-(COUNTIF(F46:AQ46,CONCATENATE("x","*"))/4)</f>
        <v/>
      </c>
      <c r="AW46" s="73">
        <f>IF($B46="","",VLOOKUP($B46,Medewerker!$C$8:$E$107,3,FALSE))</f>
        <v/>
      </c>
      <c r="AX46" s="403">
        <f>IFERROR(VLOOKUP($B46,Planning!$B$6:$AG$105,32,FALSE)*24,"")</f>
        <v/>
      </c>
      <c r="AY46" s="558" t="inlineStr">
        <is>
          <t>wap</t>
        </is>
      </c>
      <c r="AZ46" s="71" t="inlineStr">
        <is>
          <t>WAP uitvoeren</t>
        </is>
      </c>
      <c r="BA46" s="111">
        <f>COUNTIF($F$13:$AQ$63,CONCATENATE(AY46,"*"))/2+COUNTIF($F$13:$AQ$63,CONCATENATE("x",AY46,"*"))/4</f>
        <v/>
      </c>
      <c r="BB46" s="838" t="n"/>
      <c r="BC46" s="31">
        <f>IF(Planning!B39="","",Planning!B39)</f>
        <v/>
      </c>
      <c r="BD46" s="105" t="n"/>
      <c r="BE46" s="885">
        <f>Planning!E39</f>
        <v/>
      </c>
      <c r="BF46" s="885">
        <f>Planning!F39</f>
        <v/>
      </c>
      <c r="BG46" s="886" t="n"/>
      <c r="BH46" s="105" t="n"/>
      <c r="BI46" s="885">
        <f>Planning!I39</f>
        <v/>
      </c>
      <c r="BJ46" s="885">
        <f>Planning!J39</f>
        <v/>
      </c>
      <c r="BK46" s="886" t="n"/>
      <c r="BL46" s="105" t="n"/>
      <c r="BM46" s="885">
        <f>Planning!M39</f>
        <v/>
      </c>
      <c r="BN46" s="885">
        <f>Planning!N39</f>
        <v/>
      </c>
      <c r="BO46" s="886" t="n"/>
      <c r="BP46" s="105" t="n"/>
      <c r="BQ46" s="885">
        <f>Planning!Q39</f>
        <v/>
      </c>
      <c r="BR46" s="885">
        <f>Planning!R39</f>
        <v/>
      </c>
      <c r="BS46" s="886" t="n"/>
      <c r="BT46" s="105" t="n"/>
      <c r="BU46" s="885">
        <f>Planning!U39</f>
        <v/>
      </c>
      <c r="BV46" s="885">
        <f>Planning!V39</f>
        <v/>
      </c>
      <c r="BW46" s="886" t="n"/>
      <c r="BX46" s="105" t="n"/>
      <c r="BY46" s="885">
        <f>Planning!Y39</f>
        <v/>
      </c>
      <c r="BZ46" s="885">
        <f>Planning!Z39</f>
        <v/>
      </c>
      <c r="CA46" s="886" t="n"/>
      <c r="CB46" s="105" t="n"/>
      <c r="CC46" s="885">
        <f>Planning!AC39</f>
        <v/>
      </c>
      <c r="CD46" s="885">
        <f>Planning!AD39</f>
        <v/>
      </c>
      <c r="CE46" s="886" t="n"/>
      <c r="CF46" s="105" t="n"/>
      <c r="CG46" s="887">
        <f>Planning!AG39</f>
        <v/>
      </c>
      <c r="CH46" s="105" t="n"/>
      <c r="CI46" s="252">
        <f>IF(BC46="","",Planning!AI39)</f>
        <v/>
      </c>
      <c r="CJ46" s="252">
        <f>IF(BC46="","",Planning!AJ39)</f>
        <v/>
      </c>
      <c r="CK46" s="252">
        <f>IF(BC46="","",Planning!AK39)</f>
        <v/>
      </c>
      <c r="CL46" s="252">
        <f>IF(BC46="","",Planning!AH39)</f>
        <v/>
      </c>
      <c r="CM46" s="21" t="n"/>
    </row>
    <row r="47" ht="12.75" customHeight="1">
      <c r="A47" s="161">
        <f>IFERROR(IF(VLOOKUP($B47,$BC$13:$CL$86,36,FALSE)&gt;5,0,IF(COUNTIF($B$13:$B$63,$B47)&gt;1,0,35)),35)+IF(B47&lt;&gt;0,0,IF(AV47&gt;0,0.000001,0))</f>
        <v/>
      </c>
      <c r="B47" s="129" t="n"/>
      <c r="C47" s="48">
        <f>IFERROR(IF($B47="","",VLOOKUP($B47,Medewerker!$C$8:$AI$107,33,FALSE)),"?")</f>
        <v/>
      </c>
      <c r="D47" s="879">
        <f t="array" ref="D47">IFERROR(IF(LEFT(INDEX($F47:$AQ47,1,SUM(SMALL(IF($F47:$AQ47&lt;&gt;"",COLUMN($F47:$AQ47)),1)-5)),1)="x",SUM(SMALL(IF($F47:$AQ47&lt;&gt;"",$F$11:$AQ$11),1)+"0:15"),SMALL(IF($F47:$AQ47&lt;&gt;"",$F$11:$AQ$11),1)),"")</f>
        <v/>
      </c>
      <c r="E47" s="879">
        <f t="array" ref="E47">IFERROR(IF(LEFT(INDEX($F47:$AQ47,1,SUM(LARGE(IF($F47:$AQ47&lt;&gt;"",COLUMN($F47:$AQ47)),1)-5)),1)="x",SUM(LARGE(IF($F47:$AQ47&lt;&gt;"",$F$11:$AQ$11+"0:30:00"),1)-"0:15"),LARGE(IF($F47:$AQ47&lt;&gt;"",$F$11:$AQ$11+"0:30:00"),1)),"")</f>
        <v/>
      </c>
      <c r="F47" s="43" t="n"/>
      <c r="G47" s="42" t="n"/>
      <c r="H47" s="43" t="n"/>
      <c r="I47" s="42" t="n"/>
      <c r="J47" s="43" t="n"/>
      <c r="K47" s="41" t="n"/>
      <c r="L47" s="40" t="n"/>
      <c r="M47" s="42" t="n"/>
      <c r="N47" s="43" t="n"/>
      <c r="O47" s="41" t="n"/>
      <c r="P47" s="40" t="n"/>
      <c r="Q47" s="42" t="n"/>
      <c r="R47" s="43" t="n"/>
      <c r="S47" s="41" t="n"/>
      <c r="T47" s="40" t="n"/>
      <c r="U47" s="42" t="n"/>
      <c r="V47" s="43" t="n"/>
      <c r="W47" s="41" t="n"/>
      <c r="X47" s="40" t="n"/>
      <c r="Y47" s="42" t="n"/>
      <c r="Z47" s="43" t="n"/>
      <c r="AA47" s="41" t="n"/>
      <c r="AB47" s="40" t="n"/>
      <c r="AC47" s="42" t="n"/>
      <c r="AD47" s="43" t="n"/>
      <c r="AE47" s="41" t="n"/>
      <c r="AF47" s="40" t="n"/>
      <c r="AG47" s="42" t="n"/>
      <c r="AH47" s="43" t="n"/>
      <c r="AI47" s="41" t="n"/>
      <c r="AJ47" s="40" t="n"/>
      <c r="AK47" s="42" t="n"/>
      <c r="AL47" s="43" t="n"/>
      <c r="AM47" s="41" t="n"/>
      <c r="AN47" s="645" t="n"/>
      <c r="AO47" s="42" t="n"/>
      <c r="AP47" s="43" t="n"/>
      <c r="AQ47" s="42" t="n"/>
      <c r="AR47" s="888">
        <f>IFERROR(IF(VLOOKUP($B47,Medewerker!$C$8:$AG$107,31,FALSE)="",VLOOKUP($B47,Medewerker!$C$8:$AG$107,29,FALSE),0),0)</f>
        <v/>
      </c>
      <c r="AS47" s="888">
        <f>IFERROR(IF(B47="",1,IF(VLOOKUP($B47,Medewerker!$C$8:$AG$107,31,FALSE)="",VLOOKUP($B47,Medewerker!$C$8:$AG$107,30,FALSE),0)),0)</f>
        <v/>
      </c>
      <c r="AT47" s="45" t="n"/>
      <c r="AU47" s="46">
        <f>(COUNTIF(F47:AQ47,"afw"))/2</f>
        <v/>
      </c>
      <c r="AV47" s="111">
        <f>((38-(COUNTIF(F47:AQ47,"")))/2)-(COUNTIF(F47:AQ47,"p")/2)-(COUNTIF(F47:AQ47,CONCATENATE("x","*"))/4)</f>
        <v/>
      </c>
      <c r="AW47" s="73">
        <f>IF($B47="","",VLOOKUP($B47,Medewerker!$C$8:$E$107,3,FALSE))</f>
        <v/>
      </c>
      <c r="AX47" s="403">
        <f>IFERROR(VLOOKUP($B47,Planning!$B$6:$AG$105,32,FALSE)*24,"")</f>
        <v/>
      </c>
      <c r="AY47" s="891" t="inlineStr">
        <is>
          <t>Overig</t>
        </is>
      </c>
      <c r="AZ47" s="883" t="n"/>
      <c r="BA47" s="884" t="n"/>
      <c r="BB47" s="838" t="n"/>
      <c r="BC47" s="31">
        <f>IF(Planning!B40="","",Planning!B40)</f>
        <v/>
      </c>
      <c r="BD47" s="105" t="n"/>
      <c r="BE47" s="885">
        <f>Planning!E40</f>
        <v/>
      </c>
      <c r="BF47" s="885">
        <f>Planning!F40</f>
        <v/>
      </c>
      <c r="BG47" s="886" t="n"/>
      <c r="BH47" s="105" t="n"/>
      <c r="BI47" s="885">
        <f>Planning!I40</f>
        <v/>
      </c>
      <c r="BJ47" s="885">
        <f>Planning!J40</f>
        <v/>
      </c>
      <c r="BK47" s="886" t="n"/>
      <c r="BL47" s="105" t="n"/>
      <c r="BM47" s="885">
        <f>Planning!M40</f>
        <v/>
      </c>
      <c r="BN47" s="885">
        <f>Planning!N40</f>
        <v/>
      </c>
      <c r="BO47" s="886" t="n"/>
      <c r="BP47" s="105" t="n"/>
      <c r="BQ47" s="885">
        <f>Planning!Q40</f>
        <v/>
      </c>
      <c r="BR47" s="885">
        <f>Planning!R40</f>
        <v/>
      </c>
      <c r="BS47" s="886" t="n"/>
      <c r="BT47" s="105" t="n"/>
      <c r="BU47" s="885">
        <f>Planning!U40</f>
        <v/>
      </c>
      <c r="BV47" s="885">
        <f>Planning!V40</f>
        <v/>
      </c>
      <c r="BW47" s="886" t="n"/>
      <c r="BX47" s="105" t="n"/>
      <c r="BY47" s="885">
        <f>Planning!Y40</f>
        <v/>
      </c>
      <c r="BZ47" s="885">
        <f>Planning!Z40</f>
        <v/>
      </c>
      <c r="CA47" s="886" t="n"/>
      <c r="CB47" s="105" t="n"/>
      <c r="CC47" s="885">
        <f>Planning!AC40</f>
        <v/>
      </c>
      <c r="CD47" s="885">
        <f>Planning!AD40</f>
        <v/>
      </c>
      <c r="CE47" s="886" t="n"/>
      <c r="CF47" s="105" t="n"/>
      <c r="CG47" s="887">
        <f>Planning!AG40</f>
        <v/>
      </c>
      <c r="CH47" s="105" t="n"/>
      <c r="CI47" s="252">
        <f>IF(BC47="","",Planning!AI40)</f>
        <v/>
      </c>
      <c r="CJ47" s="252">
        <f>IF(BC47="","",Planning!AJ40)</f>
        <v/>
      </c>
      <c r="CK47" s="252">
        <f>IF(BC47="","",Planning!AK40)</f>
        <v/>
      </c>
      <c r="CL47" s="252">
        <f>IF(BC47="","",Planning!AH40)</f>
        <v/>
      </c>
      <c r="CM47" s="21" t="n"/>
    </row>
    <row r="48" ht="12.75" customHeight="1">
      <c r="A48" s="161">
        <f>IFERROR(IF(VLOOKUP($B48,$BC$13:$CL$86,36,FALSE)&gt;5,0,IF(COUNTIF($B$13:$B$63,$B48)&gt;1,0,36)),36)+IF(B48&lt;&gt;0,0,IF(AV48&gt;0,0.000001,0))</f>
        <v/>
      </c>
      <c r="B48" s="129" t="n"/>
      <c r="C48" s="48">
        <f>IFERROR(IF($B48="","",VLOOKUP($B48,Medewerker!$C$8:$AI$107,33,FALSE)),"?")</f>
        <v/>
      </c>
      <c r="D48" s="879">
        <f t="array" ref="D48">IFERROR(IF(LEFT(INDEX($F48:$AQ48,1,SUM(SMALL(IF($F48:$AQ48&lt;&gt;"",COLUMN($F48:$AQ48)),1)-5)),1)="x",SUM(SMALL(IF($F48:$AQ48&lt;&gt;"",$F$11:$AQ$11),1)+"0:15"),SMALL(IF($F48:$AQ48&lt;&gt;"",$F$11:$AQ$11),1)),"")</f>
        <v/>
      </c>
      <c r="E48" s="879">
        <f t="array" ref="E48">IFERROR(IF(LEFT(INDEX($F48:$AQ48,1,SUM(LARGE(IF($F48:$AQ48&lt;&gt;"",COLUMN($F48:$AQ48)),1)-5)),1)="x",SUM(LARGE(IF($F48:$AQ48&lt;&gt;"",$F$11:$AQ$11+"0:30:00"),1)-"0:15"),LARGE(IF($F48:$AQ48&lt;&gt;"",$F$11:$AQ$11+"0:30:00"),1)),"")</f>
        <v/>
      </c>
      <c r="F48" s="43" t="n"/>
      <c r="G48" s="42" t="n"/>
      <c r="H48" s="43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  <c r="AA48" s="42" t="n"/>
      <c r="AB48" s="42" t="n"/>
      <c r="AC48" s="42" t="n"/>
      <c r="AD48" s="42" t="n"/>
      <c r="AE48" s="42" t="n"/>
      <c r="AF48" s="42" t="n"/>
      <c r="AG48" s="42" t="n"/>
      <c r="AH48" s="42" t="n"/>
      <c r="AI48" s="42" t="n"/>
      <c r="AJ48" s="42" t="n"/>
      <c r="AK48" s="42" t="n"/>
      <c r="AL48" s="42" t="n"/>
      <c r="AM48" s="42" t="n"/>
      <c r="AN48" s="42" t="n"/>
      <c r="AO48" s="42" t="n"/>
      <c r="AP48" s="43" t="n"/>
      <c r="AQ48" s="42" t="n"/>
      <c r="AR48" s="888">
        <f>IFERROR(IF(VLOOKUP($B48,Medewerker!$C$8:$AG$107,31,FALSE)="",VLOOKUP($B48,Medewerker!$C$8:$AG$107,29,FALSE),0),0)</f>
        <v/>
      </c>
      <c r="AS48" s="888">
        <f>IFERROR(IF(B48="",1,IF(VLOOKUP($B48,Medewerker!$C$8:$AG$107,31,FALSE)="",VLOOKUP($B48,Medewerker!$C$8:$AG$107,30,FALSE),0)),0)</f>
        <v/>
      </c>
      <c r="AT48" s="45" t="n"/>
      <c r="AU48" s="46">
        <f>(COUNTIF(F48:AQ48,"afw"))/2</f>
        <v/>
      </c>
      <c r="AV48" s="111">
        <f>((38-(COUNTIF(F48:AQ48,"")))/2)-(COUNTIF(F48:AQ48,"p")/2)-(COUNTIF(F48:AQ48,CONCATENATE("x","*"))/4)</f>
        <v/>
      </c>
      <c r="AW48" s="73">
        <f>IF($B48="","",VLOOKUP($B48,Medewerker!$C$8:$E$107,3,FALSE))</f>
        <v/>
      </c>
      <c r="AX48" s="403">
        <f>IFERROR(VLOOKUP($B48,Planning!$B$6:$AG$105,32,FALSE)*24,"")</f>
        <v/>
      </c>
      <c r="AY48" s="837" t="inlineStr">
        <is>
          <t>km</t>
        </is>
      </c>
      <c r="AZ48" s="414" t="inlineStr">
        <is>
          <t>Kwaliteitsmedewerker</t>
        </is>
      </c>
      <c r="BA48" s="111">
        <f>COUNTIF($F$13:$AQ$63,CONCATENATE(AY48,"*"))/2+COUNTIF($F$13:$AQ$63,CONCATENATE("x",AY48,"*"))/4</f>
        <v/>
      </c>
      <c r="BB48" s="838" t="n"/>
      <c r="BC48" s="31">
        <f>IF(Planning!B41="","",Planning!B41)</f>
        <v/>
      </c>
      <c r="BD48" s="105" t="n"/>
      <c r="BE48" s="885">
        <f>Planning!E41</f>
        <v/>
      </c>
      <c r="BF48" s="885">
        <f>Planning!F41</f>
        <v/>
      </c>
      <c r="BG48" s="886" t="n"/>
      <c r="BH48" s="105" t="n"/>
      <c r="BI48" s="885">
        <f>Planning!I41</f>
        <v/>
      </c>
      <c r="BJ48" s="885">
        <f>Planning!J41</f>
        <v/>
      </c>
      <c r="BK48" s="886" t="n"/>
      <c r="BL48" s="105" t="n"/>
      <c r="BM48" s="885">
        <f>Planning!M41</f>
        <v/>
      </c>
      <c r="BN48" s="885">
        <f>Planning!N41</f>
        <v/>
      </c>
      <c r="BO48" s="886" t="n"/>
      <c r="BP48" s="105" t="n"/>
      <c r="BQ48" s="885">
        <f>Planning!Q41</f>
        <v/>
      </c>
      <c r="BR48" s="885">
        <f>Planning!R41</f>
        <v/>
      </c>
      <c r="BS48" s="886" t="n"/>
      <c r="BT48" s="105" t="n"/>
      <c r="BU48" s="885">
        <f>Planning!U41</f>
        <v/>
      </c>
      <c r="BV48" s="885">
        <f>Planning!V41</f>
        <v/>
      </c>
      <c r="BW48" s="886" t="n"/>
      <c r="BX48" s="105" t="n"/>
      <c r="BY48" s="885">
        <f>Planning!Y41</f>
        <v/>
      </c>
      <c r="BZ48" s="885">
        <f>Planning!Z41</f>
        <v/>
      </c>
      <c r="CA48" s="886" t="n"/>
      <c r="CB48" s="105" t="n"/>
      <c r="CC48" s="885">
        <f>Planning!AC41</f>
        <v/>
      </c>
      <c r="CD48" s="885">
        <f>Planning!AD41</f>
        <v/>
      </c>
      <c r="CE48" s="886" t="n"/>
      <c r="CF48" s="105" t="n"/>
      <c r="CG48" s="887">
        <f>Planning!AG41</f>
        <v/>
      </c>
      <c r="CH48" s="105" t="n"/>
      <c r="CI48" s="252">
        <f>IF(BC48="","",Planning!AI41)</f>
        <v/>
      </c>
      <c r="CJ48" s="252">
        <f>IF(BC48="","",Planning!AJ41)</f>
        <v/>
      </c>
      <c r="CK48" s="252">
        <f>IF(BC48="","",Planning!AK41)</f>
        <v/>
      </c>
      <c r="CL48" s="252">
        <f>IF(BC48="","",Planning!AH41)</f>
        <v/>
      </c>
      <c r="CM48" s="21" t="n"/>
    </row>
    <row r="49" ht="12.75" customHeight="1">
      <c r="A49" s="161">
        <f>IFERROR(IF(VLOOKUP($B49,$BC$13:$CL$86,36,FALSE)&gt;5,0,IF(COUNTIF($B$13:$B$63,$B49)&gt;1,0,37)),37)+IF(B49&lt;&gt;0,0,IF(AV49&gt;0,0.000001,0))</f>
        <v/>
      </c>
      <c r="B49" s="129" t="n"/>
      <c r="C49" s="48">
        <f>IFERROR(IF($B49="","",VLOOKUP($B49,Medewerker!$C$8:$AI$107,33,FALSE)),"?")</f>
        <v/>
      </c>
      <c r="D49" s="879">
        <f t="array" ref="D49">IFERROR(IF(LEFT(INDEX($F49:$AQ49,1,SUM(SMALL(IF($F49:$AQ49&lt;&gt;"",COLUMN($F49:$AQ49)),1)-5)),1)="x",SUM(SMALL(IF($F49:$AQ49&lt;&gt;"",$F$11:$AQ$11),1)+"0:15"),SMALL(IF($F49:$AQ49&lt;&gt;"",$F$11:$AQ$11),1)),"")</f>
        <v/>
      </c>
      <c r="E49" s="879">
        <f t="array" ref="E49">IFERROR(IF(LEFT(INDEX($F49:$AQ49,1,SUM(LARGE(IF($F49:$AQ49&lt;&gt;"",COLUMN($F49:$AQ49)),1)-5)),1)="x",SUM(LARGE(IF($F49:$AQ49&lt;&gt;"",$F$11:$AQ$11+"0:30:00"),1)-"0:15"),LARGE(IF($F49:$AQ49&lt;&gt;"",$F$11:$AQ$11+"0:30:00"),1)),"")</f>
        <v/>
      </c>
      <c r="F49" s="43" t="n"/>
      <c r="G49" s="42" t="n"/>
      <c r="H49" s="43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  <c r="AA49" s="42" t="n"/>
      <c r="AB49" s="42" t="n"/>
      <c r="AC49" s="42" t="n"/>
      <c r="AD49" s="42" t="n"/>
      <c r="AE49" s="42" t="n"/>
      <c r="AF49" s="42" t="n"/>
      <c r="AG49" s="42" t="n"/>
      <c r="AH49" s="42" t="n"/>
      <c r="AI49" s="42" t="n"/>
      <c r="AJ49" s="42" t="n"/>
      <c r="AK49" s="42" t="n"/>
      <c r="AL49" s="42" t="n"/>
      <c r="AM49" s="42" t="n"/>
      <c r="AN49" s="42" t="n"/>
      <c r="AO49" s="42" t="n"/>
      <c r="AP49" s="43" t="n"/>
      <c r="AQ49" s="42" t="n"/>
      <c r="AR49" s="888">
        <f>IFERROR(IF(VLOOKUP($B49,Medewerker!$C$8:$AG$107,31,FALSE)="",VLOOKUP($B49,Medewerker!$C$8:$AG$107,29,FALSE),0),0)</f>
        <v/>
      </c>
      <c r="AS49" s="888">
        <f>IFERROR(IF(B49="",1,IF(VLOOKUP($B49,Medewerker!$C$8:$AG$107,31,FALSE)="",VLOOKUP($B49,Medewerker!$C$8:$AG$107,30,FALSE),0)),0)</f>
        <v/>
      </c>
      <c r="AT49" s="45" t="n"/>
      <c r="AU49" s="46">
        <f>(COUNTIF(F49:AQ49,"afw"))/2</f>
        <v/>
      </c>
      <c r="AV49" s="111">
        <f>((38-(COUNTIF(F49:AQ49,"")))/2)-(COUNTIF(F49:AQ49,"p")/2)-(COUNTIF(F49:AQ49,CONCATENATE("x","*"))/4)</f>
        <v/>
      </c>
      <c r="AW49" s="73">
        <f>IF($B49="","",VLOOKUP($B49,Medewerker!$C$8:$E$107,3,FALSE))</f>
        <v/>
      </c>
      <c r="AX49" s="403">
        <f>IFERROR(VLOOKUP($B49,Planning!$B$6:$AG$105,32,FALSE)*24,"")</f>
        <v/>
      </c>
      <c r="AY49" s="837" t="inlineStr">
        <is>
          <t>mt</t>
        </is>
      </c>
      <c r="AZ49" s="413" t="inlineStr">
        <is>
          <t>MT of CKW-overleg</t>
        </is>
      </c>
      <c r="BA49" s="111">
        <f>COUNTIF($F$13:$AQ$63,CONCATENATE(AY49,"*"))/2+COUNTIF($F$13:$AQ$63,CONCATENATE("x",AY49,"*"))/4</f>
        <v/>
      </c>
      <c r="BB49" s="838" t="n"/>
      <c r="BC49" s="31">
        <f>IF(Planning!B42="","",Planning!B42)</f>
        <v/>
      </c>
      <c r="BD49" s="105" t="n"/>
      <c r="BE49" s="885">
        <f>Planning!E42</f>
        <v/>
      </c>
      <c r="BF49" s="885">
        <f>Planning!F42</f>
        <v/>
      </c>
      <c r="BG49" s="886" t="n"/>
      <c r="BH49" s="105" t="n"/>
      <c r="BI49" s="885">
        <f>Planning!I42</f>
        <v/>
      </c>
      <c r="BJ49" s="885">
        <f>Planning!J42</f>
        <v/>
      </c>
      <c r="BK49" s="886" t="n"/>
      <c r="BL49" s="105" t="n"/>
      <c r="BM49" s="885">
        <f>Planning!M42</f>
        <v/>
      </c>
      <c r="BN49" s="885">
        <f>Planning!N42</f>
        <v/>
      </c>
      <c r="BO49" s="886" t="n"/>
      <c r="BP49" s="105" t="n"/>
      <c r="BQ49" s="885">
        <f>Planning!Q42</f>
        <v/>
      </c>
      <c r="BR49" s="885">
        <f>Planning!R42</f>
        <v/>
      </c>
      <c r="BS49" s="886" t="n"/>
      <c r="BT49" s="105" t="n"/>
      <c r="BU49" s="885">
        <f>Planning!U42</f>
        <v/>
      </c>
      <c r="BV49" s="885">
        <f>Planning!V42</f>
        <v/>
      </c>
      <c r="BW49" s="886" t="n"/>
      <c r="BX49" s="105" t="n"/>
      <c r="BY49" s="885">
        <f>Planning!Y42</f>
        <v/>
      </c>
      <c r="BZ49" s="885">
        <f>Planning!Z42</f>
        <v/>
      </c>
      <c r="CA49" s="886" t="n"/>
      <c r="CB49" s="105" t="n"/>
      <c r="CC49" s="885">
        <f>Planning!AC42</f>
        <v/>
      </c>
      <c r="CD49" s="885">
        <f>Planning!AD42</f>
        <v/>
      </c>
      <c r="CE49" s="886" t="n"/>
      <c r="CF49" s="105" t="n"/>
      <c r="CG49" s="887">
        <f>Planning!AG42</f>
        <v/>
      </c>
      <c r="CH49" s="105" t="n"/>
      <c r="CI49" s="252">
        <f>IF(BC49="","",Planning!AI42)</f>
        <v/>
      </c>
      <c r="CJ49" s="252">
        <f>IF(BC49="","",Planning!AJ42)</f>
        <v/>
      </c>
      <c r="CK49" s="252">
        <f>IF(BC49="","",Planning!AK42)</f>
        <v/>
      </c>
      <c r="CL49" s="252">
        <f>IF(BC49="","",Planning!AH42)</f>
        <v/>
      </c>
      <c r="CM49" s="21" t="n"/>
    </row>
    <row r="50" ht="12.75" customHeight="1">
      <c r="A50" s="161">
        <f>IFERROR(IF(VLOOKUP($B50,$BC$13:$CL$86,36,FALSE)&gt;5,0,IF(COUNTIF($B$13:$B$63,$B50)&gt;1,0,38)),38)+IF(B50&lt;&gt;0,0,IF(AV50&gt;0,0.000001,0))</f>
        <v/>
      </c>
      <c r="B50" s="129" t="n"/>
      <c r="C50" s="48">
        <f>IFERROR(IF($B50="","",VLOOKUP($B50,Medewerker!$C$8:$AI$107,33,FALSE)),"?")</f>
        <v/>
      </c>
      <c r="D50" s="879">
        <f t="array" ref="D50">IFERROR(IF(LEFT(INDEX($F50:$AQ50,1,SUM(SMALL(IF($F50:$AQ50&lt;&gt;"",COLUMN($F50:$AQ50)),1)-5)),1)="x",SUM(SMALL(IF($F50:$AQ50&lt;&gt;"",$F$11:$AQ$11),1)+"0:15"),SMALL(IF($F50:$AQ50&lt;&gt;"",$F$11:$AQ$11),1)),"")</f>
        <v/>
      </c>
      <c r="E50" s="879">
        <f t="array" ref="E50">IFERROR(IF(LEFT(INDEX($F50:$AQ50,1,SUM(LARGE(IF($F50:$AQ50&lt;&gt;"",COLUMN($F50:$AQ50)),1)-5)),1)="x",SUM(LARGE(IF($F50:$AQ50&lt;&gt;"",$F$11:$AQ$11+"0:30:00"),1)-"0:15"),LARGE(IF($F50:$AQ50&lt;&gt;"",$F$11:$AQ$11+"0:30:00"),1)),"")</f>
        <v/>
      </c>
      <c r="F50" s="43" t="n"/>
      <c r="G50" s="42" t="n"/>
      <c r="H50" s="43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  <c r="AA50" s="42" t="n"/>
      <c r="AB50" s="42" t="n"/>
      <c r="AC50" s="42" t="n"/>
      <c r="AD50" s="42" t="n"/>
      <c r="AE50" s="42" t="n"/>
      <c r="AF50" s="42" t="n"/>
      <c r="AG50" s="42" t="n"/>
      <c r="AH50" s="42" t="n"/>
      <c r="AI50" s="42" t="n"/>
      <c r="AJ50" s="42" t="n"/>
      <c r="AK50" s="42" t="n"/>
      <c r="AL50" s="42" t="n"/>
      <c r="AM50" s="42" t="n"/>
      <c r="AN50" s="42" t="n"/>
      <c r="AO50" s="42" t="n"/>
      <c r="AP50" s="42" t="n"/>
      <c r="AQ50" s="42" t="n"/>
      <c r="AR50" s="888">
        <f>IFERROR(IF(VLOOKUP($B50,Medewerker!$C$8:$AG$107,31,FALSE)="",VLOOKUP($B50,Medewerker!$C$8:$AG$107,29,FALSE),0),0)</f>
        <v/>
      </c>
      <c r="AS50" s="888">
        <f>IFERROR(IF(B50="",1,IF(VLOOKUP($B50,Medewerker!$C$8:$AG$107,31,FALSE)="",VLOOKUP($B50,Medewerker!$C$8:$AG$107,30,FALSE),0)),0)</f>
        <v/>
      </c>
      <c r="AT50" s="45" t="n"/>
      <c r="AU50" s="46">
        <f>(COUNTIF(F50:AQ50,"afw"))/2</f>
        <v/>
      </c>
      <c r="AV50" s="111">
        <f>((38-(COUNTIF(F50:AQ50,"")))/2)-(COUNTIF(F50:AQ50,"p")/2)-(COUNTIF(F50:AQ50,CONCATENATE("x","*"))/4)</f>
        <v/>
      </c>
      <c r="AW50" s="73">
        <f>IF($B50="","",VLOOKUP($B50,Medewerker!$C$8:$E$107,3,FALSE))</f>
        <v/>
      </c>
      <c r="AX50" s="403">
        <f>IFERROR(VLOOKUP($B50,Planning!$B$6:$AG$105,32,FALSE)*24,"")</f>
        <v/>
      </c>
      <c r="AY50" s="837" t="inlineStr">
        <is>
          <t>ov</t>
        </is>
      </c>
      <c r="AZ50" s="71" t="inlineStr">
        <is>
          <t>Overig</t>
        </is>
      </c>
      <c r="BA50" s="111">
        <f>COUNTIF($F$13:$AQ$63,CONCATENATE(AY50,"*"))/2+COUNTIF($F$13:$AQ$63,CONCATENATE("x",AY50,"*"))/4</f>
        <v/>
      </c>
      <c r="BB50" s="838" t="n"/>
      <c r="BC50" s="31">
        <f>IF(Planning!B43="","",Planning!B43)</f>
        <v/>
      </c>
      <c r="BD50" s="105" t="n"/>
      <c r="BE50" s="885">
        <f>Planning!E43</f>
        <v/>
      </c>
      <c r="BF50" s="885">
        <f>Planning!F43</f>
        <v/>
      </c>
      <c r="BG50" s="886" t="n"/>
      <c r="BH50" s="105" t="n"/>
      <c r="BI50" s="885">
        <f>Planning!I43</f>
        <v/>
      </c>
      <c r="BJ50" s="885">
        <f>Planning!J43</f>
        <v/>
      </c>
      <c r="BK50" s="886" t="n"/>
      <c r="BL50" s="105" t="n"/>
      <c r="BM50" s="885">
        <f>Planning!M43</f>
        <v/>
      </c>
      <c r="BN50" s="885">
        <f>Planning!N43</f>
        <v/>
      </c>
      <c r="BO50" s="886" t="n"/>
      <c r="BP50" s="105" t="n"/>
      <c r="BQ50" s="885">
        <f>Planning!Q43</f>
        <v/>
      </c>
      <c r="BR50" s="885">
        <f>Planning!R43</f>
        <v/>
      </c>
      <c r="BS50" s="886" t="n"/>
      <c r="BT50" s="105" t="n"/>
      <c r="BU50" s="885">
        <f>Planning!U43</f>
        <v/>
      </c>
      <c r="BV50" s="885">
        <f>Planning!V43</f>
        <v/>
      </c>
      <c r="BW50" s="886" t="n"/>
      <c r="BX50" s="105" t="n"/>
      <c r="BY50" s="885">
        <f>Planning!Y43</f>
        <v/>
      </c>
      <c r="BZ50" s="885">
        <f>Planning!Z43</f>
        <v/>
      </c>
      <c r="CA50" s="886" t="n"/>
      <c r="CB50" s="105" t="n"/>
      <c r="CC50" s="885">
        <f>Planning!AC43</f>
        <v/>
      </c>
      <c r="CD50" s="885">
        <f>Planning!AD43</f>
        <v/>
      </c>
      <c r="CE50" s="886" t="n"/>
      <c r="CF50" s="105" t="n"/>
      <c r="CG50" s="887">
        <f>Planning!AG43</f>
        <v/>
      </c>
      <c r="CH50" s="105" t="n"/>
      <c r="CI50" s="252">
        <f>IF(BC50="","",Planning!AI43)</f>
        <v/>
      </c>
      <c r="CJ50" s="252">
        <f>IF(BC50="","",Planning!AJ43)</f>
        <v/>
      </c>
      <c r="CK50" s="252">
        <f>IF(BC50="","",Planning!AK43)</f>
        <v/>
      </c>
      <c r="CL50" s="252">
        <f>IF(BC50="","",Planning!AH43)</f>
        <v/>
      </c>
      <c r="CM50" s="21" t="n"/>
    </row>
    <row r="51" ht="12.75" customHeight="1">
      <c r="A51" s="161">
        <f>IFERROR(IF(VLOOKUP($B51,$BC$13:$CL$86,36,FALSE)&gt;5,0,IF(COUNTIF($B$13:$B$63,$B51)&gt;1,0,39)),39)+IF(B51&lt;&gt;0,0,IF(AV51&gt;0,0.000001,0))</f>
        <v/>
      </c>
      <c r="B51" s="129" t="n"/>
      <c r="C51" s="48">
        <f>IFERROR(IF($B51="","",VLOOKUP($B51,Medewerker!$C$8:$AI$107,33,FALSE)),"?")</f>
        <v/>
      </c>
      <c r="D51" s="879">
        <f t="array" ref="D51">IFERROR(IF(LEFT(INDEX($F51:$AQ51,1,SUM(SMALL(IF($F51:$AQ51&lt;&gt;"",COLUMN($F51:$AQ51)),1)-5)),1)="x",SUM(SMALL(IF($F51:$AQ51&lt;&gt;"",$F$11:$AQ$11),1)+"0:15"),SMALL(IF($F51:$AQ51&lt;&gt;"",$F$11:$AQ$11),1)),"")</f>
        <v/>
      </c>
      <c r="E51" s="879">
        <f t="array" ref="E51">IFERROR(IF(LEFT(INDEX($F51:$AQ51,1,SUM(LARGE(IF($F51:$AQ51&lt;&gt;"",COLUMN($F51:$AQ51)),1)-5)),1)="x",SUM(LARGE(IF($F51:$AQ51&lt;&gt;"",$F$11:$AQ$11+"0:30:00"),1)-"0:15"),LARGE(IF($F51:$AQ51&lt;&gt;"",$F$11:$AQ$11+"0:30:00"),1)),"")</f>
        <v/>
      </c>
      <c r="F51" s="43" t="n"/>
      <c r="G51" s="42" t="n"/>
      <c r="H51" s="43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  <c r="AA51" s="42" t="n"/>
      <c r="AB51" s="42" t="n"/>
      <c r="AC51" s="42" t="n"/>
      <c r="AD51" s="42" t="n"/>
      <c r="AE51" s="42" t="n"/>
      <c r="AF51" s="42" t="n"/>
      <c r="AG51" s="42" t="n"/>
      <c r="AH51" s="42" t="n"/>
      <c r="AI51" s="42" t="n"/>
      <c r="AJ51" s="42" t="n"/>
      <c r="AK51" s="42" t="n"/>
      <c r="AL51" s="42" t="n"/>
      <c r="AM51" s="42" t="n"/>
      <c r="AN51" s="42" t="n"/>
      <c r="AO51" s="42" t="n"/>
      <c r="AP51" s="42" t="n"/>
      <c r="AQ51" s="42" t="n"/>
      <c r="AR51" s="888">
        <f>IFERROR(IF(VLOOKUP($B51,Medewerker!$C$8:$AG$107,31,FALSE)="",VLOOKUP($B51,Medewerker!$C$8:$AG$107,29,FALSE),0),0)</f>
        <v/>
      </c>
      <c r="AS51" s="888">
        <f>IFERROR(IF(B51="",1,IF(VLOOKUP($B51,Medewerker!$C$8:$AG$107,31,FALSE)="",VLOOKUP($B51,Medewerker!$C$8:$AG$107,30,FALSE),0)),0)</f>
        <v/>
      </c>
      <c r="AT51" s="45" t="n"/>
      <c r="AU51" s="46">
        <f>(COUNTIF(F51:AQ51,"afw"))/2</f>
        <v/>
      </c>
      <c r="AV51" s="111">
        <f>((38-(COUNTIF(F51:AQ51,"")))/2)-(COUNTIF(F51:AQ51,"p")/2)-(COUNTIF(F51:AQ51,CONCATENATE("x","*"))/4)</f>
        <v/>
      </c>
      <c r="AW51" s="73">
        <f>IF($B51="","",VLOOKUP($B51,Medewerker!$C$8:$E$107,3,FALSE))</f>
        <v/>
      </c>
      <c r="AX51" s="403">
        <f>IFERROR(VLOOKUP($B51,Planning!$B$6:$AG$105,32,FALSE)*24,"")</f>
        <v/>
      </c>
      <c r="AY51" s="837" t="inlineStr">
        <is>
          <t>prt</t>
        </is>
      </c>
      <c r="AZ51" s="71" t="inlineStr">
        <is>
          <t>Protime</t>
        </is>
      </c>
      <c r="BA51" s="111">
        <f>COUNTIF($F$13:$AQ$63,CONCATENATE(AY51,"*"))/2+COUNTIF($F$13:$AQ$63,CONCATENATE("x",AY51,"*"))/4</f>
        <v/>
      </c>
      <c r="BB51" s="838" t="n"/>
      <c r="BC51" s="31">
        <f>IF(Planning!B44="","",Planning!B44)</f>
        <v/>
      </c>
      <c r="BD51" s="105" t="n"/>
      <c r="BE51" s="885">
        <f>Planning!E44</f>
        <v/>
      </c>
      <c r="BF51" s="885">
        <f>Planning!F44</f>
        <v/>
      </c>
      <c r="BG51" s="886" t="n"/>
      <c r="BH51" s="105" t="n"/>
      <c r="BI51" s="885">
        <f>Planning!I44</f>
        <v/>
      </c>
      <c r="BJ51" s="885">
        <f>Planning!J44</f>
        <v/>
      </c>
      <c r="BK51" s="886" t="n"/>
      <c r="BL51" s="105" t="n"/>
      <c r="BM51" s="885">
        <f>Planning!M44</f>
        <v/>
      </c>
      <c r="BN51" s="885">
        <f>Planning!N44</f>
        <v/>
      </c>
      <c r="BO51" s="886" t="n"/>
      <c r="BP51" s="105" t="n"/>
      <c r="BQ51" s="885">
        <f>Planning!Q44</f>
        <v/>
      </c>
      <c r="BR51" s="885">
        <f>Planning!R44</f>
        <v/>
      </c>
      <c r="BS51" s="886" t="n"/>
      <c r="BT51" s="105" t="n"/>
      <c r="BU51" s="885">
        <f>Planning!U44</f>
        <v/>
      </c>
      <c r="BV51" s="885">
        <f>Planning!V44</f>
        <v/>
      </c>
      <c r="BW51" s="886" t="n"/>
      <c r="BX51" s="105" t="n"/>
      <c r="BY51" s="885">
        <f>Planning!Y44</f>
        <v/>
      </c>
      <c r="BZ51" s="885">
        <f>Planning!Z44</f>
        <v/>
      </c>
      <c r="CA51" s="886" t="n"/>
      <c r="CB51" s="105" t="n"/>
      <c r="CC51" s="885">
        <f>Planning!AC44</f>
        <v/>
      </c>
      <c r="CD51" s="885">
        <f>Planning!AD44</f>
        <v/>
      </c>
      <c r="CE51" s="886" t="n"/>
      <c r="CF51" s="105" t="n"/>
      <c r="CG51" s="887">
        <f>Planning!AG44</f>
        <v/>
      </c>
      <c r="CH51" s="105" t="n"/>
      <c r="CI51" s="252">
        <f>IF(BC51="","",Planning!AI44)</f>
        <v/>
      </c>
      <c r="CJ51" s="252">
        <f>IF(BC51="","",Planning!AJ44)</f>
        <v/>
      </c>
      <c r="CK51" s="252">
        <f>IF(BC51="","",Planning!AK44)</f>
        <v/>
      </c>
      <c r="CL51" s="252">
        <f>IF(BC51="","",Planning!AH44)</f>
        <v/>
      </c>
      <c r="CM51" s="21" t="n"/>
    </row>
    <row r="52" ht="12.75" customHeight="1">
      <c r="A52" s="161">
        <f>IFERROR(IF(VLOOKUP($B52,$BC$13:$CL$86,36,FALSE)&gt;5,0,IF(COUNTIF($B$13:$B$63,$B52)&gt;1,0,40)),40)+IF(B52&lt;&gt;0,0,IF(AV52&gt;0,0.000001,0))</f>
        <v/>
      </c>
      <c r="B52" s="129" t="n"/>
      <c r="C52" s="48">
        <f>IFERROR(IF($B52="","",VLOOKUP($B52,Medewerker!$C$8:$AI$107,33,FALSE)),"?")</f>
        <v/>
      </c>
      <c r="D52" s="879">
        <f t="array" ref="D52">IFERROR(IF(LEFT(INDEX($F52:$AQ52,1,SUM(SMALL(IF($F52:$AQ52&lt;&gt;"",COLUMN($F52:$AQ52)),1)-5)),1)="x",SUM(SMALL(IF($F52:$AQ52&lt;&gt;"",$F$11:$AQ$11),1)+"0:15"),SMALL(IF($F52:$AQ52&lt;&gt;"",$F$11:$AQ$11),1)),"")</f>
        <v/>
      </c>
      <c r="E52" s="879">
        <f t="array" ref="E52">IFERROR(IF(LEFT(INDEX($F52:$AQ52,1,SUM(LARGE(IF($F52:$AQ52&lt;&gt;"",COLUMN($F52:$AQ52)),1)-5)),1)="x",SUM(LARGE(IF($F52:$AQ52&lt;&gt;"",$F$11:$AQ$11+"0:30:00"),1)-"0:15"),LARGE(IF($F52:$AQ52&lt;&gt;"",$F$11:$AQ$11+"0:30:00"),1)),"")</f>
        <v/>
      </c>
      <c r="F52" s="43" t="n"/>
      <c r="G52" s="42" t="n"/>
      <c r="H52" s="43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  <c r="AA52" s="42" t="n"/>
      <c r="AB52" s="42" t="n"/>
      <c r="AC52" s="42" t="n"/>
      <c r="AD52" s="42" t="n"/>
      <c r="AE52" s="42" t="n"/>
      <c r="AF52" s="42" t="n"/>
      <c r="AG52" s="42" t="n"/>
      <c r="AH52" s="42" t="n"/>
      <c r="AI52" s="42" t="n"/>
      <c r="AJ52" s="42" t="n"/>
      <c r="AK52" s="42" t="n"/>
      <c r="AL52" s="42" t="n"/>
      <c r="AM52" s="42" t="n"/>
      <c r="AN52" s="42" t="n"/>
      <c r="AO52" s="42" t="n"/>
      <c r="AP52" s="42" t="n"/>
      <c r="AQ52" s="42" t="n"/>
      <c r="AR52" s="888">
        <f>IFERROR(IF(VLOOKUP($B52,Medewerker!$C$8:$AG$107,31,FALSE)="",VLOOKUP($B52,Medewerker!$C$8:$AG$107,29,FALSE),0),0)</f>
        <v/>
      </c>
      <c r="AS52" s="888">
        <f>IFERROR(IF(B52="",1,IF(VLOOKUP($B52,Medewerker!$C$8:$AG$107,31,FALSE)="",VLOOKUP($B52,Medewerker!$C$8:$AG$107,30,FALSE),0)),0)</f>
        <v/>
      </c>
      <c r="AT52" s="45" t="n"/>
      <c r="AU52" s="46">
        <f>(COUNTIF(F52:AQ52,"afw"))/2</f>
        <v/>
      </c>
      <c r="AV52" s="111">
        <f>((38-(COUNTIF(F52:AQ52,"")))/2)-(COUNTIF(F52:AQ52,"p")/2)-(COUNTIF(F52:AQ52,CONCATENATE("x","*"))/4)</f>
        <v/>
      </c>
      <c r="AW52" s="73">
        <f>IF($B52="","",VLOOKUP($B52,Medewerker!$C$8:$E$107,3,FALSE))</f>
        <v/>
      </c>
      <c r="AX52" s="403">
        <f>IFERROR(VLOOKUP($B52,Planning!$B$6:$AG$105,32,FALSE)*24,"")</f>
        <v/>
      </c>
      <c r="AY52" s="837" t="inlineStr">
        <is>
          <t>sl</t>
        </is>
      </c>
      <c r="AZ52" s="71" t="inlineStr">
        <is>
          <t>Shift leiden</t>
        </is>
      </c>
      <c r="BA52" s="111">
        <f>COUNTIF($F$13:$AQ$63,CONCATENATE(AY52,"*"))/2+COUNTIF($F$13:$AQ$63,CONCATENATE("x",AY52,"*"))/4</f>
        <v/>
      </c>
      <c r="BB52" s="838" t="n"/>
      <c r="BC52" s="31">
        <f>IF(Planning!B45="","",Planning!B45)</f>
        <v/>
      </c>
      <c r="BD52" s="105" t="n"/>
      <c r="BE52" s="885">
        <f>Planning!E45</f>
        <v/>
      </c>
      <c r="BF52" s="885">
        <f>Planning!F45</f>
        <v/>
      </c>
      <c r="BG52" s="886" t="n"/>
      <c r="BH52" s="105" t="n"/>
      <c r="BI52" s="885">
        <f>Planning!I45</f>
        <v/>
      </c>
      <c r="BJ52" s="885">
        <f>Planning!J45</f>
        <v/>
      </c>
      <c r="BK52" s="886" t="n"/>
      <c r="BL52" s="105" t="n"/>
      <c r="BM52" s="885">
        <f>Planning!M45</f>
        <v/>
      </c>
      <c r="BN52" s="885">
        <f>Planning!N45</f>
        <v/>
      </c>
      <c r="BO52" s="886" t="n"/>
      <c r="BP52" s="105" t="n"/>
      <c r="BQ52" s="885">
        <f>Planning!Q45</f>
        <v/>
      </c>
      <c r="BR52" s="885">
        <f>Planning!R45</f>
        <v/>
      </c>
      <c r="BS52" s="886" t="n"/>
      <c r="BT52" s="105" t="n"/>
      <c r="BU52" s="885">
        <f>Planning!U45</f>
        <v/>
      </c>
      <c r="BV52" s="885">
        <f>Planning!V45</f>
        <v/>
      </c>
      <c r="BW52" s="886" t="n"/>
      <c r="BX52" s="105" t="n"/>
      <c r="BY52" s="885">
        <f>Planning!Y45</f>
        <v/>
      </c>
      <c r="BZ52" s="885">
        <f>Planning!Z45</f>
        <v/>
      </c>
      <c r="CA52" s="886" t="n"/>
      <c r="CB52" s="105" t="n"/>
      <c r="CC52" s="885">
        <f>Planning!AC45</f>
        <v/>
      </c>
      <c r="CD52" s="885">
        <f>Planning!AD45</f>
        <v/>
      </c>
      <c r="CE52" s="886" t="n"/>
      <c r="CF52" s="105" t="n"/>
      <c r="CG52" s="887">
        <f>Planning!AG45</f>
        <v/>
      </c>
      <c r="CH52" s="105" t="n"/>
      <c r="CI52" s="252">
        <f>IF(BC52="","",Planning!AI45)</f>
        <v/>
      </c>
      <c r="CJ52" s="252">
        <f>IF(BC52="","",Planning!AJ45)</f>
        <v/>
      </c>
      <c r="CK52" s="252">
        <f>IF(BC52="","",Planning!AK45)</f>
        <v/>
      </c>
      <c r="CL52" s="252">
        <f>IF(BC52="","",Planning!AH45)</f>
        <v/>
      </c>
      <c r="CM52" s="21" t="n"/>
    </row>
    <row r="53" ht="12.75" customHeight="1">
      <c r="A53" s="161">
        <f>IFERROR(IF(VLOOKUP($B53,$BC$13:$CL$86,36,FALSE)&gt;5,0,IF(COUNTIF($B$13:$B$63,$B53)&gt;1,0,41)),41)+IF(B53&lt;&gt;0,0,IF(AV53&gt;0,0.000001,0))</f>
        <v/>
      </c>
      <c r="B53" s="129" t="n"/>
      <c r="C53" s="48">
        <f>IFERROR(IF($B53="","",VLOOKUP($B53,Medewerker!$C$8:$AI$107,33,FALSE)),"?")</f>
        <v/>
      </c>
      <c r="D53" s="879">
        <f t="array" ref="D53">IFERROR(IF(LEFT(INDEX($F53:$AQ53,1,SUM(SMALL(IF($F53:$AQ53&lt;&gt;"",COLUMN($F53:$AQ53)),1)-5)),1)="x",SUM(SMALL(IF($F53:$AQ53&lt;&gt;"",$F$11:$AQ$11),1)+"0:15"),SMALL(IF($F53:$AQ53&lt;&gt;"",$F$11:$AQ$11),1)),"")</f>
        <v/>
      </c>
      <c r="E53" s="879">
        <f t="array" ref="E53">IFERROR(IF(LEFT(INDEX($F53:$AQ53,1,SUM(LARGE(IF($F53:$AQ53&lt;&gt;"",COLUMN($F53:$AQ53)),1)-5)),1)="x",SUM(LARGE(IF($F53:$AQ53&lt;&gt;"",$F$11:$AQ$11+"0:30:00"),1)-"0:15"),LARGE(IF($F53:$AQ53&lt;&gt;"",$F$11:$AQ$11+"0:30:00"),1)),"")</f>
        <v/>
      </c>
      <c r="F53" s="43" t="n"/>
      <c r="G53" s="42" t="n"/>
      <c r="H53" s="43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  <c r="AA53" s="42" t="n"/>
      <c r="AB53" s="42" t="n"/>
      <c r="AC53" s="42" t="n"/>
      <c r="AD53" s="42" t="n"/>
      <c r="AE53" s="42" t="n"/>
      <c r="AF53" s="42" t="n"/>
      <c r="AG53" s="42" t="n"/>
      <c r="AH53" s="42" t="n"/>
      <c r="AI53" s="42" t="n"/>
      <c r="AJ53" s="42" t="n"/>
      <c r="AK53" s="42" t="n"/>
      <c r="AL53" s="42" t="n"/>
      <c r="AM53" s="42" t="n"/>
      <c r="AN53" s="42" t="n"/>
      <c r="AO53" s="42" t="n"/>
      <c r="AP53" s="42" t="n"/>
      <c r="AQ53" s="42" t="n"/>
      <c r="AR53" s="888">
        <f>IFERROR(IF(VLOOKUP($B53,Medewerker!$C$8:$AG$107,31,FALSE)="",VLOOKUP($B53,Medewerker!$C$8:$AG$107,29,FALSE),0),0)</f>
        <v/>
      </c>
      <c r="AS53" s="888">
        <f>IFERROR(IF(B53="",1,IF(VLOOKUP($B53,Medewerker!$C$8:$AG$107,31,FALSE)="",VLOOKUP($B53,Medewerker!$C$8:$AG$107,30,FALSE),0)),0)</f>
        <v/>
      </c>
      <c r="AT53" s="45" t="n"/>
      <c r="AU53" s="46">
        <f>(COUNTIF(F53:AQ53,"afw"))/2</f>
        <v/>
      </c>
      <c r="AV53" s="111">
        <f>((38-(COUNTIF(F53:AQ53,"")))/2)-(COUNTIF(F53:AQ53,"p")/2)-(COUNTIF(F53:AQ53,CONCATENATE("x","*"))/4)</f>
        <v/>
      </c>
      <c r="AW53" s="73">
        <f>IF($B53="","",VLOOKUP($B53,Medewerker!$C$8:$E$107,3,FALSE))</f>
        <v/>
      </c>
      <c r="AX53" s="403">
        <f>IFERROR(VLOOKUP($B53,Planning!$B$6:$AG$105,32,FALSE)*24,"")</f>
        <v/>
      </c>
      <c r="AY53" s="837" t="inlineStr">
        <is>
          <t>vp</t>
        </is>
      </c>
      <c r="AZ53" s="71" t="inlineStr">
        <is>
          <t>Vulshiftplanning</t>
        </is>
      </c>
      <c r="BA53" s="111">
        <f>COUNTIF($F$13:$AQ$63,CONCATENATE(AY53,"*"))/2+COUNTIF($F$13:$AQ$63,CONCATENATE("x",AY53,"*"))/4</f>
        <v/>
      </c>
      <c r="BB53" s="838" t="n"/>
      <c r="BC53" s="31">
        <f>IF(Planning!B46="","",Planning!B46)</f>
        <v/>
      </c>
      <c r="BD53" s="105" t="n"/>
      <c r="BE53" s="885">
        <f>Planning!E46</f>
        <v/>
      </c>
      <c r="BF53" s="885">
        <f>Planning!F46</f>
        <v/>
      </c>
      <c r="BG53" s="886" t="n"/>
      <c r="BH53" s="105" t="n"/>
      <c r="BI53" s="885">
        <f>Planning!I46</f>
        <v/>
      </c>
      <c r="BJ53" s="885">
        <f>Planning!J46</f>
        <v/>
      </c>
      <c r="BK53" s="886" t="n"/>
      <c r="BL53" s="105" t="n"/>
      <c r="BM53" s="885">
        <f>Planning!M46</f>
        <v/>
      </c>
      <c r="BN53" s="885">
        <f>Planning!N46</f>
        <v/>
      </c>
      <c r="BO53" s="886" t="n"/>
      <c r="BP53" s="105" t="n"/>
      <c r="BQ53" s="885">
        <f>Planning!Q46</f>
        <v/>
      </c>
      <c r="BR53" s="885">
        <f>Planning!R46</f>
        <v/>
      </c>
      <c r="BS53" s="886" t="n"/>
      <c r="BT53" s="105" t="n"/>
      <c r="BU53" s="885">
        <f>Planning!U46</f>
        <v/>
      </c>
      <c r="BV53" s="885">
        <f>Planning!V46</f>
        <v/>
      </c>
      <c r="BW53" s="886" t="n"/>
      <c r="BX53" s="105" t="n"/>
      <c r="BY53" s="885">
        <f>Planning!Y46</f>
        <v/>
      </c>
      <c r="BZ53" s="885">
        <f>Planning!Z46</f>
        <v/>
      </c>
      <c r="CA53" s="886" t="n"/>
      <c r="CB53" s="105" t="n"/>
      <c r="CC53" s="885">
        <f>Planning!AC46</f>
        <v/>
      </c>
      <c r="CD53" s="885">
        <f>Planning!AD46</f>
        <v/>
      </c>
      <c r="CE53" s="886" t="n"/>
      <c r="CF53" s="105" t="n"/>
      <c r="CG53" s="887">
        <f>Planning!AG46</f>
        <v/>
      </c>
      <c r="CH53" s="105" t="n"/>
      <c r="CI53" s="252">
        <f>IF(BC53="","",Planning!AI46)</f>
        <v/>
      </c>
      <c r="CJ53" s="252">
        <f>IF(BC53="","",Planning!AJ46)</f>
        <v/>
      </c>
      <c r="CK53" s="252">
        <f>IF(BC53="","",Planning!AK46)</f>
        <v/>
      </c>
      <c r="CL53" s="252">
        <f>IF(BC53="","",Planning!AH46)</f>
        <v/>
      </c>
      <c r="CM53" s="21" t="n"/>
    </row>
    <row r="54" ht="12.75" customHeight="1">
      <c r="A54" s="161">
        <f>IFERROR(IF(VLOOKUP($B54,$BC$13:$CL$86,36,FALSE)&gt;5,0,IF(COUNTIF($B$13:$B$63,$B54)&gt;1,0,42)),42)+IF(B54&lt;&gt;0,0,IF(AV54&gt;0,0.000001,0))</f>
        <v/>
      </c>
      <c r="B54" s="129" t="n"/>
      <c r="C54" s="48">
        <f>IFERROR(IF($B54="","",VLOOKUP($B54,Medewerker!$C$8:$AI$107,33,FALSE)),"?")</f>
        <v/>
      </c>
      <c r="D54" s="879">
        <f t="array" ref="D54">IFERROR(IF(LEFT(INDEX($F54:$AQ54,1,SUM(SMALL(IF($F54:$AQ54&lt;&gt;"",COLUMN($F54:$AQ54)),1)-5)),1)="x",SUM(SMALL(IF($F54:$AQ54&lt;&gt;"",$F$11:$AQ$11),1)+"0:15"),SMALL(IF($F54:$AQ54&lt;&gt;"",$F$11:$AQ$11),1)),"")</f>
        <v/>
      </c>
      <c r="E54" s="879">
        <f t="array" ref="E54">IFERROR(IF(LEFT(INDEX($F54:$AQ54,1,SUM(LARGE(IF($F54:$AQ54&lt;&gt;"",COLUMN($F54:$AQ54)),1)-5)),1)="x",SUM(LARGE(IF($F54:$AQ54&lt;&gt;"",$F$11:$AQ$11+"0:30:00"),1)-"0:15"),LARGE(IF($F54:$AQ54&lt;&gt;"",$F$11:$AQ$11+"0:30:00"),1)),"")</f>
        <v/>
      </c>
      <c r="F54" s="43" t="n"/>
      <c r="G54" s="42" t="n"/>
      <c r="H54" s="43" t="n"/>
      <c r="I54" s="42" t="n"/>
      <c r="J54" s="43" t="n"/>
      <c r="K54" s="41" t="n"/>
      <c r="L54" s="40" t="n"/>
      <c r="M54" s="42" t="n"/>
      <c r="N54" s="43" t="n"/>
      <c r="O54" s="41" t="n"/>
      <c r="P54" s="40" t="n"/>
      <c r="Q54" s="42" t="n"/>
      <c r="R54" s="43" t="n"/>
      <c r="S54" s="41" t="n"/>
      <c r="T54" s="40" t="n"/>
      <c r="U54" s="42" t="n"/>
      <c r="V54" s="43" t="n"/>
      <c r="W54" s="41" t="n"/>
      <c r="X54" s="40" t="n"/>
      <c r="Y54" s="42" t="n"/>
      <c r="Z54" s="43" t="n"/>
      <c r="AA54" s="41" t="n"/>
      <c r="AB54" s="40" t="n"/>
      <c r="AC54" s="42" t="n"/>
      <c r="AD54" s="43" t="n"/>
      <c r="AE54" s="41" t="n"/>
      <c r="AF54" s="40" t="n"/>
      <c r="AG54" s="42" t="n"/>
      <c r="AH54" s="43" t="n"/>
      <c r="AI54" s="43" t="n"/>
      <c r="AJ54" s="43" t="n"/>
      <c r="AK54" s="43" t="n"/>
      <c r="AL54" s="43" t="n"/>
      <c r="AM54" s="43" t="n"/>
      <c r="AN54" s="43" t="n"/>
      <c r="AO54" s="43" t="n"/>
      <c r="AP54" s="43" t="n"/>
      <c r="AQ54" s="42" t="n"/>
      <c r="AR54" s="888">
        <f>IFERROR(IF(VLOOKUP($B54,Medewerker!$C$8:$AG$107,31,FALSE)="",VLOOKUP($B54,Medewerker!$C$8:$AG$107,29,FALSE),0),0)</f>
        <v/>
      </c>
      <c r="AS54" s="888">
        <f>IFERROR(IF(B54="",1,IF(VLOOKUP($B54,Medewerker!$C$8:$AG$107,31,FALSE)="",VLOOKUP($B54,Medewerker!$C$8:$AG$107,30,FALSE),0)),0)</f>
        <v/>
      </c>
      <c r="AT54" s="45" t="n"/>
      <c r="AU54" s="46">
        <f>(COUNTIF(F54:AQ54,"afw"))/2</f>
        <v/>
      </c>
      <c r="AV54" s="111">
        <f>((38-(COUNTIF(F54:AQ54,"")))/2)-(COUNTIF(F54:AQ54,"p")/2)-(COUNTIF(F54:AQ54,CONCATENATE("x","*"))/4)</f>
        <v/>
      </c>
      <c r="AW54" s="73">
        <f>IF($B54="","",VLOOKUP($B54,Medewerker!$C$8:$E$107,3,FALSE))</f>
        <v/>
      </c>
      <c r="AX54" s="403">
        <f>IFERROR(VLOOKUP($B54,Planning!$B$6:$AG$105,32,FALSE)*24,"")</f>
        <v/>
      </c>
      <c r="AY54" s="837" t="inlineStr">
        <is>
          <t>wh</t>
        </is>
      </c>
      <c r="AZ54" s="413" t="inlineStr">
        <is>
          <t>Winkelwagens halen</t>
        </is>
      </c>
      <c r="BA54" s="111">
        <f>COUNTIF($F$13:$AQ$63,CONCATENATE(AY54,"*"))/2+COUNTIF($F$13:$AQ$63,CONCATENATE("x",AY54,"*"))/4</f>
        <v/>
      </c>
      <c r="BB54" s="838" t="n"/>
      <c r="BC54" s="31">
        <f>IF(Planning!B47="","",Planning!B47)</f>
        <v/>
      </c>
      <c r="BD54" s="105" t="n"/>
      <c r="BE54" s="885">
        <f>Planning!E47</f>
        <v/>
      </c>
      <c r="BF54" s="885">
        <f>Planning!F47</f>
        <v/>
      </c>
      <c r="BG54" s="886" t="n"/>
      <c r="BH54" s="105" t="n"/>
      <c r="BI54" s="885">
        <f>Planning!I47</f>
        <v/>
      </c>
      <c r="BJ54" s="885">
        <f>Planning!J47</f>
        <v/>
      </c>
      <c r="BK54" s="886" t="n"/>
      <c r="BL54" s="105" t="n"/>
      <c r="BM54" s="885">
        <f>Planning!M47</f>
        <v/>
      </c>
      <c r="BN54" s="885">
        <f>Planning!N47</f>
        <v/>
      </c>
      <c r="BO54" s="886" t="n"/>
      <c r="BP54" s="105" t="n"/>
      <c r="BQ54" s="885">
        <f>Planning!Q47</f>
        <v/>
      </c>
      <c r="BR54" s="885">
        <f>Planning!R47</f>
        <v/>
      </c>
      <c r="BS54" s="886" t="n"/>
      <c r="BT54" s="105" t="n"/>
      <c r="BU54" s="885">
        <f>Planning!U47</f>
        <v/>
      </c>
      <c r="BV54" s="885">
        <f>Planning!V47</f>
        <v/>
      </c>
      <c r="BW54" s="886" t="n"/>
      <c r="BX54" s="105" t="n"/>
      <c r="BY54" s="885">
        <f>Planning!Y47</f>
        <v/>
      </c>
      <c r="BZ54" s="885">
        <f>Planning!Z47</f>
        <v/>
      </c>
      <c r="CA54" s="886" t="n"/>
      <c r="CB54" s="105" t="n"/>
      <c r="CC54" s="885">
        <f>Planning!AC47</f>
        <v/>
      </c>
      <c r="CD54" s="885">
        <f>Planning!AD47</f>
        <v/>
      </c>
      <c r="CE54" s="886" t="n"/>
      <c r="CF54" s="105" t="n"/>
      <c r="CG54" s="887">
        <f>Planning!AG47</f>
        <v/>
      </c>
      <c r="CH54" s="105" t="n"/>
      <c r="CI54" s="252">
        <f>IF(BC54="","",Planning!AI47)</f>
        <v/>
      </c>
      <c r="CJ54" s="252">
        <f>IF(BC54="","",Planning!AJ47)</f>
        <v/>
      </c>
      <c r="CK54" s="252">
        <f>IF(BC54="","",Planning!AK47)</f>
        <v/>
      </c>
      <c r="CL54" s="252">
        <f>IF(BC54="","",Planning!AH47)</f>
        <v/>
      </c>
      <c r="CM54" s="21" t="n"/>
    </row>
    <row r="55" ht="12.75" customHeight="1">
      <c r="A55" s="161">
        <f>IFERROR(IF(VLOOKUP($B55,$BC$13:$CL$86,36,FALSE)&gt;5,0,IF(COUNTIF($B$13:$B$63,$B55)&gt;1,0,43)),43)+IF(B55&lt;&gt;0,0,IF(AV55&gt;0,0.000001,0))</f>
        <v/>
      </c>
      <c r="B55" s="129" t="n"/>
      <c r="C55" s="48">
        <f>IFERROR(IF($B55="","",VLOOKUP($B55,Medewerker!$C$8:$AI$107,33,FALSE)),"?")</f>
        <v/>
      </c>
      <c r="D55" s="879">
        <f t="array" ref="D55">IFERROR(IF(LEFT(INDEX($F55:$AQ55,1,SUM(SMALL(IF($F55:$AQ55&lt;&gt;"",COLUMN($F55:$AQ55)),1)-5)),1)="x",SUM(SMALL(IF($F55:$AQ55&lt;&gt;"",$F$11:$AQ$11),1)+"0:15"),SMALL(IF($F55:$AQ55&lt;&gt;"",$F$11:$AQ$11),1)),"")</f>
        <v/>
      </c>
      <c r="E55" s="879">
        <f t="array" ref="E55">IFERROR(IF(LEFT(INDEX($F55:$AQ55,1,SUM(LARGE(IF($F55:$AQ55&lt;&gt;"",COLUMN($F55:$AQ55)),1)-5)),1)="x",SUM(LARGE(IF($F55:$AQ55&lt;&gt;"",$F$11:$AQ$11+"0:30:00"),1)-"0:15"),LARGE(IF($F55:$AQ55&lt;&gt;"",$F$11:$AQ$11+"0:30:00"),1)),"")</f>
        <v/>
      </c>
      <c r="F55" s="43" t="n"/>
      <c r="G55" s="42" t="n"/>
      <c r="H55" s="43" t="n"/>
      <c r="I55" s="42" t="n"/>
      <c r="J55" s="43" t="n"/>
      <c r="K55" s="41" t="n"/>
      <c r="L55" s="40" t="n"/>
      <c r="M55" s="42" t="n"/>
      <c r="N55" s="43" t="n"/>
      <c r="O55" s="41" t="n"/>
      <c r="P55" s="40" t="n"/>
      <c r="Q55" s="42" t="n"/>
      <c r="R55" s="43" t="n"/>
      <c r="S55" s="41" t="n"/>
      <c r="T55" s="40" t="n"/>
      <c r="U55" s="42" t="n"/>
      <c r="V55" s="43" t="n"/>
      <c r="W55" s="41" t="n"/>
      <c r="X55" s="40" t="n"/>
      <c r="Y55" s="42" t="n"/>
      <c r="Z55" s="43" t="n"/>
      <c r="AA55" s="41" t="n"/>
      <c r="AB55" s="40" t="n"/>
      <c r="AC55" s="42" t="n"/>
      <c r="AD55" s="43" t="n"/>
      <c r="AE55" s="41" t="n"/>
      <c r="AF55" s="40" t="n"/>
      <c r="AG55" s="42" t="n"/>
      <c r="AH55" s="43" t="n"/>
      <c r="AI55" s="41" t="n"/>
      <c r="AJ55" s="40" t="n"/>
      <c r="AK55" s="42" t="n"/>
      <c r="AL55" s="43" t="n"/>
      <c r="AM55" s="41" t="n"/>
      <c r="AN55" s="645" t="n"/>
      <c r="AO55" s="42" t="n"/>
      <c r="AP55" s="43" t="n"/>
      <c r="AQ55" s="42" t="n"/>
      <c r="AR55" s="888">
        <f>IFERROR(IF(VLOOKUP($B55,Medewerker!$C$8:$AG$107,31,FALSE)="",VLOOKUP($B55,Medewerker!$C$8:$AG$107,29,FALSE),0),0)</f>
        <v/>
      </c>
      <c r="AS55" s="888">
        <f>IFERROR(IF(B55="",1,IF(VLOOKUP($B55,Medewerker!$C$8:$AG$107,31,FALSE)="",VLOOKUP($B55,Medewerker!$C$8:$AG$107,30,FALSE),0)),0)</f>
        <v/>
      </c>
      <c r="AT55" s="45" t="n"/>
      <c r="AU55" s="46">
        <f>(COUNTIF(F55:AQ55,"afw"))/2</f>
        <v/>
      </c>
      <c r="AV55" s="111">
        <f>((38-(COUNTIF(F55:AQ55,"")))/2)-(COUNTIF(F55:AQ55,"p")/2)-(COUNTIF(F55:AQ55,CONCATENATE("x","*"))/4)</f>
        <v/>
      </c>
      <c r="AW55" s="73">
        <f>IF($B55="","",VLOOKUP($B55,Medewerker!$C$8:$E$107,3,FALSE))</f>
        <v/>
      </c>
      <c r="AX55" s="403">
        <f>IFERROR(VLOOKUP($B55,Planning!$B$6:$AG$105,32,FALSE)*24,"")</f>
        <v/>
      </c>
      <c r="AY55" s="837" t="inlineStr">
        <is>
          <t>wp</t>
        </is>
      </c>
      <c r="AZ55" s="71" t="inlineStr">
        <is>
          <t>Weekplanning</t>
        </is>
      </c>
      <c r="BA55" s="111">
        <f>COUNTIF($F$13:$AQ$63,CONCATENATE(AY55,"*"))/2+COUNTIF($F$13:$AQ$63,CONCATENATE("x",AY55,"*"))/4</f>
        <v/>
      </c>
      <c r="BB55" s="838" t="n"/>
      <c r="BC55" s="31">
        <f>IF(Planning!B48="","",Planning!B48)</f>
        <v/>
      </c>
      <c r="BD55" s="105" t="n"/>
      <c r="BE55" s="885">
        <f>Planning!E48</f>
        <v/>
      </c>
      <c r="BF55" s="885">
        <f>Planning!F48</f>
        <v/>
      </c>
      <c r="BG55" s="886" t="n"/>
      <c r="BH55" s="105" t="n"/>
      <c r="BI55" s="885">
        <f>Planning!I48</f>
        <v/>
      </c>
      <c r="BJ55" s="885">
        <f>Planning!J48</f>
        <v/>
      </c>
      <c r="BK55" s="886" t="n"/>
      <c r="BL55" s="105" t="n"/>
      <c r="BM55" s="885">
        <f>Planning!M48</f>
        <v/>
      </c>
      <c r="BN55" s="885">
        <f>Planning!N48</f>
        <v/>
      </c>
      <c r="BO55" s="886" t="n"/>
      <c r="BP55" s="105" t="n"/>
      <c r="BQ55" s="885">
        <f>Planning!Q48</f>
        <v/>
      </c>
      <c r="BR55" s="885">
        <f>Planning!R48</f>
        <v/>
      </c>
      <c r="BS55" s="886" t="n"/>
      <c r="BT55" s="105" t="n"/>
      <c r="BU55" s="885">
        <f>Planning!U48</f>
        <v/>
      </c>
      <c r="BV55" s="885">
        <f>Planning!V48</f>
        <v/>
      </c>
      <c r="BW55" s="886" t="n"/>
      <c r="BX55" s="105" t="n"/>
      <c r="BY55" s="885">
        <f>Planning!Y48</f>
        <v/>
      </c>
      <c r="BZ55" s="885">
        <f>Planning!Z48</f>
        <v/>
      </c>
      <c r="CA55" s="886" t="n"/>
      <c r="CB55" s="105" t="n"/>
      <c r="CC55" s="885">
        <f>Planning!AC48</f>
        <v/>
      </c>
      <c r="CD55" s="885">
        <f>Planning!AD48</f>
        <v/>
      </c>
      <c r="CE55" s="886" t="n"/>
      <c r="CF55" s="105" t="n"/>
      <c r="CG55" s="887">
        <f>Planning!AG48</f>
        <v/>
      </c>
      <c r="CH55" s="105" t="n"/>
      <c r="CI55" s="252">
        <f>IF(BC55="","",Planning!AI48)</f>
        <v/>
      </c>
      <c r="CJ55" s="252">
        <f>IF(BC55="","",Planning!AJ48)</f>
        <v/>
      </c>
      <c r="CK55" s="252">
        <f>IF(BC55="","",Planning!AK48)</f>
        <v/>
      </c>
      <c r="CL55" s="252">
        <f>IF(BC55="","",Planning!AH48)</f>
        <v/>
      </c>
      <c r="CM55" s="21" t="n"/>
    </row>
    <row r="56" ht="12.75" customHeight="1">
      <c r="A56" s="161">
        <f>IFERROR(IF(VLOOKUP($B56,$BC$13:$CL$86,36,FALSE)&gt;5,0,IF(COUNTIF($B$13:$B$63,$B56)&gt;1,0,44)),44)+IF(B56&lt;&gt;0,0,IF(AV56&gt;0,0.000001,0))</f>
        <v/>
      </c>
      <c r="B56" s="129" t="n"/>
      <c r="C56" s="48">
        <f>IFERROR(IF($B56="","",VLOOKUP($B56,Medewerker!$C$8:$AI$107,33,FALSE)),"?")</f>
        <v/>
      </c>
      <c r="D56" s="879">
        <f t="array" ref="D56">IFERROR(IF(LEFT(INDEX($F56:$AQ56,1,SUM(SMALL(IF($F56:$AQ56&lt;&gt;"",COLUMN($F56:$AQ56)),1)-5)),1)="x",SUM(SMALL(IF($F56:$AQ56&lt;&gt;"",$F$11:$AQ$11),1)+"0:15"),SMALL(IF($F56:$AQ56&lt;&gt;"",$F$11:$AQ$11),1)),"")</f>
        <v/>
      </c>
      <c r="E56" s="879">
        <f t="array" ref="E56">IFERROR(IF(LEFT(INDEX($F56:$AQ56,1,SUM(LARGE(IF($F56:$AQ56&lt;&gt;"",COLUMN($F56:$AQ56)),1)-5)),1)="x",SUM(LARGE(IF($F56:$AQ56&lt;&gt;"",$F$11:$AQ$11+"0:30:00"),1)-"0:15"),LARGE(IF($F56:$AQ56&lt;&gt;"",$F$11:$AQ$11+"0:30:00"),1)),"")</f>
        <v/>
      </c>
      <c r="F56" s="43" t="n"/>
      <c r="G56" s="42" t="n"/>
      <c r="H56" s="43" t="n"/>
      <c r="I56" s="42" t="n"/>
      <c r="J56" s="43" t="n"/>
      <c r="K56" s="41" t="n"/>
      <c r="L56" s="40" t="n"/>
      <c r="M56" s="42" t="n"/>
      <c r="N56" s="43" t="n"/>
      <c r="O56" s="41" t="n"/>
      <c r="P56" s="40" t="n"/>
      <c r="Q56" s="42" t="n"/>
      <c r="R56" s="43" t="n"/>
      <c r="S56" s="41" t="n"/>
      <c r="T56" s="40" t="n"/>
      <c r="U56" s="42" t="n"/>
      <c r="V56" s="43" t="n"/>
      <c r="W56" s="41" t="n"/>
      <c r="X56" s="40" t="n"/>
      <c r="Y56" s="42" t="n"/>
      <c r="Z56" s="43" t="n"/>
      <c r="AA56" s="41" t="n"/>
      <c r="AB56" s="40" t="n"/>
      <c r="AC56" s="42" t="n"/>
      <c r="AD56" s="43" t="n"/>
      <c r="AE56" s="41" t="n"/>
      <c r="AF56" s="40" t="n"/>
      <c r="AG56" s="42" t="n"/>
      <c r="AH56" s="43" t="n"/>
      <c r="AI56" s="41" t="n"/>
      <c r="AJ56" s="40" t="n"/>
      <c r="AK56" s="42" t="n"/>
      <c r="AL56" s="43" t="n"/>
      <c r="AM56" s="41" t="n"/>
      <c r="AN56" s="645" t="n"/>
      <c r="AO56" s="42" t="n"/>
      <c r="AP56" s="43" t="n"/>
      <c r="AQ56" s="42" t="n"/>
      <c r="AR56" s="888">
        <f>IFERROR(IF(VLOOKUP($B56,Medewerker!$C$8:$AG$107,31,FALSE)="",VLOOKUP($B56,Medewerker!$C$8:$AG$107,29,FALSE),0),0)</f>
        <v/>
      </c>
      <c r="AS56" s="888">
        <f>IFERROR(IF(B56="",1,IF(VLOOKUP($B56,Medewerker!$C$8:$AG$107,31,FALSE)="",VLOOKUP($B56,Medewerker!$C$8:$AG$107,30,FALSE),0)),0)</f>
        <v/>
      </c>
      <c r="AT56" s="45" t="n"/>
      <c r="AU56" s="46">
        <f>(COUNTIF(F56:AQ56,"afw"))/2</f>
        <v/>
      </c>
      <c r="AV56" s="111">
        <f>((38-(COUNTIF(F56:AQ56,"")))/2)-(COUNTIF(F56:AQ56,"p")/2)-(COUNTIF(F56:AQ56,CONCATENATE("x","*"))/4)</f>
        <v/>
      </c>
      <c r="AW56" s="73">
        <f>IF($B56="","",VLOOKUP($B56,Medewerker!$C$8:$E$107,3,FALSE))</f>
        <v/>
      </c>
      <c r="AX56" s="403">
        <f>IFERROR(VLOOKUP($B56,Planning!$B$6:$AG$105,32,FALSE)*24,"")</f>
        <v/>
      </c>
      <c r="AY56" s="558" t="inlineStr">
        <is>
          <t>wv</t>
        </is>
      </c>
      <c r="AZ56" s="71" t="inlineStr">
        <is>
          <t>Winkelverzorging</t>
        </is>
      </c>
      <c r="BA56" s="111">
        <f>COUNTIF($F$13:$AQ$63,CONCATENATE(AY56,"*"))/2+COUNTIF($F$13:$AQ$63,CONCATENATE("x",AY56,"*"))/4</f>
        <v/>
      </c>
      <c r="BB56" s="838" t="n"/>
      <c r="BC56" s="31">
        <f>IF(Planning!B49="","",Planning!B49)</f>
        <v/>
      </c>
      <c r="BD56" s="105" t="n"/>
      <c r="BE56" s="885">
        <f>Planning!E49</f>
        <v/>
      </c>
      <c r="BF56" s="885">
        <f>Planning!F49</f>
        <v/>
      </c>
      <c r="BG56" s="886" t="n"/>
      <c r="BH56" s="105" t="n"/>
      <c r="BI56" s="885">
        <f>Planning!I49</f>
        <v/>
      </c>
      <c r="BJ56" s="885">
        <f>Planning!J49</f>
        <v/>
      </c>
      <c r="BK56" s="886" t="n"/>
      <c r="BL56" s="105" t="n"/>
      <c r="BM56" s="885">
        <f>Planning!M49</f>
        <v/>
      </c>
      <c r="BN56" s="885">
        <f>Planning!N49</f>
        <v/>
      </c>
      <c r="BO56" s="886" t="n"/>
      <c r="BP56" s="105" t="n"/>
      <c r="BQ56" s="885">
        <f>Planning!Q49</f>
        <v/>
      </c>
      <c r="BR56" s="885">
        <f>Planning!R49</f>
        <v/>
      </c>
      <c r="BS56" s="886" t="n"/>
      <c r="BT56" s="105" t="n"/>
      <c r="BU56" s="885">
        <f>Planning!U49</f>
        <v/>
      </c>
      <c r="BV56" s="885">
        <f>Planning!V49</f>
        <v/>
      </c>
      <c r="BW56" s="886" t="n"/>
      <c r="BX56" s="105" t="n"/>
      <c r="BY56" s="885">
        <f>Planning!Y49</f>
        <v/>
      </c>
      <c r="BZ56" s="885">
        <f>Planning!Z49</f>
        <v/>
      </c>
      <c r="CA56" s="886" t="n"/>
      <c r="CB56" s="105" t="n"/>
      <c r="CC56" s="885">
        <f>Planning!AC49</f>
        <v/>
      </c>
      <c r="CD56" s="885">
        <f>Planning!AD49</f>
        <v/>
      </c>
      <c r="CE56" s="886" t="n"/>
      <c r="CF56" s="105" t="n"/>
      <c r="CG56" s="887">
        <f>Planning!AG49</f>
        <v/>
      </c>
      <c r="CH56" s="105" t="n"/>
      <c r="CI56" s="252">
        <f>IF(BC56="","",Planning!AI49)</f>
        <v/>
      </c>
      <c r="CJ56" s="252">
        <f>IF(BC56="","",Planning!AJ49)</f>
        <v/>
      </c>
      <c r="CK56" s="252">
        <f>IF(BC56="","",Planning!AK49)</f>
        <v/>
      </c>
      <c r="CL56" s="252">
        <f>IF(BC56="","",Planning!AH49)</f>
        <v/>
      </c>
      <c r="CM56" s="21" t="n"/>
    </row>
    <row r="57" ht="12.75" customHeight="1">
      <c r="A57" s="161">
        <f>IFERROR(IF(VLOOKUP($B57,$BC$13:$CL$86,36,FALSE)&gt;5,0,IF(COUNTIF($B$13:$B$63,$B57)&gt;1,0,45)),45)+IF(B57&lt;&gt;0,0,IF(AV57&gt;0,0.000001,0))</f>
        <v/>
      </c>
      <c r="B57" s="129" t="n"/>
      <c r="C57" s="48">
        <f>IFERROR(IF($B57="","",VLOOKUP($B57,Medewerker!$C$8:$AI$107,33,FALSE)),"?")</f>
        <v/>
      </c>
      <c r="D57" s="879">
        <f t="array" ref="D57">IFERROR(IF(LEFT(INDEX($F57:$AQ57,1,SUM(SMALL(IF($F57:$AQ57&lt;&gt;"",COLUMN($F57:$AQ57)),1)-5)),1)="x",SUM(SMALL(IF($F57:$AQ57&lt;&gt;"",$F$11:$AQ$11),1)+"0:15"),SMALL(IF($F57:$AQ57&lt;&gt;"",$F$11:$AQ$11),1)),"")</f>
        <v/>
      </c>
      <c r="E57" s="879">
        <f t="array" ref="E57">IFERROR(IF(LEFT(INDEX($F57:$AQ57,1,SUM(LARGE(IF($F57:$AQ57&lt;&gt;"",COLUMN($F57:$AQ57)),1)-5)),1)="x",SUM(LARGE(IF($F57:$AQ57&lt;&gt;"",$F$11:$AQ$11+"0:30:00"),1)-"0:15"),LARGE(IF($F57:$AQ57&lt;&gt;"",$F$11:$AQ$11+"0:30:00"),1)),"")</f>
        <v/>
      </c>
      <c r="F57" s="43" t="n"/>
      <c r="G57" s="42" t="n"/>
      <c r="H57" s="43" t="n"/>
      <c r="I57" s="42" t="n"/>
      <c r="J57" s="43" t="n"/>
      <c r="K57" s="41" t="n"/>
      <c r="L57" s="40" t="n"/>
      <c r="M57" s="42" t="n"/>
      <c r="N57" s="43" t="n"/>
      <c r="O57" s="41" t="n"/>
      <c r="P57" s="40" t="n"/>
      <c r="Q57" s="42" t="n"/>
      <c r="R57" s="43" t="n"/>
      <c r="S57" s="41" t="n"/>
      <c r="T57" s="40" t="n"/>
      <c r="U57" s="42" t="n"/>
      <c r="V57" s="43" t="n"/>
      <c r="W57" s="41" t="n"/>
      <c r="X57" s="40" t="n"/>
      <c r="Y57" s="42" t="n"/>
      <c r="Z57" s="43" t="n"/>
      <c r="AA57" s="41" t="n"/>
      <c r="AB57" s="40" t="n"/>
      <c r="AC57" s="42" t="n"/>
      <c r="AD57" s="43" t="n"/>
      <c r="AE57" s="41" t="n"/>
      <c r="AF57" s="40" t="n"/>
      <c r="AG57" s="42" t="n"/>
      <c r="AH57" s="43" t="n"/>
      <c r="AI57" s="41" t="n"/>
      <c r="AJ57" s="40" t="n"/>
      <c r="AK57" s="42" t="n"/>
      <c r="AL57" s="43" t="n"/>
      <c r="AM57" s="41" t="n"/>
      <c r="AN57" s="645" t="n"/>
      <c r="AO57" s="42" t="n"/>
      <c r="AP57" s="43" t="n"/>
      <c r="AQ57" s="42" t="n"/>
      <c r="AR57" s="888">
        <f>IFERROR(IF(VLOOKUP($B57,Medewerker!$C$8:$AG$107,31,FALSE)="",VLOOKUP($B57,Medewerker!$C$8:$AG$107,29,FALSE),0),0)</f>
        <v/>
      </c>
      <c r="AS57" s="888">
        <f>IFERROR(IF(B57="",1,IF(VLOOKUP($B57,Medewerker!$C$8:$AG$107,31,FALSE)="",VLOOKUP($B57,Medewerker!$C$8:$AG$107,30,FALSE),0)),0)</f>
        <v/>
      </c>
      <c r="AT57" s="45" t="n"/>
      <c r="AU57" s="46">
        <f>(COUNTIF(F57:AQ57,"afw"))/2</f>
        <v/>
      </c>
      <c r="AV57" s="111">
        <f>((38-(COUNTIF(F57:AQ57,"")))/2)-(COUNTIF(F57:AQ57,"p")/2)-(COUNTIF(F57:AQ57,CONCATENATE("x","*"))/4)</f>
        <v/>
      </c>
      <c r="AW57" s="73">
        <f>IF($B57="","",VLOOKUP($B57,Medewerker!$C$8:$E$107,3,FALSE))</f>
        <v/>
      </c>
      <c r="AX57" s="403">
        <f>IFERROR(VLOOKUP($B57,Planning!$B$6:$AG$105,32,FALSE)*24,"")</f>
        <v/>
      </c>
      <c r="AY57" s="837">
        <f>IF(Instellingen!I7="ja","pup","")</f>
        <v/>
      </c>
      <c r="AZ57" s="71">
        <f>IF(Instellingen!I7="ja","Pick-Up-Point","")</f>
        <v/>
      </c>
      <c r="BA57" s="111">
        <f>IF(Instellingen!I7="ja",COUNTIF($F$13:$AQ$63,CONCATENATE(AY57,"*"))/2+COUNTIF($F$13:$AQ$63,CONCATENATE("x",AY57,"*"))/4,"")</f>
        <v/>
      </c>
      <c r="BB57" s="838" t="n"/>
      <c r="BC57" s="31">
        <f>IF(Planning!B50="","",Planning!B50)</f>
        <v/>
      </c>
      <c r="BD57" s="105" t="n"/>
      <c r="BE57" s="885">
        <f>Planning!E50</f>
        <v/>
      </c>
      <c r="BF57" s="885">
        <f>Planning!F50</f>
        <v/>
      </c>
      <c r="BG57" s="886" t="n"/>
      <c r="BH57" s="105" t="n"/>
      <c r="BI57" s="885">
        <f>Planning!I50</f>
        <v/>
      </c>
      <c r="BJ57" s="885">
        <f>Planning!J50</f>
        <v/>
      </c>
      <c r="BK57" s="886" t="n"/>
      <c r="BL57" s="105" t="n"/>
      <c r="BM57" s="885">
        <f>Planning!M50</f>
        <v/>
      </c>
      <c r="BN57" s="885">
        <f>Planning!N50</f>
        <v/>
      </c>
      <c r="BO57" s="886" t="n"/>
      <c r="BP57" s="105" t="n"/>
      <c r="BQ57" s="885">
        <f>Planning!Q50</f>
        <v/>
      </c>
      <c r="BR57" s="885">
        <f>Planning!R50</f>
        <v/>
      </c>
      <c r="BS57" s="886" t="n"/>
      <c r="BT57" s="105" t="n"/>
      <c r="BU57" s="885">
        <f>Planning!U50</f>
        <v/>
      </c>
      <c r="BV57" s="885">
        <f>Planning!V50</f>
        <v/>
      </c>
      <c r="BW57" s="886" t="n"/>
      <c r="BX57" s="105" t="n"/>
      <c r="BY57" s="885">
        <f>Planning!Y50</f>
        <v/>
      </c>
      <c r="BZ57" s="885">
        <f>Planning!Z50</f>
        <v/>
      </c>
      <c r="CA57" s="886" t="n"/>
      <c r="CB57" s="105" t="n"/>
      <c r="CC57" s="885">
        <f>Planning!AC50</f>
        <v/>
      </c>
      <c r="CD57" s="885">
        <f>Planning!AD50</f>
        <v/>
      </c>
      <c r="CE57" s="886" t="n"/>
      <c r="CF57" s="105" t="n"/>
      <c r="CG57" s="887">
        <f>Planning!AG50</f>
        <v/>
      </c>
      <c r="CH57" s="105" t="n"/>
      <c r="CI57" s="252">
        <f>IF(BC57="","",Planning!AI50)</f>
        <v/>
      </c>
      <c r="CJ57" s="252">
        <f>IF(BC57="","",Planning!AJ50)</f>
        <v/>
      </c>
      <c r="CK57" s="252">
        <f>IF(BC57="","",Planning!AK50)</f>
        <v/>
      </c>
      <c r="CL57" s="252">
        <f>IF(BC57="","",Planning!AH50)</f>
        <v/>
      </c>
      <c r="CM57" s="21" t="n"/>
    </row>
    <row r="58" ht="12.75" customHeight="1">
      <c r="A58" s="161">
        <f>IFERROR(IF(VLOOKUP($B58,$BC$13:$CL$86,36,FALSE)&gt;5,0,IF(COUNTIF($B$13:$B$63,$B58)&gt;1,0,46)),46)+IF(B58&lt;&gt;0,0,IF(AV58&gt;0,0.000001,0))</f>
        <v/>
      </c>
      <c r="B58" s="129" t="n"/>
      <c r="C58" s="48">
        <f>IFERROR(IF($B58="","",VLOOKUP($B58,Medewerker!$C$8:$AI$107,33,FALSE)),"?")</f>
        <v/>
      </c>
      <c r="D58" s="879">
        <f t="array" ref="D58">IFERROR(IF(LEFT(INDEX($F58:$AQ58,1,SUM(SMALL(IF($F58:$AQ58&lt;&gt;"",COLUMN($F58:$AQ58)),1)-5)),1)="x",SUM(SMALL(IF($F58:$AQ58&lt;&gt;"",$F$11:$AQ$11),1)+"0:15"),SMALL(IF($F58:$AQ58&lt;&gt;"",$F$11:$AQ$11),1)),"")</f>
        <v/>
      </c>
      <c r="E58" s="879">
        <f t="array" ref="E58">IFERROR(IF(LEFT(INDEX($F58:$AQ58,1,SUM(LARGE(IF($F58:$AQ58&lt;&gt;"",COLUMN($F58:$AQ58)),1)-5)),1)="x",SUM(LARGE(IF($F58:$AQ58&lt;&gt;"",$F$11:$AQ$11+"0:30:00"),1)-"0:15"),LARGE(IF($F58:$AQ58&lt;&gt;"",$F$11:$AQ$11+"0:30:00"),1)),"")</f>
        <v/>
      </c>
      <c r="F58" s="43" t="n"/>
      <c r="G58" s="42" t="n"/>
      <c r="H58" s="43" t="n"/>
      <c r="I58" s="42" t="n"/>
      <c r="J58" s="43" t="n"/>
      <c r="K58" s="41" t="n"/>
      <c r="L58" s="40" t="n"/>
      <c r="M58" s="42" t="n"/>
      <c r="N58" s="43" t="n"/>
      <c r="O58" s="41" t="n"/>
      <c r="P58" s="40" t="n"/>
      <c r="Q58" s="42" t="n"/>
      <c r="R58" s="43" t="n"/>
      <c r="S58" s="41" t="n"/>
      <c r="T58" s="40" t="n"/>
      <c r="U58" s="42" t="n"/>
      <c r="V58" s="43" t="n"/>
      <c r="W58" s="41" t="n"/>
      <c r="X58" s="40" t="n"/>
      <c r="Y58" s="42" t="n"/>
      <c r="Z58" s="43" t="n"/>
      <c r="AA58" s="41" t="n"/>
      <c r="AB58" s="40" t="n"/>
      <c r="AC58" s="42" t="n"/>
      <c r="AD58" s="43" t="n"/>
      <c r="AE58" s="41" t="n"/>
      <c r="AF58" s="40" t="n"/>
      <c r="AG58" s="42" t="n"/>
      <c r="AH58" s="43" t="n"/>
      <c r="AI58" s="41" t="n"/>
      <c r="AJ58" s="40" t="n"/>
      <c r="AK58" s="42" t="n"/>
      <c r="AL58" s="43" t="n"/>
      <c r="AM58" s="41" t="n"/>
      <c r="AN58" s="645" t="n"/>
      <c r="AO58" s="42" t="n"/>
      <c r="AP58" s="43" t="n"/>
      <c r="AQ58" s="42" t="n"/>
      <c r="AR58" s="888">
        <f>IFERROR(IF(VLOOKUP($B58,Medewerker!$C$8:$AG$107,31,FALSE)="",VLOOKUP($B58,Medewerker!$C$8:$AG$107,29,FALSE),0),0)</f>
        <v/>
      </c>
      <c r="AS58" s="888">
        <f>IFERROR(IF(B58="",1,IF(VLOOKUP($B58,Medewerker!$C$8:$AG$107,31,FALSE)="",VLOOKUP($B58,Medewerker!$C$8:$AG$107,30,FALSE),0)),0)</f>
        <v/>
      </c>
      <c r="AT58" s="45" t="n"/>
      <c r="AU58" s="46">
        <f>(COUNTIF(F58:AQ58,"afw"))/2</f>
        <v/>
      </c>
      <c r="AV58" s="111">
        <f>((38-(COUNTIF(F58:AQ58,"")))/2)-(COUNTIF(F58:AQ58,"p")/2)-(COUNTIF(F58:AQ58,CONCATENATE("x","*"))/4)</f>
        <v/>
      </c>
      <c r="AW58" s="73">
        <f>IF($B58="","",VLOOKUP($B58,Medewerker!$C$8:$E$107,3,FALSE))</f>
        <v/>
      </c>
      <c r="AX58" s="403">
        <f>IFERROR(VLOOKUP($B58,Planning!$B$6:$AG$105,32,FALSE)*24,"")</f>
        <v/>
      </c>
      <c r="AY58" s="411">
        <f>IF(Ma!AY58="","",Ma!AY58)</f>
        <v/>
      </c>
      <c r="AZ58" s="166">
        <f>IF(Ma!AZ58="","",Ma!AZ58)</f>
        <v/>
      </c>
      <c r="BA58" s="111">
        <f>IFERROR(IF(AY58="","",(COUNTIF($F$13:$AQ$63,CONCATENATE(AY58,"*"))/2+COUNTIF($F$13:$AQ$63,CONCATENATE("x",AY58,"*"))/4)),"")</f>
        <v/>
      </c>
      <c r="BB58" s="838" t="n"/>
      <c r="BC58" s="31">
        <f>IF(Planning!B51="","",Planning!B51)</f>
        <v/>
      </c>
      <c r="BD58" s="105" t="n"/>
      <c r="BE58" s="885">
        <f>Planning!E51</f>
        <v/>
      </c>
      <c r="BF58" s="885">
        <f>Planning!F51</f>
        <v/>
      </c>
      <c r="BG58" s="886" t="n"/>
      <c r="BH58" s="105" t="n"/>
      <c r="BI58" s="885">
        <f>Planning!I51</f>
        <v/>
      </c>
      <c r="BJ58" s="885">
        <f>Planning!J51</f>
        <v/>
      </c>
      <c r="BK58" s="886" t="n"/>
      <c r="BL58" s="105" t="n"/>
      <c r="BM58" s="885">
        <f>Planning!M51</f>
        <v/>
      </c>
      <c r="BN58" s="885">
        <f>Planning!N51</f>
        <v/>
      </c>
      <c r="BO58" s="886" t="n"/>
      <c r="BP58" s="105" t="n"/>
      <c r="BQ58" s="885">
        <f>Planning!Q51</f>
        <v/>
      </c>
      <c r="BR58" s="885">
        <f>Planning!R51</f>
        <v/>
      </c>
      <c r="BS58" s="886" t="n"/>
      <c r="BT58" s="105" t="n"/>
      <c r="BU58" s="885">
        <f>Planning!U51</f>
        <v/>
      </c>
      <c r="BV58" s="885">
        <f>Planning!V51</f>
        <v/>
      </c>
      <c r="BW58" s="886" t="n"/>
      <c r="BX58" s="105" t="n"/>
      <c r="BY58" s="885">
        <f>Planning!Y51</f>
        <v/>
      </c>
      <c r="BZ58" s="885">
        <f>Planning!Z51</f>
        <v/>
      </c>
      <c r="CA58" s="886" t="n"/>
      <c r="CB58" s="105" t="n"/>
      <c r="CC58" s="885">
        <f>Planning!AC51</f>
        <v/>
      </c>
      <c r="CD58" s="885">
        <f>Planning!AD51</f>
        <v/>
      </c>
      <c r="CE58" s="886" t="n"/>
      <c r="CF58" s="105" t="n"/>
      <c r="CG58" s="887">
        <f>Planning!AG51</f>
        <v/>
      </c>
      <c r="CH58" s="105" t="n"/>
      <c r="CI58" s="252">
        <f>IF(BC58="","",Planning!AI51)</f>
        <v/>
      </c>
      <c r="CJ58" s="252">
        <f>IF(BC58="","",Planning!AJ51)</f>
        <v/>
      </c>
      <c r="CK58" s="252">
        <f>IF(BC58="","",Planning!AK51)</f>
        <v/>
      </c>
      <c r="CL58" s="252">
        <f>IF(BC58="","",Planning!AH51)</f>
        <v/>
      </c>
      <c r="CM58" s="21" t="n"/>
    </row>
    <row r="59" ht="12.75" customHeight="1">
      <c r="A59" s="161">
        <f>IFERROR(IF(VLOOKUP($B59,$BC$13:$CL$86,36,FALSE)&gt;5,0,IF(COUNTIF($B$13:$B$63,$B59)&gt;1,0,47)),47)+IF(B59&lt;&gt;0,0,IF(AV59&gt;0,0.000001,0))</f>
        <v/>
      </c>
      <c r="B59" s="129" t="n"/>
      <c r="C59" s="48">
        <f>IFERROR(IF($B59="","",VLOOKUP($B59,Medewerker!$C$8:$AI$107,33,FALSE)),"?")</f>
        <v/>
      </c>
      <c r="D59" s="879">
        <f t="array" ref="D59">IFERROR(IF(LEFT(INDEX($F59:$AQ59,1,SUM(SMALL(IF($F59:$AQ59&lt;&gt;"",COLUMN($F59:$AQ59)),1)-5)),1)="x",SUM(SMALL(IF($F59:$AQ59&lt;&gt;"",$F$11:$AQ$11),1)+"0:15"),SMALL(IF($F59:$AQ59&lt;&gt;"",$F$11:$AQ$11),1)),"")</f>
        <v/>
      </c>
      <c r="E59" s="879">
        <f t="array" ref="E59">IFERROR(IF(LEFT(INDEX($F59:$AQ59,1,SUM(LARGE(IF($F59:$AQ59&lt;&gt;"",COLUMN($F59:$AQ59)),1)-5)),1)="x",SUM(LARGE(IF($F59:$AQ59&lt;&gt;"",$F$11:$AQ$11+"0:30:00"),1)-"0:15"),LARGE(IF($F59:$AQ59&lt;&gt;"",$F$11:$AQ$11+"0:30:00"),1)),"")</f>
        <v/>
      </c>
      <c r="F59" s="43" t="n"/>
      <c r="G59" s="42" t="n"/>
      <c r="H59" s="43" t="n"/>
      <c r="I59" s="42" t="n"/>
      <c r="J59" s="43" t="n"/>
      <c r="K59" s="41" t="n"/>
      <c r="L59" s="40" t="n"/>
      <c r="M59" s="42" t="n"/>
      <c r="N59" s="43" t="n"/>
      <c r="O59" s="41" t="n"/>
      <c r="P59" s="40" t="n"/>
      <c r="Q59" s="42" t="n"/>
      <c r="R59" s="43" t="n"/>
      <c r="S59" s="41" t="n"/>
      <c r="T59" s="40" t="n"/>
      <c r="U59" s="42" t="n"/>
      <c r="V59" s="43" t="n"/>
      <c r="W59" s="41" t="n"/>
      <c r="X59" s="40" t="n"/>
      <c r="Y59" s="42" t="n"/>
      <c r="Z59" s="43" t="n"/>
      <c r="AA59" s="41" t="n"/>
      <c r="AB59" s="40" t="n"/>
      <c r="AC59" s="42" t="n"/>
      <c r="AD59" s="43" t="n"/>
      <c r="AE59" s="41" t="n"/>
      <c r="AF59" s="40" t="n"/>
      <c r="AG59" s="42" t="n"/>
      <c r="AH59" s="43" t="n"/>
      <c r="AI59" s="41" t="n"/>
      <c r="AJ59" s="40" t="n"/>
      <c r="AK59" s="42" t="n"/>
      <c r="AL59" s="43" t="n"/>
      <c r="AM59" s="41" t="n"/>
      <c r="AN59" s="645" t="n"/>
      <c r="AO59" s="42" t="n"/>
      <c r="AP59" s="43" t="n"/>
      <c r="AQ59" s="42" t="n"/>
      <c r="AR59" s="888">
        <f>IFERROR(IF(VLOOKUP($B59,Medewerker!$C$8:$AG$107,31,FALSE)="",VLOOKUP($B59,Medewerker!$C$8:$AG$107,29,FALSE),0),0)</f>
        <v/>
      </c>
      <c r="AS59" s="888">
        <f>IFERROR(IF(B59="",1,IF(VLOOKUP($B59,Medewerker!$C$8:$AG$107,31,FALSE)="",VLOOKUP($B59,Medewerker!$C$8:$AG$107,30,FALSE),0)),0)</f>
        <v/>
      </c>
      <c r="AT59" s="45" t="n"/>
      <c r="AU59" s="46">
        <f>(COUNTIF(F59:AQ59,"afw"))/2</f>
        <v/>
      </c>
      <c r="AV59" s="111">
        <f>((38-(COUNTIF(F59:AQ59,"")))/2)-(COUNTIF(F59:AQ59,"p")/2)-(COUNTIF(F59:AQ59,CONCATENATE("x","*"))/4)</f>
        <v/>
      </c>
      <c r="AW59" s="73">
        <f>IF($B59="","",VLOOKUP($B59,Medewerker!$C$8:$E$107,3,FALSE))</f>
        <v/>
      </c>
      <c r="AX59" s="403">
        <f>IFERROR(VLOOKUP($B59,Planning!$B$6:$AG$105,32,FALSE)*24,"")</f>
        <v/>
      </c>
      <c r="AY59" s="411">
        <f>IF(Ma!AY59="","",Ma!AY59)</f>
        <v/>
      </c>
      <c r="AZ59" s="166">
        <f>IF(Ma!AZ59="","",Ma!AZ59)</f>
        <v/>
      </c>
      <c r="BA59" s="111">
        <f>IFERROR(IF(AY59="","",(COUNTIF($F$13:$AQ$63,CONCATENATE(AY59,"*"))/2+COUNTIF($F$13:$AQ$63,CONCATENATE("x",AY59,"*"))/4)),"")</f>
        <v/>
      </c>
      <c r="BB59" s="838" t="n"/>
      <c r="BC59" s="31">
        <f>IF(Planning!B52="","",Planning!B52)</f>
        <v/>
      </c>
      <c r="BD59" s="105" t="n"/>
      <c r="BE59" s="885">
        <f>Planning!E52</f>
        <v/>
      </c>
      <c r="BF59" s="885">
        <f>Planning!F52</f>
        <v/>
      </c>
      <c r="BG59" s="886" t="n"/>
      <c r="BH59" s="105" t="n"/>
      <c r="BI59" s="885">
        <f>Planning!I52</f>
        <v/>
      </c>
      <c r="BJ59" s="885">
        <f>Planning!J52</f>
        <v/>
      </c>
      <c r="BK59" s="886" t="n"/>
      <c r="BL59" s="105" t="n"/>
      <c r="BM59" s="885">
        <f>Planning!M52</f>
        <v/>
      </c>
      <c r="BN59" s="885">
        <f>Planning!N52</f>
        <v/>
      </c>
      <c r="BO59" s="886" t="n"/>
      <c r="BP59" s="105" t="n"/>
      <c r="BQ59" s="885">
        <f>Planning!Q52</f>
        <v/>
      </c>
      <c r="BR59" s="885">
        <f>Planning!R52</f>
        <v/>
      </c>
      <c r="BS59" s="886" t="n"/>
      <c r="BT59" s="105" t="n"/>
      <c r="BU59" s="885">
        <f>Planning!U52</f>
        <v/>
      </c>
      <c r="BV59" s="885">
        <f>Planning!V52</f>
        <v/>
      </c>
      <c r="BW59" s="886" t="n"/>
      <c r="BX59" s="105" t="n"/>
      <c r="BY59" s="885">
        <f>Planning!Y52</f>
        <v/>
      </c>
      <c r="BZ59" s="885">
        <f>Planning!Z52</f>
        <v/>
      </c>
      <c r="CA59" s="886" t="n"/>
      <c r="CB59" s="105" t="n"/>
      <c r="CC59" s="885">
        <f>Planning!AC52</f>
        <v/>
      </c>
      <c r="CD59" s="885">
        <f>Planning!AD52</f>
        <v/>
      </c>
      <c r="CE59" s="886" t="n"/>
      <c r="CF59" s="105" t="n"/>
      <c r="CG59" s="887">
        <f>Planning!AG52</f>
        <v/>
      </c>
      <c r="CH59" s="105" t="n"/>
      <c r="CI59" s="252">
        <f>IF(BC59="","",Planning!AI52)</f>
        <v/>
      </c>
      <c r="CJ59" s="252">
        <f>IF(BC59="","",Planning!AJ52)</f>
        <v/>
      </c>
      <c r="CK59" s="252">
        <f>IF(BC59="","",Planning!AK52)</f>
        <v/>
      </c>
      <c r="CL59" s="252">
        <f>IF(BC59="","",Planning!AH52)</f>
        <v/>
      </c>
      <c r="CM59" s="21" t="n"/>
    </row>
    <row r="60" ht="12.75" customHeight="1">
      <c r="A60" s="161">
        <f>IFERROR(IF(VLOOKUP($B60,$BC$13:$CL$86,36,FALSE)&gt;5,0,IF(COUNTIF($B$13:$B$63,$B60)&gt;1,0,48)),48)+IF(B60&lt;&gt;0,0,IF(AV60&gt;0,0.000001,0))</f>
        <v/>
      </c>
      <c r="B60" s="129" t="n"/>
      <c r="C60" s="48">
        <f>IFERROR(IF($B60="","",VLOOKUP($B60,Medewerker!$C$8:$AI$107,33,FALSE)),"?")</f>
        <v/>
      </c>
      <c r="D60" s="879">
        <f t="array" ref="D60">IFERROR(IF(LEFT(INDEX($F60:$AQ60,1,SUM(SMALL(IF($F60:$AQ60&lt;&gt;"",COLUMN($F60:$AQ60)),1)-5)),1)="x",SUM(SMALL(IF($F60:$AQ60&lt;&gt;"",$F$11:$AQ$11),1)+"0:15"),SMALL(IF($F60:$AQ60&lt;&gt;"",$F$11:$AQ$11),1)),"")</f>
        <v/>
      </c>
      <c r="E60" s="879">
        <f t="array" ref="E60">IFERROR(IF(LEFT(INDEX($F60:$AQ60,1,SUM(LARGE(IF($F60:$AQ60&lt;&gt;"",COLUMN($F60:$AQ60)),1)-5)),1)="x",SUM(LARGE(IF($F60:$AQ60&lt;&gt;"",$F$11:$AQ$11+"0:30:00"),1)-"0:15"),LARGE(IF($F60:$AQ60&lt;&gt;"",$F$11:$AQ$11+"0:30:00"),1)),"")</f>
        <v/>
      </c>
      <c r="F60" s="43" t="n"/>
      <c r="G60" s="42" t="n"/>
      <c r="H60" s="43" t="n"/>
      <c r="I60" s="42" t="n"/>
      <c r="J60" s="43" t="n"/>
      <c r="K60" s="41" t="n"/>
      <c r="L60" s="40" t="n"/>
      <c r="M60" s="42" t="n"/>
      <c r="N60" s="43" t="n"/>
      <c r="O60" s="41" t="n"/>
      <c r="P60" s="40" t="n"/>
      <c r="Q60" s="42" t="n"/>
      <c r="R60" s="43" t="n"/>
      <c r="S60" s="41" t="n"/>
      <c r="T60" s="40" t="n"/>
      <c r="U60" s="42" t="n"/>
      <c r="V60" s="43" t="n"/>
      <c r="W60" s="41" t="n"/>
      <c r="X60" s="40" t="n"/>
      <c r="Y60" s="42" t="n"/>
      <c r="Z60" s="43" t="n"/>
      <c r="AA60" s="41" t="n"/>
      <c r="AB60" s="40" t="n"/>
      <c r="AC60" s="42" t="n"/>
      <c r="AD60" s="43" t="n"/>
      <c r="AE60" s="41" t="n"/>
      <c r="AF60" s="40" t="n"/>
      <c r="AG60" s="42" t="n"/>
      <c r="AH60" s="43" t="n"/>
      <c r="AI60" s="41" t="n"/>
      <c r="AJ60" s="40" t="n"/>
      <c r="AK60" s="42" t="n"/>
      <c r="AL60" s="43" t="n"/>
      <c r="AM60" s="41" t="n"/>
      <c r="AN60" s="645" t="n"/>
      <c r="AO60" s="42" t="n"/>
      <c r="AP60" s="43" t="n"/>
      <c r="AQ60" s="42" t="n"/>
      <c r="AR60" s="888">
        <f>IFERROR(IF(VLOOKUP($B60,Medewerker!$C$8:$AG$107,31,FALSE)="",VLOOKUP($B60,Medewerker!$C$8:$AG$107,29,FALSE),0),0)</f>
        <v/>
      </c>
      <c r="AS60" s="888">
        <f>IFERROR(IF(B60="",1,IF(VLOOKUP($B60,Medewerker!$C$8:$AG$107,31,FALSE)="",VLOOKUP($B60,Medewerker!$C$8:$AG$107,30,FALSE),0)),0)</f>
        <v/>
      </c>
      <c r="AT60" s="45" t="n"/>
      <c r="AU60" s="46">
        <f>(COUNTIF(F60:AQ60,"afw"))/2</f>
        <v/>
      </c>
      <c r="AV60" s="111">
        <f>((38-(COUNTIF(F60:AQ60,"")))/2)-(COUNTIF(F60:AQ60,"p")/2)-(COUNTIF(F60:AQ60,CONCATENATE("x","*"))/4)</f>
        <v/>
      </c>
      <c r="AW60" s="73">
        <f>IF($B60="","",VLOOKUP($B60,Medewerker!$C$8:$E$107,3,FALSE))</f>
        <v/>
      </c>
      <c r="AX60" s="403">
        <f>IFERROR(VLOOKUP($B60,Planning!$B$6:$AG$105,32,FALSE)*24,"")</f>
        <v/>
      </c>
      <c r="AY60" s="411">
        <f>IF(Ma!AY60="","",Ma!AY60)</f>
        <v/>
      </c>
      <c r="AZ60" s="166">
        <f>IF(Ma!AZ60="","",Ma!AZ60)</f>
        <v/>
      </c>
      <c r="BA60" s="111">
        <f>IFERROR(IF(AY60="","",(COUNTIF($F$13:$AQ$63,CONCATENATE(AY60,"*"))/2+COUNTIF($F$13:$AQ$63,CONCATENATE("x",AY60,"*"))/4)),"")</f>
        <v/>
      </c>
      <c r="BB60" s="838" t="n"/>
      <c r="BC60" s="31">
        <f>IF(Planning!B53="","",Planning!B53)</f>
        <v/>
      </c>
      <c r="BD60" s="105" t="n"/>
      <c r="BE60" s="885">
        <f>Planning!E53</f>
        <v/>
      </c>
      <c r="BF60" s="885">
        <f>Planning!F53</f>
        <v/>
      </c>
      <c r="BG60" s="886" t="n"/>
      <c r="BH60" s="105" t="n"/>
      <c r="BI60" s="885">
        <f>Planning!I53</f>
        <v/>
      </c>
      <c r="BJ60" s="885">
        <f>Planning!J53</f>
        <v/>
      </c>
      <c r="BK60" s="886" t="n"/>
      <c r="BL60" s="105" t="n"/>
      <c r="BM60" s="885">
        <f>Planning!M53</f>
        <v/>
      </c>
      <c r="BN60" s="885">
        <f>Planning!N53</f>
        <v/>
      </c>
      <c r="BO60" s="886" t="n"/>
      <c r="BP60" s="105" t="n"/>
      <c r="BQ60" s="885">
        <f>Planning!Q53</f>
        <v/>
      </c>
      <c r="BR60" s="885">
        <f>Planning!R53</f>
        <v/>
      </c>
      <c r="BS60" s="886" t="n"/>
      <c r="BT60" s="105" t="n"/>
      <c r="BU60" s="885">
        <f>Planning!U53</f>
        <v/>
      </c>
      <c r="BV60" s="885">
        <f>Planning!V53</f>
        <v/>
      </c>
      <c r="BW60" s="886" t="n"/>
      <c r="BX60" s="105" t="n"/>
      <c r="BY60" s="885">
        <f>Planning!Y53</f>
        <v/>
      </c>
      <c r="BZ60" s="885">
        <f>Planning!Z53</f>
        <v/>
      </c>
      <c r="CA60" s="886" t="n"/>
      <c r="CB60" s="105" t="n"/>
      <c r="CC60" s="885">
        <f>Planning!AC53</f>
        <v/>
      </c>
      <c r="CD60" s="885">
        <f>Planning!AD53</f>
        <v/>
      </c>
      <c r="CE60" s="886" t="n"/>
      <c r="CF60" s="105" t="n"/>
      <c r="CG60" s="887">
        <f>Planning!AG53</f>
        <v/>
      </c>
      <c r="CH60" s="105" t="n"/>
      <c r="CI60" s="252">
        <f>IF(BC60="","",Planning!AI53)</f>
        <v/>
      </c>
      <c r="CJ60" s="252">
        <f>IF(BC60="","",Planning!AJ53)</f>
        <v/>
      </c>
      <c r="CK60" s="252">
        <f>IF(BC60="","",Planning!AK53)</f>
        <v/>
      </c>
      <c r="CL60" s="252">
        <f>IF(BC60="","",Planning!AH53)</f>
        <v/>
      </c>
      <c r="CM60" s="21" t="n"/>
    </row>
    <row r="61" ht="12.75" customHeight="1">
      <c r="A61" s="161">
        <f>IFERROR(IF(VLOOKUP($B61,$BC$13:$CL$86,36,FALSE)&gt;5,0,IF(COUNTIF($B$13:$B$63,$B61)&gt;1,0,49)),49)+IF(B61&lt;&gt;0,0,IF(AV61&gt;0,0.000001,0))</f>
        <v/>
      </c>
      <c r="B61" s="129" t="n"/>
      <c r="C61" s="48">
        <f>IFERROR(IF($B61="","",VLOOKUP($B61,Medewerker!$C$8:$AI$107,33,FALSE)),"?")</f>
        <v/>
      </c>
      <c r="D61" s="879">
        <f t="array" ref="D61">IFERROR(IF(LEFT(INDEX($F61:$AQ61,1,SUM(SMALL(IF($F61:$AQ61&lt;&gt;"",COLUMN($F61:$AQ61)),1)-5)),1)="x",SUM(SMALL(IF($F61:$AQ61&lt;&gt;"",$F$11:$AQ$11),1)+"0:15"),SMALL(IF($F61:$AQ61&lt;&gt;"",$F$11:$AQ$11),1)),"")</f>
        <v/>
      </c>
      <c r="E61" s="879">
        <f t="array" ref="E61">IFERROR(IF(LEFT(INDEX($F61:$AQ61,1,SUM(LARGE(IF($F61:$AQ61&lt;&gt;"",COLUMN($F61:$AQ61)),1)-5)),1)="x",SUM(LARGE(IF($F61:$AQ61&lt;&gt;"",$F$11:$AQ$11+"0:30:00"),1)-"0:15"),LARGE(IF($F61:$AQ61&lt;&gt;"",$F$11:$AQ$11+"0:30:00"),1)),"")</f>
        <v/>
      </c>
      <c r="F61" s="43" t="n"/>
      <c r="G61" s="42" t="n"/>
      <c r="H61" s="43" t="n"/>
      <c r="I61" s="42" t="n"/>
      <c r="J61" s="43" t="n"/>
      <c r="K61" s="41" t="n"/>
      <c r="L61" s="40" t="n"/>
      <c r="M61" s="42" t="n"/>
      <c r="N61" s="43" t="n"/>
      <c r="O61" s="41" t="n"/>
      <c r="P61" s="40" t="n"/>
      <c r="Q61" s="42" t="n"/>
      <c r="R61" s="43" t="n"/>
      <c r="S61" s="41" t="n"/>
      <c r="T61" s="40" t="n"/>
      <c r="U61" s="42" t="n"/>
      <c r="V61" s="43" t="n"/>
      <c r="W61" s="41" t="n"/>
      <c r="X61" s="40" t="n"/>
      <c r="Y61" s="42" t="n"/>
      <c r="Z61" s="43" t="n"/>
      <c r="AA61" s="41" t="n"/>
      <c r="AB61" s="40" t="n"/>
      <c r="AC61" s="42" t="n"/>
      <c r="AD61" s="43" t="n"/>
      <c r="AE61" s="41" t="n"/>
      <c r="AF61" s="40" t="n"/>
      <c r="AG61" s="42" t="n"/>
      <c r="AH61" s="43" t="n"/>
      <c r="AI61" s="41" t="n"/>
      <c r="AJ61" s="40" t="n"/>
      <c r="AK61" s="42" t="n"/>
      <c r="AL61" s="43" t="n"/>
      <c r="AM61" s="41" t="n"/>
      <c r="AN61" s="645" t="n"/>
      <c r="AO61" s="42" t="n"/>
      <c r="AP61" s="43" t="n"/>
      <c r="AQ61" s="42" t="n"/>
      <c r="AR61" s="888">
        <f>IFERROR(IF(VLOOKUP($B61,Medewerker!$C$8:$AG$107,31,FALSE)="",VLOOKUP($B61,Medewerker!$C$8:$AG$107,29,FALSE),0),0)</f>
        <v/>
      </c>
      <c r="AS61" s="888">
        <f>IFERROR(IF(B61="",1,IF(VLOOKUP($B61,Medewerker!$C$8:$AG$107,31,FALSE)="",VLOOKUP($B61,Medewerker!$C$8:$AG$107,30,FALSE),0)),0)</f>
        <v/>
      </c>
      <c r="AT61" s="45" t="n"/>
      <c r="AU61" s="46">
        <f>(COUNTIF(F61:AQ61,"afw"))/2</f>
        <v/>
      </c>
      <c r="AV61" s="111">
        <f>((38-(COUNTIF(F61:AQ61,"")))/2)-(COUNTIF(F61:AQ61,"p")/2)-(COUNTIF(F61:AQ61,CONCATENATE("x","*"))/4)</f>
        <v/>
      </c>
      <c r="AW61" s="73">
        <f>IF($B61="","",VLOOKUP($B61,Medewerker!$C$8:$E$107,3,FALSE))</f>
        <v/>
      </c>
      <c r="AX61" s="403">
        <f>IFERROR(VLOOKUP($B61,Planning!$B$6:$AG$105,32,FALSE)*24,"")</f>
        <v/>
      </c>
      <c r="AY61" s="892" t="inlineStr">
        <is>
          <t>Taken zonder legenda</t>
        </is>
      </c>
      <c r="AZ61" s="893" t="n"/>
      <c r="BA61" s="565">
        <f>$BA$65</f>
        <v/>
      </c>
      <c r="BB61" s="838" t="n"/>
      <c r="BC61" s="31">
        <f>IF(Planning!B54="","",Planning!B54)</f>
        <v/>
      </c>
      <c r="BD61" s="105" t="n"/>
      <c r="BE61" s="885">
        <f>Planning!E54</f>
        <v/>
      </c>
      <c r="BF61" s="885">
        <f>Planning!F54</f>
        <v/>
      </c>
      <c r="BG61" s="886" t="n"/>
      <c r="BH61" s="105" t="n"/>
      <c r="BI61" s="885">
        <f>Planning!I54</f>
        <v/>
      </c>
      <c r="BJ61" s="885">
        <f>Planning!J54</f>
        <v/>
      </c>
      <c r="BK61" s="886" t="n"/>
      <c r="BL61" s="105" t="n"/>
      <c r="BM61" s="885">
        <f>Planning!M54</f>
        <v/>
      </c>
      <c r="BN61" s="885">
        <f>Planning!N54</f>
        <v/>
      </c>
      <c r="BO61" s="886" t="n"/>
      <c r="BP61" s="105" t="n"/>
      <c r="BQ61" s="885">
        <f>Planning!Q54</f>
        <v/>
      </c>
      <c r="BR61" s="885">
        <f>Planning!R54</f>
        <v/>
      </c>
      <c r="BS61" s="886" t="n"/>
      <c r="BT61" s="105" t="n"/>
      <c r="BU61" s="885">
        <f>Planning!U54</f>
        <v/>
      </c>
      <c r="BV61" s="885">
        <f>Planning!V54</f>
        <v/>
      </c>
      <c r="BW61" s="886" t="n"/>
      <c r="BX61" s="105" t="n"/>
      <c r="BY61" s="885">
        <f>Planning!Y54</f>
        <v/>
      </c>
      <c r="BZ61" s="885">
        <f>Planning!Z54</f>
        <v/>
      </c>
      <c r="CA61" s="886" t="n"/>
      <c r="CB61" s="105" t="n"/>
      <c r="CC61" s="885">
        <f>Planning!AC54</f>
        <v/>
      </c>
      <c r="CD61" s="885">
        <f>Planning!AD54</f>
        <v/>
      </c>
      <c r="CE61" s="886" t="n"/>
      <c r="CF61" s="105" t="n"/>
      <c r="CG61" s="887">
        <f>Planning!AG54</f>
        <v/>
      </c>
      <c r="CH61" s="105" t="n"/>
      <c r="CI61" s="252">
        <f>IF(BC61="","",Planning!AI54)</f>
        <v/>
      </c>
      <c r="CJ61" s="252">
        <f>IF(BC61="","",Planning!AJ54)</f>
        <v/>
      </c>
      <c r="CK61" s="252">
        <f>IF(BC61="","",Planning!AK54)</f>
        <v/>
      </c>
      <c r="CL61" s="252">
        <f>IF(BC61="","",Planning!AH54)</f>
        <v/>
      </c>
      <c r="CM61" s="21" t="n"/>
    </row>
    <row r="62" ht="12.75" customHeight="1">
      <c r="A62" s="161">
        <f>IFERROR(IF(VLOOKUP($B62,$BC$13:$CL$86,36,FALSE)&gt;5,0,IF(COUNTIF($B$13:$B$63,$B62)&gt;1,0,50)),50)+IF(B62&lt;&gt;0,0,IF(AV62&gt;0,0.000001,0))</f>
        <v/>
      </c>
      <c r="B62" s="129" t="n"/>
      <c r="C62" s="48">
        <f>IFERROR(IF($B62="","",VLOOKUP($B62,Medewerker!$C$8:$AI$107,33,FALSE)),"?")</f>
        <v/>
      </c>
      <c r="D62" s="879">
        <f t="array" ref="D62">IFERROR(IF(LEFT(INDEX($F62:$AQ62,1,SUM(SMALL(IF($F62:$AQ62&lt;&gt;"",COLUMN($F62:$AQ62)),1)-5)),1)="x",SUM(SMALL(IF($F62:$AQ62&lt;&gt;"",$F$11:$AQ$11),1)+"0:15"),SMALL(IF($F62:$AQ62&lt;&gt;"",$F$11:$AQ$11),1)),"")</f>
        <v/>
      </c>
      <c r="E62" s="879">
        <f t="array" ref="E62">IFERROR(IF(LEFT(INDEX($F62:$AQ62,1,SUM(LARGE(IF($F62:$AQ62&lt;&gt;"",COLUMN($F62:$AQ62)),1)-5)),1)="x",SUM(LARGE(IF($F62:$AQ62&lt;&gt;"",$F$11:$AQ$11+"0:30:00"),1)-"0:15"),LARGE(IF($F62:$AQ62&lt;&gt;"",$F$11:$AQ$11+"0:30:00"),1)),"")</f>
        <v/>
      </c>
      <c r="F62" s="43" t="n"/>
      <c r="G62" s="42" t="n"/>
      <c r="H62" s="43" t="n"/>
      <c r="I62" s="42" t="n"/>
      <c r="J62" s="43" t="n"/>
      <c r="K62" s="41" t="n"/>
      <c r="L62" s="40" t="n"/>
      <c r="M62" s="42" t="n"/>
      <c r="N62" s="43" t="n"/>
      <c r="O62" s="41" t="n"/>
      <c r="P62" s="40" t="n"/>
      <c r="Q62" s="42" t="n"/>
      <c r="R62" s="43" t="n"/>
      <c r="S62" s="41" t="n"/>
      <c r="T62" s="40" t="n"/>
      <c r="U62" s="42" t="n"/>
      <c r="V62" s="43" t="n"/>
      <c r="W62" s="41" t="n"/>
      <c r="X62" s="40" t="n"/>
      <c r="Y62" s="42" t="n"/>
      <c r="Z62" s="43" t="n"/>
      <c r="AA62" s="41" t="n"/>
      <c r="AB62" s="40" t="n"/>
      <c r="AC62" s="42" t="n"/>
      <c r="AD62" s="43" t="n"/>
      <c r="AE62" s="41" t="n"/>
      <c r="AF62" s="40" t="n"/>
      <c r="AG62" s="42" t="n"/>
      <c r="AH62" s="43" t="n"/>
      <c r="AI62" s="41" t="n"/>
      <c r="AJ62" s="40" t="n"/>
      <c r="AK62" s="42" t="n"/>
      <c r="AL62" s="43" t="n"/>
      <c r="AM62" s="41" t="n"/>
      <c r="AN62" s="645" t="n"/>
      <c r="AO62" s="42" t="n"/>
      <c r="AP62" s="43" t="n"/>
      <c r="AQ62" s="42" t="n"/>
      <c r="AR62" s="888">
        <f>IFERROR(IF(VLOOKUP($B62,Medewerker!$C$8:$AG$107,31,FALSE)="",VLOOKUP($B62,Medewerker!$C$8:$AG$107,29,FALSE),0),0)</f>
        <v/>
      </c>
      <c r="AS62" s="888">
        <f>IFERROR(IF(B62="",1,IF(VLOOKUP($B62,Medewerker!$C$8:$AG$107,31,FALSE)="",VLOOKUP($B62,Medewerker!$C$8:$AG$107,30,FALSE),0)),0)</f>
        <v/>
      </c>
      <c r="AT62" s="45" t="n"/>
      <c r="AU62" s="46">
        <f>(COUNTIF(F62:AQ62,"afw"))/2</f>
        <v/>
      </c>
      <c r="AV62" s="111">
        <f>((38-(COUNTIF(F62:AQ62,"")))/2)-(COUNTIF(F62:AQ62,"p")/2)-(COUNTIF(F62:AQ62,CONCATENATE("x","*"))/4)</f>
        <v/>
      </c>
      <c r="AW62" s="73">
        <f>IF($B62="","",VLOOKUP($B62,Medewerker!$C$8:$E$107,3,FALSE))</f>
        <v/>
      </c>
      <c r="AX62" s="403">
        <f>IFERROR(VLOOKUP($B62,Planning!$B$6:$AG$105,32,FALSE)*24,"")</f>
        <v/>
      </c>
      <c r="AY62" s="409" t="inlineStr">
        <is>
          <t>p</t>
        </is>
      </c>
      <c r="AZ62" s="167" t="inlineStr">
        <is>
          <t>Pauze (onbetaald)</t>
        </is>
      </c>
      <c r="BA62" s="410">
        <f>MAX((COUNTIF($F$13:$AQ$63,CONCATENATE(AY62,"*"))/2+COUNTIF($F$13:$AQ$63,CONCATENATE("x",AY62,"*"))/4)-SUM(BA57,BA51,BA45,BA44),0)</f>
        <v/>
      </c>
      <c r="BB62" s="838" t="n"/>
      <c r="BC62" s="31">
        <f>IF(Planning!B55="","",Planning!B55)</f>
        <v/>
      </c>
      <c r="BD62" s="105" t="n"/>
      <c r="BE62" s="885">
        <f>Planning!E55</f>
        <v/>
      </c>
      <c r="BF62" s="885">
        <f>Planning!F55</f>
        <v/>
      </c>
      <c r="BG62" s="886" t="n"/>
      <c r="BH62" s="105" t="n"/>
      <c r="BI62" s="885">
        <f>Planning!I55</f>
        <v/>
      </c>
      <c r="BJ62" s="885">
        <f>Planning!J55</f>
        <v/>
      </c>
      <c r="BK62" s="886" t="n"/>
      <c r="BL62" s="105" t="n"/>
      <c r="BM62" s="885">
        <f>Planning!M55</f>
        <v/>
      </c>
      <c r="BN62" s="885">
        <f>Planning!N55</f>
        <v/>
      </c>
      <c r="BO62" s="886" t="n"/>
      <c r="BP62" s="105" t="n"/>
      <c r="BQ62" s="885">
        <f>Planning!Q55</f>
        <v/>
      </c>
      <c r="BR62" s="885">
        <f>Planning!R55</f>
        <v/>
      </c>
      <c r="BS62" s="886" t="n"/>
      <c r="BT62" s="105" t="n"/>
      <c r="BU62" s="885">
        <f>Planning!U55</f>
        <v/>
      </c>
      <c r="BV62" s="885">
        <f>Planning!V55</f>
        <v/>
      </c>
      <c r="BW62" s="886" t="n"/>
      <c r="BX62" s="105" t="n"/>
      <c r="BY62" s="885">
        <f>Planning!Y55</f>
        <v/>
      </c>
      <c r="BZ62" s="885">
        <f>Planning!Z55</f>
        <v/>
      </c>
      <c r="CA62" s="886" t="n"/>
      <c r="CB62" s="105" t="n"/>
      <c r="CC62" s="885">
        <f>Planning!AC55</f>
        <v/>
      </c>
      <c r="CD62" s="885">
        <f>Planning!AD55</f>
        <v/>
      </c>
      <c r="CE62" s="886" t="n"/>
      <c r="CF62" s="105" t="n"/>
      <c r="CG62" s="887">
        <f>Planning!AG55</f>
        <v/>
      </c>
      <c r="CH62" s="105" t="n"/>
      <c r="CI62" s="252">
        <f>IF(BC62="","",Planning!AI55)</f>
        <v/>
      </c>
      <c r="CJ62" s="252">
        <f>IF(BC62="","",Planning!AJ55)</f>
        <v/>
      </c>
      <c r="CK62" s="252">
        <f>IF(BC62="","",Planning!AK55)</f>
        <v/>
      </c>
      <c r="CL62" s="252">
        <f>IF(BC62="","",Planning!AH55)</f>
        <v/>
      </c>
      <c r="CM62" s="21" t="n"/>
    </row>
    <row r="63" ht="12.75" customHeight="1">
      <c r="A63" s="161">
        <f>IFERROR(IF(VLOOKUP($B63,$BC$13:$CL$86,36,FALSE)&gt;5,0,IF(COUNTIF($B$13:$B$63,$B63)&gt;1,0,51)),51)+IF(B63&lt;&gt;0,0,IF(AV63&gt;0,0.000001,0))</f>
        <v/>
      </c>
      <c r="B63" s="130" t="n"/>
      <c r="C63" s="131">
        <f>IFERROR(IF($B63="","",VLOOKUP($B63,Medewerker!$C$8:$AI$107,33,FALSE)),"?")</f>
        <v/>
      </c>
      <c r="D63" s="894">
        <f t="array" ref="D63">IFERROR(IF(LEFT(INDEX($F63:$AQ63,1,SUM(SMALL(IF($F63:$AQ63&lt;&gt;"",COLUMN($F63:$AQ63)),1)-5)),1)="x",SUM(SMALL(IF($F63:$AQ63&lt;&gt;"",$F$11:$AQ$11),1)+"0:15"),SMALL(IF($F63:$AQ63&lt;&gt;"",$F$11:$AQ$11),1)),"")</f>
        <v/>
      </c>
      <c r="E63" s="894">
        <f t="array" ref="E63">IFERROR(IF(LEFT(INDEX($F63:$AQ63,1,SUM(LARGE(IF($F63:$AQ63&lt;&gt;"",COLUMN($F63:$AQ63)),1)-5)),1)="x",SUM(LARGE(IF($F63:$AQ63&lt;&gt;"",$F$11:$AQ$11+"0:30:00"),1)-"0:15"),LARGE(IF($F63:$AQ63&lt;&gt;"",$F$11:$AQ$11+"0:30:00"),1)),"")</f>
        <v/>
      </c>
      <c r="F63" s="133" t="n"/>
      <c r="G63" s="134" t="n"/>
      <c r="H63" s="133" t="n"/>
      <c r="I63" s="134" t="n"/>
      <c r="J63" s="133" t="n"/>
      <c r="K63" s="135" t="n"/>
      <c r="L63" s="136" t="n"/>
      <c r="M63" s="134" t="n"/>
      <c r="N63" s="133" t="n"/>
      <c r="O63" s="135" t="n"/>
      <c r="P63" s="136" t="n"/>
      <c r="Q63" s="134" t="n"/>
      <c r="R63" s="133" t="n"/>
      <c r="S63" s="135" t="n"/>
      <c r="T63" s="136" t="n"/>
      <c r="U63" s="134" t="n"/>
      <c r="V63" s="133" t="n"/>
      <c r="W63" s="135" t="n"/>
      <c r="X63" s="136" t="n"/>
      <c r="Y63" s="134" t="n"/>
      <c r="Z63" s="133" t="n"/>
      <c r="AA63" s="135" t="n"/>
      <c r="AB63" s="136" t="n"/>
      <c r="AC63" s="134" t="n"/>
      <c r="AD63" s="133" t="n"/>
      <c r="AE63" s="135" t="n"/>
      <c r="AF63" s="136" t="n"/>
      <c r="AG63" s="134" t="n"/>
      <c r="AH63" s="133" t="n"/>
      <c r="AI63" s="135" t="n"/>
      <c r="AJ63" s="136" t="n"/>
      <c r="AK63" s="134" t="n"/>
      <c r="AL63" s="133" t="n"/>
      <c r="AM63" s="135" t="n"/>
      <c r="AN63" s="646" t="n"/>
      <c r="AO63" s="134" t="n"/>
      <c r="AP63" s="133" t="n"/>
      <c r="AQ63" s="134" t="n"/>
      <c r="AR63" s="895">
        <f>IFERROR(IF(VLOOKUP($B63,Medewerker!$C$8:$AG$107,31,FALSE)="",VLOOKUP($B63,Medewerker!$C$8:$AG$107,29,FALSE),0),0)</f>
        <v/>
      </c>
      <c r="AS63" s="895">
        <f>IFERROR(IF(B63="",1,IF(VLOOKUP($B63,Medewerker!$C$8:$AG$107,31,FALSE)="",VLOOKUP($B63,Medewerker!$C$8:$AG$107,30,FALSE),0)),0)</f>
        <v/>
      </c>
      <c r="AT63" s="138" t="n"/>
      <c r="AU63" s="139">
        <f>(COUNTIF(F63:AQ63,"afw"))/2</f>
        <v/>
      </c>
      <c r="AV63" s="140">
        <f>((38-(COUNTIF(F63:AQ63,"")))/2)-(COUNTIF(F63:AQ63,"p")/2)-(COUNTIF(F63:AQ63,CONCATENATE("x","*"))/4)</f>
        <v/>
      </c>
      <c r="AW63" s="402">
        <f>IF($B63="","",VLOOKUP($B63,Medewerker!$C$8:$E$107,3,FALSE))</f>
        <v/>
      </c>
      <c r="AX63" s="405">
        <f>IFERROR(VLOOKUP($B63,Planning!$B$6:$AG$105,32,FALSE)*24,"")</f>
        <v/>
      </c>
      <c r="AY63" s="462" t="inlineStr">
        <is>
          <t>afw</t>
        </is>
      </c>
      <c r="AZ63" s="463" t="inlineStr">
        <is>
          <t>Afwezig / ziek</t>
        </is>
      </c>
      <c r="BA63" s="464">
        <f>SUM(AU13:AU63)</f>
        <v/>
      </c>
      <c r="BB63" s="838" t="n"/>
      <c r="BC63" s="31">
        <f>IF(Planning!B56="","",Planning!B56)</f>
        <v/>
      </c>
      <c r="BD63" s="105" t="n"/>
      <c r="BE63" s="885">
        <f>Planning!E56</f>
        <v/>
      </c>
      <c r="BF63" s="885">
        <f>Planning!F56</f>
        <v/>
      </c>
      <c r="BG63" s="886" t="n"/>
      <c r="BH63" s="105" t="n"/>
      <c r="BI63" s="885">
        <f>Planning!I56</f>
        <v/>
      </c>
      <c r="BJ63" s="885">
        <f>Planning!J56</f>
        <v/>
      </c>
      <c r="BK63" s="886" t="n"/>
      <c r="BL63" s="105" t="n"/>
      <c r="BM63" s="885">
        <f>Planning!M56</f>
        <v/>
      </c>
      <c r="BN63" s="885">
        <f>Planning!N56</f>
        <v/>
      </c>
      <c r="BO63" s="886" t="n"/>
      <c r="BP63" s="105" t="n"/>
      <c r="BQ63" s="885">
        <f>Planning!Q56</f>
        <v/>
      </c>
      <c r="BR63" s="885">
        <f>Planning!R56</f>
        <v/>
      </c>
      <c r="BS63" s="886" t="n"/>
      <c r="BT63" s="105" t="n"/>
      <c r="BU63" s="885">
        <f>Planning!U56</f>
        <v/>
      </c>
      <c r="BV63" s="885">
        <f>Planning!V56</f>
        <v/>
      </c>
      <c r="BW63" s="886" t="n"/>
      <c r="BX63" s="105" t="n"/>
      <c r="BY63" s="885">
        <f>Planning!Y56</f>
        <v/>
      </c>
      <c r="BZ63" s="885">
        <f>Planning!Z56</f>
        <v/>
      </c>
      <c r="CA63" s="886" t="n"/>
      <c r="CB63" s="105" t="n"/>
      <c r="CC63" s="885">
        <f>Planning!AC56</f>
        <v/>
      </c>
      <c r="CD63" s="885">
        <f>Planning!AD56</f>
        <v/>
      </c>
      <c r="CE63" s="886" t="n"/>
      <c r="CF63" s="105" t="n"/>
      <c r="CG63" s="887">
        <f>Planning!AG56</f>
        <v/>
      </c>
      <c r="CH63" s="105" t="n"/>
      <c r="CI63" s="252">
        <f>IF(BC63="","",Planning!AI56)</f>
        <v/>
      </c>
      <c r="CJ63" s="252">
        <f>IF(BC63="","",Planning!AJ56)</f>
        <v/>
      </c>
      <c r="CK63" s="252">
        <f>IF(BC63="","",Planning!AK56)</f>
        <v/>
      </c>
      <c r="CL63" s="252">
        <f>IF(BC63="","",Planning!AH56)</f>
        <v/>
      </c>
      <c r="CM63" s="21" t="n"/>
    </row>
    <row r="64" ht="13.5" customHeight="1">
      <c r="A64" s="401" t="n"/>
      <c r="B64" s="108" t="n"/>
      <c r="C64" s="109" t="n"/>
      <c r="D64" s="109" t="n"/>
      <c r="E64" s="109" t="n"/>
      <c r="F64" s="109" t="n"/>
      <c r="G64" s="109" t="n"/>
      <c r="H64" s="260" t="n"/>
      <c r="I64" s="260" t="n"/>
      <c r="J64" s="261" t="n"/>
      <c r="K64" s="261" t="n"/>
      <c r="L64" s="261" t="n"/>
      <c r="M64" s="261" t="n"/>
      <c r="N64" s="261" t="n"/>
      <c r="O64" s="261" t="n"/>
      <c r="P64" s="261" t="n"/>
      <c r="Q64" s="261" t="n"/>
      <c r="R64" s="261" t="n"/>
      <c r="S64" s="261" t="n"/>
      <c r="T64" s="261" t="n"/>
      <c r="U64" s="262" t="n"/>
      <c r="V64" s="261" t="n"/>
      <c r="W64" s="261" t="n"/>
      <c r="X64" s="261" t="n"/>
      <c r="Y64" s="261" t="n"/>
      <c r="Z64" s="261" t="n"/>
      <c r="AA64" s="261" t="n"/>
      <c r="AB64" s="261" t="n"/>
      <c r="AC64" s="261" t="n"/>
      <c r="AD64" s="261" t="n"/>
      <c r="AE64" s="261" t="n"/>
      <c r="AF64" s="261" t="n"/>
      <c r="AG64" s="261" t="n"/>
      <c r="AH64" s="262" t="n"/>
      <c r="AI64" s="262" t="n"/>
      <c r="AJ64" s="262" t="n"/>
      <c r="AK64" s="262" t="n"/>
      <c r="AL64" s="47" t="n"/>
      <c r="AM64" s="47" t="n"/>
      <c r="AN64" s="47" t="n"/>
      <c r="AO64" s="47" t="n"/>
      <c r="AP64" s="47" t="n"/>
      <c r="AQ64" s="47" t="n"/>
      <c r="AR64" s="47" t="n"/>
      <c r="AS64" s="47" t="n"/>
      <c r="AT64" s="47" t="n"/>
      <c r="AU64" s="47" t="n"/>
      <c r="AV64" s="117" t="n"/>
      <c r="AW64" s="35" t="n"/>
      <c r="AX64" s="35" t="n"/>
      <c r="AY64" s="831" t="n"/>
      <c r="AZ64" s="50" t="n"/>
      <c r="BC64" s="31">
        <f>IF(Planning!B57="","",Planning!B57)</f>
        <v/>
      </c>
      <c r="BD64" s="105" t="n"/>
      <c r="BE64" s="885">
        <f>Planning!E57</f>
        <v/>
      </c>
      <c r="BF64" s="885">
        <f>Planning!F57</f>
        <v/>
      </c>
      <c r="BG64" s="886" t="n"/>
      <c r="BH64" s="105" t="n"/>
      <c r="BI64" s="885">
        <f>Planning!I57</f>
        <v/>
      </c>
      <c r="BJ64" s="885">
        <f>Planning!J57</f>
        <v/>
      </c>
      <c r="BK64" s="886" t="n"/>
      <c r="BL64" s="105" t="n"/>
      <c r="BM64" s="885">
        <f>Planning!M57</f>
        <v/>
      </c>
      <c r="BN64" s="885">
        <f>Planning!N57</f>
        <v/>
      </c>
      <c r="BO64" s="886" t="n"/>
      <c r="BP64" s="105" t="n"/>
      <c r="BQ64" s="885">
        <f>Planning!Q57</f>
        <v/>
      </c>
      <c r="BR64" s="885">
        <f>Planning!R57</f>
        <v/>
      </c>
      <c r="BS64" s="886" t="n"/>
      <c r="BT64" s="105" t="n"/>
      <c r="BU64" s="885">
        <f>Planning!U57</f>
        <v/>
      </c>
      <c r="BV64" s="885">
        <f>Planning!V57</f>
        <v/>
      </c>
      <c r="BW64" s="886" t="n"/>
      <c r="BX64" s="105" t="n"/>
      <c r="BY64" s="885">
        <f>Planning!Y57</f>
        <v/>
      </c>
      <c r="BZ64" s="885">
        <f>Planning!Z57</f>
        <v/>
      </c>
      <c r="CA64" s="886" t="n"/>
      <c r="CB64" s="105" t="n"/>
      <c r="CC64" s="885">
        <f>Planning!AC57</f>
        <v/>
      </c>
      <c r="CD64" s="885">
        <f>Planning!AD57</f>
        <v/>
      </c>
      <c r="CE64" s="886" t="n"/>
      <c r="CF64" s="105" t="n"/>
      <c r="CG64" s="887">
        <f>Planning!AG57</f>
        <v/>
      </c>
      <c r="CH64" s="105" t="n"/>
      <c r="CI64" s="252">
        <f>IF(BC64="","",Planning!AI57)</f>
        <v/>
      </c>
      <c r="CJ64" s="252">
        <f>IF(BC64="","",Planning!AJ57)</f>
        <v/>
      </c>
      <c r="CK64" s="252">
        <f>IF(BC64="","",Planning!AK57)</f>
        <v/>
      </c>
      <c r="CL64" s="252">
        <f>IF(BC64="","",Planning!AH57)</f>
        <v/>
      </c>
      <c r="CM64" s="21" t="n"/>
    </row>
    <row r="65" ht="13.5" customHeight="1">
      <c r="A65" s="162" t="n"/>
      <c r="B65" s="896" t="inlineStr">
        <is>
          <t>Spoorboekje</t>
        </is>
      </c>
      <c r="C65" s="897" t="n"/>
      <c r="D65" s="862" t="n"/>
      <c r="E65" s="109" t="n"/>
      <c r="F65" s="109" t="n"/>
      <c r="G65" s="109" t="n"/>
      <c r="H65" s="898" t="inlineStr">
        <is>
          <t>Legenda</t>
        </is>
      </c>
      <c r="I65" s="897" t="n"/>
      <c r="J65" s="897" t="n"/>
      <c r="K65" s="897" t="n"/>
      <c r="L65" s="897" t="n"/>
      <c r="M65" s="897" t="n"/>
      <c r="N65" s="897" t="n"/>
      <c r="O65" s="897" t="n"/>
      <c r="P65" s="897" t="n"/>
      <c r="Q65" s="897" t="n"/>
      <c r="R65" s="897" t="n"/>
      <c r="S65" s="897" t="n"/>
      <c r="T65" s="897" t="n"/>
      <c r="U65" s="897" t="n"/>
      <c r="V65" s="897" t="n"/>
      <c r="W65" s="897" t="n"/>
      <c r="X65" s="897" t="n"/>
      <c r="Y65" s="897" t="n"/>
      <c r="Z65" s="897" t="n"/>
      <c r="AA65" s="897" t="n"/>
      <c r="AB65" s="897" t="n"/>
      <c r="AC65" s="897" t="n"/>
      <c r="AD65" s="897" t="n"/>
      <c r="AE65" s="897" t="n"/>
      <c r="AF65" s="897" t="n"/>
      <c r="AG65" s="897" t="n"/>
      <c r="AH65" s="897" t="n"/>
      <c r="AI65" s="897" t="n"/>
      <c r="AJ65" s="897" t="n"/>
      <c r="AK65" s="862" t="n"/>
      <c r="AL65" s="47" t="n"/>
      <c r="AM65" s="47" t="n"/>
      <c r="AN65" s="47" t="n"/>
      <c r="AO65" s="47" t="n"/>
      <c r="AP65" s="47" t="n"/>
      <c r="AQ65" s="501" t="n"/>
      <c r="AR65" s="501" t="n"/>
      <c r="AS65" s="501" t="n"/>
      <c r="AT65" s="501" t="n"/>
      <c r="AU65" s="501" t="n"/>
      <c r="AV65" s="507">
        <f>SUM(AV13:AV63)-BA63</f>
        <v/>
      </c>
      <c r="AW65" s="508" t="n"/>
      <c r="AX65" s="509" t="n"/>
      <c r="AY65" s="508" t="n"/>
      <c r="AZ65" s="510" t="n"/>
      <c r="BA65" s="511">
        <f>AV65-SUM(BA14:BA22,BA24:BA30,BA32:BA34,BA36:BA40,BA42:BA46,BA48:BA60)</f>
        <v/>
      </c>
      <c r="BC65" s="31">
        <f>IF(Planning!B58="","",Planning!B58)</f>
        <v/>
      </c>
      <c r="BD65" s="105" t="n"/>
      <c r="BE65" s="885">
        <f>Planning!E58</f>
        <v/>
      </c>
      <c r="BF65" s="885">
        <f>Planning!F58</f>
        <v/>
      </c>
      <c r="BG65" s="886" t="n"/>
      <c r="BH65" s="105" t="n"/>
      <c r="BI65" s="885">
        <f>Planning!I58</f>
        <v/>
      </c>
      <c r="BJ65" s="885">
        <f>Planning!J58</f>
        <v/>
      </c>
      <c r="BK65" s="886" t="n"/>
      <c r="BL65" s="105" t="n"/>
      <c r="BM65" s="885">
        <f>Planning!M58</f>
        <v/>
      </c>
      <c r="BN65" s="885">
        <f>Planning!N58</f>
        <v/>
      </c>
      <c r="BO65" s="886" t="n"/>
      <c r="BP65" s="105" t="n"/>
      <c r="BQ65" s="885">
        <f>Planning!Q58</f>
        <v/>
      </c>
      <c r="BR65" s="885">
        <f>Planning!R58</f>
        <v/>
      </c>
      <c r="BS65" s="886" t="n"/>
      <c r="BT65" s="105" t="n"/>
      <c r="BU65" s="885">
        <f>Planning!U58</f>
        <v/>
      </c>
      <c r="BV65" s="885">
        <f>Planning!V58</f>
        <v/>
      </c>
      <c r="BW65" s="886" t="n"/>
      <c r="BX65" s="105" t="n"/>
      <c r="BY65" s="885">
        <f>Planning!Y58</f>
        <v/>
      </c>
      <c r="BZ65" s="885">
        <f>Planning!Z58</f>
        <v/>
      </c>
      <c r="CA65" s="886" t="n"/>
      <c r="CB65" s="105" t="n"/>
      <c r="CC65" s="885">
        <f>Planning!AC58</f>
        <v/>
      </c>
      <c r="CD65" s="885">
        <f>Planning!AD58</f>
        <v/>
      </c>
      <c r="CE65" s="886" t="n"/>
      <c r="CF65" s="105" t="n"/>
      <c r="CG65" s="887">
        <f>Planning!AG58</f>
        <v/>
      </c>
      <c r="CH65" s="105" t="n"/>
      <c r="CI65" s="252">
        <f>IF(BC65="","",Planning!AI58)</f>
        <v/>
      </c>
      <c r="CJ65" s="252">
        <f>IF(BC65="","",Planning!AJ58)</f>
        <v/>
      </c>
      <c r="CK65" s="252">
        <f>IF(BC65="","",Planning!AK58)</f>
        <v/>
      </c>
      <c r="CL65" s="252">
        <f>IF(BC65="","",Planning!AH58)</f>
        <v/>
      </c>
      <c r="CM65" s="21" t="n"/>
    </row>
    <row r="66" ht="13.5" customHeight="1">
      <c r="A66" s="162" t="n"/>
      <c r="B66" s="442">
        <f>IFERROR(IF(COUNTIF(Instellingen!$S$30:$S$37,"")&gt;7,"",VLOOKUP(SMALL(Instellingen!$S$30:$S$37,1),Instellingen!$S$30:$T$37,2,FALSE)),"")</f>
        <v/>
      </c>
      <c r="C66" s="899">
        <f>IFERROR(IF(B66="","",VLOOKUP(B66,Instellingen!$B$30:$L$37,11,FALSE)),"")</f>
        <v/>
      </c>
      <c r="D66" s="862" t="n"/>
      <c r="E66" s="109" t="n"/>
      <c r="F66" s="109" t="n"/>
      <c r="G66" s="109" t="n"/>
      <c r="H66" s="900" t="inlineStr">
        <is>
          <t>Vullen</t>
        </is>
      </c>
      <c r="I66" s="883" t="n"/>
      <c r="J66" s="883" t="n"/>
      <c r="K66" s="883" t="n"/>
      <c r="L66" s="883" t="n"/>
      <c r="M66" s="883" t="n"/>
      <c r="N66" s="883" t="n"/>
      <c r="O66" s="883" t="n"/>
      <c r="P66" s="883" t="n"/>
      <c r="Q66" s="884" t="n"/>
      <c r="R66" s="673" t="inlineStr">
        <is>
          <t>vcr - Risicoartikelen tellen</t>
        </is>
      </c>
      <c r="S66" s="264" t="n"/>
      <c r="T66" s="264" t="n"/>
      <c r="U66" s="264" t="n"/>
      <c r="V66" s="264" t="n"/>
      <c r="W66" s="264" t="n"/>
      <c r="X66" s="264" t="n"/>
      <c r="Y66" s="264" t="n"/>
      <c r="Z66" s="901">
        <f>BA30</f>
        <v/>
      </c>
      <c r="AA66" s="866" t="n"/>
      <c r="AB66" s="900" t="inlineStr">
        <is>
          <t>Overig</t>
        </is>
      </c>
      <c r="AC66" s="883" t="n"/>
      <c r="AD66" s="883" t="n"/>
      <c r="AE66" s="883" t="n"/>
      <c r="AF66" s="883" t="n"/>
      <c r="AG66" s="883" t="n"/>
      <c r="AH66" s="883" t="n"/>
      <c r="AI66" s="883" t="n"/>
      <c r="AJ66" s="883" t="n"/>
      <c r="AK66" s="884" t="n"/>
      <c r="AL66" s="47" t="n"/>
      <c r="AM66" s="47" t="n"/>
      <c r="AN66" s="47" t="n"/>
      <c r="AO66" s="47" t="n"/>
      <c r="AP66" s="47" t="n"/>
      <c r="AQ66" s="501" t="n"/>
      <c r="AR66" s="501" t="n"/>
      <c r="AS66" s="501" t="n"/>
      <c r="AT66" s="501" t="n"/>
      <c r="AU66" s="501" t="n"/>
      <c r="AV66" s="514" t="n"/>
      <c r="AW66" s="508" t="n"/>
      <c r="AX66" s="509" t="n"/>
      <c r="AY66" s="508" t="n"/>
      <c r="AZ66" s="510" t="n"/>
      <c r="BA66" s="299" t="n"/>
      <c r="BC66" s="31">
        <f>IF(Planning!B59="","",Planning!B59)</f>
        <v/>
      </c>
      <c r="BD66" s="105" t="n"/>
      <c r="BE66" s="885">
        <f>Planning!E59</f>
        <v/>
      </c>
      <c r="BF66" s="885">
        <f>Planning!F59</f>
        <v/>
      </c>
      <c r="BG66" s="886" t="n"/>
      <c r="BH66" s="105" t="n"/>
      <c r="BI66" s="885">
        <f>Planning!I59</f>
        <v/>
      </c>
      <c r="BJ66" s="885">
        <f>Planning!J59</f>
        <v/>
      </c>
      <c r="BK66" s="886" t="n"/>
      <c r="BL66" s="105" t="n"/>
      <c r="BM66" s="885">
        <f>Planning!M59</f>
        <v/>
      </c>
      <c r="BN66" s="885">
        <f>Planning!N59</f>
        <v/>
      </c>
      <c r="BO66" s="886" t="n"/>
      <c r="BP66" s="105" t="n"/>
      <c r="BQ66" s="885">
        <f>Planning!Q59</f>
        <v/>
      </c>
      <c r="BR66" s="885">
        <f>Planning!R59</f>
        <v/>
      </c>
      <c r="BS66" s="886" t="n"/>
      <c r="BT66" s="105" t="n"/>
      <c r="BU66" s="885">
        <f>Planning!U59</f>
        <v/>
      </c>
      <c r="BV66" s="885">
        <f>Planning!V59</f>
        <v/>
      </c>
      <c r="BW66" s="886" t="n"/>
      <c r="BX66" s="105" t="n"/>
      <c r="BY66" s="885">
        <f>Planning!Y59</f>
        <v/>
      </c>
      <c r="BZ66" s="885">
        <f>Planning!Z59</f>
        <v/>
      </c>
      <c r="CA66" s="886" t="n"/>
      <c r="CB66" s="105" t="n"/>
      <c r="CC66" s="885">
        <f>Planning!AC59</f>
        <v/>
      </c>
      <c r="CD66" s="885">
        <f>Planning!AD59</f>
        <v/>
      </c>
      <c r="CE66" s="886" t="n"/>
      <c r="CF66" s="105" t="n"/>
      <c r="CG66" s="887">
        <f>Planning!AG59</f>
        <v/>
      </c>
      <c r="CH66" s="105" t="n"/>
      <c r="CI66" s="252">
        <f>IF(BC66="","",Planning!AI59)</f>
        <v/>
      </c>
      <c r="CJ66" s="252">
        <f>IF(BC66="","",Planning!AJ59)</f>
        <v/>
      </c>
      <c r="CK66" s="252">
        <f>IF(BC66="","",Planning!AK59)</f>
        <v/>
      </c>
      <c r="CL66" s="252">
        <f>IF(BC66="","",Planning!AH59)</f>
        <v/>
      </c>
      <c r="CM66" s="21" t="n"/>
    </row>
    <row r="67" ht="13.5" customHeight="1">
      <c r="A67" s="162" t="n"/>
      <c r="B67" s="440">
        <f>IFERROR(IF(COUNTIF(Instellingen!$S$30:$S$37,"")&gt;6,"",VLOOKUP(SMALL(Instellingen!$S$30:$S$37,2),Instellingen!$S$30:$T$37,2,FALSE)),"")</f>
        <v/>
      </c>
      <c r="C67" s="902">
        <f>IFERROR(IF(B67="","",VLOOKUP(B67,Instellingen!$B$30:$L$37,11,FALSE)),"")</f>
        <v/>
      </c>
      <c r="D67" s="866" t="n"/>
      <c r="E67" s="109" t="n"/>
      <c r="F67" s="109" t="n"/>
      <c r="G67" s="109" t="n"/>
      <c r="H67" s="673" t="inlineStr">
        <is>
          <t>hv - Houdbaar vullen</t>
        </is>
      </c>
      <c r="I67" s="264" t="n"/>
      <c r="J67" s="264" t="n"/>
      <c r="K67" s="264" t="n"/>
      <c r="L67" s="264" t="n"/>
      <c r="M67" s="264" t="n"/>
      <c r="N67" s="264" t="n"/>
      <c r="O67" s="264" t="n"/>
      <c r="P67" s="901">
        <f>BA14</f>
        <v/>
      </c>
      <c r="Q67" s="866" t="n"/>
      <c r="R67" s="687" t="inlineStr">
        <is>
          <t>Magazijn</t>
        </is>
      </c>
      <c r="S67" s="883" t="n"/>
      <c r="T67" s="883" t="n"/>
      <c r="U67" s="883" t="n"/>
      <c r="V67" s="883" t="n"/>
      <c r="W67" s="883" t="n"/>
      <c r="X67" s="883" t="n"/>
      <c r="Y67" s="883" t="n"/>
      <c r="Z67" s="883" t="n"/>
      <c r="AA67" s="883" t="n"/>
      <c r="AB67" s="924" t="inlineStr">
        <is>
          <t>km - Kwaliteitsmedewerker</t>
        </is>
      </c>
      <c r="AC67" s="897" t="n"/>
      <c r="AD67" s="897" t="n"/>
      <c r="AE67" s="897" t="n"/>
      <c r="AF67" s="897" t="n"/>
      <c r="AG67" s="897" t="n"/>
      <c r="AH67" s="897" t="n"/>
      <c r="AI67" s="862" t="n"/>
      <c r="AJ67" s="904">
        <f>BA48</f>
        <v/>
      </c>
      <c r="AK67" s="866" t="n"/>
      <c r="AL67" s="47" t="n"/>
      <c r="AM67" s="47" t="n"/>
      <c r="AN67" s="47" t="n"/>
      <c r="AO67" s="47" t="n"/>
      <c r="AP67" s="47" t="n"/>
      <c r="AQ67" s="501" t="n"/>
      <c r="AR67" s="501" t="n"/>
      <c r="AS67" s="501" t="n"/>
      <c r="AT67" s="501" t="n"/>
      <c r="AU67" s="501" t="n"/>
      <c r="AV67" s="504" t="n"/>
      <c r="AW67" s="502" t="n"/>
      <c r="AX67" s="503" t="n"/>
      <c r="AY67" s="502" t="n"/>
      <c r="AZ67" s="512" t="n"/>
      <c r="BA67" s="263" t="n"/>
      <c r="BC67" s="31">
        <f>IF(Planning!B60="","",Planning!B60)</f>
        <v/>
      </c>
      <c r="BD67" s="105" t="n"/>
      <c r="BE67" s="885">
        <f>Planning!E60</f>
        <v/>
      </c>
      <c r="BF67" s="885">
        <f>Planning!F60</f>
        <v/>
      </c>
      <c r="BG67" s="886" t="n"/>
      <c r="BH67" s="105" t="n"/>
      <c r="BI67" s="885">
        <f>Planning!I60</f>
        <v/>
      </c>
      <c r="BJ67" s="885">
        <f>Planning!J60</f>
        <v/>
      </c>
      <c r="BK67" s="886" t="n"/>
      <c r="BL67" s="105" t="n"/>
      <c r="BM67" s="885">
        <f>Planning!M60</f>
        <v/>
      </c>
      <c r="BN67" s="885">
        <f>Planning!N60</f>
        <v/>
      </c>
      <c r="BO67" s="886" t="n"/>
      <c r="BP67" s="105" t="n"/>
      <c r="BQ67" s="885">
        <f>Planning!Q60</f>
        <v/>
      </c>
      <c r="BR67" s="885">
        <f>Planning!R60</f>
        <v/>
      </c>
      <c r="BS67" s="886" t="n"/>
      <c r="BT67" s="105" t="n"/>
      <c r="BU67" s="885">
        <f>Planning!U60</f>
        <v/>
      </c>
      <c r="BV67" s="885">
        <f>Planning!V60</f>
        <v/>
      </c>
      <c r="BW67" s="886" t="n"/>
      <c r="BX67" s="105" t="n"/>
      <c r="BY67" s="885">
        <f>Planning!Y60</f>
        <v/>
      </c>
      <c r="BZ67" s="885">
        <f>Planning!Z60</f>
        <v/>
      </c>
      <c r="CA67" s="886" t="n"/>
      <c r="CB67" s="105" t="n"/>
      <c r="CC67" s="885">
        <f>Planning!AC60</f>
        <v/>
      </c>
      <c r="CD67" s="885">
        <f>Planning!AD60</f>
        <v/>
      </c>
      <c r="CE67" s="886" t="n"/>
      <c r="CF67" s="105" t="n"/>
      <c r="CG67" s="887">
        <f>Planning!AG60</f>
        <v/>
      </c>
      <c r="CH67" s="105" t="n"/>
      <c r="CI67" s="252">
        <f>IF(BC67="","",Planning!AI60)</f>
        <v/>
      </c>
      <c r="CJ67" s="252">
        <f>IF(BC67="","",Planning!AJ60)</f>
        <v/>
      </c>
      <c r="CK67" s="252">
        <f>IF(BC67="","",Planning!AK60)</f>
        <v/>
      </c>
      <c r="CL67" s="252">
        <f>IF(BC67="","",Planning!AH60)</f>
        <v/>
      </c>
      <c r="CM67" s="21" t="n"/>
    </row>
    <row r="68" ht="13.5" customHeight="1">
      <c r="A68" s="159" t="n"/>
      <c r="B68" s="440">
        <f>IFERROR(IF(COUNTIF(Instellingen!$S$30:$S$37,"")&gt;5,"",VLOOKUP(SMALL(Instellingen!$S$30:$S$37,3),Instellingen!$S$30:$T$37,2,FALSE)),"")</f>
        <v/>
      </c>
      <c r="C68" s="902">
        <f>IFERROR(IF(B68="","",VLOOKUP(B68,Instellingen!$B$30:$L$37,11,FALSE)),"")</f>
        <v/>
      </c>
      <c r="D68" s="866" t="n"/>
      <c r="E68" s="109" t="n"/>
      <c r="F68" s="109" t="n"/>
      <c r="G68" s="109" t="n"/>
      <c r="H68" s="673" t="inlineStr">
        <is>
          <t>dv - Diepvries vullen</t>
        </is>
      </c>
      <c r="I68" s="264" t="n"/>
      <c r="J68" s="264" t="n"/>
      <c r="K68" s="264" t="n"/>
      <c r="L68" s="264" t="n"/>
      <c r="M68" s="264" t="n"/>
      <c r="N68" s="264" t="n"/>
      <c r="O68" s="264" t="n"/>
      <c r="P68" s="901">
        <f>BA15</f>
        <v/>
      </c>
      <c r="Q68" s="866" t="n"/>
      <c r="R68" s="673" t="inlineStr">
        <is>
          <t>l - Lossen/Retouren</t>
        </is>
      </c>
      <c r="S68" s="264" t="n"/>
      <c r="T68" s="264" t="n"/>
      <c r="U68" s="264" t="n"/>
      <c r="V68" s="264" t="n"/>
      <c r="W68" s="264" t="n"/>
      <c r="X68" s="264" t="n"/>
      <c r="Y68" s="264" t="n"/>
      <c r="Z68" s="675">
        <f>BA32</f>
        <v/>
      </c>
      <c r="AA68" s="264" t="n"/>
      <c r="AB68" s="907" t="inlineStr">
        <is>
          <t>mt - MT of CKW-overleg</t>
        </is>
      </c>
      <c r="AC68" s="264" t="n"/>
      <c r="AD68" s="264" t="n"/>
      <c r="AE68" s="264" t="n"/>
      <c r="AF68" s="264" t="n"/>
      <c r="AG68" s="264" t="n"/>
      <c r="AH68" s="264" t="n"/>
      <c r="AI68" s="866" t="n"/>
      <c r="AJ68" s="904">
        <f>BA49</f>
        <v/>
      </c>
      <c r="AK68" s="866" t="n"/>
      <c r="AL68" s="47" t="n"/>
      <c r="AM68" s="47" t="n"/>
      <c r="AN68" s="47" t="n"/>
      <c r="AO68" s="47" t="n"/>
      <c r="AP68" s="47" t="n"/>
      <c r="AQ68" s="501" t="n"/>
      <c r="AR68" s="501" t="n"/>
      <c r="AS68" s="501" t="n"/>
      <c r="AT68" s="501" t="n"/>
      <c r="AU68" s="501" t="n"/>
      <c r="AV68" s="504" t="n"/>
      <c r="AW68" s="502" t="n"/>
      <c r="AX68" s="503" t="n"/>
      <c r="AY68" s="502" t="n"/>
      <c r="AZ68" s="512" t="n"/>
      <c r="BA68" s="263" t="n"/>
      <c r="BC68" s="31">
        <f>IF(Planning!B61="","",Planning!B61)</f>
        <v/>
      </c>
      <c r="BD68" s="105" t="n"/>
      <c r="BE68" s="885">
        <f>Planning!E61</f>
        <v/>
      </c>
      <c r="BF68" s="885">
        <f>Planning!F61</f>
        <v/>
      </c>
      <c r="BG68" s="886" t="n"/>
      <c r="BH68" s="105" t="n"/>
      <c r="BI68" s="885">
        <f>Planning!I61</f>
        <v/>
      </c>
      <c r="BJ68" s="885">
        <f>Planning!J61</f>
        <v/>
      </c>
      <c r="BK68" s="886" t="n"/>
      <c r="BL68" s="105" t="n"/>
      <c r="BM68" s="885">
        <f>Planning!M61</f>
        <v/>
      </c>
      <c r="BN68" s="885">
        <f>Planning!N61</f>
        <v/>
      </c>
      <c r="BO68" s="886" t="n"/>
      <c r="BP68" s="105" t="n"/>
      <c r="BQ68" s="885">
        <f>Planning!Q61</f>
        <v/>
      </c>
      <c r="BR68" s="885">
        <f>Planning!R61</f>
        <v/>
      </c>
      <c r="BS68" s="886" t="n"/>
      <c r="BT68" s="105" t="n"/>
      <c r="BU68" s="885">
        <f>Planning!U61</f>
        <v/>
      </c>
      <c r="BV68" s="885">
        <f>Planning!V61</f>
        <v/>
      </c>
      <c r="BW68" s="886" t="n"/>
      <c r="BX68" s="105" t="n"/>
      <c r="BY68" s="885">
        <f>Planning!Y61</f>
        <v/>
      </c>
      <c r="BZ68" s="885">
        <f>Planning!Z61</f>
        <v/>
      </c>
      <c r="CA68" s="886" t="n"/>
      <c r="CB68" s="105" t="n"/>
      <c r="CC68" s="885">
        <f>Planning!AC61</f>
        <v/>
      </c>
      <c r="CD68" s="885">
        <f>Planning!AD61</f>
        <v/>
      </c>
      <c r="CE68" s="886" t="n"/>
      <c r="CF68" s="105" t="n"/>
      <c r="CG68" s="887">
        <f>Planning!AG61</f>
        <v/>
      </c>
      <c r="CH68" s="105" t="n"/>
      <c r="CI68" s="252">
        <f>IF(BC68="","",Planning!AI61)</f>
        <v/>
      </c>
      <c r="CJ68" s="252">
        <f>IF(BC68="","",Planning!AJ61)</f>
        <v/>
      </c>
      <c r="CK68" s="252">
        <f>IF(BC68="","",Planning!AK61)</f>
        <v/>
      </c>
      <c r="CL68" s="252">
        <f>IF(BC68="","",Planning!AH61)</f>
        <v/>
      </c>
      <c r="CM68" s="21" t="n"/>
    </row>
    <row r="69" ht="13.5" customHeight="1">
      <c r="A69" s="159" t="n"/>
      <c r="B69" s="440">
        <f>IFERROR(IF(COUNTIF(Instellingen!$S$30:$S$37,"")&gt;4,"",VLOOKUP(SMALL(Instellingen!$S$30:$S$37,4),Instellingen!$S$30:$T$37,2,FALSE)),"")</f>
        <v/>
      </c>
      <c r="C69" s="902">
        <f>IFERROR(IF(B69="","",VLOOKUP(B69,Instellingen!$B$30:$L$37,11,FALSE)),"")</f>
        <v/>
      </c>
      <c r="D69" s="866" t="n"/>
      <c r="E69" s="109" t="n"/>
      <c r="F69" s="109" t="n"/>
      <c r="G69" s="109" t="n"/>
      <c r="H69" s="673" t="inlineStr">
        <is>
          <t>vv - Vers vullen</t>
        </is>
      </c>
      <c r="I69" s="264" t="n"/>
      <c r="J69" s="264" t="n"/>
      <c r="K69" s="264" t="n"/>
      <c r="L69" s="264" t="n"/>
      <c r="M69" s="264" t="n"/>
      <c r="N69" s="264" t="n"/>
      <c r="O69" s="264" t="n"/>
      <c r="P69" s="901">
        <f>BA16</f>
        <v/>
      </c>
      <c r="Q69" s="866" t="n"/>
      <c r="R69" s="673" t="inlineStr">
        <is>
          <t>ma - Magazijn</t>
        </is>
      </c>
      <c r="S69" s="264" t="n"/>
      <c r="T69" s="264" t="n"/>
      <c r="U69" s="264" t="n"/>
      <c r="V69" s="264" t="n"/>
      <c r="W69" s="264" t="n"/>
      <c r="X69" s="264" t="n"/>
      <c r="Y69" s="264" t="n"/>
      <c r="Z69" s="675">
        <f>BA33</f>
        <v/>
      </c>
      <c r="AA69" s="264" t="n"/>
      <c r="AB69" s="907" t="inlineStr">
        <is>
          <t>ov - Overig</t>
        </is>
      </c>
      <c r="AC69" s="264" t="n"/>
      <c r="AD69" s="264" t="n"/>
      <c r="AE69" s="264" t="n"/>
      <c r="AF69" s="264" t="n"/>
      <c r="AG69" s="264" t="n"/>
      <c r="AH69" s="264" t="n"/>
      <c r="AI69" s="866" t="n"/>
      <c r="AJ69" s="904">
        <f>BA50</f>
        <v/>
      </c>
      <c r="AK69" s="866" t="n"/>
      <c r="AL69" s="47" t="n"/>
      <c r="AM69" s="47" t="n"/>
      <c r="AN69" s="47" t="n"/>
      <c r="AO69" s="47" t="n"/>
      <c r="AP69" s="47" t="n"/>
      <c r="AQ69" s="501" t="n"/>
      <c r="AR69" s="501" t="n"/>
      <c r="AS69" s="501" t="n"/>
      <c r="AT69" s="501" t="n"/>
      <c r="AU69" s="501" t="n"/>
      <c r="AV69" s="504" t="n"/>
      <c r="AW69" s="502" t="n"/>
      <c r="AX69" s="505" t="n"/>
      <c r="AY69" s="263" t="n"/>
      <c r="AZ69" s="513" t="n"/>
      <c r="BA69" s="263" t="n"/>
      <c r="BC69" s="31">
        <f>IF(Planning!B62="","",Planning!B62)</f>
        <v/>
      </c>
      <c r="BD69" s="105" t="n"/>
      <c r="BE69" s="885">
        <f>Planning!E62</f>
        <v/>
      </c>
      <c r="BF69" s="885">
        <f>Planning!F62</f>
        <v/>
      </c>
      <c r="BG69" s="886" t="n"/>
      <c r="BH69" s="105" t="n"/>
      <c r="BI69" s="885">
        <f>Planning!I62</f>
        <v/>
      </c>
      <c r="BJ69" s="885">
        <f>Planning!J62</f>
        <v/>
      </c>
      <c r="BK69" s="886" t="n"/>
      <c r="BL69" s="105" t="n"/>
      <c r="BM69" s="885">
        <f>Planning!M62</f>
        <v/>
      </c>
      <c r="BN69" s="885">
        <f>Planning!N62</f>
        <v/>
      </c>
      <c r="BO69" s="886" t="n"/>
      <c r="BP69" s="105" t="n"/>
      <c r="BQ69" s="885">
        <f>Planning!Q62</f>
        <v/>
      </c>
      <c r="BR69" s="885">
        <f>Planning!R62</f>
        <v/>
      </c>
      <c r="BS69" s="886" t="n"/>
      <c r="BT69" s="105" t="n"/>
      <c r="BU69" s="885">
        <f>Planning!U62</f>
        <v/>
      </c>
      <c r="BV69" s="885">
        <f>Planning!V62</f>
        <v/>
      </c>
      <c r="BW69" s="886" t="n"/>
      <c r="BX69" s="105" t="n"/>
      <c r="BY69" s="885">
        <f>Planning!Y62</f>
        <v/>
      </c>
      <c r="BZ69" s="885">
        <f>Planning!Z62</f>
        <v/>
      </c>
      <c r="CA69" s="886" t="n"/>
      <c r="CB69" s="105" t="n"/>
      <c r="CC69" s="885">
        <f>Planning!AC62</f>
        <v/>
      </c>
      <c r="CD69" s="885">
        <f>Planning!AD62</f>
        <v/>
      </c>
      <c r="CE69" s="886" t="n"/>
      <c r="CF69" s="105" t="n"/>
      <c r="CG69" s="887">
        <f>Planning!AG62</f>
        <v/>
      </c>
      <c r="CH69" s="105" t="n"/>
      <c r="CI69" s="252">
        <f>IF(BC69="","",Planning!AI62)</f>
        <v/>
      </c>
      <c r="CJ69" s="252">
        <f>IF(BC69="","",Planning!AJ62)</f>
        <v/>
      </c>
      <c r="CK69" s="252">
        <f>IF(BC69="","",Planning!AK62)</f>
        <v/>
      </c>
      <c r="CL69" s="252">
        <f>IF(BC69="","",Planning!AH62)</f>
        <v/>
      </c>
      <c r="CM69" s="21" t="n"/>
    </row>
    <row r="70" ht="13.5" customHeight="1">
      <c r="A70" s="159" t="n"/>
      <c r="B70" s="440">
        <f>IFERROR(IF(COUNTIF(Instellingen!$S$30:$S$37,"")&gt;3,"",VLOOKUP(SMALL(Instellingen!$S$30:$S$37,5),Instellingen!$S$30:$T$37,2,FALSE)),"")</f>
        <v/>
      </c>
      <c r="C70" s="902">
        <f>IFERROR(IF(B70="","",VLOOKUP(B70,Instellingen!$B$30:$L$37,11,FALSE)),"")</f>
        <v/>
      </c>
      <c r="D70" s="866" t="n"/>
      <c r="E70" s="109" t="n"/>
      <c r="F70" s="109" t="n"/>
      <c r="G70" s="109" t="n"/>
      <c r="H70" s="673" t="inlineStr">
        <is>
          <t>nh - Navulling HB</t>
        </is>
      </c>
      <c r="I70" s="264" t="n"/>
      <c r="J70" s="264" t="n"/>
      <c r="K70" s="264" t="n"/>
      <c r="L70" s="264" t="n"/>
      <c r="M70" s="264" t="n"/>
      <c r="N70" s="264" t="n"/>
      <c r="O70" s="264" t="n"/>
      <c r="P70" s="901">
        <f>BA17</f>
        <v/>
      </c>
      <c r="Q70" s="866" t="n"/>
      <c r="R70" s="661" t="inlineStr">
        <is>
          <t>sp - Splitsen</t>
        </is>
      </c>
      <c r="S70" s="906" t="n"/>
      <c r="T70" s="906" t="n"/>
      <c r="U70" s="906" t="n"/>
      <c r="V70" s="906" t="n"/>
      <c r="W70" s="906" t="n"/>
      <c r="X70" s="906" t="n"/>
      <c r="Y70" s="906" t="n"/>
      <c r="Z70" s="675">
        <f>BA34</f>
        <v/>
      </c>
      <c r="AA70" s="264" t="n"/>
      <c r="AB70" s="907" t="inlineStr">
        <is>
          <t>prt - Protime</t>
        </is>
      </c>
      <c r="AC70" s="264" t="n"/>
      <c r="AD70" s="264" t="n"/>
      <c r="AE70" s="264" t="n"/>
      <c r="AF70" s="264" t="n"/>
      <c r="AG70" s="264" t="n"/>
      <c r="AH70" s="264" t="n"/>
      <c r="AI70" s="866" t="n"/>
      <c r="AJ70" s="904">
        <f>BA51</f>
        <v/>
      </c>
      <c r="AK70" s="866" t="n"/>
      <c r="AL70" s="47" t="n"/>
      <c r="AM70" s="47" t="n"/>
      <c r="AN70" s="47" t="n"/>
      <c r="AO70" s="47" t="n"/>
      <c r="AP70" s="47" t="n"/>
      <c r="AQ70" s="501" t="n"/>
      <c r="AR70" s="501" t="n"/>
      <c r="AS70" s="501" t="n"/>
      <c r="AT70" s="501" t="n"/>
      <c r="AU70" s="501" t="n"/>
      <c r="AV70" s="504" t="n"/>
      <c r="AW70" s="502" t="n"/>
      <c r="AX70" s="505" t="n"/>
      <c r="AY70" s="263" t="n"/>
      <c r="AZ70" s="513" t="n"/>
      <c r="BA70" s="263" t="n"/>
      <c r="BC70" s="31">
        <f>IF(Planning!B63="","",Planning!B63)</f>
        <v/>
      </c>
      <c r="BD70" s="105" t="n"/>
      <c r="BE70" s="885">
        <f>Planning!E63</f>
        <v/>
      </c>
      <c r="BF70" s="885">
        <f>Planning!F63</f>
        <v/>
      </c>
      <c r="BG70" s="886" t="n"/>
      <c r="BH70" s="105" t="n"/>
      <c r="BI70" s="885">
        <f>Planning!I63</f>
        <v/>
      </c>
      <c r="BJ70" s="885">
        <f>Planning!J63</f>
        <v/>
      </c>
      <c r="BK70" s="886" t="n"/>
      <c r="BL70" s="105" t="n"/>
      <c r="BM70" s="885">
        <f>Planning!M63</f>
        <v/>
      </c>
      <c r="BN70" s="885">
        <f>Planning!N63</f>
        <v/>
      </c>
      <c r="BO70" s="886" t="n"/>
      <c r="BP70" s="105" t="n"/>
      <c r="BQ70" s="885">
        <f>Planning!Q63</f>
        <v/>
      </c>
      <c r="BR70" s="885">
        <f>Planning!R63</f>
        <v/>
      </c>
      <c r="BS70" s="886" t="n"/>
      <c r="BT70" s="105" t="n"/>
      <c r="BU70" s="885">
        <f>Planning!U63</f>
        <v/>
      </c>
      <c r="BV70" s="885">
        <f>Planning!V63</f>
        <v/>
      </c>
      <c r="BW70" s="886" t="n"/>
      <c r="BX70" s="105" t="n"/>
      <c r="BY70" s="885">
        <f>Planning!Y63</f>
        <v/>
      </c>
      <c r="BZ70" s="885">
        <f>Planning!Z63</f>
        <v/>
      </c>
      <c r="CA70" s="886" t="n"/>
      <c r="CB70" s="105" t="n"/>
      <c r="CC70" s="885">
        <f>Planning!AC63</f>
        <v/>
      </c>
      <c r="CD70" s="885">
        <f>Planning!AD63</f>
        <v/>
      </c>
      <c r="CE70" s="886" t="n"/>
      <c r="CF70" s="105" t="n"/>
      <c r="CG70" s="887">
        <f>Planning!AG63</f>
        <v/>
      </c>
      <c r="CH70" s="105" t="n"/>
      <c r="CI70" s="252">
        <f>IF(BC70="","",Planning!AI63)</f>
        <v/>
      </c>
      <c r="CJ70" s="252">
        <f>IF(BC70="","",Planning!AJ63)</f>
        <v/>
      </c>
      <c r="CK70" s="252">
        <f>IF(BC70="","",Planning!AK63)</f>
        <v/>
      </c>
      <c r="CL70" s="252">
        <f>IF(BC70="","",Planning!AH63)</f>
        <v/>
      </c>
      <c r="CM70" s="21" t="n"/>
    </row>
    <row r="71" ht="13.5" customHeight="1">
      <c r="A71" s="159" t="n"/>
      <c r="B71" s="251">
        <f>IFERROR(IF(COUNTIF(Instellingen!$S$30:$S$37,"")&gt;2,"",VLOOKUP(SMALL(Instellingen!$S$30:$S$37,6),Instellingen!$S$30:$T$37,2,FALSE)),"")</f>
        <v/>
      </c>
      <c r="C71" s="902">
        <f>IFERROR(IF(B71="","",VLOOKUP(B71,Instellingen!$B$30:$L$37,11,FALSE)),"")</f>
        <v/>
      </c>
      <c r="D71" s="866" t="n"/>
      <c r="E71" s="109" t="n"/>
      <c r="F71" s="109" t="n"/>
      <c r="G71" s="109" t="n"/>
      <c r="H71" s="673" t="inlineStr">
        <is>
          <t>nd - Navulling DV</t>
        </is>
      </c>
      <c r="I71" s="264" t="n"/>
      <c r="J71" s="264" t="n"/>
      <c r="K71" s="264" t="n"/>
      <c r="L71" s="264" t="n"/>
      <c r="M71" s="264" t="n"/>
      <c r="N71" s="264" t="n"/>
      <c r="O71" s="264" t="n"/>
      <c r="P71" s="901">
        <f>BA18</f>
        <v/>
      </c>
      <c r="Q71" s="866" t="n"/>
      <c r="R71" s="687" t="inlineStr">
        <is>
          <t>Afprijzen</t>
        </is>
      </c>
      <c r="S71" s="883" t="n"/>
      <c r="T71" s="883" t="n"/>
      <c r="U71" s="883" t="n"/>
      <c r="V71" s="883" t="n"/>
      <c r="W71" s="883" t="n"/>
      <c r="X71" s="883" t="n"/>
      <c r="Y71" s="883" t="n"/>
      <c r="Z71" s="883" t="n"/>
      <c r="AA71" s="883" t="n"/>
      <c r="AB71" s="907" t="inlineStr">
        <is>
          <t>sl - Shift leiden</t>
        </is>
      </c>
      <c r="AC71" s="264" t="n"/>
      <c r="AD71" s="264" t="n"/>
      <c r="AE71" s="264" t="n"/>
      <c r="AF71" s="264" t="n"/>
      <c r="AG71" s="264" t="n"/>
      <c r="AH71" s="264" t="n"/>
      <c r="AI71" s="866" t="n"/>
      <c r="AJ71" s="904">
        <f>BA52</f>
        <v/>
      </c>
      <c r="AK71" s="866" t="n"/>
      <c r="AL71" s="47" t="n"/>
      <c r="AM71" s="47" t="n"/>
      <c r="AN71" s="47" t="n"/>
      <c r="AO71" s="47" t="n"/>
      <c r="AP71" s="47" t="n"/>
      <c r="AQ71" s="501" t="n"/>
      <c r="AR71" s="501" t="n"/>
      <c r="AS71" s="501" t="n"/>
      <c r="AT71" s="501" t="n"/>
      <c r="AU71" s="501" t="n"/>
      <c r="AV71" s="504" t="n"/>
      <c r="AW71" s="502" t="n"/>
      <c r="AX71" s="505" t="n"/>
      <c r="AY71" s="263" t="n"/>
      <c r="AZ71" s="513" t="n"/>
      <c r="BA71" s="263" t="n"/>
      <c r="BC71" s="31">
        <f>IF(Planning!B64="","",Planning!B64)</f>
        <v/>
      </c>
      <c r="BD71" s="105" t="n"/>
      <c r="BE71" s="885">
        <f>Planning!E64</f>
        <v/>
      </c>
      <c r="BF71" s="885">
        <f>Planning!F64</f>
        <v/>
      </c>
      <c r="BG71" s="886" t="n"/>
      <c r="BH71" s="105" t="n"/>
      <c r="BI71" s="885">
        <f>Planning!I64</f>
        <v/>
      </c>
      <c r="BJ71" s="885">
        <f>Planning!J64</f>
        <v/>
      </c>
      <c r="BK71" s="886" t="n"/>
      <c r="BL71" s="105" t="n"/>
      <c r="BM71" s="885">
        <f>Planning!M64</f>
        <v/>
      </c>
      <c r="BN71" s="885">
        <f>Planning!N64</f>
        <v/>
      </c>
      <c r="BO71" s="886" t="n"/>
      <c r="BP71" s="105" t="n"/>
      <c r="BQ71" s="885">
        <f>Planning!Q64</f>
        <v/>
      </c>
      <c r="BR71" s="885">
        <f>Planning!R64</f>
        <v/>
      </c>
      <c r="BS71" s="886" t="n"/>
      <c r="BT71" s="105" t="n"/>
      <c r="BU71" s="885">
        <f>Planning!U64</f>
        <v/>
      </c>
      <c r="BV71" s="885">
        <f>Planning!V64</f>
        <v/>
      </c>
      <c r="BW71" s="886" t="n"/>
      <c r="BX71" s="105" t="n"/>
      <c r="BY71" s="885">
        <f>Planning!Y64</f>
        <v/>
      </c>
      <c r="BZ71" s="885">
        <f>Planning!Z64</f>
        <v/>
      </c>
      <c r="CA71" s="886" t="n"/>
      <c r="CB71" s="105" t="n"/>
      <c r="CC71" s="885">
        <f>Planning!AC64</f>
        <v/>
      </c>
      <c r="CD71" s="885">
        <f>Planning!AD64</f>
        <v/>
      </c>
      <c r="CE71" s="886" t="n"/>
      <c r="CF71" s="105" t="n"/>
      <c r="CG71" s="887">
        <f>Planning!AG64</f>
        <v/>
      </c>
      <c r="CH71" s="105" t="n"/>
      <c r="CI71" s="252">
        <f>IF(BC71="","",Planning!AI64)</f>
        <v/>
      </c>
      <c r="CJ71" s="252">
        <f>IF(BC71="","",Planning!AJ64)</f>
        <v/>
      </c>
      <c r="CK71" s="252">
        <f>IF(BC71="","",Planning!AK64)</f>
        <v/>
      </c>
      <c r="CL71" s="252">
        <f>IF(BC71="","",Planning!AH64)</f>
        <v/>
      </c>
      <c r="CM71" s="21" t="n"/>
    </row>
    <row r="72" ht="13.5" customHeight="1">
      <c r="A72" s="159" t="n"/>
      <c r="B72" s="441">
        <f>IFERROR(IF(COUNTIF(Instellingen!$S$30:$S$37,"")&gt;1,"",VLOOKUP(SMALL(Instellingen!$S$30:$S$37,7),Instellingen!$S$30:$T$37,2,FALSE)),"")</f>
        <v/>
      </c>
      <c r="C72" s="908">
        <f>IFERROR(IF(B72="","",VLOOKUP(B72,Instellingen!$B$30:$L$37,11,FALSE)),"")</f>
        <v/>
      </c>
      <c r="D72" s="869" t="n"/>
      <c r="E72" s="109" t="n"/>
      <c r="F72" s="109" t="n"/>
      <c r="G72" s="109" t="n"/>
      <c r="H72" s="673" t="inlineStr">
        <is>
          <t>nv - Navulling Vers</t>
        </is>
      </c>
      <c r="I72" s="264" t="n"/>
      <c r="J72" s="264" t="n"/>
      <c r="K72" s="264" t="n"/>
      <c r="L72" s="264" t="n"/>
      <c r="M72" s="264" t="n"/>
      <c r="N72" s="264" t="n"/>
      <c r="O72" s="264" t="n"/>
      <c r="P72" s="901">
        <f>BA19</f>
        <v/>
      </c>
      <c r="Q72" s="866" t="n"/>
      <c r="R72" s="673" t="inlineStr">
        <is>
          <t>afp - Afprijzen</t>
        </is>
      </c>
      <c r="S72" s="264" t="n"/>
      <c r="T72" s="264" t="n"/>
      <c r="U72" s="264" t="n"/>
      <c r="V72" s="264" t="n"/>
      <c r="W72" s="264" t="n"/>
      <c r="X72" s="264" t="n"/>
      <c r="Y72" s="264" t="n"/>
      <c r="Z72" s="675">
        <f>BA36</f>
        <v/>
      </c>
      <c r="AA72" s="264" t="n"/>
      <c r="AB72" s="907" t="inlineStr">
        <is>
          <t>vp - Vulshiftplanning</t>
        </is>
      </c>
      <c r="AC72" s="264" t="n"/>
      <c r="AD72" s="264" t="n"/>
      <c r="AE72" s="264" t="n"/>
      <c r="AF72" s="264" t="n"/>
      <c r="AG72" s="264" t="n"/>
      <c r="AH72" s="264" t="n"/>
      <c r="AI72" s="866" t="n"/>
      <c r="AJ72" s="904">
        <f>BA53</f>
        <v/>
      </c>
      <c r="AK72" s="866" t="n"/>
      <c r="AL72" s="47" t="n"/>
      <c r="AM72" s="47" t="n"/>
      <c r="AN72" s="47" t="n"/>
      <c r="AO72" s="47" t="n"/>
      <c r="AP72" s="47" t="n"/>
      <c r="AQ72" s="501" t="n"/>
      <c r="AR72" s="501" t="n"/>
      <c r="AS72" s="501" t="n"/>
      <c r="AT72" s="501" t="n"/>
      <c r="AU72" s="501" t="n"/>
      <c r="AV72" s="504" t="n"/>
      <c r="AW72" s="502" t="n"/>
      <c r="AX72" s="505" t="n"/>
      <c r="AY72" s="263" t="n"/>
      <c r="AZ72" s="513" t="n"/>
      <c r="BA72" s="263" t="n"/>
      <c r="BC72" s="31">
        <f>IF(Planning!B65="","",Planning!B65)</f>
        <v/>
      </c>
      <c r="BD72" s="105" t="n"/>
      <c r="BE72" s="885">
        <f>Planning!E65</f>
        <v/>
      </c>
      <c r="BF72" s="885">
        <f>Planning!F65</f>
        <v/>
      </c>
      <c r="BG72" s="886" t="n"/>
      <c r="BH72" s="105" t="n"/>
      <c r="BI72" s="885">
        <f>Planning!I65</f>
        <v/>
      </c>
      <c r="BJ72" s="885">
        <f>Planning!J65</f>
        <v/>
      </c>
      <c r="BK72" s="886" t="n"/>
      <c r="BL72" s="105" t="n"/>
      <c r="BM72" s="885">
        <f>Planning!M65</f>
        <v/>
      </c>
      <c r="BN72" s="885">
        <f>Planning!N65</f>
        <v/>
      </c>
      <c r="BO72" s="886" t="n"/>
      <c r="BP72" s="105" t="n"/>
      <c r="BQ72" s="885">
        <f>Planning!Q65</f>
        <v/>
      </c>
      <c r="BR72" s="885">
        <f>Planning!R65</f>
        <v/>
      </c>
      <c r="BS72" s="886" t="n"/>
      <c r="BT72" s="105" t="n"/>
      <c r="BU72" s="885">
        <f>Planning!U65</f>
        <v/>
      </c>
      <c r="BV72" s="885">
        <f>Planning!V65</f>
        <v/>
      </c>
      <c r="BW72" s="886" t="n"/>
      <c r="BX72" s="105" t="n"/>
      <c r="BY72" s="885">
        <f>Planning!Y65</f>
        <v/>
      </c>
      <c r="BZ72" s="885">
        <f>Planning!Z65</f>
        <v/>
      </c>
      <c r="CA72" s="886" t="n"/>
      <c r="CB72" s="105" t="n"/>
      <c r="CC72" s="885">
        <f>Planning!AC65</f>
        <v/>
      </c>
      <c r="CD72" s="885">
        <f>Planning!AD65</f>
        <v/>
      </c>
      <c r="CE72" s="886" t="n"/>
      <c r="CF72" s="105" t="n"/>
      <c r="CG72" s="887">
        <f>Planning!AG65</f>
        <v/>
      </c>
      <c r="CH72" s="105" t="n"/>
      <c r="CI72" s="252">
        <f>IF(BC72="","",Planning!AI65)</f>
        <v/>
      </c>
      <c r="CJ72" s="252">
        <f>IF(BC72="","",Planning!AJ65)</f>
        <v/>
      </c>
      <c r="CK72" s="252">
        <f>IF(BC72="","",Planning!AK65)</f>
        <v/>
      </c>
      <c r="CL72" s="252">
        <f>IF(BC72="","",Planning!AH65)</f>
        <v/>
      </c>
      <c r="CM72" s="21" t="n"/>
    </row>
    <row r="73" ht="13.5" customHeight="1">
      <c r="A73" s="159" t="n"/>
      <c r="B73" s="109" t="n"/>
      <c r="C73" s="109" t="n"/>
      <c r="D73" s="109" t="n"/>
      <c r="E73" s="109" t="n"/>
      <c r="F73" s="109" t="n"/>
      <c r="G73" s="109" t="n"/>
      <c r="H73" s="673" t="inlineStr">
        <is>
          <t>rh - Restant HB</t>
        </is>
      </c>
      <c r="I73" s="264" t="n"/>
      <c r="J73" s="264" t="n"/>
      <c r="K73" s="264" t="n"/>
      <c r="L73" s="264" t="n"/>
      <c r="M73" s="264" t="n"/>
      <c r="N73" s="264" t="n"/>
      <c r="O73" s="264" t="n"/>
      <c r="P73" s="901">
        <f>BA20</f>
        <v/>
      </c>
      <c r="Q73" s="866" t="n"/>
      <c r="R73" s="673" t="inlineStr">
        <is>
          <t>cb - Codeboek</t>
        </is>
      </c>
      <c r="S73" s="264" t="n"/>
      <c r="T73" s="264" t="n"/>
      <c r="U73" s="264" t="n"/>
      <c r="V73" s="264" t="n"/>
      <c r="W73" s="264" t="n"/>
      <c r="X73" s="264" t="n"/>
      <c r="Y73" s="264" t="n"/>
      <c r="Z73" s="675">
        <f>BA37</f>
        <v/>
      </c>
      <c r="AA73" s="264" t="n"/>
      <c r="AB73" s="907" t="inlineStr">
        <is>
          <t>wh - Winkelwagens halen</t>
        </is>
      </c>
      <c r="AC73" s="264" t="n"/>
      <c r="AD73" s="264" t="n"/>
      <c r="AE73" s="264" t="n"/>
      <c r="AF73" s="264" t="n"/>
      <c r="AG73" s="264" t="n"/>
      <c r="AH73" s="264" t="n"/>
      <c r="AI73" s="866" t="n"/>
      <c r="AJ73" s="901">
        <f>BA54</f>
        <v/>
      </c>
      <c r="AK73" s="866" t="n"/>
      <c r="AL73" s="47" t="n"/>
      <c r="AM73" s="47" t="n"/>
      <c r="AN73" s="47" t="n"/>
      <c r="AO73" s="47" t="n"/>
      <c r="AP73" s="47" t="n"/>
      <c r="AQ73" s="501" t="n"/>
      <c r="AR73" s="501" t="n"/>
      <c r="AS73" s="501" t="n"/>
      <c r="AT73" s="501" t="n"/>
      <c r="AU73" s="501" t="n"/>
      <c r="AV73" s="504" t="n"/>
      <c r="AW73" s="502" t="n"/>
      <c r="AX73" s="505" t="n"/>
      <c r="AY73" s="506" t="n"/>
      <c r="AZ73" s="501" t="n"/>
      <c r="BA73" s="263" t="n"/>
      <c r="BC73" s="31">
        <f>IF(Planning!B66="","",Planning!B66)</f>
        <v/>
      </c>
      <c r="BD73" s="105" t="n"/>
      <c r="BE73" s="885">
        <f>Planning!E66</f>
        <v/>
      </c>
      <c r="BF73" s="885">
        <f>Planning!F66</f>
        <v/>
      </c>
      <c r="BG73" s="886" t="n"/>
      <c r="BH73" s="105" t="n"/>
      <c r="BI73" s="885">
        <f>Planning!I66</f>
        <v/>
      </c>
      <c r="BJ73" s="885">
        <f>Planning!J66</f>
        <v/>
      </c>
      <c r="BK73" s="886" t="n"/>
      <c r="BL73" s="105" t="n"/>
      <c r="BM73" s="885">
        <f>Planning!M66</f>
        <v/>
      </c>
      <c r="BN73" s="885">
        <f>Planning!N66</f>
        <v/>
      </c>
      <c r="BO73" s="886" t="n"/>
      <c r="BP73" s="105" t="n"/>
      <c r="BQ73" s="885">
        <f>Planning!Q66</f>
        <v/>
      </c>
      <c r="BR73" s="885">
        <f>Planning!R66</f>
        <v/>
      </c>
      <c r="BS73" s="886" t="n"/>
      <c r="BT73" s="105" t="n"/>
      <c r="BU73" s="885">
        <f>Planning!U66</f>
        <v/>
      </c>
      <c r="BV73" s="885">
        <f>Planning!V66</f>
        <v/>
      </c>
      <c r="BW73" s="886" t="n"/>
      <c r="BX73" s="105" t="n"/>
      <c r="BY73" s="885">
        <f>Planning!Y66</f>
        <v/>
      </c>
      <c r="BZ73" s="885">
        <f>Planning!Z66</f>
        <v/>
      </c>
      <c r="CA73" s="886" t="n"/>
      <c r="CB73" s="105" t="n"/>
      <c r="CC73" s="885">
        <f>Planning!AC66</f>
        <v/>
      </c>
      <c r="CD73" s="885">
        <f>Planning!AD66</f>
        <v/>
      </c>
      <c r="CE73" s="886" t="n"/>
      <c r="CF73" s="105" t="n"/>
      <c r="CG73" s="887">
        <f>Planning!AG66</f>
        <v/>
      </c>
      <c r="CH73" s="105" t="n"/>
      <c r="CI73" s="252">
        <f>IF(BC73="","",Planning!AI66)</f>
        <v/>
      </c>
      <c r="CJ73" s="252">
        <f>IF(BC73="","",Planning!AJ66)</f>
        <v/>
      </c>
      <c r="CK73" s="252">
        <f>IF(BC73="","",Planning!AK66)</f>
        <v/>
      </c>
      <c r="CL73" s="252">
        <f>IF(BC73="","",Planning!AH66)</f>
        <v/>
      </c>
      <c r="CM73" s="21" t="n"/>
    </row>
    <row r="74" ht="13.5" customHeight="1">
      <c r="A74" s="159" t="n"/>
      <c r="B74" s="896" t="inlineStr">
        <is>
          <t>OBM's</t>
        </is>
      </c>
      <c r="C74" s="897" t="n"/>
      <c r="D74" s="862" t="n"/>
      <c r="E74" s="109" t="n"/>
      <c r="F74" s="109" t="n"/>
      <c r="G74" s="109" t="n"/>
      <c r="H74" s="673" t="inlineStr">
        <is>
          <t>rd - Restant DV</t>
        </is>
      </c>
      <c r="I74" s="264" t="n"/>
      <c r="J74" s="264" t="n"/>
      <c r="K74" s="264" t="n"/>
      <c r="L74" s="264" t="n"/>
      <c r="M74" s="264" t="n"/>
      <c r="N74" s="264" t="n"/>
      <c r="O74" s="264" t="n"/>
      <c r="P74" s="901">
        <f>BA21</f>
        <v/>
      </c>
      <c r="Q74" s="866" t="n"/>
      <c r="R74" s="673" t="inlineStr">
        <is>
          <t>nr - Naloopronde</t>
        </is>
      </c>
      <c r="S74" s="264" t="n"/>
      <c r="T74" s="264" t="n"/>
      <c r="U74" s="264" t="n"/>
      <c r="V74" s="264" t="n"/>
      <c r="W74" s="264" t="n"/>
      <c r="X74" s="264" t="n"/>
      <c r="Y74" s="264" t="n"/>
      <c r="Z74" s="675">
        <f>BA38</f>
        <v/>
      </c>
      <c r="AA74" s="264" t="n"/>
      <c r="AB74" s="907" t="inlineStr">
        <is>
          <t>wp - Weekplanning</t>
        </is>
      </c>
      <c r="AC74" s="264" t="n"/>
      <c r="AD74" s="264" t="n"/>
      <c r="AE74" s="264" t="n"/>
      <c r="AF74" s="264" t="n"/>
      <c r="AG74" s="264" t="n"/>
      <c r="AH74" s="264" t="n"/>
      <c r="AI74" s="866" t="n"/>
      <c r="AJ74" s="901">
        <f>BA55</f>
        <v/>
      </c>
      <c r="AK74" s="866" t="n"/>
      <c r="AL74" s="47" t="n"/>
      <c r="AM74" s="47" t="n"/>
      <c r="AN74" s="47" t="n"/>
      <c r="AO74" s="47" t="n"/>
      <c r="AP74" s="47" t="n"/>
      <c r="AQ74" s="501" t="n"/>
      <c r="AR74" s="501" t="n"/>
      <c r="AS74" s="501" t="n"/>
      <c r="AT74" s="501" t="n"/>
      <c r="AU74" s="501" t="n"/>
      <c r="AV74" s="504" t="n"/>
      <c r="AW74" s="502" t="n"/>
      <c r="AX74" s="505" t="n"/>
      <c r="AY74" s="263" t="n"/>
      <c r="AZ74" s="501" t="n"/>
      <c r="BA74" s="263" t="n"/>
      <c r="BC74" s="31">
        <f>IF(Planning!B67="","",Planning!B67)</f>
        <v/>
      </c>
      <c r="BD74" s="105" t="n"/>
      <c r="BE74" s="885">
        <f>Planning!E67</f>
        <v/>
      </c>
      <c r="BF74" s="885">
        <f>Planning!F67</f>
        <v/>
      </c>
      <c r="BG74" s="886" t="n"/>
      <c r="BH74" s="105" t="n"/>
      <c r="BI74" s="885">
        <f>Planning!I67</f>
        <v/>
      </c>
      <c r="BJ74" s="885">
        <f>Planning!J67</f>
        <v/>
      </c>
      <c r="BK74" s="886" t="n"/>
      <c r="BL74" s="105" t="n"/>
      <c r="BM74" s="885">
        <f>Planning!M67</f>
        <v/>
      </c>
      <c r="BN74" s="885">
        <f>Planning!N67</f>
        <v/>
      </c>
      <c r="BO74" s="886" t="n"/>
      <c r="BP74" s="105" t="n"/>
      <c r="BQ74" s="885">
        <f>Planning!Q67</f>
        <v/>
      </c>
      <c r="BR74" s="885">
        <f>Planning!R67</f>
        <v/>
      </c>
      <c r="BS74" s="886" t="n"/>
      <c r="BT74" s="105" t="n"/>
      <c r="BU74" s="885">
        <f>Planning!U67</f>
        <v/>
      </c>
      <c r="BV74" s="885">
        <f>Planning!V67</f>
        <v/>
      </c>
      <c r="BW74" s="886" t="n"/>
      <c r="BX74" s="105" t="n"/>
      <c r="BY74" s="885">
        <f>Planning!Y67</f>
        <v/>
      </c>
      <c r="BZ74" s="885">
        <f>Planning!Z67</f>
        <v/>
      </c>
      <c r="CA74" s="886" t="n"/>
      <c r="CB74" s="105" t="n"/>
      <c r="CC74" s="885">
        <f>Planning!AC67</f>
        <v/>
      </c>
      <c r="CD74" s="885">
        <f>Planning!AD67</f>
        <v/>
      </c>
      <c r="CE74" s="886" t="n"/>
      <c r="CF74" s="105" t="n"/>
      <c r="CG74" s="887">
        <f>Planning!AG67</f>
        <v/>
      </c>
      <c r="CH74" s="105" t="n"/>
      <c r="CI74" s="252">
        <f>IF(BC74="","",Planning!AI67)</f>
        <v/>
      </c>
      <c r="CJ74" s="252">
        <f>IF(BC74="","",Planning!AJ67)</f>
        <v/>
      </c>
      <c r="CK74" s="252">
        <f>IF(BC74="","",Planning!AK67)</f>
        <v/>
      </c>
      <c r="CL74" s="252">
        <f>IF(BC74="","",Planning!AH67)</f>
        <v/>
      </c>
      <c r="CM74" s="21" t="n"/>
    </row>
    <row r="75" ht="13.5" customHeight="1">
      <c r="A75" s="159" t="n"/>
      <c r="B75" s="442">
        <f>IFERROR(IF(COUNTIF(Instellingen!$S$40:$S$47,"")&gt;7,"",VLOOKUP(SMALL(Instellingen!$S$40:$S$47,1),Instellingen!$S$40:$T$47,2,FALSE)),"")</f>
        <v/>
      </c>
      <c r="C75" s="899">
        <f>IFERROR(IF(B75="","",VLOOKUP(B75,Instellingen!$B$40:$L$47,11,FALSE)),"")</f>
        <v/>
      </c>
      <c r="D75" s="862" t="n"/>
      <c r="E75" s="109" t="n"/>
      <c r="F75" s="109" t="n"/>
      <c r="G75" s="109" t="n"/>
      <c r="H75" s="673" t="inlineStr">
        <is>
          <t>rv - Restant Vers</t>
        </is>
      </c>
      <c r="I75" s="264" t="n"/>
      <c r="J75" s="264" t="n"/>
      <c r="K75" s="264" t="n"/>
      <c r="L75" s="264" t="n"/>
      <c r="M75" s="264" t="n"/>
      <c r="N75" s="264" t="n"/>
      <c r="O75" s="264" t="n"/>
      <c r="P75" s="901">
        <f>BA22</f>
        <v/>
      </c>
      <c r="Q75" s="866" t="n"/>
      <c r="R75" s="673" t="inlineStr">
        <is>
          <t>us - Vervallen artikelen</t>
        </is>
      </c>
      <c r="S75" s="264" t="n"/>
      <c r="T75" s="264" t="n"/>
      <c r="U75" s="264" t="n"/>
      <c r="V75" s="264" t="n"/>
      <c r="W75" s="264" t="n"/>
      <c r="X75" s="264" t="n"/>
      <c r="Y75" s="264" t="n"/>
      <c r="Z75" s="675">
        <f>BA39</f>
        <v/>
      </c>
      <c r="AA75" s="264" t="n"/>
      <c r="AB75" s="907" t="inlineStr">
        <is>
          <t>wv - Winkelverzorging</t>
        </is>
      </c>
      <c r="AC75" s="264" t="n"/>
      <c r="AD75" s="264" t="n"/>
      <c r="AE75" s="264" t="n"/>
      <c r="AF75" s="264" t="n"/>
      <c r="AG75" s="264" t="n"/>
      <c r="AH75" s="264" t="n"/>
      <c r="AI75" s="866" t="n"/>
      <c r="AJ75" s="901">
        <f>BA56</f>
        <v/>
      </c>
      <c r="AK75" s="866" t="n"/>
      <c r="AL75" s="47" t="n"/>
      <c r="AM75" s="47" t="n"/>
      <c r="AN75" s="47" t="n"/>
      <c r="AO75" s="47" t="n"/>
      <c r="AP75" s="47" t="n"/>
      <c r="AQ75" s="501" t="n"/>
      <c r="AR75" s="501" t="n"/>
      <c r="AS75" s="501" t="n"/>
      <c r="AT75" s="501" t="n"/>
      <c r="AU75" s="501" t="n"/>
      <c r="AV75" s="504" t="n"/>
      <c r="AW75" s="502" t="n"/>
      <c r="AX75" s="505" t="n"/>
      <c r="AY75" s="263" t="n"/>
      <c r="AZ75" s="501" t="n"/>
      <c r="BA75" s="263" t="n"/>
      <c r="BC75" s="31">
        <f>IF(Planning!B68="","",Planning!B68)</f>
        <v/>
      </c>
      <c r="BD75" s="105" t="n"/>
      <c r="BE75" s="885">
        <f>Planning!E68</f>
        <v/>
      </c>
      <c r="BF75" s="885">
        <f>Planning!F68</f>
        <v/>
      </c>
      <c r="BG75" s="886" t="n"/>
      <c r="BH75" s="105" t="n"/>
      <c r="BI75" s="885">
        <f>Planning!I68</f>
        <v/>
      </c>
      <c r="BJ75" s="885">
        <f>Planning!J68</f>
        <v/>
      </c>
      <c r="BK75" s="886" t="n"/>
      <c r="BL75" s="105" t="n"/>
      <c r="BM75" s="885">
        <f>Planning!M68</f>
        <v/>
      </c>
      <c r="BN75" s="885">
        <f>Planning!N68</f>
        <v/>
      </c>
      <c r="BO75" s="886" t="n"/>
      <c r="BP75" s="105" t="n"/>
      <c r="BQ75" s="885">
        <f>Planning!Q68</f>
        <v/>
      </c>
      <c r="BR75" s="885">
        <f>Planning!R68</f>
        <v/>
      </c>
      <c r="BS75" s="886" t="n"/>
      <c r="BT75" s="105" t="n"/>
      <c r="BU75" s="885">
        <f>Planning!U68</f>
        <v/>
      </c>
      <c r="BV75" s="885">
        <f>Planning!V68</f>
        <v/>
      </c>
      <c r="BW75" s="886" t="n"/>
      <c r="BX75" s="105" t="n"/>
      <c r="BY75" s="885">
        <f>Planning!Y68</f>
        <v/>
      </c>
      <c r="BZ75" s="885">
        <f>Planning!Z68</f>
        <v/>
      </c>
      <c r="CA75" s="886" t="n"/>
      <c r="CB75" s="105" t="n"/>
      <c r="CC75" s="885">
        <f>Planning!AC68</f>
        <v/>
      </c>
      <c r="CD75" s="885">
        <f>Planning!AD68</f>
        <v/>
      </c>
      <c r="CE75" s="886" t="n"/>
      <c r="CF75" s="105" t="n"/>
      <c r="CG75" s="887">
        <f>Planning!AG68</f>
        <v/>
      </c>
      <c r="CH75" s="105" t="n"/>
      <c r="CI75" s="252">
        <f>IF(BC75="","",Planning!AI68)</f>
        <v/>
      </c>
      <c r="CJ75" s="252">
        <f>IF(BC75="","",Planning!AJ68)</f>
        <v/>
      </c>
      <c r="CK75" s="252">
        <f>IF(BC75="","",Planning!AK68)</f>
        <v/>
      </c>
      <c r="CL75" s="252">
        <f>IF(BC75="","",Planning!AH68)</f>
        <v/>
      </c>
      <c r="CM75" s="21" t="n"/>
    </row>
    <row r="76" ht="13.5" customHeight="1">
      <c r="A76" s="159" t="n"/>
      <c r="B76" s="440">
        <f>IFERROR(IF(COUNTIF(Instellingen!$S$40:$S$47,"")&gt;6,"",VLOOKUP(SMALL(Instellingen!$S$40:$S$47,2),Instellingen!$S$40:$T$47,2,FALSE)),"")</f>
        <v/>
      </c>
      <c r="C76" s="902">
        <f>IFERROR(IF(B76="","",VLOOKUP(B76,Instellingen!$B$40:$L$47,11,FALSE)),"")</f>
        <v/>
      </c>
      <c r="D76" s="866" t="n"/>
      <c r="H76" s="900" t="inlineStr">
        <is>
          <t>Restant/Telproces</t>
        </is>
      </c>
      <c r="I76" s="883" t="n"/>
      <c r="J76" s="883" t="n"/>
      <c r="K76" s="883" t="n"/>
      <c r="L76" s="883" t="n"/>
      <c r="M76" s="883" t="n"/>
      <c r="N76" s="883" t="n"/>
      <c r="O76" s="883" t="n"/>
      <c r="P76" s="883" t="n"/>
      <c r="Q76" s="884" t="n"/>
      <c r="R76" s="673" t="inlineStr">
        <is>
          <t>ver - Vernietigen/Reststoffen</t>
        </is>
      </c>
      <c r="S76" s="264" t="n"/>
      <c r="T76" s="264" t="n"/>
      <c r="U76" s="264" t="n"/>
      <c r="V76" s="264" t="n"/>
      <c r="W76" s="264" t="n"/>
      <c r="X76" s="264" t="n"/>
      <c r="Y76" s="264" t="n"/>
      <c r="Z76" s="675">
        <f>BA40</f>
        <v/>
      </c>
      <c r="AA76" s="264" t="n"/>
      <c r="AB76" s="907">
        <f>IF(Instellingen!I7="ja","pup - Pick-Up-Point","")</f>
        <v/>
      </c>
      <c r="AC76" s="264" t="n"/>
      <c r="AD76" s="264" t="n"/>
      <c r="AE76" s="264" t="n"/>
      <c r="AF76" s="264" t="n"/>
      <c r="AG76" s="264" t="n"/>
      <c r="AH76" s="264" t="n"/>
      <c r="AI76" s="866" t="n"/>
      <c r="AJ76" s="901">
        <f>IF(Instellingen!I7="ja",BA57,"")</f>
        <v/>
      </c>
      <c r="AK76" s="866" t="n"/>
      <c r="AL76" s="47" t="n"/>
      <c r="AM76" s="47" t="n"/>
      <c r="AN76" s="47" t="n"/>
      <c r="AO76" s="47" t="n"/>
      <c r="AP76" s="47" t="n"/>
      <c r="AQ76" s="501" t="n"/>
      <c r="AR76" s="501" t="n"/>
      <c r="AS76" s="501" t="n"/>
      <c r="AT76" s="501" t="n"/>
      <c r="AU76" s="501" t="n"/>
      <c r="AV76" s="504" t="n"/>
      <c r="AW76" s="502" t="n"/>
      <c r="AX76" s="505" t="n"/>
      <c r="AY76" s="263" t="n"/>
      <c r="AZ76" s="501" t="n"/>
      <c r="BA76" s="263" t="n"/>
      <c r="BC76" s="31">
        <f>IF(Planning!B69="","",Planning!B69)</f>
        <v/>
      </c>
      <c r="BD76" s="105" t="n"/>
      <c r="BE76" s="885">
        <f>Planning!E69</f>
        <v/>
      </c>
      <c r="BF76" s="885">
        <f>Planning!F69</f>
        <v/>
      </c>
      <c r="BG76" s="886" t="n"/>
      <c r="BH76" s="105" t="n"/>
      <c r="BI76" s="885">
        <f>Planning!I69</f>
        <v/>
      </c>
      <c r="BJ76" s="885">
        <f>Planning!J69</f>
        <v/>
      </c>
      <c r="BK76" s="886" t="n"/>
      <c r="BL76" s="105" t="n"/>
      <c r="BM76" s="885">
        <f>Planning!M69</f>
        <v/>
      </c>
      <c r="BN76" s="885">
        <f>Planning!N69</f>
        <v/>
      </c>
      <c r="BO76" s="886" t="n"/>
      <c r="BP76" s="105" t="n"/>
      <c r="BQ76" s="885">
        <f>Planning!Q69</f>
        <v/>
      </c>
      <c r="BR76" s="885">
        <f>Planning!R69</f>
        <v/>
      </c>
      <c r="BS76" s="886" t="n"/>
      <c r="BT76" s="105" t="n"/>
      <c r="BU76" s="885">
        <f>Planning!U69</f>
        <v/>
      </c>
      <c r="BV76" s="885">
        <f>Planning!V69</f>
        <v/>
      </c>
      <c r="BW76" s="886" t="n"/>
      <c r="BX76" s="105" t="n"/>
      <c r="BY76" s="885">
        <f>Planning!Y69</f>
        <v/>
      </c>
      <c r="BZ76" s="885">
        <f>Planning!Z69</f>
        <v/>
      </c>
      <c r="CA76" s="886" t="n"/>
      <c r="CB76" s="105" t="n"/>
      <c r="CC76" s="885">
        <f>Planning!AC69</f>
        <v/>
      </c>
      <c r="CD76" s="885">
        <f>Planning!AD69</f>
        <v/>
      </c>
      <c r="CE76" s="886" t="n"/>
      <c r="CF76" s="105" t="n"/>
      <c r="CG76" s="887">
        <f>Planning!AG69</f>
        <v/>
      </c>
      <c r="CH76" s="105" t="n"/>
      <c r="CI76" s="252">
        <f>IF(BC76="","",Planning!AI69)</f>
        <v/>
      </c>
      <c r="CJ76" s="252">
        <f>IF(BC76="","",Planning!AJ69)</f>
        <v/>
      </c>
      <c r="CK76" s="252">
        <f>IF(BC76="","",Planning!AK69)</f>
        <v/>
      </c>
      <c r="CL76" s="252">
        <f>IF(BC76="","",Planning!AH69)</f>
        <v/>
      </c>
      <c r="CM76" s="21" t="n"/>
    </row>
    <row r="77" ht="13.5" customHeight="1">
      <c r="A77" s="159" t="n"/>
      <c r="B77" s="440">
        <f>IFERROR(IF(COUNTIF(Instellingen!$S$40:$S$47,"")&gt;5,"",VLOOKUP(SMALL(Instellingen!$S$40:$S$47,3),Instellingen!$S$40:$T$47,2,FALSE)),"")</f>
        <v/>
      </c>
      <c r="C77" s="902">
        <f>IFERROR(IF(B77="","",VLOOKUP(B77,Instellingen!$B$40:$L$47,11,FALSE)),"")</f>
        <v/>
      </c>
      <c r="D77" s="866" t="n"/>
      <c r="H77" s="673" t="inlineStr">
        <is>
          <t>br - Bepalen restant</t>
        </is>
      </c>
      <c r="I77" s="264" t="n"/>
      <c r="J77" s="264" t="n"/>
      <c r="K77" s="264" t="n"/>
      <c r="L77" s="264" t="n"/>
      <c r="M77" s="264" t="n"/>
      <c r="N77" s="264" t="n"/>
      <c r="O77" s="264" t="n"/>
      <c r="P77" s="901">
        <f>BA24</f>
        <v/>
      </c>
      <c r="Q77" s="866" t="n"/>
      <c r="R77" s="687" t="inlineStr">
        <is>
          <t>Promo/Presentatie</t>
        </is>
      </c>
      <c r="S77" s="883" t="n"/>
      <c r="T77" s="883" t="n"/>
      <c r="U77" s="883" t="n"/>
      <c r="V77" s="883" t="n"/>
      <c r="W77" s="883" t="n"/>
      <c r="X77" s="883" t="n"/>
      <c r="Y77" s="883" t="n"/>
      <c r="Z77" s="883" t="n"/>
      <c r="AA77" s="883" t="n"/>
      <c r="AB77" s="907">
        <f>IF(AY58="","",CONCATENATE(AY58," - ",AZ58))</f>
        <v/>
      </c>
      <c r="AC77" s="264" t="n"/>
      <c r="AD77" s="264" t="n"/>
      <c r="AE77" s="264" t="n"/>
      <c r="AF77" s="264" t="n"/>
      <c r="AG77" s="264" t="n"/>
      <c r="AH77" s="264" t="n"/>
      <c r="AI77" s="866" t="n"/>
      <c r="AJ77" s="901">
        <f>IF(AY58="","",BA58)</f>
        <v/>
      </c>
      <c r="AK77" s="866" t="n"/>
      <c r="AL77" s="47" t="n"/>
      <c r="AM77" s="47" t="n"/>
      <c r="AN77" s="47" t="n"/>
      <c r="AO77" s="47" t="n"/>
      <c r="AP77" s="47" t="n"/>
      <c r="AQ77" s="47" t="n"/>
      <c r="AR77" s="47" t="n"/>
      <c r="AS77" s="47" t="n"/>
      <c r="AT77" s="47" t="n"/>
      <c r="AU77" s="47" t="n"/>
      <c r="AV77" s="118" t="n"/>
      <c r="AW77" s="310" t="n"/>
      <c r="AX77" s="36" t="n"/>
      <c r="AY77" s="64" t="n"/>
      <c r="AZ77" s="838" t="n"/>
      <c r="BC77" s="31">
        <f>IF(Planning!B70="","",Planning!B70)</f>
        <v/>
      </c>
      <c r="BD77" s="105" t="n"/>
      <c r="BE77" s="885">
        <f>Planning!E70</f>
        <v/>
      </c>
      <c r="BF77" s="885">
        <f>Planning!F70</f>
        <v/>
      </c>
      <c r="BG77" s="886" t="n"/>
      <c r="BH77" s="105" t="n"/>
      <c r="BI77" s="885">
        <f>Planning!I70</f>
        <v/>
      </c>
      <c r="BJ77" s="885">
        <f>Planning!J70</f>
        <v/>
      </c>
      <c r="BK77" s="886" t="n"/>
      <c r="BL77" s="105" t="n"/>
      <c r="BM77" s="885">
        <f>Planning!M70</f>
        <v/>
      </c>
      <c r="BN77" s="885">
        <f>Planning!N70</f>
        <v/>
      </c>
      <c r="BO77" s="886" t="n"/>
      <c r="BP77" s="105" t="n"/>
      <c r="BQ77" s="885">
        <f>Planning!Q70</f>
        <v/>
      </c>
      <c r="BR77" s="885">
        <f>Planning!R70</f>
        <v/>
      </c>
      <c r="BS77" s="886" t="n"/>
      <c r="BT77" s="105" t="n"/>
      <c r="BU77" s="885">
        <f>Planning!U70</f>
        <v/>
      </c>
      <c r="BV77" s="885">
        <f>Planning!V70</f>
        <v/>
      </c>
      <c r="BW77" s="886" t="n"/>
      <c r="BX77" s="105" t="n"/>
      <c r="BY77" s="885">
        <f>Planning!Y70</f>
        <v/>
      </c>
      <c r="BZ77" s="885">
        <f>Planning!Z70</f>
        <v/>
      </c>
      <c r="CA77" s="886" t="n"/>
      <c r="CB77" s="105" t="n"/>
      <c r="CC77" s="885">
        <f>Planning!AC70</f>
        <v/>
      </c>
      <c r="CD77" s="885">
        <f>Planning!AD70</f>
        <v/>
      </c>
      <c r="CE77" s="886" t="n"/>
      <c r="CF77" s="105" t="n"/>
      <c r="CG77" s="887">
        <f>Planning!AG70</f>
        <v/>
      </c>
      <c r="CH77" s="105" t="n"/>
      <c r="CI77" s="252">
        <f>IF(BC77="","",Planning!AI70)</f>
        <v/>
      </c>
      <c r="CJ77" s="252">
        <f>IF(BC77="","",Planning!AJ70)</f>
        <v/>
      </c>
      <c r="CK77" s="252">
        <f>IF(BC77="","",Planning!AK70)</f>
        <v/>
      </c>
      <c r="CL77" s="252">
        <f>IF(BC77="","",Planning!AH70)</f>
        <v/>
      </c>
      <c r="CM77" s="21" t="n"/>
    </row>
    <row r="78" ht="13.5" customHeight="1">
      <c r="A78" s="159" t="n"/>
      <c r="B78" s="440">
        <f>IFERROR(IF(COUNTIF(Instellingen!$S$40:$S$47,"")&gt;4,"",VLOOKUP(SMALL(Instellingen!$S$40:$S$47,4),Instellingen!$S$40:$T$47,2,FALSE)),"")</f>
        <v/>
      </c>
      <c r="C78" s="902">
        <f>IFERROR(IF(B78="","",VLOOKUP(B78,Instellingen!$B$40:$L$47,11,FALSE)),"")</f>
        <v/>
      </c>
      <c r="D78" s="866" t="n"/>
      <c r="H78" s="673" t="inlineStr">
        <is>
          <t>bl - Bepalen langrestant</t>
        </is>
      </c>
      <c r="I78" s="264" t="n"/>
      <c r="J78" s="264" t="n"/>
      <c r="K78" s="264" t="n"/>
      <c r="L78" s="264" t="n"/>
      <c r="M78" s="264" t="n"/>
      <c r="N78" s="264" t="n"/>
      <c r="O78" s="264" t="n"/>
      <c r="P78" s="901">
        <f>BA25</f>
        <v/>
      </c>
      <c r="Q78" s="866" t="n"/>
      <c r="R78" s="673" t="inlineStr">
        <is>
          <t>act - Actieopbouw</t>
        </is>
      </c>
      <c r="S78" s="264" t="n"/>
      <c r="T78" s="264" t="n"/>
      <c r="U78" s="264" t="n"/>
      <c r="V78" s="264" t="n"/>
      <c r="W78" s="264" t="n"/>
      <c r="X78" s="264" t="n"/>
      <c r="Y78" s="264" t="n"/>
      <c r="Z78" s="675">
        <f>BA42</f>
        <v/>
      </c>
      <c r="AA78" s="264" t="n"/>
      <c r="AB78" s="907">
        <f>IF(AY59="","",CONCATENATE(AY59," - ",AZ59))</f>
        <v/>
      </c>
      <c r="AC78" s="264" t="n"/>
      <c r="AD78" s="264" t="n"/>
      <c r="AE78" s="264" t="n"/>
      <c r="AF78" s="264" t="n"/>
      <c r="AG78" s="264" t="n"/>
      <c r="AH78" s="264" t="n"/>
      <c r="AI78" s="866" t="n"/>
      <c r="AJ78" s="901">
        <f>IF(AY59="","",BA59)</f>
        <v/>
      </c>
      <c r="AK78" s="866" t="n"/>
      <c r="AL78" s="47" t="n"/>
      <c r="AM78" s="47" t="n"/>
      <c r="AN78" s="47" t="n"/>
      <c r="AO78" s="47" t="n"/>
      <c r="AP78" s="47" t="n"/>
      <c r="AQ78" s="47" t="n"/>
      <c r="AR78" s="47" t="n"/>
      <c r="AS78" s="47" t="n"/>
      <c r="AT78" s="47" t="n"/>
      <c r="AU78" s="47" t="n"/>
      <c r="AV78" s="118" t="n"/>
      <c r="AW78" s="310" t="n"/>
      <c r="AX78" s="36" t="n"/>
      <c r="AY78" s="64" t="n"/>
      <c r="AZ78" s="838" t="n"/>
      <c r="BC78" s="31">
        <f>IF(Planning!B71="","",Planning!B71)</f>
        <v/>
      </c>
      <c r="BD78" s="105" t="n"/>
      <c r="BE78" s="885">
        <f>Planning!E71</f>
        <v/>
      </c>
      <c r="BF78" s="885">
        <f>Planning!F71</f>
        <v/>
      </c>
      <c r="BG78" s="886" t="n"/>
      <c r="BH78" s="105" t="n"/>
      <c r="BI78" s="885">
        <f>Planning!I71</f>
        <v/>
      </c>
      <c r="BJ78" s="885">
        <f>Planning!J71</f>
        <v/>
      </c>
      <c r="BK78" s="886" t="n"/>
      <c r="BL78" s="105" t="n"/>
      <c r="BM78" s="885">
        <f>Planning!M71</f>
        <v/>
      </c>
      <c r="BN78" s="885">
        <f>Planning!N71</f>
        <v/>
      </c>
      <c r="BO78" s="886" t="n"/>
      <c r="BP78" s="105" t="n"/>
      <c r="BQ78" s="885">
        <f>Planning!Q71</f>
        <v/>
      </c>
      <c r="BR78" s="885">
        <f>Planning!R71</f>
        <v/>
      </c>
      <c r="BS78" s="886" t="n"/>
      <c r="BT78" s="105" t="n"/>
      <c r="BU78" s="885">
        <f>Planning!U71</f>
        <v/>
      </c>
      <c r="BV78" s="885">
        <f>Planning!V71</f>
        <v/>
      </c>
      <c r="BW78" s="886" t="n"/>
      <c r="BX78" s="105" t="n"/>
      <c r="BY78" s="885">
        <f>Planning!Y71</f>
        <v/>
      </c>
      <c r="BZ78" s="885">
        <f>Planning!Z71</f>
        <v/>
      </c>
      <c r="CA78" s="886" t="n"/>
      <c r="CB78" s="105" t="n"/>
      <c r="CC78" s="885">
        <f>Planning!AC71</f>
        <v/>
      </c>
      <c r="CD78" s="885">
        <f>Planning!AD71</f>
        <v/>
      </c>
      <c r="CE78" s="886" t="n"/>
      <c r="CF78" s="105" t="n"/>
      <c r="CG78" s="887">
        <f>Planning!AG71</f>
        <v/>
      </c>
      <c r="CH78" s="105" t="n"/>
      <c r="CI78" s="252">
        <f>IF(BC78="","",Planning!AI71)</f>
        <v/>
      </c>
      <c r="CJ78" s="252">
        <f>IF(BC78="","",Planning!AJ71)</f>
        <v/>
      </c>
      <c r="CK78" s="252">
        <f>IF(BC78="","",Planning!AK71)</f>
        <v/>
      </c>
      <c r="CL78" s="252">
        <f>IF(BC78="","",Planning!AH71)</f>
        <v/>
      </c>
      <c r="CM78" s="21" t="n"/>
    </row>
    <row r="79" ht="13.5" customHeight="1">
      <c r="A79" s="159" t="n"/>
      <c r="B79" s="440">
        <f>IFERROR(IF(COUNTIF(Instellingen!$S$40:$S$47,"")&gt;3,"",VLOOKUP(SMALL(Instellingen!$S$40:$S$47,5),Instellingen!$S$40:$T$47,2,FALSE)),"")</f>
        <v/>
      </c>
      <c r="C79" s="902">
        <f>IFERROR(IF(B79="","",VLOOKUP(B79,Instellingen!$B$40:$L$47,11,FALSE)),"")</f>
        <v/>
      </c>
      <c r="D79" s="866" t="n"/>
      <c r="H79" s="673" t="inlineStr">
        <is>
          <t>hl - Hardlopers vullen</t>
        </is>
      </c>
      <c r="I79" s="264" t="n"/>
      <c r="J79" s="264" t="n"/>
      <c r="K79" s="264" t="n"/>
      <c r="L79" s="264" t="n"/>
      <c r="M79" s="264" t="n"/>
      <c r="N79" s="264" t="n"/>
      <c r="O79" s="264" t="n"/>
      <c r="P79" s="901">
        <f>BA26</f>
        <v/>
      </c>
      <c r="Q79" s="866" t="n"/>
      <c r="R79" s="673" t="inlineStr">
        <is>
          <t>com - Comco sorteren</t>
        </is>
      </c>
      <c r="S79" s="264" t="n"/>
      <c r="T79" s="264" t="n"/>
      <c r="U79" s="264" t="n"/>
      <c r="V79" s="264" t="n"/>
      <c r="W79" s="264" t="n"/>
      <c r="X79" s="264" t="n"/>
      <c r="Y79" s="264" t="n"/>
      <c r="Z79" s="675">
        <f>BA43</f>
        <v/>
      </c>
      <c r="AA79" s="264" t="n"/>
      <c r="AB79" s="907">
        <f>IF(AY60="","",CONCATENATE(AY60," - ",AZ60))</f>
        <v/>
      </c>
      <c r="AC79" s="264" t="n"/>
      <c r="AD79" s="264" t="n"/>
      <c r="AE79" s="264" t="n"/>
      <c r="AF79" s="264" t="n"/>
      <c r="AG79" s="264" t="n"/>
      <c r="AH79" s="264" t="n"/>
      <c r="AI79" s="866" t="n"/>
      <c r="AJ79" s="901">
        <f>IF(AY60="","",BA60)</f>
        <v/>
      </c>
      <c r="AK79" s="866" t="n"/>
      <c r="AL79" s="47" t="n"/>
      <c r="AM79" s="47" t="n"/>
      <c r="AN79" s="47" t="n"/>
      <c r="AO79" s="47" t="n"/>
      <c r="AP79" s="47" t="n"/>
      <c r="AQ79" s="47" t="n"/>
      <c r="AR79" s="47" t="n"/>
      <c r="AS79" s="47" t="n"/>
      <c r="AT79" s="47" t="n"/>
      <c r="AU79" s="47" t="n"/>
      <c r="AV79" s="118" t="n"/>
      <c r="AW79" s="310" t="n"/>
      <c r="AX79" s="36" t="n"/>
      <c r="AY79" s="64" t="n"/>
      <c r="AZ79" s="838" t="n"/>
      <c r="BC79" s="31">
        <f>IF(Planning!B72="","",Planning!B72)</f>
        <v/>
      </c>
      <c r="BD79" s="105" t="n"/>
      <c r="BE79" s="885">
        <f>Planning!E72</f>
        <v/>
      </c>
      <c r="BF79" s="885">
        <f>Planning!F72</f>
        <v/>
      </c>
      <c r="BG79" s="886" t="n"/>
      <c r="BH79" s="105" t="n"/>
      <c r="BI79" s="885">
        <f>Planning!I72</f>
        <v/>
      </c>
      <c r="BJ79" s="885">
        <f>Planning!J72</f>
        <v/>
      </c>
      <c r="BK79" s="886" t="n"/>
      <c r="BL79" s="105" t="n"/>
      <c r="BM79" s="885">
        <f>Planning!M72</f>
        <v/>
      </c>
      <c r="BN79" s="885">
        <f>Planning!N72</f>
        <v/>
      </c>
      <c r="BO79" s="886" t="n"/>
      <c r="BP79" s="105" t="n"/>
      <c r="BQ79" s="885">
        <f>Planning!Q72</f>
        <v/>
      </c>
      <c r="BR79" s="885">
        <f>Planning!R72</f>
        <v/>
      </c>
      <c r="BS79" s="886" t="n"/>
      <c r="BT79" s="105" t="n"/>
      <c r="BU79" s="885">
        <f>Planning!U72</f>
        <v/>
      </c>
      <c r="BV79" s="885">
        <f>Planning!V72</f>
        <v/>
      </c>
      <c r="BW79" s="886" t="n"/>
      <c r="BX79" s="105" t="n"/>
      <c r="BY79" s="885">
        <f>Planning!Y72</f>
        <v/>
      </c>
      <c r="BZ79" s="885">
        <f>Planning!Z72</f>
        <v/>
      </c>
      <c r="CA79" s="886" t="n"/>
      <c r="CB79" s="105" t="n"/>
      <c r="CC79" s="885">
        <f>Planning!AC72</f>
        <v/>
      </c>
      <c r="CD79" s="885">
        <f>Planning!AD72</f>
        <v/>
      </c>
      <c r="CE79" s="886" t="n"/>
      <c r="CF79" s="105" t="n"/>
      <c r="CG79" s="887">
        <f>Planning!AG72</f>
        <v/>
      </c>
      <c r="CH79" s="105" t="n"/>
      <c r="CI79" s="252">
        <f>IF(BC79="","",Planning!AI72)</f>
        <v/>
      </c>
      <c r="CJ79" s="252">
        <f>IF(BC79="","",Planning!AJ72)</f>
        <v/>
      </c>
      <c r="CK79" s="252">
        <f>IF(BC79="","",Planning!AK72)</f>
        <v/>
      </c>
      <c r="CL79" s="252">
        <f>IF(BC79="","",Planning!AH72)</f>
        <v/>
      </c>
      <c r="CM79" s="21" t="n"/>
    </row>
    <row r="80" ht="13.5" customHeight="1">
      <c r="A80" s="159" t="n"/>
      <c r="B80" s="251">
        <f>IFERROR(IF(COUNTIF(Instellingen!$S$40:$S$47,"")&gt;2,"",VLOOKUP(SMALL(Instellingen!$S$40:$S$47,6),Instellingen!$S$40:$T$47,2,FALSE)),"")</f>
        <v/>
      </c>
      <c r="C80" s="902">
        <f>IFERROR(IF(B80="","",VLOOKUP(B80,Instellingen!$B$40:$L$47,11,FALSE)),"")</f>
        <v/>
      </c>
      <c r="D80" s="866" t="n"/>
      <c r="H80" s="673" t="inlineStr">
        <is>
          <t>lhb - Neeverkoop HB</t>
        </is>
      </c>
      <c r="I80" s="264" t="n"/>
      <c r="J80" s="264" t="n"/>
      <c r="K80" s="264" t="n"/>
      <c r="L80" s="264" t="n"/>
      <c r="M80" s="264" t="n"/>
      <c r="N80" s="264" t="n"/>
      <c r="O80" s="264" t="n"/>
      <c r="P80" s="901">
        <f>BA27</f>
        <v/>
      </c>
      <c r="Q80" s="866" t="n"/>
      <c r="R80" s="673" t="inlineStr">
        <is>
          <t>pro - Promotie</t>
        </is>
      </c>
      <c r="S80" s="264" t="n"/>
      <c r="T80" s="264" t="n"/>
      <c r="U80" s="264" t="n"/>
      <c r="V80" s="264" t="n"/>
      <c r="W80" s="264" t="n"/>
      <c r="X80" s="264" t="n"/>
      <c r="Y80" s="264" t="n"/>
      <c r="Z80" s="675">
        <f>BA44</f>
        <v/>
      </c>
      <c r="AA80" s="264" t="n"/>
      <c r="AB80" s="909">
        <f>IF(BA61=0,"","Taken zonder legenda")</f>
        <v/>
      </c>
      <c r="AC80" s="264" t="n"/>
      <c r="AD80" s="264" t="n"/>
      <c r="AE80" s="264" t="n"/>
      <c r="AF80" s="264" t="n"/>
      <c r="AG80" s="264" t="n"/>
      <c r="AH80" s="264" t="n"/>
      <c r="AI80" s="866" t="n"/>
      <c r="AJ80" s="910">
        <f>IF(BA61=0,"",BA61)</f>
        <v/>
      </c>
      <c r="AK80" s="866" t="n"/>
      <c r="AL80" s="47" t="n"/>
      <c r="AM80" s="47" t="n"/>
      <c r="AN80" s="47" t="n"/>
      <c r="AO80" s="47" t="n"/>
      <c r="AP80" s="47" t="n"/>
      <c r="AQ80" s="47" t="n"/>
      <c r="AR80" s="47" t="n"/>
      <c r="AS80" s="47" t="n"/>
      <c r="AT80" s="47" t="n"/>
      <c r="AU80" s="47" t="n"/>
      <c r="AV80" s="118" t="n"/>
      <c r="AW80" s="310" t="n"/>
      <c r="AX80" s="36" t="n"/>
      <c r="AY80" s="64" t="n"/>
      <c r="AZ80" s="838" t="n"/>
      <c r="BC80" s="31">
        <f>IF(Planning!B73="","",Planning!B73)</f>
        <v/>
      </c>
      <c r="BD80" s="105" t="n"/>
      <c r="BE80" s="885">
        <f>Planning!E73</f>
        <v/>
      </c>
      <c r="BF80" s="885">
        <f>Planning!F73</f>
        <v/>
      </c>
      <c r="BG80" s="886" t="n"/>
      <c r="BH80" s="105" t="n"/>
      <c r="BI80" s="885">
        <f>Planning!I73</f>
        <v/>
      </c>
      <c r="BJ80" s="885">
        <f>Planning!J73</f>
        <v/>
      </c>
      <c r="BK80" s="886" t="n"/>
      <c r="BL80" s="105" t="n"/>
      <c r="BM80" s="885">
        <f>Planning!M73</f>
        <v/>
      </c>
      <c r="BN80" s="885">
        <f>Planning!N73</f>
        <v/>
      </c>
      <c r="BO80" s="886" t="n"/>
      <c r="BP80" s="105" t="n"/>
      <c r="BQ80" s="885">
        <f>Planning!Q73</f>
        <v/>
      </c>
      <c r="BR80" s="885">
        <f>Planning!R73</f>
        <v/>
      </c>
      <c r="BS80" s="886" t="n"/>
      <c r="BT80" s="105" t="n"/>
      <c r="BU80" s="885">
        <f>Planning!U73</f>
        <v/>
      </c>
      <c r="BV80" s="885">
        <f>Planning!V73</f>
        <v/>
      </c>
      <c r="BW80" s="886" t="n"/>
      <c r="BX80" s="105" t="n"/>
      <c r="BY80" s="885">
        <f>Planning!Y73</f>
        <v/>
      </c>
      <c r="BZ80" s="885">
        <f>Planning!Z73</f>
        <v/>
      </c>
      <c r="CA80" s="886" t="n"/>
      <c r="CB80" s="105" t="n"/>
      <c r="CC80" s="885">
        <f>Planning!AC73</f>
        <v/>
      </c>
      <c r="CD80" s="885">
        <f>Planning!AD73</f>
        <v/>
      </c>
      <c r="CE80" s="886" t="n"/>
      <c r="CF80" s="105" t="n"/>
      <c r="CG80" s="887">
        <f>Planning!AG73</f>
        <v/>
      </c>
      <c r="CH80" s="105" t="n"/>
      <c r="CI80" s="252">
        <f>IF(BC80="","",Planning!AI73)</f>
        <v/>
      </c>
      <c r="CJ80" s="252">
        <f>IF(BC80="","",Planning!AJ73)</f>
        <v/>
      </c>
      <c r="CK80" s="252">
        <f>IF(BC80="","",Planning!AK73)</f>
        <v/>
      </c>
      <c r="CL80" s="252">
        <f>IF(BC80="","",Planning!AH73)</f>
        <v/>
      </c>
      <c r="CM80" s="21" t="n"/>
    </row>
    <row r="81" ht="13.5" customHeight="1">
      <c r="A81" s="159" t="n"/>
      <c r="B81" s="440">
        <f>IFERROR(IF(COUNTIF(Instellingen!$S$40:$S$47,"")&gt;1,"",VLOOKUP(SMALL(Instellingen!$S$40:$S$47,7),Instellingen!$S$40:$T$47,2,FALSE)),"")</f>
        <v/>
      </c>
      <c r="C81" s="902">
        <f>IFERROR(IF(B81="","",VLOOKUP(B81,Instellingen!$B$40:$L$47,11,FALSE)),"")</f>
        <v/>
      </c>
      <c r="D81" s="866" t="n"/>
      <c r="H81" s="673" t="inlineStr">
        <is>
          <t>ldv - Neeverkoop DV</t>
        </is>
      </c>
      <c r="I81" s="264" t="n"/>
      <c r="J81" s="264" t="n"/>
      <c r="K81" s="264" t="n"/>
      <c r="L81" s="264" t="n"/>
      <c r="M81" s="264" t="n"/>
      <c r="N81" s="264" t="n"/>
      <c r="O81" s="264" t="n"/>
      <c r="P81" s="901">
        <f>BA28</f>
        <v/>
      </c>
      <c r="Q81" s="866" t="n"/>
      <c r="R81" s="673" t="inlineStr">
        <is>
          <t>pw - Prijswijzigingen</t>
        </is>
      </c>
      <c r="S81" s="264" t="n"/>
      <c r="T81" s="264" t="n"/>
      <c r="U81" s="264" t="n"/>
      <c r="V81" s="264" t="n"/>
      <c r="W81" s="264" t="n"/>
      <c r="X81" s="264" t="n"/>
      <c r="Y81" s="264" t="n"/>
      <c r="Z81" s="675">
        <f>BA45</f>
        <v/>
      </c>
      <c r="AA81" s="264" t="n"/>
      <c r="AB81" s="911" t="inlineStr">
        <is>
          <t>p - Pauze (onbetaald)</t>
        </is>
      </c>
      <c r="AC81" s="264" t="n"/>
      <c r="AD81" s="264" t="n"/>
      <c r="AE81" s="264" t="n"/>
      <c r="AF81" s="264" t="n"/>
      <c r="AG81" s="264" t="n"/>
      <c r="AH81" s="264" t="n"/>
      <c r="AI81" s="866" t="n"/>
      <c r="AJ81" s="912">
        <f>BA62</f>
        <v/>
      </c>
      <c r="AK81" s="866" t="n"/>
      <c r="AL81" s="47" t="n"/>
      <c r="AM81" s="47" t="n"/>
      <c r="AN81" s="47" t="n"/>
      <c r="AO81" s="47" t="n"/>
      <c r="AP81" s="47" t="n"/>
      <c r="AQ81" s="47" t="n"/>
      <c r="AR81" s="47" t="n"/>
      <c r="AS81" s="47" t="n"/>
      <c r="AT81" s="47" t="n"/>
      <c r="AU81" s="47" t="n"/>
      <c r="AV81" s="118" t="n"/>
      <c r="AW81" s="310" t="n"/>
      <c r="AX81" s="36" t="n"/>
      <c r="AY81" s="64" t="n"/>
      <c r="AZ81" s="838" t="n"/>
      <c r="BC81" s="31">
        <f>IF(Planning!B74="","",Planning!B74)</f>
        <v/>
      </c>
      <c r="BD81" s="105" t="n"/>
      <c r="BE81" s="885">
        <f>Planning!E74</f>
        <v/>
      </c>
      <c r="BF81" s="885">
        <f>Planning!F74</f>
        <v/>
      </c>
      <c r="BG81" s="886" t="n"/>
      <c r="BH81" s="105" t="n"/>
      <c r="BI81" s="885">
        <f>Planning!I74</f>
        <v/>
      </c>
      <c r="BJ81" s="885">
        <f>Planning!J74</f>
        <v/>
      </c>
      <c r="BK81" s="886" t="n"/>
      <c r="BL81" s="105" t="n"/>
      <c r="BM81" s="885">
        <f>Planning!M74</f>
        <v/>
      </c>
      <c r="BN81" s="885">
        <f>Planning!N74</f>
        <v/>
      </c>
      <c r="BO81" s="886" t="n"/>
      <c r="BP81" s="105" t="n"/>
      <c r="BQ81" s="885">
        <f>Planning!Q74</f>
        <v/>
      </c>
      <c r="BR81" s="885">
        <f>Planning!R74</f>
        <v/>
      </c>
      <c r="BS81" s="886" t="n"/>
      <c r="BT81" s="105" t="n"/>
      <c r="BU81" s="885">
        <f>Planning!U74</f>
        <v/>
      </c>
      <c r="BV81" s="885">
        <f>Planning!V74</f>
        <v/>
      </c>
      <c r="BW81" s="886" t="n"/>
      <c r="BX81" s="105" t="n"/>
      <c r="BY81" s="885">
        <f>Planning!Y74</f>
        <v/>
      </c>
      <c r="BZ81" s="885">
        <f>Planning!Z74</f>
        <v/>
      </c>
      <c r="CA81" s="886" t="n"/>
      <c r="CB81" s="105" t="n"/>
      <c r="CC81" s="885">
        <f>Planning!AC74</f>
        <v/>
      </c>
      <c r="CD81" s="885">
        <f>Planning!AD74</f>
        <v/>
      </c>
      <c r="CE81" s="886" t="n"/>
      <c r="CF81" s="105" t="n"/>
      <c r="CG81" s="887">
        <f>Planning!AG74</f>
        <v/>
      </c>
      <c r="CH81" s="105" t="n"/>
      <c r="CI81" s="252">
        <f>IF(BC81="","",Planning!AI74)</f>
        <v/>
      </c>
      <c r="CJ81" s="252">
        <f>IF(BC81="","",Planning!AJ74)</f>
        <v/>
      </c>
      <c r="CK81" s="252">
        <f>IF(BC81="","",Planning!AK74)</f>
        <v/>
      </c>
      <c r="CL81" s="252">
        <f>IF(BC81="","",Planning!AH74)</f>
        <v/>
      </c>
      <c r="CM81" s="21" t="n"/>
    </row>
    <row r="82" ht="13.5" customHeight="1">
      <c r="A82" s="159" t="n"/>
      <c r="B82" s="441">
        <f>IFERROR(IF(COUNTIF(Instellingen!$S$40:$S$47,"")&gt;0,"",VLOOKUP(SMALL(Instellingen!$S$40:$S$47,8),Instellingen!$S$40:$T$47,2,FALSE)),"")</f>
        <v/>
      </c>
      <c r="C82" s="908">
        <f>IFERROR(IF(B82="","",VLOOKUP(B82,Instellingen!$B$40:$L$47,11,FALSE)),"")</f>
        <v/>
      </c>
      <c r="D82" s="869" t="n"/>
      <c r="H82" s="661" t="inlineStr">
        <is>
          <t>lvv - Neeverkoop Vers</t>
        </is>
      </c>
      <c r="I82" s="906" t="n"/>
      <c r="J82" s="906" t="n"/>
      <c r="K82" s="906" t="n"/>
      <c r="L82" s="906" t="n"/>
      <c r="M82" s="906" t="n"/>
      <c r="N82" s="906" t="n"/>
      <c r="O82" s="906" t="n"/>
      <c r="P82" s="913">
        <f>BA29</f>
        <v/>
      </c>
      <c r="Q82" s="869" t="n"/>
      <c r="R82" s="661" t="inlineStr">
        <is>
          <t>wap - WAP uitvoeren</t>
        </is>
      </c>
      <c r="S82" s="906" t="n"/>
      <c r="T82" s="906" t="n"/>
      <c r="U82" s="906" t="n"/>
      <c r="V82" s="906" t="n"/>
      <c r="W82" s="906" t="n"/>
      <c r="X82" s="906" t="n"/>
      <c r="Y82" s="906" t="n"/>
      <c r="Z82" s="663">
        <f>BA46</f>
        <v/>
      </c>
      <c r="AA82" s="906" t="n"/>
      <c r="AB82" s="914" t="inlineStr">
        <is>
          <t>afw - Afwezig / ziek</t>
        </is>
      </c>
      <c r="AC82" s="906" t="n"/>
      <c r="AD82" s="906" t="n"/>
      <c r="AE82" s="906" t="n"/>
      <c r="AF82" s="906" t="n"/>
      <c r="AG82" s="906" t="n"/>
      <c r="AH82" s="906" t="n"/>
      <c r="AI82" s="869" t="n"/>
      <c r="AJ82" s="915">
        <f>BA63</f>
        <v/>
      </c>
      <c r="AK82" s="869" t="n"/>
      <c r="AL82" s="47" t="n"/>
      <c r="AM82" s="47" t="n"/>
      <c r="AN82" s="47" t="n"/>
      <c r="AO82" s="47" t="n"/>
      <c r="AP82" s="47" t="n"/>
      <c r="AQ82" s="47" t="n"/>
      <c r="AR82" s="47" t="n"/>
      <c r="AS82" s="47" t="n"/>
      <c r="AT82" s="47" t="n"/>
      <c r="AU82" s="47" t="n"/>
      <c r="AV82" s="118" t="n"/>
      <c r="AW82" s="310" t="n"/>
      <c r="AX82" s="36" t="n"/>
      <c r="AY82" s="64" t="n"/>
      <c r="AZ82" s="838" t="n"/>
      <c r="BC82" s="31">
        <f>IF(Planning!B75="","",Planning!B75)</f>
        <v/>
      </c>
      <c r="BD82" s="105" t="n"/>
      <c r="BE82" s="885">
        <f>Planning!E75</f>
        <v/>
      </c>
      <c r="BF82" s="885">
        <f>Planning!F75</f>
        <v/>
      </c>
      <c r="BG82" s="886" t="n"/>
      <c r="BH82" s="105" t="n"/>
      <c r="BI82" s="885">
        <f>Planning!I75</f>
        <v/>
      </c>
      <c r="BJ82" s="885">
        <f>Planning!J75</f>
        <v/>
      </c>
      <c r="BK82" s="886" t="n"/>
      <c r="BL82" s="105" t="n"/>
      <c r="BM82" s="885">
        <f>Planning!M75</f>
        <v/>
      </c>
      <c r="BN82" s="885">
        <f>Planning!N75</f>
        <v/>
      </c>
      <c r="BO82" s="886" t="n"/>
      <c r="BP82" s="105" t="n"/>
      <c r="BQ82" s="885">
        <f>Planning!Q75</f>
        <v/>
      </c>
      <c r="BR82" s="885">
        <f>Planning!R75</f>
        <v/>
      </c>
      <c r="BS82" s="886" t="n"/>
      <c r="BT82" s="105" t="n"/>
      <c r="BU82" s="885">
        <f>Planning!U75</f>
        <v/>
      </c>
      <c r="BV82" s="885">
        <f>Planning!V75</f>
        <v/>
      </c>
      <c r="BW82" s="886" t="n"/>
      <c r="BX82" s="105" t="n"/>
      <c r="BY82" s="885">
        <f>Planning!Y75</f>
        <v/>
      </c>
      <c r="BZ82" s="885">
        <f>Planning!Z75</f>
        <v/>
      </c>
      <c r="CA82" s="886" t="n"/>
      <c r="CB82" s="105" t="n"/>
      <c r="CC82" s="885">
        <f>Planning!AC75</f>
        <v/>
      </c>
      <c r="CD82" s="885">
        <f>Planning!AD75</f>
        <v/>
      </c>
      <c r="CE82" s="886" t="n"/>
      <c r="CF82" s="105" t="n"/>
      <c r="CG82" s="887">
        <f>Planning!AG75</f>
        <v/>
      </c>
      <c r="CH82" s="105" t="n"/>
      <c r="CI82" s="252">
        <f>IF(BC82="","",Planning!AI75)</f>
        <v/>
      </c>
      <c r="CJ82" s="252">
        <f>IF(BC82="","",Planning!AJ75)</f>
        <v/>
      </c>
      <c r="CK82" s="252">
        <f>IF(BC82="","",Planning!AK75)</f>
        <v/>
      </c>
      <c r="CL82" s="252">
        <f>IF(BC82="","",Planning!AH75)</f>
        <v/>
      </c>
      <c r="CM82" s="21" t="n"/>
    </row>
    <row r="83" ht="6" customHeight="1">
      <c r="A83" s="159" t="n"/>
      <c r="P83" s="310" t="n"/>
      <c r="Q83" s="310" t="n"/>
      <c r="W83" s="110" t="n"/>
      <c r="X83" s="109" t="n"/>
      <c r="Y83" s="109" t="n"/>
      <c r="Z83" s="109" t="n"/>
      <c r="AA83" s="109" t="n"/>
      <c r="AB83" s="109" t="n"/>
      <c r="AC83" s="109" t="n"/>
      <c r="AD83" s="109" t="n"/>
      <c r="AE83" s="109" t="n"/>
      <c r="AF83" s="109" t="n"/>
      <c r="AG83" s="109" t="n"/>
      <c r="AH83" s="47" t="n"/>
      <c r="AI83" s="47" t="n"/>
      <c r="AJ83" s="47" t="n"/>
      <c r="AK83" s="47" t="n"/>
      <c r="AL83" s="47" t="n"/>
      <c r="AM83" s="47" t="n"/>
      <c r="AN83" s="47" t="n"/>
      <c r="AO83" s="47" t="n"/>
      <c r="AP83" s="47" t="n"/>
      <c r="AQ83" s="47" t="n"/>
      <c r="AR83" s="47" t="n"/>
      <c r="AS83" s="47" t="n"/>
      <c r="AT83" s="47" t="n"/>
      <c r="AU83" s="47" t="n"/>
      <c r="AV83" s="118" t="n"/>
      <c r="AW83" s="310" t="n"/>
      <c r="AX83" s="36" t="n"/>
      <c r="AY83" s="64" t="n"/>
      <c r="AZ83" s="838" t="n"/>
      <c r="CM83" s="21" t="n"/>
    </row>
    <row r="84" ht="13.5" customHeight="1">
      <c r="A84" s="159" t="n"/>
      <c r="B84" s="916" t="inlineStr">
        <is>
          <t>Opmerkingen</t>
        </is>
      </c>
      <c r="C84" s="883" t="n"/>
      <c r="D84" s="883" t="n"/>
      <c r="E84" s="883" t="n"/>
      <c r="F84" s="883" t="n"/>
      <c r="G84" s="883" t="n"/>
      <c r="H84" s="883" t="n"/>
      <c r="I84" s="883" t="n"/>
      <c r="J84" s="883" t="n"/>
      <c r="K84" s="883" t="n"/>
      <c r="L84" s="883" t="n"/>
      <c r="M84" s="883" t="n"/>
      <c r="N84" s="883" t="n"/>
      <c r="O84" s="883" t="n"/>
      <c r="P84" s="883" t="n"/>
      <c r="Q84" s="883" t="n"/>
      <c r="R84" s="883" t="n"/>
      <c r="S84" s="883" t="n"/>
      <c r="T84" s="883" t="n"/>
      <c r="U84" s="883" t="n"/>
      <c r="V84" s="883" t="n"/>
      <c r="W84" s="883" t="n"/>
      <c r="X84" s="883" t="n"/>
      <c r="Y84" s="883" t="n"/>
      <c r="Z84" s="883" t="n"/>
      <c r="AA84" s="883" t="n"/>
      <c r="AB84" s="883" t="n"/>
      <c r="AC84" s="883" t="n"/>
      <c r="AD84" s="883" t="n"/>
      <c r="AE84" s="883" t="n"/>
      <c r="AF84" s="883" t="n"/>
      <c r="AG84" s="883" t="n"/>
      <c r="AH84" s="883" t="n"/>
      <c r="AI84" s="883" t="n"/>
      <c r="AJ84" s="883" t="n"/>
      <c r="AK84" s="884" t="n"/>
      <c r="AL84" s="47" t="n"/>
      <c r="AM84" s="47" t="n"/>
      <c r="AN84" s="47" t="n"/>
      <c r="AO84" s="47" t="n"/>
      <c r="AP84" s="47" t="n"/>
      <c r="AQ84" s="47" t="n"/>
      <c r="AR84" s="47" t="n"/>
      <c r="AS84" s="47" t="n"/>
      <c r="AT84" s="47" t="n"/>
      <c r="AU84" s="47" t="n"/>
      <c r="AV84" s="118" t="n"/>
      <c r="AW84" s="310" t="n"/>
      <c r="AX84" s="36" t="n"/>
      <c r="AY84" s="64" t="n"/>
      <c r="AZ84" s="838" t="n"/>
      <c r="CM84" s="21" t="n"/>
    </row>
    <row r="85" ht="13.5" customHeight="1">
      <c r="A85" s="159" t="n"/>
      <c r="B85" s="917" t="n"/>
      <c r="C85" s="918" t="n"/>
      <c r="D85" s="918" t="n"/>
      <c r="E85" s="918" t="n"/>
      <c r="F85" s="918" t="n"/>
      <c r="G85" s="918" t="n"/>
      <c r="H85" s="918" t="n"/>
      <c r="I85" s="918" t="n"/>
      <c r="J85" s="918" t="n"/>
      <c r="K85" s="918" t="n"/>
      <c r="L85" s="918" t="n"/>
      <c r="M85" s="918" t="n"/>
      <c r="N85" s="918" t="n"/>
      <c r="O85" s="918" t="n"/>
      <c r="P85" s="918" t="n"/>
      <c r="Q85" s="918" t="n"/>
      <c r="R85" s="918" t="n"/>
      <c r="S85" s="918" t="n"/>
      <c r="T85" s="918" t="n"/>
      <c r="U85" s="918" t="n"/>
      <c r="V85" s="918" t="n"/>
      <c r="W85" s="918" t="n"/>
      <c r="X85" s="918" t="n"/>
      <c r="Y85" s="918" t="n"/>
      <c r="Z85" s="918" t="n"/>
      <c r="AA85" s="918" t="n"/>
      <c r="AB85" s="918" t="n"/>
      <c r="AC85" s="918" t="n"/>
      <c r="AD85" s="918" t="n"/>
      <c r="AE85" s="918" t="n"/>
      <c r="AF85" s="918" t="n"/>
      <c r="AG85" s="918" t="n"/>
      <c r="AH85" s="918" t="n"/>
      <c r="AI85" s="918" t="n"/>
      <c r="AJ85" s="918" t="n"/>
      <c r="AK85" s="919" t="n"/>
      <c r="AL85" s="47" t="n"/>
      <c r="AM85" s="47" t="n"/>
      <c r="AN85" s="47" t="n"/>
      <c r="AO85" s="47" t="n"/>
      <c r="AP85" s="47" t="n"/>
      <c r="AQ85" s="47" t="n"/>
      <c r="AR85" s="47" t="n"/>
      <c r="AS85" s="47" t="n"/>
      <c r="AT85" s="47" t="n"/>
      <c r="AU85" s="47" t="n"/>
      <c r="AV85" s="118" t="n"/>
      <c r="AW85" s="310" t="n"/>
      <c r="AX85" s="36" t="n"/>
      <c r="AY85" s="64" t="n"/>
      <c r="AZ85" s="838" t="n"/>
      <c r="CM85" s="21" t="n"/>
    </row>
    <row r="86" ht="13.5" customHeight="1">
      <c r="A86" s="159" t="n"/>
      <c r="B86" s="920" t="n"/>
      <c r="C86" s="921" t="n"/>
      <c r="D86" s="921" t="n"/>
      <c r="E86" s="921" t="n"/>
      <c r="F86" s="921" t="n"/>
      <c r="G86" s="921" t="n"/>
      <c r="H86" s="921" t="n"/>
      <c r="I86" s="921" t="n"/>
      <c r="J86" s="921" t="n"/>
      <c r="K86" s="921" t="n"/>
      <c r="L86" s="921" t="n"/>
      <c r="M86" s="921" t="n"/>
      <c r="N86" s="921" t="n"/>
      <c r="O86" s="921" t="n"/>
      <c r="P86" s="921" t="n"/>
      <c r="Q86" s="921" t="n"/>
      <c r="R86" s="921" t="n"/>
      <c r="S86" s="921" t="n"/>
      <c r="T86" s="921" t="n"/>
      <c r="U86" s="921" t="n"/>
      <c r="V86" s="921" t="n"/>
      <c r="W86" s="921" t="n"/>
      <c r="X86" s="921" t="n"/>
      <c r="Y86" s="921" t="n"/>
      <c r="Z86" s="921" t="n"/>
      <c r="AA86" s="921" t="n"/>
      <c r="AB86" s="921" t="n"/>
      <c r="AC86" s="921" t="n"/>
      <c r="AD86" s="921" t="n"/>
      <c r="AE86" s="921" t="n"/>
      <c r="AF86" s="921" t="n"/>
      <c r="AG86" s="921" t="n"/>
      <c r="AH86" s="921" t="n"/>
      <c r="AI86" s="921" t="n"/>
      <c r="AJ86" s="921" t="n"/>
      <c r="AK86" s="922" t="n"/>
      <c r="AL86" s="47" t="n"/>
      <c r="AM86" s="47" t="n"/>
      <c r="AN86" s="47" t="n"/>
      <c r="AO86" s="47" t="n"/>
      <c r="AP86" s="47" t="n"/>
      <c r="AQ86" s="47" t="n"/>
      <c r="AR86" s="47" t="n"/>
      <c r="AS86" s="47" t="n"/>
      <c r="AT86" s="47" t="n"/>
      <c r="AU86" s="47" t="n"/>
      <c r="AV86" s="118" t="n"/>
      <c r="AW86" s="310" t="n"/>
      <c r="AX86" s="36" t="n"/>
      <c r="AY86" s="64" t="n"/>
      <c r="AZ86" s="838" t="n"/>
      <c r="CM86" s="21" t="n"/>
    </row>
    <row r="87" ht="6" customHeight="1">
      <c r="A87" s="163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 t="n"/>
      <c r="P87" s="119" t="n"/>
      <c r="Q87" s="119" t="n"/>
      <c r="R87" s="119" t="n"/>
      <c r="S87" s="119" t="n"/>
      <c r="T87" s="119" t="n"/>
      <c r="U87" s="120" t="n"/>
      <c r="V87" s="121" t="n"/>
      <c r="W87" s="121" t="n"/>
      <c r="X87" s="121" t="n"/>
      <c r="Y87" s="121" t="n"/>
      <c r="Z87" s="121" t="n"/>
      <c r="AA87" s="121" t="n"/>
      <c r="AB87" s="121" t="n"/>
      <c r="AC87" s="121" t="n"/>
      <c r="AD87" s="121" t="n"/>
      <c r="AE87" s="121" t="n"/>
      <c r="AF87" s="121" t="n"/>
      <c r="AG87" s="121" t="n"/>
      <c r="AH87" s="121" t="n"/>
      <c r="AI87" s="121" t="n"/>
      <c r="AJ87" s="121" t="n"/>
      <c r="AK87" s="121" t="n"/>
      <c r="AL87" s="121" t="n"/>
      <c r="AM87" s="121" t="n"/>
      <c r="AN87" s="121" t="n"/>
      <c r="AO87" s="121" t="n"/>
      <c r="AP87" s="121" t="n"/>
      <c r="AQ87" s="121" t="n"/>
      <c r="AR87" s="121" t="n"/>
      <c r="AS87" s="121" t="n"/>
      <c r="AT87" s="121" t="n"/>
      <c r="AU87" s="121" t="n"/>
      <c r="AV87" s="923" t="n"/>
      <c r="AW87" s="310" t="n"/>
      <c r="AX87" s="36" t="n"/>
      <c r="AY87" s="64" t="n"/>
      <c r="AZ87" s="838" t="n"/>
      <c r="CM87" s="21" t="n"/>
    </row>
  </sheetData>
  <mergeCells count="192">
    <mergeCell ref="H66:Q66"/>
    <mergeCell ref="AY61:AZ61"/>
    <mergeCell ref="N2:P2"/>
    <mergeCell ref="AC5:AE5"/>
    <mergeCell ref="H78:O78"/>
    <mergeCell ref="Q4:S4"/>
    <mergeCell ref="BM12:BN12"/>
    <mergeCell ref="Z76:AA76"/>
    <mergeCell ref="AB80:AI80"/>
    <mergeCell ref="Z3:AB3"/>
    <mergeCell ref="AC4:AE4"/>
    <mergeCell ref="R79:Y79"/>
    <mergeCell ref="C79:D79"/>
    <mergeCell ref="P69:Q69"/>
    <mergeCell ref="Z66:AA66"/>
    <mergeCell ref="T2:V2"/>
    <mergeCell ref="AB79:AI79"/>
    <mergeCell ref="Z75:AA75"/>
    <mergeCell ref="L12:M12"/>
    <mergeCell ref="AF5:AH5"/>
    <mergeCell ref="N12:O12"/>
    <mergeCell ref="AF2:AH2"/>
    <mergeCell ref="Z5:AB5"/>
    <mergeCell ref="AJ67:AK67"/>
    <mergeCell ref="H73:O73"/>
    <mergeCell ref="AB72:AI72"/>
    <mergeCell ref="P80:Q80"/>
    <mergeCell ref="AB81:AI81"/>
    <mergeCell ref="H70:O70"/>
    <mergeCell ref="R74:Y74"/>
    <mergeCell ref="W2:Y2"/>
    <mergeCell ref="R12:S12"/>
    <mergeCell ref="AJ69:AK69"/>
    <mergeCell ref="T12:U12"/>
    <mergeCell ref="P70:Q70"/>
    <mergeCell ref="AB71:AI71"/>
    <mergeCell ref="AL12:AM12"/>
    <mergeCell ref="AJ78:AK78"/>
    <mergeCell ref="AN12:AO12"/>
    <mergeCell ref="AF12:AG12"/>
    <mergeCell ref="C76:D76"/>
    <mergeCell ref="R76:Y76"/>
    <mergeCell ref="AF3:AH3"/>
    <mergeCell ref="K3:M3"/>
    <mergeCell ref="N4:P4"/>
    <mergeCell ref="AJ80:AK80"/>
    <mergeCell ref="R66:Y66"/>
    <mergeCell ref="C67:D67"/>
    <mergeCell ref="K5:M5"/>
    <mergeCell ref="H77:O77"/>
    <mergeCell ref="T4:V4"/>
    <mergeCell ref="R68:Y68"/>
    <mergeCell ref="Z80:AA80"/>
    <mergeCell ref="AF4:AH4"/>
    <mergeCell ref="P79:Q79"/>
    <mergeCell ref="C69:D69"/>
    <mergeCell ref="P73:Q73"/>
    <mergeCell ref="Q5:S5"/>
    <mergeCell ref="AJ81:AK81"/>
    <mergeCell ref="BI12:BJ12"/>
    <mergeCell ref="H67:O67"/>
    <mergeCell ref="AB66:AK66"/>
    <mergeCell ref="AJ71:AK71"/>
    <mergeCell ref="BU12:BV12"/>
    <mergeCell ref="AX6:BA9"/>
    <mergeCell ref="AI4:AK4"/>
    <mergeCell ref="R77:AA77"/>
    <mergeCell ref="Z2:AB2"/>
    <mergeCell ref="R78:Y78"/>
    <mergeCell ref="AJ73:AK73"/>
    <mergeCell ref="AB75:AI75"/>
    <mergeCell ref="BY12:BZ12"/>
    <mergeCell ref="AJ82:AK82"/>
    <mergeCell ref="B74:D74"/>
    <mergeCell ref="B85:AK86"/>
    <mergeCell ref="R80:Y80"/>
    <mergeCell ref="AX10:BA10"/>
    <mergeCell ref="AY31:BA31"/>
    <mergeCell ref="H79:O79"/>
    <mergeCell ref="P77:Q77"/>
    <mergeCell ref="Z12:AA12"/>
    <mergeCell ref="Z68:AA68"/>
    <mergeCell ref="R70:Y70"/>
    <mergeCell ref="AB12:AC12"/>
    <mergeCell ref="K4:M4"/>
    <mergeCell ref="AJ68:AK68"/>
    <mergeCell ref="AB70:AI70"/>
    <mergeCell ref="H72:O72"/>
    <mergeCell ref="C71:D71"/>
    <mergeCell ref="H81:O81"/>
    <mergeCell ref="T3:V3"/>
    <mergeCell ref="W4:Y4"/>
    <mergeCell ref="H12:I12"/>
    <mergeCell ref="P78:Q78"/>
    <mergeCell ref="Z69:AA69"/>
    <mergeCell ref="J12:K12"/>
    <mergeCell ref="T5:V5"/>
    <mergeCell ref="AR11:AS11"/>
    <mergeCell ref="Z78:AA78"/>
    <mergeCell ref="C82:D82"/>
    <mergeCell ref="AY23:BA23"/>
    <mergeCell ref="H71:O71"/>
    <mergeCell ref="C66:D66"/>
    <mergeCell ref="P71:Q71"/>
    <mergeCell ref="AY13:BA13"/>
    <mergeCell ref="C77:D77"/>
    <mergeCell ref="AH12:AI12"/>
    <mergeCell ref="AJ12:AK12"/>
    <mergeCell ref="C68:D68"/>
    <mergeCell ref="AB74:AI74"/>
    <mergeCell ref="H82:O82"/>
    <mergeCell ref="W3:Y3"/>
    <mergeCell ref="AJ70:AK70"/>
    <mergeCell ref="AB76:AI76"/>
    <mergeCell ref="AY35:BA35"/>
    <mergeCell ref="H76:Q76"/>
    <mergeCell ref="R69:Y69"/>
    <mergeCell ref="Z81:AA81"/>
    <mergeCell ref="C75:D75"/>
    <mergeCell ref="B65:D65"/>
    <mergeCell ref="AI3:AK3"/>
    <mergeCell ref="C80:D80"/>
    <mergeCell ref="P67:Q67"/>
    <mergeCell ref="R67:AA67"/>
    <mergeCell ref="B84:AK84"/>
    <mergeCell ref="A1:J3"/>
    <mergeCell ref="BE12:BF12"/>
    <mergeCell ref="AB77:AI77"/>
    <mergeCell ref="Z73:AA73"/>
    <mergeCell ref="AJ77:AK77"/>
    <mergeCell ref="AI5:AK5"/>
    <mergeCell ref="P82:Q82"/>
    <mergeCell ref="Z82:AA82"/>
    <mergeCell ref="BQ12:BR12"/>
    <mergeCell ref="AB67:AI67"/>
    <mergeCell ref="C70:D70"/>
    <mergeCell ref="P75:Q75"/>
    <mergeCell ref="AJ74:AK74"/>
    <mergeCell ref="H80:O80"/>
    <mergeCell ref="R72:Y72"/>
    <mergeCell ref="P12:Q12"/>
    <mergeCell ref="P68:Q68"/>
    <mergeCell ref="AB69:AI69"/>
    <mergeCell ref="R81:Y81"/>
    <mergeCell ref="AJ76:AK76"/>
    <mergeCell ref="AB78:AI78"/>
    <mergeCell ref="AY41:BA41"/>
    <mergeCell ref="AY47:BA47"/>
    <mergeCell ref="N3:P3"/>
    <mergeCell ref="AD12:AE12"/>
    <mergeCell ref="AJ75:AK75"/>
    <mergeCell ref="V12:W12"/>
    <mergeCell ref="X12:Y12"/>
    <mergeCell ref="AP12:AQ12"/>
    <mergeCell ref="R73:Y73"/>
    <mergeCell ref="R82:Y82"/>
    <mergeCell ref="N5:P5"/>
    <mergeCell ref="AB73:AI73"/>
    <mergeCell ref="Z70:AA70"/>
    <mergeCell ref="R71:AA71"/>
    <mergeCell ref="K2:M2"/>
    <mergeCell ref="F12:G12"/>
    <mergeCell ref="P72:Q72"/>
    <mergeCell ref="H74:O74"/>
    <mergeCell ref="H68:O68"/>
    <mergeCell ref="P81:Q81"/>
    <mergeCell ref="Z72:AA72"/>
    <mergeCell ref="AJ72:AK72"/>
    <mergeCell ref="Z4:AB4"/>
    <mergeCell ref="Q2:S2"/>
    <mergeCell ref="AI2:AK2"/>
    <mergeCell ref="H65:AK65"/>
    <mergeCell ref="AC2:AE2"/>
    <mergeCell ref="AY3:AZ4"/>
    <mergeCell ref="H69:O69"/>
    <mergeCell ref="AB82:AI82"/>
    <mergeCell ref="AY2:AZ2"/>
    <mergeCell ref="A4:J5"/>
    <mergeCell ref="Z79:AA79"/>
    <mergeCell ref="H75:O75"/>
    <mergeCell ref="R75:Y75"/>
    <mergeCell ref="Q3:S3"/>
    <mergeCell ref="AJ79:AK79"/>
    <mergeCell ref="C72:D72"/>
    <mergeCell ref="CC12:CD12"/>
    <mergeCell ref="W5:Y5"/>
    <mergeCell ref="C81:D81"/>
    <mergeCell ref="AB68:AI68"/>
    <mergeCell ref="AC3:AE3"/>
    <mergeCell ref="P74:Q74"/>
    <mergeCell ref="C78:D78"/>
    <mergeCell ref="Z74:AA74"/>
  </mergeCells>
  <conditionalFormatting sqref="A13:A63">
    <cfRule type="cellIs" priority="56" operator="equal" dxfId="50">
      <formula>0</formula>
    </cfRule>
  </conditionalFormatting>
  <conditionalFormatting sqref="D13:D63">
    <cfRule type="expression" priority="23" dxfId="48">
      <formula>IF(D13&lt;AR13,TRUE,FALSE)</formula>
    </cfRule>
    <cfRule type="expression" priority="24" dxfId="48">
      <formula>IF(D13&gt;AS13,TRUE,FALSE)</formula>
    </cfRule>
  </conditionalFormatting>
  <conditionalFormatting sqref="D13:E63">
    <cfRule type="containsBlanks" priority="20" dxfId="47">
      <formula>LEN(TRIM(D13))=0</formula>
    </cfRule>
  </conditionalFormatting>
  <conditionalFormatting sqref="E13:E63">
    <cfRule type="expression" priority="21" dxfId="28">
      <formula>IF(E13&gt;AS13,TRUE,FALSE)</formula>
    </cfRule>
    <cfRule type="expression" priority="22" dxfId="28">
      <formula>IF(E13&lt;AR13,TRUE,FALSE)</formula>
    </cfRule>
  </conditionalFormatting>
  <conditionalFormatting sqref="F13:AQ63">
    <cfRule type="cellIs" priority="18" operator="equal" dxfId="44">
      <formula>"p"</formula>
    </cfRule>
    <cfRule type="cellIs" priority="19" operator="equal" dxfId="43">
      <formula>"afw"</formula>
    </cfRule>
  </conditionalFormatting>
  <conditionalFormatting sqref="N5:AK5">
    <cfRule type="cellIs" priority="41" operator="lessThan" dxfId="18">
      <formula>0</formula>
    </cfRule>
  </conditionalFormatting>
  <conditionalFormatting sqref="AX6:BA9">
    <cfRule type="notContainsBlanks" priority="53" dxfId="41">
      <formula>LEN(TRIM(AX6))&gt;0</formula>
    </cfRule>
  </conditionalFormatting>
  <conditionalFormatting sqref="AY2:AZ4">
    <cfRule type="expression" priority="54" dxfId="28">
      <formula>IF($AY$3="nee",TRUE,FALSE)</formula>
    </cfRule>
  </conditionalFormatting>
  <conditionalFormatting sqref="AY61:BA61">
    <cfRule type="expression" priority="8" dxfId="6">
      <formula>IF($BA$61=0,TRUE,FALSE)</formula>
    </cfRule>
  </conditionalFormatting>
  <conditionalFormatting sqref="CI13:CI86">
    <cfRule type="cellIs" priority="25" operator="notBetween" dxfId="36">
      <formula>-3</formula>
      <formula>3</formula>
    </cfRule>
  </conditionalFormatting>
  <conditionalFormatting sqref="CJ13:CK86">
    <cfRule type="containsText" priority="26" operator="containsText" dxfId="36" text="nee">
      <formula>NOT(ISERROR(SEARCH("nee",CJ13)))</formula>
    </cfRule>
  </conditionalFormatting>
  <conditionalFormatting sqref="CL13:CL86">
    <cfRule type="cellIs" priority="27" operator="greaterThan" dxfId="36">
      <formula>5</formula>
    </cfRule>
  </conditionalFormatting>
  <dataValidations count="2">
    <dataValidation sqref="B14:B28" showDropDown="0" showInputMessage="1" showErrorMessage="1" allowBlank="1" prompt=" - " type="list">
      <formula1>namenlijst</formula1>
    </dataValidation>
    <dataValidation sqref="B29:B63" showDropDown="0" showInputMessage="0" showErrorMessage="1" allowBlank="1" type="list">
      <formula1>namenlijst</formula1>
    </dataValidation>
  </dataValidations>
  <pageMargins left="0.7" right="0.7" top="0.75" bottom="0.75" header="0.3" footer="0.3"/>
  <pageSetup orientation="portrait" paperSize="9" scale="32" fitToHeight="0"/>
</worksheet>
</file>

<file path=xl/worksheets/sheet11.xml><?xml version="1.0" encoding="utf-8"?>
<worksheet xmlns="http://schemas.openxmlformats.org/spreadsheetml/2006/main">
  <sheetPr codeName="Sheet15">
    <tabColor rgb="FF002060"/>
    <outlinePr summaryBelow="0" summaryRight="0"/>
    <pageSetUpPr fitToPage="1"/>
  </sheetPr>
  <dimension ref="A1:AL105"/>
  <sheetViews>
    <sheetView showGridLines="0" showRowColHeaders="0" zoomScaleNormal="100" workbookViewId="0">
      <pane ySplit="5" topLeftCell="B21" activePane="bottomLeft" state="frozen"/>
      <selection pane="bottomLeft" activeCell="Y43" sqref="Y43"/>
    </sheetView>
  </sheetViews>
  <sheetFormatPr baseColWidth="8" defaultColWidth="17.28515625" defaultRowHeight="15" customHeight="1"/>
  <cols>
    <col hidden="1" width="4.140625" customWidth="1" style="264" min="1" max="1"/>
    <col width="26.42578125" customWidth="1" style="264" min="2" max="2"/>
    <col width="6.7109375" customWidth="1" style="264" min="3" max="3"/>
    <col width="0.28515625" customWidth="1" style="264" min="4" max="4"/>
    <col width="6.7109375" customWidth="1" style="264" min="5" max="6"/>
    <col width="5.140625" customWidth="1" style="264" min="7" max="7"/>
    <col width="0.28515625" customWidth="1" style="264" min="8" max="8"/>
    <col width="6.7109375" customWidth="1" style="264" min="9" max="10"/>
    <col width="5.140625" customWidth="1" style="264" min="11" max="11"/>
    <col width="0.28515625" customWidth="1" style="264" min="12" max="12"/>
    <col width="6.7109375" customWidth="1" style="264" min="13" max="14"/>
    <col width="5.140625" customWidth="1" style="264" min="15" max="15"/>
    <col width="0.28515625" customWidth="1" style="264" min="16" max="16"/>
    <col width="6.7109375" customWidth="1" style="264" min="17" max="18"/>
    <col width="5.140625" customWidth="1" style="264" min="19" max="19"/>
    <col width="0.28515625" customWidth="1" style="264" min="20" max="20"/>
    <col width="6.7109375" customWidth="1" style="264" min="21" max="22"/>
    <col width="5.140625" customWidth="1" style="264" min="23" max="23"/>
    <col width="0.28515625" customWidth="1" style="264" min="24" max="24"/>
    <col width="6.7109375" customWidth="1" style="264" min="25" max="26"/>
    <col width="5.140625" customWidth="1" style="264" min="27" max="27"/>
    <col width="0.28515625" customWidth="1" style="264" min="28" max="28"/>
    <col width="6.7109375" customWidth="1" style="264" min="29" max="30"/>
    <col width="5.140625" customWidth="1" style="264" min="31" max="31"/>
    <col width="0.28515625" customWidth="1" style="264" min="32" max="32"/>
    <col width="8.7109375" customWidth="1" style="264" min="33" max="33"/>
    <col width="8.7109375" customWidth="1" style="531" min="34" max="34"/>
    <col width="11.5703125" customWidth="1" style="925" min="35" max="35"/>
    <col width="4" customWidth="1" style="254" min="36" max="37"/>
    <col width="17.28515625" customWidth="1" style="263" min="38" max="38"/>
    <col width="17.28515625" customWidth="1" style="264" min="39" max="16384"/>
  </cols>
  <sheetData>
    <row r="1" ht="39.95" customHeight="1">
      <c r="A1" s="77" t="n"/>
      <c r="B1" s="757">
        <f>CONCATENATE("Planning Operatie week: ",IF(Access!C4="B","BASIS",IF(Access!C4="","BASIS",CONCATENATE(WEEKNUM(Access!C4,21)," - ",YEAR(Access!C4+3)))))</f>
        <v/>
      </c>
      <c r="C1" s="926" t="n"/>
      <c r="D1" s="926" t="n"/>
      <c r="E1" s="926" t="n"/>
      <c r="F1" s="926" t="n"/>
      <c r="G1" s="926" t="n"/>
      <c r="H1" s="926" t="n"/>
      <c r="I1" s="926" t="n"/>
      <c r="J1" s="926" t="n"/>
      <c r="K1" s="926" t="n"/>
      <c r="L1" s="926" t="n"/>
      <c r="M1" s="926" t="n"/>
      <c r="N1" s="926" t="n"/>
      <c r="O1" s="926" t="n"/>
      <c r="P1" s="926" t="n"/>
      <c r="Q1" s="926" t="n"/>
      <c r="R1" s="926" t="n"/>
      <c r="S1" s="926" t="n"/>
      <c r="T1" s="926" t="n"/>
      <c r="U1" s="926" t="n"/>
      <c r="V1" s="926" t="n"/>
      <c r="W1" s="926" t="n"/>
      <c r="X1" s="926" t="n"/>
      <c r="Y1" s="926" t="n"/>
      <c r="Z1" s="926" t="n"/>
      <c r="AA1" s="759">
        <f>CONCATENATE("Printdatum: ",TEXT(TODAY(),"D Mmmm")," ")</f>
        <v/>
      </c>
      <c r="AB1" s="926" t="n"/>
      <c r="AC1" s="926" t="n"/>
      <c r="AD1" s="926" t="n"/>
      <c r="AE1" s="926" t="n"/>
      <c r="AF1" s="926" t="n"/>
      <c r="AG1" s="927">
        <f>IF(AI1="Excel Online",NOW()+"9:00"-TODAY(),NOW()-TODAY())</f>
        <v/>
      </c>
      <c r="AH1" s="531" t="inlineStr">
        <is>
          <t>Excel Online</t>
        </is>
      </c>
      <c r="AI1" s="925" t="inlineStr">
        <is>
          <t>Excel Online</t>
        </is>
      </c>
    </row>
    <row r="2" ht="3" customHeight="1">
      <c r="A2" s="168" t="n"/>
      <c r="B2" s="612" t="n"/>
      <c r="C2" s="612" t="n"/>
      <c r="D2" s="612" t="n"/>
      <c r="E2" s="612" t="n"/>
      <c r="F2" s="612" t="n"/>
      <c r="G2" s="612" t="n"/>
      <c r="H2" s="612" t="n"/>
      <c r="I2" s="612" t="n"/>
      <c r="J2" s="612" t="n"/>
      <c r="K2" s="612" t="n"/>
      <c r="L2" s="612" t="n"/>
      <c r="M2" s="612" t="n"/>
      <c r="N2" s="612" t="n"/>
      <c r="O2" s="612" t="n"/>
      <c r="P2" s="612" t="n"/>
      <c r="Q2" s="612" t="n"/>
      <c r="R2" s="612" t="n"/>
      <c r="S2" s="612" t="n"/>
      <c r="T2" s="612" t="n"/>
      <c r="U2" s="612" t="n"/>
      <c r="V2" s="612" t="n"/>
      <c r="W2" s="612" t="n"/>
      <c r="X2" s="612" t="n"/>
      <c r="Y2" s="612" t="n"/>
      <c r="Z2" s="612" t="n"/>
      <c r="AA2" s="613" t="n"/>
      <c r="AB2" s="613" t="n"/>
      <c r="AC2" s="613" t="n"/>
      <c r="AD2" s="613" t="n"/>
      <c r="AE2" s="613" t="n"/>
      <c r="AF2" s="613" t="n"/>
      <c r="AG2" s="928" t="n"/>
    </row>
    <row r="3" ht="3" customHeight="1">
      <c r="A3" s="168" t="n"/>
      <c r="B3" s="169" t="n"/>
      <c r="C3" s="169" t="n"/>
      <c r="D3" s="169" t="n"/>
      <c r="E3" s="169" t="n"/>
      <c r="F3" s="169" t="n"/>
      <c r="G3" s="169" t="n"/>
      <c r="H3" s="169" t="n"/>
      <c r="I3" s="169" t="n"/>
      <c r="J3" s="169" t="n"/>
      <c r="K3" s="169" t="n"/>
      <c r="L3" s="169" t="n"/>
      <c r="M3" s="169" t="n"/>
      <c r="N3" s="169" t="n"/>
      <c r="O3" s="169" t="n"/>
      <c r="P3" s="169" t="n"/>
      <c r="Q3" s="169" t="n"/>
      <c r="R3" s="169" t="n"/>
      <c r="S3" s="169" t="n"/>
      <c r="T3" s="169" t="n"/>
      <c r="U3" s="169" t="n"/>
      <c r="V3" s="169" t="n"/>
      <c r="W3" s="169" t="n"/>
      <c r="X3" s="169" t="n"/>
      <c r="Y3" s="169" t="n"/>
      <c r="Z3" s="169" t="n"/>
      <c r="AA3" s="170" t="n"/>
      <c r="AB3" s="170" t="n"/>
      <c r="AC3" s="170" t="n"/>
      <c r="AD3" s="170" t="n"/>
      <c r="AE3" s="170" t="n"/>
      <c r="AF3" s="170" t="n"/>
      <c r="AG3" s="929" t="n"/>
    </row>
    <row r="4" ht="5.1" customHeight="1" thickBot="1">
      <c r="A4" s="168" t="n"/>
      <c r="B4" s="172" t="n"/>
      <c r="C4" s="172" t="n"/>
      <c r="D4" s="172" t="n"/>
      <c r="E4" s="172" t="n"/>
      <c r="F4" s="172" t="n"/>
      <c r="G4" s="172" t="n"/>
      <c r="H4" s="172" t="n"/>
      <c r="I4" s="172" t="n"/>
      <c r="J4" s="172" t="n"/>
      <c r="K4" s="172" t="n"/>
      <c r="L4" s="172" t="n"/>
      <c r="M4" s="172" t="n"/>
      <c r="N4" s="172" t="n"/>
      <c r="O4" s="172" t="n"/>
      <c r="P4" s="172" t="n"/>
      <c r="Q4" s="172" t="n"/>
      <c r="R4" s="172" t="n"/>
      <c r="S4" s="172" t="n"/>
      <c r="T4" s="172" t="n"/>
      <c r="U4" s="172" t="n"/>
      <c r="V4" s="172" t="n"/>
      <c r="W4" s="172" t="n"/>
      <c r="X4" s="172" t="n"/>
      <c r="Y4" s="172" t="n"/>
      <c r="Z4" s="172" t="n"/>
      <c r="AA4" s="173" t="n"/>
      <c r="AB4" s="173" t="n"/>
      <c r="AC4" s="173" t="n"/>
      <c r="AD4" s="173" t="n"/>
      <c r="AE4" s="173" t="n"/>
      <c r="AF4" s="173" t="n"/>
      <c r="AG4" s="930" t="n"/>
    </row>
    <row r="5" ht="12.95" customHeight="1">
      <c r="A5" s="175" t="n"/>
      <c r="B5" s="311">
        <f>Medewerker!C7</f>
        <v/>
      </c>
      <c r="C5" s="312" t="inlineStr">
        <is>
          <t>Functie</t>
        </is>
      </c>
      <c r="D5" s="313" t="n"/>
      <c r="E5" s="760">
        <f>CONCATENATE("Maandag ",IF(Access!C4="","",TEXT(Access!C4,"DD-MM")))</f>
        <v/>
      </c>
      <c r="F5" s="931" t="n"/>
      <c r="G5" s="931" t="n"/>
      <c r="H5" s="313" t="n"/>
      <c r="I5" s="760">
        <f>CONCATENATE("Dinsdag ",IF(Access!C4="","",TEXT(Access!C4+1,"DD-MM")))</f>
        <v/>
      </c>
      <c r="J5" s="931" t="n"/>
      <c r="K5" s="931" t="n"/>
      <c r="L5" s="313" t="n"/>
      <c r="M5" s="760">
        <f>CONCATENATE("Woensdag ",IF(Access!C4="","",TEXT(Access!C4+2,"DD-MM")))</f>
        <v/>
      </c>
      <c r="N5" s="931" t="n"/>
      <c r="O5" s="931" t="n"/>
      <c r="P5" s="313" t="n"/>
      <c r="Q5" s="760">
        <f>CONCATENATE("Donderdag ",IF(Access!C4="","",TEXT(Access!C4+3,"DD-MM")))</f>
        <v/>
      </c>
      <c r="R5" s="931" t="n"/>
      <c r="S5" s="931" t="n"/>
      <c r="T5" s="313" t="n"/>
      <c r="U5" s="760">
        <f>CONCATENATE("Vrijdag ",IF(Access!C4="","",TEXT(Access!C4+4,"DD-MM")))</f>
        <v/>
      </c>
      <c r="V5" s="931" t="n"/>
      <c r="W5" s="931" t="n"/>
      <c r="X5" s="313" t="n"/>
      <c r="Y5" s="760">
        <f>CONCATENATE("Zaterdag ",IF(Access!C4="","",TEXT(Access!C4+5,"DD-MM")))</f>
        <v/>
      </c>
      <c r="Z5" s="931" t="n"/>
      <c r="AA5" s="931" t="n"/>
      <c r="AB5" s="313" t="n"/>
      <c r="AC5" s="760">
        <f>CONCATENATE("Zondag ",IF(Access!C4="","",TEXT(Access!C4+6,"DD-MM")))</f>
        <v/>
      </c>
      <c r="AD5" s="931" t="n"/>
      <c r="AE5" s="931" t="n"/>
      <c r="AF5" s="313" t="n"/>
      <c r="AG5" s="314" t="inlineStr">
        <is>
          <t>Totaal</t>
        </is>
      </c>
    </row>
    <row r="6" ht="14.25" customHeight="1">
      <c r="A6" s="176">
        <f>IF(B6="","",1)</f>
        <v/>
      </c>
      <c r="B6" s="241">
        <f>IF(Medewerker!C8="","",Medewerker!C8)</f>
        <v/>
      </c>
      <c r="C6" s="238">
        <f>Medewerker!AI8</f>
        <v/>
      </c>
      <c r="D6" s="240" t="n"/>
      <c r="E6" s="932">
        <f>IFERROR(IF(Medewerker!I8="",VLOOKUP($B6,Ma!$B$13:$E$63,3,FALSE),Medewerker!I8),"")</f>
        <v/>
      </c>
      <c r="F6" s="933">
        <f>IFERROR(IF(Medewerker!I8="",VLOOKUP($B6,Ma!$B$13:$E$63,4,FALSE),Medewerker!I8),"")</f>
        <v/>
      </c>
      <c r="G6" s="934">
        <f>IF(F6="OA",0,IF(F6="TA",0,IF(F6="VRIJ",0,IF(F6="ST",0,IFERROR(IF(F6="","",(F6/F6)*VLOOKUP($B6,Ma!$B$13:$AV$63,47,FALSE)/24),MAX(IFERROR((VLOOKUP($B6,Ma!$B$13:$AV$63,47,FALSE)/24),0),Medewerker!E8/120))))))</f>
        <v/>
      </c>
      <c r="H6" s="240" t="n"/>
      <c r="I6" s="933">
        <f>IFERROR(IF(Medewerker!M8="",VLOOKUP($B6,Di!$B$13:$E$63,3,FALSE),Medewerker!M8),"")</f>
        <v/>
      </c>
      <c r="J6" s="933">
        <f>IFERROR(IF(Medewerker!M8="",VLOOKUP($B6,Di!$B$13:$E$63,4,FALSE),Medewerker!M8),"")</f>
        <v/>
      </c>
      <c r="K6" s="934">
        <f>IF(J6="OA",0,IF(J6="TA",0,IF(J6="VRIJ",0,IF(J6="ST",0,IFERROR(IF(J6="","",(J6/J6)*VLOOKUP($B6,Di!$B$13:$AV$63,47,FALSE)/24),MAX(IFERROR((VLOOKUP($B6,Di!$B$13:$AV$63,47,FALSE)/24),0),Medewerker!E8/120))))))</f>
        <v/>
      </c>
      <c r="L6" s="240" t="n"/>
      <c r="M6" s="933">
        <f>IFERROR(IF(Medewerker!Q8="",VLOOKUP($B6,Wo!$B$13:$E$63,3,FALSE),Medewerker!Q8),"")</f>
        <v/>
      </c>
      <c r="N6" s="933">
        <f>IFERROR(IF(Medewerker!Q8="",VLOOKUP($B6,Wo!$B$13:$E$63,4,FALSE),Medewerker!Q8),"")</f>
        <v/>
      </c>
      <c r="O6" s="934">
        <f>IF(N6="OA",0,IF(N6="TA",0,IF(N6="VRIJ",0,IF(N6="ST",0,IFERROR(IF(N6="","",(N6/N6)*VLOOKUP($B6,Wo!$B$13:$AV$63,47,FALSE)/24),MAX(IFERROR((VLOOKUP($B6,Wo!$B$13:$AV$63,47,FALSE)/24),0),Medewerker!E8/120))))))</f>
        <v/>
      </c>
      <c r="P6" s="240" t="n"/>
      <c r="Q6" s="933">
        <f>IFERROR(IF(Medewerker!U8="",VLOOKUP($B6,Do!$B$13:$E$63,3,FALSE),Medewerker!U8),"")</f>
        <v/>
      </c>
      <c r="R6" s="933">
        <f>IFERROR(IF(Medewerker!U8="",VLOOKUP($B6,Do!$B$13:$E$63,4,FALSE),Medewerker!U8),"")</f>
        <v/>
      </c>
      <c r="S6" s="934">
        <f>IF(R6="OA",0,IF(R6="TA",0,IF(R6="VRIJ",0,IF(R6="ST",0,IFERROR(IF(R6="","",(R6/R6)*VLOOKUP($B6,Do!$B$13:$AV$63,47,FALSE)/24),MAX(IFERROR((VLOOKUP($B6,Do!$B$13:$AV$63,47,FALSE)/24),0),Medewerker!E8/120))))))</f>
        <v/>
      </c>
      <c r="T6" s="240" t="n"/>
      <c r="U6" s="933">
        <f>IFERROR(IF(Medewerker!Y8="",VLOOKUP($B6,Vr!$B$13:$E$63,3,FALSE),Medewerker!Y8),"")</f>
        <v/>
      </c>
      <c r="V6" s="933">
        <f>IFERROR(IF(Medewerker!Y8="",VLOOKUP($B6,Vr!$B$13:$E$63,4,FALSE),Medewerker!Y8),"")</f>
        <v/>
      </c>
      <c r="W6" s="934">
        <f>IF(V6="OA",0,IF(V6="TA",0,IF(V6="VRIJ",0,IF(V6="ST",0,IFERROR(IF(V6="","",(V6/V6)*VLOOKUP($B6,Vr!$B$13:$AV$63,47,FALSE)/24),MAX(IFERROR((VLOOKUP($B6,Vr!$B$13:$AV$63,47,FALSE)/24),0),Medewerker!E8/120))))))</f>
        <v/>
      </c>
      <c r="X6" s="240" t="n"/>
      <c r="Y6" s="933">
        <f>IFERROR(IF(Medewerker!AC8="",VLOOKUP($B6,Za!$B$13:$E$63,3,FALSE),Medewerker!AC8),"")</f>
        <v/>
      </c>
      <c r="Z6" s="933">
        <f>IFERROR(IF(Medewerker!AC8="",VLOOKUP($B6,Za!$B$13:$E$63,4,FALSE),Medewerker!AC8),"")</f>
        <v/>
      </c>
      <c r="AA6" s="934">
        <f>IF(Z6="OA",0,IF(Z6="TA",0,IF(Z6="VRIJ",0,IF(Z6="ST",0,IFERROR(IF(Z6="","",(Z6/Z6)*VLOOKUP($B6,Za!$B$13:$AV$63,47,FALSE)/24),MAX(IFERROR((VLOOKUP($B6,Za!$B$13:$AV$63,47,FALSE)/24),0),IF(COUNTIF(E6:V6,"ZIEK")&gt;9,0,IF(COUNTIF(E6:V6,"VAK")&gt;9,0,Medewerker!E8/120))))))))</f>
        <v/>
      </c>
      <c r="AB6" s="240" t="n"/>
      <c r="AC6" s="933">
        <f>IFERROR(IF(Medewerker!AG8="",VLOOKUP($B6,Zo!$B$13:$E$63,3,FALSE),Medewerker!AG8),"")</f>
        <v/>
      </c>
      <c r="AD6" s="933">
        <f>IFERROR(IF(Medewerker!AG8="",VLOOKUP($B6,Zo!$B$13:$E$63,4,FALSE),Medewerker!AG8),"")</f>
        <v/>
      </c>
      <c r="AE6" s="934">
        <f>IF(AD6="OA",0,IF(AD6="TA",0,IF(AD6="VRIJ",0,IF(AD6="ST",0,IFERROR(IF(AD6="","",(AD6/AD6)*VLOOKUP($B6,Zo!$B$13:$AV$63,47,FALSE)/24),MAX(IFERROR((VLOOKUP($B6,Zo!$B$13:$AV$63,47,FALSE)/24),0),IF(COUNTIF(E6:Z6,"ZIEK")&gt;9,0,IF(COUNTIF(E6:Z6,"VAK")&gt;9,0,Medewerker!E8/120))))))))</f>
        <v/>
      </c>
      <c r="AF6" s="240" t="n"/>
      <c r="AG6" s="935">
        <f>SUM(G6,K6,O6,S6,W6,AA6,AE6)</f>
        <v/>
      </c>
      <c r="AH6" s="532">
        <f>COUNT(G6,K6,O6,S6,W6,AA6,AE6)-(COUNTIF(E6:AD6,"Vrij")/2)</f>
        <v/>
      </c>
      <c r="AI6" s="936">
        <f>Planning!AG6*24-Medewerker!E8</f>
        <v/>
      </c>
      <c r="AJ6" s="937">
        <f>IF(MAX(G6,K6,O6,S6,W6,AA6,AE6)*24&gt;Instellingen!$I$8,"nee","ja")</f>
        <v/>
      </c>
      <c r="AK6" s="254">
        <f>IF(AG6*24&gt;Instellingen!$I$9,"nee","ja")</f>
        <v/>
      </c>
      <c r="AL6" s="591" t="n"/>
    </row>
    <row r="7" ht="14.25" customHeight="1">
      <c r="A7" s="176">
        <f>IF(B7="",0,MAX($A$6:A6)+1)</f>
        <v/>
      </c>
      <c r="B7" s="241">
        <f>IF(Medewerker!C9="","",Medewerker!C9)</f>
        <v/>
      </c>
      <c r="C7" s="238">
        <f>Medewerker!AI9</f>
        <v/>
      </c>
      <c r="D7" s="240" t="n"/>
      <c r="E7" s="932">
        <f>IFERROR(IF(Medewerker!I9="",VLOOKUP($B7,Ma!$B$13:$E$63,3,FALSE),Medewerker!I9),"")</f>
        <v/>
      </c>
      <c r="F7" s="933">
        <f>IFERROR(IF(Medewerker!I9="",VLOOKUP($B7,Ma!$B$13:$E$63,4,FALSE),Medewerker!I9),"")</f>
        <v/>
      </c>
      <c r="G7" s="934">
        <f>IF(F7="OA",0,IF(F7="TA",0,IF(F7="VRIJ",0,IF(F7="ST",0,IFERROR(IF(F7="","",(F7/F7)*VLOOKUP($B7,Ma!$B$13:$AV$63,47,FALSE)/24),MAX(IFERROR((VLOOKUP($B7,Ma!$B$13:$AV$63,47,FALSE)/24),0),Medewerker!E9/120))))))</f>
        <v/>
      </c>
      <c r="H7" s="240" t="n"/>
      <c r="I7" s="933">
        <f>IFERROR(IF(Medewerker!M9="",VLOOKUP($B7,Di!$B$13:$E$63,3,FALSE),Medewerker!M9),"")</f>
        <v/>
      </c>
      <c r="J7" s="933">
        <f>IFERROR(IF(Medewerker!M9="",VLOOKUP($B7,Di!$B$13:$E$63,4,FALSE),Medewerker!M9),"")</f>
        <v/>
      </c>
      <c r="K7" s="934">
        <f>IF(J7="OA",0,IF(J7="TA",0,IF(J7="VRIJ",0,IF(J7="ST",0,IFERROR(IF(J7="","",(J7/J7)*VLOOKUP($B7,Di!$B$13:$AV$63,47,FALSE)/24),MAX(IFERROR((VLOOKUP($B7,Di!$B$13:$AV$63,47,FALSE)/24),0),Medewerker!E9/120))))))</f>
        <v/>
      </c>
      <c r="L7" s="240" t="n"/>
      <c r="M7" s="933">
        <f>IFERROR(IF(Medewerker!Q9="",VLOOKUP($B7,Wo!$B$13:$E$63,3,FALSE),Medewerker!Q9),"")</f>
        <v/>
      </c>
      <c r="N7" s="933">
        <f>IFERROR(IF(Medewerker!Q9="",VLOOKUP($B7,Wo!$B$13:$E$63,4,FALSE),Medewerker!Q9),"")</f>
        <v/>
      </c>
      <c r="O7" s="934">
        <f>IF(N7="OA",0,IF(N7="TA",0,IF(N7="VRIJ",0,IF(N7="ST",0,IFERROR(IF(N7="","",(N7/N7)*VLOOKUP($B7,Wo!$B$13:$AV$63,47,FALSE)/24),MAX(IFERROR((VLOOKUP($B7,Wo!$B$13:$AV$63,47,FALSE)/24),0),Medewerker!E9/120))))))</f>
        <v/>
      </c>
      <c r="P7" s="240" t="n"/>
      <c r="Q7" s="933">
        <f>IFERROR(IF(Medewerker!U9="",VLOOKUP($B7,Do!$B$13:$E$63,3,FALSE),Medewerker!U9),"")</f>
        <v/>
      </c>
      <c r="R7" s="933">
        <f>IFERROR(IF(Medewerker!U9="",VLOOKUP($B7,Do!$B$13:$E$63,4,FALSE),Medewerker!U9),"")</f>
        <v/>
      </c>
      <c r="S7" s="934">
        <f>IF(R7="OA",0,IF(R7="TA",0,IF(R7="VRIJ",0,IF(R7="ST",0,IFERROR(IF(R7="","",(R7/R7)*VLOOKUP($B7,Do!$B$13:$AV$63,47,FALSE)/24),MAX(IFERROR((VLOOKUP($B7,Do!$B$13:$AV$63,47,FALSE)/24),0),Medewerker!E9/120))))))</f>
        <v/>
      </c>
      <c r="T7" s="240" t="n"/>
      <c r="U7" s="933">
        <f>IFERROR(IF(Medewerker!Y9="",VLOOKUP($B7,Vr!$B$13:$E$63,3,FALSE),Medewerker!Y9),"")</f>
        <v/>
      </c>
      <c r="V7" s="933">
        <f>IFERROR(IF(Medewerker!Y9="",VLOOKUP($B7,Vr!$B$13:$E$63,4,FALSE),Medewerker!Y9),"")</f>
        <v/>
      </c>
      <c r="W7" s="934">
        <f>IF(V7="OA",0,IF(V7="TA",0,IF(V7="VRIJ",0,IF(V7="ST",0,IFERROR(IF(V7="","",(V7/V7)*VLOOKUP($B7,Vr!$B$13:$AV$63,47,FALSE)/24),MAX(IFERROR((VLOOKUP($B7,Vr!$B$13:$AV$63,47,FALSE)/24),0),Medewerker!E9/120))))))</f>
        <v/>
      </c>
      <c r="X7" s="240" t="n"/>
      <c r="Y7" s="933">
        <f>IFERROR(IF(Medewerker!AC9="",VLOOKUP($B7,Za!$B$13:$E$63,3,FALSE),Medewerker!AC9),"")</f>
        <v/>
      </c>
      <c r="Z7" s="933">
        <f>IFERROR(IF(Medewerker!AC9="",VLOOKUP($B7,Za!$B$13:$E$63,4,FALSE),Medewerker!AC9),"")</f>
        <v/>
      </c>
      <c r="AA7" s="934">
        <f>IF(Z7="OA",0,IF(Z7="TA",0,IF(Z7="VRIJ",0,IF(Z7="ST",0,IFERROR(IF(Z7="","",(Z7/Z7)*VLOOKUP($B7,Za!$B$13:$AV$63,47,FALSE)/24),MAX(IFERROR((VLOOKUP($B7,Za!$B$13:$AV$63,47,FALSE)/24),0),IF(COUNTIF(E7:V7,"ZIEK")&gt;9,0,IF(COUNTIF(E7:V7,"VAK")&gt;9,0,Medewerker!E9/120))))))))</f>
        <v/>
      </c>
      <c r="AB7" s="240" t="n"/>
      <c r="AC7" s="933">
        <f>IFERROR(IF(Medewerker!AG9="",VLOOKUP($B7,Zo!$B$13:$E$63,3,FALSE),Medewerker!AG9),"")</f>
        <v/>
      </c>
      <c r="AD7" s="933">
        <f>IFERROR(IF(Medewerker!AG9="",VLOOKUP($B7,Zo!$B$13:$E$63,4,FALSE),Medewerker!AG9),"")</f>
        <v/>
      </c>
      <c r="AE7" s="934">
        <f>IF(AD7="OA",0,IF(AD7="TA",0,IF(AD7="VRIJ",0,IF(AD7="ST",0,IFERROR(IF(AD7="","",(AD7/AD7)*VLOOKUP($B7,Zo!$B$13:$AV$63,47,FALSE)/24),MAX(IFERROR((VLOOKUP($B7,Zo!$B$13:$AV$63,47,FALSE)/24),0),IF(COUNTIF(E7:Z7,"ZIEK")&gt;9,0,IF(COUNTIF(E7:Z7,"VAK")&gt;9,0,Medewerker!E9/120))))))))</f>
        <v/>
      </c>
      <c r="AF7" s="240" t="n"/>
      <c r="AG7" s="935">
        <f>SUM(G7,K7,O7,S7,W7,AA7,AE7)</f>
        <v/>
      </c>
      <c r="AH7" s="532">
        <f>COUNT(G7,K7,O7,S7,W7,AA7,AE7)-(COUNTIF(E7:AD7,"Vrij")/2)</f>
        <v/>
      </c>
      <c r="AI7" s="936">
        <f>Planning!AG7*24-Medewerker!E9</f>
        <v/>
      </c>
      <c r="AJ7" s="254">
        <f>IF(MAX(G7,K7,O7,S7,W7,AA7,AE7)*24&gt;Instellingen!$I$8,"nee","ja")</f>
        <v/>
      </c>
      <c r="AK7" s="254">
        <f>IF(AG7*24&gt;Instellingen!$I$9,"nee","ja")</f>
        <v/>
      </c>
      <c r="AL7" s="592" t="n"/>
    </row>
    <row r="8" ht="14.25" customHeight="1">
      <c r="A8" s="176">
        <f>IF(B8="",0,MAX($A$6:A7)+1)</f>
        <v/>
      </c>
      <c r="B8" s="241">
        <f>IF(Medewerker!C10="","",Medewerker!C10)</f>
        <v/>
      </c>
      <c r="C8" s="238">
        <f>Medewerker!AI10</f>
        <v/>
      </c>
      <c r="D8" s="240" t="n"/>
      <c r="E8" s="932">
        <f>IFERROR(IF(Medewerker!I10="",VLOOKUP($B8,Ma!$B$13:$E$63,3,FALSE),Medewerker!I10),"")</f>
        <v/>
      </c>
      <c r="F8" s="933">
        <f>IFERROR(IF(Medewerker!I10="",VLOOKUP($B8,Ma!$B$13:$E$63,4,FALSE),Medewerker!I10),"")</f>
        <v/>
      </c>
      <c r="G8" s="934">
        <f>IF(F8="OA",0,IF(F8="TA",0,IF(F8="VRIJ",0,IF(F8="ST",0,IFERROR(IF(F8="","",(F8/F8)*VLOOKUP($B8,Ma!$B$13:$AV$63,47,FALSE)/24),MAX(IFERROR((VLOOKUP($B8,Ma!$B$13:$AV$63,47,FALSE)/24),0),Medewerker!E10/120))))))</f>
        <v/>
      </c>
      <c r="H8" s="240" t="n"/>
      <c r="I8" s="933">
        <f>IFERROR(IF(Medewerker!M10="",VLOOKUP($B8,Di!$B$13:$E$63,3,FALSE),Medewerker!M10),"")</f>
        <v/>
      </c>
      <c r="J8" s="933">
        <f>IFERROR(IF(Medewerker!M10="",VLOOKUP($B8,Di!$B$13:$E$63,4,FALSE),Medewerker!M10),"")</f>
        <v/>
      </c>
      <c r="K8" s="934">
        <f>IF(J8="OA",0,IF(J8="TA",0,IF(J8="VRIJ",0,IF(J8="ST",0,IFERROR(IF(J8="","",(J8/J8)*VLOOKUP($B8,Di!$B$13:$AV$63,47,FALSE)/24),MAX(IFERROR((VLOOKUP($B8,Di!$B$13:$AV$63,47,FALSE)/24),0),Medewerker!E10/120))))))</f>
        <v/>
      </c>
      <c r="L8" s="240" t="n"/>
      <c r="M8" s="933">
        <f>IFERROR(IF(Medewerker!Q10="",VLOOKUP($B8,Wo!$B$13:$E$63,3,FALSE),Medewerker!Q10),"")</f>
        <v/>
      </c>
      <c r="N8" s="933">
        <f>IFERROR(IF(Medewerker!Q10="",VLOOKUP($B8,Wo!$B$13:$E$63,4,FALSE),Medewerker!Q10),"")</f>
        <v/>
      </c>
      <c r="O8" s="934">
        <f>IF(N8="OA",0,IF(N8="TA",0,IF(N8="VRIJ",0,IF(N8="ST",0,IFERROR(IF(N8="","",(N8/N8)*VLOOKUP($B8,Wo!$B$13:$AV$63,47,FALSE)/24),MAX(IFERROR((VLOOKUP($B8,Wo!$B$13:$AV$63,47,FALSE)/24),0),Medewerker!E10/120))))))</f>
        <v/>
      </c>
      <c r="P8" s="240" t="n"/>
      <c r="Q8" s="933">
        <f>IFERROR(IF(Medewerker!U10="",VLOOKUP($B8,Do!$B$13:$E$63,3,FALSE),Medewerker!U10),"")</f>
        <v/>
      </c>
      <c r="R8" s="933">
        <f>IFERROR(IF(Medewerker!U10="",VLOOKUP($B8,Do!$B$13:$E$63,4,FALSE),Medewerker!U10),"")</f>
        <v/>
      </c>
      <c r="S8" s="934">
        <f>IF(R8="OA",0,IF(R8="TA",0,IF(R8="VRIJ",0,IF(R8="ST",0,IFERROR(IF(R8="","",(R8/R8)*VLOOKUP($B8,Do!$B$13:$AV$63,47,FALSE)/24),MAX(IFERROR((VLOOKUP($B8,Do!$B$13:$AV$63,47,FALSE)/24),0),Medewerker!E10/120))))))</f>
        <v/>
      </c>
      <c r="T8" s="240" t="n"/>
      <c r="U8" s="933">
        <f>IFERROR(IF(Medewerker!Y10="",VLOOKUP($B8,Vr!$B$13:$E$63,3,FALSE),Medewerker!Y10),"")</f>
        <v/>
      </c>
      <c r="V8" s="933">
        <f>IFERROR(IF(Medewerker!Y10="",VLOOKUP($B8,Vr!$B$13:$E$63,4,FALSE),Medewerker!Y10),"")</f>
        <v/>
      </c>
      <c r="W8" s="934">
        <f>IF(V8="OA",0,IF(V8="TA",0,IF(V8="VRIJ",0,IF(V8="ST",0,IFERROR(IF(V8="","",(V8/V8)*VLOOKUP($B8,Vr!$B$13:$AV$63,47,FALSE)/24),MAX(IFERROR((VLOOKUP($B8,Vr!$B$13:$AV$63,47,FALSE)/24),0),Medewerker!E10/120))))))</f>
        <v/>
      </c>
      <c r="X8" s="240" t="n"/>
      <c r="Y8" s="933">
        <f>IFERROR(IF(Medewerker!AC10="",VLOOKUP($B8,Za!$B$13:$E$63,3,FALSE),Medewerker!AC10),"")</f>
        <v/>
      </c>
      <c r="Z8" s="933">
        <f>IFERROR(IF(Medewerker!AC10="",VLOOKUP($B8,Za!$B$13:$E$63,4,FALSE),Medewerker!AC10),"")</f>
        <v/>
      </c>
      <c r="AA8" s="934">
        <f>IF(Z8="OA",0,IF(Z8="TA",0,IF(Z8="VRIJ",0,IF(Z8="ST",0,IFERROR(IF(Z8="","",(Z8/Z8)*VLOOKUP($B8,Za!$B$13:$AV$63,47,FALSE)/24),MAX(IFERROR((VLOOKUP($B8,Za!$B$13:$AV$63,47,FALSE)/24),0),IF(COUNTIF(E8:V8,"ZIEK")&gt;9,0,IF(COUNTIF(E8:V8,"VAK")&gt;9,0,Medewerker!E10/120))))))))</f>
        <v/>
      </c>
      <c r="AB8" s="240" t="n"/>
      <c r="AC8" s="933">
        <f>IFERROR(IF(Medewerker!AG10="",VLOOKUP($B8,Zo!$B$13:$E$63,3,FALSE),Medewerker!AG10),"")</f>
        <v/>
      </c>
      <c r="AD8" s="933">
        <f>IFERROR(IF(Medewerker!AG10="",VLOOKUP($B8,Zo!$B$13:$E$63,4,FALSE),Medewerker!AG10),"")</f>
        <v/>
      </c>
      <c r="AE8" s="934">
        <f>IF(AD8="OA",0,IF(AD8="TA",0,IF(AD8="VRIJ",0,IF(AD8="ST",0,IFERROR(IF(AD8="","",(AD8/AD8)*VLOOKUP($B8,Zo!$B$13:$AV$63,47,FALSE)/24),MAX(IFERROR((VLOOKUP($B8,Zo!$B$13:$AV$63,47,FALSE)/24),0),IF(COUNTIF(E8:Z8,"ZIEK")&gt;9,0,IF(COUNTIF(E8:Z8,"VAK")&gt;9,0,Medewerker!E10/120))))))))</f>
        <v/>
      </c>
      <c r="AF8" s="240" t="n"/>
      <c r="AG8" s="935">
        <f>SUM(G8,K8,O8,S8,W8,AA8,AE8)</f>
        <v/>
      </c>
      <c r="AH8" s="532">
        <f>COUNT(G8,K8,O8,S8,W8,AA8,AE8)-(COUNTIF(E8:AD8,"Vrij")/2)</f>
        <v/>
      </c>
      <c r="AI8" s="936">
        <f>Planning!AG8*24-Medewerker!E10</f>
        <v/>
      </c>
      <c r="AJ8" s="254">
        <f>IF(MAX(G8,K8,O8,S8,W8,AA8,AE8)*24&gt;Instellingen!$I$8,"nee","ja")</f>
        <v/>
      </c>
      <c r="AK8" s="254">
        <f>IF(AG8*24&gt;Instellingen!$I$9,"nee","ja")</f>
        <v/>
      </c>
    </row>
    <row r="9" ht="14.25" customHeight="1">
      <c r="A9" s="176">
        <f>IF(B9="",0,MAX($A$6:A8)+1)</f>
        <v/>
      </c>
      <c r="B9" s="241">
        <f>IF(Medewerker!C11="","",Medewerker!C11)</f>
        <v/>
      </c>
      <c r="C9" s="238">
        <f>Medewerker!AI11</f>
        <v/>
      </c>
      <c r="D9" s="240" t="n"/>
      <c r="E9" s="932">
        <f>IFERROR(IF(Medewerker!I11="",VLOOKUP($B9,Ma!$B$13:$E$63,3,FALSE),Medewerker!I11),"")</f>
        <v/>
      </c>
      <c r="F9" s="933">
        <f>IFERROR(IF(Medewerker!I11="",VLOOKUP($B9,Ma!$B$13:$E$63,4,FALSE),Medewerker!I11),"")</f>
        <v/>
      </c>
      <c r="G9" s="934">
        <f>IF(F9="OA",0,IF(F9="TA",0,IF(F9="VRIJ",0,IF(F9="ST",0,IFERROR(IF(F9="","",(F9/F9)*VLOOKUP($B9,Ma!$B$13:$AV$63,47,FALSE)/24),MAX(IFERROR((VLOOKUP($B9,Ma!$B$13:$AV$63,47,FALSE)/24),0),Medewerker!E11/120))))))</f>
        <v/>
      </c>
      <c r="H9" s="240" t="n"/>
      <c r="I9" s="933">
        <f>IFERROR(IF(Medewerker!M11="",VLOOKUP($B9,Di!$B$13:$E$63,3,FALSE),Medewerker!M11),"")</f>
        <v/>
      </c>
      <c r="J9" s="933">
        <f>IFERROR(IF(Medewerker!M11="",VLOOKUP($B9,Di!$B$13:$E$63,4,FALSE),Medewerker!M11),"")</f>
        <v/>
      </c>
      <c r="K9" s="934">
        <f>IF(J9="OA",0,IF(J9="TA",0,IF(J9="VRIJ",0,IF(J9="ST",0,IFERROR(IF(J9="","",(J9/J9)*VLOOKUP($B9,Di!$B$13:$AV$63,47,FALSE)/24),MAX(IFERROR((VLOOKUP($B9,Di!$B$13:$AV$63,47,FALSE)/24),0),Medewerker!E11/120))))))</f>
        <v/>
      </c>
      <c r="L9" s="240" t="n"/>
      <c r="M9" s="933">
        <f>IFERROR(IF(Medewerker!Q11="",VLOOKUP($B9,Wo!$B$13:$E$63,3,FALSE),Medewerker!Q11),"")</f>
        <v/>
      </c>
      <c r="N9" s="933">
        <f>IFERROR(IF(Medewerker!Q11="",VLOOKUP($B9,Wo!$B$13:$E$63,4,FALSE),Medewerker!Q11),"")</f>
        <v/>
      </c>
      <c r="O9" s="934">
        <f>IF(N9="OA",0,IF(N9="TA",0,IF(N9="VRIJ",0,IF(N9="ST",0,IFERROR(IF(N9="","",(N9/N9)*VLOOKUP($B9,Wo!$B$13:$AV$63,47,FALSE)/24),MAX(IFERROR((VLOOKUP($B9,Wo!$B$13:$AV$63,47,FALSE)/24),0),Medewerker!E11/120))))))</f>
        <v/>
      </c>
      <c r="P9" s="240" t="n"/>
      <c r="Q9" s="933">
        <f>IFERROR(IF(Medewerker!U11="",VLOOKUP($B9,Do!$B$13:$E$63,3,FALSE),Medewerker!U11),"")</f>
        <v/>
      </c>
      <c r="R9" s="933">
        <f>IFERROR(IF(Medewerker!U11="",VLOOKUP($B9,Do!$B$13:$E$63,4,FALSE),Medewerker!U11),"")</f>
        <v/>
      </c>
      <c r="S9" s="934">
        <f>IF(R9="OA",0,IF(R9="TA",0,IF(R9="VRIJ",0,IF(R9="ST",0,IFERROR(IF(R9="","",(R9/R9)*VLOOKUP($B9,Do!$B$13:$AV$63,47,FALSE)/24),MAX(IFERROR((VLOOKUP($B9,Do!$B$13:$AV$63,47,FALSE)/24),0),Medewerker!E11/120))))))</f>
        <v/>
      </c>
      <c r="T9" s="240" t="n"/>
      <c r="U9" s="933">
        <f>IFERROR(IF(Medewerker!Y11="",VLOOKUP($B9,Vr!$B$13:$E$63,3,FALSE),Medewerker!Y11),"")</f>
        <v/>
      </c>
      <c r="V9" s="933">
        <f>IFERROR(IF(Medewerker!Y11="",VLOOKUP($B9,Vr!$B$13:$E$63,4,FALSE),Medewerker!Y11),"")</f>
        <v/>
      </c>
      <c r="W9" s="934">
        <f>IF(V9="OA",0,IF(V9="TA",0,IF(V9="VRIJ",0,IF(V9="ST",0,IFERROR(IF(V9="","",(V9/V9)*VLOOKUP($B9,Vr!$B$13:$AV$63,47,FALSE)/24),MAX(IFERROR((VLOOKUP($B9,Vr!$B$13:$AV$63,47,FALSE)/24),0),Medewerker!E11/120))))))</f>
        <v/>
      </c>
      <c r="X9" s="240" t="n"/>
      <c r="Y9" s="933">
        <f>IFERROR(IF(Medewerker!AC11="",VLOOKUP($B9,Za!$B$13:$E$63,3,FALSE),Medewerker!AC11),"")</f>
        <v/>
      </c>
      <c r="Z9" s="933">
        <f>IFERROR(IF(Medewerker!AC11="",VLOOKUP($B9,Za!$B$13:$E$63,4,FALSE),Medewerker!AC11),"")</f>
        <v/>
      </c>
      <c r="AA9" s="934">
        <f>IF(Z9="OA",0,IF(Z9="TA",0,IF(Z9="VRIJ",0,IF(Z9="ST",0,IFERROR(IF(Z9="","",(Z9/Z9)*VLOOKUP($B9,Za!$B$13:$AV$63,47,FALSE)/24),MAX(IFERROR((VLOOKUP($B9,Za!$B$13:$AV$63,47,FALSE)/24),0),IF(COUNTIF(E9:V9,"ZIEK")&gt;9,0,IF(COUNTIF(E9:V9,"VAK")&gt;9,0,Medewerker!E11/120))))))))</f>
        <v/>
      </c>
      <c r="AB9" s="240" t="n"/>
      <c r="AC9" s="933">
        <f>IFERROR(IF(Medewerker!AG11="",VLOOKUP($B9,Zo!$B$13:$E$63,3,FALSE),Medewerker!AG11),"")</f>
        <v/>
      </c>
      <c r="AD9" s="933">
        <f>IFERROR(IF(Medewerker!AG11="",VLOOKUP($B9,Zo!$B$13:$E$63,4,FALSE),Medewerker!AG11),"")</f>
        <v/>
      </c>
      <c r="AE9" s="934">
        <f>IF(AD9="OA",0,IF(AD9="TA",0,IF(AD9="VRIJ",0,IF(AD9="ST",0,IFERROR(IF(AD9="","",(AD9/AD9)*VLOOKUP($B9,Zo!$B$13:$AV$63,47,FALSE)/24),MAX(IFERROR((VLOOKUP($B9,Zo!$B$13:$AV$63,47,FALSE)/24),0),IF(COUNTIF(E9:Z9,"ZIEK")&gt;9,0,IF(COUNTIF(E9:Z9,"VAK")&gt;9,0,Medewerker!E11/120))))))))</f>
        <v/>
      </c>
      <c r="AF9" s="240" t="n"/>
      <c r="AG9" s="935">
        <f>SUM(G9,K9,O9,S9,W9,AA9,AE9)</f>
        <v/>
      </c>
      <c r="AH9" s="532">
        <f>COUNT(G9,K9,O9,S9,W9,AA9,AE9)-(COUNTIF(E9:AD9,"Vrij")/2)</f>
        <v/>
      </c>
      <c r="AI9" s="936">
        <f>Planning!AG9*24-Medewerker!E11</f>
        <v/>
      </c>
      <c r="AJ9" s="254">
        <f>IF(MAX(G9,K9,O9,S9,W9,AA9,AE9)*24&gt;Instellingen!$I$8,"nee","ja")</f>
        <v/>
      </c>
      <c r="AK9" s="254">
        <f>IF(AG9*24&gt;Instellingen!$I$9,"nee","ja")</f>
        <v/>
      </c>
    </row>
    <row r="10" ht="14.25" customHeight="1">
      <c r="A10" s="176">
        <f>IF(B10="",0,MAX($A$6:A9)+1)</f>
        <v/>
      </c>
      <c r="B10" s="241">
        <f>IF(Medewerker!C12="","",Medewerker!C12)</f>
        <v/>
      </c>
      <c r="C10" s="238">
        <f>Medewerker!AI12</f>
        <v/>
      </c>
      <c r="D10" s="240" t="n"/>
      <c r="E10" s="932">
        <f>IFERROR(IF(Medewerker!I12="",VLOOKUP($B10,Ma!$B$13:$E$63,3,FALSE),Medewerker!I12),"")</f>
        <v/>
      </c>
      <c r="F10" s="933">
        <f>IFERROR(IF(Medewerker!I12="",VLOOKUP($B10,Ma!$B$13:$E$63,4,FALSE),Medewerker!I12),"")</f>
        <v/>
      </c>
      <c r="G10" s="934">
        <f>IF(F10="OA",0,IF(F10="TA",0,IF(F10="VRIJ",0,IF(F10="ST",0,IFERROR(IF(F10="","",(F10/F10)*VLOOKUP($B10,Ma!$B$13:$AV$63,47,FALSE)/24),MAX(IFERROR((VLOOKUP($B10,Ma!$B$13:$AV$63,47,FALSE)/24),0),Medewerker!E12/120))))))</f>
        <v/>
      </c>
      <c r="H10" s="240" t="n"/>
      <c r="I10" s="933">
        <f>IFERROR(IF(Medewerker!M12="",VLOOKUP($B10,Di!$B$13:$E$63,3,FALSE),Medewerker!M12),"")</f>
        <v/>
      </c>
      <c r="J10" s="933">
        <f>IFERROR(IF(Medewerker!M12="",VLOOKUP($B10,Di!$B$13:$E$63,4,FALSE),Medewerker!M12),"")</f>
        <v/>
      </c>
      <c r="K10" s="934">
        <f>IF(J10="OA",0,IF(J10="TA",0,IF(J10="VRIJ",0,IF(J10="ST",0,IFERROR(IF(J10="","",(J10/J10)*VLOOKUP($B10,Di!$B$13:$AV$63,47,FALSE)/24),MAX(IFERROR((VLOOKUP($B10,Di!$B$13:$AV$63,47,FALSE)/24),0),Medewerker!E12/120))))))</f>
        <v/>
      </c>
      <c r="L10" s="240" t="n"/>
      <c r="M10" s="933">
        <f>IFERROR(IF(Medewerker!Q12="",VLOOKUP($B10,Wo!$B$13:$E$63,3,FALSE),Medewerker!Q12),"")</f>
        <v/>
      </c>
      <c r="N10" s="933">
        <f>IFERROR(IF(Medewerker!Q12="",VLOOKUP($B10,Wo!$B$13:$E$63,4,FALSE),Medewerker!Q12),"")</f>
        <v/>
      </c>
      <c r="O10" s="934">
        <f>IF(N10="OA",0,IF(N10="TA",0,IF(N10="VRIJ",0,IF(N10="ST",0,IFERROR(IF(N10="","",(N10/N10)*VLOOKUP($B10,Wo!$B$13:$AV$63,47,FALSE)/24),MAX(IFERROR((VLOOKUP($B10,Wo!$B$13:$AV$63,47,FALSE)/24),0),Medewerker!E12/120))))))</f>
        <v/>
      </c>
      <c r="P10" s="240" t="n"/>
      <c r="Q10" s="933">
        <f>IFERROR(IF(Medewerker!U12="",VLOOKUP($B10,Do!$B$13:$E$63,3,FALSE),Medewerker!U12),"")</f>
        <v/>
      </c>
      <c r="R10" s="933">
        <f>IFERROR(IF(Medewerker!U12="",VLOOKUP($B10,Do!$B$13:$E$63,4,FALSE),Medewerker!U12),"")</f>
        <v/>
      </c>
      <c r="S10" s="934">
        <f>IF(R10="OA",0,IF(R10="TA",0,IF(R10="VRIJ",0,IF(R10="ST",0,IFERROR(IF(R10="","",(R10/R10)*VLOOKUP($B10,Do!$B$13:$AV$63,47,FALSE)/24),MAX(IFERROR((VLOOKUP($B10,Do!$B$13:$AV$63,47,FALSE)/24),0),Medewerker!E12/120))))))</f>
        <v/>
      </c>
      <c r="T10" s="240" t="n"/>
      <c r="U10" s="933">
        <f>IFERROR(IF(Medewerker!Y12="",VLOOKUP($B10,Vr!$B$13:$E$63,3,FALSE),Medewerker!Y12),"")</f>
        <v/>
      </c>
      <c r="V10" s="933">
        <f>IFERROR(IF(Medewerker!Y12="",VLOOKUP($B10,Vr!$B$13:$E$63,4,FALSE),Medewerker!Y12),"")</f>
        <v/>
      </c>
      <c r="W10" s="934">
        <f>IF(V10="OA",0,IF(V10="TA",0,IF(V10="VRIJ",0,IF(V10="ST",0,IFERROR(IF(V10="","",(V10/V10)*VLOOKUP($B10,Vr!$B$13:$AV$63,47,FALSE)/24),MAX(IFERROR((VLOOKUP($B10,Vr!$B$13:$AV$63,47,FALSE)/24),0),Medewerker!E12/120))))))</f>
        <v/>
      </c>
      <c r="X10" s="240" t="n"/>
      <c r="Y10" s="933">
        <f>IFERROR(IF(Medewerker!AC12="",VLOOKUP($B10,Za!$B$13:$E$63,3,FALSE),Medewerker!AC12),"")</f>
        <v/>
      </c>
      <c r="Z10" s="933">
        <f>IFERROR(IF(Medewerker!AC12="",VLOOKUP($B10,Za!$B$13:$E$63,4,FALSE),Medewerker!AC12),"")</f>
        <v/>
      </c>
      <c r="AA10" s="934">
        <f>IF(Z10="OA",0,IF(Z10="TA",0,IF(Z10="VRIJ",0,IF(Z10="ST",0,IFERROR(IF(Z10="","",(Z10/Z10)*VLOOKUP($B10,Za!$B$13:$AV$63,47,FALSE)/24),MAX(IFERROR((VLOOKUP($B10,Za!$B$13:$AV$63,47,FALSE)/24),0),IF(COUNTIF(E10:V10,"ZIEK")&gt;9,0,IF(COUNTIF(E10:V10,"VAK")&gt;9,0,Medewerker!E12/120))))))))</f>
        <v/>
      </c>
      <c r="AB10" s="240" t="n"/>
      <c r="AC10" s="933">
        <f>IFERROR(IF(Medewerker!AG12="",VLOOKUP($B10,Zo!$B$13:$E$63,3,FALSE),Medewerker!AG12),"")</f>
        <v/>
      </c>
      <c r="AD10" s="933">
        <f>IFERROR(IF(Medewerker!AG12="",VLOOKUP($B10,Zo!$B$13:$E$63,4,FALSE),Medewerker!AG12),"")</f>
        <v/>
      </c>
      <c r="AE10" s="934">
        <f>IF(AD10="OA",0,IF(AD10="TA",0,IF(AD10="VRIJ",0,IF(AD10="ST",0,IFERROR(IF(AD10="","",(AD10/AD10)*VLOOKUP($B10,Zo!$B$13:$AV$63,47,FALSE)/24),MAX(IFERROR((VLOOKUP($B10,Zo!$B$13:$AV$63,47,FALSE)/24),0),IF(COUNTIF(E10:Z10,"ZIEK")&gt;9,0,IF(COUNTIF(E10:Z10,"VAK")&gt;9,0,Medewerker!E12/120))))))))</f>
        <v/>
      </c>
      <c r="AF10" s="240" t="n"/>
      <c r="AG10" s="935">
        <f>SUM(G10,K10,O10,S10,W10,AA10,AE10)</f>
        <v/>
      </c>
      <c r="AH10" s="532">
        <f>COUNT(G10,K10,O10,S10,W10,AA10,AE10)-(COUNTIF(E10:AD10,"Vrij")/2)</f>
        <v/>
      </c>
      <c r="AI10" s="936">
        <f>Planning!AG10*24-Medewerker!E12</f>
        <v/>
      </c>
      <c r="AJ10" s="254">
        <f>IF(MAX(G10,K10,O10,S10,W10,AA10,AE10)*24&gt;Instellingen!$I$8,"nee","ja")</f>
        <v/>
      </c>
      <c r="AK10" s="254">
        <f>IF(AG10*24&gt;Instellingen!$I$9,"nee","ja")</f>
        <v/>
      </c>
    </row>
    <row r="11" ht="14.25" customHeight="1">
      <c r="A11" s="176">
        <f>IF(B11="",0,MAX($A$6:A10)+1)</f>
        <v/>
      </c>
      <c r="B11" s="241">
        <f>IF(Medewerker!C13="","",Medewerker!C13)</f>
        <v/>
      </c>
      <c r="C11" s="238">
        <f>Medewerker!AI13</f>
        <v/>
      </c>
      <c r="D11" s="240" t="n"/>
      <c r="E11" s="932">
        <f>IFERROR(IF(Medewerker!I13="",VLOOKUP($B11,Ma!$B$13:$E$63,3,FALSE),Medewerker!I13),"")</f>
        <v/>
      </c>
      <c r="F11" s="933">
        <f>IFERROR(IF(Medewerker!I13="",VLOOKUP($B11,Ma!$B$13:$E$63,4,FALSE),Medewerker!I13),"")</f>
        <v/>
      </c>
      <c r="G11" s="934">
        <f>IF(F11="OA",0,IF(F11="TA",0,IF(F11="VRIJ",0,IF(F11="ST",0,IFERROR(IF(F11="","",(F11/F11)*VLOOKUP($B11,Ma!$B$13:$AV$63,47,FALSE)/24),MAX(IFERROR((VLOOKUP($B11,Ma!$B$13:$AV$63,47,FALSE)/24),0),Medewerker!E13/120))))))</f>
        <v/>
      </c>
      <c r="H11" s="240" t="n"/>
      <c r="I11" s="933">
        <f>IFERROR(IF(Medewerker!M13="",VLOOKUP($B11,Di!$B$13:$E$63,3,FALSE),Medewerker!M13),"")</f>
        <v/>
      </c>
      <c r="J11" s="933">
        <f>IFERROR(IF(Medewerker!M13="",VLOOKUP($B11,Di!$B$13:$E$63,4,FALSE),Medewerker!M13),"")</f>
        <v/>
      </c>
      <c r="K11" s="934">
        <f>IF(J11="OA",0,IF(J11="TA",0,IF(J11="VRIJ",0,IF(J11="ST",0,IFERROR(IF(J11="","",(J11/J11)*VLOOKUP($B11,Di!$B$13:$AV$63,47,FALSE)/24),MAX(IFERROR((VLOOKUP($B11,Di!$B$13:$AV$63,47,FALSE)/24),0),Medewerker!E13/120))))))</f>
        <v/>
      </c>
      <c r="L11" s="240" t="n"/>
      <c r="M11" s="933">
        <f>IFERROR(IF(Medewerker!Q13="",VLOOKUP($B11,Wo!$B$13:$E$63,3,FALSE),Medewerker!Q13),"")</f>
        <v/>
      </c>
      <c r="N11" s="933">
        <f>IFERROR(IF(Medewerker!Q13="",VLOOKUP($B11,Wo!$B$13:$E$63,4,FALSE),Medewerker!Q13),"")</f>
        <v/>
      </c>
      <c r="O11" s="934">
        <f>IF(N11="OA",0,IF(N11="TA",0,IF(N11="VRIJ",0,IF(N11="ST",0,IFERROR(IF(N11="","",(N11/N11)*VLOOKUP($B11,Wo!$B$13:$AV$63,47,FALSE)/24),MAX(IFERROR((VLOOKUP($B11,Wo!$B$13:$AV$63,47,FALSE)/24),0),Medewerker!E13/120))))))</f>
        <v/>
      </c>
      <c r="P11" s="240" t="n"/>
      <c r="Q11" s="933">
        <f>IFERROR(IF(Medewerker!U13="",VLOOKUP($B11,Do!$B$13:$E$63,3,FALSE),Medewerker!U13),"")</f>
        <v/>
      </c>
      <c r="R11" s="933">
        <f>IFERROR(IF(Medewerker!U13="",VLOOKUP($B11,Do!$B$13:$E$63,4,FALSE),Medewerker!U13),"")</f>
        <v/>
      </c>
      <c r="S11" s="934">
        <f>IF(R11="OA",0,IF(R11="TA",0,IF(R11="VRIJ",0,IF(R11="ST",0,IFERROR(IF(R11="","",(R11/R11)*VLOOKUP($B11,Do!$B$13:$AV$63,47,FALSE)/24),MAX(IFERROR((VLOOKUP($B11,Do!$B$13:$AV$63,47,FALSE)/24),0),Medewerker!E13/120))))))</f>
        <v/>
      </c>
      <c r="T11" s="240" t="n"/>
      <c r="U11" s="933">
        <f>IFERROR(IF(Medewerker!Y13="",VLOOKUP($B11,Vr!$B$13:$E$63,3,FALSE),Medewerker!Y13),"")</f>
        <v/>
      </c>
      <c r="V11" s="933">
        <f>IFERROR(IF(Medewerker!Y13="",VLOOKUP($B11,Vr!$B$13:$E$63,4,FALSE),Medewerker!Y13),"")</f>
        <v/>
      </c>
      <c r="W11" s="934">
        <f>IF(V11="OA",0,IF(V11="TA",0,IF(V11="VRIJ",0,IF(V11="ST",0,IFERROR(IF(V11="","",(V11/V11)*VLOOKUP($B11,Vr!$B$13:$AV$63,47,FALSE)/24),MAX(IFERROR((VLOOKUP($B11,Vr!$B$13:$AV$63,47,FALSE)/24),0),Medewerker!E13/120))))))</f>
        <v/>
      </c>
      <c r="X11" s="240" t="n"/>
      <c r="Y11" s="933">
        <f>IFERROR(IF(Medewerker!AC13="",VLOOKUP($B11,Za!$B$13:$E$63,3,FALSE),Medewerker!AC13),"")</f>
        <v/>
      </c>
      <c r="Z11" s="933">
        <f>IFERROR(IF(Medewerker!AC13="",VLOOKUP($B11,Za!$B$13:$E$63,4,FALSE),Medewerker!AC13),"")</f>
        <v/>
      </c>
      <c r="AA11" s="934">
        <f>IF(Z11="OA",0,IF(Z11="TA",0,IF(Z11="VRIJ",0,IF(Z11="ST",0,IFERROR(IF(Z11="","",(Z11/Z11)*VLOOKUP($B11,Za!$B$13:$AV$63,47,FALSE)/24),MAX(IFERROR((VLOOKUP($B11,Za!$B$13:$AV$63,47,FALSE)/24),0),IF(COUNTIF(E11:V11,"ZIEK")&gt;9,0,IF(COUNTIF(E11:V11,"VAK")&gt;9,0,Medewerker!E13/120))))))))</f>
        <v/>
      </c>
      <c r="AB11" s="240" t="n"/>
      <c r="AC11" s="933">
        <f>IFERROR(IF(Medewerker!AG13="",VLOOKUP($B11,Zo!$B$13:$E$63,3,FALSE),Medewerker!AG13),"")</f>
        <v/>
      </c>
      <c r="AD11" s="933">
        <f>IFERROR(IF(Medewerker!AG13="",VLOOKUP($B11,Zo!$B$13:$E$63,4,FALSE),Medewerker!AG13),"")</f>
        <v/>
      </c>
      <c r="AE11" s="934">
        <f>IF(AD11="OA",0,IF(AD11="TA",0,IF(AD11="VRIJ",0,IF(AD11="ST",0,IFERROR(IF(AD11="","",(AD11/AD11)*VLOOKUP($B11,Zo!$B$13:$AV$63,47,FALSE)/24),MAX(IFERROR((VLOOKUP($B11,Zo!$B$13:$AV$63,47,FALSE)/24),0),IF(COUNTIF(E11:Z11,"ZIEK")&gt;9,0,IF(COUNTIF(E11:Z11,"VAK")&gt;9,0,Medewerker!E13/120))))))))</f>
        <v/>
      </c>
      <c r="AF11" s="240" t="n"/>
      <c r="AG11" s="935">
        <f>SUM(G11,K11,O11,S11,W11,AA11,AE11)</f>
        <v/>
      </c>
      <c r="AH11" s="532">
        <f>COUNT(G11,K11,O11,S11,W11,AA11,AE11)-(COUNTIF(E11:AD11,"Vrij")/2)</f>
        <v/>
      </c>
      <c r="AI11" s="936">
        <f>Planning!AG11*24-Medewerker!E13</f>
        <v/>
      </c>
      <c r="AJ11" s="254">
        <f>IF(MAX(G11,K11,O11,S11,W11,AA11,AE11)*24&gt;Instellingen!$I$8,"nee","ja")</f>
        <v/>
      </c>
      <c r="AK11" s="254">
        <f>IF(AG11*24&gt;Instellingen!$I$9,"nee","ja")</f>
        <v/>
      </c>
    </row>
    <row r="12" ht="14.25" customHeight="1">
      <c r="A12" s="176">
        <f>IF(B12="",0,MAX($A$6:A11)+1)</f>
        <v/>
      </c>
      <c r="B12" s="241">
        <f>IF(Medewerker!C14="","",Medewerker!C14)</f>
        <v/>
      </c>
      <c r="C12" s="238">
        <f>Medewerker!AI14</f>
        <v/>
      </c>
      <c r="D12" s="240" t="n"/>
      <c r="E12" s="932">
        <f>IFERROR(IF(Medewerker!I14="",VLOOKUP($B12,Ma!$B$13:$E$63,3,FALSE),Medewerker!I14),"")</f>
        <v/>
      </c>
      <c r="F12" s="933">
        <f>IFERROR(IF(Medewerker!I14="",VLOOKUP($B12,Ma!$B$13:$E$63,4,FALSE),Medewerker!I14),"")</f>
        <v/>
      </c>
      <c r="G12" s="934">
        <f>IF(F12="OA",0,IF(F12="TA",0,IF(F12="VRIJ",0,IF(F12="ST",0,IFERROR(IF(F12="","",(F12/F12)*VLOOKUP($B12,Ma!$B$13:$AV$63,47,FALSE)/24),MAX(IFERROR((VLOOKUP($B12,Ma!$B$13:$AV$63,47,FALSE)/24),0),Medewerker!E14/120))))))</f>
        <v/>
      </c>
      <c r="H12" s="240" t="n"/>
      <c r="I12" s="933">
        <f>IFERROR(IF(Medewerker!M14="",VLOOKUP($B12,Di!$B$13:$E$63,3,FALSE),Medewerker!M14),"")</f>
        <v/>
      </c>
      <c r="J12" s="933">
        <f>IFERROR(IF(Medewerker!M14="",VLOOKUP($B12,Di!$B$13:$E$63,4,FALSE),Medewerker!M14),"")</f>
        <v/>
      </c>
      <c r="K12" s="934">
        <f>IF(J12="OA",0,IF(J12="TA",0,IF(J12="VRIJ",0,IF(J12="ST",0,IFERROR(IF(J12="","",(J12/J12)*VLOOKUP($B12,Di!$B$13:$AV$63,47,FALSE)/24),MAX(IFERROR((VLOOKUP($B12,Di!$B$13:$AV$63,47,FALSE)/24),0),Medewerker!E14/120))))))</f>
        <v/>
      </c>
      <c r="L12" s="240" t="n"/>
      <c r="M12" s="933">
        <f>IFERROR(IF(Medewerker!Q14="",VLOOKUP($B12,Wo!$B$13:$E$63,3,FALSE),Medewerker!Q14),"")</f>
        <v/>
      </c>
      <c r="N12" s="933">
        <f>IFERROR(IF(Medewerker!Q14="",VLOOKUP($B12,Wo!$B$13:$E$63,4,FALSE),Medewerker!Q14),"")</f>
        <v/>
      </c>
      <c r="O12" s="934">
        <f>IF(N12="OA",0,IF(N12="TA",0,IF(N12="VRIJ",0,IF(N12="ST",0,IFERROR(IF(N12="","",(N12/N12)*VLOOKUP($B12,Wo!$B$13:$AV$63,47,FALSE)/24),MAX(IFERROR((VLOOKUP($B12,Wo!$B$13:$AV$63,47,FALSE)/24),0),Medewerker!E14/120))))))</f>
        <v/>
      </c>
      <c r="P12" s="240" t="n"/>
      <c r="Q12" s="933">
        <f>IFERROR(IF(Medewerker!U14="",VLOOKUP($B12,Do!$B$13:$E$63,3,FALSE),Medewerker!U14),"")</f>
        <v/>
      </c>
      <c r="R12" s="933">
        <f>IFERROR(IF(Medewerker!U14="",VLOOKUP($B12,Do!$B$13:$E$63,4,FALSE),Medewerker!U14),"")</f>
        <v/>
      </c>
      <c r="S12" s="934">
        <f>IF(R12="OA",0,IF(R12="TA",0,IF(R12="VRIJ",0,IF(R12="ST",0,IFERROR(IF(R12="","",(R12/R12)*VLOOKUP($B12,Do!$B$13:$AV$63,47,FALSE)/24),MAX(IFERROR((VLOOKUP($B12,Do!$B$13:$AV$63,47,FALSE)/24),0),Medewerker!E14/120))))))</f>
        <v/>
      </c>
      <c r="T12" s="240" t="n"/>
      <c r="U12" s="933">
        <f>IFERROR(IF(Medewerker!Y14="",VLOOKUP($B12,Vr!$B$13:$E$63,3,FALSE),Medewerker!Y14),"")</f>
        <v/>
      </c>
      <c r="V12" s="933">
        <f>IFERROR(IF(Medewerker!Y14="",VLOOKUP($B12,Vr!$B$13:$E$63,4,FALSE),Medewerker!Y14),"")</f>
        <v/>
      </c>
      <c r="W12" s="934">
        <f>IF(V12="OA",0,IF(V12="TA",0,IF(V12="VRIJ",0,IF(V12="ST",0,IFERROR(IF(V12="","",(V12/V12)*VLOOKUP($B12,Vr!$B$13:$AV$63,47,FALSE)/24),MAX(IFERROR((VLOOKUP($B12,Vr!$B$13:$AV$63,47,FALSE)/24),0),Medewerker!E14/120))))))</f>
        <v/>
      </c>
      <c r="X12" s="240" t="n"/>
      <c r="Y12" s="933">
        <f>IFERROR(IF(Medewerker!AC14="",VLOOKUP($B12,Za!$B$13:$E$63,3,FALSE),Medewerker!AC14),"")</f>
        <v/>
      </c>
      <c r="Z12" s="933">
        <f>IFERROR(IF(Medewerker!AC14="",VLOOKUP($B12,Za!$B$13:$E$63,4,FALSE),Medewerker!AC14),"")</f>
        <v/>
      </c>
      <c r="AA12" s="934">
        <f>IF(Z12="OA",0,IF(Z12="TA",0,IF(Z12="VRIJ",0,IF(Z12="ST",0,IFERROR(IF(Z12="","",(Z12/Z12)*VLOOKUP($B12,Za!$B$13:$AV$63,47,FALSE)/24),MAX(IFERROR((VLOOKUP($B12,Za!$B$13:$AV$63,47,FALSE)/24),0),IF(COUNTIF(E12:V12,"ZIEK")&gt;9,0,IF(COUNTIF(E12:V12,"VAK")&gt;9,0,Medewerker!E14/120))))))))</f>
        <v/>
      </c>
      <c r="AB12" s="240" t="n"/>
      <c r="AC12" s="933">
        <f>IFERROR(IF(Medewerker!AG14="",VLOOKUP($B12,Zo!$B$13:$E$63,3,FALSE),Medewerker!AG14),"")</f>
        <v/>
      </c>
      <c r="AD12" s="933">
        <f>IFERROR(IF(Medewerker!AG14="",VLOOKUP($B12,Zo!$B$13:$E$63,4,FALSE),Medewerker!AG14),"")</f>
        <v/>
      </c>
      <c r="AE12" s="934">
        <f>IF(AD12="OA",0,IF(AD12="TA",0,IF(AD12="VRIJ",0,IF(AD12="ST",0,IFERROR(IF(AD12="","",(AD12/AD12)*VLOOKUP($B12,Zo!$B$13:$AV$63,47,FALSE)/24),MAX(IFERROR((VLOOKUP($B12,Zo!$B$13:$AV$63,47,FALSE)/24),0),IF(COUNTIF(E12:Z12,"ZIEK")&gt;9,0,IF(COUNTIF(E12:Z12,"VAK")&gt;9,0,Medewerker!E14/120))))))))</f>
        <v/>
      </c>
      <c r="AF12" s="240" t="n"/>
      <c r="AG12" s="935">
        <f>SUM(G12,K12,O12,S12,W12,AA12,AE12)</f>
        <v/>
      </c>
      <c r="AH12" s="532">
        <f>COUNT(G12,K12,O12,S12,W12,AA12,AE12)-(COUNTIF(E12:AD12,"Vrij")/2)</f>
        <v/>
      </c>
      <c r="AI12" s="936">
        <f>Planning!AG12*24-Medewerker!E14</f>
        <v/>
      </c>
      <c r="AJ12" s="254">
        <f>IF(MAX(G12,K12,O12,S12,W12,AA12,AE12)*24&gt;Instellingen!$I$8,"nee","ja")</f>
        <v/>
      </c>
      <c r="AK12" s="254">
        <f>IF(AG12*24&gt;Instellingen!$I$9,"nee","ja")</f>
        <v/>
      </c>
    </row>
    <row r="13" ht="14.25" customHeight="1">
      <c r="A13" s="176">
        <f>IF(B13="",0,MAX($A$6:A12)+1)</f>
        <v/>
      </c>
      <c r="B13" s="241">
        <f>IF(Medewerker!C15="","",Medewerker!C15)</f>
        <v/>
      </c>
      <c r="C13" s="238">
        <f>Medewerker!AI15</f>
        <v/>
      </c>
      <c r="D13" s="240" t="n"/>
      <c r="E13" s="932">
        <f>IFERROR(IF(Medewerker!I15="",VLOOKUP($B13,Ma!$B$13:$E$63,3,FALSE),Medewerker!I15),"")</f>
        <v/>
      </c>
      <c r="F13" s="933">
        <f>IFERROR(IF(Medewerker!I15="",VLOOKUP($B13,Ma!$B$13:$E$63,4,FALSE),Medewerker!I15),"")</f>
        <v/>
      </c>
      <c r="G13" s="934">
        <f>IF(F13="OA",0,IF(F13="TA",0,IF(F13="VRIJ",0,IF(F13="ST",0,IFERROR(IF(F13="","",(F13/F13)*VLOOKUP($B13,Ma!$B$13:$AV$63,47,FALSE)/24),MAX(IFERROR((VLOOKUP($B13,Ma!$B$13:$AV$63,47,FALSE)/24),0),Medewerker!E15/120))))))</f>
        <v/>
      </c>
      <c r="H13" s="240" t="n"/>
      <c r="I13" s="933">
        <f>IFERROR(IF(Medewerker!M15="",VLOOKUP($B13,Di!$B$13:$E$63,3,FALSE),Medewerker!M15),"")</f>
        <v/>
      </c>
      <c r="J13" s="933">
        <f>IFERROR(IF(Medewerker!M15="",VLOOKUP($B13,Di!$B$13:$E$63,4,FALSE),Medewerker!M15),"")</f>
        <v/>
      </c>
      <c r="K13" s="934">
        <f>IF(J13="OA",0,IF(J13="TA",0,IF(J13="VRIJ",0,IF(J13="ST",0,IFERROR(IF(J13="","",(J13/J13)*VLOOKUP($B13,Di!$B$13:$AV$63,47,FALSE)/24),MAX(IFERROR((VLOOKUP($B13,Di!$B$13:$AV$63,47,FALSE)/24),0),Medewerker!E15/120))))))</f>
        <v/>
      </c>
      <c r="L13" s="240" t="n"/>
      <c r="M13" s="933">
        <f>IFERROR(IF(Medewerker!Q15="",VLOOKUP($B13,Wo!$B$13:$E$63,3,FALSE),Medewerker!Q15),"")</f>
        <v/>
      </c>
      <c r="N13" s="933">
        <f>IFERROR(IF(Medewerker!Q15="",VLOOKUP($B13,Wo!$B$13:$E$63,4,FALSE),Medewerker!Q15),"")</f>
        <v/>
      </c>
      <c r="O13" s="934">
        <f>IF(N13="OA",0,IF(N13="TA",0,IF(N13="VRIJ",0,IF(N13="ST",0,IFERROR(IF(N13="","",(N13/N13)*VLOOKUP($B13,Wo!$B$13:$AV$63,47,FALSE)/24),MAX(IFERROR((VLOOKUP($B13,Wo!$B$13:$AV$63,47,FALSE)/24),0),Medewerker!E15/120))))))</f>
        <v/>
      </c>
      <c r="P13" s="240" t="n"/>
      <c r="Q13" s="933">
        <f>IFERROR(IF(Medewerker!U15="",VLOOKUP($B13,Do!$B$13:$E$63,3,FALSE),Medewerker!U15),"")</f>
        <v/>
      </c>
      <c r="R13" s="933">
        <f>IFERROR(IF(Medewerker!U15="",VLOOKUP($B13,Do!$B$13:$E$63,4,FALSE),Medewerker!U15),"")</f>
        <v/>
      </c>
      <c r="S13" s="934">
        <f>IF(R13="OA",0,IF(R13="TA",0,IF(R13="VRIJ",0,IF(R13="ST",0,IFERROR(IF(R13="","",(R13/R13)*VLOOKUP($B13,Do!$B$13:$AV$63,47,FALSE)/24),MAX(IFERROR((VLOOKUP($B13,Do!$B$13:$AV$63,47,FALSE)/24),0),Medewerker!E15/120))))))</f>
        <v/>
      </c>
      <c r="T13" s="240" t="n"/>
      <c r="U13" s="933">
        <f>IFERROR(IF(Medewerker!Y15="",VLOOKUP($B13,Vr!$B$13:$E$63,3,FALSE),Medewerker!Y15),"")</f>
        <v/>
      </c>
      <c r="V13" s="933">
        <f>IFERROR(IF(Medewerker!Y15="",VLOOKUP($B13,Vr!$B$13:$E$63,4,FALSE),Medewerker!Y15),"")</f>
        <v/>
      </c>
      <c r="W13" s="934">
        <f>IF(V13="OA",0,IF(V13="TA",0,IF(V13="VRIJ",0,IF(V13="ST",0,IFERROR(IF(V13="","",(V13/V13)*VLOOKUP($B13,Vr!$B$13:$AV$63,47,FALSE)/24),MAX(IFERROR((VLOOKUP($B13,Vr!$B$13:$AV$63,47,FALSE)/24),0),Medewerker!E15/120))))))</f>
        <v/>
      </c>
      <c r="X13" s="240" t="n"/>
      <c r="Y13" s="933">
        <f>IFERROR(IF(Medewerker!AC15="",VLOOKUP($B13,Za!$B$13:$E$63,3,FALSE),Medewerker!AC15),"")</f>
        <v/>
      </c>
      <c r="Z13" s="933">
        <f>IFERROR(IF(Medewerker!AC15="",VLOOKUP($B13,Za!$B$13:$E$63,4,FALSE),Medewerker!AC15),"")</f>
        <v/>
      </c>
      <c r="AA13" s="934">
        <f>IF(Z13="OA",0,IF(Z13="TA",0,IF(Z13="VRIJ",0,IF(Z13="ST",0,IFERROR(IF(Z13="","",(Z13/Z13)*VLOOKUP($B13,Za!$B$13:$AV$63,47,FALSE)/24),MAX(IFERROR((VLOOKUP($B13,Za!$B$13:$AV$63,47,FALSE)/24),0),IF(COUNTIF(E13:V13,"ZIEK")&gt;9,0,IF(COUNTIF(E13:V13,"VAK")&gt;9,0,Medewerker!E15/120))))))))</f>
        <v/>
      </c>
      <c r="AB13" s="240" t="n"/>
      <c r="AC13" s="933">
        <f>IFERROR(IF(Medewerker!AG15="",VLOOKUP($B13,Zo!$B$13:$E$63,3,FALSE),Medewerker!AG15),"")</f>
        <v/>
      </c>
      <c r="AD13" s="933">
        <f>IFERROR(IF(Medewerker!AG15="",VLOOKUP($B13,Zo!$B$13:$E$63,4,FALSE),Medewerker!AG15),"")</f>
        <v/>
      </c>
      <c r="AE13" s="934">
        <f>IF(AD13="OA",0,IF(AD13="TA",0,IF(AD13="VRIJ",0,IF(AD13="ST",0,IFERROR(IF(AD13="","",(AD13/AD13)*VLOOKUP($B13,Zo!$B$13:$AV$63,47,FALSE)/24),MAX(IFERROR((VLOOKUP($B13,Zo!$B$13:$AV$63,47,FALSE)/24),0),IF(COUNTIF(E13:Z13,"ZIEK")&gt;9,0,IF(COUNTIF(E13:Z13,"VAK")&gt;9,0,Medewerker!E15/120))))))))</f>
        <v/>
      </c>
      <c r="AF13" s="240" t="n"/>
      <c r="AG13" s="935">
        <f>SUM(G13,K13,O13,S13,W13,AA13,AE13)</f>
        <v/>
      </c>
      <c r="AH13" s="532">
        <f>COUNT(G13,K13,O13,S13,W13,AA13,AE13)-(COUNTIF(E13:AD13,"Vrij")/2)</f>
        <v/>
      </c>
      <c r="AI13" s="936">
        <f>Planning!AG13*24-Medewerker!E15</f>
        <v/>
      </c>
      <c r="AJ13" s="254">
        <f>IF(MAX(G13,K13,O13,S13,W13,AA13,AE13)*24&gt;Instellingen!$I$8,"nee","ja")</f>
        <v/>
      </c>
      <c r="AK13" s="254">
        <f>IF(AG13*24&gt;Instellingen!$I$9,"nee","ja")</f>
        <v/>
      </c>
    </row>
    <row r="14" ht="14.25" customHeight="1">
      <c r="A14" s="176">
        <f>IF(B14="",0,MAX($A$6:A13)+1)</f>
        <v/>
      </c>
      <c r="B14" s="241">
        <f>IF(Medewerker!C16="","",Medewerker!C16)</f>
        <v/>
      </c>
      <c r="C14" s="238">
        <f>Medewerker!AI16</f>
        <v/>
      </c>
      <c r="D14" s="240" t="n"/>
      <c r="E14" s="932">
        <f>IFERROR(IF(Medewerker!I16="",VLOOKUP($B14,Ma!$B$13:$E$63,3,FALSE),Medewerker!I16),"")</f>
        <v/>
      </c>
      <c r="F14" s="933">
        <f>IFERROR(IF(Medewerker!I16="",VLOOKUP($B14,Ma!$B$13:$E$63,4,FALSE),Medewerker!I16),"")</f>
        <v/>
      </c>
      <c r="G14" s="934">
        <f>IF(F14="OA",0,IF(F14="TA",0,IF(F14="VRIJ",0,IF(F14="ST",0,IFERROR(IF(F14="","",(F14/F14)*VLOOKUP($B14,Ma!$B$13:$AV$63,47,FALSE)/24),MAX(IFERROR((VLOOKUP($B14,Ma!$B$13:$AV$63,47,FALSE)/24),0),Medewerker!E16/120))))))</f>
        <v/>
      </c>
      <c r="H14" s="240" t="n"/>
      <c r="I14" s="933">
        <f>IFERROR(IF(Medewerker!M16="",VLOOKUP($B14,Di!$B$13:$E$63,3,FALSE),Medewerker!M16),"")</f>
        <v/>
      </c>
      <c r="J14" s="933">
        <f>IFERROR(IF(Medewerker!M16="",VLOOKUP($B14,Di!$B$13:$E$63,4,FALSE),Medewerker!M16),"")</f>
        <v/>
      </c>
      <c r="K14" s="934">
        <f>IF(J14="OA",0,IF(J14="TA",0,IF(J14="VRIJ",0,IF(J14="ST",0,IFERROR(IF(J14="","",(J14/J14)*VLOOKUP($B14,Di!$B$13:$AV$63,47,FALSE)/24),MAX(IFERROR((VLOOKUP($B14,Di!$B$13:$AV$63,47,FALSE)/24),0),Medewerker!E16/120))))))</f>
        <v/>
      </c>
      <c r="L14" s="240" t="n"/>
      <c r="M14" s="933">
        <f>IFERROR(IF(Medewerker!Q16="",VLOOKUP($B14,Wo!$B$13:$E$63,3,FALSE),Medewerker!Q16),"")</f>
        <v/>
      </c>
      <c r="N14" s="933">
        <f>IFERROR(IF(Medewerker!Q16="",VLOOKUP($B14,Wo!$B$13:$E$63,4,FALSE),Medewerker!Q16),"")</f>
        <v/>
      </c>
      <c r="O14" s="934">
        <f>IF(N14="OA",0,IF(N14="TA",0,IF(N14="VRIJ",0,IF(N14="ST",0,IFERROR(IF(N14="","",(N14/N14)*VLOOKUP($B14,Wo!$B$13:$AV$63,47,FALSE)/24),MAX(IFERROR((VLOOKUP($B14,Wo!$B$13:$AV$63,47,FALSE)/24),0),Medewerker!E16/120))))))</f>
        <v/>
      </c>
      <c r="P14" s="240" t="n"/>
      <c r="Q14" s="933">
        <f>IFERROR(IF(Medewerker!U16="",VLOOKUP($B14,Do!$B$13:$E$63,3,FALSE),Medewerker!U16),"")</f>
        <v/>
      </c>
      <c r="R14" s="933">
        <f>IFERROR(IF(Medewerker!U16="",VLOOKUP($B14,Do!$B$13:$E$63,4,FALSE),Medewerker!U16),"")</f>
        <v/>
      </c>
      <c r="S14" s="934">
        <f>IF(R14="OA",0,IF(R14="TA",0,IF(R14="VRIJ",0,IF(R14="ST",0,IFERROR(IF(R14="","",(R14/R14)*VLOOKUP($B14,Do!$B$13:$AV$63,47,FALSE)/24),MAX(IFERROR((VLOOKUP($B14,Do!$B$13:$AV$63,47,FALSE)/24),0),Medewerker!E16/120))))))</f>
        <v/>
      </c>
      <c r="T14" s="240" t="n"/>
      <c r="U14" s="933">
        <f>IFERROR(IF(Medewerker!Y16="",VLOOKUP($B14,Vr!$B$13:$E$63,3,FALSE),Medewerker!Y16),"")</f>
        <v/>
      </c>
      <c r="V14" s="933">
        <f>IFERROR(IF(Medewerker!Y16="",VLOOKUP($B14,Vr!$B$13:$E$63,4,FALSE),Medewerker!Y16),"")</f>
        <v/>
      </c>
      <c r="W14" s="934">
        <f>IF(V14="OA",0,IF(V14="TA",0,IF(V14="VRIJ",0,IF(V14="ST",0,IFERROR(IF(V14="","",(V14/V14)*VLOOKUP($B14,Vr!$B$13:$AV$63,47,FALSE)/24),MAX(IFERROR((VLOOKUP($B14,Vr!$B$13:$AV$63,47,FALSE)/24),0),Medewerker!E16/120))))))</f>
        <v/>
      </c>
      <c r="X14" s="240" t="n"/>
      <c r="Y14" s="933">
        <f>IFERROR(IF(Medewerker!AC16="",VLOOKUP($B14,Za!$B$13:$E$63,3,FALSE),Medewerker!AC16),"")</f>
        <v/>
      </c>
      <c r="Z14" s="933">
        <f>IFERROR(IF(Medewerker!AC16="",VLOOKUP($B14,Za!$B$13:$E$63,4,FALSE),Medewerker!AC16),"")</f>
        <v/>
      </c>
      <c r="AA14" s="934">
        <f>IF(Z14="OA",0,IF(Z14="TA",0,IF(Z14="VRIJ",0,IF(Z14="ST",0,IFERROR(IF(Z14="","",(Z14/Z14)*VLOOKUP($B14,Za!$B$13:$AV$63,47,FALSE)/24),MAX(IFERROR((VLOOKUP($B14,Za!$B$13:$AV$63,47,FALSE)/24),0),IF(COUNTIF(E14:V14,"ZIEK")&gt;9,0,IF(COUNTIF(E14:V14,"VAK")&gt;9,0,Medewerker!E16/120))))))))</f>
        <v/>
      </c>
      <c r="AB14" s="240" t="n"/>
      <c r="AC14" s="933">
        <f>IFERROR(IF(Medewerker!AG16="",VLOOKUP($B14,Zo!$B$13:$E$63,3,FALSE),Medewerker!AG16),"")</f>
        <v/>
      </c>
      <c r="AD14" s="933">
        <f>IFERROR(IF(Medewerker!AG16="",VLOOKUP($B14,Zo!$B$13:$E$63,4,FALSE),Medewerker!AG16),"")</f>
        <v/>
      </c>
      <c r="AE14" s="934">
        <f>IF(AD14="OA",0,IF(AD14="TA",0,IF(AD14="VRIJ",0,IF(AD14="ST",0,IFERROR(IF(AD14="","",(AD14/AD14)*VLOOKUP($B14,Zo!$B$13:$AV$63,47,FALSE)/24),MAX(IFERROR((VLOOKUP($B14,Zo!$B$13:$AV$63,47,FALSE)/24),0),IF(COUNTIF(E14:Z14,"ZIEK")&gt;9,0,IF(COUNTIF(E14:Z14,"VAK")&gt;9,0,Medewerker!E16/120))))))))</f>
        <v/>
      </c>
      <c r="AF14" s="240" t="n"/>
      <c r="AG14" s="935">
        <f>SUM(G14,K14,O14,S14,W14,AA14,AE14)</f>
        <v/>
      </c>
      <c r="AH14" s="532">
        <f>COUNT(G14,K14,O14,S14,W14,AA14,AE14)-(COUNTIF(E14:AD14,"Vrij")/2)</f>
        <v/>
      </c>
      <c r="AI14" s="936">
        <f>Planning!AG14*24-Medewerker!E16</f>
        <v/>
      </c>
      <c r="AJ14" s="254">
        <f>IF(MAX(G14,K14,O14,S14,W14,AA14,AE14)*24&gt;Instellingen!$I$8,"nee","ja")</f>
        <v/>
      </c>
      <c r="AK14" s="254">
        <f>IF(AG14*24&gt;Instellingen!$I$9,"nee","ja")</f>
        <v/>
      </c>
    </row>
    <row r="15" ht="14.25" customHeight="1">
      <c r="A15" s="176">
        <f>IF(B15="",0,MAX($A$6:A14)+1)</f>
        <v/>
      </c>
      <c r="B15" s="241">
        <f>IF(Medewerker!C17="","",Medewerker!C17)</f>
        <v/>
      </c>
      <c r="C15" s="238">
        <f>Medewerker!AI17</f>
        <v/>
      </c>
      <c r="D15" s="240" t="n"/>
      <c r="E15" s="932">
        <f>IFERROR(IF(Medewerker!I17="",VLOOKUP($B15,Ma!$B$13:$E$63,3,FALSE),Medewerker!I17),"")</f>
        <v/>
      </c>
      <c r="F15" s="933">
        <f>IFERROR(IF(Medewerker!I17="",VLOOKUP($B15,Ma!$B$13:$E$63,4,FALSE),Medewerker!I17),"")</f>
        <v/>
      </c>
      <c r="G15" s="934">
        <f>IF(F15="OA",0,IF(F15="TA",0,IF(F15="VRIJ",0,IF(F15="ST",0,IFERROR(IF(F15="","",(F15/F15)*VLOOKUP($B15,Ma!$B$13:$AV$63,47,FALSE)/24),MAX(IFERROR((VLOOKUP($B15,Ma!$B$13:$AV$63,47,FALSE)/24),0),Medewerker!E17/120))))))</f>
        <v/>
      </c>
      <c r="H15" s="240" t="n"/>
      <c r="I15" s="933">
        <f>IFERROR(IF(Medewerker!M17="",VLOOKUP($B15,Di!$B$13:$E$63,3,FALSE),Medewerker!M17),"")</f>
        <v/>
      </c>
      <c r="J15" s="933">
        <f>IFERROR(IF(Medewerker!M17="",VLOOKUP($B15,Di!$B$13:$E$63,4,FALSE),Medewerker!M17),"")</f>
        <v/>
      </c>
      <c r="K15" s="934">
        <f>IF(J15="OA",0,IF(J15="TA",0,IF(J15="VRIJ",0,IF(J15="ST",0,IFERROR(IF(J15="","",(J15/J15)*VLOOKUP($B15,Di!$B$13:$AV$63,47,FALSE)/24),MAX(IFERROR((VLOOKUP($B15,Di!$B$13:$AV$63,47,FALSE)/24),0),Medewerker!E17/120))))))</f>
        <v/>
      </c>
      <c r="L15" s="240" t="n"/>
      <c r="M15" s="933">
        <f>IFERROR(IF(Medewerker!Q17="",VLOOKUP($B15,Wo!$B$13:$E$63,3,FALSE),Medewerker!Q17),"")</f>
        <v/>
      </c>
      <c r="N15" s="933">
        <f>IFERROR(IF(Medewerker!Q17="",VLOOKUP($B15,Wo!$B$13:$E$63,4,FALSE),Medewerker!Q17),"")</f>
        <v/>
      </c>
      <c r="O15" s="934">
        <f>IF(N15="OA",0,IF(N15="TA",0,IF(N15="VRIJ",0,IF(N15="ST",0,IFERROR(IF(N15="","",(N15/N15)*VLOOKUP($B15,Wo!$B$13:$AV$63,47,FALSE)/24),MAX(IFERROR((VLOOKUP($B15,Wo!$B$13:$AV$63,47,FALSE)/24),0),Medewerker!E17/120))))))</f>
        <v/>
      </c>
      <c r="P15" s="240" t="n"/>
      <c r="Q15" s="933">
        <f>IFERROR(IF(Medewerker!U17="",VLOOKUP($B15,Do!$B$13:$E$63,3,FALSE),Medewerker!U17),"")</f>
        <v/>
      </c>
      <c r="R15" s="933">
        <f>IFERROR(IF(Medewerker!U17="",VLOOKUP($B15,Do!$B$13:$E$63,4,FALSE),Medewerker!U17),"")</f>
        <v/>
      </c>
      <c r="S15" s="934">
        <f>IF(R15="OA",0,IF(R15="TA",0,IF(R15="VRIJ",0,IF(R15="ST",0,IFERROR(IF(R15="","",(R15/R15)*VLOOKUP($B15,Do!$B$13:$AV$63,47,FALSE)/24),MAX(IFERROR((VLOOKUP($B15,Do!$B$13:$AV$63,47,FALSE)/24),0),Medewerker!E17/120))))))</f>
        <v/>
      </c>
      <c r="T15" s="240" t="n"/>
      <c r="U15" s="933">
        <f>IFERROR(IF(Medewerker!Y17="",VLOOKUP($B15,Vr!$B$13:$E$63,3,FALSE),Medewerker!Y17),"")</f>
        <v/>
      </c>
      <c r="V15" s="933">
        <f>IFERROR(IF(Medewerker!Y17="",VLOOKUP($B15,Vr!$B$13:$E$63,4,FALSE),Medewerker!Y17),"")</f>
        <v/>
      </c>
      <c r="W15" s="934">
        <f>IF(V15="OA",0,IF(V15="TA",0,IF(V15="VRIJ",0,IF(V15="ST",0,IFERROR(IF(V15="","",(V15/V15)*VLOOKUP($B15,Vr!$B$13:$AV$63,47,FALSE)/24),MAX(IFERROR((VLOOKUP($B15,Vr!$B$13:$AV$63,47,FALSE)/24),0),Medewerker!E17/120))))))</f>
        <v/>
      </c>
      <c r="X15" s="240" t="n"/>
      <c r="Y15" s="933">
        <f>IFERROR(IF(Medewerker!AC17="",VLOOKUP($B15,Za!$B$13:$E$63,3,FALSE),Medewerker!AC17),"")</f>
        <v/>
      </c>
      <c r="Z15" s="933">
        <f>IFERROR(IF(Medewerker!AC17="",VLOOKUP($B15,Za!$B$13:$E$63,4,FALSE),Medewerker!AC17),"")</f>
        <v/>
      </c>
      <c r="AA15" s="934">
        <f>IF(Z15="OA",0,IF(Z15="TA",0,IF(Z15="VRIJ",0,IF(Z15="ST",0,IFERROR(IF(Z15="","",(Z15/Z15)*VLOOKUP($B15,Za!$B$13:$AV$63,47,FALSE)/24),MAX(IFERROR((VLOOKUP($B15,Za!$B$13:$AV$63,47,FALSE)/24),0),IF(COUNTIF(E15:V15,"ZIEK")&gt;9,0,IF(COUNTIF(E15:V15,"VAK")&gt;9,0,Medewerker!E17/120))))))))</f>
        <v/>
      </c>
      <c r="AB15" s="240" t="n"/>
      <c r="AC15" s="933">
        <f>IFERROR(IF(Medewerker!AG17="",VLOOKUP($B15,Zo!$B$13:$E$63,3,FALSE),Medewerker!AG17),"")</f>
        <v/>
      </c>
      <c r="AD15" s="933">
        <f>IFERROR(IF(Medewerker!AG17="",VLOOKUP($B15,Zo!$B$13:$E$63,4,FALSE),Medewerker!AG17),"")</f>
        <v/>
      </c>
      <c r="AE15" s="934">
        <f>IF(AD15="OA",0,IF(AD15="TA",0,IF(AD15="VRIJ",0,IF(AD15="ST",0,IFERROR(IF(AD15="","",(AD15/AD15)*VLOOKUP($B15,Zo!$B$13:$AV$63,47,FALSE)/24),MAX(IFERROR((VLOOKUP($B15,Zo!$B$13:$AV$63,47,FALSE)/24),0),IF(COUNTIF(E15:Z15,"ZIEK")&gt;9,0,IF(COUNTIF(E15:Z15,"VAK")&gt;9,0,Medewerker!E17/120))))))))</f>
        <v/>
      </c>
      <c r="AF15" s="240" t="n"/>
      <c r="AG15" s="935">
        <f>SUM(G15,K15,O15,S15,W15,AA15,AE15)</f>
        <v/>
      </c>
      <c r="AH15" s="532">
        <f>COUNT(G15,K15,O15,S15,W15,AA15,AE15)-(COUNTIF(E15:AD15,"Vrij")/2)</f>
        <v/>
      </c>
      <c r="AI15" s="936">
        <f>Planning!AG15*24-Medewerker!E17</f>
        <v/>
      </c>
      <c r="AJ15" s="254">
        <f>IF(MAX(G15,K15,O15,S15,W15,AA15,AE15)*24&gt;Instellingen!$I$8,"nee","ja")</f>
        <v/>
      </c>
      <c r="AK15" s="254">
        <f>IF(AG15*24&gt;Instellingen!$I$9,"nee","ja")</f>
        <v/>
      </c>
    </row>
    <row r="16" ht="14.25" customHeight="1">
      <c r="A16" s="176">
        <f>IF(B16="",0,MAX($A$6:A15)+1)</f>
        <v/>
      </c>
      <c r="B16" s="241">
        <f>IF(Medewerker!C18="","",Medewerker!C18)</f>
        <v/>
      </c>
      <c r="C16" s="238">
        <f>Medewerker!AI18</f>
        <v/>
      </c>
      <c r="D16" s="240" t="n"/>
      <c r="E16" s="932">
        <f>IFERROR(IF(Medewerker!I18="",VLOOKUP($B16,Ma!$B$13:$E$63,3,FALSE),Medewerker!I18),"")</f>
        <v/>
      </c>
      <c r="F16" s="933">
        <f>IFERROR(IF(Medewerker!I18="",VLOOKUP($B16,Ma!$B$13:$E$63,4,FALSE),Medewerker!I18),"")</f>
        <v/>
      </c>
      <c r="G16" s="934">
        <f>IF(F16="OA",0,IF(F16="TA",0,IF(F16="VRIJ",0,IF(F16="ST",0,IFERROR(IF(F16="","",(F16/F16)*VLOOKUP($B16,Ma!$B$13:$AV$63,47,FALSE)/24),MAX(IFERROR((VLOOKUP($B16,Ma!$B$13:$AV$63,47,FALSE)/24),0),Medewerker!E18/120))))))</f>
        <v/>
      </c>
      <c r="H16" s="240" t="n"/>
      <c r="I16" s="933">
        <f>IFERROR(IF(Medewerker!M18="",VLOOKUP($B16,Di!$B$13:$E$63,3,FALSE),Medewerker!M18),"")</f>
        <v/>
      </c>
      <c r="J16" s="933">
        <f>IFERROR(IF(Medewerker!M18="",VLOOKUP($B16,Di!$B$13:$E$63,4,FALSE),Medewerker!M18),"")</f>
        <v/>
      </c>
      <c r="K16" s="934">
        <f>IF(J16="OA",0,IF(J16="TA",0,IF(J16="VRIJ",0,IF(J16="ST",0,IFERROR(IF(J16="","",(J16/J16)*VLOOKUP($B16,Di!$B$13:$AV$63,47,FALSE)/24),MAX(IFERROR((VLOOKUP($B16,Di!$B$13:$AV$63,47,FALSE)/24),0),Medewerker!E18/120))))))</f>
        <v/>
      </c>
      <c r="L16" s="240" t="n"/>
      <c r="M16" s="933">
        <f>IFERROR(IF(Medewerker!Q18="",VLOOKUP($B16,Wo!$B$13:$E$63,3,FALSE),Medewerker!Q18),"")</f>
        <v/>
      </c>
      <c r="N16" s="933">
        <f>IFERROR(IF(Medewerker!Q18="",VLOOKUP($B16,Wo!$B$13:$E$63,4,FALSE),Medewerker!Q18),"")</f>
        <v/>
      </c>
      <c r="O16" s="934">
        <f>IF(N16="OA",0,IF(N16="TA",0,IF(N16="VRIJ",0,IF(N16="ST",0,IFERROR(IF(N16="","",(N16/N16)*VLOOKUP($B16,Wo!$B$13:$AV$63,47,FALSE)/24),MAX(IFERROR((VLOOKUP($B16,Wo!$B$13:$AV$63,47,FALSE)/24),0),Medewerker!E18/120))))))</f>
        <v/>
      </c>
      <c r="P16" s="240" t="n"/>
      <c r="Q16" s="933">
        <f>IFERROR(IF(Medewerker!U18="",VLOOKUP($B16,Do!$B$13:$E$63,3,FALSE),Medewerker!U18),"")</f>
        <v/>
      </c>
      <c r="R16" s="933">
        <f>IFERROR(IF(Medewerker!U18="",VLOOKUP($B16,Do!$B$13:$E$63,4,FALSE),Medewerker!U18),"")</f>
        <v/>
      </c>
      <c r="S16" s="934">
        <f>IF(R16="OA",0,IF(R16="TA",0,IF(R16="VRIJ",0,IF(R16="ST",0,IFERROR(IF(R16="","",(R16/R16)*VLOOKUP($B16,Do!$B$13:$AV$63,47,FALSE)/24),MAX(IFERROR((VLOOKUP($B16,Do!$B$13:$AV$63,47,FALSE)/24),0),Medewerker!E18/120))))))</f>
        <v/>
      </c>
      <c r="T16" s="240" t="n"/>
      <c r="U16" s="933">
        <f>IFERROR(IF(Medewerker!Y18="",VLOOKUP($B16,Vr!$B$13:$E$63,3,FALSE),Medewerker!Y18),"")</f>
        <v/>
      </c>
      <c r="V16" s="933">
        <f>IFERROR(IF(Medewerker!Y18="",VLOOKUP($B16,Vr!$B$13:$E$63,4,FALSE),Medewerker!Y18),"")</f>
        <v/>
      </c>
      <c r="W16" s="934">
        <f>IF(V16="OA",0,IF(V16="TA",0,IF(V16="VRIJ",0,IF(V16="ST",0,IFERROR(IF(V16="","",(V16/V16)*VLOOKUP($B16,Vr!$B$13:$AV$63,47,FALSE)/24),MAX(IFERROR((VLOOKUP($B16,Vr!$B$13:$AV$63,47,FALSE)/24),0),Medewerker!E18/120))))))</f>
        <v/>
      </c>
      <c r="X16" s="240" t="n"/>
      <c r="Y16" s="933">
        <f>IFERROR(IF(Medewerker!AC18="",VLOOKUP($B16,Za!$B$13:$E$63,3,FALSE),Medewerker!AC18),"")</f>
        <v/>
      </c>
      <c r="Z16" s="933">
        <f>IFERROR(IF(Medewerker!AC18="",VLOOKUP($B16,Za!$B$13:$E$63,4,FALSE),Medewerker!AC18),"")</f>
        <v/>
      </c>
      <c r="AA16" s="934">
        <f>IF(Z16="OA",0,IF(Z16="TA",0,IF(Z16="VRIJ",0,IF(Z16="ST",0,IFERROR(IF(Z16="","",(Z16/Z16)*VLOOKUP($B16,Za!$B$13:$AV$63,47,FALSE)/24),MAX(IFERROR((VLOOKUP($B16,Za!$B$13:$AV$63,47,FALSE)/24),0),IF(COUNTIF(E16:V16,"ZIEK")&gt;9,0,IF(COUNTIF(E16:V16,"VAK")&gt;9,0,Medewerker!E18/120))))))))</f>
        <v/>
      </c>
      <c r="AB16" s="240" t="n"/>
      <c r="AC16" s="933">
        <f>IFERROR(IF(Medewerker!AG18="",VLOOKUP($B16,Zo!$B$13:$E$63,3,FALSE),Medewerker!AG18),"")</f>
        <v/>
      </c>
      <c r="AD16" s="933">
        <f>IFERROR(IF(Medewerker!AG18="",VLOOKUP($B16,Zo!$B$13:$E$63,4,FALSE),Medewerker!AG18),"")</f>
        <v/>
      </c>
      <c r="AE16" s="934">
        <f>IF(AD16="OA",0,IF(AD16="TA",0,IF(AD16="VRIJ",0,IF(AD16="ST",0,IFERROR(IF(AD16="","",(AD16/AD16)*VLOOKUP($B16,Zo!$B$13:$AV$63,47,FALSE)/24),MAX(IFERROR((VLOOKUP($B16,Zo!$B$13:$AV$63,47,FALSE)/24),0),IF(COUNTIF(E16:Z16,"ZIEK")&gt;9,0,IF(COUNTIF(E16:Z16,"VAK")&gt;9,0,Medewerker!E18/120))))))))</f>
        <v/>
      </c>
      <c r="AF16" s="240" t="n"/>
      <c r="AG16" s="935">
        <f>SUM(G16,K16,O16,S16,W16,AA16,AE16)</f>
        <v/>
      </c>
      <c r="AH16" s="532">
        <f>COUNT(G16,K16,O16,S16,W16,AA16,AE16)-(COUNTIF(E16:AD16,"Vrij")/2)</f>
        <v/>
      </c>
      <c r="AI16" s="936">
        <f>Planning!AG16*24-Medewerker!E18</f>
        <v/>
      </c>
      <c r="AJ16" s="254">
        <f>IF(MAX(G16,K16,O16,S16,W16,AA16,AE16)*24&gt;Instellingen!$I$8,"nee","ja")</f>
        <v/>
      </c>
      <c r="AK16" s="254">
        <f>IF(AG16*24&gt;Instellingen!$I$9,"nee","ja")</f>
        <v/>
      </c>
    </row>
    <row r="17" ht="14.25" customHeight="1">
      <c r="A17" s="176">
        <f>IF(B17="",0,MAX($A$6:A16)+1)</f>
        <v/>
      </c>
      <c r="B17" s="241">
        <f>IF(Medewerker!C19="","",Medewerker!C19)</f>
        <v/>
      </c>
      <c r="C17" s="238">
        <f>Medewerker!AI19</f>
        <v/>
      </c>
      <c r="D17" s="240" t="n"/>
      <c r="E17" s="932">
        <f>IFERROR(IF(Medewerker!I19="",VLOOKUP($B17,Ma!$B$13:$E$63,3,FALSE),Medewerker!I19),"")</f>
        <v/>
      </c>
      <c r="F17" s="933">
        <f>IFERROR(IF(Medewerker!I19="",VLOOKUP($B17,Ma!$B$13:$E$63,4,FALSE),Medewerker!I19),"")</f>
        <v/>
      </c>
      <c r="G17" s="934">
        <f>IF(F17="OA",0,IF(F17="TA",0,IF(F17="VRIJ",0,IF(F17="ST",0,IFERROR(IF(F17="","",(F17/F17)*VLOOKUP($B17,Ma!$B$13:$AV$63,47,FALSE)/24),MAX(IFERROR((VLOOKUP($B17,Ma!$B$13:$AV$63,47,FALSE)/24),0),Medewerker!E19/120))))))</f>
        <v/>
      </c>
      <c r="H17" s="240" t="n"/>
      <c r="I17" s="933">
        <f>IFERROR(IF(Medewerker!M19="",VLOOKUP($B17,Di!$B$13:$E$63,3,FALSE),Medewerker!M19),"")</f>
        <v/>
      </c>
      <c r="J17" s="933">
        <f>IFERROR(IF(Medewerker!M19="",VLOOKUP($B17,Di!$B$13:$E$63,4,FALSE),Medewerker!M19),"")</f>
        <v/>
      </c>
      <c r="K17" s="934">
        <f>IF(J17="OA",0,IF(J17="TA",0,IF(J17="VRIJ",0,IF(J17="ST",0,IFERROR(IF(J17="","",(J17/J17)*VLOOKUP($B17,Di!$B$13:$AV$63,47,FALSE)/24),MAX(IFERROR((VLOOKUP($B17,Di!$B$13:$AV$63,47,FALSE)/24),0),Medewerker!E19/120))))))</f>
        <v/>
      </c>
      <c r="L17" s="240" t="n"/>
      <c r="M17" s="933">
        <f>IFERROR(IF(Medewerker!Q19="",VLOOKUP($B17,Wo!$B$13:$E$63,3,FALSE),Medewerker!Q19),"")</f>
        <v/>
      </c>
      <c r="N17" s="933">
        <f>IFERROR(IF(Medewerker!Q19="",VLOOKUP($B17,Wo!$B$13:$E$63,4,FALSE),Medewerker!Q19),"")</f>
        <v/>
      </c>
      <c r="O17" s="934">
        <f>IF(N17="OA",0,IF(N17="TA",0,IF(N17="VRIJ",0,IF(N17="ST",0,IFERROR(IF(N17="","",(N17/N17)*VLOOKUP($B17,Wo!$B$13:$AV$63,47,FALSE)/24),MAX(IFERROR((VLOOKUP($B17,Wo!$B$13:$AV$63,47,FALSE)/24),0),Medewerker!E19/120))))))</f>
        <v/>
      </c>
      <c r="P17" s="240" t="n"/>
      <c r="Q17" s="933">
        <f>IFERROR(IF(Medewerker!U19="",VLOOKUP($B17,Do!$B$13:$E$63,3,FALSE),Medewerker!U19),"")</f>
        <v/>
      </c>
      <c r="R17" s="933">
        <f>IFERROR(IF(Medewerker!U19="",VLOOKUP($B17,Do!$B$13:$E$63,4,FALSE),Medewerker!U19),"")</f>
        <v/>
      </c>
      <c r="S17" s="934">
        <f>IF(R17="OA",0,IF(R17="TA",0,IF(R17="VRIJ",0,IF(R17="ST",0,IFERROR(IF(R17="","",(R17/R17)*VLOOKUP($B17,Do!$B$13:$AV$63,47,FALSE)/24),MAX(IFERROR((VLOOKUP($B17,Do!$B$13:$AV$63,47,FALSE)/24),0),Medewerker!E19/120))))))</f>
        <v/>
      </c>
      <c r="T17" s="240" t="n"/>
      <c r="U17" s="933">
        <f>IFERROR(IF(Medewerker!Y19="",VLOOKUP($B17,Vr!$B$13:$E$63,3,FALSE),Medewerker!Y19),"")</f>
        <v/>
      </c>
      <c r="V17" s="933">
        <f>IFERROR(IF(Medewerker!Y19="",VLOOKUP($B17,Vr!$B$13:$E$63,4,FALSE),Medewerker!Y19),"")</f>
        <v/>
      </c>
      <c r="W17" s="934">
        <f>IF(V17="OA",0,IF(V17="TA",0,IF(V17="VRIJ",0,IF(V17="ST",0,IFERROR(IF(V17="","",(V17/V17)*VLOOKUP($B17,Vr!$B$13:$AV$63,47,FALSE)/24),MAX(IFERROR((VLOOKUP($B17,Vr!$B$13:$AV$63,47,FALSE)/24),0),Medewerker!E19/120))))))</f>
        <v/>
      </c>
      <c r="X17" s="240" t="n"/>
      <c r="Y17" s="933">
        <f>IFERROR(IF(Medewerker!AC19="",VLOOKUP($B17,Za!$B$13:$E$63,3,FALSE),Medewerker!AC19),"")</f>
        <v/>
      </c>
      <c r="Z17" s="933">
        <f>IFERROR(IF(Medewerker!AC19="",VLOOKUP($B17,Za!$B$13:$E$63,4,FALSE),Medewerker!AC19),"")</f>
        <v/>
      </c>
      <c r="AA17" s="934">
        <f>IF(Z17="OA",0,IF(Z17="TA",0,IF(Z17="VRIJ",0,IF(Z17="ST",0,IFERROR(IF(Z17="","",(Z17/Z17)*VLOOKUP($B17,Za!$B$13:$AV$63,47,FALSE)/24),MAX(IFERROR((VLOOKUP($B17,Za!$B$13:$AV$63,47,FALSE)/24),0),IF(COUNTIF(E17:V17,"ZIEK")&gt;9,0,IF(COUNTIF(E17:V17,"VAK")&gt;9,0,Medewerker!E19/120))))))))</f>
        <v/>
      </c>
      <c r="AB17" s="240" t="n"/>
      <c r="AC17" s="933">
        <f>IFERROR(IF(Medewerker!AG19="",VLOOKUP($B17,Zo!$B$13:$E$63,3,FALSE),Medewerker!AG19),"")</f>
        <v/>
      </c>
      <c r="AD17" s="933">
        <f>IFERROR(IF(Medewerker!AG19="",VLOOKUP($B17,Zo!$B$13:$E$63,4,FALSE),Medewerker!AG19),"")</f>
        <v/>
      </c>
      <c r="AE17" s="934">
        <f>IF(AD17="OA",0,IF(AD17="TA",0,IF(AD17="VRIJ",0,IF(AD17="ST",0,IFERROR(IF(AD17="","",(AD17/AD17)*VLOOKUP($B17,Zo!$B$13:$AV$63,47,FALSE)/24),MAX(IFERROR((VLOOKUP($B17,Zo!$B$13:$AV$63,47,FALSE)/24),0),IF(COUNTIF(E17:Z17,"ZIEK")&gt;9,0,IF(COUNTIF(E17:Z17,"VAK")&gt;9,0,Medewerker!E19/120))))))))</f>
        <v/>
      </c>
      <c r="AF17" s="240" t="n"/>
      <c r="AG17" s="935">
        <f>SUM(G17,K17,O17,S17,W17,AA17,AE17)</f>
        <v/>
      </c>
      <c r="AH17" s="532">
        <f>COUNT(G17,K17,O17,S17,W17,AA17,AE17)-(COUNTIF(E17:AD17,"Vrij")/2)</f>
        <v/>
      </c>
      <c r="AI17" s="936">
        <f>Planning!AG17*24-Medewerker!E19</f>
        <v/>
      </c>
      <c r="AJ17" s="254">
        <f>IF(MAX(G17,K17,O17,S17,W17,AA17,AE17)*24&gt;Instellingen!$I$8,"nee","ja")</f>
        <v/>
      </c>
      <c r="AK17" s="254">
        <f>IF(AG17*24&gt;Instellingen!$I$9,"nee","ja")</f>
        <v/>
      </c>
    </row>
    <row r="18" ht="14.25" customHeight="1">
      <c r="A18" s="176">
        <f>IF(B18="",0,MAX($A$6:A17)+1)</f>
        <v/>
      </c>
      <c r="B18" s="241">
        <f>IF(Medewerker!C20="","",Medewerker!C20)</f>
        <v/>
      </c>
      <c r="C18" s="238">
        <f>Medewerker!AI20</f>
        <v/>
      </c>
      <c r="D18" s="240" t="n"/>
      <c r="E18" s="932">
        <f>IFERROR(IF(Medewerker!I20="",VLOOKUP($B18,Ma!$B$13:$E$63,3,FALSE),Medewerker!I20),"")</f>
        <v/>
      </c>
      <c r="F18" s="933">
        <f>IFERROR(IF(Medewerker!I20="",VLOOKUP($B18,Ma!$B$13:$E$63,4,FALSE),Medewerker!I20),"")</f>
        <v/>
      </c>
      <c r="G18" s="934">
        <f>IF(F18="OA",0,IF(F18="TA",0,IF(F18="VRIJ",0,IF(F18="ST",0,IFERROR(IF(F18="","",(F18/F18)*VLOOKUP($B18,Ma!$B$13:$AV$63,47,FALSE)/24),MAX(IFERROR((VLOOKUP($B18,Ma!$B$13:$AV$63,47,FALSE)/24),0),Medewerker!E20/120))))))</f>
        <v/>
      </c>
      <c r="H18" s="240" t="n"/>
      <c r="I18" s="933">
        <f>IFERROR(IF(Medewerker!M20="",VLOOKUP($B18,Di!$B$13:$E$63,3,FALSE),Medewerker!M20),"")</f>
        <v/>
      </c>
      <c r="J18" s="933">
        <f>IFERROR(IF(Medewerker!M20="",VLOOKUP($B18,Di!$B$13:$E$63,4,FALSE),Medewerker!M20),"")</f>
        <v/>
      </c>
      <c r="K18" s="934">
        <f>IF(J18="OA",0,IF(J18="TA",0,IF(J18="VRIJ",0,IF(J18="ST",0,IFERROR(IF(J18="","",(J18/J18)*VLOOKUP($B18,Di!$B$13:$AV$63,47,FALSE)/24),MAX(IFERROR((VLOOKUP($B18,Di!$B$13:$AV$63,47,FALSE)/24),0),Medewerker!E20/120))))))</f>
        <v/>
      </c>
      <c r="L18" s="240" t="n"/>
      <c r="M18" s="933">
        <f>IFERROR(IF(Medewerker!Q20="",VLOOKUP($B18,Wo!$B$13:$E$63,3,FALSE),Medewerker!Q20),"")</f>
        <v/>
      </c>
      <c r="N18" s="933">
        <f>IFERROR(IF(Medewerker!Q20="",VLOOKUP($B18,Wo!$B$13:$E$63,4,FALSE),Medewerker!Q20),"")</f>
        <v/>
      </c>
      <c r="O18" s="934">
        <f>IF(N18="OA",0,IF(N18="TA",0,IF(N18="VRIJ",0,IF(N18="ST",0,IFERROR(IF(N18="","",(N18/N18)*VLOOKUP($B18,Wo!$B$13:$AV$63,47,FALSE)/24),MAX(IFERROR((VLOOKUP($B18,Wo!$B$13:$AV$63,47,FALSE)/24),0),Medewerker!E20/120))))))</f>
        <v/>
      </c>
      <c r="P18" s="240" t="n"/>
      <c r="Q18" s="933">
        <f>IFERROR(IF(Medewerker!U20="",VLOOKUP($B18,Do!$B$13:$E$63,3,FALSE),Medewerker!U20),"")</f>
        <v/>
      </c>
      <c r="R18" s="933">
        <f>IFERROR(IF(Medewerker!U20="",VLOOKUP($B18,Do!$B$13:$E$63,4,FALSE),Medewerker!U20),"")</f>
        <v/>
      </c>
      <c r="S18" s="934">
        <f>IF(R18="OA",0,IF(R18="TA",0,IF(R18="VRIJ",0,IF(R18="ST",0,IFERROR(IF(R18="","",(R18/R18)*VLOOKUP($B18,Do!$B$13:$AV$63,47,FALSE)/24),MAX(IFERROR((VLOOKUP($B18,Do!$B$13:$AV$63,47,FALSE)/24),0),Medewerker!E20/120))))))</f>
        <v/>
      </c>
      <c r="T18" s="240" t="n"/>
      <c r="U18" s="933">
        <f>IFERROR(IF(Medewerker!Y20="",VLOOKUP($B18,Vr!$B$13:$E$63,3,FALSE),Medewerker!Y20),"")</f>
        <v/>
      </c>
      <c r="V18" s="933">
        <f>IFERROR(IF(Medewerker!Y20="",VLOOKUP($B18,Vr!$B$13:$E$63,4,FALSE),Medewerker!Y20),"")</f>
        <v/>
      </c>
      <c r="W18" s="934">
        <f>IF(V18="OA",0,IF(V18="TA",0,IF(V18="VRIJ",0,IF(V18="ST",0,IFERROR(IF(V18="","",(V18/V18)*VLOOKUP($B18,Vr!$B$13:$AV$63,47,FALSE)/24),MAX(IFERROR((VLOOKUP($B18,Vr!$B$13:$AV$63,47,FALSE)/24),0),Medewerker!E20/120))))))</f>
        <v/>
      </c>
      <c r="X18" s="240" t="n"/>
      <c r="Y18" s="933">
        <f>IFERROR(IF(Medewerker!AC20="",VLOOKUP($B18,Za!$B$13:$E$63,3,FALSE),Medewerker!AC20),"")</f>
        <v/>
      </c>
      <c r="Z18" s="933">
        <f>IFERROR(IF(Medewerker!AC20="",VLOOKUP($B18,Za!$B$13:$E$63,4,FALSE),Medewerker!AC20),"")</f>
        <v/>
      </c>
      <c r="AA18" s="934">
        <f>IF(Z18="OA",0,IF(Z18="TA",0,IF(Z18="VRIJ",0,IF(Z18="ST",0,IFERROR(IF(Z18="","",(Z18/Z18)*VLOOKUP($B18,Za!$B$13:$AV$63,47,FALSE)/24),MAX(IFERROR((VLOOKUP($B18,Za!$B$13:$AV$63,47,FALSE)/24),0),IF(COUNTIF(E18:V18,"ZIEK")&gt;9,0,IF(COUNTIF(E18:V18,"VAK")&gt;9,0,Medewerker!E20/120))))))))</f>
        <v/>
      </c>
      <c r="AB18" s="240" t="n"/>
      <c r="AC18" s="933">
        <f>IFERROR(IF(Medewerker!AG20="",VLOOKUP($B18,Zo!$B$13:$E$63,3,FALSE),Medewerker!AG20),"")</f>
        <v/>
      </c>
      <c r="AD18" s="933">
        <f>IFERROR(IF(Medewerker!AG20="",VLOOKUP($B18,Zo!$B$13:$E$63,4,FALSE),Medewerker!AG20),"")</f>
        <v/>
      </c>
      <c r="AE18" s="934">
        <f>IF(AD18="OA",0,IF(AD18="TA",0,IF(AD18="VRIJ",0,IF(AD18="ST",0,IFERROR(IF(AD18="","",(AD18/AD18)*VLOOKUP($B18,Zo!$B$13:$AV$63,47,FALSE)/24),MAX(IFERROR((VLOOKUP($B18,Zo!$B$13:$AV$63,47,FALSE)/24),0),IF(COUNTIF(E18:Z18,"ZIEK")&gt;9,0,IF(COUNTIF(E18:Z18,"VAK")&gt;9,0,Medewerker!E20/120))))))))</f>
        <v/>
      </c>
      <c r="AF18" s="240" t="n"/>
      <c r="AG18" s="935">
        <f>SUM(G18,K18,O18,S18,W18,AA18,AE18)</f>
        <v/>
      </c>
      <c r="AH18" s="532">
        <f>COUNT(G18,K18,O18,S18,W18,AA18,AE18)-(COUNTIF(E18:AD18,"Vrij")/2)</f>
        <v/>
      </c>
      <c r="AI18" s="936">
        <f>Planning!AG18*24-Medewerker!E20</f>
        <v/>
      </c>
      <c r="AJ18" s="254">
        <f>IF(MAX(G18,K18,O18,S18,W18,AA18,AE18)*24&gt;Instellingen!$I$8,"nee","ja")</f>
        <v/>
      </c>
      <c r="AK18" s="254">
        <f>IF(AG18*24&gt;Instellingen!$I$9,"nee","ja")</f>
        <v/>
      </c>
    </row>
    <row r="19" ht="14.25" customHeight="1">
      <c r="A19" s="176">
        <f>IF(B19="",0,MAX($A$6:A18)+1)</f>
        <v/>
      </c>
      <c r="B19" s="241">
        <f>IF(Medewerker!C21="","",Medewerker!C21)</f>
        <v/>
      </c>
      <c r="C19" s="238">
        <f>Medewerker!AI21</f>
        <v/>
      </c>
      <c r="D19" s="240" t="n"/>
      <c r="E19" s="932">
        <f>IFERROR(IF(Medewerker!I21="",VLOOKUP($B19,Ma!$B$13:$E$63,3,FALSE),Medewerker!I21),"")</f>
        <v/>
      </c>
      <c r="F19" s="933">
        <f>IFERROR(IF(Medewerker!I21="",VLOOKUP($B19,Ma!$B$13:$E$63,4,FALSE),Medewerker!I21),"")</f>
        <v/>
      </c>
      <c r="G19" s="934">
        <f>IF(F19="OA",0,IF(F19="TA",0,IF(F19="VRIJ",0,IF(F19="ST",0,IFERROR(IF(F19="","",(F19/F19)*VLOOKUP($B19,Ma!$B$13:$AV$63,47,FALSE)/24),MAX(IFERROR((VLOOKUP($B19,Ma!$B$13:$AV$63,47,FALSE)/24),0),Medewerker!E21/120))))))</f>
        <v/>
      </c>
      <c r="H19" s="240" t="n"/>
      <c r="I19" s="933">
        <f>IFERROR(IF(Medewerker!M21="",VLOOKUP($B19,Di!$B$13:$E$63,3,FALSE),Medewerker!M21),"")</f>
        <v/>
      </c>
      <c r="J19" s="933">
        <f>IFERROR(IF(Medewerker!M21="",VLOOKUP($B19,Di!$B$13:$E$63,4,FALSE),Medewerker!M21),"")</f>
        <v/>
      </c>
      <c r="K19" s="934">
        <f>IF(J19="OA",0,IF(J19="TA",0,IF(J19="VRIJ",0,IF(J19="ST",0,IFERROR(IF(J19="","",(J19/J19)*VLOOKUP($B19,Di!$B$13:$AV$63,47,FALSE)/24),MAX(IFERROR((VLOOKUP($B19,Di!$B$13:$AV$63,47,FALSE)/24),0),Medewerker!E21/120))))))</f>
        <v/>
      </c>
      <c r="L19" s="240" t="n"/>
      <c r="M19" s="933">
        <f>IFERROR(IF(Medewerker!Q21="",VLOOKUP($B19,Wo!$B$13:$E$63,3,FALSE),Medewerker!Q21),"")</f>
        <v/>
      </c>
      <c r="N19" s="933">
        <f>IFERROR(IF(Medewerker!Q21="",VLOOKUP($B19,Wo!$B$13:$E$63,4,FALSE),Medewerker!Q21),"")</f>
        <v/>
      </c>
      <c r="O19" s="934">
        <f>IF(N19="OA",0,IF(N19="TA",0,IF(N19="VRIJ",0,IF(N19="ST",0,IFERROR(IF(N19="","",(N19/N19)*VLOOKUP($B19,Wo!$B$13:$AV$63,47,FALSE)/24),MAX(IFERROR((VLOOKUP($B19,Wo!$B$13:$AV$63,47,FALSE)/24),0),Medewerker!E21/120))))))</f>
        <v/>
      </c>
      <c r="P19" s="240" t="n"/>
      <c r="Q19" s="933">
        <f>IFERROR(IF(Medewerker!U21="",VLOOKUP($B19,Do!$B$13:$E$63,3,FALSE),Medewerker!U21),"")</f>
        <v/>
      </c>
      <c r="R19" s="933">
        <f>IFERROR(IF(Medewerker!U21="",VLOOKUP($B19,Do!$B$13:$E$63,4,FALSE),Medewerker!U21),"")</f>
        <v/>
      </c>
      <c r="S19" s="934">
        <f>IF(R19="OA",0,IF(R19="TA",0,IF(R19="VRIJ",0,IF(R19="ST",0,IFERROR(IF(R19="","",(R19/R19)*VLOOKUP($B19,Do!$B$13:$AV$63,47,FALSE)/24),MAX(IFERROR((VLOOKUP($B19,Do!$B$13:$AV$63,47,FALSE)/24),0),Medewerker!E21/120))))))</f>
        <v/>
      </c>
      <c r="T19" s="240" t="n"/>
      <c r="U19" s="933">
        <f>IFERROR(IF(Medewerker!Y21="",VLOOKUP($B19,Vr!$B$13:$E$63,3,FALSE),Medewerker!Y21),"")</f>
        <v/>
      </c>
      <c r="V19" s="933">
        <f>IFERROR(IF(Medewerker!Y21="",VLOOKUP($B19,Vr!$B$13:$E$63,4,FALSE),Medewerker!Y21),"")</f>
        <v/>
      </c>
      <c r="W19" s="934">
        <f>IF(V19="OA",0,IF(V19="TA",0,IF(V19="VRIJ",0,IF(V19="ST",0,IFERROR(IF(V19="","",(V19/V19)*VLOOKUP($B19,Vr!$B$13:$AV$63,47,FALSE)/24),MAX(IFERROR((VLOOKUP($B19,Vr!$B$13:$AV$63,47,FALSE)/24),0),Medewerker!E21/120))))))</f>
        <v/>
      </c>
      <c r="X19" s="240" t="n"/>
      <c r="Y19" s="933">
        <f>IFERROR(IF(Medewerker!AC21="",VLOOKUP($B19,Za!$B$13:$E$63,3,FALSE),Medewerker!AC21),"")</f>
        <v/>
      </c>
      <c r="Z19" s="933">
        <f>IFERROR(IF(Medewerker!AC21="",VLOOKUP($B19,Za!$B$13:$E$63,4,FALSE),Medewerker!AC21),"")</f>
        <v/>
      </c>
      <c r="AA19" s="934">
        <f>IF(Z19="OA",0,IF(Z19="TA",0,IF(Z19="VRIJ",0,IF(Z19="ST",0,IFERROR(IF(Z19="","",(Z19/Z19)*VLOOKUP($B19,Za!$B$13:$AV$63,47,FALSE)/24),MAX(IFERROR((VLOOKUP($B19,Za!$B$13:$AV$63,47,FALSE)/24),0),IF(COUNTIF(E19:V19,"ZIEK")&gt;9,0,IF(COUNTIF(E19:V19,"VAK")&gt;9,0,Medewerker!E21/120))))))))</f>
        <v/>
      </c>
      <c r="AB19" s="240" t="n"/>
      <c r="AC19" s="933">
        <f>IFERROR(IF(Medewerker!AG21="",VLOOKUP($B19,Zo!$B$13:$E$63,3,FALSE),Medewerker!AG21),"")</f>
        <v/>
      </c>
      <c r="AD19" s="933">
        <f>IFERROR(IF(Medewerker!AG21="",VLOOKUP($B19,Zo!$B$13:$E$63,4,FALSE),Medewerker!AG21),"")</f>
        <v/>
      </c>
      <c r="AE19" s="934">
        <f>IF(AD19="OA",0,IF(AD19="TA",0,IF(AD19="VRIJ",0,IF(AD19="ST",0,IFERROR(IF(AD19="","",(AD19/AD19)*VLOOKUP($B19,Zo!$B$13:$AV$63,47,FALSE)/24),MAX(IFERROR((VLOOKUP($B19,Zo!$B$13:$AV$63,47,FALSE)/24),0),IF(COUNTIF(E19:Z19,"ZIEK")&gt;9,0,IF(COUNTIF(E19:Z19,"VAK")&gt;9,0,Medewerker!E21/120))))))))</f>
        <v/>
      </c>
      <c r="AF19" s="240" t="n"/>
      <c r="AG19" s="935">
        <f>SUM(G19,K19,O19,S19,W19,AA19,AE19)</f>
        <v/>
      </c>
      <c r="AH19" s="532">
        <f>COUNT(G19,K19,O19,S19,W19,AA19,AE19)-(COUNTIF(E19:AD19,"Vrij")/2)</f>
        <v/>
      </c>
      <c r="AI19" s="936">
        <f>Planning!AG19*24-Medewerker!E21</f>
        <v/>
      </c>
      <c r="AJ19" s="254">
        <f>IF(MAX(G19,K19,O19,S19,W19,AA19,AE19)*24&gt;Instellingen!$I$8,"nee","ja")</f>
        <v/>
      </c>
      <c r="AK19" s="254">
        <f>IF(AG19*24&gt;Instellingen!$I$9,"nee","ja")</f>
        <v/>
      </c>
    </row>
    <row r="20" ht="14.25" customHeight="1">
      <c r="A20" s="176">
        <f>IF(B20="",0,MAX($A$6:A19)+1)</f>
        <v/>
      </c>
      <c r="B20" s="241">
        <f>IF(Medewerker!C22="","",Medewerker!C22)</f>
        <v/>
      </c>
      <c r="C20" s="238">
        <f>Medewerker!AI22</f>
        <v/>
      </c>
      <c r="D20" s="240" t="n"/>
      <c r="E20" s="932">
        <f>IFERROR(IF(Medewerker!I22="",VLOOKUP($B20,Ma!$B$13:$E$63,3,FALSE),Medewerker!I22),"")</f>
        <v/>
      </c>
      <c r="F20" s="933">
        <f>IFERROR(IF(Medewerker!I22="",VLOOKUP($B20,Ma!$B$13:$E$63,4,FALSE),Medewerker!I22),"")</f>
        <v/>
      </c>
      <c r="G20" s="934">
        <f>IF(F20="OA",0,IF(F20="TA",0,IF(F20="VRIJ",0,IF(F20="ST",0,IFERROR(IF(F20="","",(F20/F20)*VLOOKUP($B20,Ma!$B$13:$AV$63,47,FALSE)/24),MAX(IFERROR((VLOOKUP($B20,Ma!$B$13:$AV$63,47,FALSE)/24),0),Medewerker!E22/120))))))</f>
        <v/>
      </c>
      <c r="H20" s="240" t="n"/>
      <c r="I20" s="933">
        <f>IFERROR(IF(Medewerker!M22="",VLOOKUP($B20,Di!$B$13:$E$63,3,FALSE),Medewerker!M22),"")</f>
        <v/>
      </c>
      <c r="J20" s="933">
        <f>IFERROR(IF(Medewerker!M22="",VLOOKUP($B20,Di!$B$13:$E$63,4,FALSE),Medewerker!M22),"")</f>
        <v/>
      </c>
      <c r="K20" s="934">
        <f>IF(J20="OA",0,IF(J20="TA",0,IF(J20="VRIJ",0,IF(J20="ST",0,IFERROR(IF(J20="","",(J20/J20)*VLOOKUP($B20,Di!$B$13:$AV$63,47,FALSE)/24),MAX(IFERROR((VLOOKUP($B20,Di!$B$13:$AV$63,47,FALSE)/24),0),Medewerker!E22/120))))))</f>
        <v/>
      </c>
      <c r="L20" s="240" t="n"/>
      <c r="M20" s="933">
        <f>IFERROR(IF(Medewerker!Q22="",VLOOKUP($B20,Wo!$B$13:$E$63,3,FALSE),Medewerker!Q22),"")</f>
        <v/>
      </c>
      <c r="N20" s="933">
        <f>IFERROR(IF(Medewerker!Q22="",VLOOKUP($B20,Wo!$B$13:$E$63,4,FALSE),Medewerker!Q22),"")</f>
        <v/>
      </c>
      <c r="O20" s="934">
        <f>IF(N20="OA",0,IF(N20="TA",0,IF(N20="VRIJ",0,IF(N20="ST",0,IFERROR(IF(N20="","",(N20/N20)*VLOOKUP($B20,Wo!$B$13:$AV$63,47,FALSE)/24),MAX(IFERROR((VLOOKUP($B20,Wo!$B$13:$AV$63,47,FALSE)/24),0),Medewerker!E22/120))))))</f>
        <v/>
      </c>
      <c r="P20" s="240" t="n"/>
      <c r="Q20" s="933">
        <f>IFERROR(IF(Medewerker!U22="",VLOOKUP($B20,Do!$B$13:$E$63,3,FALSE),Medewerker!U22),"")</f>
        <v/>
      </c>
      <c r="R20" s="933">
        <f>IFERROR(IF(Medewerker!U22="",VLOOKUP($B20,Do!$B$13:$E$63,4,FALSE),Medewerker!U22),"")</f>
        <v/>
      </c>
      <c r="S20" s="934">
        <f>IF(R20="OA",0,IF(R20="TA",0,IF(R20="VRIJ",0,IF(R20="ST",0,IFERROR(IF(R20="","",(R20/R20)*VLOOKUP($B20,Do!$B$13:$AV$63,47,FALSE)/24),MAX(IFERROR((VLOOKUP($B20,Do!$B$13:$AV$63,47,FALSE)/24),0),Medewerker!E22/120))))))</f>
        <v/>
      </c>
      <c r="T20" s="240" t="n"/>
      <c r="U20" s="933">
        <f>IFERROR(IF(Medewerker!Y22="",VLOOKUP($B20,Vr!$B$13:$E$63,3,FALSE),Medewerker!Y22),"")</f>
        <v/>
      </c>
      <c r="V20" s="933">
        <f>IFERROR(IF(Medewerker!Y22="",VLOOKUP($B20,Vr!$B$13:$E$63,4,FALSE),Medewerker!Y22),"")</f>
        <v/>
      </c>
      <c r="W20" s="934">
        <f>IF(V20="OA",0,IF(V20="TA",0,IF(V20="VRIJ",0,IF(V20="ST",0,IFERROR(IF(V20="","",(V20/V20)*VLOOKUP($B20,Vr!$B$13:$AV$63,47,FALSE)/24),MAX(IFERROR((VLOOKUP($B20,Vr!$B$13:$AV$63,47,FALSE)/24),0),Medewerker!E22/120))))))</f>
        <v/>
      </c>
      <c r="X20" s="240" t="n"/>
      <c r="Y20" s="933">
        <f>IFERROR(IF(Medewerker!AC22="",VLOOKUP($B20,Za!$B$13:$E$63,3,FALSE),Medewerker!AC22),"")</f>
        <v/>
      </c>
      <c r="Z20" s="933">
        <f>IFERROR(IF(Medewerker!AC22="",VLOOKUP($B20,Za!$B$13:$E$63,4,FALSE),Medewerker!AC22),"")</f>
        <v/>
      </c>
      <c r="AA20" s="934">
        <f>IF(Z20="OA",0,IF(Z20="TA",0,IF(Z20="VRIJ",0,IF(Z20="ST",0,IFERROR(IF(Z20="","",(Z20/Z20)*VLOOKUP($B20,Za!$B$13:$AV$63,47,FALSE)/24),MAX(IFERROR((VLOOKUP($B20,Za!$B$13:$AV$63,47,FALSE)/24),0),IF(COUNTIF(E20:V20,"ZIEK")&gt;9,0,IF(COUNTIF(E20:V20,"VAK")&gt;9,0,Medewerker!E22/120))))))))</f>
        <v/>
      </c>
      <c r="AB20" s="240" t="n"/>
      <c r="AC20" s="933">
        <f>IFERROR(IF(Medewerker!AG22="",VLOOKUP($B20,Zo!$B$13:$E$63,3,FALSE),Medewerker!AG22),"")</f>
        <v/>
      </c>
      <c r="AD20" s="933">
        <f>IFERROR(IF(Medewerker!AG22="",VLOOKUP($B20,Zo!$B$13:$E$63,4,FALSE),Medewerker!AG22),"")</f>
        <v/>
      </c>
      <c r="AE20" s="934">
        <f>IF(AD20="OA",0,IF(AD20="TA",0,IF(AD20="VRIJ",0,IF(AD20="ST",0,IFERROR(IF(AD20="","",(AD20/AD20)*VLOOKUP($B20,Zo!$B$13:$AV$63,47,FALSE)/24),MAX(IFERROR((VLOOKUP($B20,Zo!$B$13:$AV$63,47,FALSE)/24),0),IF(COUNTIF(E20:Z20,"ZIEK")&gt;9,0,IF(COUNTIF(E20:Z20,"VAK")&gt;9,0,Medewerker!E22/120))))))))</f>
        <v/>
      </c>
      <c r="AF20" s="240" t="n"/>
      <c r="AG20" s="935">
        <f>SUM(G20,K20,O20,S20,W20,AA20,AE20)</f>
        <v/>
      </c>
      <c r="AH20" s="532">
        <f>COUNT(G20,K20,O20,S20,W20,AA20,AE20)-(COUNTIF(E20:AD20,"Vrij")/2)</f>
        <v/>
      </c>
      <c r="AI20" s="936">
        <f>Planning!AG20*24-Medewerker!E22</f>
        <v/>
      </c>
      <c r="AJ20" s="254">
        <f>IF(MAX(G20,K20,O20,S20,W20,AA20,AE20)*24&gt;Instellingen!$I$8,"nee","ja")</f>
        <v/>
      </c>
      <c r="AK20" s="254">
        <f>IF(AG20*24&gt;Instellingen!$I$9,"nee","ja")</f>
        <v/>
      </c>
    </row>
    <row r="21" ht="14.25" customHeight="1">
      <c r="A21" s="176">
        <f>IF(B21="",0,MAX($A$6:A20)+1)</f>
        <v/>
      </c>
      <c r="B21" s="241">
        <f>IF(Medewerker!C23="","",Medewerker!C23)</f>
        <v/>
      </c>
      <c r="C21" s="238">
        <f>Medewerker!AI23</f>
        <v/>
      </c>
      <c r="D21" s="240" t="n"/>
      <c r="E21" s="932">
        <f>IFERROR(IF(Medewerker!I23="",VLOOKUP($B21,Ma!$B$13:$E$63,3,FALSE),Medewerker!I23),"")</f>
        <v/>
      </c>
      <c r="F21" s="933">
        <f>IFERROR(IF(Medewerker!I23="",VLOOKUP($B21,Ma!$B$13:$E$63,4,FALSE),Medewerker!I23),"")</f>
        <v/>
      </c>
      <c r="G21" s="934">
        <f>IF(F21="OA",0,IF(F21="TA",0,IF(F21="VRIJ",0,IF(F21="ST",0,IFERROR(IF(F21="","",(F21/F21)*VLOOKUP($B21,Ma!$B$13:$AV$63,47,FALSE)/24),MAX(IFERROR((VLOOKUP($B21,Ma!$B$13:$AV$63,47,FALSE)/24),0),Medewerker!E23/120))))))</f>
        <v/>
      </c>
      <c r="H21" s="240" t="n"/>
      <c r="I21" s="933">
        <f>IFERROR(IF(Medewerker!M23="",VLOOKUP($B21,Di!$B$13:$E$63,3,FALSE),Medewerker!M23),"")</f>
        <v/>
      </c>
      <c r="J21" s="933">
        <f>IFERROR(IF(Medewerker!M23="",VLOOKUP($B21,Di!$B$13:$E$63,4,FALSE),Medewerker!M23),"")</f>
        <v/>
      </c>
      <c r="K21" s="934">
        <f>IF(J21="OA",0,IF(J21="TA",0,IF(J21="VRIJ",0,IF(J21="ST",0,IFERROR(IF(J21="","",(J21/J21)*VLOOKUP($B21,Di!$B$13:$AV$63,47,FALSE)/24),MAX(IFERROR((VLOOKUP($B21,Di!$B$13:$AV$63,47,FALSE)/24),0),Medewerker!E23/120))))))</f>
        <v/>
      </c>
      <c r="L21" s="240" t="n"/>
      <c r="M21" s="933">
        <f>IFERROR(IF(Medewerker!Q23="",VLOOKUP($B21,Wo!$B$13:$E$63,3,FALSE),Medewerker!Q23),"")</f>
        <v/>
      </c>
      <c r="N21" s="933">
        <f>IFERROR(IF(Medewerker!Q23="",VLOOKUP($B21,Wo!$B$13:$E$63,4,FALSE),Medewerker!Q23),"")</f>
        <v/>
      </c>
      <c r="O21" s="934">
        <f>IF(N21="OA",0,IF(N21="TA",0,IF(N21="VRIJ",0,IF(N21="ST",0,IFERROR(IF(N21="","",(N21/N21)*VLOOKUP($B21,Wo!$B$13:$AV$63,47,FALSE)/24),MAX(IFERROR((VLOOKUP($B21,Wo!$B$13:$AV$63,47,FALSE)/24),0),Medewerker!E23/120))))))</f>
        <v/>
      </c>
      <c r="P21" s="240" t="n"/>
      <c r="Q21" s="933">
        <f>IFERROR(IF(Medewerker!U23="",VLOOKUP($B21,Do!$B$13:$E$63,3,FALSE),Medewerker!U23),"")</f>
        <v/>
      </c>
      <c r="R21" s="933">
        <f>IFERROR(IF(Medewerker!U23="",VLOOKUP($B21,Do!$B$13:$E$63,4,FALSE),Medewerker!U23),"")</f>
        <v/>
      </c>
      <c r="S21" s="934">
        <f>IF(R21="OA",0,IF(R21="TA",0,IF(R21="VRIJ",0,IF(R21="ST",0,IFERROR(IF(R21="","",(R21/R21)*VLOOKUP($B21,Do!$B$13:$AV$63,47,FALSE)/24),MAX(IFERROR((VLOOKUP($B21,Do!$B$13:$AV$63,47,FALSE)/24),0),Medewerker!E23/120))))))</f>
        <v/>
      </c>
      <c r="T21" s="240" t="n"/>
      <c r="U21" s="933">
        <f>IFERROR(IF(Medewerker!Y23="",VLOOKUP($B21,Vr!$B$13:$E$63,3,FALSE),Medewerker!Y23),"")</f>
        <v/>
      </c>
      <c r="V21" s="933">
        <f>IFERROR(IF(Medewerker!Y23="",VLOOKUP($B21,Vr!$B$13:$E$63,4,FALSE),Medewerker!Y23),"")</f>
        <v/>
      </c>
      <c r="W21" s="934">
        <f>IF(V21="OA",0,IF(V21="TA",0,IF(V21="VRIJ",0,IF(V21="ST",0,IFERROR(IF(V21="","",(V21/V21)*VLOOKUP($B21,Vr!$B$13:$AV$63,47,FALSE)/24),MAX(IFERROR((VLOOKUP($B21,Vr!$B$13:$AV$63,47,FALSE)/24),0),Medewerker!E23/120))))))</f>
        <v/>
      </c>
      <c r="X21" s="240" t="n"/>
      <c r="Y21" s="933">
        <f>IFERROR(IF(Medewerker!AC23="",VLOOKUP($B21,Za!$B$13:$E$63,3,FALSE),Medewerker!AC23),"")</f>
        <v/>
      </c>
      <c r="Z21" s="933">
        <f>IFERROR(IF(Medewerker!AC23="",VLOOKUP($B21,Za!$B$13:$E$63,4,FALSE),Medewerker!AC23),"")</f>
        <v/>
      </c>
      <c r="AA21" s="934">
        <f>IF(Z21="OA",0,IF(Z21="TA",0,IF(Z21="VRIJ",0,IF(Z21="ST",0,IFERROR(IF(Z21="","",(Z21/Z21)*VLOOKUP($B21,Za!$B$13:$AV$63,47,FALSE)/24),MAX(IFERROR((VLOOKUP($B21,Za!$B$13:$AV$63,47,FALSE)/24),0),IF(COUNTIF(E21:V21,"ZIEK")&gt;9,0,IF(COUNTIF(E21:V21,"VAK")&gt;9,0,Medewerker!E23/120))))))))</f>
        <v/>
      </c>
      <c r="AB21" s="240" t="n"/>
      <c r="AC21" s="933">
        <f>IFERROR(IF(Medewerker!AG23="",VLOOKUP($B21,Zo!$B$13:$E$63,3,FALSE),Medewerker!AG23),"")</f>
        <v/>
      </c>
      <c r="AD21" s="933">
        <f>IFERROR(IF(Medewerker!AG23="",VLOOKUP($B21,Zo!$B$13:$E$63,4,FALSE),Medewerker!AG23),"")</f>
        <v/>
      </c>
      <c r="AE21" s="934">
        <f>IF(AD21="OA",0,IF(AD21="TA",0,IF(AD21="VRIJ",0,IF(AD21="ST",0,IFERROR(IF(AD21="","",(AD21/AD21)*VLOOKUP($B21,Zo!$B$13:$AV$63,47,FALSE)/24),MAX(IFERROR((VLOOKUP($B21,Zo!$B$13:$AV$63,47,FALSE)/24),0),IF(COUNTIF(E21:Z21,"ZIEK")&gt;9,0,IF(COUNTIF(E21:Z21,"VAK")&gt;9,0,Medewerker!E23/120))))))))</f>
        <v/>
      </c>
      <c r="AF21" s="240" t="n"/>
      <c r="AG21" s="935">
        <f>SUM(G21,K21,O21,S21,W21,AA21,AE21)</f>
        <v/>
      </c>
      <c r="AH21" s="532">
        <f>COUNT(G21,K21,O21,S21,W21,AA21,AE21)-(COUNTIF(E21:AD21,"Vrij")/2)</f>
        <v/>
      </c>
      <c r="AI21" s="936">
        <f>Planning!AG21*24-Medewerker!E23</f>
        <v/>
      </c>
      <c r="AJ21" s="254">
        <f>IF(MAX(G21,K21,O21,S21,W21,AA21,AE21)*24&gt;Instellingen!$I$8,"nee","ja")</f>
        <v/>
      </c>
      <c r="AK21" s="254">
        <f>IF(AG21*24&gt;Instellingen!$I$9,"nee","ja")</f>
        <v/>
      </c>
    </row>
    <row r="22" ht="14.25" customHeight="1">
      <c r="A22" s="176">
        <f>IF(B22="",0,MAX($A$6:A21)+1)</f>
        <v/>
      </c>
      <c r="B22" s="241">
        <f>IF(Medewerker!C24="","",Medewerker!C24)</f>
        <v/>
      </c>
      <c r="C22" s="238">
        <f>Medewerker!AI24</f>
        <v/>
      </c>
      <c r="D22" s="240" t="n"/>
      <c r="E22" s="932">
        <f>IFERROR(IF(Medewerker!I24="",VLOOKUP($B22,Ma!$B$13:$E$63,3,FALSE),Medewerker!I24),"")</f>
        <v/>
      </c>
      <c r="F22" s="933">
        <f>IFERROR(IF(Medewerker!I24="",VLOOKUP($B22,Ma!$B$13:$E$63,4,FALSE),Medewerker!I24),"")</f>
        <v/>
      </c>
      <c r="G22" s="934">
        <f>IF(F22="OA",0,IF(F22="TA",0,IF(F22="VRIJ",0,IF(F22="ST",0,IFERROR(IF(F22="","",(F22/F22)*VLOOKUP($B22,Ma!$B$13:$AV$63,47,FALSE)/24),MAX(IFERROR((VLOOKUP($B22,Ma!$B$13:$AV$63,47,FALSE)/24),0),Medewerker!E24/120))))))</f>
        <v/>
      </c>
      <c r="H22" s="240" t="n"/>
      <c r="I22" s="933">
        <f>IFERROR(IF(Medewerker!M24="",VLOOKUP($B22,Di!$B$13:$E$63,3,FALSE),Medewerker!M24),"")</f>
        <v/>
      </c>
      <c r="J22" s="933">
        <f>IFERROR(IF(Medewerker!M24="",VLOOKUP($B22,Di!$B$13:$E$63,4,FALSE),Medewerker!M24),"")</f>
        <v/>
      </c>
      <c r="K22" s="934">
        <f>IF(J22="OA",0,IF(J22="TA",0,IF(J22="VRIJ",0,IF(J22="ST",0,IFERROR(IF(J22="","",(J22/J22)*VLOOKUP($B22,Di!$B$13:$AV$63,47,FALSE)/24),MAX(IFERROR((VLOOKUP($B22,Di!$B$13:$AV$63,47,FALSE)/24),0),Medewerker!E24/120))))))</f>
        <v/>
      </c>
      <c r="L22" s="240" t="n"/>
      <c r="M22" s="933">
        <f>IFERROR(IF(Medewerker!Q24="",VLOOKUP($B22,Wo!$B$13:$E$63,3,FALSE),Medewerker!Q24),"")</f>
        <v/>
      </c>
      <c r="N22" s="933">
        <f>IFERROR(IF(Medewerker!Q24="",VLOOKUP($B22,Wo!$B$13:$E$63,4,FALSE),Medewerker!Q24),"")</f>
        <v/>
      </c>
      <c r="O22" s="934">
        <f>IF(N22="OA",0,IF(N22="TA",0,IF(N22="VRIJ",0,IF(N22="ST",0,IFERROR(IF(N22="","",(N22/N22)*VLOOKUP($B22,Wo!$B$13:$AV$63,47,FALSE)/24),MAX(IFERROR((VLOOKUP($B22,Wo!$B$13:$AV$63,47,FALSE)/24),0),Medewerker!E24/120))))))</f>
        <v/>
      </c>
      <c r="P22" s="240" t="n"/>
      <c r="Q22" s="933">
        <f>IFERROR(IF(Medewerker!U24="",VLOOKUP($B22,Do!$B$13:$E$63,3,FALSE),Medewerker!U24),"")</f>
        <v/>
      </c>
      <c r="R22" s="933">
        <f>IFERROR(IF(Medewerker!U24="",VLOOKUP($B22,Do!$B$13:$E$63,4,FALSE),Medewerker!U24),"")</f>
        <v/>
      </c>
      <c r="S22" s="934">
        <f>IF(R22="OA",0,IF(R22="TA",0,IF(R22="VRIJ",0,IF(R22="ST",0,IFERROR(IF(R22="","",(R22/R22)*VLOOKUP($B22,Do!$B$13:$AV$63,47,FALSE)/24),MAX(IFERROR((VLOOKUP($B22,Do!$B$13:$AV$63,47,FALSE)/24),0),Medewerker!E24/120))))))</f>
        <v/>
      </c>
      <c r="T22" s="240" t="n"/>
      <c r="U22" s="933">
        <f>IFERROR(IF(Medewerker!Y24="",VLOOKUP($B22,Vr!$B$13:$E$63,3,FALSE),Medewerker!Y24),"")</f>
        <v/>
      </c>
      <c r="V22" s="933">
        <f>IFERROR(IF(Medewerker!Y24="",VLOOKUP($B22,Vr!$B$13:$E$63,4,FALSE),Medewerker!Y24),"")</f>
        <v/>
      </c>
      <c r="W22" s="934">
        <f>IF(V22="OA",0,IF(V22="TA",0,IF(V22="VRIJ",0,IF(V22="ST",0,IFERROR(IF(V22="","",(V22/V22)*VLOOKUP($B22,Vr!$B$13:$AV$63,47,FALSE)/24),MAX(IFERROR((VLOOKUP($B22,Vr!$B$13:$AV$63,47,FALSE)/24),0),Medewerker!E24/120))))))</f>
        <v/>
      </c>
      <c r="X22" s="240" t="n"/>
      <c r="Y22" s="933">
        <f>IFERROR(IF(Medewerker!AC24="",VLOOKUP($B22,Za!$B$13:$E$63,3,FALSE),Medewerker!AC24),"")</f>
        <v/>
      </c>
      <c r="Z22" s="933">
        <f>IFERROR(IF(Medewerker!AC24="",VLOOKUP($B22,Za!$B$13:$E$63,4,FALSE),Medewerker!AC24),"")</f>
        <v/>
      </c>
      <c r="AA22" s="934">
        <f>IF(Z22="OA",0,IF(Z22="TA",0,IF(Z22="VRIJ",0,IF(Z22="ST",0,IFERROR(IF(Z22="","",(Z22/Z22)*VLOOKUP($B22,Za!$B$13:$AV$63,47,FALSE)/24),MAX(IFERROR((VLOOKUP($B22,Za!$B$13:$AV$63,47,FALSE)/24),0),IF(COUNTIF(E22:V22,"ZIEK")&gt;9,0,IF(COUNTIF(E22:V22,"VAK")&gt;9,0,Medewerker!E24/120))))))))</f>
        <v/>
      </c>
      <c r="AB22" s="240" t="n"/>
      <c r="AC22" s="933">
        <f>IFERROR(IF(Medewerker!AG24="",VLOOKUP($B22,Zo!$B$13:$E$63,3,FALSE),Medewerker!AG24),"")</f>
        <v/>
      </c>
      <c r="AD22" s="933">
        <f>IFERROR(IF(Medewerker!AG24="",VLOOKUP($B22,Zo!$B$13:$E$63,4,FALSE),Medewerker!AG24),"")</f>
        <v/>
      </c>
      <c r="AE22" s="934">
        <f>IF(AD22="OA",0,IF(AD22="TA",0,IF(AD22="VRIJ",0,IF(AD22="ST",0,IFERROR(IF(AD22="","",(AD22/AD22)*VLOOKUP($B22,Zo!$B$13:$AV$63,47,FALSE)/24),MAX(IFERROR((VLOOKUP($B22,Zo!$B$13:$AV$63,47,FALSE)/24),0),IF(COUNTIF(E22:Z22,"ZIEK")&gt;9,0,IF(COUNTIF(E22:Z22,"VAK")&gt;9,0,Medewerker!E24/120))))))))</f>
        <v/>
      </c>
      <c r="AF22" s="240" t="n"/>
      <c r="AG22" s="935">
        <f>SUM(G22,K22,O22,S22,W22,AA22,AE22)</f>
        <v/>
      </c>
      <c r="AH22" s="532">
        <f>COUNT(G22,K22,O22,S22,W22,AA22,AE22)-(COUNTIF(E22:AD22,"Vrij")/2)</f>
        <v/>
      </c>
      <c r="AI22" s="936">
        <f>Planning!AG22*24-Medewerker!E24</f>
        <v/>
      </c>
      <c r="AJ22" s="254">
        <f>IF(MAX(G22,K22,O22,S22,W22,AA22,AE22)*24&gt;Instellingen!$I$8,"nee","ja")</f>
        <v/>
      </c>
      <c r="AK22" s="254">
        <f>IF(AG22*24&gt;Instellingen!$I$9,"nee","ja")</f>
        <v/>
      </c>
    </row>
    <row r="23" ht="14.25" customHeight="1">
      <c r="A23" s="176">
        <f>IF(B23="",0,MAX($A$6:A22)+1)</f>
        <v/>
      </c>
      <c r="B23" s="241">
        <f>IF(Medewerker!C25="","",Medewerker!C25)</f>
        <v/>
      </c>
      <c r="C23" s="238">
        <f>Medewerker!AI25</f>
        <v/>
      </c>
      <c r="D23" s="240" t="n"/>
      <c r="E23" s="932">
        <f>IFERROR(IF(Medewerker!I25="",VLOOKUP($B23,Ma!$B$13:$E$63,3,FALSE),Medewerker!I25),"")</f>
        <v/>
      </c>
      <c r="F23" s="933">
        <f>IFERROR(IF(Medewerker!I25="",VLOOKUP($B23,Ma!$B$13:$E$63,4,FALSE),Medewerker!I25),"")</f>
        <v/>
      </c>
      <c r="G23" s="934">
        <f>IF(F23="OA",0,IF(F23="TA",0,IF(F23="VRIJ",0,IF(F23="ST",0,IFERROR(IF(F23="","",(F23/F23)*VLOOKUP($B23,Ma!$B$13:$AV$63,47,FALSE)/24),MAX(IFERROR((VLOOKUP($B23,Ma!$B$13:$AV$63,47,FALSE)/24),0),Medewerker!E25/120))))))</f>
        <v/>
      </c>
      <c r="H23" s="240" t="n"/>
      <c r="I23" s="933">
        <f>IFERROR(IF(Medewerker!M25="",VLOOKUP($B23,Di!$B$13:$E$63,3,FALSE),Medewerker!M25),"")</f>
        <v/>
      </c>
      <c r="J23" s="933">
        <f>IFERROR(IF(Medewerker!M25="",VLOOKUP($B23,Di!$B$13:$E$63,4,FALSE),Medewerker!M25),"")</f>
        <v/>
      </c>
      <c r="K23" s="934">
        <f>IF(J23="OA",0,IF(J23="TA",0,IF(J23="VRIJ",0,IF(J23="ST",0,IFERROR(IF(J23="","",(J23/J23)*VLOOKUP($B23,Di!$B$13:$AV$63,47,FALSE)/24),MAX(IFERROR((VLOOKUP($B23,Di!$B$13:$AV$63,47,FALSE)/24),0),Medewerker!E25/120))))))</f>
        <v/>
      </c>
      <c r="L23" s="240" t="n"/>
      <c r="M23" s="933">
        <f>IFERROR(IF(Medewerker!Q25="",VLOOKUP($B23,Wo!$B$13:$E$63,3,FALSE),Medewerker!Q25),"")</f>
        <v/>
      </c>
      <c r="N23" s="933">
        <f>IFERROR(IF(Medewerker!Q25="",VLOOKUP($B23,Wo!$B$13:$E$63,4,FALSE),Medewerker!Q25),"")</f>
        <v/>
      </c>
      <c r="O23" s="934">
        <f>IF(N23="OA",0,IF(N23="TA",0,IF(N23="VRIJ",0,IF(N23="ST",0,IFERROR(IF(N23="","",(N23/N23)*VLOOKUP($B23,Wo!$B$13:$AV$63,47,FALSE)/24),MAX(IFERROR((VLOOKUP($B23,Wo!$B$13:$AV$63,47,FALSE)/24),0),Medewerker!E25/120))))))</f>
        <v/>
      </c>
      <c r="P23" s="240" t="n"/>
      <c r="Q23" s="933">
        <f>IFERROR(IF(Medewerker!U25="",VLOOKUP($B23,Do!$B$13:$E$63,3,FALSE),Medewerker!U25),"")</f>
        <v/>
      </c>
      <c r="R23" s="933">
        <f>IFERROR(IF(Medewerker!U25="",VLOOKUP($B23,Do!$B$13:$E$63,4,FALSE),Medewerker!U25),"")</f>
        <v/>
      </c>
      <c r="S23" s="934">
        <f>IF(R23="OA",0,IF(R23="TA",0,IF(R23="VRIJ",0,IF(R23="ST",0,IFERROR(IF(R23="","",(R23/R23)*VLOOKUP($B23,Do!$B$13:$AV$63,47,FALSE)/24),MAX(IFERROR((VLOOKUP($B23,Do!$B$13:$AV$63,47,FALSE)/24),0),Medewerker!E25/120))))))</f>
        <v/>
      </c>
      <c r="T23" s="240" t="n"/>
      <c r="U23" s="933">
        <f>IFERROR(IF(Medewerker!Y25="",VLOOKUP($B23,Vr!$B$13:$E$63,3,FALSE),Medewerker!Y25),"")</f>
        <v/>
      </c>
      <c r="V23" s="933">
        <f>IFERROR(IF(Medewerker!Y25="",VLOOKUP($B23,Vr!$B$13:$E$63,4,FALSE),Medewerker!Y25),"")</f>
        <v/>
      </c>
      <c r="W23" s="934">
        <f>IF(V23="OA",0,IF(V23="TA",0,IF(V23="VRIJ",0,IF(V23="ST",0,IFERROR(IF(V23="","",(V23/V23)*VLOOKUP($B23,Vr!$B$13:$AV$63,47,FALSE)/24),MAX(IFERROR((VLOOKUP($B23,Vr!$B$13:$AV$63,47,FALSE)/24),0),Medewerker!E25/120))))))</f>
        <v/>
      </c>
      <c r="X23" s="240" t="n"/>
      <c r="Y23" s="933">
        <f>IFERROR(IF(Medewerker!AC25="",VLOOKUP($B23,Za!$B$13:$E$63,3,FALSE),Medewerker!AC25),"")</f>
        <v/>
      </c>
      <c r="Z23" s="933">
        <f>IFERROR(IF(Medewerker!AC25="",VLOOKUP($B23,Za!$B$13:$E$63,4,FALSE),Medewerker!AC25),"")</f>
        <v/>
      </c>
      <c r="AA23" s="934">
        <f>IF(Z23="OA",0,IF(Z23="TA",0,IF(Z23="VRIJ",0,IF(Z23="ST",0,IFERROR(IF(Z23="","",(Z23/Z23)*VLOOKUP($B23,Za!$B$13:$AV$63,47,FALSE)/24),MAX(IFERROR((VLOOKUP($B23,Za!$B$13:$AV$63,47,FALSE)/24),0),IF(COUNTIF(E23:V23,"ZIEK")&gt;9,0,IF(COUNTIF(E23:V23,"VAK")&gt;9,0,Medewerker!E25/120))))))))</f>
        <v/>
      </c>
      <c r="AB23" s="240" t="n"/>
      <c r="AC23" s="933">
        <f>IFERROR(IF(Medewerker!AG25="",VLOOKUP($B23,Zo!$B$13:$E$63,3,FALSE),Medewerker!AG25),"")</f>
        <v/>
      </c>
      <c r="AD23" s="933">
        <f>IFERROR(IF(Medewerker!AG25="",VLOOKUP($B23,Zo!$B$13:$E$63,4,FALSE),Medewerker!AG25),"")</f>
        <v/>
      </c>
      <c r="AE23" s="934">
        <f>IF(AD23="OA",0,IF(AD23="TA",0,IF(AD23="VRIJ",0,IF(AD23="ST",0,IFERROR(IF(AD23="","",(AD23/AD23)*VLOOKUP($B23,Zo!$B$13:$AV$63,47,FALSE)/24),MAX(IFERROR((VLOOKUP($B23,Zo!$B$13:$AV$63,47,FALSE)/24),0),IF(COUNTIF(E23:Z23,"ZIEK")&gt;9,0,IF(COUNTIF(E23:Z23,"VAK")&gt;9,0,Medewerker!E25/120))))))))</f>
        <v/>
      </c>
      <c r="AF23" s="240" t="n"/>
      <c r="AG23" s="935">
        <f>SUM(G23,K23,O23,S23,W23,AA23,AE23)</f>
        <v/>
      </c>
      <c r="AH23" s="532">
        <f>COUNT(G23,K23,O23,S23,W23,AA23,AE23)-(COUNTIF(E23:AD23,"Vrij")/2)</f>
        <v/>
      </c>
      <c r="AI23" s="936">
        <f>Planning!AG23*24-Medewerker!E25</f>
        <v/>
      </c>
      <c r="AJ23" s="254">
        <f>IF(MAX(G23,K23,O23,S23,W23,AA23,AE23)*24&gt;Instellingen!$I$8,"nee","ja")</f>
        <v/>
      </c>
      <c r="AK23" s="254">
        <f>IF(AG23*24&gt;Instellingen!$I$9,"nee","ja")</f>
        <v/>
      </c>
    </row>
    <row r="24" ht="14.25" customHeight="1">
      <c r="A24" s="176">
        <f>IF(B24="",0,MAX($A$6:A23)+1)</f>
        <v/>
      </c>
      <c r="B24" s="241">
        <f>IF(Medewerker!C26="","",Medewerker!C26)</f>
        <v/>
      </c>
      <c r="C24" s="238">
        <f>Medewerker!AI26</f>
        <v/>
      </c>
      <c r="D24" s="240" t="n"/>
      <c r="E24" s="932">
        <f>IFERROR(IF(Medewerker!I26="",VLOOKUP($B24,Ma!$B$13:$E$63,3,FALSE),Medewerker!I26),"")</f>
        <v/>
      </c>
      <c r="F24" s="933">
        <f>IFERROR(IF(Medewerker!I26="",VLOOKUP($B24,Ma!$B$13:$E$63,4,FALSE),Medewerker!I26),"")</f>
        <v/>
      </c>
      <c r="G24" s="934">
        <f>IF(F24="OA",0,IF(F24="TA",0,IF(F24="VRIJ",0,IF(F24="ST",0,IFERROR(IF(F24="","",(F24/F24)*VLOOKUP($B24,Ma!$B$13:$AV$63,47,FALSE)/24),MAX(IFERROR((VLOOKUP($B24,Ma!$B$13:$AV$63,47,FALSE)/24),0),Medewerker!E26/120))))))</f>
        <v/>
      </c>
      <c r="H24" s="240" t="n"/>
      <c r="I24" s="933">
        <f>IFERROR(IF(Medewerker!M26="",VLOOKUP($B24,Di!$B$13:$E$63,3,FALSE),Medewerker!M26),"")</f>
        <v/>
      </c>
      <c r="J24" s="933">
        <f>IFERROR(IF(Medewerker!M26="",VLOOKUP($B24,Di!$B$13:$E$63,4,FALSE),Medewerker!M26),"")</f>
        <v/>
      </c>
      <c r="K24" s="934">
        <f>IF(J24="OA",0,IF(J24="TA",0,IF(J24="VRIJ",0,IF(J24="ST",0,IFERROR(IF(J24="","",(J24/J24)*VLOOKUP($B24,Di!$B$13:$AV$63,47,FALSE)/24),MAX(IFERROR((VLOOKUP($B24,Di!$B$13:$AV$63,47,FALSE)/24),0),Medewerker!E26/120))))))</f>
        <v/>
      </c>
      <c r="L24" s="240" t="n"/>
      <c r="M24" s="933">
        <f>IFERROR(IF(Medewerker!Q26="",VLOOKUP($B24,Wo!$B$13:$E$63,3,FALSE),Medewerker!Q26),"")</f>
        <v/>
      </c>
      <c r="N24" s="933">
        <f>IFERROR(IF(Medewerker!Q26="",VLOOKUP($B24,Wo!$B$13:$E$63,4,FALSE),Medewerker!Q26),"")</f>
        <v/>
      </c>
      <c r="O24" s="934">
        <f>IF(N24="OA",0,IF(N24="TA",0,IF(N24="VRIJ",0,IF(N24="ST",0,IFERROR(IF(N24="","",(N24/N24)*VLOOKUP($B24,Wo!$B$13:$AV$63,47,FALSE)/24),MAX(IFERROR((VLOOKUP($B24,Wo!$B$13:$AV$63,47,FALSE)/24),0),Medewerker!E26/120))))))</f>
        <v/>
      </c>
      <c r="P24" s="240" t="n"/>
      <c r="Q24" s="933">
        <f>IFERROR(IF(Medewerker!U26="",VLOOKUP($B24,Do!$B$13:$E$63,3,FALSE),Medewerker!U26),"")</f>
        <v/>
      </c>
      <c r="R24" s="933">
        <f>IFERROR(IF(Medewerker!U26="",VLOOKUP($B24,Do!$B$13:$E$63,4,FALSE),Medewerker!U26),"")</f>
        <v/>
      </c>
      <c r="S24" s="934">
        <f>IF(R24="OA",0,IF(R24="TA",0,IF(R24="VRIJ",0,IF(R24="ST",0,IFERROR(IF(R24="","",(R24/R24)*VLOOKUP($B24,Do!$B$13:$AV$63,47,FALSE)/24),MAX(IFERROR((VLOOKUP($B24,Do!$B$13:$AV$63,47,FALSE)/24),0),Medewerker!E26/120))))))</f>
        <v/>
      </c>
      <c r="T24" s="240" t="n"/>
      <c r="U24" s="933">
        <f>IFERROR(IF(Medewerker!Y26="",VLOOKUP($B24,Vr!$B$13:$E$63,3,FALSE),Medewerker!Y26),"")</f>
        <v/>
      </c>
      <c r="V24" s="933">
        <f>IFERROR(IF(Medewerker!Y26="",VLOOKUP($B24,Vr!$B$13:$E$63,4,FALSE),Medewerker!Y26),"")</f>
        <v/>
      </c>
      <c r="W24" s="934">
        <f>IF(V24="OA",0,IF(V24="TA",0,IF(V24="VRIJ",0,IF(V24="ST",0,IFERROR(IF(V24="","",(V24/V24)*VLOOKUP($B24,Vr!$B$13:$AV$63,47,FALSE)/24),MAX(IFERROR((VLOOKUP($B24,Vr!$B$13:$AV$63,47,FALSE)/24),0),Medewerker!E26/120))))))</f>
        <v/>
      </c>
      <c r="X24" s="240" t="n"/>
      <c r="Y24" s="933">
        <f>IFERROR(IF(Medewerker!AC26="",VLOOKUP($B24,Za!$B$13:$E$63,3,FALSE),Medewerker!AC26),"")</f>
        <v/>
      </c>
      <c r="Z24" s="933">
        <f>IFERROR(IF(Medewerker!AC26="",VLOOKUP($B24,Za!$B$13:$E$63,4,FALSE),Medewerker!AC26),"")</f>
        <v/>
      </c>
      <c r="AA24" s="934">
        <f>IF(Z24="OA",0,IF(Z24="TA",0,IF(Z24="VRIJ",0,IF(Z24="ST",0,IFERROR(IF(Z24="","",(Z24/Z24)*VLOOKUP($B24,Za!$B$13:$AV$63,47,FALSE)/24),MAX(IFERROR((VLOOKUP($B24,Za!$B$13:$AV$63,47,FALSE)/24),0),IF(COUNTIF(E24:V24,"ZIEK")&gt;9,0,IF(COUNTIF(E24:V24,"VAK")&gt;9,0,Medewerker!E26/120))))))))</f>
        <v/>
      </c>
      <c r="AB24" s="240" t="n"/>
      <c r="AC24" s="933">
        <f>IFERROR(IF(Medewerker!AG26="",VLOOKUP($B24,Zo!$B$13:$E$63,3,FALSE),Medewerker!AG26),"")</f>
        <v/>
      </c>
      <c r="AD24" s="933">
        <f>IFERROR(IF(Medewerker!AG26="",VLOOKUP($B24,Zo!$B$13:$E$63,4,FALSE),Medewerker!AG26),"")</f>
        <v/>
      </c>
      <c r="AE24" s="934">
        <f>IF(AD24="OA",0,IF(AD24="TA",0,IF(AD24="VRIJ",0,IF(AD24="ST",0,IFERROR(IF(AD24="","",(AD24/AD24)*VLOOKUP($B24,Zo!$B$13:$AV$63,47,FALSE)/24),MAX(IFERROR((VLOOKUP($B24,Zo!$B$13:$AV$63,47,FALSE)/24),0),IF(COUNTIF(E24:Z24,"ZIEK")&gt;9,0,IF(COUNTIF(E24:Z24,"VAK")&gt;9,0,Medewerker!E26/120))))))))</f>
        <v/>
      </c>
      <c r="AF24" s="240" t="n"/>
      <c r="AG24" s="935">
        <f>SUM(G24,K24,O24,S24,W24,AA24,AE24)</f>
        <v/>
      </c>
      <c r="AH24" s="532">
        <f>COUNT(G24,K24,O24,S24,W24,AA24,AE24)-(COUNTIF(E24:AD24,"Vrij")/2)</f>
        <v/>
      </c>
      <c r="AI24" s="936">
        <f>Planning!AG24*24-Medewerker!E26</f>
        <v/>
      </c>
      <c r="AJ24" s="254">
        <f>IF(MAX(G24,K24,O24,S24,W24,AA24,AE24)*24&gt;Instellingen!$I$8,"nee","ja")</f>
        <v/>
      </c>
      <c r="AK24" s="254">
        <f>IF(AG24*24&gt;Instellingen!$I$9,"nee","ja")</f>
        <v/>
      </c>
    </row>
    <row r="25" ht="14.25" customHeight="1">
      <c r="A25" s="176">
        <f>IF(B25="",0,MAX($A$6:A24)+1)</f>
        <v/>
      </c>
      <c r="B25" s="241">
        <f>IF(Medewerker!C27="","",Medewerker!C27)</f>
        <v/>
      </c>
      <c r="C25" s="238">
        <f>Medewerker!AI27</f>
        <v/>
      </c>
      <c r="D25" s="240" t="n"/>
      <c r="E25" s="932">
        <f>IFERROR(IF(Medewerker!I27="",VLOOKUP($B25,Ma!$B$13:$E$63,3,FALSE),Medewerker!I27),"")</f>
        <v/>
      </c>
      <c r="F25" s="933">
        <f>IFERROR(IF(Medewerker!I27="",VLOOKUP($B25,Ma!$B$13:$E$63,4,FALSE),Medewerker!I27),"")</f>
        <v/>
      </c>
      <c r="G25" s="934">
        <f>IF(F25="OA",0,IF(F25="TA",0,IF(F25="VRIJ",0,IF(F25="ST",0,IFERROR(IF(F25="","",(F25/F25)*VLOOKUP($B25,Ma!$B$13:$AV$63,47,FALSE)/24),MAX(IFERROR((VLOOKUP($B25,Ma!$B$13:$AV$63,47,FALSE)/24),0),Medewerker!E27/120))))))</f>
        <v/>
      </c>
      <c r="H25" s="240" t="n"/>
      <c r="I25" s="933">
        <f>IFERROR(IF(Medewerker!M27="",VLOOKUP($B25,Di!$B$13:$E$63,3,FALSE),Medewerker!M27),"")</f>
        <v/>
      </c>
      <c r="J25" s="933">
        <f>IFERROR(IF(Medewerker!M27="",VLOOKUP($B25,Di!$B$13:$E$63,4,FALSE),Medewerker!M27),"")</f>
        <v/>
      </c>
      <c r="K25" s="934">
        <f>IF(J25="OA",0,IF(J25="TA",0,IF(J25="VRIJ",0,IF(J25="ST",0,IFERROR(IF(J25="","",(J25/J25)*VLOOKUP($B25,Di!$B$13:$AV$63,47,FALSE)/24),MAX(IFERROR((VLOOKUP($B25,Di!$B$13:$AV$63,47,FALSE)/24),0),Medewerker!E27/120))))))</f>
        <v/>
      </c>
      <c r="L25" s="240" t="n"/>
      <c r="M25" s="933">
        <f>IFERROR(IF(Medewerker!Q27="",VLOOKUP($B25,Wo!$B$13:$E$63,3,FALSE),Medewerker!Q27),"")</f>
        <v/>
      </c>
      <c r="N25" s="933">
        <f>IFERROR(IF(Medewerker!Q27="",VLOOKUP($B25,Wo!$B$13:$E$63,4,FALSE),Medewerker!Q27),"")</f>
        <v/>
      </c>
      <c r="O25" s="934">
        <f>IF(N25="OA",0,IF(N25="TA",0,IF(N25="VRIJ",0,IF(N25="ST",0,IFERROR(IF(N25="","",(N25/N25)*VLOOKUP($B25,Wo!$B$13:$AV$63,47,FALSE)/24),MAX(IFERROR((VLOOKUP($B25,Wo!$B$13:$AV$63,47,FALSE)/24),0),Medewerker!E27/120))))))</f>
        <v/>
      </c>
      <c r="P25" s="240" t="n"/>
      <c r="Q25" s="933">
        <f>IFERROR(IF(Medewerker!U27="",VLOOKUP($B25,Do!$B$13:$E$63,3,FALSE),Medewerker!U27),"")</f>
        <v/>
      </c>
      <c r="R25" s="933">
        <f>IFERROR(IF(Medewerker!U27="",VLOOKUP($B25,Do!$B$13:$E$63,4,FALSE),Medewerker!U27),"")</f>
        <v/>
      </c>
      <c r="S25" s="934">
        <f>IF(R25="OA",0,IF(R25="TA",0,IF(R25="VRIJ",0,IF(R25="ST",0,IFERROR(IF(R25="","",(R25/R25)*VLOOKUP($B25,Do!$B$13:$AV$63,47,FALSE)/24),MAX(IFERROR((VLOOKUP($B25,Do!$B$13:$AV$63,47,FALSE)/24),0),Medewerker!E27/120))))))</f>
        <v/>
      </c>
      <c r="T25" s="240" t="n"/>
      <c r="U25" s="933">
        <f>IFERROR(IF(Medewerker!Y27="",VLOOKUP($B25,Vr!$B$13:$E$63,3,FALSE),Medewerker!Y27),"")</f>
        <v/>
      </c>
      <c r="V25" s="933">
        <f>IFERROR(IF(Medewerker!Y27="",VLOOKUP($B25,Vr!$B$13:$E$63,4,FALSE),Medewerker!Y27),"")</f>
        <v/>
      </c>
      <c r="W25" s="934">
        <f>IF(V25="OA",0,IF(V25="TA",0,IF(V25="VRIJ",0,IF(V25="ST",0,IFERROR(IF(V25="","",(V25/V25)*VLOOKUP($B25,Vr!$B$13:$AV$63,47,FALSE)/24),MAX(IFERROR((VLOOKUP($B25,Vr!$B$13:$AV$63,47,FALSE)/24),0),Medewerker!E27/120))))))</f>
        <v/>
      </c>
      <c r="X25" s="240" t="n"/>
      <c r="Y25" s="933">
        <f>IFERROR(IF(Medewerker!AC27="",VLOOKUP($B25,Za!$B$13:$E$63,3,FALSE),Medewerker!AC27),"")</f>
        <v/>
      </c>
      <c r="Z25" s="933">
        <f>IFERROR(IF(Medewerker!AC27="",VLOOKUP($B25,Za!$B$13:$E$63,4,FALSE),Medewerker!AC27),"")</f>
        <v/>
      </c>
      <c r="AA25" s="934">
        <f>IF(Z25="OA",0,IF(Z25="TA",0,IF(Z25="VRIJ",0,IF(Z25="ST",0,IFERROR(IF(Z25="","",(Z25/Z25)*VLOOKUP($B25,Za!$B$13:$AV$63,47,FALSE)/24),MAX(IFERROR((VLOOKUP($B25,Za!$B$13:$AV$63,47,FALSE)/24),0),IF(COUNTIF(E25:V25,"ZIEK")&gt;9,0,IF(COUNTIF(E25:V25,"VAK")&gt;9,0,Medewerker!E27/120))))))))</f>
        <v/>
      </c>
      <c r="AB25" s="240" t="n"/>
      <c r="AC25" s="933">
        <f>IFERROR(IF(Medewerker!AG27="",VLOOKUP($B25,Zo!$B$13:$E$63,3,FALSE),Medewerker!AG27),"")</f>
        <v/>
      </c>
      <c r="AD25" s="933">
        <f>IFERROR(IF(Medewerker!AG27="",VLOOKUP($B25,Zo!$B$13:$E$63,4,FALSE),Medewerker!AG27),"")</f>
        <v/>
      </c>
      <c r="AE25" s="934">
        <f>IF(AD25="OA",0,IF(AD25="TA",0,IF(AD25="VRIJ",0,IF(AD25="ST",0,IFERROR(IF(AD25="","",(AD25/AD25)*VLOOKUP($B25,Zo!$B$13:$AV$63,47,FALSE)/24),MAX(IFERROR((VLOOKUP($B25,Zo!$B$13:$AV$63,47,FALSE)/24),0),IF(COUNTIF(E25:Z25,"ZIEK")&gt;9,0,IF(COUNTIF(E25:Z25,"VAK")&gt;9,0,Medewerker!E27/120))))))))</f>
        <v/>
      </c>
      <c r="AF25" s="240" t="n"/>
      <c r="AG25" s="935">
        <f>SUM(G25,K25,O25,S25,W25,AA25,AE25)</f>
        <v/>
      </c>
      <c r="AH25" s="532">
        <f>COUNT(G25,K25,O25,S25,W25,AA25,AE25)-(COUNTIF(E25:AD25,"Vrij")/2)</f>
        <v/>
      </c>
      <c r="AI25" s="936">
        <f>Planning!AG25*24-Medewerker!E27</f>
        <v/>
      </c>
      <c r="AJ25" s="254">
        <f>IF(MAX(G25,K25,O25,S25,W25,AA25,AE25)*24&gt;Instellingen!$I$8,"nee","ja")</f>
        <v/>
      </c>
      <c r="AK25" s="254">
        <f>IF(AG25*24&gt;Instellingen!$I$9,"nee","ja")</f>
        <v/>
      </c>
    </row>
    <row r="26" ht="14.25" customHeight="1">
      <c r="A26" s="176">
        <f>IF(B26="",0,MAX($A$6:A25)+1)</f>
        <v/>
      </c>
      <c r="B26" s="241">
        <f>IF(Medewerker!C28="","",Medewerker!C28)</f>
        <v/>
      </c>
      <c r="C26" s="238">
        <f>Medewerker!AI28</f>
        <v/>
      </c>
      <c r="D26" s="240" t="n"/>
      <c r="E26" s="932">
        <f>IFERROR(IF(Medewerker!I28="",VLOOKUP($B26,Ma!$B$13:$E$63,3,FALSE),Medewerker!I28),"")</f>
        <v/>
      </c>
      <c r="F26" s="933">
        <f>IFERROR(IF(Medewerker!I28="",VLOOKUP($B26,Ma!$B$13:$E$63,4,FALSE),Medewerker!I28),"")</f>
        <v/>
      </c>
      <c r="G26" s="934">
        <f>IF(F26="OA",0,IF(F26="TA",0,IF(F26="VRIJ",0,IF(F26="ST",0,IFERROR(IF(F26="","",(F26/F26)*VLOOKUP($B26,Ma!$B$13:$AV$63,47,FALSE)/24),MAX(IFERROR((VLOOKUP($B26,Ma!$B$13:$AV$63,47,FALSE)/24),0),Medewerker!E28/120))))))</f>
        <v/>
      </c>
      <c r="H26" s="240" t="n"/>
      <c r="I26" s="933">
        <f>IFERROR(IF(Medewerker!M28="",VLOOKUP($B26,Di!$B$13:$E$63,3,FALSE),Medewerker!M28),"")</f>
        <v/>
      </c>
      <c r="J26" s="933">
        <f>IFERROR(IF(Medewerker!M28="",VLOOKUP($B26,Di!$B$13:$E$63,4,FALSE),Medewerker!M28),"")</f>
        <v/>
      </c>
      <c r="K26" s="934">
        <f>IF(J26="OA",0,IF(J26="TA",0,IF(J26="VRIJ",0,IF(J26="ST",0,IFERROR(IF(J26="","",(J26/J26)*VLOOKUP($B26,Di!$B$13:$AV$63,47,FALSE)/24),MAX(IFERROR((VLOOKUP($B26,Di!$B$13:$AV$63,47,FALSE)/24),0),Medewerker!E28/120))))))</f>
        <v/>
      </c>
      <c r="L26" s="240" t="n"/>
      <c r="M26" s="933">
        <f>IFERROR(IF(Medewerker!Q28="",VLOOKUP($B26,Wo!$B$13:$E$63,3,FALSE),Medewerker!Q28),"")</f>
        <v/>
      </c>
      <c r="N26" s="933">
        <f>IFERROR(IF(Medewerker!Q28="",VLOOKUP($B26,Wo!$B$13:$E$63,4,FALSE),Medewerker!Q28),"")</f>
        <v/>
      </c>
      <c r="O26" s="934">
        <f>IF(N26="OA",0,IF(N26="TA",0,IF(N26="VRIJ",0,IF(N26="ST",0,IFERROR(IF(N26="","",(N26/N26)*VLOOKUP($B26,Wo!$B$13:$AV$63,47,FALSE)/24),MAX(IFERROR((VLOOKUP($B26,Wo!$B$13:$AV$63,47,FALSE)/24),0),Medewerker!E28/120))))))</f>
        <v/>
      </c>
      <c r="P26" s="240" t="n"/>
      <c r="Q26" s="933">
        <f>IFERROR(IF(Medewerker!U28="",VLOOKUP($B26,Do!$B$13:$E$63,3,FALSE),Medewerker!U28),"")</f>
        <v/>
      </c>
      <c r="R26" s="933">
        <f>IFERROR(IF(Medewerker!U28="",VLOOKUP($B26,Do!$B$13:$E$63,4,FALSE),Medewerker!U28),"")</f>
        <v/>
      </c>
      <c r="S26" s="934">
        <f>IF(R26="OA",0,IF(R26="TA",0,IF(R26="VRIJ",0,IF(R26="ST",0,IFERROR(IF(R26="","",(R26/R26)*VLOOKUP($B26,Do!$B$13:$AV$63,47,FALSE)/24),MAX(IFERROR((VLOOKUP($B26,Do!$B$13:$AV$63,47,FALSE)/24),0),Medewerker!E28/120))))))</f>
        <v/>
      </c>
      <c r="T26" s="240" t="n"/>
      <c r="U26" s="933">
        <f>IFERROR(IF(Medewerker!Y28="",VLOOKUP($B26,Vr!$B$13:$E$63,3,FALSE),Medewerker!Y28),"")</f>
        <v/>
      </c>
      <c r="V26" s="933">
        <f>IFERROR(IF(Medewerker!Y28="",VLOOKUP($B26,Vr!$B$13:$E$63,4,FALSE),Medewerker!Y28),"")</f>
        <v/>
      </c>
      <c r="W26" s="934">
        <f>IF(V26="OA",0,IF(V26="TA",0,IF(V26="VRIJ",0,IF(V26="ST",0,IFERROR(IF(V26="","",(V26/V26)*VLOOKUP($B26,Vr!$B$13:$AV$63,47,FALSE)/24),MAX(IFERROR((VLOOKUP($B26,Vr!$B$13:$AV$63,47,FALSE)/24),0),Medewerker!E28/120))))))</f>
        <v/>
      </c>
      <c r="X26" s="240" t="n"/>
      <c r="Y26" s="933">
        <f>IFERROR(IF(Medewerker!AC28="",VLOOKUP($B26,Za!$B$13:$E$63,3,FALSE),Medewerker!AC28),"")</f>
        <v/>
      </c>
      <c r="Z26" s="933">
        <f>IFERROR(IF(Medewerker!AC28="",VLOOKUP($B26,Za!$B$13:$E$63,4,FALSE),Medewerker!AC28),"")</f>
        <v/>
      </c>
      <c r="AA26" s="934">
        <f>IF(Z26="OA",0,IF(Z26="TA",0,IF(Z26="VRIJ",0,IF(Z26="ST",0,IFERROR(IF(Z26="","",(Z26/Z26)*VLOOKUP($B26,Za!$B$13:$AV$63,47,FALSE)/24),MAX(IFERROR((VLOOKUP($B26,Za!$B$13:$AV$63,47,FALSE)/24),0),IF(COUNTIF(E26:V26,"ZIEK")&gt;9,0,IF(COUNTIF(E26:V26,"VAK")&gt;9,0,Medewerker!E28/120))))))))</f>
        <v/>
      </c>
      <c r="AB26" s="240" t="n"/>
      <c r="AC26" s="933">
        <f>IFERROR(IF(Medewerker!AG28="",VLOOKUP($B26,Zo!$B$13:$E$63,3,FALSE),Medewerker!AG28),"")</f>
        <v/>
      </c>
      <c r="AD26" s="933">
        <f>IFERROR(IF(Medewerker!AG28="",VLOOKUP($B26,Zo!$B$13:$E$63,4,FALSE),Medewerker!AG28),"")</f>
        <v/>
      </c>
      <c r="AE26" s="934">
        <f>IF(AD26="OA",0,IF(AD26="TA",0,IF(AD26="VRIJ",0,IF(AD26="ST",0,IFERROR(IF(AD26="","",(AD26/AD26)*VLOOKUP($B26,Zo!$B$13:$AV$63,47,FALSE)/24),MAX(IFERROR((VLOOKUP($B26,Zo!$B$13:$AV$63,47,FALSE)/24),0),IF(COUNTIF(E26:Z26,"ZIEK")&gt;9,0,IF(COUNTIF(E26:Z26,"VAK")&gt;9,0,Medewerker!E28/120))))))))</f>
        <v/>
      </c>
      <c r="AF26" s="240" t="n"/>
      <c r="AG26" s="935">
        <f>SUM(G26,K26,O26,S26,W26,AA26,AE26)</f>
        <v/>
      </c>
      <c r="AH26" s="532">
        <f>COUNT(G26,K26,O26,S26,W26,AA26,AE26)-(COUNTIF(E26:AD26,"Vrij")/2)</f>
        <v/>
      </c>
      <c r="AI26" s="936">
        <f>Planning!AG26*24-Medewerker!E28</f>
        <v/>
      </c>
      <c r="AJ26" s="254">
        <f>IF(MAX(G26,K26,O26,S26,W26,AA26,AE26)*24&gt;Instellingen!$I$8,"nee","ja")</f>
        <v/>
      </c>
      <c r="AK26" s="254">
        <f>IF(AG26*24&gt;Instellingen!$I$9,"nee","ja")</f>
        <v/>
      </c>
    </row>
    <row r="27" ht="14.25" customHeight="1">
      <c r="A27" s="176">
        <f>IF(B27="",0,MAX($A$6:A26)+1)</f>
        <v/>
      </c>
      <c r="B27" s="241">
        <f>IF(Medewerker!C29="","",Medewerker!C29)</f>
        <v/>
      </c>
      <c r="C27" s="238">
        <f>Medewerker!AI29</f>
        <v/>
      </c>
      <c r="D27" s="240" t="n"/>
      <c r="E27" s="932">
        <f>IFERROR(IF(Medewerker!I29="",VLOOKUP($B27,Ma!$B$13:$E$63,3,FALSE),Medewerker!I29),"")</f>
        <v/>
      </c>
      <c r="F27" s="933">
        <f>IFERROR(IF(Medewerker!I29="",VLOOKUP($B27,Ma!$B$13:$E$63,4,FALSE),Medewerker!I29),"")</f>
        <v/>
      </c>
      <c r="G27" s="934">
        <f>IF(F27="OA",0,IF(F27="TA",0,IF(F27="VRIJ",0,IF(F27="ST",0,IFERROR(IF(F27="","",(F27/F27)*VLOOKUP($B27,Ma!$B$13:$AV$63,47,FALSE)/24),MAX(IFERROR((VLOOKUP($B27,Ma!$B$13:$AV$63,47,FALSE)/24),0),Medewerker!E29/120))))))</f>
        <v/>
      </c>
      <c r="H27" s="240" t="n"/>
      <c r="I27" s="933">
        <f>IFERROR(IF(Medewerker!M29="",VLOOKUP($B27,Di!$B$13:$E$63,3,FALSE),Medewerker!M29),"")</f>
        <v/>
      </c>
      <c r="J27" s="933">
        <f>IFERROR(IF(Medewerker!M29="",VLOOKUP($B27,Di!$B$13:$E$63,4,FALSE),Medewerker!M29),"")</f>
        <v/>
      </c>
      <c r="K27" s="934">
        <f>IF(J27="OA",0,IF(J27="TA",0,IF(J27="VRIJ",0,IF(J27="ST",0,IFERROR(IF(J27="","",(J27/J27)*VLOOKUP($B27,Di!$B$13:$AV$63,47,FALSE)/24),MAX(IFERROR((VLOOKUP($B27,Di!$B$13:$AV$63,47,FALSE)/24),0),Medewerker!E29/120))))))</f>
        <v/>
      </c>
      <c r="L27" s="240" t="n"/>
      <c r="M27" s="933">
        <f>IFERROR(IF(Medewerker!Q29="",VLOOKUP($B27,Wo!$B$13:$E$63,3,FALSE),Medewerker!Q29),"")</f>
        <v/>
      </c>
      <c r="N27" s="933">
        <f>IFERROR(IF(Medewerker!Q29="",VLOOKUP($B27,Wo!$B$13:$E$63,4,FALSE),Medewerker!Q29),"")</f>
        <v/>
      </c>
      <c r="O27" s="934">
        <f>IF(N27="OA",0,IF(N27="TA",0,IF(N27="VRIJ",0,IF(N27="ST",0,IFERROR(IF(N27="","",(N27/N27)*VLOOKUP($B27,Wo!$B$13:$AV$63,47,FALSE)/24),MAX(IFERROR((VLOOKUP($B27,Wo!$B$13:$AV$63,47,FALSE)/24),0),Medewerker!E29/120))))))</f>
        <v/>
      </c>
      <c r="P27" s="240" t="n"/>
      <c r="Q27" s="933">
        <f>IFERROR(IF(Medewerker!U29="",VLOOKUP($B27,Do!$B$13:$E$63,3,FALSE),Medewerker!U29),"")</f>
        <v/>
      </c>
      <c r="R27" s="933">
        <f>IFERROR(IF(Medewerker!U29="",VLOOKUP($B27,Do!$B$13:$E$63,4,FALSE),Medewerker!U29),"")</f>
        <v/>
      </c>
      <c r="S27" s="934">
        <f>IF(R27="OA",0,IF(R27="TA",0,IF(R27="VRIJ",0,IF(R27="ST",0,IFERROR(IF(R27="","",(R27/R27)*VLOOKUP($B27,Do!$B$13:$AV$63,47,FALSE)/24),MAX(IFERROR((VLOOKUP($B27,Do!$B$13:$AV$63,47,FALSE)/24),0),Medewerker!E29/120))))))</f>
        <v/>
      </c>
      <c r="T27" s="240" t="n"/>
      <c r="U27" s="933">
        <f>IFERROR(IF(Medewerker!Y29="",VLOOKUP($B27,Vr!$B$13:$E$63,3,FALSE),Medewerker!Y29),"")</f>
        <v/>
      </c>
      <c r="V27" s="933">
        <f>IFERROR(IF(Medewerker!Y29="",VLOOKUP($B27,Vr!$B$13:$E$63,4,FALSE),Medewerker!Y29),"")</f>
        <v/>
      </c>
      <c r="W27" s="934">
        <f>IF(V27="OA",0,IF(V27="TA",0,IF(V27="VRIJ",0,IF(V27="ST",0,IFERROR(IF(V27="","",(V27/V27)*VLOOKUP($B27,Vr!$B$13:$AV$63,47,FALSE)/24),MAX(IFERROR((VLOOKUP($B27,Vr!$B$13:$AV$63,47,FALSE)/24),0),Medewerker!E29/120))))))</f>
        <v/>
      </c>
      <c r="X27" s="240" t="n"/>
      <c r="Y27" s="933">
        <f>IFERROR(IF(Medewerker!AC29="",VLOOKUP($B27,Za!$B$13:$E$63,3,FALSE),Medewerker!AC29),"")</f>
        <v/>
      </c>
      <c r="Z27" s="933">
        <f>IFERROR(IF(Medewerker!AC29="",VLOOKUP($B27,Za!$B$13:$E$63,4,FALSE),Medewerker!AC29),"")</f>
        <v/>
      </c>
      <c r="AA27" s="934">
        <f>IF(Z27="OA",0,IF(Z27="TA",0,IF(Z27="VRIJ",0,IF(Z27="ST",0,IFERROR(IF(Z27="","",(Z27/Z27)*VLOOKUP($B27,Za!$B$13:$AV$63,47,FALSE)/24),MAX(IFERROR((VLOOKUP($B27,Za!$B$13:$AV$63,47,FALSE)/24),0),IF(COUNTIF(E27:V27,"ZIEK")&gt;9,0,IF(COUNTIF(E27:V27,"VAK")&gt;9,0,Medewerker!E29/120))))))))</f>
        <v/>
      </c>
      <c r="AB27" s="240" t="n"/>
      <c r="AC27" s="933">
        <f>IFERROR(IF(Medewerker!AG29="",VLOOKUP($B27,Zo!$B$13:$E$63,3,FALSE),Medewerker!AG29),"")</f>
        <v/>
      </c>
      <c r="AD27" s="933">
        <f>IFERROR(IF(Medewerker!AG29="",VLOOKUP($B27,Zo!$B$13:$E$63,4,FALSE),Medewerker!AG29),"")</f>
        <v/>
      </c>
      <c r="AE27" s="934">
        <f>IF(AD27="OA",0,IF(AD27="TA",0,IF(AD27="VRIJ",0,IF(AD27="ST",0,IFERROR(IF(AD27="","",(AD27/AD27)*VLOOKUP($B27,Zo!$B$13:$AV$63,47,FALSE)/24),MAX(IFERROR((VLOOKUP($B27,Zo!$B$13:$AV$63,47,FALSE)/24),0),IF(COUNTIF(E27:Z27,"ZIEK")&gt;9,0,IF(COUNTIF(E27:Z27,"VAK")&gt;9,0,Medewerker!E29/120))))))))</f>
        <v/>
      </c>
      <c r="AF27" s="240" t="n"/>
      <c r="AG27" s="935">
        <f>SUM(G27,K27,O27,S27,W27,AA27,AE27)</f>
        <v/>
      </c>
      <c r="AH27" s="532">
        <f>COUNT(G27,K27,O27,S27,W27,AA27,AE27)-(COUNTIF(E27:AD27,"Vrij")/2)</f>
        <v/>
      </c>
      <c r="AI27" s="936">
        <f>Planning!AG27*24-Medewerker!E29</f>
        <v/>
      </c>
      <c r="AJ27" s="254">
        <f>IF(MAX(G27,K27,O27,S27,W27,AA27,AE27)*24&gt;Instellingen!$I$8,"nee","ja")</f>
        <v/>
      </c>
      <c r="AK27" s="254">
        <f>IF(AG27*24&gt;Instellingen!$I$9,"nee","ja")</f>
        <v/>
      </c>
    </row>
    <row r="28" ht="14.25" customHeight="1">
      <c r="A28" s="176">
        <f>IF(B28="",0,MAX($A$6:A27)+1)</f>
        <v/>
      </c>
      <c r="B28" s="241">
        <f>IF(Medewerker!C30="","",Medewerker!C30)</f>
        <v/>
      </c>
      <c r="C28" s="238">
        <f>Medewerker!AI30</f>
        <v/>
      </c>
      <c r="D28" s="240" t="n"/>
      <c r="E28" s="932">
        <f>IFERROR(IF(Medewerker!I30="",VLOOKUP($B28,Ma!$B$13:$E$63,3,FALSE),Medewerker!I30),"")</f>
        <v/>
      </c>
      <c r="F28" s="933">
        <f>IFERROR(IF(Medewerker!I30="",VLOOKUP($B28,Ma!$B$13:$E$63,4,FALSE),Medewerker!I30),"")</f>
        <v/>
      </c>
      <c r="G28" s="934">
        <f>IF(F28="OA",0,IF(F28="TA",0,IF(F28="VRIJ",0,IF(F28="ST",0,IFERROR(IF(F28="","",(F28/F28)*VLOOKUP($B28,Ma!$B$13:$AV$63,47,FALSE)/24),MAX(IFERROR((VLOOKUP($B28,Ma!$B$13:$AV$63,47,FALSE)/24),0),Medewerker!E30/120))))))</f>
        <v/>
      </c>
      <c r="H28" s="240" t="n"/>
      <c r="I28" s="933">
        <f>IFERROR(IF(Medewerker!M30="",VLOOKUP($B28,Di!$B$13:$E$63,3,FALSE),Medewerker!M30),"")</f>
        <v/>
      </c>
      <c r="J28" s="933">
        <f>IFERROR(IF(Medewerker!M30="",VLOOKUP($B28,Di!$B$13:$E$63,4,FALSE),Medewerker!M30),"")</f>
        <v/>
      </c>
      <c r="K28" s="934">
        <f>IF(J28="OA",0,IF(J28="TA",0,IF(J28="VRIJ",0,IF(J28="ST",0,IFERROR(IF(J28="","",(J28/J28)*VLOOKUP($B28,Di!$B$13:$AV$63,47,FALSE)/24),MAX(IFERROR((VLOOKUP($B28,Di!$B$13:$AV$63,47,FALSE)/24),0),Medewerker!E30/120))))))</f>
        <v/>
      </c>
      <c r="L28" s="240" t="n"/>
      <c r="M28" s="933">
        <f>IFERROR(IF(Medewerker!Q30="",VLOOKUP($B28,Wo!$B$13:$E$63,3,FALSE),Medewerker!Q30),"")</f>
        <v/>
      </c>
      <c r="N28" s="933">
        <f>IFERROR(IF(Medewerker!Q30="",VLOOKUP($B28,Wo!$B$13:$E$63,4,FALSE),Medewerker!Q30),"")</f>
        <v/>
      </c>
      <c r="O28" s="934">
        <f>IF(N28="OA",0,IF(N28="TA",0,IF(N28="VRIJ",0,IF(N28="ST",0,IFERROR(IF(N28="","",(N28/N28)*VLOOKUP($B28,Wo!$B$13:$AV$63,47,FALSE)/24),MAX(IFERROR((VLOOKUP($B28,Wo!$B$13:$AV$63,47,FALSE)/24),0),Medewerker!E30/120))))))</f>
        <v/>
      </c>
      <c r="P28" s="240" t="n"/>
      <c r="Q28" s="933">
        <f>IFERROR(IF(Medewerker!U30="",VLOOKUP($B28,Do!$B$13:$E$63,3,FALSE),Medewerker!U30),"")</f>
        <v/>
      </c>
      <c r="R28" s="933">
        <f>IFERROR(IF(Medewerker!U30="",VLOOKUP($B28,Do!$B$13:$E$63,4,FALSE),Medewerker!U30),"")</f>
        <v/>
      </c>
      <c r="S28" s="934">
        <f>IF(R28="OA",0,IF(R28="TA",0,IF(R28="VRIJ",0,IF(R28="ST",0,IFERROR(IF(R28="","",(R28/R28)*VLOOKUP($B28,Do!$B$13:$AV$63,47,FALSE)/24),MAX(IFERROR((VLOOKUP($B28,Do!$B$13:$AV$63,47,FALSE)/24),0),Medewerker!E30/120))))))</f>
        <v/>
      </c>
      <c r="T28" s="240" t="n"/>
      <c r="U28" s="933">
        <f>IFERROR(IF(Medewerker!Y30="",VLOOKUP($B28,Vr!$B$13:$E$63,3,FALSE),Medewerker!Y30),"")</f>
        <v/>
      </c>
      <c r="V28" s="933">
        <f>IFERROR(IF(Medewerker!Y30="",VLOOKUP($B28,Vr!$B$13:$E$63,4,FALSE),Medewerker!Y30),"")</f>
        <v/>
      </c>
      <c r="W28" s="934">
        <f>IF(V28="OA",0,IF(V28="TA",0,IF(V28="VRIJ",0,IF(V28="ST",0,IFERROR(IF(V28="","",(V28/V28)*VLOOKUP($B28,Vr!$B$13:$AV$63,47,FALSE)/24),MAX(IFERROR((VLOOKUP($B28,Vr!$B$13:$AV$63,47,FALSE)/24),0),Medewerker!E30/120))))))</f>
        <v/>
      </c>
      <c r="X28" s="240" t="n"/>
      <c r="Y28" s="933">
        <f>IFERROR(IF(Medewerker!AC30="",VLOOKUP($B28,Za!$B$13:$E$63,3,FALSE),Medewerker!AC30),"")</f>
        <v/>
      </c>
      <c r="Z28" s="933">
        <f>IFERROR(IF(Medewerker!AC30="",VLOOKUP($B28,Za!$B$13:$E$63,4,FALSE),Medewerker!AC30),"")</f>
        <v/>
      </c>
      <c r="AA28" s="934">
        <f>IF(Z28="OA",0,IF(Z28="TA",0,IF(Z28="VRIJ",0,IF(Z28="ST",0,IFERROR(IF(Z28="","",(Z28/Z28)*VLOOKUP($B28,Za!$B$13:$AV$63,47,FALSE)/24),MAX(IFERROR((VLOOKUP($B28,Za!$B$13:$AV$63,47,FALSE)/24),0),IF(COUNTIF(E28:V28,"ZIEK")&gt;9,0,IF(COUNTIF(E28:V28,"VAK")&gt;9,0,Medewerker!E30/120))))))))</f>
        <v/>
      </c>
      <c r="AB28" s="240" t="n"/>
      <c r="AC28" s="933">
        <f>IFERROR(IF(Medewerker!AG30="",VLOOKUP($B28,Zo!$B$13:$E$63,3,FALSE),Medewerker!AG30),"")</f>
        <v/>
      </c>
      <c r="AD28" s="933">
        <f>IFERROR(IF(Medewerker!AG30="",VLOOKUP($B28,Zo!$B$13:$E$63,4,FALSE),Medewerker!AG30),"")</f>
        <v/>
      </c>
      <c r="AE28" s="934">
        <f>IF(AD28="OA",0,IF(AD28="TA",0,IF(AD28="VRIJ",0,IF(AD28="ST",0,IFERROR(IF(AD28="","",(AD28/AD28)*VLOOKUP($B28,Zo!$B$13:$AV$63,47,FALSE)/24),MAX(IFERROR((VLOOKUP($B28,Zo!$B$13:$AV$63,47,FALSE)/24),0),IF(COUNTIF(E28:Z28,"ZIEK")&gt;9,0,IF(COUNTIF(E28:Z28,"VAK")&gt;9,0,Medewerker!E30/120))))))))</f>
        <v/>
      </c>
      <c r="AF28" s="240" t="n"/>
      <c r="AG28" s="935">
        <f>SUM(G28,K28,O28,S28,W28,AA28,AE28)</f>
        <v/>
      </c>
      <c r="AH28" s="532">
        <f>COUNT(G28,K28,O28,S28,W28,AA28,AE28)-(COUNTIF(E28:AD28,"Vrij")/2)</f>
        <v/>
      </c>
      <c r="AI28" s="936">
        <f>Planning!AG28*24-Medewerker!E30</f>
        <v/>
      </c>
      <c r="AJ28" s="254">
        <f>IF(MAX(G28,K28,O28,S28,W28,AA28,AE28)*24&gt;Instellingen!$I$8,"nee","ja")</f>
        <v/>
      </c>
      <c r="AK28" s="254">
        <f>IF(AG28*24&gt;Instellingen!$I$9,"nee","ja")</f>
        <v/>
      </c>
    </row>
    <row r="29" ht="14.25" customHeight="1">
      <c r="A29" s="176">
        <f>IF(B29="",0,MAX($A$6:A28)+1)</f>
        <v/>
      </c>
      <c r="B29" s="241">
        <f>IF(Medewerker!C31="","",Medewerker!C31)</f>
        <v/>
      </c>
      <c r="C29" s="238">
        <f>Medewerker!AI31</f>
        <v/>
      </c>
      <c r="D29" s="240" t="n"/>
      <c r="E29" s="932">
        <f>IFERROR(IF(Medewerker!I31="",VLOOKUP($B29,Ma!$B$13:$E$63,3,FALSE),Medewerker!I31),"")</f>
        <v/>
      </c>
      <c r="F29" s="933">
        <f>IFERROR(IF(Medewerker!I31="",VLOOKUP($B29,Ma!$B$13:$E$63,4,FALSE),Medewerker!I31),"")</f>
        <v/>
      </c>
      <c r="G29" s="934">
        <f>IF(F29="OA",0,IF(F29="TA",0,IF(F29="VRIJ",0,IF(F29="ST",0,IFERROR(IF(F29="","",(F29/F29)*VLOOKUP($B29,Ma!$B$13:$AV$63,47,FALSE)/24),MAX(IFERROR((VLOOKUP($B29,Ma!$B$13:$AV$63,47,FALSE)/24),0),Medewerker!E31/120))))))</f>
        <v/>
      </c>
      <c r="H29" s="240" t="n"/>
      <c r="I29" s="933">
        <f>IFERROR(IF(Medewerker!M31="",VLOOKUP($B29,Di!$B$13:$E$63,3,FALSE),Medewerker!M31),"")</f>
        <v/>
      </c>
      <c r="J29" s="933">
        <f>IFERROR(IF(Medewerker!M31="",VLOOKUP($B29,Di!$B$13:$E$63,4,FALSE),Medewerker!M31),"")</f>
        <v/>
      </c>
      <c r="K29" s="934">
        <f>IF(J29="OA",0,IF(J29="TA",0,IF(J29="VRIJ",0,IF(J29="ST",0,IFERROR(IF(J29="","",(J29/J29)*VLOOKUP($B29,Di!$B$13:$AV$63,47,FALSE)/24),MAX(IFERROR((VLOOKUP($B29,Di!$B$13:$AV$63,47,FALSE)/24),0),Medewerker!E31/120))))))</f>
        <v/>
      </c>
      <c r="L29" s="240" t="n"/>
      <c r="M29" s="933">
        <f>IFERROR(IF(Medewerker!Q31="",VLOOKUP($B29,Wo!$B$13:$E$63,3,FALSE),Medewerker!Q31),"")</f>
        <v/>
      </c>
      <c r="N29" s="933">
        <f>IFERROR(IF(Medewerker!Q31="",VLOOKUP($B29,Wo!$B$13:$E$63,4,FALSE),Medewerker!Q31),"")</f>
        <v/>
      </c>
      <c r="O29" s="934">
        <f>IF(N29="OA",0,IF(N29="TA",0,IF(N29="VRIJ",0,IF(N29="ST",0,IFERROR(IF(N29="","",(N29/N29)*VLOOKUP($B29,Wo!$B$13:$AV$63,47,FALSE)/24),MAX(IFERROR((VLOOKUP($B29,Wo!$B$13:$AV$63,47,FALSE)/24),0),Medewerker!E31/120))))))</f>
        <v/>
      </c>
      <c r="P29" s="240" t="n"/>
      <c r="Q29" s="933">
        <f>IFERROR(IF(Medewerker!U31="",VLOOKUP($B29,Do!$B$13:$E$63,3,FALSE),Medewerker!U31),"")</f>
        <v/>
      </c>
      <c r="R29" s="933">
        <f>IFERROR(IF(Medewerker!U31="",VLOOKUP($B29,Do!$B$13:$E$63,4,FALSE),Medewerker!U31),"")</f>
        <v/>
      </c>
      <c r="S29" s="934">
        <f>IF(R29="OA",0,IF(R29="TA",0,IF(R29="VRIJ",0,IF(R29="ST",0,IFERROR(IF(R29="","",(R29/R29)*VLOOKUP($B29,Do!$B$13:$AV$63,47,FALSE)/24),MAX(IFERROR((VLOOKUP($B29,Do!$B$13:$AV$63,47,FALSE)/24),0),Medewerker!E31/120))))))</f>
        <v/>
      </c>
      <c r="T29" s="240" t="n"/>
      <c r="U29" s="933">
        <f>IFERROR(IF(Medewerker!Y31="",VLOOKUP($B29,Vr!$B$13:$E$63,3,FALSE),Medewerker!Y31),"")</f>
        <v/>
      </c>
      <c r="V29" s="933">
        <f>IFERROR(IF(Medewerker!Y31="",VLOOKUP($B29,Vr!$B$13:$E$63,4,FALSE),Medewerker!Y31),"")</f>
        <v/>
      </c>
      <c r="W29" s="934">
        <f>IF(V29="OA",0,IF(V29="TA",0,IF(V29="VRIJ",0,IF(V29="ST",0,IFERROR(IF(V29="","",(V29/V29)*VLOOKUP($B29,Vr!$B$13:$AV$63,47,FALSE)/24),MAX(IFERROR((VLOOKUP($B29,Vr!$B$13:$AV$63,47,FALSE)/24),0),Medewerker!E31/120))))))</f>
        <v/>
      </c>
      <c r="X29" s="240" t="n"/>
      <c r="Y29" s="933">
        <f>IFERROR(IF(Medewerker!AC31="",VLOOKUP($B29,Za!$B$13:$E$63,3,FALSE),Medewerker!AC31),"")</f>
        <v/>
      </c>
      <c r="Z29" s="933">
        <f>IFERROR(IF(Medewerker!AC31="",VLOOKUP($B29,Za!$B$13:$E$63,4,FALSE),Medewerker!AC31),"")</f>
        <v/>
      </c>
      <c r="AA29" s="934">
        <f>IF(Z29="OA",0,IF(Z29="TA",0,IF(Z29="VRIJ",0,IF(Z29="ST",0,IFERROR(IF(Z29="","",(Z29/Z29)*VLOOKUP($B29,Za!$B$13:$AV$63,47,FALSE)/24),MAX(IFERROR((VLOOKUP($B29,Za!$B$13:$AV$63,47,FALSE)/24),0),IF(COUNTIF(E29:V29,"ZIEK")&gt;9,0,IF(COUNTIF(E29:V29,"VAK")&gt;9,0,Medewerker!E31/120))))))))</f>
        <v/>
      </c>
      <c r="AB29" s="240" t="n"/>
      <c r="AC29" s="933">
        <f>IFERROR(IF(Medewerker!AG31="",VLOOKUP($B29,Zo!$B$13:$E$63,3,FALSE),Medewerker!AG31),"")</f>
        <v/>
      </c>
      <c r="AD29" s="933">
        <f>IFERROR(IF(Medewerker!AG31="",VLOOKUP($B29,Zo!$B$13:$E$63,4,FALSE),Medewerker!AG31),"")</f>
        <v/>
      </c>
      <c r="AE29" s="934">
        <f>IF(AD29="OA",0,IF(AD29="TA",0,IF(AD29="VRIJ",0,IF(AD29="ST",0,IFERROR(IF(AD29="","",(AD29/AD29)*VLOOKUP($B29,Zo!$B$13:$AV$63,47,FALSE)/24),MAX(IFERROR((VLOOKUP($B29,Zo!$B$13:$AV$63,47,FALSE)/24),0),IF(COUNTIF(E29:Z29,"ZIEK")&gt;9,0,IF(COUNTIF(E29:Z29,"VAK")&gt;9,0,Medewerker!E31/120))))))))</f>
        <v/>
      </c>
      <c r="AF29" s="240" t="n"/>
      <c r="AG29" s="935">
        <f>SUM(G29,K29,O29,S29,W29,AA29,AE29)</f>
        <v/>
      </c>
      <c r="AH29" s="532">
        <f>COUNT(G29,K29,O29,S29,W29,AA29,AE29)-(COUNTIF(E29:AD29,"Vrij")/2)</f>
        <v/>
      </c>
      <c r="AI29" s="936">
        <f>Planning!AG29*24-Medewerker!E31</f>
        <v/>
      </c>
      <c r="AJ29" s="254">
        <f>IF(MAX(G29,K29,O29,S29,W29,AA29,AE29)*24&gt;Instellingen!$I$8,"nee","ja")</f>
        <v/>
      </c>
      <c r="AK29" s="254">
        <f>IF(AG29*24&gt;Instellingen!$I$9,"nee","ja")</f>
        <v/>
      </c>
    </row>
    <row r="30" ht="14.25" customHeight="1">
      <c r="A30" s="176">
        <f>IF(B30="",0,MAX($A$6:A29)+1)</f>
        <v/>
      </c>
      <c r="B30" s="241">
        <f>IF(Medewerker!C32="","",Medewerker!C32)</f>
        <v/>
      </c>
      <c r="C30" s="238">
        <f>Medewerker!AI32</f>
        <v/>
      </c>
      <c r="D30" s="240" t="n"/>
      <c r="E30" s="932">
        <f>IFERROR(IF(Medewerker!I32="",VLOOKUP($B30,Ma!$B$13:$E$63,3,FALSE),Medewerker!I32),"")</f>
        <v/>
      </c>
      <c r="F30" s="933">
        <f>IFERROR(IF(Medewerker!I32="",VLOOKUP($B30,Ma!$B$13:$E$63,4,FALSE),Medewerker!I32),"")</f>
        <v/>
      </c>
      <c r="G30" s="934">
        <f>IF(F30="OA",0,IF(F30="TA",0,IF(F30="VRIJ",0,IF(F30="ST",0,IFERROR(IF(F30="","",(F30/F30)*VLOOKUP($B30,Ma!$B$13:$AV$63,47,FALSE)/24),MAX(IFERROR((VLOOKUP($B30,Ma!$B$13:$AV$63,47,FALSE)/24),0),Medewerker!E32/120))))))</f>
        <v/>
      </c>
      <c r="H30" s="240" t="n"/>
      <c r="I30" s="933">
        <f>IFERROR(IF(Medewerker!M32="",VLOOKUP($B30,Di!$B$13:$E$63,3,FALSE),Medewerker!M32),"")</f>
        <v/>
      </c>
      <c r="J30" s="933">
        <f>IFERROR(IF(Medewerker!M32="",VLOOKUP($B30,Di!$B$13:$E$63,4,FALSE),Medewerker!M32),"")</f>
        <v/>
      </c>
      <c r="K30" s="934">
        <f>IF(J30="OA",0,IF(J30="TA",0,IF(J30="VRIJ",0,IF(J30="ST",0,IFERROR(IF(J30="","",(J30/J30)*VLOOKUP($B30,Di!$B$13:$AV$63,47,FALSE)/24),MAX(IFERROR((VLOOKUP($B30,Di!$B$13:$AV$63,47,FALSE)/24),0),Medewerker!E32/120))))))</f>
        <v/>
      </c>
      <c r="L30" s="240" t="n"/>
      <c r="M30" s="933">
        <f>IFERROR(IF(Medewerker!Q32="",VLOOKUP($B30,Wo!$B$13:$E$63,3,FALSE),Medewerker!Q32),"")</f>
        <v/>
      </c>
      <c r="N30" s="933">
        <f>IFERROR(IF(Medewerker!Q32="",VLOOKUP($B30,Wo!$B$13:$E$63,4,FALSE),Medewerker!Q32),"")</f>
        <v/>
      </c>
      <c r="O30" s="934">
        <f>IF(N30="OA",0,IF(N30="TA",0,IF(N30="VRIJ",0,IF(N30="ST",0,IFERROR(IF(N30="","",(N30/N30)*VLOOKUP($B30,Wo!$B$13:$AV$63,47,FALSE)/24),MAX(IFERROR((VLOOKUP($B30,Wo!$B$13:$AV$63,47,FALSE)/24),0),Medewerker!E32/120))))))</f>
        <v/>
      </c>
      <c r="P30" s="240" t="n"/>
      <c r="Q30" s="933">
        <f>IFERROR(IF(Medewerker!U32="",VLOOKUP($B30,Do!$B$13:$E$63,3,FALSE),Medewerker!U32),"")</f>
        <v/>
      </c>
      <c r="R30" s="933">
        <f>IFERROR(IF(Medewerker!U32="",VLOOKUP($B30,Do!$B$13:$E$63,4,FALSE),Medewerker!U32),"")</f>
        <v/>
      </c>
      <c r="S30" s="934">
        <f>IF(R30="OA",0,IF(R30="TA",0,IF(R30="VRIJ",0,IF(R30="ST",0,IFERROR(IF(R30="","",(R30/R30)*VLOOKUP($B30,Do!$B$13:$AV$63,47,FALSE)/24),MAX(IFERROR((VLOOKUP($B30,Do!$B$13:$AV$63,47,FALSE)/24),0),Medewerker!E32/120))))))</f>
        <v/>
      </c>
      <c r="T30" s="240" t="n"/>
      <c r="U30" s="933">
        <f>IFERROR(IF(Medewerker!Y32="",VLOOKUP($B30,Vr!$B$13:$E$63,3,FALSE),Medewerker!Y32),"")</f>
        <v/>
      </c>
      <c r="V30" s="933">
        <f>IFERROR(IF(Medewerker!Y32="",VLOOKUP($B30,Vr!$B$13:$E$63,4,FALSE),Medewerker!Y32),"")</f>
        <v/>
      </c>
      <c r="W30" s="934">
        <f>IF(V30="OA",0,IF(V30="TA",0,IF(V30="VRIJ",0,IF(V30="ST",0,IFERROR(IF(V30="","",(V30/V30)*VLOOKUP($B30,Vr!$B$13:$AV$63,47,FALSE)/24),MAX(IFERROR((VLOOKUP($B30,Vr!$B$13:$AV$63,47,FALSE)/24),0),Medewerker!E32/120))))))</f>
        <v/>
      </c>
      <c r="X30" s="240" t="n"/>
      <c r="Y30" s="933">
        <f>IFERROR(IF(Medewerker!AC32="",VLOOKUP($B30,Za!$B$13:$E$63,3,FALSE),Medewerker!AC32),"")</f>
        <v/>
      </c>
      <c r="Z30" s="933">
        <f>IFERROR(IF(Medewerker!AC32="",VLOOKUP($B30,Za!$B$13:$E$63,4,FALSE),Medewerker!AC32),"")</f>
        <v/>
      </c>
      <c r="AA30" s="934">
        <f>IF(Z30="OA",0,IF(Z30="TA",0,IF(Z30="VRIJ",0,IF(Z30="ST",0,IFERROR(IF(Z30="","",(Z30/Z30)*VLOOKUP($B30,Za!$B$13:$AV$63,47,FALSE)/24),MAX(IFERROR((VLOOKUP($B30,Za!$B$13:$AV$63,47,FALSE)/24),0),IF(COUNTIF(E30:V30,"ZIEK")&gt;9,0,IF(COUNTIF(E30:V30,"VAK")&gt;9,0,Medewerker!E32/120))))))))</f>
        <v/>
      </c>
      <c r="AB30" s="240" t="n"/>
      <c r="AC30" s="933">
        <f>IFERROR(IF(Medewerker!AG32="",VLOOKUP($B30,Zo!$B$13:$E$63,3,FALSE),Medewerker!AG32),"")</f>
        <v/>
      </c>
      <c r="AD30" s="933">
        <f>IFERROR(IF(Medewerker!AG32="",VLOOKUP($B30,Zo!$B$13:$E$63,4,FALSE),Medewerker!AG32),"")</f>
        <v/>
      </c>
      <c r="AE30" s="934">
        <f>IF(AD30="OA",0,IF(AD30="TA",0,IF(AD30="VRIJ",0,IF(AD30="ST",0,IFERROR(IF(AD30="","",(AD30/AD30)*VLOOKUP($B30,Zo!$B$13:$AV$63,47,FALSE)/24),MAX(IFERROR((VLOOKUP($B30,Zo!$B$13:$AV$63,47,FALSE)/24),0),IF(COUNTIF(E30:Z30,"ZIEK")&gt;9,0,IF(COUNTIF(E30:Z30,"VAK")&gt;9,0,Medewerker!E32/120))))))))</f>
        <v/>
      </c>
      <c r="AF30" s="240" t="n"/>
      <c r="AG30" s="935">
        <f>SUM(G30,K30,O30,S30,W30,AA30,AE30)</f>
        <v/>
      </c>
      <c r="AH30" s="532">
        <f>COUNT(G30,K30,O30,S30,W30,AA30,AE30)-(COUNTIF(E30:AD30,"Vrij")/2)</f>
        <v/>
      </c>
      <c r="AI30" s="936">
        <f>Planning!AG30*24-Medewerker!E32</f>
        <v/>
      </c>
      <c r="AJ30" s="254">
        <f>IF(MAX(G30,K30,O30,S30,W30,AA30,AE30)*24&gt;Instellingen!$I$8,"nee","ja")</f>
        <v/>
      </c>
      <c r="AK30" s="254">
        <f>IF(AG30*24&gt;Instellingen!$I$9,"nee","ja")</f>
        <v/>
      </c>
    </row>
    <row r="31" ht="14.25" customHeight="1">
      <c r="A31" s="176">
        <f>IF(B31="",0,MAX($A$6:A30)+1)</f>
        <v/>
      </c>
      <c r="B31" s="241">
        <f>IF(Medewerker!C33="","",Medewerker!C33)</f>
        <v/>
      </c>
      <c r="C31" s="238">
        <f>Medewerker!AI33</f>
        <v/>
      </c>
      <c r="D31" s="240" t="n"/>
      <c r="E31" s="932">
        <f>IFERROR(IF(Medewerker!I33="",VLOOKUP($B31,Ma!$B$13:$E$63,3,FALSE),Medewerker!I33),"")</f>
        <v/>
      </c>
      <c r="F31" s="933">
        <f>IFERROR(IF(Medewerker!I33="",VLOOKUP($B31,Ma!$B$13:$E$63,4,FALSE),Medewerker!I33),"")</f>
        <v/>
      </c>
      <c r="G31" s="934">
        <f>IF(F31="OA",0,IF(F31="TA",0,IF(F31="VRIJ",0,IF(F31="ST",0,IFERROR(IF(F31="","",(F31/F31)*VLOOKUP($B31,Ma!$B$13:$AV$63,47,FALSE)/24),MAX(IFERROR((VLOOKUP($B31,Ma!$B$13:$AV$63,47,FALSE)/24),0),Medewerker!E33/120))))))</f>
        <v/>
      </c>
      <c r="H31" s="240" t="n"/>
      <c r="I31" s="933">
        <f>IFERROR(IF(Medewerker!M33="",VLOOKUP($B31,Di!$B$13:$E$63,3,FALSE),Medewerker!M33),"")</f>
        <v/>
      </c>
      <c r="J31" s="933">
        <f>IFERROR(IF(Medewerker!M33="",VLOOKUP($B31,Di!$B$13:$E$63,4,FALSE),Medewerker!M33),"")</f>
        <v/>
      </c>
      <c r="K31" s="934">
        <f>IF(J31="OA",0,IF(J31="TA",0,IF(J31="VRIJ",0,IF(J31="ST",0,IFERROR(IF(J31="","",(J31/J31)*VLOOKUP($B31,Di!$B$13:$AV$63,47,FALSE)/24),MAX(IFERROR((VLOOKUP($B31,Di!$B$13:$AV$63,47,FALSE)/24),0),Medewerker!E33/120))))))</f>
        <v/>
      </c>
      <c r="L31" s="240" t="n"/>
      <c r="M31" s="933">
        <f>IFERROR(IF(Medewerker!Q33="",VLOOKUP($B31,Wo!$B$13:$E$63,3,FALSE),Medewerker!Q33),"")</f>
        <v/>
      </c>
      <c r="N31" s="933">
        <f>IFERROR(IF(Medewerker!Q33="",VLOOKUP($B31,Wo!$B$13:$E$63,4,FALSE),Medewerker!Q33),"")</f>
        <v/>
      </c>
      <c r="O31" s="934">
        <f>IF(N31="OA",0,IF(N31="TA",0,IF(N31="VRIJ",0,IF(N31="ST",0,IFERROR(IF(N31="","",(N31/N31)*VLOOKUP($B31,Wo!$B$13:$AV$63,47,FALSE)/24),MAX(IFERROR((VLOOKUP($B31,Wo!$B$13:$AV$63,47,FALSE)/24),0),Medewerker!E33/120))))))</f>
        <v/>
      </c>
      <c r="P31" s="240" t="n"/>
      <c r="Q31" s="933">
        <f>IFERROR(IF(Medewerker!U33="",VLOOKUP($B31,Do!$B$13:$E$63,3,FALSE),Medewerker!U33),"")</f>
        <v/>
      </c>
      <c r="R31" s="933">
        <f>IFERROR(IF(Medewerker!U33="",VLOOKUP($B31,Do!$B$13:$E$63,4,FALSE),Medewerker!U33),"")</f>
        <v/>
      </c>
      <c r="S31" s="934">
        <f>IF(R31="OA",0,IF(R31="TA",0,IF(R31="VRIJ",0,IF(R31="ST",0,IFERROR(IF(R31="","",(R31/R31)*VLOOKUP($B31,Do!$B$13:$AV$63,47,FALSE)/24),MAX(IFERROR((VLOOKUP($B31,Do!$B$13:$AV$63,47,FALSE)/24),0),Medewerker!E33/120))))))</f>
        <v/>
      </c>
      <c r="T31" s="240" t="n"/>
      <c r="U31" s="933">
        <f>IFERROR(IF(Medewerker!Y33="",VLOOKUP($B31,Vr!$B$13:$E$63,3,FALSE),Medewerker!Y33),"")</f>
        <v/>
      </c>
      <c r="V31" s="933">
        <f>IFERROR(IF(Medewerker!Y33="",VLOOKUP($B31,Vr!$B$13:$E$63,4,FALSE),Medewerker!Y33),"")</f>
        <v/>
      </c>
      <c r="W31" s="934">
        <f>IF(V31="OA",0,IF(V31="TA",0,IF(V31="VRIJ",0,IF(V31="ST",0,IFERROR(IF(V31="","",(V31/V31)*VLOOKUP($B31,Vr!$B$13:$AV$63,47,FALSE)/24),MAX(IFERROR((VLOOKUP($B31,Vr!$B$13:$AV$63,47,FALSE)/24),0),Medewerker!E33/120))))))</f>
        <v/>
      </c>
      <c r="X31" s="240" t="n"/>
      <c r="Y31" s="933">
        <f>IFERROR(IF(Medewerker!AC33="",VLOOKUP($B31,Za!$B$13:$E$63,3,FALSE),Medewerker!AC33),"")</f>
        <v/>
      </c>
      <c r="Z31" s="933">
        <f>IFERROR(IF(Medewerker!AC33="",VLOOKUP($B31,Za!$B$13:$E$63,4,FALSE),Medewerker!AC33),"")</f>
        <v/>
      </c>
      <c r="AA31" s="934">
        <f>IF(Z31="OA",0,IF(Z31="TA",0,IF(Z31="VRIJ",0,IF(Z31="ST",0,IFERROR(IF(Z31="","",(Z31/Z31)*VLOOKUP($B31,Za!$B$13:$AV$63,47,FALSE)/24),MAX(IFERROR((VLOOKUP($B31,Za!$B$13:$AV$63,47,FALSE)/24),0),IF(COUNTIF(E31:V31,"ZIEK")&gt;9,0,IF(COUNTIF(E31:V31,"VAK")&gt;9,0,Medewerker!E33/120))))))))</f>
        <v/>
      </c>
      <c r="AB31" s="240" t="n"/>
      <c r="AC31" s="933">
        <f>IFERROR(IF(Medewerker!AG33="",VLOOKUP($B31,Zo!$B$13:$E$63,3,FALSE),Medewerker!AG33),"")</f>
        <v/>
      </c>
      <c r="AD31" s="933">
        <f>IFERROR(IF(Medewerker!AG33="",VLOOKUP($B31,Zo!$B$13:$E$63,4,FALSE),Medewerker!AG33),"")</f>
        <v/>
      </c>
      <c r="AE31" s="934">
        <f>IF(AD31="OA",0,IF(AD31="TA",0,IF(AD31="VRIJ",0,IF(AD31="ST",0,IFERROR(IF(AD31="","",(AD31/AD31)*VLOOKUP($B31,Zo!$B$13:$AV$63,47,FALSE)/24),MAX(IFERROR((VLOOKUP($B31,Zo!$B$13:$AV$63,47,FALSE)/24),0),IF(COUNTIF(E31:Z31,"ZIEK")&gt;9,0,IF(COUNTIF(E31:Z31,"VAK")&gt;9,0,Medewerker!E33/120))))))))</f>
        <v/>
      </c>
      <c r="AF31" s="240" t="n"/>
      <c r="AG31" s="935">
        <f>SUM(G31,K31,O31,S31,W31,AA31,AE31)</f>
        <v/>
      </c>
      <c r="AH31" s="532">
        <f>COUNT(G31,K31,O31,S31,W31,AA31,AE31)-(COUNTIF(E31:AD31,"Vrij")/2)</f>
        <v/>
      </c>
      <c r="AI31" s="936">
        <f>Planning!AG31*24-Medewerker!E33</f>
        <v/>
      </c>
      <c r="AJ31" s="254">
        <f>IF(MAX(G31,K31,O31,S31,W31,AA31,AE31)*24&gt;Instellingen!$I$8,"nee","ja")</f>
        <v/>
      </c>
      <c r="AK31" s="254">
        <f>IF(AG31*24&gt;Instellingen!$I$9,"nee","ja")</f>
        <v/>
      </c>
    </row>
    <row r="32" ht="14.25" customHeight="1" thickBot="1">
      <c r="A32" s="177">
        <f>IF(B32="",0,MAX($A$6:A31)+1)</f>
        <v/>
      </c>
      <c r="B32" s="241">
        <f>IF(Medewerker!C34="","",Medewerker!C34)</f>
        <v/>
      </c>
      <c r="C32" s="238">
        <f>Medewerker!AI34</f>
        <v/>
      </c>
      <c r="D32" s="240" t="n"/>
      <c r="E32" s="932">
        <f>IFERROR(IF(Medewerker!I34="",VLOOKUP($B32,Ma!$B$13:$E$63,3,FALSE),Medewerker!I34),"")</f>
        <v/>
      </c>
      <c r="F32" s="933">
        <f>IFERROR(IF(Medewerker!I34="",VLOOKUP($B32,Ma!$B$13:$E$63,4,FALSE),Medewerker!I34),"")</f>
        <v/>
      </c>
      <c r="G32" s="934">
        <f>IF(F32="OA",0,IF(F32="TA",0,IF(F32="VRIJ",0,IF(F32="ST",0,IFERROR(IF(F32="","",(F32/F32)*VLOOKUP($B32,Ma!$B$13:$AV$63,47,FALSE)/24),MAX(IFERROR((VLOOKUP($B32,Ma!$B$13:$AV$63,47,FALSE)/24),0),Medewerker!E34/120))))))</f>
        <v/>
      </c>
      <c r="H32" s="240" t="n"/>
      <c r="I32" s="933">
        <f>IFERROR(IF(Medewerker!M34="",VLOOKUP($B32,Di!$B$13:$E$63,3,FALSE),Medewerker!M34),"")</f>
        <v/>
      </c>
      <c r="J32" s="933">
        <f>IFERROR(IF(Medewerker!M34="",VLOOKUP($B32,Di!$B$13:$E$63,4,FALSE),Medewerker!M34),"")</f>
        <v/>
      </c>
      <c r="K32" s="934">
        <f>IF(J32="OA",0,IF(J32="TA",0,IF(J32="VRIJ",0,IF(J32="ST",0,IFERROR(IF(J32="","",(J32/J32)*VLOOKUP($B32,Di!$B$13:$AV$63,47,FALSE)/24),MAX(IFERROR((VLOOKUP($B32,Di!$B$13:$AV$63,47,FALSE)/24),0),Medewerker!E34/120))))))</f>
        <v/>
      </c>
      <c r="L32" s="240" t="n"/>
      <c r="M32" s="933">
        <f>IFERROR(IF(Medewerker!Q34="",VLOOKUP($B32,Wo!$B$13:$E$63,3,FALSE),Medewerker!Q34),"")</f>
        <v/>
      </c>
      <c r="N32" s="933">
        <f>IFERROR(IF(Medewerker!Q34="",VLOOKUP($B32,Wo!$B$13:$E$63,4,FALSE),Medewerker!Q34),"")</f>
        <v/>
      </c>
      <c r="O32" s="934">
        <f>IF(N32="OA",0,IF(N32="TA",0,IF(N32="VRIJ",0,IF(N32="ST",0,IFERROR(IF(N32="","",(N32/N32)*VLOOKUP($B32,Wo!$B$13:$AV$63,47,FALSE)/24),MAX(IFERROR((VLOOKUP($B32,Wo!$B$13:$AV$63,47,FALSE)/24),0),Medewerker!E34/120))))))</f>
        <v/>
      </c>
      <c r="P32" s="240" t="n"/>
      <c r="Q32" s="933">
        <f>IFERROR(IF(Medewerker!U34="",VLOOKUP($B32,Do!$B$13:$E$63,3,FALSE),Medewerker!U34),"")</f>
        <v/>
      </c>
      <c r="R32" s="933">
        <f>IFERROR(IF(Medewerker!U34="",VLOOKUP($B32,Do!$B$13:$E$63,4,FALSE),Medewerker!U34),"")</f>
        <v/>
      </c>
      <c r="S32" s="934">
        <f>IF(R32="OA",0,IF(R32="TA",0,IF(R32="VRIJ",0,IF(R32="ST",0,IFERROR(IF(R32="","",(R32/R32)*VLOOKUP($B32,Do!$B$13:$AV$63,47,FALSE)/24),MAX(IFERROR((VLOOKUP($B32,Do!$B$13:$AV$63,47,FALSE)/24),0),Medewerker!E34/120))))))</f>
        <v/>
      </c>
      <c r="T32" s="240" t="n"/>
      <c r="U32" s="933">
        <f>IFERROR(IF(Medewerker!Y34="",VLOOKUP($B32,Vr!$B$13:$E$63,3,FALSE),Medewerker!Y34),"")</f>
        <v/>
      </c>
      <c r="V32" s="933">
        <f>IFERROR(IF(Medewerker!Y34="",VLOOKUP($B32,Vr!$B$13:$E$63,4,FALSE),Medewerker!Y34),"")</f>
        <v/>
      </c>
      <c r="W32" s="934">
        <f>IF(V32="OA",0,IF(V32="TA",0,IF(V32="VRIJ",0,IF(V32="ST",0,IFERROR(IF(V32="","",(V32/V32)*VLOOKUP($B32,Vr!$B$13:$AV$63,47,FALSE)/24),MAX(IFERROR((VLOOKUP($B32,Vr!$B$13:$AV$63,47,FALSE)/24),0),Medewerker!E34/120))))))</f>
        <v/>
      </c>
      <c r="X32" s="240" t="n"/>
      <c r="Y32" s="933">
        <f>IFERROR(IF(Medewerker!AC34="",VLOOKUP($B32,Za!$B$13:$E$63,3,FALSE),Medewerker!AC34),"")</f>
        <v/>
      </c>
      <c r="Z32" s="933">
        <f>IFERROR(IF(Medewerker!AC34="",VLOOKUP($B32,Za!$B$13:$E$63,4,FALSE),Medewerker!AC34),"")</f>
        <v/>
      </c>
      <c r="AA32" s="934">
        <f>IF(Z32="OA",0,IF(Z32="TA",0,IF(Z32="VRIJ",0,IF(Z32="ST",0,IFERROR(IF(Z32="","",(Z32/Z32)*VLOOKUP($B32,Za!$B$13:$AV$63,47,FALSE)/24),MAX(IFERROR((VLOOKUP($B32,Za!$B$13:$AV$63,47,FALSE)/24),0),IF(COUNTIF(E32:V32,"ZIEK")&gt;9,0,IF(COUNTIF(E32:V32,"VAK")&gt;9,0,Medewerker!E34/120))))))))</f>
        <v/>
      </c>
      <c r="AB32" s="240" t="n"/>
      <c r="AC32" s="933">
        <f>IFERROR(IF(Medewerker!AG34="",VLOOKUP($B32,Zo!$B$13:$E$63,3,FALSE),Medewerker!AG34),"")</f>
        <v/>
      </c>
      <c r="AD32" s="933">
        <f>IFERROR(IF(Medewerker!AG34="",VLOOKUP($B32,Zo!$B$13:$E$63,4,FALSE),Medewerker!AG34),"")</f>
        <v/>
      </c>
      <c r="AE32" s="934">
        <f>IF(AD32="OA",0,IF(AD32="TA",0,IF(AD32="VRIJ",0,IF(AD32="ST",0,IFERROR(IF(AD32="","",(AD32/AD32)*VLOOKUP($B32,Zo!$B$13:$AV$63,47,FALSE)/24),MAX(IFERROR((VLOOKUP($B32,Zo!$B$13:$AV$63,47,FALSE)/24),0),IF(COUNTIF(E32:Z32,"ZIEK")&gt;9,0,IF(COUNTIF(E32:Z32,"VAK")&gt;9,0,Medewerker!E34/120))))))))</f>
        <v/>
      </c>
      <c r="AF32" s="240" t="n"/>
      <c r="AG32" s="935">
        <f>SUM(G32,K32,O32,S32,W32,AA32,AE32)</f>
        <v/>
      </c>
      <c r="AH32" s="532">
        <f>COUNT(G32,K32,O32,S32,W32,AA32,AE32)-(COUNTIF(E32:AD32,"Vrij")/2)</f>
        <v/>
      </c>
      <c r="AI32" s="936">
        <f>Planning!AG32*24-Medewerker!E34</f>
        <v/>
      </c>
      <c r="AJ32" s="254">
        <f>IF(MAX(G32,K32,O32,S32,W32,AA32,AE32)*24&gt;Instellingen!$I$8,"nee","ja")</f>
        <v/>
      </c>
      <c r="AK32" s="254">
        <f>IF(AG32*24&gt;Instellingen!$I$9,"nee","ja")</f>
        <v/>
      </c>
    </row>
    <row r="33" ht="14.25" customHeight="1">
      <c r="A33" s="78">
        <f>IF(B33="",0,MAX($A$6:A32)+1)</f>
        <v/>
      </c>
      <c r="B33" s="241">
        <f>IF(Medewerker!C35="","",Medewerker!C35)</f>
        <v/>
      </c>
      <c r="C33" s="238">
        <f>Medewerker!AI35</f>
        <v/>
      </c>
      <c r="D33" s="240" t="n"/>
      <c r="E33" s="932">
        <f>IFERROR(IF(Medewerker!I35="",VLOOKUP($B33,Ma!$B$13:$E$63,3,FALSE),Medewerker!I35),"")</f>
        <v/>
      </c>
      <c r="F33" s="933">
        <f>IFERROR(IF(Medewerker!I35="",VLOOKUP($B33,Ma!$B$13:$E$63,4,FALSE),Medewerker!I35),"")</f>
        <v/>
      </c>
      <c r="G33" s="934">
        <f>IF(F33="OA",0,IF(F33="TA",0,IF(F33="VRIJ",0,IF(F33="ST",0,IFERROR(IF(F33="","",(F33/F33)*VLOOKUP($B33,Ma!$B$13:$AV$63,47,FALSE)/24),MAX(IFERROR((VLOOKUP($B33,Ma!$B$13:$AV$63,47,FALSE)/24),0),Medewerker!E35/120))))))</f>
        <v/>
      </c>
      <c r="H33" s="240" t="n"/>
      <c r="I33" s="933">
        <f>IFERROR(IF(Medewerker!M35="",VLOOKUP($B33,Di!$B$13:$E$63,3,FALSE),Medewerker!M35),"")</f>
        <v/>
      </c>
      <c r="J33" s="933">
        <f>IFERROR(IF(Medewerker!M35="",VLOOKUP($B33,Di!$B$13:$E$63,4,FALSE),Medewerker!M35),"")</f>
        <v/>
      </c>
      <c r="K33" s="934">
        <f>IF(J33="OA",0,IF(J33="TA",0,IF(J33="VRIJ",0,IF(J33="ST",0,IFERROR(IF(J33="","",(J33/J33)*VLOOKUP($B33,Di!$B$13:$AV$63,47,FALSE)/24),MAX(IFERROR((VLOOKUP($B33,Di!$B$13:$AV$63,47,FALSE)/24),0),Medewerker!E35/120))))))</f>
        <v/>
      </c>
      <c r="L33" s="240" t="n"/>
      <c r="M33" s="933">
        <f>IFERROR(IF(Medewerker!Q35="",VLOOKUP($B33,Wo!$B$13:$E$63,3,FALSE),Medewerker!Q35),"")</f>
        <v/>
      </c>
      <c r="N33" s="933">
        <f>IFERROR(IF(Medewerker!Q35="",VLOOKUP($B33,Wo!$B$13:$E$63,4,FALSE),Medewerker!Q35),"")</f>
        <v/>
      </c>
      <c r="O33" s="934">
        <f>IF(N33="OA",0,IF(N33="TA",0,IF(N33="VRIJ",0,IF(N33="ST",0,IFERROR(IF(N33="","",(N33/N33)*VLOOKUP($B33,Wo!$B$13:$AV$63,47,FALSE)/24),MAX(IFERROR((VLOOKUP($B33,Wo!$B$13:$AV$63,47,FALSE)/24),0),Medewerker!E35/120))))))</f>
        <v/>
      </c>
      <c r="P33" s="240" t="n"/>
      <c r="Q33" s="933">
        <f>IFERROR(IF(Medewerker!U35="",VLOOKUP($B33,Do!$B$13:$E$63,3,FALSE),Medewerker!U35),"")</f>
        <v/>
      </c>
      <c r="R33" s="933">
        <f>IFERROR(IF(Medewerker!U35="",VLOOKUP($B33,Do!$B$13:$E$63,4,FALSE),Medewerker!U35),"")</f>
        <v/>
      </c>
      <c r="S33" s="934">
        <f>IF(R33="OA",0,IF(R33="TA",0,IF(R33="VRIJ",0,IF(R33="ST",0,IFERROR(IF(R33="","",(R33/R33)*VLOOKUP($B33,Do!$B$13:$AV$63,47,FALSE)/24),MAX(IFERROR((VLOOKUP($B33,Do!$B$13:$AV$63,47,FALSE)/24),0),Medewerker!E35/120))))))</f>
        <v/>
      </c>
      <c r="T33" s="240" t="n"/>
      <c r="U33" s="933">
        <f>IFERROR(IF(Medewerker!Y35="",VLOOKUP($B33,Vr!$B$13:$E$63,3,FALSE),Medewerker!Y35),"")</f>
        <v/>
      </c>
      <c r="V33" s="933">
        <f>IFERROR(IF(Medewerker!Y35="",VLOOKUP($B33,Vr!$B$13:$E$63,4,FALSE),Medewerker!Y35),"")</f>
        <v/>
      </c>
      <c r="W33" s="934">
        <f>IF(V33="OA",0,IF(V33="TA",0,IF(V33="VRIJ",0,IF(V33="ST",0,IFERROR(IF(V33="","",(V33/V33)*VLOOKUP($B33,Vr!$B$13:$AV$63,47,FALSE)/24),MAX(IFERROR((VLOOKUP($B33,Vr!$B$13:$AV$63,47,FALSE)/24),0),Medewerker!E35/120))))))</f>
        <v/>
      </c>
      <c r="X33" s="240" t="n"/>
      <c r="Y33" s="933">
        <f>IFERROR(IF(Medewerker!AC35="",VLOOKUP($B33,Za!$B$13:$E$63,3,FALSE),Medewerker!AC35),"")</f>
        <v/>
      </c>
      <c r="Z33" s="933">
        <f>IFERROR(IF(Medewerker!AC35="",VLOOKUP($B33,Za!$B$13:$E$63,4,FALSE),Medewerker!AC35),"")</f>
        <v/>
      </c>
      <c r="AA33" s="934">
        <f>IF(Z33="OA",0,IF(Z33="TA",0,IF(Z33="VRIJ",0,IF(Z33="ST",0,IFERROR(IF(Z33="","",(Z33/Z33)*VLOOKUP($B33,Za!$B$13:$AV$63,47,FALSE)/24),MAX(IFERROR((VLOOKUP($B33,Za!$B$13:$AV$63,47,FALSE)/24),0),IF(COUNTIF(E33:V33,"ZIEK")&gt;9,0,IF(COUNTIF(E33:V33,"VAK")&gt;9,0,Medewerker!E35/120))))))))</f>
        <v/>
      </c>
      <c r="AB33" s="240" t="n"/>
      <c r="AC33" s="933">
        <f>IFERROR(IF(Medewerker!AG35="",VLOOKUP($B33,Zo!$B$13:$E$63,3,FALSE),Medewerker!AG35),"")</f>
        <v/>
      </c>
      <c r="AD33" s="933">
        <f>IFERROR(IF(Medewerker!AG35="",VLOOKUP($B33,Zo!$B$13:$E$63,4,FALSE),Medewerker!AG35),"")</f>
        <v/>
      </c>
      <c r="AE33" s="934">
        <f>IF(AD33="OA",0,IF(AD33="TA",0,IF(AD33="VRIJ",0,IF(AD33="ST",0,IFERROR(IF(AD33="","",(AD33/AD33)*VLOOKUP($B33,Zo!$B$13:$AV$63,47,FALSE)/24),MAX(IFERROR((VLOOKUP($B33,Zo!$B$13:$AV$63,47,FALSE)/24),0),IF(COUNTIF(E33:Z33,"ZIEK")&gt;9,0,IF(COUNTIF(E33:Z33,"VAK")&gt;9,0,Medewerker!E35/120))))))))</f>
        <v/>
      </c>
      <c r="AF33" s="240" t="n"/>
      <c r="AG33" s="935">
        <f>SUM(G33,K33,O33,S33,W33,AA33,AE33)</f>
        <v/>
      </c>
      <c r="AH33" s="532">
        <f>COUNT(G33,K33,O33,S33,W33,AA33,AE33)-(COUNTIF(E33:AD33,"Vrij")/2)</f>
        <v/>
      </c>
      <c r="AI33" s="936">
        <f>Planning!AG33*24-Medewerker!E35</f>
        <v/>
      </c>
      <c r="AJ33" s="254">
        <f>IF(MAX(G33,K33,O33,S33,W33,AA33,AE33)*24&gt;Instellingen!$I$8,"nee","ja")</f>
        <v/>
      </c>
      <c r="AK33" s="254">
        <f>IF(AG33*24&gt;Instellingen!$I$9,"nee","ja")</f>
        <v/>
      </c>
    </row>
    <row r="34" ht="14.25" customHeight="1">
      <c r="A34" s="78">
        <f>IF(B34="",0,MAX($A$6:A33)+1)</f>
        <v/>
      </c>
      <c r="B34" s="241">
        <f>IF(Medewerker!C36="","",Medewerker!C36)</f>
        <v/>
      </c>
      <c r="C34" s="238">
        <f>Medewerker!AI36</f>
        <v/>
      </c>
      <c r="D34" s="240" t="n"/>
      <c r="E34" s="932">
        <f>IFERROR(IF(Medewerker!I36="",VLOOKUP($B34,Ma!$B$13:$E$63,3,FALSE),Medewerker!I36),"")</f>
        <v/>
      </c>
      <c r="F34" s="933">
        <f>IFERROR(IF(Medewerker!I36="",VLOOKUP($B34,Ma!$B$13:$E$63,4,FALSE),Medewerker!I36),"")</f>
        <v/>
      </c>
      <c r="G34" s="934">
        <f>IF(F34="OA",0,IF(F34="TA",0,IF(F34="VRIJ",0,IF(F34="ST",0,IFERROR(IF(F34="","",(F34/F34)*VLOOKUP($B34,Ma!$B$13:$AV$63,47,FALSE)/24),MAX(IFERROR((VLOOKUP($B34,Ma!$B$13:$AV$63,47,FALSE)/24),0),Medewerker!E36/120))))))</f>
        <v/>
      </c>
      <c r="H34" s="240" t="n"/>
      <c r="I34" s="933">
        <f>IFERROR(IF(Medewerker!M36="",VLOOKUP($B34,Di!$B$13:$E$63,3,FALSE),Medewerker!M36),"")</f>
        <v/>
      </c>
      <c r="J34" s="933">
        <f>IFERROR(IF(Medewerker!M36="",VLOOKUP($B34,Di!$B$13:$E$63,4,FALSE),Medewerker!M36),"")</f>
        <v/>
      </c>
      <c r="K34" s="934">
        <f>IF(J34="OA",0,IF(J34="TA",0,IF(J34="VRIJ",0,IF(J34="ST",0,IFERROR(IF(J34="","",(J34/J34)*VLOOKUP($B34,Di!$B$13:$AV$63,47,FALSE)/24),MAX(IFERROR((VLOOKUP($B34,Di!$B$13:$AV$63,47,FALSE)/24),0),Medewerker!E36/120))))))</f>
        <v/>
      </c>
      <c r="L34" s="240" t="n"/>
      <c r="M34" s="933">
        <f>IFERROR(IF(Medewerker!Q36="",VLOOKUP($B34,Wo!$B$13:$E$63,3,FALSE),Medewerker!Q36),"")</f>
        <v/>
      </c>
      <c r="N34" s="933">
        <f>IFERROR(IF(Medewerker!Q36="",VLOOKUP($B34,Wo!$B$13:$E$63,4,FALSE),Medewerker!Q36),"")</f>
        <v/>
      </c>
      <c r="O34" s="934">
        <f>IF(N34="OA",0,IF(N34="TA",0,IF(N34="VRIJ",0,IF(N34="ST",0,IFERROR(IF(N34="","",(N34/N34)*VLOOKUP($B34,Wo!$B$13:$AV$63,47,FALSE)/24),MAX(IFERROR((VLOOKUP($B34,Wo!$B$13:$AV$63,47,FALSE)/24),0),Medewerker!E36/120))))))</f>
        <v/>
      </c>
      <c r="P34" s="240" t="n"/>
      <c r="Q34" s="933">
        <f>IFERROR(IF(Medewerker!U36="",VLOOKUP($B34,Do!$B$13:$E$63,3,FALSE),Medewerker!U36),"")</f>
        <v/>
      </c>
      <c r="R34" s="933">
        <f>IFERROR(IF(Medewerker!U36="",VLOOKUP($B34,Do!$B$13:$E$63,4,FALSE),Medewerker!U36),"")</f>
        <v/>
      </c>
      <c r="S34" s="934">
        <f>IF(R34="OA",0,IF(R34="TA",0,IF(R34="VRIJ",0,IF(R34="ST",0,IFERROR(IF(R34="","",(R34/R34)*VLOOKUP($B34,Do!$B$13:$AV$63,47,FALSE)/24),MAX(IFERROR((VLOOKUP($B34,Do!$B$13:$AV$63,47,FALSE)/24),0),Medewerker!E36/120))))))</f>
        <v/>
      </c>
      <c r="T34" s="240" t="n"/>
      <c r="U34" s="933">
        <f>IFERROR(IF(Medewerker!Y36="",VLOOKUP($B34,Vr!$B$13:$E$63,3,FALSE),Medewerker!Y36),"")</f>
        <v/>
      </c>
      <c r="V34" s="933">
        <f>IFERROR(IF(Medewerker!Y36="",VLOOKUP($B34,Vr!$B$13:$E$63,4,FALSE),Medewerker!Y36),"")</f>
        <v/>
      </c>
      <c r="W34" s="934">
        <f>IF(V34="OA",0,IF(V34="TA",0,IF(V34="VRIJ",0,IF(V34="ST",0,IFERROR(IF(V34="","",(V34/V34)*VLOOKUP($B34,Vr!$B$13:$AV$63,47,FALSE)/24),MAX(IFERROR((VLOOKUP($B34,Vr!$B$13:$AV$63,47,FALSE)/24),0),Medewerker!E36/120))))))</f>
        <v/>
      </c>
      <c r="X34" s="240" t="n"/>
      <c r="Y34" s="933">
        <f>IFERROR(IF(Medewerker!AC36="",VLOOKUP($B34,Za!$B$13:$E$63,3,FALSE),Medewerker!AC36),"")</f>
        <v/>
      </c>
      <c r="Z34" s="933">
        <f>IFERROR(IF(Medewerker!AC36="",VLOOKUP($B34,Za!$B$13:$E$63,4,FALSE),Medewerker!AC36),"")</f>
        <v/>
      </c>
      <c r="AA34" s="934">
        <f>IF(Z34="OA",0,IF(Z34="TA",0,IF(Z34="VRIJ",0,IF(Z34="ST",0,IFERROR(IF(Z34="","",(Z34/Z34)*VLOOKUP($B34,Za!$B$13:$AV$63,47,FALSE)/24),MAX(IFERROR((VLOOKUP($B34,Za!$B$13:$AV$63,47,FALSE)/24),0),IF(COUNTIF(E34:V34,"ZIEK")&gt;9,0,IF(COUNTIF(E34:V34,"VAK")&gt;9,0,Medewerker!E36/120))))))))</f>
        <v/>
      </c>
      <c r="AB34" s="240" t="n"/>
      <c r="AC34" s="933">
        <f>IFERROR(IF(Medewerker!AG36="",VLOOKUP($B34,Zo!$B$13:$E$63,3,FALSE),Medewerker!AG36),"")</f>
        <v/>
      </c>
      <c r="AD34" s="933">
        <f>IFERROR(IF(Medewerker!AG36="",VLOOKUP($B34,Zo!$B$13:$E$63,4,FALSE),Medewerker!AG36),"")</f>
        <v/>
      </c>
      <c r="AE34" s="934">
        <f>IF(AD34="OA",0,IF(AD34="TA",0,IF(AD34="VRIJ",0,IF(AD34="ST",0,IFERROR(IF(AD34="","",(AD34/AD34)*VLOOKUP($B34,Zo!$B$13:$AV$63,47,FALSE)/24),MAX(IFERROR((VLOOKUP($B34,Zo!$B$13:$AV$63,47,FALSE)/24),0),IF(COUNTIF(E34:Z34,"ZIEK")&gt;9,0,IF(COUNTIF(E34:Z34,"VAK")&gt;9,0,Medewerker!E36/120))))))))</f>
        <v/>
      </c>
      <c r="AF34" s="240" t="n"/>
      <c r="AG34" s="935">
        <f>SUM(G34,K34,O34,S34,W34,AA34,AE34)</f>
        <v/>
      </c>
      <c r="AH34" s="532">
        <f>COUNT(G34,K34,O34,S34,W34,AA34,AE34)-(COUNTIF(E34:AD34,"Vrij")/2)</f>
        <v/>
      </c>
      <c r="AI34" s="936">
        <f>Planning!AG34*24-Medewerker!E36</f>
        <v/>
      </c>
      <c r="AJ34" s="254">
        <f>IF(MAX(G34,K34,O34,S34,W34,AA34,AE34)*24&gt;Instellingen!$I$8,"nee","ja")</f>
        <v/>
      </c>
      <c r="AK34" s="254">
        <f>IF(AG34*24&gt;Instellingen!$I$9,"nee","ja")</f>
        <v/>
      </c>
    </row>
    <row r="35" ht="14.25" customHeight="1">
      <c r="A35" s="78">
        <f>IF(B35="",0,MAX($A$6:A34)+1)</f>
        <v/>
      </c>
      <c r="B35" s="241">
        <f>IF(Medewerker!C37="","",Medewerker!C37)</f>
        <v/>
      </c>
      <c r="C35" s="238">
        <f>Medewerker!AI37</f>
        <v/>
      </c>
      <c r="D35" s="240" t="n"/>
      <c r="E35" s="932">
        <f>IFERROR(IF(Medewerker!I37="",VLOOKUP($B35,Ma!$B$13:$E$63,3,FALSE),Medewerker!I37),"")</f>
        <v/>
      </c>
      <c r="F35" s="933">
        <f>IFERROR(IF(Medewerker!I37="",VLOOKUP($B35,Ma!$B$13:$E$63,4,FALSE),Medewerker!I37),"")</f>
        <v/>
      </c>
      <c r="G35" s="934">
        <f>IF(F35="OA",0,IF(F35="TA",0,IF(F35="VRIJ",0,IF(F35="ST",0,IFERROR(IF(F35="","",(F35/F35)*VLOOKUP($B35,Ma!$B$13:$AV$63,47,FALSE)/24),MAX(IFERROR((VLOOKUP($B35,Ma!$B$13:$AV$63,47,FALSE)/24),0),Medewerker!E37/120))))))</f>
        <v/>
      </c>
      <c r="H35" s="240" t="n"/>
      <c r="I35" s="933">
        <f>IFERROR(IF(Medewerker!M37="",VLOOKUP($B35,Di!$B$13:$E$63,3,FALSE),Medewerker!M37),"")</f>
        <v/>
      </c>
      <c r="J35" s="933">
        <f>IFERROR(IF(Medewerker!M37="",VLOOKUP($B35,Di!$B$13:$E$63,4,FALSE),Medewerker!M37),"")</f>
        <v/>
      </c>
      <c r="K35" s="934">
        <f>IF(J35="OA",0,IF(J35="TA",0,IF(J35="VRIJ",0,IF(J35="ST",0,IFERROR(IF(J35="","",(J35/J35)*VLOOKUP($B35,Di!$B$13:$AV$63,47,FALSE)/24),MAX(IFERROR((VLOOKUP($B35,Di!$B$13:$AV$63,47,FALSE)/24),0),Medewerker!E37/120))))))</f>
        <v/>
      </c>
      <c r="L35" s="240" t="n"/>
      <c r="M35" s="933">
        <f>IFERROR(IF(Medewerker!Q37="",VLOOKUP($B35,Wo!$B$13:$E$63,3,FALSE),Medewerker!Q37),"")</f>
        <v/>
      </c>
      <c r="N35" s="933">
        <f>IFERROR(IF(Medewerker!Q37="",VLOOKUP($B35,Wo!$B$13:$E$63,4,FALSE),Medewerker!Q37),"")</f>
        <v/>
      </c>
      <c r="O35" s="934">
        <f>IF(N35="OA",0,IF(N35="TA",0,IF(N35="VRIJ",0,IF(N35="ST",0,IFERROR(IF(N35="","",(N35/N35)*VLOOKUP($B35,Wo!$B$13:$AV$63,47,FALSE)/24),MAX(IFERROR((VLOOKUP($B35,Wo!$B$13:$AV$63,47,FALSE)/24),0),Medewerker!E37/120))))))</f>
        <v/>
      </c>
      <c r="P35" s="240" t="n"/>
      <c r="Q35" s="933">
        <f>IFERROR(IF(Medewerker!U37="",VLOOKUP($B35,Do!$B$13:$E$63,3,FALSE),Medewerker!U37),"")</f>
        <v/>
      </c>
      <c r="R35" s="933">
        <f>IFERROR(IF(Medewerker!U37="",VLOOKUP($B35,Do!$B$13:$E$63,4,FALSE),Medewerker!U37),"")</f>
        <v/>
      </c>
      <c r="S35" s="934">
        <f>IF(R35="OA",0,IF(R35="TA",0,IF(R35="VRIJ",0,IF(R35="ST",0,IFERROR(IF(R35="","",(R35/R35)*VLOOKUP($B35,Do!$B$13:$AV$63,47,FALSE)/24),MAX(IFERROR((VLOOKUP($B35,Do!$B$13:$AV$63,47,FALSE)/24),0),Medewerker!E37/120))))))</f>
        <v/>
      </c>
      <c r="T35" s="240" t="n"/>
      <c r="U35" s="933">
        <f>IFERROR(IF(Medewerker!Y37="",VLOOKUP($B35,Vr!$B$13:$E$63,3,FALSE),Medewerker!Y37),"")</f>
        <v/>
      </c>
      <c r="V35" s="933">
        <f>IFERROR(IF(Medewerker!Y37="",VLOOKUP($B35,Vr!$B$13:$E$63,4,FALSE),Medewerker!Y37),"")</f>
        <v/>
      </c>
      <c r="W35" s="934">
        <f>IF(V35="OA",0,IF(V35="TA",0,IF(V35="VRIJ",0,IF(V35="ST",0,IFERROR(IF(V35="","",(V35/V35)*VLOOKUP($B35,Vr!$B$13:$AV$63,47,FALSE)/24),MAX(IFERROR((VLOOKUP($B35,Vr!$B$13:$AV$63,47,FALSE)/24),0),Medewerker!E37/120))))))</f>
        <v/>
      </c>
      <c r="X35" s="240" t="n"/>
      <c r="Y35" s="933">
        <f>IFERROR(IF(Medewerker!AC37="",VLOOKUP($B35,Za!$B$13:$E$63,3,FALSE),Medewerker!AC37),"")</f>
        <v/>
      </c>
      <c r="Z35" s="933">
        <f>IFERROR(IF(Medewerker!AC37="",VLOOKUP($B35,Za!$B$13:$E$63,4,FALSE),Medewerker!AC37),"")</f>
        <v/>
      </c>
      <c r="AA35" s="934">
        <f>IF(Z35="OA",0,IF(Z35="TA",0,IF(Z35="VRIJ",0,IF(Z35="ST",0,IFERROR(IF(Z35="","",(Z35/Z35)*VLOOKUP($B35,Za!$B$13:$AV$63,47,FALSE)/24),MAX(IFERROR((VLOOKUP($B35,Za!$B$13:$AV$63,47,FALSE)/24),0),IF(COUNTIF(E35:V35,"ZIEK")&gt;9,0,IF(COUNTIF(E35:V35,"VAK")&gt;9,0,Medewerker!E37/120))))))))</f>
        <v/>
      </c>
      <c r="AB35" s="240" t="n"/>
      <c r="AC35" s="933">
        <f>IFERROR(IF(Medewerker!AG37="",VLOOKUP($B35,Zo!$B$13:$E$63,3,FALSE),Medewerker!AG37),"")</f>
        <v/>
      </c>
      <c r="AD35" s="933">
        <f>IFERROR(IF(Medewerker!AG37="",VLOOKUP($B35,Zo!$B$13:$E$63,4,FALSE),Medewerker!AG37),"")</f>
        <v/>
      </c>
      <c r="AE35" s="934">
        <f>IF(AD35="OA",0,IF(AD35="TA",0,IF(AD35="VRIJ",0,IF(AD35="ST",0,IFERROR(IF(AD35="","",(AD35/AD35)*VLOOKUP($B35,Zo!$B$13:$AV$63,47,FALSE)/24),MAX(IFERROR((VLOOKUP($B35,Zo!$B$13:$AV$63,47,FALSE)/24),0),IF(COUNTIF(E35:Z35,"ZIEK")&gt;9,0,IF(COUNTIF(E35:Z35,"VAK")&gt;9,0,Medewerker!E37/120))))))))</f>
        <v/>
      </c>
      <c r="AF35" s="240" t="n"/>
      <c r="AG35" s="935">
        <f>SUM(G35,K35,O35,S35,W35,AA35,AE35)</f>
        <v/>
      </c>
      <c r="AH35" s="532">
        <f>COUNT(G35,K35,O35,S35,W35,AA35,AE35)-(COUNTIF(E35:AD35,"Vrij")/2)</f>
        <v/>
      </c>
      <c r="AI35" s="936">
        <f>Planning!AG35*24-Medewerker!E37</f>
        <v/>
      </c>
      <c r="AJ35" s="254">
        <f>IF(MAX(G35,K35,O35,S35,W35,AA35,AE35)*24&gt;Instellingen!$I$8,"nee","ja")</f>
        <v/>
      </c>
      <c r="AK35" s="254">
        <f>IF(AG35*24&gt;Instellingen!$I$9,"nee","ja")</f>
        <v/>
      </c>
    </row>
    <row r="36" ht="14.25" customHeight="1">
      <c r="A36" s="78">
        <f>IF(B36="",0,MAX($A$6:A35)+1)</f>
        <v/>
      </c>
      <c r="B36" s="241">
        <f>IF(Medewerker!C38="","",Medewerker!C38)</f>
        <v/>
      </c>
      <c r="C36" s="238">
        <f>Medewerker!AI38</f>
        <v/>
      </c>
      <c r="D36" s="240" t="n"/>
      <c r="E36" s="932">
        <f>IFERROR(IF(Medewerker!I38="",VLOOKUP($B36,Ma!$B$13:$E$63,3,FALSE),Medewerker!I38),"")</f>
        <v/>
      </c>
      <c r="F36" s="933">
        <f>IFERROR(IF(Medewerker!I38="",VLOOKUP($B36,Ma!$B$13:$E$63,4,FALSE),Medewerker!I38),"")</f>
        <v/>
      </c>
      <c r="G36" s="934">
        <f>IF(F36="OA",0,IF(F36="TA",0,IF(F36="VRIJ",0,IF(F36="ST",0,IFERROR(IF(F36="","",(F36/F36)*VLOOKUP($B36,Ma!$B$13:$AV$63,47,FALSE)/24),MAX(IFERROR((VLOOKUP($B36,Ma!$B$13:$AV$63,47,FALSE)/24),0),Medewerker!E38/120))))))</f>
        <v/>
      </c>
      <c r="H36" s="240" t="n"/>
      <c r="I36" s="933">
        <f>IFERROR(IF(Medewerker!M38="",VLOOKUP($B36,Di!$B$13:$E$63,3,FALSE),Medewerker!M38),"")</f>
        <v/>
      </c>
      <c r="J36" s="933">
        <f>IFERROR(IF(Medewerker!M38="",VLOOKUP($B36,Di!$B$13:$E$63,4,FALSE),Medewerker!M38),"")</f>
        <v/>
      </c>
      <c r="K36" s="934">
        <f>IF(J36="OA",0,IF(J36="TA",0,IF(J36="VRIJ",0,IF(J36="ST",0,IFERROR(IF(J36="","",(J36/J36)*VLOOKUP($B36,Di!$B$13:$AV$63,47,FALSE)/24),MAX(IFERROR((VLOOKUP($B36,Di!$B$13:$AV$63,47,FALSE)/24),0),Medewerker!E38/120))))))</f>
        <v/>
      </c>
      <c r="L36" s="240" t="n"/>
      <c r="M36" s="933">
        <f>IFERROR(IF(Medewerker!Q38="",VLOOKUP($B36,Wo!$B$13:$E$63,3,FALSE),Medewerker!Q38),"")</f>
        <v/>
      </c>
      <c r="N36" s="933">
        <f>IFERROR(IF(Medewerker!Q38="",VLOOKUP($B36,Wo!$B$13:$E$63,4,FALSE),Medewerker!Q38),"")</f>
        <v/>
      </c>
      <c r="O36" s="934">
        <f>IF(N36="OA",0,IF(N36="TA",0,IF(N36="VRIJ",0,IF(N36="ST",0,IFERROR(IF(N36="","",(N36/N36)*VLOOKUP($B36,Wo!$B$13:$AV$63,47,FALSE)/24),MAX(IFERROR((VLOOKUP($B36,Wo!$B$13:$AV$63,47,FALSE)/24),0),Medewerker!E38/120))))))</f>
        <v/>
      </c>
      <c r="P36" s="240" t="n"/>
      <c r="Q36" s="933">
        <f>IFERROR(IF(Medewerker!U38="",VLOOKUP($B36,Do!$B$13:$E$63,3,FALSE),Medewerker!U38),"")</f>
        <v/>
      </c>
      <c r="R36" s="933">
        <f>IFERROR(IF(Medewerker!U38="",VLOOKUP($B36,Do!$B$13:$E$63,4,FALSE),Medewerker!U38),"")</f>
        <v/>
      </c>
      <c r="S36" s="934">
        <f>IF(R36="OA",0,IF(R36="TA",0,IF(R36="VRIJ",0,IF(R36="ST",0,IFERROR(IF(R36="","",(R36/R36)*VLOOKUP($B36,Do!$B$13:$AV$63,47,FALSE)/24),MAX(IFERROR((VLOOKUP($B36,Do!$B$13:$AV$63,47,FALSE)/24),0),Medewerker!E38/120))))))</f>
        <v/>
      </c>
      <c r="T36" s="240" t="n"/>
      <c r="U36" s="933">
        <f>IFERROR(IF(Medewerker!Y38="",VLOOKUP($B36,Vr!$B$13:$E$63,3,FALSE),Medewerker!Y38),"")</f>
        <v/>
      </c>
      <c r="V36" s="933">
        <f>IFERROR(IF(Medewerker!Y38="",VLOOKUP($B36,Vr!$B$13:$E$63,4,FALSE),Medewerker!Y38),"")</f>
        <v/>
      </c>
      <c r="W36" s="934">
        <f>IF(V36="OA",0,IF(V36="TA",0,IF(V36="VRIJ",0,IF(V36="ST",0,IFERROR(IF(V36="","",(V36/V36)*VLOOKUP($B36,Vr!$B$13:$AV$63,47,FALSE)/24),MAX(IFERROR((VLOOKUP($B36,Vr!$B$13:$AV$63,47,FALSE)/24),0),Medewerker!E38/120))))))</f>
        <v/>
      </c>
      <c r="X36" s="240" t="n"/>
      <c r="Y36" s="933">
        <f>IFERROR(IF(Medewerker!AC38="",VLOOKUP($B36,Za!$B$13:$E$63,3,FALSE),Medewerker!AC38),"")</f>
        <v/>
      </c>
      <c r="Z36" s="933">
        <f>IFERROR(IF(Medewerker!AC38="",VLOOKUP($B36,Za!$B$13:$E$63,4,FALSE),Medewerker!AC38),"")</f>
        <v/>
      </c>
      <c r="AA36" s="934">
        <f>IF(Z36="OA",0,IF(Z36="TA",0,IF(Z36="VRIJ",0,IF(Z36="ST",0,IFERROR(IF(Z36="","",(Z36/Z36)*VLOOKUP($B36,Za!$B$13:$AV$63,47,FALSE)/24),MAX(IFERROR((VLOOKUP($B36,Za!$B$13:$AV$63,47,FALSE)/24),0),IF(COUNTIF(E36:V36,"ZIEK")&gt;9,0,IF(COUNTIF(E36:V36,"VAK")&gt;9,0,Medewerker!E38/120))))))))</f>
        <v/>
      </c>
      <c r="AB36" s="240" t="n"/>
      <c r="AC36" s="933">
        <f>IFERROR(IF(Medewerker!AG38="",VLOOKUP($B36,Zo!$B$13:$E$63,3,FALSE),Medewerker!AG38),"")</f>
        <v/>
      </c>
      <c r="AD36" s="933">
        <f>IFERROR(IF(Medewerker!AG38="",VLOOKUP($B36,Zo!$B$13:$E$63,4,FALSE),Medewerker!AG38),"")</f>
        <v/>
      </c>
      <c r="AE36" s="934">
        <f>IF(AD36="OA",0,IF(AD36="TA",0,IF(AD36="VRIJ",0,IF(AD36="ST",0,IFERROR(IF(AD36="","",(AD36/AD36)*VLOOKUP($B36,Zo!$B$13:$AV$63,47,FALSE)/24),MAX(IFERROR((VLOOKUP($B36,Zo!$B$13:$AV$63,47,FALSE)/24),0),IF(COUNTIF(E36:Z36,"ZIEK")&gt;9,0,IF(COUNTIF(E36:Z36,"VAK")&gt;9,0,Medewerker!E38/120))))))))</f>
        <v/>
      </c>
      <c r="AF36" s="240" t="n"/>
      <c r="AG36" s="935">
        <f>SUM(G36,K36,O36,S36,W36,AA36,AE36)</f>
        <v/>
      </c>
      <c r="AH36" s="532">
        <f>COUNT(G36,K36,O36,S36,W36,AA36,AE36)-(COUNTIF(E36:AD36,"Vrij")/2)</f>
        <v/>
      </c>
      <c r="AI36" s="936">
        <f>Planning!AG36*24-Medewerker!E38</f>
        <v/>
      </c>
      <c r="AJ36" s="254">
        <f>IF(MAX(G36,K36,O36,S36,W36,AA36,AE36)*24&gt;Instellingen!$I$8,"nee","ja")</f>
        <v/>
      </c>
      <c r="AK36" s="254">
        <f>IF(AG36*24&gt;Instellingen!$I$9,"nee","ja")</f>
        <v/>
      </c>
    </row>
    <row r="37" ht="14.25" customHeight="1">
      <c r="A37" s="78">
        <f>IF(B37="",0,MAX($A$6:A36)+1)</f>
        <v/>
      </c>
      <c r="B37" s="241">
        <f>IF(Medewerker!C39="","",Medewerker!C39)</f>
        <v/>
      </c>
      <c r="C37" s="238">
        <f>Medewerker!AI39</f>
        <v/>
      </c>
      <c r="D37" s="240" t="n"/>
      <c r="E37" s="932">
        <f>IFERROR(IF(Medewerker!I39="",VLOOKUP($B37,Ma!$B$13:$E$63,3,FALSE),Medewerker!I39),"")</f>
        <v/>
      </c>
      <c r="F37" s="933">
        <f>IFERROR(IF(Medewerker!I39="",VLOOKUP($B37,Ma!$B$13:$E$63,4,FALSE),Medewerker!I39),"")</f>
        <v/>
      </c>
      <c r="G37" s="934">
        <f>IF(F37="OA",0,IF(F37="TA",0,IF(F37="VRIJ",0,IF(F37="ST",0,IFERROR(IF(F37="","",(F37/F37)*VLOOKUP($B37,Ma!$B$13:$AV$63,47,FALSE)/24),MAX(IFERROR((VLOOKUP($B37,Ma!$B$13:$AV$63,47,FALSE)/24),0),Medewerker!E39/120))))))</f>
        <v/>
      </c>
      <c r="H37" s="240" t="n"/>
      <c r="I37" s="933">
        <f>IFERROR(IF(Medewerker!M39="",VLOOKUP($B37,Di!$B$13:$E$63,3,FALSE),Medewerker!M39),"")</f>
        <v/>
      </c>
      <c r="J37" s="933">
        <f>IFERROR(IF(Medewerker!M39="",VLOOKUP($B37,Di!$B$13:$E$63,4,FALSE),Medewerker!M39),"")</f>
        <v/>
      </c>
      <c r="K37" s="934">
        <f>IF(J37="OA",0,IF(J37="TA",0,IF(J37="VRIJ",0,IF(J37="ST",0,IFERROR(IF(J37="","",(J37/J37)*VLOOKUP($B37,Di!$B$13:$AV$63,47,FALSE)/24),MAX(IFERROR((VLOOKUP($B37,Di!$B$13:$AV$63,47,FALSE)/24),0),Medewerker!E39/120))))))</f>
        <v/>
      </c>
      <c r="L37" s="240" t="n"/>
      <c r="M37" s="933">
        <f>IFERROR(IF(Medewerker!Q39="",VLOOKUP($B37,Wo!$B$13:$E$63,3,FALSE),Medewerker!Q39),"")</f>
        <v/>
      </c>
      <c r="N37" s="933">
        <f>IFERROR(IF(Medewerker!Q39="",VLOOKUP($B37,Wo!$B$13:$E$63,4,FALSE),Medewerker!Q39),"")</f>
        <v/>
      </c>
      <c r="O37" s="934">
        <f>IF(N37="OA",0,IF(N37="TA",0,IF(N37="VRIJ",0,IF(N37="ST",0,IFERROR(IF(N37="","",(N37/N37)*VLOOKUP($B37,Wo!$B$13:$AV$63,47,FALSE)/24),MAX(IFERROR((VLOOKUP($B37,Wo!$B$13:$AV$63,47,FALSE)/24),0),Medewerker!E39/120))))))</f>
        <v/>
      </c>
      <c r="P37" s="240" t="n"/>
      <c r="Q37" s="933">
        <f>IFERROR(IF(Medewerker!U39="",VLOOKUP($B37,Do!$B$13:$E$63,3,FALSE),Medewerker!U39),"")</f>
        <v/>
      </c>
      <c r="R37" s="933">
        <f>IFERROR(IF(Medewerker!U39="",VLOOKUP($B37,Do!$B$13:$E$63,4,FALSE),Medewerker!U39),"")</f>
        <v/>
      </c>
      <c r="S37" s="934">
        <f>IF(R37="OA",0,IF(R37="TA",0,IF(R37="VRIJ",0,IF(R37="ST",0,IFERROR(IF(R37="","",(R37/R37)*VLOOKUP($B37,Do!$B$13:$AV$63,47,FALSE)/24),MAX(IFERROR((VLOOKUP($B37,Do!$B$13:$AV$63,47,FALSE)/24),0),Medewerker!E39/120))))))</f>
        <v/>
      </c>
      <c r="T37" s="240" t="n"/>
      <c r="U37" s="933">
        <f>IFERROR(IF(Medewerker!Y39="",VLOOKUP($B37,Vr!$B$13:$E$63,3,FALSE),Medewerker!Y39),"")</f>
        <v/>
      </c>
      <c r="V37" s="933">
        <f>IFERROR(IF(Medewerker!Y39="",VLOOKUP($B37,Vr!$B$13:$E$63,4,FALSE),Medewerker!Y39),"")</f>
        <v/>
      </c>
      <c r="W37" s="934">
        <f>IF(V37="OA",0,IF(V37="TA",0,IF(V37="VRIJ",0,IF(V37="ST",0,IFERROR(IF(V37="","",(V37/V37)*VLOOKUP($B37,Vr!$B$13:$AV$63,47,FALSE)/24),MAX(IFERROR((VLOOKUP($B37,Vr!$B$13:$AV$63,47,FALSE)/24),0),Medewerker!E39/120))))))</f>
        <v/>
      </c>
      <c r="X37" s="240" t="n"/>
      <c r="Y37" s="933">
        <f>IFERROR(IF(Medewerker!AC39="",VLOOKUP($B37,Za!$B$13:$E$63,3,FALSE),Medewerker!AC39),"")</f>
        <v/>
      </c>
      <c r="Z37" s="933">
        <f>IFERROR(IF(Medewerker!AC39="",VLOOKUP($B37,Za!$B$13:$E$63,4,FALSE),Medewerker!AC39),"")</f>
        <v/>
      </c>
      <c r="AA37" s="934">
        <f>IF(Z37="OA",0,IF(Z37="TA",0,IF(Z37="VRIJ",0,IF(Z37="ST",0,IFERROR(IF(Z37="","",(Z37/Z37)*VLOOKUP($B37,Za!$B$13:$AV$63,47,FALSE)/24),MAX(IFERROR((VLOOKUP($B37,Za!$B$13:$AV$63,47,FALSE)/24),0),IF(COUNTIF(E37:V37,"ZIEK")&gt;9,0,IF(COUNTIF(E37:V37,"VAK")&gt;9,0,Medewerker!E39/120))))))))</f>
        <v/>
      </c>
      <c r="AB37" s="240" t="n"/>
      <c r="AC37" s="933">
        <f>IFERROR(IF(Medewerker!AG39="",VLOOKUP($B37,Zo!$B$13:$E$63,3,FALSE),Medewerker!AG39),"")</f>
        <v/>
      </c>
      <c r="AD37" s="933">
        <f>IFERROR(IF(Medewerker!AG39="",VLOOKUP($B37,Zo!$B$13:$E$63,4,FALSE),Medewerker!AG39),"")</f>
        <v/>
      </c>
      <c r="AE37" s="934">
        <f>IF(AD37="OA",0,IF(AD37="TA",0,IF(AD37="VRIJ",0,IF(AD37="ST",0,IFERROR(IF(AD37="","",(AD37/AD37)*VLOOKUP($B37,Zo!$B$13:$AV$63,47,FALSE)/24),MAX(IFERROR((VLOOKUP($B37,Zo!$B$13:$AV$63,47,FALSE)/24),0),IF(COUNTIF(E37:Z37,"ZIEK")&gt;9,0,IF(COUNTIF(E37:Z37,"VAK")&gt;9,0,Medewerker!E39/120))))))))</f>
        <v/>
      </c>
      <c r="AF37" s="240" t="n"/>
      <c r="AG37" s="935">
        <f>SUM(G37,K37,O37,S37,W37,AA37,AE37)</f>
        <v/>
      </c>
      <c r="AH37" s="532">
        <f>COUNT(G37,K37,O37,S37,W37,AA37,AE37)-(COUNTIF(E37:AD37,"Vrij")/2)</f>
        <v/>
      </c>
      <c r="AI37" s="936">
        <f>Planning!AG37*24-Medewerker!E39</f>
        <v/>
      </c>
      <c r="AJ37" s="254">
        <f>IF(MAX(G37,K37,O37,S37,W37,AA37,AE37)*24&gt;Instellingen!$I$8,"nee","ja")</f>
        <v/>
      </c>
      <c r="AK37" s="254">
        <f>IF(AG37*24&gt;Instellingen!$I$9,"nee","ja")</f>
        <v/>
      </c>
    </row>
    <row r="38" ht="14.25" customHeight="1">
      <c r="A38" s="78">
        <f>IF(B38="",0,MAX($A$6:A37)+1)</f>
        <v/>
      </c>
      <c r="B38" s="241">
        <f>IF(Medewerker!C40="","",Medewerker!C40)</f>
        <v/>
      </c>
      <c r="C38" s="238">
        <f>Medewerker!AI40</f>
        <v/>
      </c>
      <c r="D38" s="240" t="n"/>
      <c r="E38" s="932">
        <f>IFERROR(IF(Medewerker!I40="",VLOOKUP($B38,Ma!$B$13:$E$63,3,FALSE),Medewerker!I40),"")</f>
        <v/>
      </c>
      <c r="F38" s="933">
        <f>IFERROR(IF(Medewerker!I40="",VLOOKUP($B38,Ma!$B$13:$E$63,4,FALSE),Medewerker!I40),"")</f>
        <v/>
      </c>
      <c r="G38" s="934">
        <f>IF(F38="OA",0,IF(F38="TA",0,IF(F38="VRIJ",0,IF(F38="ST",0,IFERROR(IF(F38="","",(F38/F38)*VLOOKUP($B38,Ma!$B$13:$AV$63,47,FALSE)/24),MAX(IFERROR((VLOOKUP($B38,Ma!$B$13:$AV$63,47,FALSE)/24),0),Medewerker!E40/120))))))</f>
        <v/>
      </c>
      <c r="H38" s="240" t="n"/>
      <c r="I38" s="933">
        <f>IFERROR(IF(Medewerker!M40="",VLOOKUP($B38,Di!$B$13:$E$63,3,FALSE),Medewerker!M40),"")</f>
        <v/>
      </c>
      <c r="J38" s="933">
        <f>IFERROR(IF(Medewerker!M40="",VLOOKUP($B38,Di!$B$13:$E$63,4,FALSE),Medewerker!M40),"")</f>
        <v/>
      </c>
      <c r="K38" s="934">
        <f>IF(J38="OA",0,IF(J38="TA",0,IF(J38="VRIJ",0,IF(J38="ST",0,IFERROR(IF(J38="","",(J38/J38)*VLOOKUP($B38,Di!$B$13:$AV$63,47,FALSE)/24),MAX(IFERROR((VLOOKUP($B38,Di!$B$13:$AV$63,47,FALSE)/24),0),Medewerker!E40/120))))))</f>
        <v/>
      </c>
      <c r="L38" s="240" t="n"/>
      <c r="M38" s="933">
        <f>IFERROR(IF(Medewerker!Q40="",VLOOKUP($B38,Wo!$B$13:$E$63,3,FALSE),Medewerker!Q40),"")</f>
        <v/>
      </c>
      <c r="N38" s="933">
        <f>IFERROR(IF(Medewerker!Q40="",VLOOKUP($B38,Wo!$B$13:$E$63,4,FALSE),Medewerker!Q40),"")</f>
        <v/>
      </c>
      <c r="O38" s="934">
        <f>IF(N38="OA",0,IF(N38="TA",0,IF(N38="VRIJ",0,IF(N38="ST",0,IFERROR(IF(N38="","",(N38/N38)*VLOOKUP($B38,Wo!$B$13:$AV$63,47,FALSE)/24),MAX(IFERROR((VLOOKUP($B38,Wo!$B$13:$AV$63,47,FALSE)/24),0),Medewerker!E40/120))))))</f>
        <v/>
      </c>
      <c r="P38" s="240" t="n"/>
      <c r="Q38" s="933">
        <f>IFERROR(IF(Medewerker!U40="",VLOOKUP($B38,Do!$B$13:$E$63,3,FALSE),Medewerker!U40),"")</f>
        <v/>
      </c>
      <c r="R38" s="933">
        <f>IFERROR(IF(Medewerker!U40="",VLOOKUP($B38,Do!$B$13:$E$63,4,FALSE),Medewerker!U40),"")</f>
        <v/>
      </c>
      <c r="S38" s="934">
        <f>IF(R38="OA",0,IF(R38="TA",0,IF(R38="VRIJ",0,IF(R38="ST",0,IFERROR(IF(R38="","",(R38/R38)*VLOOKUP($B38,Do!$B$13:$AV$63,47,FALSE)/24),MAX(IFERROR((VLOOKUP($B38,Do!$B$13:$AV$63,47,FALSE)/24),0),Medewerker!E40/120))))))</f>
        <v/>
      </c>
      <c r="T38" s="240" t="n"/>
      <c r="U38" s="933">
        <f>IFERROR(IF(Medewerker!Y40="",VLOOKUP($B38,Vr!$B$13:$E$63,3,FALSE),Medewerker!Y40),"")</f>
        <v/>
      </c>
      <c r="V38" s="933">
        <f>IFERROR(IF(Medewerker!Y40="",VLOOKUP($B38,Vr!$B$13:$E$63,4,FALSE),Medewerker!Y40),"")</f>
        <v/>
      </c>
      <c r="W38" s="934">
        <f>IF(V38="OA",0,IF(V38="TA",0,IF(V38="VRIJ",0,IF(V38="ST",0,IFERROR(IF(V38="","",(V38/V38)*VLOOKUP($B38,Vr!$B$13:$AV$63,47,FALSE)/24),MAX(IFERROR((VLOOKUP($B38,Vr!$B$13:$AV$63,47,FALSE)/24),0),Medewerker!E40/120))))))</f>
        <v/>
      </c>
      <c r="X38" s="240" t="n"/>
      <c r="Y38" s="933">
        <f>IFERROR(IF(Medewerker!AC40="",VLOOKUP($B38,Za!$B$13:$E$63,3,FALSE),Medewerker!AC40),"")</f>
        <v/>
      </c>
      <c r="Z38" s="933">
        <f>IFERROR(IF(Medewerker!AC40="",VLOOKUP($B38,Za!$B$13:$E$63,4,FALSE),Medewerker!AC40),"")</f>
        <v/>
      </c>
      <c r="AA38" s="934">
        <f>IF(Z38="OA",0,IF(Z38="TA",0,IF(Z38="VRIJ",0,IF(Z38="ST",0,IFERROR(IF(Z38="","",(Z38/Z38)*VLOOKUP($B38,Za!$B$13:$AV$63,47,FALSE)/24),MAX(IFERROR((VLOOKUP($B38,Za!$B$13:$AV$63,47,FALSE)/24),0),IF(COUNTIF(E38:V38,"ZIEK")&gt;9,0,IF(COUNTIF(E38:V38,"VAK")&gt;9,0,Medewerker!E40/120))))))))</f>
        <v/>
      </c>
      <c r="AB38" s="240" t="n"/>
      <c r="AC38" s="933">
        <f>IFERROR(IF(Medewerker!AG40="",VLOOKUP($B38,Zo!$B$13:$E$63,3,FALSE),Medewerker!AG40),"")</f>
        <v/>
      </c>
      <c r="AD38" s="933">
        <f>IFERROR(IF(Medewerker!AG40="",VLOOKUP($B38,Zo!$B$13:$E$63,4,FALSE),Medewerker!AG40),"")</f>
        <v/>
      </c>
      <c r="AE38" s="934">
        <f>IF(AD38="OA",0,IF(AD38="TA",0,IF(AD38="VRIJ",0,IF(AD38="ST",0,IFERROR(IF(AD38="","",(AD38/AD38)*VLOOKUP($B38,Zo!$B$13:$AV$63,47,FALSE)/24),MAX(IFERROR((VLOOKUP($B38,Zo!$B$13:$AV$63,47,FALSE)/24),0),IF(COUNTIF(E38:Z38,"ZIEK")&gt;9,0,IF(COUNTIF(E38:Z38,"VAK")&gt;9,0,Medewerker!E40/120))))))))</f>
        <v/>
      </c>
      <c r="AF38" s="240" t="n"/>
      <c r="AG38" s="935">
        <f>SUM(G38,K38,O38,S38,W38,AA38,AE38)</f>
        <v/>
      </c>
      <c r="AH38" s="532">
        <f>COUNT(G38,K38,O38,S38,W38,AA38,AE38)-(COUNTIF(E38:AD38,"Vrij")/2)</f>
        <v/>
      </c>
      <c r="AI38" s="936">
        <f>Planning!AG38*24-Medewerker!E40</f>
        <v/>
      </c>
      <c r="AJ38" s="254">
        <f>IF(MAX(G38,K38,O38,S38,W38,AA38,AE38)*24&gt;Instellingen!$I$8,"nee","ja")</f>
        <v/>
      </c>
      <c r="AK38" s="254">
        <f>IF(AG38*24&gt;Instellingen!$I$9,"nee","ja")</f>
        <v/>
      </c>
    </row>
    <row r="39" ht="14.25" customHeight="1">
      <c r="A39" s="78">
        <f>IF(B39="",0,MAX($A$6:A38)+1)</f>
        <v/>
      </c>
      <c r="B39" s="241">
        <f>IF(Medewerker!C41="","",Medewerker!C41)</f>
        <v/>
      </c>
      <c r="C39" s="238">
        <f>Medewerker!AI41</f>
        <v/>
      </c>
      <c r="D39" s="240" t="n"/>
      <c r="E39" s="932">
        <f>IFERROR(IF(Medewerker!I41="",VLOOKUP($B39,Ma!$B$13:$E$63,3,FALSE),Medewerker!I41),"")</f>
        <v/>
      </c>
      <c r="F39" s="933">
        <f>IFERROR(IF(Medewerker!I41="",VLOOKUP($B39,Ma!$B$13:$E$63,4,FALSE),Medewerker!I41),"")</f>
        <v/>
      </c>
      <c r="G39" s="934">
        <f>IF(F39="OA",0,IF(F39="TA",0,IF(F39="VRIJ",0,IF(F39="ST",0,IFERROR(IF(F39="","",(F39/F39)*VLOOKUP($B39,Ma!$B$13:$AV$63,47,FALSE)/24),MAX(IFERROR((VLOOKUP($B39,Ma!$B$13:$AV$63,47,FALSE)/24),0),Medewerker!E41/120))))))</f>
        <v/>
      </c>
      <c r="H39" s="240" t="n"/>
      <c r="I39" s="933">
        <f>IFERROR(IF(Medewerker!M41="",VLOOKUP($B39,Di!$B$13:$E$63,3,FALSE),Medewerker!M41),"")</f>
        <v/>
      </c>
      <c r="J39" s="933">
        <f>IFERROR(IF(Medewerker!M41="",VLOOKUP($B39,Di!$B$13:$E$63,4,FALSE),Medewerker!M41),"")</f>
        <v/>
      </c>
      <c r="K39" s="934">
        <f>IF(J39="OA",0,IF(J39="TA",0,IF(J39="VRIJ",0,IF(J39="ST",0,IFERROR(IF(J39="","",(J39/J39)*VLOOKUP($B39,Di!$B$13:$AV$63,47,FALSE)/24),MAX(IFERROR((VLOOKUP($B39,Di!$B$13:$AV$63,47,FALSE)/24),0),Medewerker!E41/120))))))</f>
        <v/>
      </c>
      <c r="L39" s="240" t="n"/>
      <c r="M39" s="933">
        <f>IFERROR(IF(Medewerker!Q41="",VLOOKUP($B39,Wo!$B$13:$E$63,3,FALSE),Medewerker!Q41),"")</f>
        <v/>
      </c>
      <c r="N39" s="933">
        <f>IFERROR(IF(Medewerker!Q41="",VLOOKUP($B39,Wo!$B$13:$E$63,4,FALSE),Medewerker!Q41),"")</f>
        <v/>
      </c>
      <c r="O39" s="934">
        <f>IF(N39="OA",0,IF(N39="TA",0,IF(N39="VRIJ",0,IF(N39="ST",0,IFERROR(IF(N39="","",(N39/N39)*VLOOKUP($B39,Wo!$B$13:$AV$63,47,FALSE)/24),MAX(IFERROR((VLOOKUP($B39,Wo!$B$13:$AV$63,47,FALSE)/24),0),Medewerker!E41/120))))))</f>
        <v/>
      </c>
      <c r="P39" s="240" t="n"/>
      <c r="Q39" s="933">
        <f>IFERROR(IF(Medewerker!U41="",VLOOKUP($B39,Do!$B$13:$E$63,3,FALSE),Medewerker!U41),"")</f>
        <v/>
      </c>
      <c r="R39" s="933">
        <f>IFERROR(IF(Medewerker!U41="",VLOOKUP($B39,Do!$B$13:$E$63,4,FALSE),Medewerker!U41),"")</f>
        <v/>
      </c>
      <c r="S39" s="934">
        <f>IF(R39="OA",0,IF(R39="TA",0,IF(R39="VRIJ",0,IF(R39="ST",0,IFERROR(IF(R39="","",(R39/R39)*VLOOKUP($B39,Do!$B$13:$AV$63,47,FALSE)/24),MAX(IFERROR((VLOOKUP($B39,Do!$B$13:$AV$63,47,FALSE)/24),0),Medewerker!E41/120))))))</f>
        <v/>
      </c>
      <c r="T39" s="240" t="n"/>
      <c r="U39" s="933">
        <f>IFERROR(IF(Medewerker!Y41="",VLOOKUP($B39,Vr!$B$13:$E$63,3,FALSE),Medewerker!Y41),"")</f>
        <v/>
      </c>
      <c r="V39" s="933">
        <f>IFERROR(IF(Medewerker!Y41="",VLOOKUP($B39,Vr!$B$13:$E$63,4,FALSE),Medewerker!Y41),"")</f>
        <v/>
      </c>
      <c r="W39" s="934">
        <f>IF(V39="OA",0,IF(V39="TA",0,IF(V39="VRIJ",0,IF(V39="ST",0,IFERROR(IF(V39="","",(V39/V39)*VLOOKUP($B39,Vr!$B$13:$AV$63,47,FALSE)/24),MAX(IFERROR((VLOOKUP($B39,Vr!$B$13:$AV$63,47,FALSE)/24),0),Medewerker!E41/120))))))</f>
        <v/>
      </c>
      <c r="X39" s="240" t="n"/>
      <c r="Y39" s="933">
        <f>IFERROR(IF(Medewerker!AC41="",VLOOKUP($B39,Za!$B$13:$E$63,3,FALSE),Medewerker!AC41),"")</f>
        <v/>
      </c>
      <c r="Z39" s="933">
        <f>IFERROR(IF(Medewerker!AC41="",VLOOKUP($B39,Za!$B$13:$E$63,4,FALSE),Medewerker!AC41),"")</f>
        <v/>
      </c>
      <c r="AA39" s="934">
        <f>IF(Z39="OA",0,IF(Z39="TA",0,IF(Z39="VRIJ",0,IF(Z39="ST",0,IFERROR(IF(Z39="","",(Z39/Z39)*VLOOKUP($B39,Za!$B$13:$AV$63,47,FALSE)/24),MAX(IFERROR((VLOOKUP($B39,Za!$B$13:$AV$63,47,FALSE)/24),0),IF(COUNTIF(E39:V39,"ZIEK")&gt;9,0,IF(COUNTIF(E39:V39,"VAK")&gt;9,0,Medewerker!E41/120))))))))</f>
        <v/>
      </c>
      <c r="AB39" s="240" t="n"/>
      <c r="AC39" s="933">
        <f>IFERROR(IF(Medewerker!AG41="",VLOOKUP($B39,Zo!$B$13:$E$63,3,FALSE),Medewerker!AG41),"")</f>
        <v/>
      </c>
      <c r="AD39" s="933">
        <f>IFERROR(IF(Medewerker!AG41="",VLOOKUP($B39,Zo!$B$13:$E$63,4,FALSE),Medewerker!AG41),"")</f>
        <v/>
      </c>
      <c r="AE39" s="934">
        <f>IF(AD39="OA",0,IF(AD39="TA",0,IF(AD39="VRIJ",0,IF(AD39="ST",0,IFERROR(IF(AD39="","",(AD39/AD39)*VLOOKUP($B39,Zo!$B$13:$AV$63,47,FALSE)/24),MAX(IFERROR((VLOOKUP($B39,Zo!$B$13:$AV$63,47,FALSE)/24),0),IF(COUNTIF(E39:Z39,"ZIEK")&gt;9,0,IF(COUNTIF(E39:Z39,"VAK")&gt;9,0,Medewerker!E41/120))))))))</f>
        <v/>
      </c>
      <c r="AF39" s="240" t="n"/>
      <c r="AG39" s="935">
        <f>SUM(G39,K39,O39,S39,W39,AA39,AE39)</f>
        <v/>
      </c>
      <c r="AH39" s="532">
        <f>COUNT(G39,K39,O39,S39,W39,AA39,AE39)-(COUNTIF(E39:AD39,"Vrij")/2)</f>
        <v/>
      </c>
      <c r="AI39" s="936">
        <f>Planning!AG39*24-Medewerker!E41</f>
        <v/>
      </c>
      <c r="AJ39" s="254">
        <f>IF(MAX(G39,K39,O39,S39,W39,AA39,AE39)*24&gt;Instellingen!$I$8,"nee","ja")</f>
        <v/>
      </c>
      <c r="AK39" s="254">
        <f>IF(AG39*24&gt;Instellingen!$I$9,"nee","ja")</f>
        <v/>
      </c>
    </row>
    <row r="40" ht="14.25" customHeight="1">
      <c r="A40" s="78">
        <f>IF(B40="",0,MAX($A$6:A39)+1)</f>
        <v/>
      </c>
      <c r="B40" s="241">
        <f>IF(Medewerker!C42="","",Medewerker!C42)</f>
        <v/>
      </c>
      <c r="C40" s="238">
        <f>Medewerker!AI42</f>
        <v/>
      </c>
      <c r="D40" s="240" t="n"/>
      <c r="E40" s="932">
        <f>IFERROR(IF(Medewerker!I42="",VLOOKUP($B40,Ma!$B$13:$E$63,3,FALSE),Medewerker!I42),"")</f>
        <v/>
      </c>
      <c r="F40" s="933">
        <f>IFERROR(IF(Medewerker!I42="",VLOOKUP($B40,Ma!$B$13:$E$63,4,FALSE),Medewerker!I42),"")</f>
        <v/>
      </c>
      <c r="G40" s="934">
        <f>IF(F40="OA",0,IF(F40="TA",0,IF(F40="VRIJ",0,IF(F40="ST",0,IFERROR(IF(F40="","",(F40/F40)*VLOOKUP($B40,Ma!$B$13:$AV$63,47,FALSE)/24),MAX(IFERROR((VLOOKUP($B40,Ma!$B$13:$AV$63,47,FALSE)/24),0),Medewerker!E42/120))))))</f>
        <v/>
      </c>
      <c r="H40" s="240" t="n"/>
      <c r="I40" s="933">
        <f>IFERROR(IF(Medewerker!M42="",VLOOKUP($B40,Di!$B$13:$E$63,3,FALSE),Medewerker!M42),"")</f>
        <v/>
      </c>
      <c r="J40" s="933">
        <f>IFERROR(IF(Medewerker!M42="",VLOOKUP($B40,Di!$B$13:$E$63,4,FALSE),Medewerker!M42),"")</f>
        <v/>
      </c>
      <c r="K40" s="934">
        <f>IF(J40="OA",0,IF(J40="TA",0,IF(J40="VRIJ",0,IF(J40="ST",0,IFERROR(IF(J40="","",(J40/J40)*VLOOKUP($B40,Di!$B$13:$AV$63,47,FALSE)/24),MAX(IFERROR((VLOOKUP($B40,Di!$B$13:$AV$63,47,FALSE)/24),0),Medewerker!E42/120))))))</f>
        <v/>
      </c>
      <c r="L40" s="240" t="n"/>
      <c r="M40" s="933">
        <f>IFERROR(IF(Medewerker!Q42="",VLOOKUP($B40,Wo!$B$13:$E$63,3,FALSE),Medewerker!Q42),"")</f>
        <v/>
      </c>
      <c r="N40" s="933">
        <f>IFERROR(IF(Medewerker!Q42="",VLOOKUP($B40,Wo!$B$13:$E$63,4,FALSE),Medewerker!Q42),"")</f>
        <v/>
      </c>
      <c r="O40" s="934">
        <f>IF(N40="OA",0,IF(N40="TA",0,IF(N40="VRIJ",0,IF(N40="ST",0,IFERROR(IF(N40="","",(N40/N40)*VLOOKUP($B40,Wo!$B$13:$AV$63,47,FALSE)/24),MAX(IFERROR((VLOOKUP($B40,Wo!$B$13:$AV$63,47,FALSE)/24),0),Medewerker!E42/120))))))</f>
        <v/>
      </c>
      <c r="P40" s="240" t="n"/>
      <c r="Q40" s="933">
        <f>IFERROR(IF(Medewerker!U42="",VLOOKUP($B40,Do!$B$13:$E$63,3,FALSE),Medewerker!U42),"")</f>
        <v/>
      </c>
      <c r="R40" s="933">
        <f>IFERROR(IF(Medewerker!U42="",VLOOKUP($B40,Do!$B$13:$E$63,4,FALSE),Medewerker!U42),"")</f>
        <v/>
      </c>
      <c r="S40" s="934">
        <f>IF(R40="OA",0,IF(R40="TA",0,IF(R40="VRIJ",0,IF(R40="ST",0,IFERROR(IF(R40="","",(R40/R40)*VLOOKUP($B40,Do!$B$13:$AV$63,47,FALSE)/24),MAX(IFERROR((VLOOKUP($B40,Do!$B$13:$AV$63,47,FALSE)/24),0),Medewerker!E42/120))))))</f>
        <v/>
      </c>
      <c r="T40" s="240" t="n"/>
      <c r="U40" s="933">
        <f>IFERROR(IF(Medewerker!Y42="",VLOOKUP($B40,Vr!$B$13:$E$63,3,FALSE),Medewerker!Y42),"")</f>
        <v/>
      </c>
      <c r="V40" s="933">
        <f>IFERROR(IF(Medewerker!Y42="",VLOOKUP($B40,Vr!$B$13:$E$63,4,FALSE),Medewerker!Y42),"")</f>
        <v/>
      </c>
      <c r="W40" s="934">
        <f>IF(V40="OA",0,IF(V40="TA",0,IF(V40="VRIJ",0,IF(V40="ST",0,IFERROR(IF(V40="","",(V40/V40)*VLOOKUP($B40,Vr!$B$13:$AV$63,47,FALSE)/24),MAX(IFERROR((VLOOKUP($B40,Vr!$B$13:$AV$63,47,FALSE)/24),0),Medewerker!E42/120))))))</f>
        <v/>
      </c>
      <c r="X40" s="240" t="n"/>
      <c r="Y40" s="933">
        <f>IFERROR(IF(Medewerker!AC42="",VLOOKUP($B40,Za!$B$13:$E$63,3,FALSE),Medewerker!AC42),"")</f>
        <v/>
      </c>
      <c r="Z40" s="933">
        <f>IFERROR(IF(Medewerker!AC42="",VLOOKUP($B40,Za!$B$13:$E$63,4,FALSE),Medewerker!AC42),"")</f>
        <v/>
      </c>
      <c r="AA40" s="934">
        <f>IF(Z40="OA",0,IF(Z40="TA",0,IF(Z40="VRIJ",0,IF(Z40="ST",0,IFERROR(IF(Z40="","",(Z40/Z40)*VLOOKUP($B40,Za!$B$13:$AV$63,47,FALSE)/24),MAX(IFERROR((VLOOKUP($B40,Za!$B$13:$AV$63,47,FALSE)/24),0),IF(COUNTIF(E40:V40,"ZIEK")&gt;9,0,IF(COUNTIF(E40:V40,"VAK")&gt;9,0,Medewerker!E42/120))))))))</f>
        <v/>
      </c>
      <c r="AB40" s="240" t="n"/>
      <c r="AC40" s="933">
        <f>IFERROR(IF(Medewerker!AG42="",VLOOKUP($B40,Zo!$B$13:$E$63,3,FALSE),Medewerker!AG42),"")</f>
        <v/>
      </c>
      <c r="AD40" s="933">
        <f>IFERROR(IF(Medewerker!AG42="",VLOOKUP($B40,Zo!$B$13:$E$63,4,FALSE),Medewerker!AG42),"")</f>
        <v/>
      </c>
      <c r="AE40" s="934">
        <f>IF(AD40="OA",0,IF(AD40="TA",0,IF(AD40="VRIJ",0,IF(AD40="ST",0,IFERROR(IF(AD40="","",(AD40/AD40)*VLOOKUP($B40,Zo!$B$13:$AV$63,47,FALSE)/24),MAX(IFERROR((VLOOKUP($B40,Zo!$B$13:$AV$63,47,FALSE)/24),0),IF(COUNTIF(E40:Z40,"ZIEK")&gt;9,0,IF(COUNTIF(E40:Z40,"VAK")&gt;9,0,Medewerker!E42/120))))))))</f>
        <v/>
      </c>
      <c r="AF40" s="240" t="n"/>
      <c r="AG40" s="935">
        <f>SUM(G40,K40,O40,S40,W40,AA40,AE40)</f>
        <v/>
      </c>
      <c r="AH40" s="532">
        <f>COUNT(G40,K40,O40,S40,W40,AA40,AE40)-(COUNTIF(E40:AD40,"Vrij")/2)</f>
        <v/>
      </c>
      <c r="AI40" s="936">
        <f>Planning!AG40*24-Medewerker!E42</f>
        <v/>
      </c>
      <c r="AJ40" s="254">
        <f>IF(MAX(G40,K40,O40,S40,W40,AA40,AE40)*24&gt;Instellingen!$I$8,"nee","ja")</f>
        <v/>
      </c>
      <c r="AK40" s="254">
        <f>IF(AG40*24&gt;Instellingen!$I$9,"nee","ja")</f>
        <v/>
      </c>
    </row>
    <row r="41" ht="14.25" customHeight="1">
      <c r="A41" s="78">
        <f>IF(B41="",0,MAX($A$6:A40)+1)</f>
        <v/>
      </c>
      <c r="B41" s="241">
        <f>IF(Medewerker!C43="","",Medewerker!C43)</f>
        <v/>
      </c>
      <c r="C41" s="238">
        <f>Medewerker!AI43</f>
        <v/>
      </c>
      <c r="D41" s="240" t="n"/>
      <c r="E41" s="932">
        <f>IFERROR(IF(Medewerker!I43="",VLOOKUP($B41,Ma!$B$13:$E$63,3,FALSE),Medewerker!I43),"")</f>
        <v/>
      </c>
      <c r="F41" s="933">
        <f>IFERROR(IF(Medewerker!I43="",VLOOKUP($B41,Ma!$B$13:$E$63,4,FALSE),Medewerker!I43),"")</f>
        <v/>
      </c>
      <c r="G41" s="934">
        <f>IF(F41="OA",0,IF(F41="TA",0,IF(F41="VRIJ",0,IF(F41="ST",0,IFERROR(IF(F41="","",(F41/F41)*VLOOKUP($B41,Ma!$B$13:$AV$63,47,FALSE)/24),MAX(IFERROR((VLOOKUP($B41,Ma!$B$13:$AV$63,47,FALSE)/24),0),Medewerker!E43/120))))))</f>
        <v/>
      </c>
      <c r="H41" s="240" t="n"/>
      <c r="I41" s="933">
        <f>IFERROR(IF(Medewerker!M43="",VLOOKUP($B41,Di!$B$13:$E$63,3,FALSE),Medewerker!M43),"")</f>
        <v/>
      </c>
      <c r="J41" s="933">
        <f>IFERROR(IF(Medewerker!M43="",VLOOKUP($B41,Di!$B$13:$E$63,4,FALSE),Medewerker!M43),"")</f>
        <v/>
      </c>
      <c r="K41" s="934">
        <f>IF(J41="OA",0,IF(J41="TA",0,IF(J41="VRIJ",0,IF(J41="ST",0,IFERROR(IF(J41="","",(J41/J41)*VLOOKUP($B41,Di!$B$13:$AV$63,47,FALSE)/24),MAX(IFERROR((VLOOKUP($B41,Di!$B$13:$AV$63,47,FALSE)/24),0),Medewerker!E43/120))))))</f>
        <v/>
      </c>
      <c r="L41" s="240" t="n"/>
      <c r="M41" s="933">
        <f>IFERROR(IF(Medewerker!Q43="",VLOOKUP($B41,Wo!$B$13:$E$63,3,FALSE),Medewerker!Q43),"")</f>
        <v/>
      </c>
      <c r="N41" s="933">
        <f>IFERROR(IF(Medewerker!Q43="",VLOOKUP($B41,Wo!$B$13:$E$63,4,FALSE),Medewerker!Q43),"")</f>
        <v/>
      </c>
      <c r="O41" s="934">
        <f>IF(N41="OA",0,IF(N41="TA",0,IF(N41="VRIJ",0,IF(N41="ST",0,IFERROR(IF(N41="","",(N41/N41)*VLOOKUP($B41,Wo!$B$13:$AV$63,47,FALSE)/24),MAX(IFERROR((VLOOKUP($B41,Wo!$B$13:$AV$63,47,FALSE)/24),0),Medewerker!E43/120))))))</f>
        <v/>
      </c>
      <c r="P41" s="240" t="n"/>
      <c r="Q41" s="933">
        <f>IFERROR(IF(Medewerker!U43="",VLOOKUP($B41,Do!$B$13:$E$63,3,FALSE),Medewerker!U43),"")</f>
        <v/>
      </c>
      <c r="R41" s="933">
        <f>IFERROR(IF(Medewerker!U43="",VLOOKUP($B41,Do!$B$13:$E$63,4,FALSE),Medewerker!U43),"")</f>
        <v/>
      </c>
      <c r="S41" s="934">
        <f>IF(R41="OA",0,IF(R41="TA",0,IF(R41="VRIJ",0,IF(R41="ST",0,IFERROR(IF(R41="","",(R41/R41)*VLOOKUP($B41,Do!$B$13:$AV$63,47,FALSE)/24),MAX(IFERROR((VLOOKUP($B41,Do!$B$13:$AV$63,47,FALSE)/24),0),Medewerker!E43/120))))))</f>
        <v/>
      </c>
      <c r="T41" s="240" t="n"/>
      <c r="U41" s="933">
        <f>IFERROR(IF(Medewerker!Y43="",VLOOKUP($B41,Vr!$B$13:$E$63,3,FALSE),Medewerker!Y43),"")</f>
        <v/>
      </c>
      <c r="V41" s="933">
        <f>IFERROR(IF(Medewerker!Y43="",VLOOKUP($B41,Vr!$B$13:$E$63,4,FALSE),Medewerker!Y43),"")</f>
        <v/>
      </c>
      <c r="W41" s="934">
        <f>IF(V41="OA",0,IF(V41="TA",0,IF(V41="VRIJ",0,IF(V41="ST",0,IFERROR(IF(V41="","",(V41/V41)*VLOOKUP($B41,Vr!$B$13:$AV$63,47,FALSE)/24),MAX(IFERROR((VLOOKUP($B41,Vr!$B$13:$AV$63,47,FALSE)/24),0),Medewerker!E43/120))))))</f>
        <v/>
      </c>
      <c r="X41" s="240" t="n"/>
      <c r="Y41" s="933">
        <f>IFERROR(IF(Medewerker!AC43="",VLOOKUP($B41,Za!$B$13:$E$63,3,FALSE),Medewerker!AC43),"")</f>
        <v/>
      </c>
      <c r="Z41" s="933">
        <f>IFERROR(IF(Medewerker!AC43="",VLOOKUP($B41,Za!$B$13:$E$63,4,FALSE),Medewerker!AC43),"")</f>
        <v/>
      </c>
      <c r="AA41" s="934">
        <f>IF(Z41="OA",0,IF(Z41="TA",0,IF(Z41="VRIJ",0,IF(Z41="ST",0,IFERROR(IF(Z41="","",(Z41/Z41)*VLOOKUP($B41,Za!$B$13:$AV$63,47,FALSE)/24),MAX(IFERROR((VLOOKUP($B41,Za!$B$13:$AV$63,47,FALSE)/24),0),IF(COUNTIF(E41:V41,"ZIEK")&gt;9,0,IF(COUNTIF(E41:V41,"VAK")&gt;9,0,Medewerker!E43/120))))))))</f>
        <v/>
      </c>
      <c r="AB41" s="240" t="n"/>
      <c r="AC41" s="933">
        <f>IFERROR(IF(Medewerker!AG43="",VLOOKUP($B41,Zo!$B$13:$E$63,3,FALSE),Medewerker!AG43),"")</f>
        <v/>
      </c>
      <c r="AD41" s="933">
        <f>IFERROR(IF(Medewerker!AG43="",VLOOKUP($B41,Zo!$B$13:$E$63,4,FALSE),Medewerker!AG43),"")</f>
        <v/>
      </c>
      <c r="AE41" s="934">
        <f>IF(AD41="OA",0,IF(AD41="TA",0,IF(AD41="VRIJ",0,IF(AD41="ST",0,IFERROR(IF(AD41="","",(AD41/AD41)*VLOOKUP($B41,Zo!$B$13:$AV$63,47,FALSE)/24),MAX(IFERROR((VLOOKUP($B41,Zo!$B$13:$AV$63,47,FALSE)/24),0),IF(COUNTIF(E41:Z41,"ZIEK")&gt;9,0,IF(COUNTIF(E41:Z41,"VAK")&gt;9,0,Medewerker!E43/120))))))))</f>
        <v/>
      </c>
      <c r="AF41" s="240" t="n"/>
      <c r="AG41" s="935">
        <f>SUM(G41,K41,O41,S41,W41,AA41,AE41)</f>
        <v/>
      </c>
      <c r="AH41" s="532">
        <f>COUNT(G41,K41,O41,S41,W41,AA41,AE41)-(COUNTIF(E41:AD41,"Vrij")/2)</f>
        <v/>
      </c>
      <c r="AI41" s="936">
        <f>Planning!AG41*24-Medewerker!E43</f>
        <v/>
      </c>
      <c r="AJ41" s="254">
        <f>IF(MAX(G41,K41,O41,S41,W41,AA41,AE41)*24&gt;Instellingen!$I$8,"nee","ja")</f>
        <v/>
      </c>
      <c r="AK41" s="254">
        <f>IF(AG41*24&gt;Instellingen!$I$9,"nee","ja")</f>
        <v/>
      </c>
    </row>
    <row r="42" ht="14.25" customHeight="1">
      <c r="A42" s="78">
        <f>IF(B42="",0,MAX($A$6:A41)+1)</f>
        <v/>
      </c>
      <c r="B42" s="241">
        <f>IF(Medewerker!C44="","",Medewerker!C44)</f>
        <v/>
      </c>
      <c r="C42" s="238">
        <f>Medewerker!AI44</f>
        <v/>
      </c>
      <c r="D42" s="240" t="n"/>
      <c r="E42" s="932">
        <f>IFERROR(IF(Medewerker!I44="",VLOOKUP($B42,Ma!$B$13:$E$63,3,FALSE),Medewerker!I44),"")</f>
        <v/>
      </c>
      <c r="F42" s="933">
        <f>IFERROR(IF(Medewerker!I44="",VLOOKUP($B42,Ma!$B$13:$E$63,4,FALSE),Medewerker!I44),"")</f>
        <v/>
      </c>
      <c r="G42" s="934">
        <f>IF(F42="OA",0,IF(F42="TA",0,IF(F42="VRIJ",0,IF(F42="ST",0,IFERROR(IF(F42="","",(F42/F42)*VLOOKUP($B42,Ma!$B$13:$AV$63,47,FALSE)/24),MAX(IFERROR((VLOOKUP($B42,Ma!$B$13:$AV$63,47,FALSE)/24),0),Medewerker!E44/120))))))</f>
        <v/>
      </c>
      <c r="H42" s="240" t="n"/>
      <c r="I42" s="933">
        <f>IFERROR(IF(Medewerker!M44="",VLOOKUP($B42,Di!$B$13:$E$63,3,FALSE),Medewerker!M44),"")</f>
        <v/>
      </c>
      <c r="J42" s="933">
        <f>IFERROR(IF(Medewerker!M44="",VLOOKUP($B42,Di!$B$13:$E$63,4,FALSE),Medewerker!M44),"")</f>
        <v/>
      </c>
      <c r="K42" s="934">
        <f>IF(J42="OA",0,IF(J42="TA",0,IF(J42="VRIJ",0,IF(J42="ST",0,IFERROR(IF(J42="","",(J42/J42)*VLOOKUP($B42,Di!$B$13:$AV$63,47,FALSE)/24),MAX(IFERROR((VLOOKUP($B42,Di!$B$13:$AV$63,47,FALSE)/24),0),Medewerker!E44/120))))))</f>
        <v/>
      </c>
      <c r="L42" s="240" t="n"/>
      <c r="M42" s="933">
        <f>IFERROR(IF(Medewerker!Q44="",VLOOKUP($B42,Wo!$B$13:$E$63,3,FALSE),Medewerker!Q44),"")</f>
        <v/>
      </c>
      <c r="N42" s="933">
        <f>IFERROR(IF(Medewerker!Q44="",VLOOKUP($B42,Wo!$B$13:$E$63,4,FALSE),Medewerker!Q44),"")</f>
        <v/>
      </c>
      <c r="O42" s="934">
        <f>IF(N42="OA",0,IF(N42="TA",0,IF(N42="VRIJ",0,IF(N42="ST",0,IFERROR(IF(N42="","",(N42/N42)*VLOOKUP($B42,Wo!$B$13:$AV$63,47,FALSE)/24),MAX(IFERROR((VLOOKUP($B42,Wo!$B$13:$AV$63,47,FALSE)/24),0),Medewerker!E44/120))))))</f>
        <v/>
      </c>
      <c r="P42" s="240" t="n"/>
      <c r="Q42" s="933">
        <f>IFERROR(IF(Medewerker!U44="",VLOOKUP($B42,Do!$B$13:$E$63,3,FALSE),Medewerker!U44),"")</f>
        <v/>
      </c>
      <c r="R42" s="933">
        <f>IFERROR(IF(Medewerker!U44="",VLOOKUP($B42,Do!$B$13:$E$63,4,FALSE),Medewerker!U44),"")</f>
        <v/>
      </c>
      <c r="S42" s="934">
        <f>IF(R42="OA",0,IF(R42="TA",0,IF(R42="VRIJ",0,IF(R42="ST",0,IFERROR(IF(R42="","",(R42/R42)*VLOOKUP($B42,Do!$B$13:$AV$63,47,FALSE)/24),MAX(IFERROR((VLOOKUP($B42,Do!$B$13:$AV$63,47,FALSE)/24),0),Medewerker!E44/120))))))</f>
        <v/>
      </c>
      <c r="T42" s="240" t="n"/>
      <c r="U42" s="933">
        <f>IFERROR(IF(Medewerker!Y44="",VLOOKUP($B42,Vr!$B$13:$E$63,3,FALSE),Medewerker!Y44),"")</f>
        <v/>
      </c>
      <c r="V42" s="933">
        <f>IFERROR(IF(Medewerker!Y44="",VLOOKUP($B42,Vr!$B$13:$E$63,4,FALSE),Medewerker!Y44),"")</f>
        <v/>
      </c>
      <c r="W42" s="934">
        <f>IF(V42="OA",0,IF(V42="TA",0,IF(V42="VRIJ",0,IF(V42="ST",0,IFERROR(IF(V42="","",(V42/V42)*VLOOKUP($B42,Vr!$B$13:$AV$63,47,FALSE)/24),MAX(IFERROR((VLOOKUP($B42,Vr!$B$13:$AV$63,47,FALSE)/24),0),Medewerker!E44/120))))))</f>
        <v/>
      </c>
      <c r="X42" s="240" t="n"/>
      <c r="Y42" s="933">
        <f>IFERROR(IF(Medewerker!AC44="",VLOOKUP($B42,Za!$B$13:$E$63,3,FALSE),Medewerker!AC44),"")</f>
        <v/>
      </c>
      <c r="Z42" s="933">
        <f>IFERROR(IF(Medewerker!AC44="",VLOOKUP($B42,Za!$B$13:$E$63,4,FALSE),Medewerker!AC44),"")</f>
        <v/>
      </c>
      <c r="AA42" s="934">
        <f>IF(Z42="OA",0,IF(Z42="TA",0,IF(Z42="VRIJ",0,IF(Z42="ST",0,IFERROR(IF(Z42="","",(Z42/Z42)*VLOOKUP($B42,Za!$B$13:$AV$63,47,FALSE)/24),MAX(IFERROR((VLOOKUP($B42,Za!$B$13:$AV$63,47,FALSE)/24),0),IF(COUNTIF(E42:V42,"ZIEK")&gt;9,0,IF(COUNTIF(E42:V42,"VAK")&gt;9,0,Medewerker!E44/120))))))))</f>
        <v/>
      </c>
      <c r="AB42" s="240" t="n"/>
      <c r="AC42" s="933">
        <f>IFERROR(IF(Medewerker!AG44="",VLOOKUP($B42,Zo!$B$13:$E$63,3,FALSE),Medewerker!AG44),"")</f>
        <v/>
      </c>
      <c r="AD42" s="933">
        <f>IFERROR(IF(Medewerker!AG44="",VLOOKUP($B42,Zo!$B$13:$E$63,4,FALSE),Medewerker!AG44),"")</f>
        <v/>
      </c>
      <c r="AE42" s="934">
        <f>IF(AD42="OA",0,IF(AD42="TA",0,IF(AD42="VRIJ",0,IF(AD42="ST",0,IFERROR(IF(AD42="","",(AD42/AD42)*VLOOKUP($B42,Zo!$B$13:$AV$63,47,FALSE)/24),MAX(IFERROR((VLOOKUP($B42,Zo!$B$13:$AV$63,47,FALSE)/24),0),IF(COUNTIF(E42:Z42,"ZIEK")&gt;9,0,IF(COUNTIF(E42:Z42,"VAK")&gt;9,0,Medewerker!E44/120))))))))</f>
        <v/>
      </c>
      <c r="AF42" s="240" t="n"/>
      <c r="AG42" s="935">
        <f>SUM(G42,K42,O42,S42,W42,AA42,AE42)</f>
        <v/>
      </c>
      <c r="AH42" s="532">
        <f>COUNT(G42,K42,O42,S42,W42,AA42,AE42)-(COUNTIF(E42:AD42,"Vrij")/2)</f>
        <v/>
      </c>
      <c r="AI42" s="936">
        <f>Planning!AG42*24-Medewerker!E44</f>
        <v/>
      </c>
      <c r="AJ42" s="254">
        <f>IF(MAX(G42,K42,O42,S42,W42,AA42,AE42)*24&gt;Instellingen!$I$8,"nee","ja")</f>
        <v/>
      </c>
      <c r="AK42" s="254">
        <f>IF(AG42*24&gt;Instellingen!$I$9,"nee","ja")</f>
        <v/>
      </c>
    </row>
    <row r="43" ht="14.25" customHeight="1">
      <c r="A43" s="78">
        <f>IF(B43="",0,MAX($A$6:A42)+1)</f>
        <v/>
      </c>
      <c r="B43" s="241">
        <f>IF(Medewerker!C45="","",Medewerker!C45)</f>
        <v/>
      </c>
      <c r="C43" s="238">
        <f>Medewerker!AI45</f>
        <v/>
      </c>
      <c r="D43" s="240" t="n"/>
      <c r="E43" s="932">
        <f>IFERROR(IF(Medewerker!I45="",VLOOKUP($B43,Ma!$B$13:$E$63,3,FALSE),Medewerker!I45),"")</f>
        <v/>
      </c>
      <c r="F43" s="933">
        <f>IFERROR(IF(Medewerker!I45="",VLOOKUP($B43,Ma!$B$13:$E$63,4,FALSE),Medewerker!I45),"")</f>
        <v/>
      </c>
      <c r="G43" s="934">
        <f>IF(F43="OA",0,IF(F43="TA",0,IF(F43="VRIJ",0,IF(F43="ST",0,IFERROR(IF(F43="","",(F43/F43)*VLOOKUP($B43,Ma!$B$13:$AV$63,47,FALSE)/24),MAX(IFERROR((VLOOKUP($B43,Ma!$B$13:$AV$63,47,FALSE)/24),0),Medewerker!E45/120))))))</f>
        <v/>
      </c>
      <c r="H43" s="240" t="n"/>
      <c r="I43" s="933">
        <f>IFERROR(IF(Medewerker!M45="",VLOOKUP($B43,Di!$B$13:$E$63,3,FALSE),Medewerker!M45),"")</f>
        <v/>
      </c>
      <c r="J43" s="933">
        <f>IFERROR(IF(Medewerker!M45="",VLOOKUP($B43,Di!$B$13:$E$63,4,FALSE),Medewerker!M45),"")</f>
        <v/>
      </c>
      <c r="K43" s="934">
        <f>IF(J43="OA",0,IF(J43="TA",0,IF(J43="VRIJ",0,IF(J43="ST",0,IFERROR(IF(J43="","",(J43/J43)*VLOOKUP($B43,Di!$B$13:$AV$63,47,FALSE)/24),MAX(IFERROR((VLOOKUP($B43,Di!$B$13:$AV$63,47,FALSE)/24),0),Medewerker!E45/120))))))</f>
        <v/>
      </c>
      <c r="L43" s="240" t="n"/>
      <c r="M43" s="933">
        <f>IFERROR(IF(Medewerker!Q45="",VLOOKUP($B43,Wo!$B$13:$E$63,3,FALSE),Medewerker!Q45),"")</f>
        <v/>
      </c>
      <c r="N43" s="933">
        <f>IFERROR(IF(Medewerker!Q45="",VLOOKUP($B43,Wo!$B$13:$E$63,4,FALSE),Medewerker!Q45),"")</f>
        <v/>
      </c>
      <c r="O43" s="934">
        <f>IF(N43="OA",0,IF(N43="TA",0,IF(N43="VRIJ",0,IF(N43="ST",0,IFERROR(IF(N43="","",(N43/N43)*VLOOKUP($B43,Wo!$B$13:$AV$63,47,FALSE)/24),MAX(IFERROR((VLOOKUP($B43,Wo!$B$13:$AV$63,47,FALSE)/24),0),Medewerker!E45/120))))))</f>
        <v/>
      </c>
      <c r="P43" s="240" t="n"/>
      <c r="Q43" s="933">
        <f>IFERROR(IF(Medewerker!U45="",VLOOKUP($B43,Do!$B$13:$E$63,3,FALSE),Medewerker!U45),"")</f>
        <v/>
      </c>
      <c r="R43" s="933">
        <f>IFERROR(IF(Medewerker!U45="",VLOOKUP($B43,Do!$B$13:$E$63,4,FALSE),Medewerker!U45),"")</f>
        <v/>
      </c>
      <c r="S43" s="934">
        <f>IF(R43="OA",0,IF(R43="TA",0,IF(R43="VRIJ",0,IF(R43="ST",0,IFERROR(IF(R43="","",(R43/R43)*VLOOKUP($B43,Do!$B$13:$AV$63,47,FALSE)/24),MAX(IFERROR((VLOOKUP($B43,Do!$B$13:$AV$63,47,FALSE)/24),0),Medewerker!E45/120))))))</f>
        <v/>
      </c>
      <c r="T43" s="240" t="n"/>
      <c r="U43" s="933">
        <f>IFERROR(IF(Medewerker!Y45="",VLOOKUP($B43,Vr!$B$13:$E$63,3,FALSE),Medewerker!Y45),"")</f>
        <v/>
      </c>
      <c r="V43" s="933">
        <f>IFERROR(IF(Medewerker!Y45="",VLOOKUP($B43,Vr!$B$13:$E$63,4,FALSE),Medewerker!Y45),"")</f>
        <v/>
      </c>
      <c r="W43" s="934">
        <f>IF(V43="OA",0,IF(V43="TA",0,IF(V43="VRIJ",0,IF(V43="ST",0,IFERROR(IF(V43="","",(V43/V43)*VLOOKUP($B43,Vr!$B$13:$AV$63,47,FALSE)/24),MAX(IFERROR((VLOOKUP($B43,Vr!$B$13:$AV$63,47,FALSE)/24),0),Medewerker!E45/120))))))</f>
        <v/>
      </c>
      <c r="X43" s="240" t="n"/>
      <c r="Y43" s="933">
        <f>IFERROR(IF(Medewerker!AC45="",VLOOKUP($B43,Za!$B$13:$E$63,3,FALSE),Medewerker!AC45),"")</f>
        <v/>
      </c>
      <c r="Z43" s="933">
        <f>IFERROR(IF(Medewerker!AC45="",VLOOKUP($B43,Za!$B$13:$E$63,4,FALSE),Medewerker!AC45),"")</f>
        <v/>
      </c>
      <c r="AA43" s="934">
        <f>IF(Z43="OA",0,IF(Z43="TA",0,IF(Z43="VRIJ",0,IF(Z43="ST",0,IFERROR(IF(Z43="","",(Z43/Z43)*VLOOKUP($B43,Za!$B$13:$AV$63,47,FALSE)/24),MAX(IFERROR((VLOOKUP($B43,Za!$B$13:$AV$63,47,FALSE)/24),0),IF(COUNTIF(E43:V43,"ZIEK")&gt;9,0,IF(COUNTIF(E43:V43,"VAK")&gt;9,0,Medewerker!E45/120))))))))</f>
        <v/>
      </c>
      <c r="AB43" s="240" t="n"/>
      <c r="AC43" s="933">
        <f>IFERROR(IF(Medewerker!AG45="",VLOOKUP($B43,Zo!$B$13:$E$63,3,FALSE),Medewerker!AG45),"")</f>
        <v/>
      </c>
      <c r="AD43" s="933">
        <f>IFERROR(IF(Medewerker!AG45="",VLOOKUP($B43,Zo!$B$13:$E$63,4,FALSE),Medewerker!AG45),"")</f>
        <v/>
      </c>
      <c r="AE43" s="934">
        <f>IF(AD43="OA",0,IF(AD43="TA",0,IF(AD43="VRIJ",0,IF(AD43="ST",0,IFERROR(IF(AD43="","",(AD43/AD43)*VLOOKUP($B43,Zo!$B$13:$AV$63,47,FALSE)/24),MAX(IFERROR((VLOOKUP($B43,Zo!$B$13:$AV$63,47,FALSE)/24),0),IF(COUNTIF(E43:Z43,"ZIEK")&gt;9,0,IF(COUNTIF(E43:Z43,"VAK")&gt;9,0,Medewerker!E45/120))))))))</f>
        <v/>
      </c>
      <c r="AF43" s="240" t="n"/>
      <c r="AG43" s="935">
        <f>SUM(G43,K43,O43,S43,W43,AA43,AE43)</f>
        <v/>
      </c>
      <c r="AH43" s="532">
        <f>COUNT(G43,K43,O43,S43,W43,AA43,AE43)-(COUNTIF(E43:AD43,"Vrij")/2)</f>
        <v/>
      </c>
      <c r="AI43" s="936">
        <f>Planning!AG43*24-Medewerker!E45</f>
        <v/>
      </c>
      <c r="AJ43" s="254">
        <f>IF(MAX(G43,K43,O43,S43,W43,AA43,AE43)*24&gt;Instellingen!$I$8,"nee","ja")</f>
        <v/>
      </c>
      <c r="AK43" s="254">
        <f>IF(AG43*24&gt;Instellingen!$I$9,"nee","ja")</f>
        <v/>
      </c>
    </row>
    <row r="44" ht="14.25" customHeight="1">
      <c r="A44" s="78">
        <f>IF(B44="",0,MAX($A$6:A43)+1)</f>
        <v/>
      </c>
      <c r="B44" s="241">
        <f>IF(Medewerker!C46="","",Medewerker!C46)</f>
        <v/>
      </c>
      <c r="C44" s="238">
        <f>Medewerker!AI46</f>
        <v/>
      </c>
      <c r="D44" s="240" t="n"/>
      <c r="E44" s="932">
        <f>IFERROR(IF(Medewerker!I46="",VLOOKUP($B44,Ma!$B$13:$E$63,3,FALSE),Medewerker!I46),"")</f>
        <v/>
      </c>
      <c r="F44" s="933">
        <f>IFERROR(IF(Medewerker!I46="",VLOOKUP($B44,Ma!$B$13:$E$63,4,FALSE),Medewerker!I46),"")</f>
        <v/>
      </c>
      <c r="G44" s="934">
        <f>IF(F44="OA",0,IF(F44="TA",0,IF(F44="VRIJ",0,IF(F44="ST",0,IFERROR(IF(F44="","",(F44/F44)*VLOOKUP($B44,Ma!$B$13:$AV$63,47,FALSE)/24),MAX(IFERROR((VLOOKUP($B44,Ma!$B$13:$AV$63,47,FALSE)/24),0),Medewerker!E46/120))))))</f>
        <v/>
      </c>
      <c r="H44" s="240" t="n"/>
      <c r="I44" s="933">
        <f>IFERROR(IF(Medewerker!M46="",VLOOKUP($B44,Di!$B$13:$E$63,3,FALSE),Medewerker!M46),"")</f>
        <v/>
      </c>
      <c r="J44" s="933">
        <f>IFERROR(IF(Medewerker!M46="",VLOOKUP($B44,Di!$B$13:$E$63,4,FALSE),Medewerker!M46),"")</f>
        <v/>
      </c>
      <c r="K44" s="934">
        <f>IF(J44="OA",0,IF(J44="TA",0,IF(J44="VRIJ",0,IF(J44="ST",0,IFERROR(IF(J44="","",(J44/J44)*VLOOKUP($B44,Di!$B$13:$AV$63,47,FALSE)/24),MAX(IFERROR((VLOOKUP($B44,Di!$B$13:$AV$63,47,FALSE)/24),0),Medewerker!E46/120))))))</f>
        <v/>
      </c>
      <c r="L44" s="240" t="n"/>
      <c r="M44" s="933">
        <f>IFERROR(IF(Medewerker!Q46="",VLOOKUP($B44,Wo!$B$13:$E$63,3,FALSE),Medewerker!Q46),"")</f>
        <v/>
      </c>
      <c r="N44" s="933">
        <f>IFERROR(IF(Medewerker!Q46="",VLOOKUP($B44,Wo!$B$13:$E$63,4,FALSE),Medewerker!Q46),"")</f>
        <v/>
      </c>
      <c r="O44" s="934">
        <f>IF(N44="OA",0,IF(N44="TA",0,IF(N44="VRIJ",0,IF(N44="ST",0,IFERROR(IF(N44="","",(N44/N44)*VLOOKUP($B44,Wo!$B$13:$AV$63,47,FALSE)/24),MAX(IFERROR((VLOOKUP($B44,Wo!$B$13:$AV$63,47,FALSE)/24),0),Medewerker!E46/120))))))</f>
        <v/>
      </c>
      <c r="P44" s="240" t="n"/>
      <c r="Q44" s="933">
        <f>IFERROR(IF(Medewerker!U46="",VLOOKUP($B44,Do!$B$13:$E$63,3,FALSE),Medewerker!U46),"")</f>
        <v/>
      </c>
      <c r="R44" s="933">
        <f>IFERROR(IF(Medewerker!U46="",VLOOKUP($B44,Do!$B$13:$E$63,4,FALSE),Medewerker!U46),"")</f>
        <v/>
      </c>
      <c r="S44" s="934">
        <f>IF(R44="OA",0,IF(R44="TA",0,IF(R44="VRIJ",0,IF(R44="ST",0,IFERROR(IF(R44="","",(R44/R44)*VLOOKUP($B44,Do!$B$13:$AV$63,47,FALSE)/24),MAX(IFERROR((VLOOKUP($B44,Do!$B$13:$AV$63,47,FALSE)/24),0),Medewerker!E46/120))))))</f>
        <v/>
      </c>
      <c r="T44" s="240" t="n"/>
      <c r="U44" s="933">
        <f>IFERROR(IF(Medewerker!Y46="",VLOOKUP($B44,Vr!$B$13:$E$63,3,FALSE),Medewerker!Y46),"")</f>
        <v/>
      </c>
      <c r="V44" s="933">
        <f>IFERROR(IF(Medewerker!Y46="",VLOOKUP($B44,Vr!$B$13:$E$63,4,FALSE),Medewerker!Y46),"")</f>
        <v/>
      </c>
      <c r="W44" s="934">
        <f>IF(V44="OA",0,IF(V44="TA",0,IF(V44="VRIJ",0,IF(V44="ST",0,IFERROR(IF(V44="","",(V44/V44)*VLOOKUP($B44,Vr!$B$13:$AV$63,47,FALSE)/24),MAX(IFERROR((VLOOKUP($B44,Vr!$B$13:$AV$63,47,FALSE)/24),0),Medewerker!E46/120))))))</f>
        <v/>
      </c>
      <c r="X44" s="240" t="n"/>
      <c r="Y44" s="933">
        <f>IFERROR(IF(Medewerker!AC46="",VLOOKUP($B44,Za!$B$13:$E$63,3,FALSE),Medewerker!AC46),"")</f>
        <v/>
      </c>
      <c r="Z44" s="933">
        <f>IFERROR(IF(Medewerker!AC46="",VLOOKUP($B44,Za!$B$13:$E$63,4,FALSE),Medewerker!AC46),"")</f>
        <v/>
      </c>
      <c r="AA44" s="934">
        <f>IF(Z44="OA",0,IF(Z44="TA",0,IF(Z44="VRIJ",0,IF(Z44="ST",0,IFERROR(IF(Z44="","",(Z44/Z44)*VLOOKUP($B44,Za!$B$13:$AV$63,47,FALSE)/24),MAX(IFERROR((VLOOKUP($B44,Za!$B$13:$AV$63,47,FALSE)/24),0),IF(COUNTIF(E44:V44,"ZIEK")&gt;9,0,IF(COUNTIF(E44:V44,"VAK")&gt;9,0,Medewerker!E46/120))))))))</f>
        <v/>
      </c>
      <c r="AB44" s="240" t="n"/>
      <c r="AC44" s="933">
        <f>IFERROR(IF(Medewerker!AG46="",VLOOKUP($B44,Zo!$B$13:$E$63,3,FALSE),Medewerker!AG46),"")</f>
        <v/>
      </c>
      <c r="AD44" s="933">
        <f>IFERROR(IF(Medewerker!AG46="",VLOOKUP($B44,Zo!$B$13:$E$63,4,FALSE),Medewerker!AG46),"")</f>
        <v/>
      </c>
      <c r="AE44" s="934">
        <f>IF(AD44="OA",0,IF(AD44="TA",0,IF(AD44="VRIJ",0,IF(AD44="ST",0,IFERROR(IF(AD44="","",(AD44/AD44)*VLOOKUP($B44,Zo!$B$13:$AV$63,47,FALSE)/24),MAX(IFERROR((VLOOKUP($B44,Zo!$B$13:$AV$63,47,FALSE)/24),0),IF(COUNTIF(E44:Z44,"ZIEK")&gt;9,0,IF(COUNTIF(E44:Z44,"VAK")&gt;9,0,Medewerker!E46/120))))))))</f>
        <v/>
      </c>
      <c r="AF44" s="240" t="n"/>
      <c r="AG44" s="935">
        <f>SUM(G44,K44,O44,S44,W44,AA44,AE44)</f>
        <v/>
      </c>
      <c r="AH44" s="532">
        <f>COUNT(G44,K44,O44,S44,W44,AA44,AE44)-(COUNTIF(E44:AD44,"Vrij")/2)</f>
        <v/>
      </c>
      <c r="AI44" s="936">
        <f>Planning!AG44*24-Medewerker!E46</f>
        <v/>
      </c>
      <c r="AJ44" s="254">
        <f>IF(MAX(G44,K44,O44,S44,W44,AA44,AE44)*24&gt;Instellingen!$I$8,"nee","ja")</f>
        <v/>
      </c>
      <c r="AK44" s="254">
        <f>IF(AG44*24&gt;Instellingen!$I$9,"nee","ja")</f>
        <v/>
      </c>
    </row>
    <row r="45" ht="14.25" customHeight="1">
      <c r="A45" s="78">
        <f>IF(B45="",0,MAX($A$6:A44)+1)</f>
        <v/>
      </c>
      <c r="B45" s="241">
        <f>IF(Medewerker!C47="","",Medewerker!C47)</f>
        <v/>
      </c>
      <c r="C45" s="238">
        <f>Medewerker!AI47</f>
        <v/>
      </c>
      <c r="D45" s="240" t="n"/>
      <c r="E45" s="932">
        <f>IFERROR(IF(Medewerker!I47="",VLOOKUP($B45,Ma!$B$13:$E$63,3,FALSE),Medewerker!I47),"")</f>
        <v/>
      </c>
      <c r="F45" s="933">
        <f>IFERROR(IF(Medewerker!I47="",VLOOKUP($B45,Ma!$B$13:$E$63,4,FALSE),Medewerker!I47),"")</f>
        <v/>
      </c>
      <c r="G45" s="934">
        <f>IF(F45="OA",0,IF(F45="TA",0,IF(F45="VRIJ",0,IF(F45="ST",0,IFERROR(IF(F45="","",(F45/F45)*VLOOKUP($B45,Ma!$B$13:$AV$63,47,FALSE)/24),MAX(IFERROR((VLOOKUP($B45,Ma!$B$13:$AV$63,47,FALSE)/24),0),Medewerker!E47/120))))))</f>
        <v/>
      </c>
      <c r="H45" s="240" t="n"/>
      <c r="I45" s="933">
        <f>IFERROR(IF(Medewerker!M47="",VLOOKUP($B45,Di!$B$13:$E$63,3,FALSE),Medewerker!M47),"")</f>
        <v/>
      </c>
      <c r="J45" s="933">
        <f>IFERROR(IF(Medewerker!M47="",VLOOKUP($B45,Di!$B$13:$E$63,4,FALSE),Medewerker!M47),"")</f>
        <v/>
      </c>
      <c r="K45" s="934">
        <f>IF(J45="OA",0,IF(J45="TA",0,IF(J45="VRIJ",0,IF(J45="ST",0,IFERROR(IF(J45="","",(J45/J45)*VLOOKUP($B45,Di!$B$13:$AV$63,47,FALSE)/24),MAX(IFERROR((VLOOKUP($B45,Di!$B$13:$AV$63,47,FALSE)/24),0),Medewerker!E47/120))))))</f>
        <v/>
      </c>
      <c r="L45" s="240" t="n"/>
      <c r="M45" s="933">
        <f>IFERROR(IF(Medewerker!Q47="",VLOOKUP($B45,Wo!$B$13:$E$63,3,FALSE),Medewerker!Q47),"")</f>
        <v/>
      </c>
      <c r="N45" s="933">
        <f>IFERROR(IF(Medewerker!Q47="",VLOOKUP($B45,Wo!$B$13:$E$63,4,FALSE),Medewerker!Q47),"")</f>
        <v/>
      </c>
      <c r="O45" s="934">
        <f>IF(N45="OA",0,IF(N45="TA",0,IF(N45="VRIJ",0,IF(N45="ST",0,IFERROR(IF(N45="","",(N45/N45)*VLOOKUP($B45,Wo!$B$13:$AV$63,47,FALSE)/24),MAX(IFERROR((VLOOKUP($B45,Wo!$B$13:$AV$63,47,FALSE)/24),0),Medewerker!E47/120))))))</f>
        <v/>
      </c>
      <c r="P45" s="240" t="n"/>
      <c r="Q45" s="933">
        <f>IFERROR(IF(Medewerker!U47="",VLOOKUP($B45,Do!$B$13:$E$63,3,FALSE),Medewerker!U47),"")</f>
        <v/>
      </c>
      <c r="R45" s="933">
        <f>IFERROR(IF(Medewerker!U47="",VLOOKUP($B45,Do!$B$13:$E$63,4,FALSE),Medewerker!U47),"")</f>
        <v/>
      </c>
      <c r="S45" s="934">
        <f>IF(R45="OA",0,IF(R45="TA",0,IF(R45="VRIJ",0,IF(R45="ST",0,IFERROR(IF(R45="","",(R45/R45)*VLOOKUP($B45,Do!$B$13:$AV$63,47,FALSE)/24),MAX(IFERROR((VLOOKUP($B45,Do!$B$13:$AV$63,47,FALSE)/24),0),Medewerker!E47/120))))))</f>
        <v/>
      </c>
      <c r="T45" s="240" t="n"/>
      <c r="U45" s="933">
        <f>IFERROR(IF(Medewerker!Y47="",VLOOKUP($B45,Vr!$B$13:$E$63,3,FALSE),Medewerker!Y47),"")</f>
        <v/>
      </c>
      <c r="V45" s="933">
        <f>IFERROR(IF(Medewerker!Y47="",VLOOKUP($B45,Vr!$B$13:$E$63,4,FALSE),Medewerker!Y47),"")</f>
        <v/>
      </c>
      <c r="W45" s="934">
        <f>IF(V45="OA",0,IF(V45="TA",0,IF(V45="VRIJ",0,IF(V45="ST",0,IFERROR(IF(V45="","",(V45/V45)*VLOOKUP($B45,Vr!$B$13:$AV$63,47,FALSE)/24),MAX(IFERROR((VLOOKUP($B45,Vr!$B$13:$AV$63,47,FALSE)/24),0),Medewerker!E47/120))))))</f>
        <v/>
      </c>
      <c r="X45" s="240" t="n"/>
      <c r="Y45" s="933">
        <f>IFERROR(IF(Medewerker!AC47="",VLOOKUP($B45,Za!$B$13:$E$63,3,FALSE),Medewerker!AC47),"")</f>
        <v/>
      </c>
      <c r="Z45" s="933">
        <f>IFERROR(IF(Medewerker!AC47="",VLOOKUP($B45,Za!$B$13:$E$63,4,FALSE),Medewerker!AC47),"")</f>
        <v/>
      </c>
      <c r="AA45" s="934">
        <f>IF(Z45="OA",0,IF(Z45="TA",0,IF(Z45="VRIJ",0,IF(Z45="ST",0,IFERROR(IF(Z45="","",(Z45/Z45)*VLOOKUP($B45,Za!$B$13:$AV$63,47,FALSE)/24),MAX(IFERROR((VLOOKUP($B45,Za!$B$13:$AV$63,47,FALSE)/24),0),IF(COUNTIF(E45:V45,"ZIEK")&gt;9,0,IF(COUNTIF(E45:V45,"VAK")&gt;9,0,Medewerker!E47/120))))))))</f>
        <v/>
      </c>
      <c r="AB45" s="240" t="n"/>
      <c r="AC45" s="933">
        <f>IFERROR(IF(Medewerker!AG47="",VLOOKUP($B45,Zo!$B$13:$E$63,3,FALSE),Medewerker!AG47),"")</f>
        <v/>
      </c>
      <c r="AD45" s="933">
        <f>IFERROR(IF(Medewerker!AG47="",VLOOKUP($B45,Zo!$B$13:$E$63,4,FALSE),Medewerker!AG47),"")</f>
        <v/>
      </c>
      <c r="AE45" s="934">
        <f>IF(AD45="OA",0,IF(AD45="TA",0,IF(AD45="VRIJ",0,IF(AD45="ST",0,IFERROR(IF(AD45="","",(AD45/AD45)*VLOOKUP($B45,Zo!$B$13:$AV$63,47,FALSE)/24),MAX(IFERROR((VLOOKUP($B45,Zo!$B$13:$AV$63,47,FALSE)/24),0),IF(COUNTIF(E45:Z45,"ZIEK")&gt;9,0,IF(COUNTIF(E45:Z45,"VAK")&gt;9,0,Medewerker!E47/120))))))))</f>
        <v/>
      </c>
      <c r="AF45" s="240" t="n"/>
      <c r="AG45" s="935">
        <f>SUM(G45,K45,O45,S45,W45,AA45,AE45)</f>
        <v/>
      </c>
      <c r="AH45" s="532">
        <f>COUNT(G45,K45,O45,S45,W45,AA45,AE45)-(COUNTIF(E45:AD45,"Vrij")/2)</f>
        <v/>
      </c>
      <c r="AI45" s="936">
        <f>Planning!AG45*24-Medewerker!E47</f>
        <v/>
      </c>
      <c r="AJ45" s="254">
        <f>IF(MAX(G45,K45,O45,S45,W45,AA45,AE45)*24&gt;Instellingen!$I$8,"nee","ja")</f>
        <v/>
      </c>
      <c r="AK45" s="254">
        <f>IF(AG45*24&gt;Instellingen!$I$9,"nee","ja")</f>
        <v/>
      </c>
    </row>
    <row r="46" ht="14.25" customHeight="1">
      <c r="A46" s="78">
        <f>IF(B46="",0,MAX($A$6:A45)+1)</f>
        <v/>
      </c>
      <c r="B46" s="241">
        <f>IF(Medewerker!C48="","",Medewerker!C48)</f>
        <v/>
      </c>
      <c r="C46" s="238">
        <f>Medewerker!AI48</f>
        <v/>
      </c>
      <c r="D46" s="240" t="n"/>
      <c r="E46" s="932">
        <f>IFERROR(IF(Medewerker!I48="",VLOOKUP($B46,Ma!$B$13:$E$63,3,FALSE),Medewerker!I48),"")</f>
        <v/>
      </c>
      <c r="F46" s="933">
        <f>IFERROR(IF(Medewerker!I48="",VLOOKUP($B46,Ma!$B$13:$E$63,4,FALSE),Medewerker!I48),"")</f>
        <v/>
      </c>
      <c r="G46" s="934">
        <f>IF(F46="OA",0,IF(F46="TA",0,IF(F46="VRIJ",0,IF(F46="ST",0,IFERROR(IF(F46="","",(F46/F46)*VLOOKUP($B46,Ma!$B$13:$AV$63,47,FALSE)/24),MAX(IFERROR((VLOOKUP($B46,Ma!$B$13:$AV$63,47,FALSE)/24),0),Medewerker!E48/120))))))</f>
        <v/>
      </c>
      <c r="H46" s="240" t="n"/>
      <c r="I46" s="933">
        <f>IFERROR(IF(Medewerker!M48="",VLOOKUP($B46,Di!$B$13:$E$63,3,FALSE),Medewerker!M48),"")</f>
        <v/>
      </c>
      <c r="J46" s="933">
        <f>IFERROR(IF(Medewerker!M48="",VLOOKUP($B46,Di!$B$13:$E$63,4,FALSE),Medewerker!M48),"")</f>
        <v/>
      </c>
      <c r="K46" s="934">
        <f>IF(J46="OA",0,IF(J46="TA",0,IF(J46="VRIJ",0,IF(J46="ST",0,IFERROR(IF(J46="","",(J46/J46)*VLOOKUP($B46,Di!$B$13:$AV$63,47,FALSE)/24),MAX(IFERROR((VLOOKUP($B46,Di!$B$13:$AV$63,47,FALSE)/24),0),Medewerker!E48/120))))))</f>
        <v/>
      </c>
      <c r="L46" s="240" t="n"/>
      <c r="M46" s="933">
        <f>IFERROR(IF(Medewerker!Q48="",VLOOKUP($B46,Wo!$B$13:$E$63,3,FALSE),Medewerker!Q48),"")</f>
        <v/>
      </c>
      <c r="N46" s="933">
        <f>IFERROR(IF(Medewerker!Q48="",VLOOKUP($B46,Wo!$B$13:$E$63,4,FALSE),Medewerker!Q48),"")</f>
        <v/>
      </c>
      <c r="O46" s="934">
        <f>IF(N46="OA",0,IF(N46="TA",0,IF(N46="VRIJ",0,IF(N46="ST",0,IFERROR(IF(N46="","",(N46/N46)*VLOOKUP($B46,Wo!$B$13:$AV$63,47,FALSE)/24),MAX(IFERROR((VLOOKUP($B46,Wo!$B$13:$AV$63,47,FALSE)/24),0),Medewerker!E48/120))))))</f>
        <v/>
      </c>
      <c r="P46" s="240" t="n"/>
      <c r="Q46" s="933">
        <f>IFERROR(IF(Medewerker!U48="",VLOOKUP($B46,Do!$B$13:$E$63,3,FALSE),Medewerker!U48),"")</f>
        <v/>
      </c>
      <c r="R46" s="933">
        <f>IFERROR(IF(Medewerker!U48="",VLOOKUP($B46,Do!$B$13:$E$63,4,FALSE),Medewerker!U48),"")</f>
        <v/>
      </c>
      <c r="S46" s="934">
        <f>IF(R46="OA",0,IF(R46="TA",0,IF(R46="VRIJ",0,IF(R46="ST",0,IFERROR(IF(R46="","",(R46/R46)*VLOOKUP($B46,Do!$B$13:$AV$63,47,FALSE)/24),MAX(IFERROR((VLOOKUP($B46,Do!$B$13:$AV$63,47,FALSE)/24),0),Medewerker!E48/120))))))</f>
        <v/>
      </c>
      <c r="T46" s="240" t="n"/>
      <c r="U46" s="933">
        <f>IFERROR(IF(Medewerker!Y48="",VLOOKUP($B46,Vr!$B$13:$E$63,3,FALSE),Medewerker!Y48),"")</f>
        <v/>
      </c>
      <c r="V46" s="933">
        <f>IFERROR(IF(Medewerker!Y48="",VLOOKUP($B46,Vr!$B$13:$E$63,4,FALSE),Medewerker!Y48),"")</f>
        <v/>
      </c>
      <c r="W46" s="934">
        <f>IF(V46="OA",0,IF(V46="TA",0,IF(V46="VRIJ",0,IF(V46="ST",0,IFERROR(IF(V46="","",(V46/V46)*VLOOKUP($B46,Vr!$B$13:$AV$63,47,FALSE)/24),MAX(IFERROR((VLOOKUP($B46,Vr!$B$13:$AV$63,47,FALSE)/24),0),Medewerker!E48/120))))))</f>
        <v/>
      </c>
      <c r="X46" s="240" t="n"/>
      <c r="Y46" s="933">
        <f>IFERROR(IF(Medewerker!AC48="",VLOOKUP($B46,Za!$B$13:$E$63,3,FALSE),Medewerker!AC48),"")</f>
        <v/>
      </c>
      <c r="Z46" s="933">
        <f>IFERROR(IF(Medewerker!AC48="",VLOOKUP($B46,Za!$B$13:$E$63,4,FALSE),Medewerker!AC48),"")</f>
        <v/>
      </c>
      <c r="AA46" s="934">
        <f>IF(Z46="OA",0,IF(Z46="TA",0,IF(Z46="VRIJ",0,IF(Z46="ST",0,IFERROR(IF(Z46="","",(Z46/Z46)*VLOOKUP($B46,Za!$B$13:$AV$63,47,FALSE)/24),MAX(IFERROR((VLOOKUP($B46,Za!$B$13:$AV$63,47,FALSE)/24),0),IF(COUNTIF(E46:V46,"ZIEK")&gt;9,0,IF(COUNTIF(E46:V46,"VAK")&gt;9,0,Medewerker!E48/120))))))))</f>
        <v/>
      </c>
      <c r="AB46" s="240" t="n"/>
      <c r="AC46" s="933">
        <f>IFERROR(IF(Medewerker!AG48="",VLOOKUP($B46,Zo!$B$13:$E$63,3,FALSE),Medewerker!AG48),"")</f>
        <v/>
      </c>
      <c r="AD46" s="933">
        <f>IFERROR(IF(Medewerker!AG48="",VLOOKUP($B46,Zo!$B$13:$E$63,4,FALSE),Medewerker!AG48),"")</f>
        <v/>
      </c>
      <c r="AE46" s="934">
        <f>IF(AD46="OA",0,IF(AD46="TA",0,IF(AD46="VRIJ",0,IF(AD46="ST",0,IFERROR(IF(AD46="","",(AD46/AD46)*VLOOKUP($B46,Zo!$B$13:$AV$63,47,FALSE)/24),MAX(IFERROR((VLOOKUP($B46,Zo!$B$13:$AV$63,47,FALSE)/24),0),IF(COUNTIF(E46:Z46,"ZIEK")&gt;9,0,IF(COUNTIF(E46:Z46,"VAK")&gt;9,0,Medewerker!E48/120))))))))</f>
        <v/>
      </c>
      <c r="AF46" s="240" t="n"/>
      <c r="AG46" s="935">
        <f>SUM(G46,K46,O46,S46,W46,AA46,AE46)</f>
        <v/>
      </c>
      <c r="AH46" s="532">
        <f>COUNT(G46,K46,O46,S46,W46,AA46,AE46)-(COUNTIF(E46:AD46,"Vrij")/2)</f>
        <v/>
      </c>
      <c r="AI46" s="936">
        <f>Planning!AG46*24-Medewerker!E48</f>
        <v/>
      </c>
      <c r="AJ46" s="254">
        <f>IF(MAX(G46,K46,O46,S46,W46,AA46,AE46)*24&gt;Instellingen!$I$8,"nee","ja")</f>
        <v/>
      </c>
      <c r="AK46" s="254">
        <f>IF(AG46*24&gt;Instellingen!$I$9,"nee","ja")</f>
        <v/>
      </c>
    </row>
    <row r="47" ht="14.25" customHeight="1">
      <c r="A47" s="78">
        <f>IF(B47="",0,MAX($A$6:A46)+1)</f>
        <v/>
      </c>
      <c r="B47" s="241">
        <f>IF(Medewerker!C49="","",Medewerker!C49)</f>
        <v/>
      </c>
      <c r="C47" s="238">
        <f>Medewerker!AI49</f>
        <v/>
      </c>
      <c r="D47" s="240" t="n"/>
      <c r="E47" s="932">
        <f>IFERROR(IF(Medewerker!I49="",VLOOKUP($B47,Ma!$B$13:$E$63,3,FALSE),Medewerker!I49),"")</f>
        <v/>
      </c>
      <c r="F47" s="933">
        <f>IFERROR(IF(Medewerker!I49="",VLOOKUP($B47,Ma!$B$13:$E$63,4,FALSE),Medewerker!I49),"")</f>
        <v/>
      </c>
      <c r="G47" s="934">
        <f>IF(F47="OA",0,IF(F47="TA",0,IF(F47="VRIJ",0,IF(F47="ST",0,IFERROR(IF(F47="","",(F47/F47)*VLOOKUP($B47,Ma!$B$13:$AV$63,47,FALSE)/24),MAX(IFERROR((VLOOKUP($B47,Ma!$B$13:$AV$63,47,FALSE)/24),0),Medewerker!E49/120))))))</f>
        <v/>
      </c>
      <c r="H47" s="240" t="n"/>
      <c r="I47" s="933">
        <f>IFERROR(IF(Medewerker!M49="",VLOOKUP($B47,Di!$B$13:$E$63,3,FALSE),Medewerker!M49),"")</f>
        <v/>
      </c>
      <c r="J47" s="933">
        <f>IFERROR(IF(Medewerker!M49="",VLOOKUP($B47,Di!$B$13:$E$63,4,FALSE),Medewerker!M49),"")</f>
        <v/>
      </c>
      <c r="K47" s="934">
        <f>IF(J47="OA",0,IF(J47="TA",0,IF(J47="VRIJ",0,IF(J47="ST",0,IFERROR(IF(J47="","",(J47/J47)*VLOOKUP($B47,Di!$B$13:$AV$63,47,FALSE)/24),MAX(IFERROR((VLOOKUP($B47,Di!$B$13:$AV$63,47,FALSE)/24),0),Medewerker!E49/120))))))</f>
        <v/>
      </c>
      <c r="L47" s="240" t="n"/>
      <c r="M47" s="933">
        <f>IFERROR(IF(Medewerker!Q49="",VLOOKUP($B47,Wo!$B$13:$E$63,3,FALSE),Medewerker!Q49),"")</f>
        <v/>
      </c>
      <c r="N47" s="933">
        <f>IFERROR(IF(Medewerker!Q49="",VLOOKUP($B47,Wo!$B$13:$E$63,4,FALSE),Medewerker!Q49),"")</f>
        <v/>
      </c>
      <c r="O47" s="934">
        <f>IF(N47="OA",0,IF(N47="TA",0,IF(N47="VRIJ",0,IF(N47="ST",0,IFERROR(IF(N47="","",(N47/N47)*VLOOKUP($B47,Wo!$B$13:$AV$63,47,FALSE)/24),MAX(IFERROR((VLOOKUP($B47,Wo!$B$13:$AV$63,47,FALSE)/24),0),Medewerker!E49/120))))))</f>
        <v/>
      </c>
      <c r="P47" s="240" t="n"/>
      <c r="Q47" s="933">
        <f>IFERROR(IF(Medewerker!U49="",VLOOKUP($B47,Do!$B$13:$E$63,3,FALSE),Medewerker!U49),"")</f>
        <v/>
      </c>
      <c r="R47" s="933">
        <f>IFERROR(IF(Medewerker!U49="",VLOOKUP($B47,Do!$B$13:$E$63,4,FALSE),Medewerker!U49),"")</f>
        <v/>
      </c>
      <c r="S47" s="934">
        <f>IF(R47="OA",0,IF(R47="TA",0,IF(R47="VRIJ",0,IF(R47="ST",0,IFERROR(IF(R47="","",(R47/R47)*VLOOKUP($B47,Do!$B$13:$AV$63,47,FALSE)/24),MAX(IFERROR((VLOOKUP($B47,Do!$B$13:$AV$63,47,FALSE)/24),0),Medewerker!E49/120))))))</f>
        <v/>
      </c>
      <c r="T47" s="240" t="n"/>
      <c r="U47" s="933">
        <f>IFERROR(IF(Medewerker!Y49="",VLOOKUP($B47,Vr!$B$13:$E$63,3,FALSE),Medewerker!Y49),"")</f>
        <v/>
      </c>
      <c r="V47" s="933">
        <f>IFERROR(IF(Medewerker!Y49="",VLOOKUP($B47,Vr!$B$13:$E$63,4,FALSE),Medewerker!Y49),"")</f>
        <v/>
      </c>
      <c r="W47" s="934">
        <f>IF(V47="OA",0,IF(V47="TA",0,IF(V47="VRIJ",0,IF(V47="ST",0,IFERROR(IF(V47="","",(V47/V47)*VLOOKUP($B47,Vr!$B$13:$AV$63,47,FALSE)/24),MAX(IFERROR((VLOOKUP($B47,Vr!$B$13:$AV$63,47,FALSE)/24),0),Medewerker!E49/120))))))</f>
        <v/>
      </c>
      <c r="X47" s="240" t="n"/>
      <c r="Y47" s="933">
        <f>IFERROR(IF(Medewerker!AC49="",VLOOKUP($B47,Za!$B$13:$E$63,3,FALSE),Medewerker!AC49),"")</f>
        <v/>
      </c>
      <c r="Z47" s="933">
        <f>IFERROR(IF(Medewerker!AC49="",VLOOKUP($B47,Za!$B$13:$E$63,4,FALSE),Medewerker!AC49),"")</f>
        <v/>
      </c>
      <c r="AA47" s="934">
        <f>IF(Z47="OA",0,IF(Z47="TA",0,IF(Z47="VRIJ",0,IF(Z47="ST",0,IFERROR(IF(Z47="","",(Z47/Z47)*VLOOKUP($B47,Za!$B$13:$AV$63,47,FALSE)/24),MAX(IFERROR((VLOOKUP($B47,Za!$B$13:$AV$63,47,FALSE)/24),0),IF(COUNTIF(E47:V47,"ZIEK")&gt;9,0,IF(COUNTIF(E47:V47,"VAK")&gt;9,0,Medewerker!E49/120))))))))</f>
        <v/>
      </c>
      <c r="AB47" s="240" t="n"/>
      <c r="AC47" s="933">
        <f>IFERROR(IF(Medewerker!AG49="",VLOOKUP($B47,Zo!$B$13:$E$63,3,FALSE),Medewerker!AG49),"")</f>
        <v/>
      </c>
      <c r="AD47" s="933">
        <f>IFERROR(IF(Medewerker!AG49="",VLOOKUP($B47,Zo!$B$13:$E$63,4,FALSE),Medewerker!AG49),"")</f>
        <v/>
      </c>
      <c r="AE47" s="934">
        <f>IF(AD47="OA",0,IF(AD47="TA",0,IF(AD47="VRIJ",0,IF(AD47="ST",0,IFERROR(IF(AD47="","",(AD47/AD47)*VLOOKUP($B47,Zo!$B$13:$AV$63,47,FALSE)/24),MAX(IFERROR((VLOOKUP($B47,Zo!$B$13:$AV$63,47,FALSE)/24),0),IF(COUNTIF(E47:Z47,"ZIEK")&gt;9,0,IF(COUNTIF(E47:Z47,"VAK")&gt;9,0,Medewerker!E49/120))))))))</f>
        <v/>
      </c>
      <c r="AF47" s="240" t="n"/>
      <c r="AG47" s="935">
        <f>SUM(G47,K47,O47,S47,W47,AA47,AE47)</f>
        <v/>
      </c>
      <c r="AH47" s="532">
        <f>COUNT(G47,K47,O47,S47,W47,AA47,AE47)-(COUNTIF(E47:AD47,"Vrij")/2)</f>
        <v/>
      </c>
      <c r="AI47" s="936">
        <f>Planning!AG47*24-Medewerker!E49</f>
        <v/>
      </c>
      <c r="AJ47" s="254">
        <f>IF(MAX(G47,K47,O47,S47,W47,AA47,AE47)*24&gt;Instellingen!$I$8,"nee","ja")</f>
        <v/>
      </c>
      <c r="AK47" s="254">
        <f>IF(AG47*24&gt;Instellingen!$I$9,"nee","ja")</f>
        <v/>
      </c>
    </row>
    <row r="48" ht="14.25" customHeight="1">
      <c r="A48" s="78">
        <f>IF(B48="",0,MAX($A$6:A47)+1)</f>
        <v/>
      </c>
      <c r="B48" s="241">
        <f>IF(Medewerker!C50="","",Medewerker!C50)</f>
        <v/>
      </c>
      <c r="C48" s="238">
        <f>Medewerker!AI50</f>
        <v/>
      </c>
      <c r="D48" s="240" t="n"/>
      <c r="E48" s="932">
        <f>IFERROR(IF(Medewerker!I50="",VLOOKUP($B48,Ma!$B$13:$E$63,3,FALSE),Medewerker!I50),"")</f>
        <v/>
      </c>
      <c r="F48" s="933">
        <f>IFERROR(IF(Medewerker!I50="",VLOOKUP($B48,Ma!$B$13:$E$63,4,FALSE),Medewerker!I50),"")</f>
        <v/>
      </c>
      <c r="G48" s="934">
        <f>IF(F48="OA",0,IF(F48="TA",0,IF(F48="VRIJ",0,IF(F48="ST",0,IFERROR(IF(F48="","",(F48/F48)*VLOOKUP($B48,Ma!$B$13:$AV$63,47,FALSE)/24),MAX(IFERROR((VLOOKUP($B48,Ma!$B$13:$AV$63,47,FALSE)/24),0),Medewerker!E50/120))))))</f>
        <v/>
      </c>
      <c r="H48" s="240" t="n"/>
      <c r="I48" s="933">
        <f>IFERROR(IF(Medewerker!M50="",VLOOKUP($B48,Di!$B$13:$E$63,3,FALSE),Medewerker!M50),"")</f>
        <v/>
      </c>
      <c r="J48" s="933">
        <f>IFERROR(IF(Medewerker!M50="",VLOOKUP($B48,Di!$B$13:$E$63,4,FALSE),Medewerker!M50),"")</f>
        <v/>
      </c>
      <c r="K48" s="934">
        <f>IF(J48="OA",0,IF(J48="TA",0,IF(J48="VRIJ",0,IF(J48="ST",0,IFERROR(IF(J48="","",(J48/J48)*VLOOKUP($B48,Di!$B$13:$AV$63,47,FALSE)/24),MAX(IFERROR((VLOOKUP($B48,Di!$B$13:$AV$63,47,FALSE)/24),0),Medewerker!E50/120))))))</f>
        <v/>
      </c>
      <c r="L48" s="240" t="n"/>
      <c r="M48" s="933">
        <f>IFERROR(IF(Medewerker!Q50="",VLOOKUP($B48,Wo!$B$13:$E$63,3,FALSE),Medewerker!Q50),"")</f>
        <v/>
      </c>
      <c r="N48" s="933">
        <f>IFERROR(IF(Medewerker!Q50="",VLOOKUP($B48,Wo!$B$13:$E$63,4,FALSE),Medewerker!Q50),"")</f>
        <v/>
      </c>
      <c r="O48" s="934">
        <f>IF(N48="OA",0,IF(N48="TA",0,IF(N48="VRIJ",0,IF(N48="ST",0,IFERROR(IF(N48="","",(N48/N48)*VLOOKUP($B48,Wo!$B$13:$AV$63,47,FALSE)/24),MAX(IFERROR((VLOOKUP($B48,Wo!$B$13:$AV$63,47,FALSE)/24),0),Medewerker!E50/120))))))</f>
        <v/>
      </c>
      <c r="P48" s="240" t="n"/>
      <c r="Q48" s="933">
        <f>IFERROR(IF(Medewerker!U50="",VLOOKUP($B48,Do!$B$13:$E$63,3,FALSE),Medewerker!U50),"")</f>
        <v/>
      </c>
      <c r="R48" s="933">
        <f>IFERROR(IF(Medewerker!U50="",VLOOKUP($B48,Do!$B$13:$E$63,4,FALSE),Medewerker!U50),"")</f>
        <v/>
      </c>
      <c r="S48" s="934">
        <f>IF(R48="OA",0,IF(R48="TA",0,IF(R48="VRIJ",0,IF(R48="ST",0,IFERROR(IF(R48="","",(R48/R48)*VLOOKUP($B48,Do!$B$13:$AV$63,47,FALSE)/24),MAX(IFERROR((VLOOKUP($B48,Do!$B$13:$AV$63,47,FALSE)/24),0),Medewerker!E50/120))))))</f>
        <v/>
      </c>
      <c r="T48" s="240" t="n"/>
      <c r="U48" s="933">
        <f>IFERROR(IF(Medewerker!Y50="",VLOOKUP($B48,Vr!$B$13:$E$63,3,FALSE),Medewerker!Y50),"")</f>
        <v/>
      </c>
      <c r="V48" s="933">
        <f>IFERROR(IF(Medewerker!Y50="",VLOOKUP($B48,Vr!$B$13:$E$63,4,FALSE),Medewerker!Y50),"")</f>
        <v/>
      </c>
      <c r="W48" s="934">
        <f>IF(V48="OA",0,IF(V48="TA",0,IF(V48="VRIJ",0,IF(V48="ST",0,IFERROR(IF(V48="","",(V48/V48)*VLOOKUP($B48,Vr!$B$13:$AV$63,47,FALSE)/24),MAX(IFERROR((VLOOKUP($B48,Vr!$B$13:$AV$63,47,FALSE)/24),0),Medewerker!E50/120))))))</f>
        <v/>
      </c>
      <c r="X48" s="240" t="n"/>
      <c r="Y48" s="933">
        <f>IFERROR(IF(Medewerker!AC50="",VLOOKUP($B48,Za!$B$13:$E$63,3,FALSE),Medewerker!AC50),"")</f>
        <v/>
      </c>
      <c r="Z48" s="933">
        <f>IFERROR(IF(Medewerker!AC50="",VLOOKUP($B48,Za!$B$13:$E$63,4,FALSE),Medewerker!AC50),"")</f>
        <v/>
      </c>
      <c r="AA48" s="934">
        <f>IF(Z48="OA",0,IF(Z48="TA",0,IF(Z48="VRIJ",0,IF(Z48="ST",0,IFERROR(IF(Z48="","",(Z48/Z48)*VLOOKUP($B48,Za!$B$13:$AV$63,47,FALSE)/24),MAX(IFERROR((VLOOKUP($B48,Za!$B$13:$AV$63,47,FALSE)/24),0),IF(COUNTIF(E48:V48,"ZIEK")&gt;9,0,IF(COUNTIF(E48:V48,"VAK")&gt;9,0,Medewerker!E50/120))))))))</f>
        <v/>
      </c>
      <c r="AB48" s="240" t="n"/>
      <c r="AC48" s="933">
        <f>IFERROR(IF(Medewerker!AG50="",VLOOKUP($B48,Zo!$B$13:$E$63,3,FALSE),Medewerker!AG50),"")</f>
        <v/>
      </c>
      <c r="AD48" s="933">
        <f>IFERROR(IF(Medewerker!AG50="",VLOOKUP($B48,Zo!$B$13:$E$63,4,FALSE),Medewerker!AG50),"")</f>
        <v/>
      </c>
      <c r="AE48" s="934">
        <f>IF(AD48="OA",0,IF(AD48="TA",0,IF(AD48="VRIJ",0,IF(AD48="ST",0,IFERROR(IF(AD48="","",(AD48/AD48)*VLOOKUP($B48,Zo!$B$13:$AV$63,47,FALSE)/24),MAX(IFERROR((VLOOKUP($B48,Zo!$B$13:$AV$63,47,FALSE)/24),0),IF(COUNTIF(E48:Z48,"ZIEK")&gt;9,0,IF(COUNTIF(E48:Z48,"VAK")&gt;9,0,Medewerker!E50/120))))))))</f>
        <v/>
      </c>
      <c r="AF48" s="240" t="n"/>
      <c r="AG48" s="935">
        <f>SUM(G48,K48,O48,S48,W48,AA48,AE48)</f>
        <v/>
      </c>
      <c r="AH48" s="532">
        <f>COUNT(G48,K48,O48,S48,W48,AA48,AE48)-(COUNTIF(E48:AD48,"Vrij")/2)</f>
        <v/>
      </c>
      <c r="AI48" s="936">
        <f>Planning!AG48*24-Medewerker!E50</f>
        <v/>
      </c>
      <c r="AJ48" s="254">
        <f>IF(MAX(G48,K48,O48,S48,W48,AA48,AE48)*24&gt;Instellingen!$I$8,"nee","ja")</f>
        <v/>
      </c>
      <c r="AK48" s="254">
        <f>IF(AG48*24&gt;Instellingen!$I$9,"nee","ja")</f>
        <v/>
      </c>
    </row>
    <row r="49" ht="14.25" customHeight="1">
      <c r="A49" s="78">
        <f>IF(B49="",0,MAX($A$6:A48)+1)</f>
        <v/>
      </c>
      <c r="B49" s="241">
        <f>IF(Medewerker!C51="","",Medewerker!C51)</f>
        <v/>
      </c>
      <c r="C49" s="238">
        <f>Medewerker!AI51</f>
        <v/>
      </c>
      <c r="D49" s="240" t="n"/>
      <c r="E49" s="932">
        <f>IFERROR(IF(Medewerker!I51="",VLOOKUP($B49,Ma!$B$13:$E$63,3,FALSE),Medewerker!I51),"")</f>
        <v/>
      </c>
      <c r="F49" s="933">
        <f>IFERROR(IF(Medewerker!I51="",VLOOKUP($B49,Ma!$B$13:$E$63,4,FALSE),Medewerker!I51),"")</f>
        <v/>
      </c>
      <c r="G49" s="934">
        <f>IF(F49="OA",0,IF(F49="TA",0,IF(F49="VRIJ",0,IF(F49="ST",0,IFERROR(IF(F49="","",(F49/F49)*VLOOKUP($B49,Ma!$B$13:$AV$63,47,FALSE)/24),MAX(IFERROR((VLOOKUP($B49,Ma!$B$13:$AV$63,47,FALSE)/24),0),Medewerker!E51/120))))))</f>
        <v/>
      </c>
      <c r="H49" s="240" t="n"/>
      <c r="I49" s="933">
        <f>IFERROR(IF(Medewerker!M51="",VLOOKUP($B49,Di!$B$13:$E$63,3,FALSE),Medewerker!M51),"")</f>
        <v/>
      </c>
      <c r="J49" s="933">
        <f>IFERROR(IF(Medewerker!M51="",VLOOKUP($B49,Di!$B$13:$E$63,4,FALSE),Medewerker!M51),"")</f>
        <v/>
      </c>
      <c r="K49" s="934">
        <f>IF(J49="OA",0,IF(J49="TA",0,IF(J49="VRIJ",0,IF(J49="ST",0,IFERROR(IF(J49="","",(J49/J49)*VLOOKUP($B49,Di!$B$13:$AV$63,47,FALSE)/24),MAX(IFERROR((VLOOKUP($B49,Di!$B$13:$AV$63,47,FALSE)/24),0),Medewerker!E51/120))))))</f>
        <v/>
      </c>
      <c r="L49" s="240" t="n"/>
      <c r="M49" s="933">
        <f>IFERROR(IF(Medewerker!Q51="",VLOOKUP($B49,Wo!$B$13:$E$63,3,FALSE),Medewerker!Q51),"")</f>
        <v/>
      </c>
      <c r="N49" s="933">
        <f>IFERROR(IF(Medewerker!Q51="",VLOOKUP($B49,Wo!$B$13:$E$63,4,FALSE),Medewerker!Q51),"")</f>
        <v/>
      </c>
      <c r="O49" s="934">
        <f>IF(N49="OA",0,IF(N49="TA",0,IF(N49="VRIJ",0,IF(N49="ST",0,IFERROR(IF(N49="","",(N49/N49)*VLOOKUP($B49,Wo!$B$13:$AV$63,47,FALSE)/24),MAX(IFERROR((VLOOKUP($B49,Wo!$B$13:$AV$63,47,FALSE)/24),0),Medewerker!E51/120))))))</f>
        <v/>
      </c>
      <c r="P49" s="240" t="n"/>
      <c r="Q49" s="933">
        <f>IFERROR(IF(Medewerker!U51="",VLOOKUP($B49,Do!$B$13:$E$63,3,FALSE),Medewerker!U51),"")</f>
        <v/>
      </c>
      <c r="R49" s="933">
        <f>IFERROR(IF(Medewerker!U51="",VLOOKUP($B49,Do!$B$13:$E$63,4,FALSE),Medewerker!U51),"")</f>
        <v/>
      </c>
      <c r="S49" s="934">
        <f>IF(R49="OA",0,IF(R49="TA",0,IF(R49="VRIJ",0,IF(R49="ST",0,IFERROR(IF(R49="","",(R49/R49)*VLOOKUP($B49,Do!$B$13:$AV$63,47,FALSE)/24),MAX(IFERROR((VLOOKUP($B49,Do!$B$13:$AV$63,47,FALSE)/24),0),Medewerker!E51/120))))))</f>
        <v/>
      </c>
      <c r="T49" s="240" t="n"/>
      <c r="U49" s="933">
        <f>IFERROR(IF(Medewerker!Y51="",VLOOKUP($B49,Vr!$B$13:$E$63,3,FALSE),Medewerker!Y51),"")</f>
        <v/>
      </c>
      <c r="V49" s="933">
        <f>IFERROR(IF(Medewerker!Y51="",VLOOKUP($B49,Vr!$B$13:$E$63,4,FALSE),Medewerker!Y51),"")</f>
        <v/>
      </c>
      <c r="W49" s="934">
        <f>IF(V49="OA",0,IF(V49="TA",0,IF(V49="VRIJ",0,IF(V49="ST",0,IFERROR(IF(V49="","",(V49/V49)*VLOOKUP($B49,Vr!$B$13:$AV$63,47,FALSE)/24),MAX(IFERROR((VLOOKUP($B49,Vr!$B$13:$AV$63,47,FALSE)/24),0),Medewerker!E51/120))))))</f>
        <v/>
      </c>
      <c r="X49" s="240" t="n"/>
      <c r="Y49" s="933">
        <f>IFERROR(IF(Medewerker!AC51="",VLOOKUP($B49,Za!$B$13:$E$63,3,FALSE),Medewerker!AC51),"")</f>
        <v/>
      </c>
      <c r="Z49" s="933">
        <f>IFERROR(IF(Medewerker!AC51="",VLOOKUP($B49,Za!$B$13:$E$63,4,FALSE),Medewerker!AC51),"")</f>
        <v/>
      </c>
      <c r="AA49" s="934">
        <f>IF(Z49="OA",0,IF(Z49="TA",0,IF(Z49="VRIJ",0,IF(Z49="ST",0,IFERROR(IF(Z49="","",(Z49/Z49)*VLOOKUP($B49,Za!$B$13:$AV$63,47,FALSE)/24),MAX(IFERROR((VLOOKUP($B49,Za!$B$13:$AV$63,47,FALSE)/24),0),IF(COUNTIF(E49:V49,"ZIEK")&gt;9,0,IF(COUNTIF(E49:V49,"VAK")&gt;9,0,Medewerker!E51/120))))))))</f>
        <v/>
      </c>
      <c r="AB49" s="240" t="n"/>
      <c r="AC49" s="933">
        <f>IFERROR(IF(Medewerker!AG51="",VLOOKUP($B49,Zo!$B$13:$E$63,3,FALSE),Medewerker!AG51),"")</f>
        <v/>
      </c>
      <c r="AD49" s="933">
        <f>IFERROR(IF(Medewerker!AG51="",VLOOKUP($B49,Zo!$B$13:$E$63,4,FALSE),Medewerker!AG51),"")</f>
        <v/>
      </c>
      <c r="AE49" s="934">
        <f>IF(AD49="OA",0,IF(AD49="TA",0,IF(AD49="VRIJ",0,IF(AD49="ST",0,IFERROR(IF(AD49="","",(AD49/AD49)*VLOOKUP($B49,Zo!$B$13:$AV$63,47,FALSE)/24),MAX(IFERROR((VLOOKUP($B49,Zo!$B$13:$AV$63,47,FALSE)/24),0),IF(COUNTIF(E49:Z49,"ZIEK")&gt;9,0,IF(COUNTIF(E49:Z49,"VAK")&gt;9,0,Medewerker!E51/120))))))))</f>
        <v/>
      </c>
      <c r="AF49" s="240" t="n"/>
      <c r="AG49" s="935">
        <f>SUM(G49,K49,O49,S49,W49,AA49,AE49)</f>
        <v/>
      </c>
      <c r="AH49" s="532">
        <f>COUNT(G49,K49,O49,S49,W49,AA49,AE49)-(COUNTIF(E49:AD49,"Vrij")/2)</f>
        <v/>
      </c>
      <c r="AI49" s="936">
        <f>Planning!AG49*24-Medewerker!E51</f>
        <v/>
      </c>
      <c r="AJ49" s="254">
        <f>IF(MAX(G49,K49,O49,S49,W49,AA49,AE49)*24&gt;Instellingen!$I$8,"nee","ja")</f>
        <v/>
      </c>
      <c r="AK49" s="254">
        <f>IF(AG49*24&gt;Instellingen!$I$9,"nee","ja")</f>
        <v/>
      </c>
    </row>
    <row r="50" ht="14.25" customHeight="1">
      <c r="A50" s="78">
        <f>IF(B50="",0,MAX($A$6:A49)+1)</f>
        <v/>
      </c>
      <c r="B50" s="241">
        <f>IF(Medewerker!C52="","",Medewerker!C52)</f>
        <v/>
      </c>
      <c r="C50" s="238">
        <f>Medewerker!AI52</f>
        <v/>
      </c>
      <c r="D50" s="240" t="n"/>
      <c r="E50" s="932">
        <f>IFERROR(IF(Medewerker!I52="",VLOOKUP($B50,Ma!$B$13:$E$63,3,FALSE),Medewerker!I52),"")</f>
        <v/>
      </c>
      <c r="F50" s="933">
        <f>IFERROR(IF(Medewerker!I52="",VLOOKUP($B50,Ma!$B$13:$E$63,4,FALSE),Medewerker!I52),"")</f>
        <v/>
      </c>
      <c r="G50" s="934">
        <f>IF(F50="OA",0,IF(F50="TA",0,IF(F50="VRIJ",0,IF(F50="ST",0,IFERROR(IF(F50="","",(F50/F50)*VLOOKUP($B50,Ma!$B$13:$AV$63,47,FALSE)/24),MAX(IFERROR((VLOOKUP($B50,Ma!$B$13:$AV$63,47,FALSE)/24),0),Medewerker!E52/120))))))</f>
        <v/>
      </c>
      <c r="H50" s="240" t="n"/>
      <c r="I50" s="933">
        <f>IFERROR(IF(Medewerker!M52="",VLOOKUP($B50,Di!$B$13:$E$63,3,FALSE),Medewerker!M52),"")</f>
        <v/>
      </c>
      <c r="J50" s="933">
        <f>IFERROR(IF(Medewerker!M52="",VLOOKUP($B50,Di!$B$13:$E$63,4,FALSE),Medewerker!M52),"")</f>
        <v/>
      </c>
      <c r="K50" s="934">
        <f>IF(J50="OA",0,IF(J50="TA",0,IF(J50="VRIJ",0,IF(J50="ST",0,IFERROR(IF(J50="","",(J50/J50)*VLOOKUP($B50,Di!$B$13:$AV$63,47,FALSE)/24),MAX(IFERROR((VLOOKUP($B50,Di!$B$13:$AV$63,47,FALSE)/24),0),Medewerker!E52/120))))))</f>
        <v/>
      </c>
      <c r="L50" s="240" t="n"/>
      <c r="M50" s="933">
        <f>IFERROR(IF(Medewerker!Q52="",VLOOKUP($B50,Wo!$B$13:$E$63,3,FALSE),Medewerker!Q52),"")</f>
        <v/>
      </c>
      <c r="N50" s="933">
        <f>IFERROR(IF(Medewerker!Q52="",VLOOKUP($B50,Wo!$B$13:$E$63,4,FALSE),Medewerker!Q52),"")</f>
        <v/>
      </c>
      <c r="O50" s="934">
        <f>IF(N50="OA",0,IF(N50="TA",0,IF(N50="VRIJ",0,IF(N50="ST",0,IFERROR(IF(N50="","",(N50/N50)*VLOOKUP($B50,Wo!$B$13:$AV$63,47,FALSE)/24),MAX(IFERROR((VLOOKUP($B50,Wo!$B$13:$AV$63,47,FALSE)/24),0),Medewerker!E52/120))))))</f>
        <v/>
      </c>
      <c r="P50" s="240" t="n"/>
      <c r="Q50" s="933">
        <f>IFERROR(IF(Medewerker!U52="",VLOOKUP($B50,Do!$B$13:$E$63,3,FALSE),Medewerker!U52),"")</f>
        <v/>
      </c>
      <c r="R50" s="933">
        <f>IFERROR(IF(Medewerker!U52="",VLOOKUP($B50,Do!$B$13:$E$63,4,FALSE),Medewerker!U52),"")</f>
        <v/>
      </c>
      <c r="S50" s="934">
        <f>IF(R50="OA",0,IF(R50="TA",0,IF(R50="VRIJ",0,IF(R50="ST",0,IFERROR(IF(R50="","",(R50/R50)*VLOOKUP($B50,Do!$B$13:$AV$63,47,FALSE)/24),MAX(IFERROR((VLOOKUP($B50,Do!$B$13:$AV$63,47,FALSE)/24),0),Medewerker!E52/120))))))</f>
        <v/>
      </c>
      <c r="T50" s="240" t="n"/>
      <c r="U50" s="933">
        <f>IFERROR(IF(Medewerker!Y52="",VLOOKUP($B50,Vr!$B$13:$E$63,3,FALSE),Medewerker!Y52),"")</f>
        <v/>
      </c>
      <c r="V50" s="933">
        <f>IFERROR(IF(Medewerker!Y52="",VLOOKUP($B50,Vr!$B$13:$E$63,4,FALSE),Medewerker!Y52),"")</f>
        <v/>
      </c>
      <c r="W50" s="934">
        <f>IF(V50="OA",0,IF(V50="TA",0,IF(V50="VRIJ",0,IF(V50="ST",0,IFERROR(IF(V50="","",(V50/V50)*VLOOKUP($B50,Vr!$B$13:$AV$63,47,FALSE)/24),MAX(IFERROR((VLOOKUP($B50,Vr!$B$13:$AV$63,47,FALSE)/24),0),Medewerker!E52/120))))))</f>
        <v/>
      </c>
      <c r="X50" s="240" t="n"/>
      <c r="Y50" s="933">
        <f>IFERROR(IF(Medewerker!AC52="",VLOOKUP($B50,Za!$B$13:$E$63,3,FALSE),Medewerker!AC52),"")</f>
        <v/>
      </c>
      <c r="Z50" s="933">
        <f>IFERROR(IF(Medewerker!AC52="",VLOOKUP($B50,Za!$B$13:$E$63,4,FALSE),Medewerker!AC52),"")</f>
        <v/>
      </c>
      <c r="AA50" s="934">
        <f>IF(Z50="OA",0,IF(Z50="TA",0,IF(Z50="VRIJ",0,IF(Z50="ST",0,IFERROR(IF(Z50="","",(Z50/Z50)*VLOOKUP($B50,Za!$B$13:$AV$63,47,FALSE)/24),MAX(IFERROR((VLOOKUP($B50,Za!$B$13:$AV$63,47,FALSE)/24),0),IF(COUNTIF(E50:V50,"ZIEK")&gt;9,0,IF(COUNTIF(E50:V50,"VAK")&gt;9,0,Medewerker!E52/120))))))))</f>
        <v/>
      </c>
      <c r="AB50" s="240" t="n"/>
      <c r="AC50" s="933">
        <f>IFERROR(IF(Medewerker!AG52="",VLOOKUP($B50,Zo!$B$13:$E$63,3,FALSE),Medewerker!AG52),"")</f>
        <v/>
      </c>
      <c r="AD50" s="933">
        <f>IFERROR(IF(Medewerker!AG52="",VLOOKUP($B50,Zo!$B$13:$E$63,4,FALSE),Medewerker!AG52),"")</f>
        <v/>
      </c>
      <c r="AE50" s="934">
        <f>IF(AD50="OA",0,IF(AD50="TA",0,IF(AD50="VRIJ",0,IF(AD50="ST",0,IFERROR(IF(AD50="","",(AD50/AD50)*VLOOKUP($B50,Zo!$B$13:$AV$63,47,FALSE)/24),MAX(IFERROR((VLOOKUP($B50,Zo!$B$13:$AV$63,47,FALSE)/24),0),IF(COUNTIF(E50:Z50,"ZIEK")&gt;9,0,IF(COUNTIF(E50:Z50,"VAK")&gt;9,0,Medewerker!E52/120))))))))</f>
        <v/>
      </c>
      <c r="AF50" s="240" t="n"/>
      <c r="AG50" s="935">
        <f>SUM(G50,K50,O50,S50,W50,AA50,AE50)</f>
        <v/>
      </c>
      <c r="AH50" s="532">
        <f>COUNT(G50,K50,O50,S50,W50,AA50,AE50)-(COUNTIF(E50:AD50,"Vrij")/2)</f>
        <v/>
      </c>
      <c r="AI50" s="936">
        <f>Planning!AG50*24-Medewerker!E52</f>
        <v/>
      </c>
      <c r="AJ50" s="254">
        <f>IF(MAX(G50,K50,O50,S50,W50,AA50,AE50)*24&gt;Instellingen!$I$8,"nee","ja")</f>
        <v/>
      </c>
      <c r="AK50" s="254">
        <f>IF(AG50*24&gt;Instellingen!$I$9,"nee","ja")</f>
        <v/>
      </c>
    </row>
    <row r="51" ht="14.25" customHeight="1">
      <c r="A51" s="78">
        <f>IF(B51="",0,MAX($A$6:A50)+1)</f>
        <v/>
      </c>
      <c r="B51" s="241">
        <f>IF(Medewerker!C53="","",Medewerker!C53)</f>
        <v/>
      </c>
      <c r="C51" s="238">
        <f>Medewerker!AI53</f>
        <v/>
      </c>
      <c r="D51" s="240" t="n"/>
      <c r="E51" s="932">
        <f>IFERROR(IF(Medewerker!I53="",VLOOKUP($B51,Ma!$B$13:$E$63,3,FALSE),Medewerker!I53),"")</f>
        <v/>
      </c>
      <c r="F51" s="933">
        <f>IFERROR(IF(Medewerker!I53="",VLOOKUP($B51,Ma!$B$13:$E$63,4,FALSE),Medewerker!I53),"")</f>
        <v/>
      </c>
      <c r="G51" s="934">
        <f>IF(F51="OA",0,IF(F51="TA",0,IF(F51="VRIJ",0,IF(F51="ST",0,IFERROR(IF(F51="","",(F51/F51)*VLOOKUP($B51,Ma!$B$13:$AV$63,47,FALSE)/24),MAX(IFERROR((VLOOKUP($B51,Ma!$B$13:$AV$63,47,FALSE)/24),0),Medewerker!E53/120))))))</f>
        <v/>
      </c>
      <c r="H51" s="240" t="n"/>
      <c r="I51" s="933">
        <f>IFERROR(IF(Medewerker!M53="",VLOOKUP($B51,Di!$B$13:$E$63,3,FALSE),Medewerker!M53),"")</f>
        <v/>
      </c>
      <c r="J51" s="933">
        <f>IFERROR(IF(Medewerker!M53="",VLOOKUP($B51,Di!$B$13:$E$63,4,FALSE),Medewerker!M53),"")</f>
        <v/>
      </c>
      <c r="K51" s="934">
        <f>IF(J51="OA",0,IF(J51="TA",0,IF(J51="VRIJ",0,IF(J51="ST",0,IFERROR(IF(J51="","",(J51/J51)*VLOOKUP($B51,Di!$B$13:$AV$63,47,FALSE)/24),MAX(IFERROR((VLOOKUP($B51,Di!$B$13:$AV$63,47,FALSE)/24),0),Medewerker!E53/120))))))</f>
        <v/>
      </c>
      <c r="L51" s="240" t="n"/>
      <c r="M51" s="933">
        <f>IFERROR(IF(Medewerker!Q53="",VLOOKUP($B51,Wo!$B$13:$E$63,3,FALSE),Medewerker!Q53),"")</f>
        <v/>
      </c>
      <c r="N51" s="933">
        <f>IFERROR(IF(Medewerker!Q53="",VLOOKUP($B51,Wo!$B$13:$E$63,4,FALSE),Medewerker!Q53),"")</f>
        <v/>
      </c>
      <c r="O51" s="934">
        <f>IF(N51="OA",0,IF(N51="TA",0,IF(N51="VRIJ",0,IF(N51="ST",0,IFERROR(IF(N51="","",(N51/N51)*VLOOKUP($B51,Wo!$B$13:$AV$63,47,FALSE)/24),MAX(IFERROR((VLOOKUP($B51,Wo!$B$13:$AV$63,47,FALSE)/24),0),Medewerker!E53/120))))))</f>
        <v/>
      </c>
      <c r="P51" s="240" t="n"/>
      <c r="Q51" s="933">
        <f>IFERROR(IF(Medewerker!U53="",VLOOKUP($B51,Do!$B$13:$E$63,3,FALSE),Medewerker!U53),"")</f>
        <v/>
      </c>
      <c r="R51" s="933">
        <f>IFERROR(IF(Medewerker!U53="",VLOOKUP($B51,Do!$B$13:$E$63,4,FALSE),Medewerker!U53),"")</f>
        <v/>
      </c>
      <c r="S51" s="934">
        <f>IF(R51="OA",0,IF(R51="TA",0,IF(R51="VRIJ",0,IF(R51="ST",0,IFERROR(IF(R51="","",(R51/R51)*VLOOKUP($B51,Do!$B$13:$AV$63,47,FALSE)/24),MAX(IFERROR((VLOOKUP($B51,Do!$B$13:$AV$63,47,FALSE)/24),0),Medewerker!E53/120))))))</f>
        <v/>
      </c>
      <c r="T51" s="240" t="n"/>
      <c r="U51" s="933">
        <f>IFERROR(IF(Medewerker!Y53="",VLOOKUP($B51,Vr!$B$13:$E$63,3,FALSE),Medewerker!Y53),"")</f>
        <v/>
      </c>
      <c r="V51" s="933">
        <f>IFERROR(IF(Medewerker!Y53="",VLOOKUP($B51,Vr!$B$13:$E$63,4,FALSE),Medewerker!Y53),"")</f>
        <v/>
      </c>
      <c r="W51" s="934">
        <f>IF(V51="OA",0,IF(V51="TA",0,IF(V51="VRIJ",0,IF(V51="ST",0,IFERROR(IF(V51="","",(V51/V51)*VLOOKUP($B51,Vr!$B$13:$AV$63,47,FALSE)/24),MAX(IFERROR((VLOOKUP($B51,Vr!$B$13:$AV$63,47,FALSE)/24),0),Medewerker!E53/120))))))</f>
        <v/>
      </c>
      <c r="X51" s="240" t="n"/>
      <c r="Y51" s="933">
        <f>IFERROR(IF(Medewerker!AC53="",VLOOKUP($B51,Za!$B$13:$E$63,3,FALSE),Medewerker!AC53),"")</f>
        <v/>
      </c>
      <c r="Z51" s="933">
        <f>IFERROR(IF(Medewerker!AC53="",VLOOKUP($B51,Za!$B$13:$E$63,4,FALSE),Medewerker!AC53),"")</f>
        <v/>
      </c>
      <c r="AA51" s="934">
        <f>IF(Z51="OA",0,IF(Z51="TA",0,IF(Z51="VRIJ",0,IF(Z51="ST",0,IFERROR(IF(Z51="","",(Z51/Z51)*VLOOKUP($B51,Za!$B$13:$AV$63,47,FALSE)/24),MAX(IFERROR((VLOOKUP($B51,Za!$B$13:$AV$63,47,FALSE)/24),0),IF(COUNTIF(E51:V51,"ZIEK")&gt;9,0,IF(COUNTIF(E51:V51,"VAK")&gt;9,0,Medewerker!E53/120))))))))</f>
        <v/>
      </c>
      <c r="AB51" s="240" t="n"/>
      <c r="AC51" s="933">
        <f>IFERROR(IF(Medewerker!AG53="",VLOOKUP($B51,Zo!$B$13:$E$63,3,FALSE),Medewerker!AG53),"")</f>
        <v/>
      </c>
      <c r="AD51" s="933">
        <f>IFERROR(IF(Medewerker!AG53="",VLOOKUP($B51,Zo!$B$13:$E$63,4,FALSE),Medewerker!AG53),"")</f>
        <v/>
      </c>
      <c r="AE51" s="934">
        <f>IF(AD51="OA",0,IF(AD51="TA",0,IF(AD51="VRIJ",0,IF(AD51="ST",0,IFERROR(IF(AD51="","",(AD51/AD51)*VLOOKUP($B51,Zo!$B$13:$AV$63,47,FALSE)/24),MAX(IFERROR((VLOOKUP($B51,Zo!$B$13:$AV$63,47,FALSE)/24),0),IF(COUNTIF(E51:Z51,"ZIEK")&gt;9,0,IF(COUNTIF(E51:Z51,"VAK")&gt;9,0,Medewerker!E53/120))))))))</f>
        <v/>
      </c>
      <c r="AF51" s="240" t="n"/>
      <c r="AG51" s="935">
        <f>SUM(G51,K51,O51,S51,W51,AA51,AE51)</f>
        <v/>
      </c>
      <c r="AH51" s="532">
        <f>COUNT(G51,K51,O51,S51,W51,AA51,AE51)-(COUNTIF(E51:AD51,"Vrij")/2)</f>
        <v/>
      </c>
      <c r="AI51" s="936">
        <f>Planning!AG51*24-Medewerker!E53</f>
        <v/>
      </c>
      <c r="AJ51" s="254">
        <f>IF(MAX(G51,K51,O51,S51,W51,AA51,AE51)*24&gt;Instellingen!$I$8,"nee","ja")</f>
        <v/>
      </c>
      <c r="AK51" s="254">
        <f>IF(AG51*24&gt;Instellingen!$I$9,"nee","ja")</f>
        <v/>
      </c>
    </row>
    <row r="52" ht="14.25" customHeight="1">
      <c r="A52" s="78">
        <f>IF(B52="",0,MAX($A$6:A51)+1)</f>
        <v/>
      </c>
      <c r="B52" s="241">
        <f>IF(Medewerker!C54="","",Medewerker!C54)</f>
        <v/>
      </c>
      <c r="C52" s="238">
        <f>Medewerker!AI54</f>
        <v/>
      </c>
      <c r="D52" s="240" t="n"/>
      <c r="E52" s="932">
        <f>IFERROR(IF(Medewerker!I54="",VLOOKUP($B52,Ma!$B$13:$E$63,3,FALSE),Medewerker!I54),"")</f>
        <v/>
      </c>
      <c r="F52" s="933">
        <f>IFERROR(IF(Medewerker!I54="",VLOOKUP($B52,Ma!$B$13:$E$63,4,FALSE),Medewerker!I54),"")</f>
        <v/>
      </c>
      <c r="G52" s="934">
        <f>IF(F52="OA",0,IF(F52="TA",0,IF(F52="VRIJ",0,IF(F52="ST",0,IFERROR(IF(F52="","",(F52/F52)*VLOOKUP($B52,Ma!$B$13:$AV$63,47,FALSE)/24),MAX(IFERROR((VLOOKUP($B52,Ma!$B$13:$AV$63,47,FALSE)/24),0),Medewerker!E54/120))))))</f>
        <v/>
      </c>
      <c r="H52" s="240" t="n"/>
      <c r="I52" s="933">
        <f>IFERROR(IF(Medewerker!M54="",VLOOKUP($B52,Di!$B$13:$E$63,3,FALSE),Medewerker!M54),"")</f>
        <v/>
      </c>
      <c r="J52" s="933">
        <f>IFERROR(IF(Medewerker!M54="",VLOOKUP($B52,Di!$B$13:$E$63,4,FALSE),Medewerker!M54),"")</f>
        <v/>
      </c>
      <c r="K52" s="934">
        <f>IF(J52="OA",0,IF(J52="TA",0,IF(J52="VRIJ",0,IF(J52="ST",0,IFERROR(IF(J52="","",(J52/J52)*VLOOKUP($B52,Di!$B$13:$AV$63,47,FALSE)/24),MAX(IFERROR((VLOOKUP($B52,Di!$B$13:$AV$63,47,FALSE)/24),0),Medewerker!E54/120))))))</f>
        <v/>
      </c>
      <c r="L52" s="240" t="n"/>
      <c r="M52" s="933">
        <f>IFERROR(IF(Medewerker!Q54="",VLOOKUP($B52,Wo!$B$13:$E$63,3,FALSE),Medewerker!Q54),"")</f>
        <v/>
      </c>
      <c r="N52" s="933">
        <f>IFERROR(IF(Medewerker!Q54="",VLOOKUP($B52,Wo!$B$13:$E$63,4,FALSE),Medewerker!Q54),"")</f>
        <v/>
      </c>
      <c r="O52" s="934">
        <f>IF(N52="OA",0,IF(N52="TA",0,IF(N52="VRIJ",0,IF(N52="ST",0,IFERROR(IF(N52="","",(N52/N52)*VLOOKUP($B52,Wo!$B$13:$AV$63,47,FALSE)/24),MAX(IFERROR((VLOOKUP($B52,Wo!$B$13:$AV$63,47,FALSE)/24),0),Medewerker!E54/120))))))</f>
        <v/>
      </c>
      <c r="P52" s="240" t="n"/>
      <c r="Q52" s="933">
        <f>IFERROR(IF(Medewerker!U54="",VLOOKUP($B52,Do!$B$13:$E$63,3,FALSE),Medewerker!U54),"")</f>
        <v/>
      </c>
      <c r="R52" s="933">
        <f>IFERROR(IF(Medewerker!U54="",VLOOKUP($B52,Do!$B$13:$E$63,4,FALSE),Medewerker!U54),"")</f>
        <v/>
      </c>
      <c r="S52" s="934">
        <f>IF(R52="OA",0,IF(R52="TA",0,IF(R52="VRIJ",0,IF(R52="ST",0,IFERROR(IF(R52="","",(R52/R52)*VLOOKUP($B52,Do!$B$13:$AV$63,47,FALSE)/24),MAX(IFERROR((VLOOKUP($B52,Do!$B$13:$AV$63,47,FALSE)/24),0),Medewerker!E54/120))))))</f>
        <v/>
      </c>
      <c r="T52" s="240" t="n"/>
      <c r="U52" s="933">
        <f>IFERROR(IF(Medewerker!Y54="",VLOOKUP($B52,Vr!$B$13:$E$63,3,FALSE),Medewerker!Y54),"")</f>
        <v/>
      </c>
      <c r="V52" s="933">
        <f>IFERROR(IF(Medewerker!Y54="",VLOOKUP($B52,Vr!$B$13:$E$63,4,FALSE),Medewerker!Y54),"")</f>
        <v/>
      </c>
      <c r="W52" s="934">
        <f>IF(V52="OA",0,IF(V52="TA",0,IF(V52="VRIJ",0,IF(V52="ST",0,IFERROR(IF(V52="","",(V52/V52)*VLOOKUP($B52,Vr!$B$13:$AV$63,47,FALSE)/24),MAX(IFERROR((VLOOKUP($B52,Vr!$B$13:$AV$63,47,FALSE)/24),0),Medewerker!E54/120))))))</f>
        <v/>
      </c>
      <c r="X52" s="240" t="n"/>
      <c r="Y52" s="933">
        <f>IFERROR(IF(Medewerker!AC54="",VLOOKUP($B52,Za!$B$13:$E$63,3,FALSE),Medewerker!AC54),"")</f>
        <v/>
      </c>
      <c r="Z52" s="933">
        <f>IFERROR(IF(Medewerker!AC54="",VLOOKUP($B52,Za!$B$13:$E$63,4,FALSE),Medewerker!AC54),"")</f>
        <v/>
      </c>
      <c r="AA52" s="934">
        <f>IF(Z52="OA",0,IF(Z52="TA",0,IF(Z52="VRIJ",0,IF(Z52="ST",0,IFERROR(IF(Z52="","",(Z52/Z52)*VLOOKUP($B52,Za!$B$13:$AV$63,47,FALSE)/24),MAX(IFERROR((VLOOKUP($B52,Za!$B$13:$AV$63,47,FALSE)/24),0),IF(COUNTIF(E52:V52,"ZIEK")&gt;9,0,IF(COUNTIF(E52:V52,"VAK")&gt;9,0,Medewerker!E54/120))))))))</f>
        <v/>
      </c>
      <c r="AB52" s="240" t="n"/>
      <c r="AC52" s="933">
        <f>IFERROR(IF(Medewerker!AG54="",VLOOKUP($B52,Zo!$B$13:$E$63,3,FALSE),Medewerker!AG54),"")</f>
        <v/>
      </c>
      <c r="AD52" s="933">
        <f>IFERROR(IF(Medewerker!AG54="",VLOOKUP($B52,Zo!$B$13:$E$63,4,FALSE),Medewerker!AG54),"")</f>
        <v/>
      </c>
      <c r="AE52" s="934">
        <f>IF(AD52="OA",0,IF(AD52="TA",0,IF(AD52="VRIJ",0,IF(AD52="ST",0,IFERROR(IF(AD52="","",(AD52/AD52)*VLOOKUP($B52,Zo!$B$13:$AV$63,47,FALSE)/24),MAX(IFERROR((VLOOKUP($B52,Zo!$B$13:$AV$63,47,FALSE)/24),0),IF(COUNTIF(E52:Z52,"ZIEK")&gt;9,0,IF(COUNTIF(E52:Z52,"VAK")&gt;9,0,Medewerker!E54/120))))))))</f>
        <v/>
      </c>
      <c r="AF52" s="240" t="n"/>
      <c r="AG52" s="935">
        <f>SUM(G52,K52,O52,S52,W52,AA52,AE52)</f>
        <v/>
      </c>
      <c r="AH52" s="532">
        <f>COUNT(G52,K52,O52,S52,W52,AA52,AE52)-(COUNTIF(E52:AD52,"Vrij")/2)</f>
        <v/>
      </c>
      <c r="AI52" s="936">
        <f>Planning!AG52*24-Medewerker!E54</f>
        <v/>
      </c>
      <c r="AJ52" s="254">
        <f>IF(MAX(G52,K52,O52,S52,W52,AA52,AE52)*24&gt;Instellingen!$I$8,"nee","ja")</f>
        <v/>
      </c>
      <c r="AK52" s="254">
        <f>IF(AG52*24&gt;Instellingen!$I$9,"nee","ja")</f>
        <v/>
      </c>
    </row>
    <row r="53" ht="14.25" customHeight="1">
      <c r="A53" s="78">
        <f>IF(B53="",0,MAX($A$6:A52)+1)</f>
        <v/>
      </c>
      <c r="B53" s="241">
        <f>IF(Medewerker!C55="","",Medewerker!C55)</f>
        <v/>
      </c>
      <c r="C53" s="238">
        <f>Medewerker!AI55</f>
        <v/>
      </c>
      <c r="D53" s="240" t="n"/>
      <c r="E53" s="932">
        <f>IFERROR(IF(Medewerker!I55="",VLOOKUP($B53,Ma!$B$13:$E$63,3,FALSE),Medewerker!I55),"")</f>
        <v/>
      </c>
      <c r="F53" s="933">
        <f>IFERROR(IF(Medewerker!I55="",VLOOKUP($B53,Ma!$B$13:$E$63,4,FALSE),Medewerker!I55),"")</f>
        <v/>
      </c>
      <c r="G53" s="934">
        <f>IF(F53="OA",0,IF(F53="TA",0,IF(F53="VRIJ",0,IF(F53="ST",0,IFERROR(IF(F53="","",(F53/F53)*VLOOKUP($B53,Ma!$B$13:$AV$63,47,FALSE)/24),MAX(IFERROR((VLOOKUP($B53,Ma!$B$13:$AV$63,47,FALSE)/24),0),Medewerker!E55/120))))))</f>
        <v/>
      </c>
      <c r="H53" s="240" t="n"/>
      <c r="I53" s="933">
        <f>IFERROR(IF(Medewerker!M55="",VLOOKUP($B53,Di!$B$13:$E$63,3,FALSE),Medewerker!M55),"")</f>
        <v/>
      </c>
      <c r="J53" s="933">
        <f>IFERROR(IF(Medewerker!M55="",VLOOKUP($B53,Di!$B$13:$E$63,4,FALSE),Medewerker!M55),"")</f>
        <v/>
      </c>
      <c r="K53" s="934">
        <f>IF(J53="OA",0,IF(J53="TA",0,IF(J53="VRIJ",0,IF(J53="ST",0,IFERROR(IF(J53="","",(J53/J53)*VLOOKUP($B53,Di!$B$13:$AV$63,47,FALSE)/24),MAX(IFERROR((VLOOKUP($B53,Di!$B$13:$AV$63,47,FALSE)/24),0),Medewerker!E55/120))))))</f>
        <v/>
      </c>
      <c r="L53" s="240" t="n"/>
      <c r="M53" s="933">
        <f>IFERROR(IF(Medewerker!Q55="",VLOOKUP($B53,Wo!$B$13:$E$63,3,FALSE),Medewerker!Q55),"")</f>
        <v/>
      </c>
      <c r="N53" s="933">
        <f>IFERROR(IF(Medewerker!Q55="",VLOOKUP($B53,Wo!$B$13:$E$63,4,FALSE),Medewerker!Q55),"")</f>
        <v/>
      </c>
      <c r="O53" s="934">
        <f>IF(N53="OA",0,IF(N53="TA",0,IF(N53="VRIJ",0,IF(N53="ST",0,IFERROR(IF(N53="","",(N53/N53)*VLOOKUP($B53,Wo!$B$13:$AV$63,47,FALSE)/24),MAX(IFERROR((VLOOKUP($B53,Wo!$B$13:$AV$63,47,FALSE)/24),0),Medewerker!E55/120))))))</f>
        <v/>
      </c>
      <c r="P53" s="240" t="n"/>
      <c r="Q53" s="933">
        <f>IFERROR(IF(Medewerker!U55="",VLOOKUP($B53,Do!$B$13:$E$63,3,FALSE),Medewerker!U55),"")</f>
        <v/>
      </c>
      <c r="R53" s="933">
        <f>IFERROR(IF(Medewerker!U55="",VLOOKUP($B53,Do!$B$13:$E$63,4,FALSE),Medewerker!U55),"")</f>
        <v/>
      </c>
      <c r="S53" s="934">
        <f>IF(R53="OA",0,IF(R53="TA",0,IF(R53="VRIJ",0,IF(R53="ST",0,IFERROR(IF(R53="","",(R53/R53)*VLOOKUP($B53,Do!$B$13:$AV$63,47,FALSE)/24),MAX(IFERROR((VLOOKUP($B53,Do!$B$13:$AV$63,47,FALSE)/24),0),Medewerker!E55/120))))))</f>
        <v/>
      </c>
      <c r="T53" s="240" t="n"/>
      <c r="U53" s="933">
        <f>IFERROR(IF(Medewerker!Y55="",VLOOKUP($B53,Vr!$B$13:$E$63,3,FALSE),Medewerker!Y55),"")</f>
        <v/>
      </c>
      <c r="V53" s="933">
        <f>IFERROR(IF(Medewerker!Y55="",VLOOKUP($B53,Vr!$B$13:$E$63,4,FALSE),Medewerker!Y55),"")</f>
        <v/>
      </c>
      <c r="W53" s="934">
        <f>IF(V53="OA",0,IF(V53="TA",0,IF(V53="VRIJ",0,IF(V53="ST",0,IFERROR(IF(V53="","",(V53/V53)*VLOOKUP($B53,Vr!$B$13:$AV$63,47,FALSE)/24),MAX(IFERROR((VLOOKUP($B53,Vr!$B$13:$AV$63,47,FALSE)/24),0),Medewerker!E55/120))))))</f>
        <v/>
      </c>
      <c r="X53" s="240" t="n"/>
      <c r="Y53" s="933">
        <f>IFERROR(IF(Medewerker!AC55="",VLOOKUP($B53,Za!$B$13:$E$63,3,FALSE),Medewerker!AC55),"")</f>
        <v/>
      </c>
      <c r="Z53" s="933">
        <f>IFERROR(IF(Medewerker!AC55="",VLOOKUP($B53,Za!$B$13:$E$63,4,FALSE),Medewerker!AC55),"")</f>
        <v/>
      </c>
      <c r="AA53" s="934">
        <f>IF(Z53="OA",0,IF(Z53="TA",0,IF(Z53="VRIJ",0,IF(Z53="ST",0,IFERROR(IF(Z53="","",(Z53/Z53)*VLOOKUP($B53,Za!$B$13:$AV$63,47,FALSE)/24),MAX(IFERROR((VLOOKUP($B53,Za!$B$13:$AV$63,47,FALSE)/24),0),IF(COUNTIF(E53:V53,"ZIEK")&gt;9,0,IF(COUNTIF(E53:V53,"VAK")&gt;9,0,Medewerker!E55/120))))))))</f>
        <v/>
      </c>
      <c r="AB53" s="240" t="n"/>
      <c r="AC53" s="933">
        <f>IFERROR(IF(Medewerker!AG55="",VLOOKUP($B53,Zo!$B$13:$E$63,3,FALSE),Medewerker!AG55),"")</f>
        <v/>
      </c>
      <c r="AD53" s="933">
        <f>IFERROR(IF(Medewerker!AG55="",VLOOKUP($B53,Zo!$B$13:$E$63,4,FALSE),Medewerker!AG55),"")</f>
        <v/>
      </c>
      <c r="AE53" s="934">
        <f>IF(AD53="OA",0,IF(AD53="TA",0,IF(AD53="VRIJ",0,IF(AD53="ST",0,IFERROR(IF(AD53="","",(AD53/AD53)*VLOOKUP($B53,Zo!$B$13:$AV$63,47,FALSE)/24),MAX(IFERROR((VLOOKUP($B53,Zo!$B$13:$AV$63,47,FALSE)/24),0),IF(COUNTIF(E53:Z53,"ZIEK")&gt;9,0,IF(COUNTIF(E53:Z53,"VAK")&gt;9,0,Medewerker!E55/120))))))))</f>
        <v/>
      </c>
      <c r="AF53" s="240" t="n"/>
      <c r="AG53" s="935">
        <f>SUM(G53,K53,O53,S53,W53,AA53,AE53)</f>
        <v/>
      </c>
      <c r="AH53" s="532">
        <f>COUNT(G53,K53,O53,S53,W53,AA53,AE53)-(COUNTIF(E53:AD53,"Vrij")/2)</f>
        <v/>
      </c>
      <c r="AI53" s="936">
        <f>Planning!AG53*24-Medewerker!E55</f>
        <v/>
      </c>
      <c r="AJ53" s="254">
        <f>IF(MAX(G53,K53,O53,S53,W53,AA53,AE53)*24&gt;Instellingen!$I$8,"nee","ja")</f>
        <v/>
      </c>
      <c r="AK53" s="254">
        <f>IF(AG53*24&gt;Instellingen!$I$9,"nee","ja")</f>
        <v/>
      </c>
    </row>
    <row r="54" ht="14.25" customHeight="1">
      <c r="A54" s="78">
        <f>IF(B54="",0,MAX($A$6:A53)+1)</f>
        <v/>
      </c>
      <c r="B54" s="241">
        <f>IF(Medewerker!C56="","",Medewerker!C56)</f>
        <v/>
      </c>
      <c r="C54" s="238">
        <f>Medewerker!AI56</f>
        <v/>
      </c>
      <c r="D54" s="240" t="n"/>
      <c r="E54" s="932">
        <f>IFERROR(IF(Medewerker!I56="",VLOOKUP($B54,Ma!$B$13:$E$63,3,FALSE),Medewerker!I56),"")</f>
        <v/>
      </c>
      <c r="F54" s="933">
        <f>IFERROR(IF(Medewerker!I56="",VLOOKUP($B54,Ma!$B$13:$E$63,4,FALSE),Medewerker!I56),"")</f>
        <v/>
      </c>
      <c r="G54" s="934">
        <f>IF(F54="OA",0,IF(F54="TA",0,IF(F54="VRIJ",0,IF(F54="ST",0,IFERROR(IF(F54="","",(F54/F54)*VLOOKUP($B54,Ma!$B$13:$AV$63,47,FALSE)/24),MAX(IFERROR((VLOOKUP($B54,Ma!$B$13:$AV$63,47,FALSE)/24),0),Medewerker!E56/120))))))</f>
        <v/>
      </c>
      <c r="H54" s="240" t="n"/>
      <c r="I54" s="933">
        <f>IFERROR(IF(Medewerker!M56="",VLOOKUP($B54,Di!$B$13:$E$63,3,FALSE),Medewerker!M56),"")</f>
        <v/>
      </c>
      <c r="J54" s="933">
        <f>IFERROR(IF(Medewerker!M56="",VLOOKUP($B54,Di!$B$13:$E$63,4,FALSE),Medewerker!M56),"")</f>
        <v/>
      </c>
      <c r="K54" s="934">
        <f>IF(J54="OA",0,IF(J54="TA",0,IF(J54="VRIJ",0,IF(J54="ST",0,IFERROR(IF(J54="","",(J54/J54)*VLOOKUP($B54,Di!$B$13:$AV$63,47,FALSE)/24),MAX(IFERROR((VLOOKUP($B54,Di!$B$13:$AV$63,47,FALSE)/24),0),Medewerker!E56/120))))))</f>
        <v/>
      </c>
      <c r="L54" s="240" t="n"/>
      <c r="M54" s="933">
        <f>IFERROR(IF(Medewerker!Q56="",VLOOKUP($B54,Wo!$B$13:$E$63,3,FALSE),Medewerker!Q56),"")</f>
        <v/>
      </c>
      <c r="N54" s="933">
        <f>IFERROR(IF(Medewerker!Q56="",VLOOKUP($B54,Wo!$B$13:$E$63,4,FALSE),Medewerker!Q56),"")</f>
        <v/>
      </c>
      <c r="O54" s="934">
        <f>IF(N54="OA",0,IF(N54="TA",0,IF(N54="VRIJ",0,IF(N54="ST",0,IFERROR(IF(N54="","",(N54/N54)*VLOOKUP($B54,Wo!$B$13:$AV$63,47,FALSE)/24),MAX(IFERROR((VLOOKUP($B54,Wo!$B$13:$AV$63,47,FALSE)/24),0),Medewerker!E56/120))))))</f>
        <v/>
      </c>
      <c r="P54" s="240" t="n"/>
      <c r="Q54" s="933">
        <f>IFERROR(IF(Medewerker!U56="",VLOOKUP($B54,Do!$B$13:$E$63,3,FALSE),Medewerker!U56),"")</f>
        <v/>
      </c>
      <c r="R54" s="933">
        <f>IFERROR(IF(Medewerker!U56="",VLOOKUP($B54,Do!$B$13:$E$63,4,FALSE),Medewerker!U56),"")</f>
        <v/>
      </c>
      <c r="S54" s="934">
        <f>IF(R54="OA",0,IF(R54="TA",0,IF(R54="VRIJ",0,IF(R54="ST",0,IFERROR(IF(R54="","",(R54/R54)*VLOOKUP($B54,Do!$B$13:$AV$63,47,FALSE)/24),MAX(IFERROR((VLOOKUP($B54,Do!$B$13:$AV$63,47,FALSE)/24),0),Medewerker!E56/120))))))</f>
        <v/>
      </c>
      <c r="T54" s="240" t="n"/>
      <c r="U54" s="933">
        <f>IFERROR(IF(Medewerker!Y56="",VLOOKUP($B54,Vr!$B$13:$E$63,3,FALSE),Medewerker!Y56),"")</f>
        <v/>
      </c>
      <c r="V54" s="933">
        <f>IFERROR(IF(Medewerker!Y56="",VLOOKUP($B54,Vr!$B$13:$E$63,4,FALSE),Medewerker!Y56),"")</f>
        <v/>
      </c>
      <c r="W54" s="934">
        <f>IF(V54="OA",0,IF(V54="TA",0,IF(V54="VRIJ",0,IF(V54="ST",0,IFERROR(IF(V54="","",(V54/V54)*VLOOKUP($B54,Vr!$B$13:$AV$63,47,FALSE)/24),MAX(IFERROR((VLOOKUP($B54,Vr!$B$13:$AV$63,47,FALSE)/24),0),Medewerker!E56/120))))))</f>
        <v/>
      </c>
      <c r="X54" s="240" t="n"/>
      <c r="Y54" s="933">
        <f>IFERROR(IF(Medewerker!AC56="",VLOOKUP($B54,Za!$B$13:$E$63,3,FALSE),Medewerker!AC56),"")</f>
        <v/>
      </c>
      <c r="Z54" s="933">
        <f>IFERROR(IF(Medewerker!AC56="",VLOOKUP($B54,Za!$B$13:$E$63,4,FALSE),Medewerker!AC56),"")</f>
        <v/>
      </c>
      <c r="AA54" s="934">
        <f>IF(Z54="OA",0,IF(Z54="TA",0,IF(Z54="VRIJ",0,IF(Z54="ST",0,IFERROR(IF(Z54="","",(Z54/Z54)*VLOOKUP($B54,Za!$B$13:$AV$63,47,FALSE)/24),MAX(IFERROR((VLOOKUP($B54,Za!$B$13:$AV$63,47,FALSE)/24),0),IF(COUNTIF(E54:V54,"ZIEK")&gt;9,0,IF(COUNTIF(E54:V54,"VAK")&gt;9,0,Medewerker!E56/120))))))))</f>
        <v/>
      </c>
      <c r="AB54" s="240" t="n"/>
      <c r="AC54" s="933">
        <f>IFERROR(IF(Medewerker!AG56="",VLOOKUP($B54,Zo!$B$13:$E$63,3,FALSE),Medewerker!AG56),"")</f>
        <v/>
      </c>
      <c r="AD54" s="933">
        <f>IFERROR(IF(Medewerker!AG56="",VLOOKUP($B54,Zo!$B$13:$E$63,4,FALSE),Medewerker!AG56),"")</f>
        <v/>
      </c>
      <c r="AE54" s="934">
        <f>IF(AD54="OA",0,IF(AD54="TA",0,IF(AD54="VRIJ",0,IF(AD54="ST",0,IFERROR(IF(AD54="","",(AD54/AD54)*VLOOKUP($B54,Zo!$B$13:$AV$63,47,FALSE)/24),MAX(IFERROR((VLOOKUP($B54,Zo!$B$13:$AV$63,47,FALSE)/24),0),IF(COUNTIF(E54:Z54,"ZIEK")&gt;9,0,IF(COUNTIF(E54:Z54,"VAK")&gt;9,0,Medewerker!E56/120))))))))</f>
        <v/>
      </c>
      <c r="AF54" s="240" t="n"/>
      <c r="AG54" s="935">
        <f>SUM(G54,K54,O54,S54,W54,AA54,AE54)</f>
        <v/>
      </c>
      <c r="AH54" s="532">
        <f>COUNT(G54,K54,O54,S54,W54,AA54,AE54)-(COUNTIF(E54:AD54,"Vrij")/2)</f>
        <v/>
      </c>
      <c r="AI54" s="936">
        <f>Planning!AG54*24-Medewerker!E56</f>
        <v/>
      </c>
      <c r="AJ54" s="254">
        <f>IF(MAX(G54,K54,O54,S54,W54,AA54,AE54)*24&gt;Instellingen!$I$8,"nee","ja")</f>
        <v/>
      </c>
      <c r="AK54" s="254">
        <f>IF(AG54*24&gt;Instellingen!$I$9,"nee","ja")</f>
        <v/>
      </c>
    </row>
    <row r="55" ht="14.25" customHeight="1">
      <c r="A55" s="78">
        <f>IF(B55="",0,MAX($A$6:A54)+1)</f>
        <v/>
      </c>
      <c r="B55" s="241">
        <f>IF(Medewerker!C57="","",Medewerker!C57)</f>
        <v/>
      </c>
      <c r="C55" s="238">
        <f>Medewerker!AI57</f>
        <v/>
      </c>
      <c r="D55" s="240" t="n"/>
      <c r="E55" s="932">
        <f>IFERROR(IF(Medewerker!I57="",VLOOKUP($B55,Ma!$B$13:$E$63,3,FALSE),Medewerker!I57),"")</f>
        <v/>
      </c>
      <c r="F55" s="933">
        <f>IFERROR(IF(Medewerker!I57="",VLOOKUP($B55,Ma!$B$13:$E$63,4,FALSE),Medewerker!I57),"")</f>
        <v/>
      </c>
      <c r="G55" s="934">
        <f>IF(F55="OA",0,IF(F55="TA",0,IF(F55="VRIJ",0,IF(F55="ST",0,IFERROR(IF(F55="","",(F55/F55)*VLOOKUP($B55,Ma!$B$13:$AV$63,47,FALSE)/24),MAX(IFERROR((VLOOKUP($B55,Ma!$B$13:$AV$63,47,FALSE)/24),0),Medewerker!E57/120))))))</f>
        <v/>
      </c>
      <c r="H55" s="240" t="n"/>
      <c r="I55" s="933">
        <f>IFERROR(IF(Medewerker!M57="",VLOOKUP($B55,Di!$B$13:$E$63,3,FALSE),Medewerker!M57),"")</f>
        <v/>
      </c>
      <c r="J55" s="933">
        <f>IFERROR(IF(Medewerker!M57="",VLOOKUP($B55,Di!$B$13:$E$63,4,FALSE),Medewerker!M57),"")</f>
        <v/>
      </c>
      <c r="K55" s="934">
        <f>IF(J55="OA",0,IF(J55="TA",0,IF(J55="VRIJ",0,IF(J55="ST",0,IFERROR(IF(J55="","",(J55/J55)*VLOOKUP($B55,Di!$B$13:$AV$63,47,FALSE)/24),MAX(IFERROR((VLOOKUP($B55,Di!$B$13:$AV$63,47,FALSE)/24),0),Medewerker!E57/120))))))</f>
        <v/>
      </c>
      <c r="L55" s="240" t="n"/>
      <c r="M55" s="933">
        <f>IFERROR(IF(Medewerker!Q57="",VLOOKUP($B55,Wo!$B$13:$E$63,3,FALSE),Medewerker!Q57),"")</f>
        <v/>
      </c>
      <c r="N55" s="933">
        <f>IFERROR(IF(Medewerker!Q57="",VLOOKUP($B55,Wo!$B$13:$E$63,4,FALSE),Medewerker!Q57),"")</f>
        <v/>
      </c>
      <c r="O55" s="934">
        <f>IF(N55="OA",0,IF(N55="TA",0,IF(N55="VRIJ",0,IF(N55="ST",0,IFERROR(IF(N55="","",(N55/N55)*VLOOKUP($B55,Wo!$B$13:$AV$63,47,FALSE)/24),MAX(IFERROR((VLOOKUP($B55,Wo!$B$13:$AV$63,47,FALSE)/24),0),Medewerker!E57/120))))))</f>
        <v/>
      </c>
      <c r="P55" s="240" t="n"/>
      <c r="Q55" s="933">
        <f>IFERROR(IF(Medewerker!U57="",VLOOKUP($B55,Do!$B$13:$E$63,3,FALSE),Medewerker!U57),"")</f>
        <v/>
      </c>
      <c r="R55" s="933">
        <f>IFERROR(IF(Medewerker!U57="",VLOOKUP($B55,Do!$B$13:$E$63,4,FALSE),Medewerker!U57),"")</f>
        <v/>
      </c>
      <c r="S55" s="934">
        <f>IF(R55="OA",0,IF(R55="TA",0,IF(R55="VRIJ",0,IF(R55="ST",0,IFERROR(IF(R55="","",(R55/R55)*VLOOKUP($B55,Do!$B$13:$AV$63,47,FALSE)/24),MAX(IFERROR((VLOOKUP($B55,Do!$B$13:$AV$63,47,FALSE)/24),0),Medewerker!E57/120))))))</f>
        <v/>
      </c>
      <c r="T55" s="240" t="n"/>
      <c r="U55" s="933">
        <f>IFERROR(IF(Medewerker!Y57="",VLOOKUP($B55,Vr!$B$13:$E$63,3,FALSE),Medewerker!Y57),"")</f>
        <v/>
      </c>
      <c r="V55" s="933">
        <f>IFERROR(IF(Medewerker!Y57="",VLOOKUP($B55,Vr!$B$13:$E$63,4,FALSE),Medewerker!Y57),"")</f>
        <v/>
      </c>
      <c r="W55" s="934">
        <f>IF(V55="OA",0,IF(V55="TA",0,IF(V55="VRIJ",0,IF(V55="ST",0,IFERROR(IF(V55="","",(V55/V55)*VLOOKUP($B55,Vr!$B$13:$AV$63,47,FALSE)/24),MAX(IFERROR((VLOOKUP($B55,Vr!$B$13:$AV$63,47,FALSE)/24),0),Medewerker!E57/120))))))</f>
        <v/>
      </c>
      <c r="X55" s="240" t="n"/>
      <c r="Y55" s="933">
        <f>IFERROR(IF(Medewerker!AC57="",VLOOKUP($B55,Za!$B$13:$E$63,3,FALSE),Medewerker!AC57),"")</f>
        <v/>
      </c>
      <c r="Z55" s="933">
        <f>IFERROR(IF(Medewerker!AC57="",VLOOKUP($B55,Za!$B$13:$E$63,4,FALSE),Medewerker!AC57),"")</f>
        <v/>
      </c>
      <c r="AA55" s="934">
        <f>IF(Z55="OA",0,IF(Z55="TA",0,IF(Z55="VRIJ",0,IF(Z55="ST",0,IFERROR(IF(Z55="","",(Z55/Z55)*VLOOKUP($B55,Za!$B$13:$AV$63,47,FALSE)/24),MAX(IFERROR((VLOOKUP($B55,Za!$B$13:$AV$63,47,FALSE)/24),0),IF(COUNTIF(E55:V55,"ZIEK")&gt;9,0,IF(COUNTIF(E55:V55,"VAK")&gt;9,0,Medewerker!E57/120))))))))</f>
        <v/>
      </c>
      <c r="AB55" s="240" t="n"/>
      <c r="AC55" s="933">
        <f>IFERROR(IF(Medewerker!AG57="",VLOOKUP($B55,Zo!$B$13:$E$63,3,FALSE),Medewerker!AG57),"")</f>
        <v/>
      </c>
      <c r="AD55" s="933">
        <f>IFERROR(IF(Medewerker!AG57="",VLOOKUP($B55,Zo!$B$13:$E$63,4,FALSE),Medewerker!AG57),"")</f>
        <v/>
      </c>
      <c r="AE55" s="934">
        <f>IF(AD55="OA",0,IF(AD55="TA",0,IF(AD55="VRIJ",0,IF(AD55="ST",0,IFERROR(IF(AD55="","",(AD55/AD55)*VLOOKUP($B55,Zo!$B$13:$AV$63,47,FALSE)/24),MAX(IFERROR((VLOOKUP($B55,Zo!$B$13:$AV$63,47,FALSE)/24),0),IF(COUNTIF(E55:Z55,"ZIEK")&gt;9,0,IF(COUNTIF(E55:Z55,"VAK")&gt;9,0,Medewerker!E57/120))))))))</f>
        <v/>
      </c>
      <c r="AF55" s="240" t="n"/>
      <c r="AG55" s="935">
        <f>SUM(G55,K55,O55,S55,W55,AA55,AE55)</f>
        <v/>
      </c>
      <c r="AH55" s="532">
        <f>COUNT(G55,K55,O55,S55,W55,AA55,AE55)-(COUNTIF(E55:AD55,"Vrij")/2)</f>
        <v/>
      </c>
      <c r="AI55" s="936">
        <f>Planning!AG55*24-Medewerker!E57</f>
        <v/>
      </c>
      <c r="AJ55" s="254">
        <f>IF(MAX(G55,K55,O55,S55,W55,AA55,AE55)*24&gt;Instellingen!$I$8,"nee","ja")</f>
        <v/>
      </c>
      <c r="AK55" s="254">
        <f>IF(AG55*24&gt;Instellingen!$I$9,"nee","ja")</f>
        <v/>
      </c>
    </row>
    <row r="56" ht="14.25" customHeight="1">
      <c r="A56" s="78">
        <f>IF(B56="",0,MAX($A$6:A55)+1)</f>
        <v/>
      </c>
      <c r="B56" s="241">
        <f>IF(Medewerker!C58="","",Medewerker!C58)</f>
        <v/>
      </c>
      <c r="C56" s="238">
        <f>Medewerker!AI58</f>
        <v/>
      </c>
      <c r="D56" s="240" t="n"/>
      <c r="E56" s="932">
        <f>IFERROR(IF(Medewerker!I58="",VLOOKUP($B56,Ma!$B$13:$E$63,3,FALSE),Medewerker!I58),"")</f>
        <v/>
      </c>
      <c r="F56" s="933">
        <f>IFERROR(IF(Medewerker!I58="",VLOOKUP($B56,Ma!$B$13:$E$63,4,FALSE),Medewerker!I58),"")</f>
        <v/>
      </c>
      <c r="G56" s="934">
        <f>IF(F56="OA",0,IF(F56="TA",0,IF(F56="VRIJ",0,IF(F56="ST",0,IFERROR(IF(F56="","",(F56/F56)*VLOOKUP($B56,Ma!$B$13:$AV$63,47,FALSE)/24),MAX(IFERROR((VLOOKUP($B56,Ma!$B$13:$AV$63,47,FALSE)/24),0),Medewerker!E58/120))))))</f>
        <v/>
      </c>
      <c r="H56" s="240" t="n"/>
      <c r="I56" s="933">
        <f>IFERROR(IF(Medewerker!M58="",VLOOKUP($B56,Di!$B$13:$E$63,3,FALSE),Medewerker!M58),"")</f>
        <v/>
      </c>
      <c r="J56" s="933">
        <f>IFERROR(IF(Medewerker!M58="",VLOOKUP($B56,Di!$B$13:$E$63,4,FALSE),Medewerker!M58),"")</f>
        <v/>
      </c>
      <c r="K56" s="934">
        <f>IF(J56="OA",0,IF(J56="TA",0,IF(J56="VRIJ",0,IF(J56="ST",0,IFERROR(IF(J56="","",(J56/J56)*VLOOKUP($B56,Di!$B$13:$AV$63,47,FALSE)/24),MAX(IFERROR((VLOOKUP($B56,Di!$B$13:$AV$63,47,FALSE)/24),0),Medewerker!E58/120))))))</f>
        <v/>
      </c>
      <c r="L56" s="240" t="n"/>
      <c r="M56" s="933">
        <f>IFERROR(IF(Medewerker!Q58="",VLOOKUP($B56,Wo!$B$13:$E$63,3,FALSE),Medewerker!Q58),"")</f>
        <v/>
      </c>
      <c r="N56" s="933">
        <f>IFERROR(IF(Medewerker!Q58="",VLOOKUP($B56,Wo!$B$13:$E$63,4,FALSE),Medewerker!Q58),"")</f>
        <v/>
      </c>
      <c r="O56" s="934">
        <f>IF(N56="OA",0,IF(N56="TA",0,IF(N56="VRIJ",0,IF(N56="ST",0,IFERROR(IF(N56="","",(N56/N56)*VLOOKUP($B56,Wo!$B$13:$AV$63,47,FALSE)/24),MAX(IFERROR((VLOOKUP($B56,Wo!$B$13:$AV$63,47,FALSE)/24),0),Medewerker!E58/120))))))</f>
        <v/>
      </c>
      <c r="P56" s="240" t="n"/>
      <c r="Q56" s="933">
        <f>IFERROR(IF(Medewerker!U58="",VLOOKUP($B56,Do!$B$13:$E$63,3,FALSE),Medewerker!U58),"")</f>
        <v/>
      </c>
      <c r="R56" s="933">
        <f>IFERROR(IF(Medewerker!U58="",VLOOKUP($B56,Do!$B$13:$E$63,4,FALSE),Medewerker!U58),"")</f>
        <v/>
      </c>
      <c r="S56" s="934">
        <f>IF(R56="OA",0,IF(R56="TA",0,IF(R56="VRIJ",0,IF(R56="ST",0,IFERROR(IF(R56="","",(R56/R56)*VLOOKUP($B56,Do!$B$13:$AV$63,47,FALSE)/24),MAX(IFERROR((VLOOKUP($B56,Do!$B$13:$AV$63,47,FALSE)/24),0),Medewerker!E58/120))))))</f>
        <v/>
      </c>
      <c r="T56" s="240" t="n"/>
      <c r="U56" s="933">
        <f>IFERROR(IF(Medewerker!Y58="",VLOOKUP($B56,Vr!$B$13:$E$63,3,FALSE),Medewerker!Y58),"")</f>
        <v/>
      </c>
      <c r="V56" s="933">
        <f>IFERROR(IF(Medewerker!Y58="",VLOOKUP($B56,Vr!$B$13:$E$63,4,FALSE),Medewerker!Y58),"")</f>
        <v/>
      </c>
      <c r="W56" s="934">
        <f>IF(V56="OA",0,IF(V56="TA",0,IF(V56="VRIJ",0,IF(V56="ST",0,IFERROR(IF(V56="","",(V56/V56)*VLOOKUP($B56,Vr!$B$13:$AV$63,47,FALSE)/24),MAX(IFERROR((VLOOKUP($B56,Vr!$B$13:$AV$63,47,FALSE)/24),0),Medewerker!E58/120))))))</f>
        <v/>
      </c>
      <c r="X56" s="240" t="n"/>
      <c r="Y56" s="933">
        <f>IFERROR(IF(Medewerker!AC58="",VLOOKUP($B56,Za!$B$13:$E$63,3,FALSE),Medewerker!AC58),"")</f>
        <v/>
      </c>
      <c r="Z56" s="933">
        <f>IFERROR(IF(Medewerker!AC58="",VLOOKUP($B56,Za!$B$13:$E$63,4,FALSE),Medewerker!AC58),"")</f>
        <v/>
      </c>
      <c r="AA56" s="934">
        <f>IF(Z56="OA",0,IF(Z56="TA",0,IF(Z56="VRIJ",0,IF(Z56="ST",0,IFERROR(IF(Z56="","",(Z56/Z56)*VLOOKUP($B56,Za!$B$13:$AV$63,47,FALSE)/24),MAX(IFERROR((VLOOKUP($B56,Za!$B$13:$AV$63,47,FALSE)/24),0),IF(COUNTIF(E56:V56,"ZIEK")&gt;9,0,IF(COUNTIF(E56:V56,"VAK")&gt;9,0,Medewerker!E58/120))))))))</f>
        <v/>
      </c>
      <c r="AB56" s="240" t="n"/>
      <c r="AC56" s="933">
        <f>IFERROR(IF(Medewerker!AG58="",VLOOKUP($B56,Zo!$B$13:$E$63,3,FALSE),Medewerker!AG58),"")</f>
        <v/>
      </c>
      <c r="AD56" s="933">
        <f>IFERROR(IF(Medewerker!AG58="",VLOOKUP($B56,Zo!$B$13:$E$63,4,FALSE),Medewerker!AG58),"")</f>
        <v/>
      </c>
      <c r="AE56" s="934">
        <f>IF(AD56="OA",0,IF(AD56="TA",0,IF(AD56="VRIJ",0,IF(AD56="ST",0,IFERROR(IF(AD56="","",(AD56/AD56)*VLOOKUP($B56,Zo!$B$13:$AV$63,47,FALSE)/24),MAX(IFERROR((VLOOKUP($B56,Zo!$B$13:$AV$63,47,FALSE)/24),0),IF(COUNTIF(E56:Z56,"ZIEK")&gt;9,0,IF(COUNTIF(E56:Z56,"VAK")&gt;9,0,Medewerker!E58/120))))))))</f>
        <v/>
      </c>
      <c r="AF56" s="240" t="n"/>
      <c r="AG56" s="935">
        <f>SUM(G56,K56,O56,S56,W56,AA56,AE56)</f>
        <v/>
      </c>
      <c r="AH56" s="532">
        <f>COUNT(G56,K56,O56,S56,W56,AA56,AE56)-(COUNTIF(E56:AD56,"Vrij")/2)</f>
        <v/>
      </c>
      <c r="AI56" s="936">
        <f>Planning!AG56*24-Medewerker!E58</f>
        <v/>
      </c>
      <c r="AJ56" s="254">
        <f>IF(MAX(G56,K56,O56,S56,W56,AA56,AE56)*24&gt;Instellingen!$I$8,"nee","ja")</f>
        <v/>
      </c>
      <c r="AK56" s="254">
        <f>IF(AG56*24&gt;Instellingen!$I$9,"nee","ja")</f>
        <v/>
      </c>
    </row>
    <row r="57" ht="14.25" customHeight="1">
      <c r="A57" s="78">
        <f>IF(B57="",0,MAX($A$6:A56)+1)</f>
        <v/>
      </c>
      <c r="B57" s="241">
        <f>IF(Medewerker!C59="","",Medewerker!C59)</f>
        <v/>
      </c>
      <c r="C57" s="238">
        <f>Medewerker!AI59</f>
        <v/>
      </c>
      <c r="D57" s="240" t="n"/>
      <c r="E57" s="932">
        <f>IFERROR(IF(Medewerker!I59="",VLOOKUP($B57,Ma!$B$13:$E$63,3,FALSE),Medewerker!I59),"")</f>
        <v/>
      </c>
      <c r="F57" s="933">
        <f>IFERROR(IF(Medewerker!I59="",VLOOKUP($B57,Ma!$B$13:$E$63,4,FALSE),Medewerker!I59),"")</f>
        <v/>
      </c>
      <c r="G57" s="934">
        <f>IF(F57="OA",0,IF(F57="TA",0,IF(F57="VRIJ",0,IF(F57="ST",0,IFERROR(IF(F57="","",(F57/F57)*VLOOKUP($B57,Ma!$B$13:$AV$63,47,FALSE)/24),MAX(IFERROR((VLOOKUP($B57,Ma!$B$13:$AV$63,47,FALSE)/24),0),Medewerker!E59/120))))))</f>
        <v/>
      </c>
      <c r="H57" s="240" t="n"/>
      <c r="I57" s="933">
        <f>IFERROR(IF(Medewerker!M59="",VLOOKUP($B57,Di!$B$13:$E$63,3,FALSE),Medewerker!M59),"")</f>
        <v/>
      </c>
      <c r="J57" s="933">
        <f>IFERROR(IF(Medewerker!M59="",VLOOKUP($B57,Di!$B$13:$E$63,4,FALSE),Medewerker!M59),"")</f>
        <v/>
      </c>
      <c r="K57" s="934">
        <f>IF(J57="OA",0,IF(J57="TA",0,IF(J57="VRIJ",0,IF(J57="ST",0,IFERROR(IF(J57="","",(J57/J57)*VLOOKUP($B57,Di!$B$13:$AV$63,47,FALSE)/24),MAX(IFERROR((VLOOKUP($B57,Di!$B$13:$AV$63,47,FALSE)/24),0),Medewerker!E59/120))))))</f>
        <v/>
      </c>
      <c r="L57" s="240" t="n"/>
      <c r="M57" s="933">
        <f>IFERROR(IF(Medewerker!Q59="",VLOOKUP($B57,Wo!$B$13:$E$63,3,FALSE),Medewerker!Q59),"")</f>
        <v/>
      </c>
      <c r="N57" s="933">
        <f>IFERROR(IF(Medewerker!Q59="",VLOOKUP($B57,Wo!$B$13:$E$63,4,FALSE),Medewerker!Q59),"")</f>
        <v/>
      </c>
      <c r="O57" s="934">
        <f>IF(N57="OA",0,IF(N57="TA",0,IF(N57="VRIJ",0,IF(N57="ST",0,IFERROR(IF(N57="","",(N57/N57)*VLOOKUP($B57,Wo!$B$13:$AV$63,47,FALSE)/24),MAX(IFERROR((VLOOKUP($B57,Wo!$B$13:$AV$63,47,FALSE)/24),0),Medewerker!E59/120))))))</f>
        <v/>
      </c>
      <c r="P57" s="240" t="n"/>
      <c r="Q57" s="933">
        <f>IFERROR(IF(Medewerker!U59="",VLOOKUP($B57,Do!$B$13:$E$63,3,FALSE),Medewerker!U59),"")</f>
        <v/>
      </c>
      <c r="R57" s="933">
        <f>IFERROR(IF(Medewerker!U59="",VLOOKUP($B57,Do!$B$13:$E$63,4,FALSE),Medewerker!U59),"")</f>
        <v/>
      </c>
      <c r="S57" s="934">
        <f>IF(R57="OA",0,IF(R57="TA",0,IF(R57="VRIJ",0,IF(R57="ST",0,IFERROR(IF(R57="","",(R57/R57)*VLOOKUP($B57,Do!$B$13:$AV$63,47,FALSE)/24),MAX(IFERROR((VLOOKUP($B57,Do!$B$13:$AV$63,47,FALSE)/24),0),Medewerker!E59/120))))))</f>
        <v/>
      </c>
      <c r="T57" s="240" t="n"/>
      <c r="U57" s="933">
        <f>IFERROR(IF(Medewerker!Y59="",VLOOKUP($B57,Vr!$B$13:$E$63,3,FALSE),Medewerker!Y59),"")</f>
        <v/>
      </c>
      <c r="V57" s="933">
        <f>IFERROR(IF(Medewerker!Y59="",VLOOKUP($B57,Vr!$B$13:$E$63,4,FALSE),Medewerker!Y59),"")</f>
        <v/>
      </c>
      <c r="W57" s="934">
        <f>IF(V57="OA",0,IF(V57="TA",0,IF(V57="VRIJ",0,IF(V57="ST",0,IFERROR(IF(V57="","",(V57/V57)*VLOOKUP($B57,Vr!$B$13:$AV$63,47,FALSE)/24),MAX(IFERROR((VLOOKUP($B57,Vr!$B$13:$AV$63,47,FALSE)/24),0),Medewerker!E59/120))))))</f>
        <v/>
      </c>
      <c r="X57" s="240" t="n"/>
      <c r="Y57" s="933">
        <f>IFERROR(IF(Medewerker!AC59="",VLOOKUP($B57,Za!$B$13:$E$63,3,FALSE),Medewerker!AC59),"")</f>
        <v/>
      </c>
      <c r="Z57" s="933">
        <f>IFERROR(IF(Medewerker!AC59="",VLOOKUP($B57,Za!$B$13:$E$63,4,FALSE),Medewerker!AC59),"")</f>
        <v/>
      </c>
      <c r="AA57" s="934">
        <f>IF(Z57="OA",0,IF(Z57="TA",0,IF(Z57="VRIJ",0,IF(Z57="ST",0,IFERROR(IF(Z57="","",(Z57/Z57)*VLOOKUP($B57,Za!$B$13:$AV$63,47,FALSE)/24),MAX(IFERROR((VLOOKUP($B57,Za!$B$13:$AV$63,47,FALSE)/24),0),IF(COUNTIF(E57:V57,"ZIEK")&gt;9,0,IF(COUNTIF(E57:V57,"VAK")&gt;9,0,Medewerker!E59/120))))))))</f>
        <v/>
      </c>
      <c r="AB57" s="240" t="n"/>
      <c r="AC57" s="933">
        <f>IFERROR(IF(Medewerker!AG59="",VLOOKUP($B57,Zo!$B$13:$E$63,3,FALSE),Medewerker!AG59),"")</f>
        <v/>
      </c>
      <c r="AD57" s="933">
        <f>IFERROR(IF(Medewerker!AG59="",VLOOKUP($B57,Zo!$B$13:$E$63,4,FALSE),Medewerker!AG59),"")</f>
        <v/>
      </c>
      <c r="AE57" s="934">
        <f>IF(AD57="OA",0,IF(AD57="TA",0,IF(AD57="VRIJ",0,IF(AD57="ST",0,IFERROR(IF(AD57="","",(AD57/AD57)*VLOOKUP($B57,Zo!$B$13:$AV$63,47,FALSE)/24),MAX(IFERROR((VLOOKUP($B57,Zo!$B$13:$AV$63,47,FALSE)/24),0),IF(COUNTIF(E57:Z57,"ZIEK")&gt;9,0,IF(COUNTIF(E57:Z57,"VAK")&gt;9,0,Medewerker!E59/120))))))))</f>
        <v/>
      </c>
      <c r="AF57" s="240" t="n"/>
      <c r="AG57" s="935">
        <f>SUM(G57,K57,O57,S57,W57,AA57,AE57)</f>
        <v/>
      </c>
      <c r="AH57" s="532">
        <f>COUNT(G57,K57,O57,S57,W57,AA57,AE57)-(COUNTIF(E57:AD57,"Vrij")/2)</f>
        <v/>
      </c>
      <c r="AI57" s="936">
        <f>Planning!AG57*24-Medewerker!E59</f>
        <v/>
      </c>
      <c r="AJ57" s="254">
        <f>IF(MAX(G57,K57,O57,S57,W57,AA57,AE57)*24&gt;Instellingen!$I$8,"nee","ja")</f>
        <v/>
      </c>
      <c r="AK57" s="254">
        <f>IF(AG57*24&gt;Instellingen!$I$9,"nee","ja")</f>
        <v/>
      </c>
    </row>
    <row r="58" ht="14.25" customHeight="1">
      <c r="A58" s="78">
        <f>IF(B58="",0,MAX($A$6:A57)+1)</f>
        <v/>
      </c>
      <c r="B58" s="241">
        <f>IF(Medewerker!C60="","",Medewerker!C60)</f>
        <v/>
      </c>
      <c r="C58" s="238">
        <f>Medewerker!AI60</f>
        <v/>
      </c>
      <c r="D58" s="240" t="n"/>
      <c r="E58" s="932">
        <f>IFERROR(IF(Medewerker!I60="",VLOOKUP($B58,Ma!$B$13:$E$63,3,FALSE),Medewerker!I60),"")</f>
        <v/>
      </c>
      <c r="F58" s="933">
        <f>IFERROR(IF(Medewerker!I60="",VLOOKUP($B58,Ma!$B$13:$E$63,4,FALSE),Medewerker!I60),"")</f>
        <v/>
      </c>
      <c r="G58" s="934">
        <f>IF(F58="OA",0,IF(F58="TA",0,IF(F58="VRIJ",0,IF(F58="ST",0,IFERROR(IF(F58="","",(F58/F58)*VLOOKUP($B58,Ma!$B$13:$AV$63,47,FALSE)/24),MAX(IFERROR((VLOOKUP($B58,Ma!$B$13:$AV$63,47,FALSE)/24),0),Medewerker!E60/120))))))</f>
        <v/>
      </c>
      <c r="H58" s="240" t="n"/>
      <c r="I58" s="933">
        <f>IFERROR(IF(Medewerker!M60="",VLOOKUP($B58,Di!$B$13:$E$63,3,FALSE),Medewerker!M60),"")</f>
        <v/>
      </c>
      <c r="J58" s="933">
        <f>IFERROR(IF(Medewerker!M60="",VLOOKUP($B58,Di!$B$13:$E$63,4,FALSE),Medewerker!M60),"")</f>
        <v/>
      </c>
      <c r="K58" s="934">
        <f>IF(J58="OA",0,IF(J58="TA",0,IF(J58="VRIJ",0,IF(J58="ST",0,IFERROR(IF(J58="","",(J58/J58)*VLOOKUP($B58,Di!$B$13:$AV$63,47,FALSE)/24),MAX(IFERROR((VLOOKUP($B58,Di!$B$13:$AV$63,47,FALSE)/24),0),Medewerker!E60/120))))))</f>
        <v/>
      </c>
      <c r="L58" s="240" t="n"/>
      <c r="M58" s="933">
        <f>IFERROR(IF(Medewerker!Q60="",VLOOKUP($B58,Wo!$B$13:$E$63,3,FALSE),Medewerker!Q60),"")</f>
        <v/>
      </c>
      <c r="N58" s="933">
        <f>IFERROR(IF(Medewerker!Q60="",VLOOKUP($B58,Wo!$B$13:$E$63,4,FALSE),Medewerker!Q60),"")</f>
        <v/>
      </c>
      <c r="O58" s="934">
        <f>IF(N58="OA",0,IF(N58="TA",0,IF(N58="VRIJ",0,IF(N58="ST",0,IFERROR(IF(N58="","",(N58/N58)*VLOOKUP($B58,Wo!$B$13:$AV$63,47,FALSE)/24),MAX(IFERROR((VLOOKUP($B58,Wo!$B$13:$AV$63,47,FALSE)/24),0),Medewerker!E60/120))))))</f>
        <v/>
      </c>
      <c r="P58" s="240" t="n"/>
      <c r="Q58" s="933">
        <f>IFERROR(IF(Medewerker!U60="",VLOOKUP($B58,Do!$B$13:$E$63,3,FALSE),Medewerker!U60),"")</f>
        <v/>
      </c>
      <c r="R58" s="933">
        <f>IFERROR(IF(Medewerker!U60="",VLOOKUP($B58,Do!$B$13:$E$63,4,FALSE),Medewerker!U60),"")</f>
        <v/>
      </c>
      <c r="S58" s="934">
        <f>IF(R58="OA",0,IF(R58="TA",0,IF(R58="VRIJ",0,IF(R58="ST",0,IFERROR(IF(R58="","",(R58/R58)*VLOOKUP($B58,Do!$B$13:$AV$63,47,FALSE)/24),MAX(IFERROR((VLOOKUP($B58,Do!$B$13:$AV$63,47,FALSE)/24),0),Medewerker!E60/120))))))</f>
        <v/>
      </c>
      <c r="T58" s="240" t="n"/>
      <c r="U58" s="933">
        <f>IFERROR(IF(Medewerker!Y60="",VLOOKUP($B58,Vr!$B$13:$E$63,3,FALSE),Medewerker!Y60),"")</f>
        <v/>
      </c>
      <c r="V58" s="933">
        <f>IFERROR(IF(Medewerker!Y60="",VLOOKUP($B58,Vr!$B$13:$E$63,4,FALSE),Medewerker!Y60),"")</f>
        <v/>
      </c>
      <c r="W58" s="934">
        <f>IF(V58="OA",0,IF(V58="TA",0,IF(V58="VRIJ",0,IF(V58="ST",0,IFERROR(IF(V58="","",(V58/V58)*VLOOKUP($B58,Vr!$B$13:$AV$63,47,FALSE)/24),MAX(IFERROR((VLOOKUP($B58,Vr!$B$13:$AV$63,47,FALSE)/24),0),Medewerker!E60/120))))))</f>
        <v/>
      </c>
      <c r="X58" s="240" t="n"/>
      <c r="Y58" s="933">
        <f>IFERROR(IF(Medewerker!AC60="",VLOOKUP($B58,Za!$B$13:$E$63,3,FALSE),Medewerker!AC60),"")</f>
        <v/>
      </c>
      <c r="Z58" s="933">
        <f>IFERROR(IF(Medewerker!AC60="",VLOOKUP($B58,Za!$B$13:$E$63,4,FALSE),Medewerker!AC60),"")</f>
        <v/>
      </c>
      <c r="AA58" s="934">
        <f>IF(Z58="OA",0,IF(Z58="TA",0,IF(Z58="VRIJ",0,IF(Z58="ST",0,IFERROR(IF(Z58="","",(Z58/Z58)*VLOOKUP($B58,Za!$B$13:$AV$63,47,FALSE)/24),MAX(IFERROR((VLOOKUP($B58,Za!$B$13:$AV$63,47,FALSE)/24),0),IF(COUNTIF(E58:V58,"ZIEK")&gt;9,0,IF(COUNTIF(E58:V58,"VAK")&gt;9,0,Medewerker!E60/120))))))))</f>
        <v/>
      </c>
      <c r="AB58" s="240" t="n"/>
      <c r="AC58" s="933">
        <f>IFERROR(IF(Medewerker!AG60="",VLOOKUP($B58,Zo!$B$13:$E$63,3,FALSE),Medewerker!AG60),"")</f>
        <v/>
      </c>
      <c r="AD58" s="933">
        <f>IFERROR(IF(Medewerker!AG60="",VLOOKUP($B58,Zo!$B$13:$E$63,4,FALSE),Medewerker!AG60),"")</f>
        <v/>
      </c>
      <c r="AE58" s="934">
        <f>IF(AD58="OA",0,IF(AD58="TA",0,IF(AD58="VRIJ",0,IF(AD58="ST",0,IFERROR(IF(AD58="","",(AD58/AD58)*VLOOKUP($B58,Zo!$B$13:$AV$63,47,FALSE)/24),MAX(IFERROR((VLOOKUP($B58,Zo!$B$13:$AV$63,47,FALSE)/24),0),IF(COUNTIF(E58:Z58,"ZIEK")&gt;9,0,IF(COUNTIF(E58:Z58,"VAK")&gt;9,0,Medewerker!E60/120))))))))</f>
        <v/>
      </c>
      <c r="AF58" s="240" t="n"/>
      <c r="AG58" s="935">
        <f>SUM(G58,K58,O58,S58,W58,AA58,AE58)</f>
        <v/>
      </c>
      <c r="AH58" s="532">
        <f>COUNT(G58,K58,O58,S58,W58,AA58,AE58)-(COUNTIF(E58:AD58,"Vrij")/2)</f>
        <v/>
      </c>
      <c r="AI58" s="936">
        <f>Planning!AG58*24-Medewerker!E60</f>
        <v/>
      </c>
      <c r="AJ58" s="254">
        <f>IF(MAX(G58,K58,O58,S58,W58,AA58,AE58)*24&gt;Instellingen!$I$8,"nee","ja")</f>
        <v/>
      </c>
      <c r="AK58" s="254">
        <f>IF(AG58*24&gt;Instellingen!$I$9,"nee","ja")</f>
        <v/>
      </c>
    </row>
    <row r="59" ht="14.25" customHeight="1">
      <c r="A59" s="78">
        <f>IF(B59="",0,MAX($A$6:A58)+1)</f>
        <v/>
      </c>
      <c r="B59" s="241">
        <f>IF(Medewerker!C61="","",Medewerker!C61)</f>
        <v/>
      </c>
      <c r="C59" s="238">
        <f>Medewerker!AI61</f>
        <v/>
      </c>
      <c r="D59" s="240" t="n"/>
      <c r="E59" s="932">
        <f>IFERROR(IF(Medewerker!I61="",VLOOKUP($B59,Ma!$B$13:$E$63,3,FALSE),Medewerker!I61),"")</f>
        <v/>
      </c>
      <c r="F59" s="933">
        <f>IFERROR(IF(Medewerker!I61="",VLOOKUP($B59,Ma!$B$13:$E$63,4,FALSE),Medewerker!I61),"")</f>
        <v/>
      </c>
      <c r="G59" s="934">
        <f>IF(F59="OA",0,IF(F59="TA",0,IF(F59="VRIJ",0,IF(F59="ST",0,IFERROR(IF(F59="","",(F59/F59)*VLOOKUP($B59,Ma!$B$13:$AV$63,47,FALSE)/24),MAX(IFERROR((VLOOKUP($B59,Ma!$B$13:$AV$63,47,FALSE)/24),0),Medewerker!E61/120))))))</f>
        <v/>
      </c>
      <c r="H59" s="240" t="n"/>
      <c r="I59" s="933">
        <f>IFERROR(IF(Medewerker!M61="",VLOOKUP($B59,Di!$B$13:$E$63,3,FALSE),Medewerker!M61),"")</f>
        <v/>
      </c>
      <c r="J59" s="933">
        <f>IFERROR(IF(Medewerker!M61="",VLOOKUP($B59,Di!$B$13:$E$63,4,FALSE),Medewerker!M61),"")</f>
        <v/>
      </c>
      <c r="K59" s="934">
        <f>IF(J59="OA",0,IF(J59="TA",0,IF(J59="VRIJ",0,IF(J59="ST",0,IFERROR(IF(J59="","",(J59/J59)*VLOOKUP($B59,Di!$B$13:$AV$63,47,FALSE)/24),MAX(IFERROR((VLOOKUP($B59,Di!$B$13:$AV$63,47,FALSE)/24),0),Medewerker!E61/120))))))</f>
        <v/>
      </c>
      <c r="L59" s="240" t="n"/>
      <c r="M59" s="933">
        <f>IFERROR(IF(Medewerker!Q61="",VLOOKUP($B59,Wo!$B$13:$E$63,3,FALSE),Medewerker!Q61),"")</f>
        <v/>
      </c>
      <c r="N59" s="933">
        <f>IFERROR(IF(Medewerker!Q61="",VLOOKUP($B59,Wo!$B$13:$E$63,4,FALSE),Medewerker!Q61),"")</f>
        <v/>
      </c>
      <c r="O59" s="934">
        <f>IF(N59="OA",0,IF(N59="TA",0,IF(N59="VRIJ",0,IF(N59="ST",0,IFERROR(IF(N59="","",(N59/N59)*VLOOKUP($B59,Wo!$B$13:$AV$63,47,FALSE)/24),MAX(IFERROR((VLOOKUP($B59,Wo!$B$13:$AV$63,47,FALSE)/24),0),Medewerker!E61/120))))))</f>
        <v/>
      </c>
      <c r="P59" s="240" t="n"/>
      <c r="Q59" s="933">
        <f>IFERROR(IF(Medewerker!U61="",VLOOKUP($B59,Do!$B$13:$E$63,3,FALSE),Medewerker!U61),"")</f>
        <v/>
      </c>
      <c r="R59" s="933">
        <f>IFERROR(IF(Medewerker!U61="",VLOOKUP($B59,Do!$B$13:$E$63,4,FALSE),Medewerker!U61),"")</f>
        <v/>
      </c>
      <c r="S59" s="934">
        <f>IF(R59="OA",0,IF(R59="TA",0,IF(R59="VRIJ",0,IF(R59="ST",0,IFERROR(IF(R59="","",(R59/R59)*VLOOKUP($B59,Do!$B$13:$AV$63,47,FALSE)/24),MAX(IFERROR((VLOOKUP($B59,Do!$B$13:$AV$63,47,FALSE)/24),0),Medewerker!E61/120))))))</f>
        <v/>
      </c>
      <c r="T59" s="240" t="n"/>
      <c r="U59" s="933">
        <f>IFERROR(IF(Medewerker!Y61="",VLOOKUP($B59,Vr!$B$13:$E$63,3,FALSE),Medewerker!Y61),"")</f>
        <v/>
      </c>
      <c r="V59" s="933">
        <f>IFERROR(IF(Medewerker!Y61="",VLOOKUP($B59,Vr!$B$13:$E$63,4,FALSE),Medewerker!Y61),"")</f>
        <v/>
      </c>
      <c r="W59" s="934">
        <f>IF(V59="OA",0,IF(V59="TA",0,IF(V59="VRIJ",0,IF(V59="ST",0,IFERROR(IF(V59="","",(V59/V59)*VLOOKUP($B59,Vr!$B$13:$AV$63,47,FALSE)/24),MAX(IFERROR((VLOOKUP($B59,Vr!$B$13:$AV$63,47,FALSE)/24),0),Medewerker!E61/120))))))</f>
        <v/>
      </c>
      <c r="X59" s="240" t="n"/>
      <c r="Y59" s="933">
        <f>IFERROR(IF(Medewerker!AC61="",VLOOKUP($B59,Za!$B$13:$E$63,3,FALSE),Medewerker!AC61),"")</f>
        <v/>
      </c>
      <c r="Z59" s="933">
        <f>IFERROR(IF(Medewerker!AC61="",VLOOKUP($B59,Za!$B$13:$E$63,4,FALSE),Medewerker!AC61),"")</f>
        <v/>
      </c>
      <c r="AA59" s="934">
        <f>IF(Z59="OA",0,IF(Z59="TA",0,IF(Z59="VRIJ",0,IF(Z59="ST",0,IFERROR(IF(Z59="","",(Z59/Z59)*VLOOKUP($B59,Za!$B$13:$AV$63,47,FALSE)/24),MAX(IFERROR((VLOOKUP($B59,Za!$B$13:$AV$63,47,FALSE)/24),0),IF(COUNTIF(E59:V59,"ZIEK")&gt;9,0,IF(COUNTIF(E59:V59,"VAK")&gt;9,0,Medewerker!E61/120))))))))</f>
        <v/>
      </c>
      <c r="AB59" s="240" t="n"/>
      <c r="AC59" s="933">
        <f>IFERROR(IF(Medewerker!AG61="",VLOOKUP($B59,Zo!$B$13:$E$63,3,FALSE),Medewerker!AG61),"")</f>
        <v/>
      </c>
      <c r="AD59" s="933">
        <f>IFERROR(IF(Medewerker!AG61="",VLOOKUP($B59,Zo!$B$13:$E$63,4,FALSE),Medewerker!AG61),"")</f>
        <v/>
      </c>
      <c r="AE59" s="934">
        <f>IF(AD59="OA",0,IF(AD59="TA",0,IF(AD59="VRIJ",0,IF(AD59="ST",0,IFERROR(IF(AD59="","",(AD59/AD59)*VLOOKUP($B59,Zo!$B$13:$AV$63,47,FALSE)/24),MAX(IFERROR((VLOOKUP($B59,Zo!$B$13:$AV$63,47,FALSE)/24),0),IF(COUNTIF(E59:Z59,"ZIEK")&gt;9,0,IF(COUNTIF(E59:Z59,"VAK")&gt;9,0,Medewerker!E61/120))))))))</f>
        <v/>
      </c>
      <c r="AF59" s="240" t="n"/>
      <c r="AG59" s="935">
        <f>SUM(G59,K59,O59,S59,W59,AA59,AE59)</f>
        <v/>
      </c>
      <c r="AH59" s="532">
        <f>COUNT(G59,K59,O59,S59,W59,AA59,AE59)-(COUNTIF(E59:AD59,"Vrij")/2)</f>
        <v/>
      </c>
      <c r="AI59" s="936">
        <f>Planning!AG59*24-Medewerker!E61</f>
        <v/>
      </c>
      <c r="AJ59" s="254">
        <f>IF(MAX(G59,K59,O59,S59,W59,AA59,AE59)*24&gt;Instellingen!$I$8,"nee","ja")</f>
        <v/>
      </c>
      <c r="AK59" s="254">
        <f>IF(AG59*24&gt;Instellingen!$I$9,"nee","ja")</f>
        <v/>
      </c>
    </row>
    <row r="60" ht="14.25" customHeight="1">
      <c r="A60" s="78">
        <f>IF(B60="",0,MAX($A$6:A59)+1)</f>
        <v/>
      </c>
      <c r="B60" s="241">
        <f>IF(Medewerker!C62="","",Medewerker!C62)</f>
        <v/>
      </c>
      <c r="C60" s="238">
        <f>Medewerker!AI62</f>
        <v/>
      </c>
      <c r="D60" s="240" t="n"/>
      <c r="E60" s="932">
        <f>IFERROR(IF(Medewerker!I62="",VLOOKUP($B60,Ma!$B$13:$E$63,3,FALSE),Medewerker!I62),"")</f>
        <v/>
      </c>
      <c r="F60" s="933">
        <f>IFERROR(IF(Medewerker!I62="",VLOOKUP($B60,Ma!$B$13:$E$63,4,FALSE),Medewerker!I62),"")</f>
        <v/>
      </c>
      <c r="G60" s="934">
        <f>IF(F60="OA",0,IF(F60="TA",0,IF(F60="VRIJ",0,IF(F60="ST",0,IFERROR(IF(F60="","",(F60/F60)*VLOOKUP($B60,Ma!$B$13:$AV$63,47,FALSE)/24),MAX(IFERROR((VLOOKUP($B60,Ma!$B$13:$AV$63,47,FALSE)/24),0),Medewerker!E62/120))))))</f>
        <v/>
      </c>
      <c r="H60" s="240" t="n"/>
      <c r="I60" s="933">
        <f>IFERROR(IF(Medewerker!M62="",VLOOKUP($B60,Di!$B$13:$E$63,3,FALSE),Medewerker!M62),"")</f>
        <v/>
      </c>
      <c r="J60" s="933">
        <f>IFERROR(IF(Medewerker!M62="",VLOOKUP($B60,Di!$B$13:$E$63,4,FALSE),Medewerker!M62),"")</f>
        <v/>
      </c>
      <c r="K60" s="934">
        <f>IF(J60="OA",0,IF(J60="TA",0,IF(J60="VRIJ",0,IF(J60="ST",0,IFERROR(IF(J60="","",(J60/J60)*VLOOKUP($B60,Di!$B$13:$AV$63,47,FALSE)/24),MAX(IFERROR((VLOOKUP($B60,Di!$B$13:$AV$63,47,FALSE)/24),0),Medewerker!E62/120))))))</f>
        <v/>
      </c>
      <c r="L60" s="240" t="n"/>
      <c r="M60" s="933">
        <f>IFERROR(IF(Medewerker!Q62="",VLOOKUP($B60,Wo!$B$13:$E$63,3,FALSE),Medewerker!Q62),"")</f>
        <v/>
      </c>
      <c r="N60" s="933">
        <f>IFERROR(IF(Medewerker!Q62="",VLOOKUP($B60,Wo!$B$13:$E$63,4,FALSE),Medewerker!Q62),"")</f>
        <v/>
      </c>
      <c r="O60" s="934">
        <f>IF(N60="OA",0,IF(N60="TA",0,IF(N60="VRIJ",0,IF(N60="ST",0,IFERROR(IF(N60="","",(N60/N60)*VLOOKUP($B60,Wo!$B$13:$AV$63,47,FALSE)/24),MAX(IFERROR((VLOOKUP($B60,Wo!$B$13:$AV$63,47,FALSE)/24),0),Medewerker!E62/120))))))</f>
        <v/>
      </c>
      <c r="P60" s="240" t="n"/>
      <c r="Q60" s="933">
        <f>IFERROR(IF(Medewerker!U62="",VLOOKUP($B60,Do!$B$13:$E$63,3,FALSE),Medewerker!U62),"")</f>
        <v/>
      </c>
      <c r="R60" s="933">
        <f>IFERROR(IF(Medewerker!U62="",VLOOKUP($B60,Do!$B$13:$E$63,4,FALSE),Medewerker!U62),"")</f>
        <v/>
      </c>
      <c r="S60" s="934">
        <f>IF(R60="OA",0,IF(R60="TA",0,IF(R60="VRIJ",0,IF(R60="ST",0,IFERROR(IF(R60="","",(R60/R60)*VLOOKUP($B60,Do!$B$13:$AV$63,47,FALSE)/24),MAX(IFERROR((VLOOKUP($B60,Do!$B$13:$AV$63,47,FALSE)/24),0),Medewerker!E62/120))))))</f>
        <v/>
      </c>
      <c r="T60" s="240" t="n"/>
      <c r="U60" s="933">
        <f>IFERROR(IF(Medewerker!Y62="",VLOOKUP($B60,Vr!$B$13:$E$63,3,FALSE),Medewerker!Y62),"")</f>
        <v/>
      </c>
      <c r="V60" s="933">
        <f>IFERROR(IF(Medewerker!Y62="",VLOOKUP($B60,Vr!$B$13:$E$63,4,FALSE),Medewerker!Y62),"")</f>
        <v/>
      </c>
      <c r="W60" s="934">
        <f>IF(V60="OA",0,IF(V60="TA",0,IF(V60="VRIJ",0,IF(V60="ST",0,IFERROR(IF(V60="","",(V60/V60)*VLOOKUP($B60,Vr!$B$13:$AV$63,47,FALSE)/24),MAX(IFERROR((VLOOKUP($B60,Vr!$B$13:$AV$63,47,FALSE)/24),0),Medewerker!E62/120))))))</f>
        <v/>
      </c>
      <c r="X60" s="240" t="n"/>
      <c r="Y60" s="933">
        <f>IFERROR(IF(Medewerker!AC62="",VLOOKUP($B60,Za!$B$13:$E$63,3,FALSE),Medewerker!AC62),"")</f>
        <v/>
      </c>
      <c r="Z60" s="933">
        <f>IFERROR(IF(Medewerker!AC62="",VLOOKUP($B60,Za!$B$13:$E$63,4,FALSE),Medewerker!AC62),"")</f>
        <v/>
      </c>
      <c r="AA60" s="934">
        <f>IF(Z60="OA",0,IF(Z60="TA",0,IF(Z60="VRIJ",0,IF(Z60="ST",0,IFERROR(IF(Z60="","",(Z60/Z60)*VLOOKUP($B60,Za!$B$13:$AV$63,47,FALSE)/24),MAX(IFERROR((VLOOKUP($B60,Za!$B$13:$AV$63,47,FALSE)/24),0),IF(COUNTIF(E60:V60,"ZIEK")&gt;9,0,IF(COUNTIF(E60:V60,"VAK")&gt;9,0,Medewerker!E62/120))))))))</f>
        <v/>
      </c>
      <c r="AB60" s="240" t="n"/>
      <c r="AC60" s="933">
        <f>IFERROR(IF(Medewerker!AG62="",VLOOKUP($B60,Zo!$B$13:$E$63,3,FALSE),Medewerker!AG62),"")</f>
        <v/>
      </c>
      <c r="AD60" s="933">
        <f>IFERROR(IF(Medewerker!AG62="",VLOOKUP($B60,Zo!$B$13:$E$63,4,FALSE),Medewerker!AG62),"")</f>
        <v/>
      </c>
      <c r="AE60" s="934">
        <f>IF(AD60="OA",0,IF(AD60="TA",0,IF(AD60="VRIJ",0,IF(AD60="ST",0,IFERROR(IF(AD60="","",(AD60/AD60)*VLOOKUP($B60,Zo!$B$13:$AV$63,47,FALSE)/24),MAX(IFERROR((VLOOKUP($B60,Zo!$B$13:$AV$63,47,FALSE)/24),0),IF(COUNTIF(E60:Z60,"ZIEK")&gt;9,0,IF(COUNTIF(E60:Z60,"VAK")&gt;9,0,Medewerker!E62/120))))))))</f>
        <v/>
      </c>
      <c r="AF60" s="240" t="n"/>
      <c r="AG60" s="935">
        <f>SUM(G60,K60,O60,S60,W60,AA60,AE60)</f>
        <v/>
      </c>
      <c r="AH60" s="532">
        <f>COUNT(G60,K60,O60,S60,W60,AA60,AE60)-(COUNTIF(E60:AD60,"Vrij")/2)</f>
        <v/>
      </c>
      <c r="AI60" s="936">
        <f>Planning!AG60*24-Medewerker!E62</f>
        <v/>
      </c>
      <c r="AJ60" s="254">
        <f>IF(MAX(G60,K60,O60,S60,W60,AA60,AE60)*24&gt;Instellingen!$I$8,"nee","ja")</f>
        <v/>
      </c>
      <c r="AK60" s="254">
        <f>IF(AG60*24&gt;Instellingen!$I$9,"nee","ja")</f>
        <v/>
      </c>
    </row>
    <row r="61" ht="14.25" customHeight="1">
      <c r="A61" s="78">
        <f>IF(B61="",0,MAX($A$6:A60)+1)</f>
        <v/>
      </c>
      <c r="B61" s="241">
        <f>IF(Medewerker!C63="","",Medewerker!C63)</f>
        <v/>
      </c>
      <c r="C61" s="238">
        <f>Medewerker!AI63</f>
        <v/>
      </c>
      <c r="D61" s="240" t="n"/>
      <c r="E61" s="932">
        <f>IFERROR(IF(Medewerker!I63="",VLOOKUP($B61,Ma!$B$13:$E$63,3,FALSE),Medewerker!I63),"")</f>
        <v/>
      </c>
      <c r="F61" s="933">
        <f>IFERROR(IF(Medewerker!I63="",VLOOKUP($B61,Ma!$B$13:$E$63,4,FALSE),Medewerker!I63),"")</f>
        <v/>
      </c>
      <c r="G61" s="934">
        <f>IF(F61="OA",0,IF(F61="TA",0,IF(F61="VRIJ",0,IF(F61="ST",0,IFERROR(IF(F61="","",(F61/F61)*VLOOKUP($B61,Ma!$B$13:$AV$63,47,FALSE)/24),MAX(IFERROR((VLOOKUP($B61,Ma!$B$13:$AV$63,47,FALSE)/24),0),Medewerker!E63/120))))))</f>
        <v/>
      </c>
      <c r="H61" s="240" t="n"/>
      <c r="I61" s="933">
        <f>IFERROR(IF(Medewerker!M63="",VLOOKUP($B61,Di!$B$13:$E$63,3,FALSE),Medewerker!M63),"")</f>
        <v/>
      </c>
      <c r="J61" s="933">
        <f>IFERROR(IF(Medewerker!M63="",VLOOKUP($B61,Di!$B$13:$E$63,4,FALSE),Medewerker!M63),"")</f>
        <v/>
      </c>
      <c r="K61" s="934">
        <f>IF(J61="OA",0,IF(J61="TA",0,IF(J61="VRIJ",0,IF(J61="ST",0,IFERROR(IF(J61="","",(J61/J61)*VLOOKUP($B61,Di!$B$13:$AV$63,47,FALSE)/24),MAX(IFERROR((VLOOKUP($B61,Di!$B$13:$AV$63,47,FALSE)/24),0),Medewerker!E63/120))))))</f>
        <v/>
      </c>
      <c r="L61" s="240" t="n"/>
      <c r="M61" s="933">
        <f>IFERROR(IF(Medewerker!Q63="",VLOOKUP($B61,Wo!$B$13:$E$63,3,FALSE),Medewerker!Q63),"")</f>
        <v/>
      </c>
      <c r="N61" s="933">
        <f>IFERROR(IF(Medewerker!Q63="",VLOOKUP($B61,Wo!$B$13:$E$63,4,FALSE),Medewerker!Q63),"")</f>
        <v/>
      </c>
      <c r="O61" s="934">
        <f>IF(N61="OA",0,IF(N61="TA",0,IF(N61="VRIJ",0,IF(N61="ST",0,IFERROR(IF(N61="","",(N61/N61)*VLOOKUP($B61,Wo!$B$13:$AV$63,47,FALSE)/24),MAX(IFERROR((VLOOKUP($B61,Wo!$B$13:$AV$63,47,FALSE)/24),0),Medewerker!E63/120))))))</f>
        <v/>
      </c>
      <c r="P61" s="240" t="n"/>
      <c r="Q61" s="933">
        <f>IFERROR(IF(Medewerker!U63="",VLOOKUP($B61,Do!$B$13:$E$63,3,FALSE),Medewerker!U63),"")</f>
        <v/>
      </c>
      <c r="R61" s="933">
        <f>IFERROR(IF(Medewerker!U63="",VLOOKUP($B61,Do!$B$13:$E$63,4,FALSE),Medewerker!U63),"")</f>
        <v/>
      </c>
      <c r="S61" s="934">
        <f>IF(R61="OA",0,IF(R61="TA",0,IF(R61="VRIJ",0,IF(R61="ST",0,IFERROR(IF(R61="","",(R61/R61)*VLOOKUP($B61,Do!$B$13:$AV$63,47,FALSE)/24),MAX(IFERROR((VLOOKUP($B61,Do!$B$13:$AV$63,47,FALSE)/24),0),Medewerker!E63/120))))))</f>
        <v/>
      </c>
      <c r="T61" s="240" t="n"/>
      <c r="U61" s="933">
        <f>IFERROR(IF(Medewerker!Y63="",VLOOKUP($B61,Vr!$B$13:$E$63,3,FALSE),Medewerker!Y63),"")</f>
        <v/>
      </c>
      <c r="V61" s="933">
        <f>IFERROR(IF(Medewerker!Y63="",VLOOKUP($B61,Vr!$B$13:$E$63,4,FALSE),Medewerker!Y63),"")</f>
        <v/>
      </c>
      <c r="W61" s="934">
        <f>IF(V61="OA",0,IF(V61="TA",0,IF(V61="VRIJ",0,IF(V61="ST",0,IFERROR(IF(V61="","",(V61/V61)*VLOOKUP($B61,Vr!$B$13:$AV$63,47,FALSE)/24),MAX(IFERROR((VLOOKUP($B61,Vr!$B$13:$AV$63,47,FALSE)/24),0),Medewerker!E63/120))))))</f>
        <v/>
      </c>
      <c r="X61" s="240" t="n"/>
      <c r="Y61" s="933">
        <f>IFERROR(IF(Medewerker!AC63="",VLOOKUP($B61,Za!$B$13:$E$63,3,FALSE),Medewerker!AC63),"")</f>
        <v/>
      </c>
      <c r="Z61" s="933">
        <f>IFERROR(IF(Medewerker!AC63="",VLOOKUP($B61,Za!$B$13:$E$63,4,FALSE),Medewerker!AC63),"")</f>
        <v/>
      </c>
      <c r="AA61" s="934">
        <f>IF(Z61="OA",0,IF(Z61="TA",0,IF(Z61="VRIJ",0,IF(Z61="ST",0,IFERROR(IF(Z61="","",(Z61/Z61)*VLOOKUP($B61,Za!$B$13:$AV$63,47,FALSE)/24),MAX(IFERROR((VLOOKUP($B61,Za!$B$13:$AV$63,47,FALSE)/24),0),IF(COUNTIF(E61:V61,"ZIEK")&gt;9,0,IF(COUNTIF(E61:V61,"VAK")&gt;9,0,Medewerker!E63/120))))))))</f>
        <v/>
      </c>
      <c r="AB61" s="240" t="n"/>
      <c r="AC61" s="933">
        <f>IFERROR(IF(Medewerker!AG63="",VLOOKUP($B61,Zo!$B$13:$E$63,3,FALSE),Medewerker!AG63),"")</f>
        <v/>
      </c>
      <c r="AD61" s="933">
        <f>IFERROR(IF(Medewerker!AG63="",VLOOKUP($B61,Zo!$B$13:$E$63,4,FALSE),Medewerker!AG63),"")</f>
        <v/>
      </c>
      <c r="AE61" s="934">
        <f>IF(AD61="OA",0,IF(AD61="TA",0,IF(AD61="VRIJ",0,IF(AD61="ST",0,IFERROR(IF(AD61="","",(AD61/AD61)*VLOOKUP($B61,Zo!$B$13:$AV$63,47,FALSE)/24),MAX(IFERROR((VLOOKUP($B61,Zo!$B$13:$AV$63,47,FALSE)/24),0),IF(COUNTIF(E61:Z61,"ZIEK")&gt;9,0,IF(COUNTIF(E61:Z61,"VAK")&gt;9,0,Medewerker!E63/120))))))))</f>
        <v/>
      </c>
      <c r="AF61" s="240" t="n"/>
      <c r="AG61" s="935">
        <f>SUM(G61,K61,O61,S61,W61,AA61,AE61)</f>
        <v/>
      </c>
      <c r="AH61" s="532">
        <f>COUNT(G61,K61,O61,S61,W61,AA61,AE61)-(COUNTIF(E61:AD61,"Vrij")/2)</f>
        <v/>
      </c>
      <c r="AI61" s="936">
        <f>Planning!AG61*24-Medewerker!E63</f>
        <v/>
      </c>
      <c r="AJ61" s="254">
        <f>IF(MAX(G61,K61,O61,S61,W61,AA61,AE61)*24&gt;Instellingen!$I$8,"nee","ja")</f>
        <v/>
      </c>
      <c r="AK61" s="254">
        <f>IF(AG61*24&gt;Instellingen!$I$9,"nee","ja")</f>
        <v/>
      </c>
    </row>
    <row r="62" ht="14.25" customHeight="1">
      <c r="A62" s="78">
        <f>IF(B62="",0,MAX($A$6:A61)+1)</f>
        <v/>
      </c>
      <c r="B62" s="241">
        <f>IF(Medewerker!C64="","",Medewerker!C64)</f>
        <v/>
      </c>
      <c r="C62" s="238">
        <f>Medewerker!AI64</f>
        <v/>
      </c>
      <c r="D62" s="240" t="n"/>
      <c r="E62" s="932">
        <f>IFERROR(IF(Medewerker!I64="",VLOOKUP($B62,Ma!$B$13:$E$63,3,FALSE),Medewerker!I64),"")</f>
        <v/>
      </c>
      <c r="F62" s="933">
        <f>IFERROR(IF(Medewerker!I64="",VLOOKUP($B62,Ma!$B$13:$E$63,4,FALSE),Medewerker!I64),"")</f>
        <v/>
      </c>
      <c r="G62" s="934">
        <f>IF(F62="OA",0,IF(F62="TA",0,IF(F62="VRIJ",0,IF(F62="ST",0,IFERROR(IF(F62="","",(F62/F62)*VLOOKUP($B62,Ma!$B$13:$AV$63,47,FALSE)/24),MAX(IFERROR((VLOOKUP($B62,Ma!$B$13:$AV$63,47,FALSE)/24),0),Medewerker!E64/120))))))</f>
        <v/>
      </c>
      <c r="H62" s="240" t="n"/>
      <c r="I62" s="933">
        <f>IFERROR(IF(Medewerker!M64="",VLOOKUP($B62,Di!$B$13:$E$63,3,FALSE),Medewerker!M64),"")</f>
        <v/>
      </c>
      <c r="J62" s="933">
        <f>IFERROR(IF(Medewerker!M64="",VLOOKUP($B62,Di!$B$13:$E$63,4,FALSE),Medewerker!M64),"")</f>
        <v/>
      </c>
      <c r="K62" s="934">
        <f>IF(J62="OA",0,IF(J62="TA",0,IF(J62="VRIJ",0,IF(J62="ST",0,IFERROR(IF(J62="","",(J62/J62)*VLOOKUP($B62,Di!$B$13:$AV$63,47,FALSE)/24),MAX(IFERROR((VLOOKUP($B62,Di!$B$13:$AV$63,47,FALSE)/24),0),Medewerker!E64/120))))))</f>
        <v/>
      </c>
      <c r="L62" s="240" t="n"/>
      <c r="M62" s="933">
        <f>IFERROR(IF(Medewerker!Q64="",VLOOKUP($B62,Wo!$B$13:$E$63,3,FALSE),Medewerker!Q64),"")</f>
        <v/>
      </c>
      <c r="N62" s="933">
        <f>IFERROR(IF(Medewerker!Q64="",VLOOKUP($B62,Wo!$B$13:$E$63,4,FALSE),Medewerker!Q64),"")</f>
        <v/>
      </c>
      <c r="O62" s="934">
        <f>IF(N62="OA",0,IF(N62="TA",0,IF(N62="VRIJ",0,IF(N62="ST",0,IFERROR(IF(N62="","",(N62/N62)*VLOOKUP($B62,Wo!$B$13:$AV$63,47,FALSE)/24),MAX(IFERROR((VLOOKUP($B62,Wo!$B$13:$AV$63,47,FALSE)/24),0),Medewerker!E64/120))))))</f>
        <v/>
      </c>
      <c r="P62" s="240" t="n"/>
      <c r="Q62" s="933">
        <f>IFERROR(IF(Medewerker!U64="",VLOOKUP($B62,Do!$B$13:$E$63,3,FALSE),Medewerker!U64),"")</f>
        <v/>
      </c>
      <c r="R62" s="933">
        <f>IFERROR(IF(Medewerker!U64="",VLOOKUP($B62,Do!$B$13:$E$63,4,FALSE),Medewerker!U64),"")</f>
        <v/>
      </c>
      <c r="S62" s="934">
        <f>IF(R62="OA",0,IF(R62="TA",0,IF(R62="VRIJ",0,IF(R62="ST",0,IFERROR(IF(R62="","",(R62/R62)*VLOOKUP($B62,Do!$B$13:$AV$63,47,FALSE)/24),MAX(IFERROR((VLOOKUP($B62,Do!$B$13:$AV$63,47,FALSE)/24),0),Medewerker!E64/120))))))</f>
        <v/>
      </c>
      <c r="T62" s="240" t="n"/>
      <c r="U62" s="933">
        <f>IFERROR(IF(Medewerker!Y64="",VLOOKUP($B62,Vr!$B$13:$E$63,3,FALSE),Medewerker!Y64),"")</f>
        <v/>
      </c>
      <c r="V62" s="933">
        <f>IFERROR(IF(Medewerker!Y64="",VLOOKUP($B62,Vr!$B$13:$E$63,4,FALSE),Medewerker!Y64),"")</f>
        <v/>
      </c>
      <c r="W62" s="934">
        <f>IF(V62="OA",0,IF(V62="TA",0,IF(V62="VRIJ",0,IF(V62="ST",0,IFERROR(IF(V62="","",(V62/V62)*VLOOKUP($B62,Vr!$B$13:$AV$63,47,FALSE)/24),MAX(IFERROR((VLOOKUP($B62,Vr!$B$13:$AV$63,47,FALSE)/24),0),Medewerker!E64/120))))))</f>
        <v/>
      </c>
      <c r="X62" s="240" t="n"/>
      <c r="Y62" s="933">
        <f>IFERROR(IF(Medewerker!AC64="",VLOOKUP($B62,Za!$B$13:$E$63,3,FALSE),Medewerker!AC64),"")</f>
        <v/>
      </c>
      <c r="Z62" s="933">
        <f>IFERROR(IF(Medewerker!AC64="",VLOOKUP($B62,Za!$B$13:$E$63,4,FALSE),Medewerker!AC64),"")</f>
        <v/>
      </c>
      <c r="AA62" s="934">
        <f>IF(Z62="OA",0,IF(Z62="TA",0,IF(Z62="VRIJ",0,IF(Z62="ST",0,IFERROR(IF(Z62="","",(Z62/Z62)*VLOOKUP($B62,Za!$B$13:$AV$63,47,FALSE)/24),MAX(IFERROR((VLOOKUP($B62,Za!$B$13:$AV$63,47,FALSE)/24),0),IF(COUNTIF(E62:V62,"ZIEK")&gt;9,0,IF(COUNTIF(E62:V62,"VAK")&gt;9,0,Medewerker!E64/120))))))))</f>
        <v/>
      </c>
      <c r="AB62" s="240" t="n"/>
      <c r="AC62" s="933">
        <f>IFERROR(IF(Medewerker!AG64="",VLOOKUP($B62,Zo!$B$13:$E$63,3,FALSE),Medewerker!AG64),"")</f>
        <v/>
      </c>
      <c r="AD62" s="933">
        <f>IFERROR(IF(Medewerker!AG64="",VLOOKUP($B62,Zo!$B$13:$E$63,4,FALSE),Medewerker!AG64),"")</f>
        <v/>
      </c>
      <c r="AE62" s="934">
        <f>IF(AD62="OA",0,IF(AD62="TA",0,IF(AD62="VRIJ",0,IF(AD62="ST",0,IFERROR(IF(AD62="","",(AD62/AD62)*VLOOKUP($B62,Zo!$B$13:$AV$63,47,FALSE)/24),MAX(IFERROR((VLOOKUP($B62,Zo!$B$13:$AV$63,47,FALSE)/24),0),IF(COUNTIF(E62:Z62,"ZIEK")&gt;9,0,IF(COUNTIF(E62:Z62,"VAK")&gt;9,0,Medewerker!E64/120))))))))</f>
        <v/>
      </c>
      <c r="AF62" s="240" t="n"/>
      <c r="AG62" s="935">
        <f>SUM(G62,K62,O62,S62,W62,AA62,AE62)</f>
        <v/>
      </c>
      <c r="AH62" s="532">
        <f>COUNT(G62,K62,O62,S62,W62,AA62,AE62)-(COUNTIF(E62:AD62,"Vrij")/2)</f>
        <v/>
      </c>
      <c r="AI62" s="936">
        <f>Planning!AG62*24-Medewerker!E64</f>
        <v/>
      </c>
      <c r="AJ62" s="254">
        <f>IF(MAX(G62,K62,O62,S62,W62,AA62,AE62)*24&gt;Instellingen!$I$8,"nee","ja")</f>
        <v/>
      </c>
      <c r="AK62" s="254">
        <f>IF(AG62*24&gt;Instellingen!$I$9,"nee","ja")</f>
        <v/>
      </c>
    </row>
    <row r="63" ht="14.25" customHeight="1">
      <c r="A63" s="78">
        <f>IF(B63="",0,MAX($A$6:A62)+1)</f>
        <v/>
      </c>
      <c r="B63" s="241">
        <f>IF(Medewerker!C65="","",Medewerker!C65)</f>
        <v/>
      </c>
      <c r="C63" s="238">
        <f>Medewerker!AI65</f>
        <v/>
      </c>
      <c r="D63" s="240" t="n"/>
      <c r="E63" s="932">
        <f>IFERROR(IF(Medewerker!I65="",VLOOKUP($B63,Ma!$B$13:$E$63,3,FALSE),Medewerker!I65),"")</f>
        <v/>
      </c>
      <c r="F63" s="933">
        <f>IFERROR(IF(Medewerker!I65="",VLOOKUP($B63,Ma!$B$13:$E$63,4,FALSE),Medewerker!I65),"")</f>
        <v/>
      </c>
      <c r="G63" s="934">
        <f>IF(F63="OA",0,IF(F63="TA",0,IF(F63="VRIJ",0,IF(F63="ST",0,IFERROR(IF(F63="","",(F63/F63)*VLOOKUP($B63,Ma!$B$13:$AV$63,47,FALSE)/24),MAX(IFERROR((VLOOKUP($B63,Ma!$B$13:$AV$63,47,FALSE)/24),0),Medewerker!E65/120))))))</f>
        <v/>
      </c>
      <c r="H63" s="240" t="n"/>
      <c r="I63" s="933">
        <f>IFERROR(IF(Medewerker!M65="",VLOOKUP($B63,Di!$B$13:$E$63,3,FALSE),Medewerker!M65),"")</f>
        <v/>
      </c>
      <c r="J63" s="933">
        <f>IFERROR(IF(Medewerker!M65="",VLOOKUP($B63,Di!$B$13:$E$63,4,FALSE),Medewerker!M65),"")</f>
        <v/>
      </c>
      <c r="K63" s="934">
        <f>IF(J63="OA",0,IF(J63="TA",0,IF(J63="VRIJ",0,IF(J63="ST",0,IFERROR(IF(J63="","",(J63/J63)*VLOOKUP($B63,Di!$B$13:$AV$63,47,FALSE)/24),MAX(IFERROR((VLOOKUP($B63,Di!$B$13:$AV$63,47,FALSE)/24),0),Medewerker!E65/120))))))</f>
        <v/>
      </c>
      <c r="L63" s="240" t="n"/>
      <c r="M63" s="933">
        <f>IFERROR(IF(Medewerker!Q65="",VLOOKUP($B63,Wo!$B$13:$E$63,3,FALSE),Medewerker!Q65),"")</f>
        <v/>
      </c>
      <c r="N63" s="933">
        <f>IFERROR(IF(Medewerker!Q65="",VLOOKUP($B63,Wo!$B$13:$E$63,4,FALSE),Medewerker!Q65),"")</f>
        <v/>
      </c>
      <c r="O63" s="934">
        <f>IF(N63="OA",0,IF(N63="TA",0,IF(N63="VRIJ",0,IF(N63="ST",0,IFERROR(IF(N63="","",(N63/N63)*VLOOKUP($B63,Wo!$B$13:$AV$63,47,FALSE)/24),MAX(IFERROR((VLOOKUP($B63,Wo!$B$13:$AV$63,47,FALSE)/24),0),Medewerker!E65/120))))))</f>
        <v/>
      </c>
      <c r="P63" s="240" t="n"/>
      <c r="Q63" s="933">
        <f>IFERROR(IF(Medewerker!U65="",VLOOKUP($B63,Do!$B$13:$E$63,3,FALSE),Medewerker!U65),"")</f>
        <v/>
      </c>
      <c r="R63" s="933">
        <f>IFERROR(IF(Medewerker!U65="",VLOOKUP($B63,Do!$B$13:$E$63,4,FALSE),Medewerker!U65),"")</f>
        <v/>
      </c>
      <c r="S63" s="934">
        <f>IF(R63="OA",0,IF(R63="TA",0,IF(R63="VRIJ",0,IF(R63="ST",0,IFERROR(IF(R63="","",(R63/R63)*VLOOKUP($B63,Do!$B$13:$AV$63,47,FALSE)/24),MAX(IFERROR((VLOOKUP($B63,Do!$B$13:$AV$63,47,FALSE)/24),0),Medewerker!E65/120))))))</f>
        <v/>
      </c>
      <c r="T63" s="240" t="n"/>
      <c r="U63" s="933">
        <f>IFERROR(IF(Medewerker!Y65="",VLOOKUP($B63,Vr!$B$13:$E$63,3,FALSE),Medewerker!Y65),"")</f>
        <v/>
      </c>
      <c r="V63" s="933">
        <f>IFERROR(IF(Medewerker!Y65="",VLOOKUP($B63,Vr!$B$13:$E$63,4,FALSE),Medewerker!Y65),"")</f>
        <v/>
      </c>
      <c r="W63" s="934">
        <f>IF(V63="OA",0,IF(V63="TA",0,IF(V63="VRIJ",0,IF(V63="ST",0,IFERROR(IF(V63="","",(V63/V63)*VLOOKUP($B63,Vr!$B$13:$AV$63,47,FALSE)/24),MAX(IFERROR((VLOOKUP($B63,Vr!$B$13:$AV$63,47,FALSE)/24),0),Medewerker!E65/120))))))</f>
        <v/>
      </c>
      <c r="X63" s="240" t="n"/>
      <c r="Y63" s="933">
        <f>IFERROR(IF(Medewerker!AC65="",VLOOKUP($B63,Za!$B$13:$E$63,3,FALSE),Medewerker!AC65),"")</f>
        <v/>
      </c>
      <c r="Z63" s="933">
        <f>IFERROR(IF(Medewerker!AC65="",VLOOKUP($B63,Za!$B$13:$E$63,4,FALSE),Medewerker!AC65),"")</f>
        <v/>
      </c>
      <c r="AA63" s="934">
        <f>IF(Z63="OA",0,IF(Z63="TA",0,IF(Z63="VRIJ",0,IF(Z63="ST",0,IFERROR(IF(Z63="","",(Z63/Z63)*VLOOKUP($B63,Za!$B$13:$AV$63,47,FALSE)/24),MAX(IFERROR((VLOOKUP($B63,Za!$B$13:$AV$63,47,FALSE)/24),0),IF(COUNTIF(E63:V63,"ZIEK")&gt;9,0,IF(COUNTIF(E63:V63,"VAK")&gt;9,0,Medewerker!E65/120))))))))</f>
        <v/>
      </c>
      <c r="AB63" s="240" t="n"/>
      <c r="AC63" s="933">
        <f>IFERROR(IF(Medewerker!AG65="",VLOOKUP($B63,Zo!$B$13:$E$63,3,FALSE),Medewerker!AG65),"")</f>
        <v/>
      </c>
      <c r="AD63" s="933">
        <f>IFERROR(IF(Medewerker!AG65="",VLOOKUP($B63,Zo!$B$13:$E$63,4,FALSE),Medewerker!AG65),"")</f>
        <v/>
      </c>
      <c r="AE63" s="934">
        <f>IF(AD63="OA",0,IF(AD63="TA",0,IF(AD63="VRIJ",0,IF(AD63="ST",0,IFERROR(IF(AD63="","",(AD63/AD63)*VLOOKUP($B63,Zo!$B$13:$AV$63,47,FALSE)/24),MAX(IFERROR((VLOOKUP($B63,Zo!$B$13:$AV$63,47,FALSE)/24),0),IF(COUNTIF(E63:Z63,"ZIEK")&gt;9,0,IF(COUNTIF(E63:Z63,"VAK")&gt;9,0,Medewerker!E65/120))))))))</f>
        <v/>
      </c>
      <c r="AF63" s="240" t="n"/>
      <c r="AG63" s="935">
        <f>SUM(G63,K63,O63,S63,W63,AA63,AE63)</f>
        <v/>
      </c>
      <c r="AH63" s="532">
        <f>COUNT(G63,K63,O63,S63,W63,AA63,AE63)-(COUNTIF(E63:AD63,"Vrij")/2)</f>
        <v/>
      </c>
      <c r="AI63" s="936">
        <f>Planning!AG63*24-Medewerker!E65</f>
        <v/>
      </c>
      <c r="AJ63" s="254">
        <f>IF(MAX(G63,K63,O63,S63,W63,AA63,AE63)*24&gt;Instellingen!$I$8,"nee","ja")</f>
        <v/>
      </c>
      <c r="AK63" s="254">
        <f>IF(AG63*24&gt;Instellingen!$I$9,"nee","ja")</f>
        <v/>
      </c>
    </row>
    <row r="64" ht="14.25" customHeight="1">
      <c r="A64" s="78">
        <f>IF(B64="",0,MAX($A$6:A63)+1)</f>
        <v/>
      </c>
      <c r="B64" s="241">
        <f>IF(Medewerker!C66="","",Medewerker!C66)</f>
        <v/>
      </c>
      <c r="C64" s="238">
        <f>Medewerker!AI66</f>
        <v/>
      </c>
      <c r="D64" s="240" t="n"/>
      <c r="E64" s="932">
        <f>IFERROR(IF(Medewerker!I66="",VLOOKUP($B64,Ma!$B$13:$E$63,3,FALSE),Medewerker!I66),"")</f>
        <v/>
      </c>
      <c r="F64" s="933">
        <f>IFERROR(IF(Medewerker!I66="",VLOOKUP($B64,Ma!$B$13:$E$63,4,FALSE),Medewerker!I66),"")</f>
        <v/>
      </c>
      <c r="G64" s="934">
        <f>IF(F64="OA",0,IF(F64="TA",0,IF(F64="VRIJ",0,IF(F64="ST",0,IFERROR(IF(F64="","",(F64/F64)*VLOOKUP($B64,Ma!$B$13:$AV$63,47,FALSE)/24),MAX(IFERROR((VLOOKUP($B64,Ma!$B$13:$AV$63,47,FALSE)/24),0),Medewerker!E66/120))))))</f>
        <v/>
      </c>
      <c r="H64" s="240" t="n"/>
      <c r="I64" s="933">
        <f>IFERROR(IF(Medewerker!M66="",VLOOKUP($B64,Di!$B$13:$E$63,3,FALSE),Medewerker!M66),"")</f>
        <v/>
      </c>
      <c r="J64" s="933">
        <f>IFERROR(IF(Medewerker!M66="",VLOOKUP($B64,Di!$B$13:$E$63,4,FALSE),Medewerker!M66),"")</f>
        <v/>
      </c>
      <c r="K64" s="934">
        <f>IF(J64="OA",0,IF(J64="TA",0,IF(J64="VRIJ",0,IF(J64="ST",0,IFERROR(IF(J64="","",(J64/J64)*VLOOKUP($B64,Di!$B$13:$AV$63,47,FALSE)/24),MAX(IFERROR((VLOOKUP($B64,Di!$B$13:$AV$63,47,FALSE)/24),0),Medewerker!E66/120))))))</f>
        <v/>
      </c>
      <c r="L64" s="240" t="n"/>
      <c r="M64" s="933">
        <f>IFERROR(IF(Medewerker!Q66="",VLOOKUP($B64,Wo!$B$13:$E$63,3,FALSE),Medewerker!Q66),"")</f>
        <v/>
      </c>
      <c r="N64" s="933">
        <f>IFERROR(IF(Medewerker!Q66="",VLOOKUP($B64,Wo!$B$13:$E$63,4,FALSE),Medewerker!Q66),"")</f>
        <v/>
      </c>
      <c r="O64" s="934">
        <f>IF(N64="OA",0,IF(N64="TA",0,IF(N64="VRIJ",0,IF(N64="ST",0,IFERROR(IF(N64="","",(N64/N64)*VLOOKUP($B64,Wo!$B$13:$AV$63,47,FALSE)/24),MAX(IFERROR((VLOOKUP($B64,Wo!$B$13:$AV$63,47,FALSE)/24),0),Medewerker!E66/120))))))</f>
        <v/>
      </c>
      <c r="P64" s="240" t="n"/>
      <c r="Q64" s="933">
        <f>IFERROR(IF(Medewerker!U66="",VLOOKUP($B64,Do!$B$13:$E$63,3,FALSE),Medewerker!U66),"")</f>
        <v/>
      </c>
      <c r="R64" s="933">
        <f>IFERROR(IF(Medewerker!U66="",VLOOKUP($B64,Do!$B$13:$E$63,4,FALSE),Medewerker!U66),"")</f>
        <v/>
      </c>
      <c r="S64" s="934">
        <f>IF(R64="OA",0,IF(R64="TA",0,IF(R64="VRIJ",0,IF(R64="ST",0,IFERROR(IF(R64="","",(R64/R64)*VLOOKUP($B64,Do!$B$13:$AV$63,47,FALSE)/24),MAX(IFERROR((VLOOKUP($B64,Do!$B$13:$AV$63,47,FALSE)/24),0),Medewerker!E66/120))))))</f>
        <v/>
      </c>
      <c r="T64" s="240" t="n"/>
      <c r="U64" s="933">
        <f>IFERROR(IF(Medewerker!Y66="",VLOOKUP($B64,Vr!$B$13:$E$63,3,FALSE),Medewerker!Y66),"")</f>
        <v/>
      </c>
      <c r="V64" s="933">
        <f>IFERROR(IF(Medewerker!Y66="",VLOOKUP($B64,Vr!$B$13:$E$63,4,FALSE),Medewerker!Y66),"")</f>
        <v/>
      </c>
      <c r="W64" s="934">
        <f>IF(V64="OA",0,IF(V64="TA",0,IF(V64="VRIJ",0,IF(V64="ST",0,IFERROR(IF(V64="","",(V64/V64)*VLOOKUP($B64,Vr!$B$13:$AV$63,47,FALSE)/24),MAX(IFERROR((VLOOKUP($B64,Vr!$B$13:$AV$63,47,FALSE)/24),0),Medewerker!E66/120))))))</f>
        <v/>
      </c>
      <c r="X64" s="240" t="n"/>
      <c r="Y64" s="933">
        <f>IFERROR(IF(Medewerker!AC66="",VLOOKUP($B64,Za!$B$13:$E$63,3,FALSE),Medewerker!AC66),"")</f>
        <v/>
      </c>
      <c r="Z64" s="933">
        <f>IFERROR(IF(Medewerker!AC66="",VLOOKUP($B64,Za!$B$13:$E$63,4,FALSE),Medewerker!AC66),"")</f>
        <v/>
      </c>
      <c r="AA64" s="934">
        <f>IF(Z64="OA",0,IF(Z64="TA",0,IF(Z64="VRIJ",0,IF(Z64="ST",0,IFERROR(IF(Z64="","",(Z64/Z64)*VLOOKUP($B64,Za!$B$13:$AV$63,47,FALSE)/24),MAX(IFERROR((VLOOKUP($B64,Za!$B$13:$AV$63,47,FALSE)/24),0),IF(COUNTIF(E64:V64,"ZIEK")&gt;9,0,IF(COUNTIF(E64:V64,"VAK")&gt;9,0,Medewerker!E66/120))))))))</f>
        <v/>
      </c>
      <c r="AB64" s="240" t="n"/>
      <c r="AC64" s="933">
        <f>IFERROR(IF(Medewerker!AG66="",VLOOKUP($B64,Zo!$B$13:$E$63,3,FALSE),Medewerker!AG66),"")</f>
        <v/>
      </c>
      <c r="AD64" s="933">
        <f>IFERROR(IF(Medewerker!AG66="",VLOOKUP($B64,Zo!$B$13:$E$63,4,FALSE),Medewerker!AG66),"")</f>
        <v/>
      </c>
      <c r="AE64" s="934">
        <f>IF(AD64="OA",0,IF(AD64="TA",0,IF(AD64="VRIJ",0,IF(AD64="ST",0,IFERROR(IF(AD64="","",(AD64/AD64)*VLOOKUP($B64,Zo!$B$13:$AV$63,47,FALSE)/24),MAX(IFERROR((VLOOKUP($B64,Zo!$B$13:$AV$63,47,FALSE)/24),0),IF(COUNTIF(E64:Z64,"ZIEK")&gt;9,0,IF(COUNTIF(E64:Z64,"VAK")&gt;9,0,Medewerker!E66/120))))))))</f>
        <v/>
      </c>
      <c r="AF64" s="240" t="n"/>
      <c r="AG64" s="935">
        <f>SUM(G64,K64,O64,S64,W64,AA64,AE64)</f>
        <v/>
      </c>
      <c r="AH64" s="532">
        <f>COUNT(G64,K64,O64,S64,W64,AA64,AE64)-(COUNTIF(E64:AD64,"Vrij")/2)</f>
        <v/>
      </c>
      <c r="AI64" s="936">
        <f>Planning!AG64*24-Medewerker!E66</f>
        <v/>
      </c>
      <c r="AJ64" s="254">
        <f>IF(MAX(G64,K64,O64,S64,W64,AA64,AE64)*24&gt;Instellingen!$I$8,"nee","ja")</f>
        <v/>
      </c>
      <c r="AK64" s="254">
        <f>IF(AG64*24&gt;Instellingen!$I$9,"nee","ja")</f>
        <v/>
      </c>
    </row>
    <row r="65" ht="14.25" customHeight="1">
      <c r="A65" s="78">
        <f>IF(B65="",0,MAX($A$6:A64)+1)</f>
        <v/>
      </c>
      <c r="B65" s="241">
        <f>IF(Medewerker!C67="","",Medewerker!C67)</f>
        <v/>
      </c>
      <c r="C65" s="238">
        <f>Medewerker!AI67</f>
        <v/>
      </c>
      <c r="D65" s="240" t="n"/>
      <c r="E65" s="932">
        <f>IFERROR(IF(Medewerker!I67="",VLOOKUP($B65,Ma!$B$13:$E$63,3,FALSE),Medewerker!I67),"")</f>
        <v/>
      </c>
      <c r="F65" s="933">
        <f>IFERROR(IF(Medewerker!I67="",VLOOKUP($B65,Ma!$B$13:$E$63,4,FALSE),Medewerker!I67),"")</f>
        <v/>
      </c>
      <c r="G65" s="934">
        <f>IF(F65="OA",0,IF(F65="TA",0,IF(F65="VRIJ",0,IF(F65="ST",0,IFERROR(IF(F65="","",(F65/F65)*VLOOKUP($B65,Ma!$B$13:$AV$63,47,FALSE)/24),MAX(IFERROR((VLOOKUP($B65,Ma!$B$13:$AV$63,47,FALSE)/24),0),Medewerker!E67/120))))))</f>
        <v/>
      </c>
      <c r="H65" s="240" t="n"/>
      <c r="I65" s="933">
        <f>IFERROR(IF(Medewerker!M67="",VLOOKUP($B65,Di!$B$13:$E$63,3,FALSE),Medewerker!M67),"")</f>
        <v/>
      </c>
      <c r="J65" s="933">
        <f>IFERROR(IF(Medewerker!M67="",VLOOKUP($B65,Di!$B$13:$E$63,4,FALSE),Medewerker!M67),"")</f>
        <v/>
      </c>
      <c r="K65" s="934">
        <f>IF(J65="OA",0,IF(J65="TA",0,IF(J65="VRIJ",0,IF(J65="ST",0,IFERROR(IF(J65="","",(J65/J65)*VLOOKUP($B65,Di!$B$13:$AV$63,47,FALSE)/24),MAX(IFERROR((VLOOKUP($B65,Di!$B$13:$AV$63,47,FALSE)/24),0),Medewerker!E67/120))))))</f>
        <v/>
      </c>
      <c r="L65" s="240" t="n"/>
      <c r="M65" s="933">
        <f>IFERROR(IF(Medewerker!Q67="",VLOOKUP($B65,Wo!$B$13:$E$63,3,FALSE),Medewerker!Q67),"")</f>
        <v/>
      </c>
      <c r="N65" s="933">
        <f>IFERROR(IF(Medewerker!Q67="",VLOOKUP($B65,Wo!$B$13:$E$63,4,FALSE),Medewerker!Q67),"")</f>
        <v/>
      </c>
      <c r="O65" s="934">
        <f>IF(N65="OA",0,IF(N65="TA",0,IF(N65="VRIJ",0,IF(N65="ST",0,IFERROR(IF(N65="","",(N65/N65)*VLOOKUP($B65,Wo!$B$13:$AV$63,47,FALSE)/24),MAX(IFERROR((VLOOKUP($B65,Wo!$B$13:$AV$63,47,FALSE)/24),0),Medewerker!E67/120))))))</f>
        <v/>
      </c>
      <c r="P65" s="240" t="n"/>
      <c r="Q65" s="933">
        <f>IFERROR(IF(Medewerker!U67="",VLOOKUP($B65,Do!$B$13:$E$63,3,FALSE),Medewerker!U67),"")</f>
        <v/>
      </c>
      <c r="R65" s="933">
        <f>IFERROR(IF(Medewerker!U67="",VLOOKUP($B65,Do!$B$13:$E$63,4,FALSE),Medewerker!U67),"")</f>
        <v/>
      </c>
      <c r="S65" s="934">
        <f>IF(R65="OA",0,IF(R65="TA",0,IF(R65="VRIJ",0,IF(R65="ST",0,IFERROR(IF(R65="","",(R65/R65)*VLOOKUP($B65,Do!$B$13:$AV$63,47,FALSE)/24),MAX(IFERROR((VLOOKUP($B65,Do!$B$13:$AV$63,47,FALSE)/24),0),Medewerker!E67/120))))))</f>
        <v/>
      </c>
      <c r="T65" s="240" t="n"/>
      <c r="U65" s="933">
        <f>IFERROR(IF(Medewerker!Y67="",VLOOKUP($B65,Vr!$B$13:$E$63,3,FALSE),Medewerker!Y67),"")</f>
        <v/>
      </c>
      <c r="V65" s="933">
        <f>IFERROR(IF(Medewerker!Y67="",VLOOKUP($B65,Vr!$B$13:$E$63,4,FALSE),Medewerker!Y67),"")</f>
        <v/>
      </c>
      <c r="W65" s="934">
        <f>IF(V65="OA",0,IF(V65="TA",0,IF(V65="VRIJ",0,IF(V65="ST",0,IFERROR(IF(V65="","",(V65/V65)*VLOOKUP($B65,Vr!$B$13:$AV$63,47,FALSE)/24),MAX(IFERROR((VLOOKUP($B65,Vr!$B$13:$AV$63,47,FALSE)/24),0),Medewerker!E67/120))))))</f>
        <v/>
      </c>
      <c r="X65" s="240" t="n"/>
      <c r="Y65" s="933">
        <f>IFERROR(IF(Medewerker!AC67="",VLOOKUP($B65,Za!$B$13:$E$63,3,FALSE),Medewerker!AC67),"")</f>
        <v/>
      </c>
      <c r="Z65" s="933">
        <f>IFERROR(IF(Medewerker!AC67="",VLOOKUP($B65,Za!$B$13:$E$63,4,FALSE),Medewerker!AC67),"")</f>
        <v/>
      </c>
      <c r="AA65" s="934">
        <f>IF(Z65="OA",0,IF(Z65="TA",0,IF(Z65="VRIJ",0,IF(Z65="ST",0,IFERROR(IF(Z65="","",(Z65/Z65)*VLOOKUP($B65,Za!$B$13:$AV$63,47,FALSE)/24),MAX(IFERROR((VLOOKUP($B65,Za!$B$13:$AV$63,47,FALSE)/24),0),IF(COUNTIF(E65:V65,"ZIEK")&gt;9,0,IF(COUNTIF(E65:V65,"VAK")&gt;9,0,Medewerker!E67/120))))))))</f>
        <v/>
      </c>
      <c r="AB65" s="240" t="n"/>
      <c r="AC65" s="933">
        <f>IFERROR(IF(Medewerker!AG67="",VLOOKUP($B65,Zo!$B$13:$E$63,3,FALSE),Medewerker!AG67),"")</f>
        <v/>
      </c>
      <c r="AD65" s="933">
        <f>IFERROR(IF(Medewerker!AG67="",VLOOKUP($B65,Zo!$B$13:$E$63,4,FALSE),Medewerker!AG67),"")</f>
        <v/>
      </c>
      <c r="AE65" s="934">
        <f>IF(AD65="OA",0,IF(AD65="TA",0,IF(AD65="VRIJ",0,IF(AD65="ST",0,IFERROR(IF(AD65="","",(AD65/AD65)*VLOOKUP($B65,Zo!$B$13:$AV$63,47,FALSE)/24),MAX(IFERROR((VLOOKUP($B65,Zo!$B$13:$AV$63,47,FALSE)/24),0),IF(COUNTIF(E65:Z65,"ZIEK")&gt;9,0,IF(COUNTIF(E65:Z65,"VAK")&gt;9,0,Medewerker!E67/120))))))))</f>
        <v/>
      </c>
      <c r="AF65" s="240" t="n"/>
      <c r="AG65" s="935">
        <f>SUM(G65,K65,O65,S65,W65,AA65,AE65)</f>
        <v/>
      </c>
      <c r="AH65" s="532">
        <f>COUNT(G65,K65,O65,S65,W65,AA65,AE65)-(COUNTIF(E65:AD65,"Vrij")/2)</f>
        <v/>
      </c>
      <c r="AI65" s="936">
        <f>Planning!AG65*24-Medewerker!E67</f>
        <v/>
      </c>
      <c r="AJ65" s="254">
        <f>IF(MAX(G65,K65,O65,S65,W65,AA65,AE65)*24&gt;Instellingen!$I$8,"nee","ja")</f>
        <v/>
      </c>
      <c r="AK65" s="254">
        <f>IF(AG65*24&gt;Instellingen!$I$9,"nee","ja")</f>
        <v/>
      </c>
    </row>
    <row r="66" ht="14.25" customHeight="1">
      <c r="A66" s="78">
        <f>IF(B66="",0,MAX($A$6:A65)+1)</f>
        <v/>
      </c>
      <c r="B66" s="241">
        <f>IF(Medewerker!C68="","",Medewerker!C68)</f>
        <v/>
      </c>
      <c r="C66" s="238">
        <f>Medewerker!AI68</f>
        <v/>
      </c>
      <c r="D66" s="240" t="n"/>
      <c r="E66" s="932">
        <f>IFERROR(IF(Medewerker!I68="",VLOOKUP($B66,Ma!$B$13:$E$63,3,FALSE),Medewerker!I68),"")</f>
        <v/>
      </c>
      <c r="F66" s="933">
        <f>IFERROR(IF(Medewerker!I68="",VLOOKUP($B66,Ma!$B$13:$E$63,4,FALSE),Medewerker!I68),"")</f>
        <v/>
      </c>
      <c r="G66" s="934">
        <f>IF(F66="OA",0,IF(F66="TA",0,IF(F66="VRIJ",0,IF(F66="ST",0,IFERROR(IF(F66="","",(F66/F66)*VLOOKUP($B66,Ma!$B$13:$AV$63,47,FALSE)/24),MAX(IFERROR((VLOOKUP($B66,Ma!$B$13:$AV$63,47,FALSE)/24),0),Medewerker!E68/120))))))</f>
        <v/>
      </c>
      <c r="H66" s="240" t="n"/>
      <c r="I66" s="933">
        <f>IFERROR(IF(Medewerker!M68="",VLOOKUP($B66,Di!$B$13:$E$63,3,FALSE),Medewerker!M68),"")</f>
        <v/>
      </c>
      <c r="J66" s="933">
        <f>IFERROR(IF(Medewerker!M68="",VLOOKUP($B66,Di!$B$13:$E$63,4,FALSE),Medewerker!M68),"")</f>
        <v/>
      </c>
      <c r="K66" s="934">
        <f>IF(J66="OA",0,IF(J66="TA",0,IF(J66="VRIJ",0,IF(J66="ST",0,IFERROR(IF(J66="","",(J66/J66)*VLOOKUP($B66,Di!$B$13:$AV$63,47,FALSE)/24),MAX(IFERROR((VLOOKUP($B66,Di!$B$13:$AV$63,47,FALSE)/24),0),Medewerker!E68/120))))))</f>
        <v/>
      </c>
      <c r="L66" s="240" t="n"/>
      <c r="M66" s="933">
        <f>IFERROR(IF(Medewerker!Q68="",VLOOKUP($B66,Wo!$B$13:$E$63,3,FALSE),Medewerker!Q68),"")</f>
        <v/>
      </c>
      <c r="N66" s="933">
        <f>IFERROR(IF(Medewerker!Q68="",VLOOKUP($B66,Wo!$B$13:$E$63,4,FALSE),Medewerker!Q68),"")</f>
        <v/>
      </c>
      <c r="O66" s="934">
        <f>IF(N66="OA",0,IF(N66="TA",0,IF(N66="VRIJ",0,IF(N66="ST",0,IFERROR(IF(N66="","",(N66/N66)*VLOOKUP($B66,Wo!$B$13:$AV$63,47,FALSE)/24),MAX(IFERROR((VLOOKUP($B66,Wo!$B$13:$AV$63,47,FALSE)/24),0),Medewerker!E68/120))))))</f>
        <v/>
      </c>
      <c r="P66" s="240" t="n"/>
      <c r="Q66" s="933">
        <f>IFERROR(IF(Medewerker!U68="",VLOOKUP($B66,Do!$B$13:$E$63,3,FALSE),Medewerker!U68),"")</f>
        <v/>
      </c>
      <c r="R66" s="933">
        <f>IFERROR(IF(Medewerker!U68="",VLOOKUP($B66,Do!$B$13:$E$63,4,FALSE),Medewerker!U68),"")</f>
        <v/>
      </c>
      <c r="S66" s="934">
        <f>IF(R66="OA",0,IF(R66="TA",0,IF(R66="VRIJ",0,IF(R66="ST",0,IFERROR(IF(R66="","",(R66/R66)*VLOOKUP($B66,Do!$B$13:$AV$63,47,FALSE)/24),MAX(IFERROR((VLOOKUP($B66,Do!$B$13:$AV$63,47,FALSE)/24),0),Medewerker!E68/120))))))</f>
        <v/>
      </c>
      <c r="T66" s="240" t="n"/>
      <c r="U66" s="933">
        <f>IFERROR(IF(Medewerker!Y68="",VLOOKUP($B66,Vr!$B$13:$E$63,3,FALSE),Medewerker!Y68),"")</f>
        <v/>
      </c>
      <c r="V66" s="933">
        <f>IFERROR(IF(Medewerker!Y68="",VLOOKUP($B66,Vr!$B$13:$E$63,4,FALSE),Medewerker!Y68),"")</f>
        <v/>
      </c>
      <c r="W66" s="934">
        <f>IF(V66="OA",0,IF(V66="TA",0,IF(V66="VRIJ",0,IF(V66="ST",0,IFERROR(IF(V66="","",(V66/V66)*VLOOKUP($B66,Vr!$B$13:$AV$63,47,FALSE)/24),MAX(IFERROR((VLOOKUP($B66,Vr!$B$13:$AV$63,47,FALSE)/24),0),Medewerker!E68/120))))))</f>
        <v/>
      </c>
      <c r="X66" s="240" t="n"/>
      <c r="Y66" s="933">
        <f>IFERROR(IF(Medewerker!AC68="",VLOOKUP($B66,Za!$B$13:$E$63,3,FALSE),Medewerker!AC68),"")</f>
        <v/>
      </c>
      <c r="Z66" s="933">
        <f>IFERROR(IF(Medewerker!AC68="",VLOOKUP($B66,Za!$B$13:$E$63,4,FALSE),Medewerker!AC68),"")</f>
        <v/>
      </c>
      <c r="AA66" s="934">
        <f>IF(Z66="OA",0,IF(Z66="TA",0,IF(Z66="VRIJ",0,IF(Z66="ST",0,IFERROR(IF(Z66="","",(Z66/Z66)*VLOOKUP($B66,Za!$B$13:$AV$63,47,FALSE)/24),MAX(IFERROR((VLOOKUP($B66,Za!$B$13:$AV$63,47,FALSE)/24),0),IF(COUNTIF(E66:V66,"ZIEK")&gt;9,0,IF(COUNTIF(E66:V66,"VAK")&gt;9,0,Medewerker!E68/120))))))))</f>
        <v/>
      </c>
      <c r="AB66" s="240" t="n"/>
      <c r="AC66" s="933">
        <f>IFERROR(IF(Medewerker!AG68="",VLOOKUP($B66,Zo!$B$13:$E$63,3,FALSE),Medewerker!AG68),"")</f>
        <v/>
      </c>
      <c r="AD66" s="933">
        <f>IFERROR(IF(Medewerker!AG68="",VLOOKUP($B66,Zo!$B$13:$E$63,4,FALSE),Medewerker!AG68),"")</f>
        <v/>
      </c>
      <c r="AE66" s="934">
        <f>IF(AD66="OA",0,IF(AD66="TA",0,IF(AD66="VRIJ",0,IF(AD66="ST",0,IFERROR(IF(AD66="","",(AD66/AD66)*VLOOKUP($B66,Zo!$B$13:$AV$63,47,FALSE)/24),MAX(IFERROR((VLOOKUP($B66,Zo!$B$13:$AV$63,47,FALSE)/24),0),IF(COUNTIF(E66:Z66,"ZIEK")&gt;9,0,IF(COUNTIF(E66:Z66,"VAK")&gt;9,0,Medewerker!E68/120))))))))</f>
        <v/>
      </c>
      <c r="AF66" s="240" t="n"/>
      <c r="AG66" s="935">
        <f>SUM(G66,K66,O66,S66,W66,AA66,AE66)</f>
        <v/>
      </c>
      <c r="AH66" s="532">
        <f>COUNT(G66,K66,O66,S66,W66,AA66,AE66)-(COUNTIF(E66:AD66,"Vrij")/2)</f>
        <v/>
      </c>
      <c r="AI66" s="936">
        <f>Planning!AG66*24-Medewerker!E68</f>
        <v/>
      </c>
      <c r="AJ66" s="254">
        <f>IF(MAX(G66,K66,O66,S66,W66,AA66,AE66)*24&gt;Instellingen!$I$8,"nee","ja")</f>
        <v/>
      </c>
      <c r="AK66" s="254">
        <f>IF(AG66*24&gt;Instellingen!$I$9,"nee","ja")</f>
        <v/>
      </c>
    </row>
    <row r="67" ht="14.25" customHeight="1">
      <c r="A67" s="78">
        <f>IF(B67="",0,MAX($A$6:A66)+1)</f>
        <v/>
      </c>
      <c r="B67" s="241">
        <f>IF(Medewerker!C69="","",Medewerker!C69)</f>
        <v/>
      </c>
      <c r="C67" s="238">
        <f>Medewerker!AI69</f>
        <v/>
      </c>
      <c r="D67" s="240" t="n"/>
      <c r="E67" s="932">
        <f>IFERROR(IF(Medewerker!I69="",VLOOKUP($B67,Ma!$B$13:$E$63,3,FALSE),Medewerker!I69),"")</f>
        <v/>
      </c>
      <c r="F67" s="933">
        <f>IFERROR(IF(Medewerker!I69="",VLOOKUP($B67,Ma!$B$13:$E$63,4,FALSE),Medewerker!I69),"")</f>
        <v/>
      </c>
      <c r="G67" s="934">
        <f>IF(F67="OA",0,IF(F67="TA",0,IF(F67="VRIJ",0,IF(F67="ST",0,IFERROR(IF(F67="","",(F67/F67)*VLOOKUP($B67,Ma!$B$13:$AV$63,47,FALSE)/24),MAX(IFERROR((VLOOKUP($B67,Ma!$B$13:$AV$63,47,FALSE)/24),0),Medewerker!E69/120))))))</f>
        <v/>
      </c>
      <c r="H67" s="240" t="n"/>
      <c r="I67" s="933">
        <f>IFERROR(IF(Medewerker!M69="",VLOOKUP($B67,Di!$B$13:$E$63,3,FALSE),Medewerker!M69),"")</f>
        <v/>
      </c>
      <c r="J67" s="933">
        <f>IFERROR(IF(Medewerker!M69="",VLOOKUP($B67,Di!$B$13:$E$63,4,FALSE),Medewerker!M69),"")</f>
        <v/>
      </c>
      <c r="K67" s="934">
        <f>IF(J67="OA",0,IF(J67="TA",0,IF(J67="VRIJ",0,IF(J67="ST",0,IFERROR(IF(J67="","",(J67/J67)*VLOOKUP($B67,Di!$B$13:$AV$63,47,FALSE)/24),MAX(IFERROR((VLOOKUP($B67,Di!$B$13:$AV$63,47,FALSE)/24),0),Medewerker!E69/120))))))</f>
        <v/>
      </c>
      <c r="L67" s="240" t="n"/>
      <c r="M67" s="933">
        <f>IFERROR(IF(Medewerker!Q69="",VLOOKUP($B67,Wo!$B$13:$E$63,3,FALSE),Medewerker!Q69),"")</f>
        <v/>
      </c>
      <c r="N67" s="933">
        <f>IFERROR(IF(Medewerker!Q69="",VLOOKUP($B67,Wo!$B$13:$E$63,4,FALSE),Medewerker!Q69),"")</f>
        <v/>
      </c>
      <c r="O67" s="934">
        <f>IF(N67="OA",0,IF(N67="TA",0,IF(N67="VRIJ",0,IF(N67="ST",0,IFERROR(IF(N67="","",(N67/N67)*VLOOKUP($B67,Wo!$B$13:$AV$63,47,FALSE)/24),MAX(IFERROR((VLOOKUP($B67,Wo!$B$13:$AV$63,47,FALSE)/24),0),Medewerker!E69/120))))))</f>
        <v/>
      </c>
      <c r="P67" s="240" t="n"/>
      <c r="Q67" s="933">
        <f>IFERROR(IF(Medewerker!U69="",VLOOKUP($B67,Do!$B$13:$E$63,3,FALSE),Medewerker!U69),"")</f>
        <v/>
      </c>
      <c r="R67" s="933">
        <f>IFERROR(IF(Medewerker!U69="",VLOOKUP($B67,Do!$B$13:$E$63,4,FALSE),Medewerker!U69),"")</f>
        <v/>
      </c>
      <c r="S67" s="934">
        <f>IF(R67="OA",0,IF(R67="TA",0,IF(R67="VRIJ",0,IF(R67="ST",0,IFERROR(IF(R67="","",(R67/R67)*VLOOKUP($B67,Do!$B$13:$AV$63,47,FALSE)/24),MAX(IFERROR((VLOOKUP($B67,Do!$B$13:$AV$63,47,FALSE)/24),0),Medewerker!E69/120))))))</f>
        <v/>
      </c>
      <c r="T67" s="240" t="n"/>
      <c r="U67" s="933">
        <f>IFERROR(IF(Medewerker!Y69="",VLOOKUP($B67,Vr!$B$13:$E$63,3,FALSE),Medewerker!Y69),"")</f>
        <v/>
      </c>
      <c r="V67" s="933">
        <f>IFERROR(IF(Medewerker!Y69="",VLOOKUP($B67,Vr!$B$13:$E$63,4,FALSE),Medewerker!Y69),"")</f>
        <v/>
      </c>
      <c r="W67" s="934">
        <f>IF(V67="OA",0,IF(V67="TA",0,IF(V67="VRIJ",0,IF(V67="ST",0,IFERROR(IF(V67="","",(V67/V67)*VLOOKUP($B67,Vr!$B$13:$AV$63,47,FALSE)/24),MAX(IFERROR((VLOOKUP($B67,Vr!$B$13:$AV$63,47,FALSE)/24),0),Medewerker!E69/120))))))</f>
        <v/>
      </c>
      <c r="X67" s="240" t="n"/>
      <c r="Y67" s="933">
        <f>IFERROR(IF(Medewerker!AC69="",VLOOKUP($B67,Za!$B$13:$E$63,3,FALSE),Medewerker!AC69),"")</f>
        <v/>
      </c>
      <c r="Z67" s="933">
        <f>IFERROR(IF(Medewerker!AC69="",VLOOKUP($B67,Za!$B$13:$E$63,4,FALSE),Medewerker!AC69),"")</f>
        <v/>
      </c>
      <c r="AA67" s="934">
        <f>IF(Z67="OA",0,IF(Z67="TA",0,IF(Z67="VRIJ",0,IF(Z67="ST",0,IFERROR(IF(Z67="","",(Z67/Z67)*VLOOKUP($B67,Za!$B$13:$AV$63,47,FALSE)/24),MAX(IFERROR((VLOOKUP($B67,Za!$B$13:$AV$63,47,FALSE)/24),0),IF(COUNTIF(E67:V67,"ZIEK")&gt;9,0,IF(COUNTIF(E67:V67,"VAK")&gt;9,0,Medewerker!E69/120))))))))</f>
        <v/>
      </c>
      <c r="AB67" s="240" t="n"/>
      <c r="AC67" s="933">
        <f>IFERROR(IF(Medewerker!AG69="",VLOOKUP($B67,Zo!$B$13:$E$63,3,FALSE),Medewerker!AG69),"")</f>
        <v/>
      </c>
      <c r="AD67" s="933">
        <f>IFERROR(IF(Medewerker!AG69="",VLOOKUP($B67,Zo!$B$13:$E$63,4,FALSE),Medewerker!AG69),"")</f>
        <v/>
      </c>
      <c r="AE67" s="934">
        <f>IF(AD67="OA",0,IF(AD67="TA",0,IF(AD67="VRIJ",0,IF(AD67="ST",0,IFERROR(IF(AD67="","",(AD67/AD67)*VLOOKUP($B67,Zo!$B$13:$AV$63,47,FALSE)/24),MAX(IFERROR((VLOOKUP($B67,Zo!$B$13:$AV$63,47,FALSE)/24),0),IF(COUNTIF(E67:Z67,"ZIEK")&gt;9,0,IF(COUNTIF(E67:Z67,"VAK")&gt;9,0,Medewerker!E69/120))))))))</f>
        <v/>
      </c>
      <c r="AF67" s="240" t="n"/>
      <c r="AG67" s="935">
        <f>SUM(G67,K67,O67,S67,W67,AA67,AE67)</f>
        <v/>
      </c>
      <c r="AH67" s="532">
        <f>COUNT(G67,K67,O67,S67,W67,AA67,AE67)-(COUNTIF(E67:AD67,"Vrij")/2)</f>
        <v/>
      </c>
      <c r="AI67" s="936">
        <f>Planning!AG67*24-Medewerker!E69</f>
        <v/>
      </c>
      <c r="AJ67" s="254">
        <f>IF(MAX(G67,K67,O67,S67,W67,AA67,AE67)*24&gt;Instellingen!$I$8,"nee","ja")</f>
        <v/>
      </c>
      <c r="AK67" s="254">
        <f>IF(AG67*24&gt;Instellingen!$I$9,"nee","ja")</f>
        <v/>
      </c>
    </row>
    <row r="68" ht="14.25" customHeight="1">
      <c r="A68" s="78">
        <f>IF(B68="",0,MAX($A$6:A67)+1)</f>
        <v/>
      </c>
      <c r="B68" s="241">
        <f>IF(Medewerker!C70="","",Medewerker!C70)</f>
        <v/>
      </c>
      <c r="C68" s="238">
        <f>Medewerker!AI70</f>
        <v/>
      </c>
      <c r="D68" s="240" t="n"/>
      <c r="E68" s="932">
        <f>IFERROR(IF(Medewerker!I70="",VLOOKUP($B68,Ma!$B$13:$E$63,3,FALSE),Medewerker!I70),"")</f>
        <v/>
      </c>
      <c r="F68" s="933">
        <f>IFERROR(IF(Medewerker!I70="",VLOOKUP($B68,Ma!$B$13:$E$63,4,FALSE),Medewerker!I70),"")</f>
        <v/>
      </c>
      <c r="G68" s="934">
        <f>IF(F68="OA",0,IF(F68="TA",0,IF(F68="VRIJ",0,IF(F68="ST",0,IFERROR(IF(F68="","",(F68/F68)*VLOOKUP($B68,Ma!$B$13:$AV$63,47,FALSE)/24),MAX(IFERROR((VLOOKUP($B68,Ma!$B$13:$AV$63,47,FALSE)/24),0),Medewerker!E70/120))))))</f>
        <v/>
      </c>
      <c r="H68" s="240" t="n"/>
      <c r="I68" s="933">
        <f>IFERROR(IF(Medewerker!M70="",VLOOKUP($B68,Di!$B$13:$E$63,3,FALSE),Medewerker!M70),"")</f>
        <v/>
      </c>
      <c r="J68" s="933">
        <f>IFERROR(IF(Medewerker!M70="",VLOOKUP($B68,Di!$B$13:$E$63,4,FALSE),Medewerker!M70),"")</f>
        <v/>
      </c>
      <c r="K68" s="934">
        <f>IF(J68="OA",0,IF(J68="TA",0,IF(J68="VRIJ",0,IF(J68="ST",0,IFERROR(IF(J68="","",(J68/J68)*VLOOKUP($B68,Di!$B$13:$AV$63,47,FALSE)/24),MAX(IFERROR((VLOOKUP($B68,Di!$B$13:$AV$63,47,FALSE)/24),0),Medewerker!E70/120))))))</f>
        <v/>
      </c>
      <c r="L68" s="240" t="n"/>
      <c r="M68" s="933">
        <f>IFERROR(IF(Medewerker!Q70="",VLOOKUP($B68,Wo!$B$13:$E$63,3,FALSE),Medewerker!Q70),"")</f>
        <v/>
      </c>
      <c r="N68" s="933">
        <f>IFERROR(IF(Medewerker!Q70="",VLOOKUP($B68,Wo!$B$13:$E$63,4,FALSE),Medewerker!Q70),"")</f>
        <v/>
      </c>
      <c r="O68" s="934">
        <f>IF(N68="OA",0,IF(N68="TA",0,IF(N68="VRIJ",0,IF(N68="ST",0,IFERROR(IF(N68="","",(N68/N68)*VLOOKUP($B68,Wo!$B$13:$AV$63,47,FALSE)/24),MAX(IFERROR((VLOOKUP($B68,Wo!$B$13:$AV$63,47,FALSE)/24),0),Medewerker!E70/120))))))</f>
        <v/>
      </c>
      <c r="P68" s="240" t="n"/>
      <c r="Q68" s="933">
        <f>IFERROR(IF(Medewerker!U70="",VLOOKUP($B68,Do!$B$13:$E$63,3,FALSE),Medewerker!U70),"")</f>
        <v/>
      </c>
      <c r="R68" s="933">
        <f>IFERROR(IF(Medewerker!U70="",VLOOKUP($B68,Do!$B$13:$E$63,4,FALSE),Medewerker!U70),"")</f>
        <v/>
      </c>
      <c r="S68" s="934">
        <f>IF(R68="OA",0,IF(R68="TA",0,IF(R68="VRIJ",0,IF(R68="ST",0,IFERROR(IF(R68="","",(R68/R68)*VLOOKUP($B68,Do!$B$13:$AV$63,47,FALSE)/24),MAX(IFERROR((VLOOKUP($B68,Do!$B$13:$AV$63,47,FALSE)/24),0),Medewerker!E70/120))))))</f>
        <v/>
      </c>
      <c r="T68" s="240" t="n"/>
      <c r="U68" s="933">
        <f>IFERROR(IF(Medewerker!Y70="",VLOOKUP($B68,Vr!$B$13:$E$63,3,FALSE),Medewerker!Y70),"")</f>
        <v/>
      </c>
      <c r="V68" s="933">
        <f>IFERROR(IF(Medewerker!Y70="",VLOOKUP($B68,Vr!$B$13:$E$63,4,FALSE),Medewerker!Y70),"")</f>
        <v/>
      </c>
      <c r="W68" s="934">
        <f>IF(V68="OA",0,IF(V68="TA",0,IF(V68="VRIJ",0,IF(V68="ST",0,IFERROR(IF(V68="","",(V68/V68)*VLOOKUP($B68,Vr!$B$13:$AV$63,47,FALSE)/24),MAX(IFERROR((VLOOKUP($B68,Vr!$B$13:$AV$63,47,FALSE)/24),0),Medewerker!E70/120))))))</f>
        <v/>
      </c>
      <c r="X68" s="240" t="n"/>
      <c r="Y68" s="933">
        <f>IFERROR(IF(Medewerker!AC70="",VLOOKUP($B68,Za!$B$13:$E$63,3,FALSE),Medewerker!AC70),"")</f>
        <v/>
      </c>
      <c r="Z68" s="933">
        <f>IFERROR(IF(Medewerker!AC70="",VLOOKUP($B68,Za!$B$13:$E$63,4,FALSE),Medewerker!AC70),"")</f>
        <v/>
      </c>
      <c r="AA68" s="934">
        <f>IF(Z68="OA",0,IF(Z68="TA",0,IF(Z68="VRIJ",0,IF(Z68="ST",0,IFERROR(IF(Z68="","",(Z68/Z68)*VLOOKUP($B68,Za!$B$13:$AV$63,47,FALSE)/24),MAX(IFERROR((VLOOKUP($B68,Za!$B$13:$AV$63,47,FALSE)/24),0),IF(COUNTIF(E68:V68,"ZIEK")&gt;9,0,IF(COUNTIF(E68:V68,"VAK")&gt;9,0,Medewerker!E70/120))))))))</f>
        <v/>
      </c>
      <c r="AB68" s="240" t="n"/>
      <c r="AC68" s="933">
        <f>IFERROR(IF(Medewerker!AG70="",VLOOKUP($B68,Zo!$B$13:$E$63,3,FALSE),Medewerker!AG70),"")</f>
        <v/>
      </c>
      <c r="AD68" s="933">
        <f>IFERROR(IF(Medewerker!AG70="",VLOOKUP($B68,Zo!$B$13:$E$63,4,FALSE),Medewerker!AG70),"")</f>
        <v/>
      </c>
      <c r="AE68" s="934">
        <f>IF(AD68="OA",0,IF(AD68="TA",0,IF(AD68="VRIJ",0,IF(AD68="ST",0,IFERROR(IF(AD68="","",(AD68/AD68)*VLOOKUP($B68,Zo!$B$13:$AV$63,47,FALSE)/24),MAX(IFERROR((VLOOKUP($B68,Zo!$B$13:$AV$63,47,FALSE)/24),0),IF(COUNTIF(E68:Z68,"ZIEK")&gt;9,0,IF(COUNTIF(E68:Z68,"VAK")&gt;9,0,Medewerker!E70/120))))))))</f>
        <v/>
      </c>
      <c r="AF68" s="240" t="n"/>
      <c r="AG68" s="935">
        <f>SUM(G68,K68,O68,S68,W68,AA68,AE68)</f>
        <v/>
      </c>
      <c r="AH68" s="532">
        <f>COUNT(G68,K68,O68,S68,W68,AA68,AE68)-(COUNTIF(E68:AD68,"Vrij")/2)</f>
        <v/>
      </c>
      <c r="AI68" s="936">
        <f>Planning!AG68*24-Medewerker!E70</f>
        <v/>
      </c>
      <c r="AJ68" s="254">
        <f>IF(MAX(G68,K68,O68,S68,W68,AA68,AE68)*24&gt;Instellingen!$I$8,"nee","ja")</f>
        <v/>
      </c>
      <c r="AK68" s="254">
        <f>IF(AG68*24&gt;Instellingen!$I$9,"nee","ja")</f>
        <v/>
      </c>
    </row>
    <row r="69" ht="14.25" customHeight="1">
      <c r="A69" s="78">
        <f>IF(B69="",0,MAX($A$6:A68)+1)</f>
        <v/>
      </c>
      <c r="B69" s="241">
        <f>IF(Medewerker!C71="","",Medewerker!C71)</f>
        <v/>
      </c>
      <c r="C69" s="238">
        <f>Medewerker!AI71</f>
        <v/>
      </c>
      <c r="D69" s="240" t="n"/>
      <c r="E69" s="932">
        <f>IFERROR(IF(Medewerker!I71="",VLOOKUP($B69,Ma!$B$13:$E$63,3,FALSE),Medewerker!I71),"")</f>
        <v/>
      </c>
      <c r="F69" s="933">
        <f>IFERROR(IF(Medewerker!I71="",VLOOKUP($B69,Ma!$B$13:$E$63,4,FALSE),Medewerker!I71),"")</f>
        <v/>
      </c>
      <c r="G69" s="934">
        <f>IF(F69="OA",0,IF(F69="TA",0,IF(F69="VRIJ",0,IF(F69="ST",0,IFERROR(IF(F69="","",(F69/F69)*VLOOKUP($B69,Ma!$B$13:$AV$63,47,FALSE)/24),MAX(IFERROR((VLOOKUP($B69,Ma!$B$13:$AV$63,47,FALSE)/24),0),Medewerker!E71/120))))))</f>
        <v/>
      </c>
      <c r="H69" s="240" t="n"/>
      <c r="I69" s="933">
        <f>IFERROR(IF(Medewerker!M71="",VLOOKUP($B69,Di!$B$13:$E$63,3,FALSE),Medewerker!M71),"")</f>
        <v/>
      </c>
      <c r="J69" s="933">
        <f>IFERROR(IF(Medewerker!M71="",VLOOKUP($B69,Di!$B$13:$E$63,4,FALSE),Medewerker!M71),"")</f>
        <v/>
      </c>
      <c r="K69" s="934">
        <f>IF(J69="OA",0,IF(J69="TA",0,IF(J69="VRIJ",0,IF(J69="ST",0,IFERROR(IF(J69="","",(J69/J69)*VLOOKUP($B69,Di!$B$13:$AV$63,47,FALSE)/24),MAX(IFERROR((VLOOKUP($B69,Di!$B$13:$AV$63,47,FALSE)/24),0),Medewerker!E71/120))))))</f>
        <v/>
      </c>
      <c r="L69" s="240" t="n"/>
      <c r="M69" s="933">
        <f>IFERROR(IF(Medewerker!Q71="",VLOOKUP($B69,Wo!$B$13:$E$63,3,FALSE),Medewerker!Q71),"")</f>
        <v/>
      </c>
      <c r="N69" s="933">
        <f>IFERROR(IF(Medewerker!Q71="",VLOOKUP($B69,Wo!$B$13:$E$63,4,FALSE),Medewerker!Q71),"")</f>
        <v/>
      </c>
      <c r="O69" s="934">
        <f>IF(N69="OA",0,IF(N69="TA",0,IF(N69="VRIJ",0,IF(N69="ST",0,IFERROR(IF(N69="","",(N69/N69)*VLOOKUP($B69,Wo!$B$13:$AV$63,47,FALSE)/24),MAX(IFERROR((VLOOKUP($B69,Wo!$B$13:$AV$63,47,FALSE)/24),0),Medewerker!E71/120))))))</f>
        <v/>
      </c>
      <c r="P69" s="240" t="n"/>
      <c r="Q69" s="933">
        <f>IFERROR(IF(Medewerker!U71="",VLOOKUP($B69,Do!$B$13:$E$63,3,FALSE),Medewerker!U71),"")</f>
        <v/>
      </c>
      <c r="R69" s="933">
        <f>IFERROR(IF(Medewerker!U71="",VLOOKUP($B69,Do!$B$13:$E$63,4,FALSE),Medewerker!U71),"")</f>
        <v/>
      </c>
      <c r="S69" s="934">
        <f>IF(R69="OA",0,IF(R69="TA",0,IF(R69="VRIJ",0,IF(R69="ST",0,IFERROR(IF(R69="","",(R69/R69)*VLOOKUP($B69,Do!$B$13:$AV$63,47,FALSE)/24),MAX(IFERROR((VLOOKUP($B69,Do!$B$13:$AV$63,47,FALSE)/24),0),Medewerker!E71/120))))))</f>
        <v/>
      </c>
      <c r="T69" s="240" t="n"/>
      <c r="U69" s="933">
        <f>IFERROR(IF(Medewerker!Y71="",VLOOKUP($B69,Vr!$B$13:$E$63,3,FALSE),Medewerker!Y71),"")</f>
        <v/>
      </c>
      <c r="V69" s="933">
        <f>IFERROR(IF(Medewerker!Y71="",VLOOKUP($B69,Vr!$B$13:$E$63,4,FALSE),Medewerker!Y71),"")</f>
        <v/>
      </c>
      <c r="W69" s="934">
        <f>IF(V69="OA",0,IF(V69="TA",0,IF(V69="VRIJ",0,IF(V69="ST",0,IFERROR(IF(V69="","",(V69/V69)*VLOOKUP($B69,Vr!$B$13:$AV$63,47,FALSE)/24),MAX(IFERROR((VLOOKUP($B69,Vr!$B$13:$AV$63,47,FALSE)/24),0),Medewerker!E71/120))))))</f>
        <v/>
      </c>
      <c r="X69" s="240" t="n"/>
      <c r="Y69" s="933">
        <f>IFERROR(IF(Medewerker!AC71="",VLOOKUP($B69,Za!$B$13:$E$63,3,FALSE),Medewerker!AC71),"")</f>
        <v/>
      </c>
      <c r="Z69" s="933">
        <f>IFERROR(IF(Medewerker!AC71="",VLOOKUP($B69,Za!$B$13:$E$63,4,FALSE),Medewerker!AC71),"")</f>
        <v/>
      </c>
      <c r="AA69" s="934">
        <f>IF(Z69="OA",0,IF(Z69="TA",0,IF(Z69="VRIJ",0,IF(Z69="ST",0,IFERROR(IF(Z69="","",(Z69/Z69)*VLOOKUP($B69,Za!$B$13:$AV$63,47,FALSE)/24),MAX(IFERROR((VLOOKUP($B69,Za!$B$13:$AV$63,47,FALSE)/24),0),IF(COUNTIF(E69:V69,"ZIEK")&gt;9,0,IF(COUNTIF(E69:V69,"VAK")&gt;9,0,Medewerker!E71/120))))))))</f>
        <v/>
      </c>
      <c r="AB69" s="240" t="n"/>
      <c r="AC69" s="933">
        <f>IFERROR(IF(Medewerker!AG71="",VLOOKUP($B69,Zo!$B$13:$E$63,3,FALSE),Medewerker!AG71),"")</f>
        <v/>
      </c>
      <c r="AD69" s="933">
        <f>IFERROR(IF(Medewerker!AG71="",VLOOKUP($B69,Zo!$B$13:$E$63,4,FALSE),Medewerker!AG71),"")</f>
        <v/>
      </c>
      <c r="AE69" s="934">
        <f>IF(AD69="OA",0,IF(AD69="TA",0,IF(AD69="VRIJ",0,IF(AD69="ST",0,IFERROR(IF(AD69="","",(AD69/AD69)*VLOOKUP($B69,Zo!$B$13:$AV$63,47,FALSE)/24),MAX(IFERROR((VLOOKUP($B69,Zo!$B$13:$AV$63,47,FALSE)/24),0),IF(COUNTIF(E69:Z69,"ZIEK")&gt;9,0,IF(COUNTIF(E69:Z69,"VAK")&gt;9,0,Medewerker!E71/120))))))))</f>
        <v/>
      </c>
      <c r="AF69" s="240" t="n"/>
      <c r="AG69" s="935">
        <f>SUM(G69,K69,O69,S69,W69,AA69,AE69)</f>
        <v/>
      </c>
      <c r="AH69" s="532">
        <f>COUNT(G69,K69,O69,S69,W69,AA69,AE69)-(COUNTIF(E69:AD69,"Vrij")/2)</f>
        <v/>
      </c>
      <c r="AI69" s="936">
        <f>Planning!AG69*24-Medewerker!E71</f>
        <v/>
      </c>
      <c r="AJ69" s="254">
        <f>IF(MAX(G69,K69,O69,S69,W69,AA69,AE69)*24&gt;Instellingen!$I$8,"nee","ja")</f>
        <v/>
      </c>
      <c r="AK69" s="254">
        <f>IF(AG69*24&gt;Instellingen!$I$9,"nee","ja")</f>
        <v/>
      </c>
    </row>
    <row r="70" ht="14.25" customHeight="1">
      <c r="A70" s="78">
        <f>IF(B70="",0,MAX($A$6:A69)+1)</f>
        <v/>
      </c>
      <c r="B70" s="241">
        <f>IF(Medewerker!C72="","",Medewerker!C72)</f>
        <v/>
      </c>
      <c r="C70" s="238">
        <f>Medewerker!AI72</f>
        <v/>
      </c>
      <c r="D70" s="240" t="n"/>
      <c r="E70" s="932">
        <f>IFERROR(IF(Medewerker!I72="",VLOOKUP($B70,Ma!$B$13:$E$63,3,FALSE),Medewerker!I72),"")</f>
        <v/>
      </c>
      <c r="F70" s="933">
        <f>IFERROR(IF(Medewerker!I72="",VLOOKUP($B70,Ma!$B$13:$E$63,4,FALSE),Medewerker!I72),"")</f>
        <v/>
      </c>
      <c r="G70" s="934">
        <f>IF(F70="OA",0,IF(F70="TA",0,IF(F70="VRIJ",0,IF(F70="ST",0,IFERROR(IF(F70="","",(F70/F70)*VLOOKUP($B70,Ma!$B$13:$AV$63,47,FALSE)/24),MAX(IFERROR((VLOOKUP($B70,Ma!$B$13:$AV$63,47,FALSE)/24),0),Medewerker!E72/120))))))</f>
        <v/>
      </c>
      <c r="H70" s="240" t="n"/>
      <c r="I70" s="933">
        <f>IFERROR(IF(Medewerker!M72="",VLOOKUP($B70,Di!$B$13:$E$63,3,FALSE),Medewerker!M72),"")</f>
        <v/>
      </c>
      <c r="J70" s="933">
        <f>IFERROR(IF(Medewerker!M72="",VLOOKUP($B70,Di!$B$13:$E$63,4,FALSE),Medewerker!M72),"")</f>
        <v/>
      </c>
      <c r="K70" s="934">
        <f>IF(J70="OA",0,IF(J70="TA",0,IF(J70="VRIJ",0,IF(J70="ST",0,IFERROR(IF(J70="","",(J70/J70)*VLOOKUP($B70,Di!$B$13:$AV$63,47,FALSE)/24),MAX(IFERROR((VLOOKUP($B70,Di!$B$13:$AV$63,47,FALSE)/24),0),Medewerker!E72/120))))))</f>
        <v/>
      </c>
      <c r="L70" s="240" t="n"/>
      <c r="M70" s="933">
        <f>IFERROR(IF(Medewerker!Q72="",VLOOKUP($B70,Wo!$B$13:$E$63,3,FALSE),Medewerker!Q72),"")</f>
        <v/>
      </c>
      <c r="N70" s="933">
        <f>IFERROR(IF(Medewerker!Q72="",VLOOKUP($B70,Wo!$B$13:$E$63,4,FALSE),Medewerker!Q72),"")</f>
        <v/>
      </c>
      <c r="O70" s="934">
        <f>IF(N70="OA",0,IF(N70="TA",0,IF(N70="VRIJ",0,IF(N70="ST",0,IFERROR(IF(N70="","",(N70/N70)*VLOOKUP($B70,Wo!$B$13:$AV$63,47,FALSE)/24),MAX(IFERROR((VLOOKUP($B70,Wo!$B$13:$AV$63,47,FALSE)/24),0),Medewerker!E72/120))))))</f>
        <v/>
      </c>
      <c r="P70" s="240" t="n"/>
      <c r="Q70" s="933">
        <f>IFERROR(IF(Medewerker!U72="",VLOOKUP($B70,Do!$B$13:$E$63,3,FALSE),Medewerker!U72),"")</f>
        <v/>
      </c>
      <c r="R70" s="933">
        <f>IFERROR(IF(Medewerker!U72="",VLOOKUP($B70,Do!$B$13:$E$63,4,FALSE),Medewerker!U72),"")</f>
        <v/>
      </c>
      <c r="S70" s="934">
        <f>IF(R70="OA",0,IF(R70="TA",0,IF(R70="VRIJ",0,IF(R70="ST",0,IFERROR(IF(R70="","",(R70/R70)*VLOOKUP($B70,Do!$B$13:$AV$63,47,FALSE)/24),MAX(IFERROR((VLOOKUP($B70,Do!$B$13:$AV$63,47,FALSE)/24),0),Medewerker!E72/120))))))</f>
        <v/>
      </c>
      <c r="T70" s="240" t="n"/>
      <c r="U70" s="933">
        <f>IFERROR(IF(Medewerker!Y72="",VLOOKUP($B70,Vr!$B$13:$E$63,3,FALSE),Medewerker!Y72),"")</f>
        <v/>
      </c>
      <c r="V70" s="933">
        <f>IFERROR(IF(Medewerker!Y72="",VLOOKUP($B70,Vr!$B$13:$E$63,4,FALSE),Medewerker!Y72),"")</f>
        <v/>
      </c>
      <c r="W70" s="934">
        <f>IF(V70="OA",0,IF(V70="TA",0,IF(V70="VRIJ",0,IF(V70="ST",0,IFERROR(IF(V70="","",(V70/V70)*VLOOKUP($B70,Vr!$B$13:$AV$63,47,FALSE)/24),MAX(IFERROR((VLOOKUP($B70,Vr!$B$13:$AV$63,47,FALSE)/24),0),Medewerker!E72/120))))))</f>
        <v/>
      </c>
      <c r="X70" s="240" t="n"/>
      <c r="Y70" s="933">
        <f>IFERROR(IF(Medewerker!AC72="",VLOOKUP($B70,Za!$B$13:$E$63,3,FALSE),Medewerker!AC72),"")</f>
        <v/>
      </c>
      <c r="Z70" s="933">
        <f>IFERROR(IF(Medewerker!AC72="",VLOOKUP($B70,Za!$B$13:$E$63,4,FALSE),Medewerker!AC72),"")</f>
        <v/>
      </c>
      <c r="AA70" s="934">
        <f>IF(Z70="OA",0,IF(Z70="TA",0,IF(Z70="VRIJ",0,IF(Z70="ST",0,IFERROR(IF(Z70="","",(Z70/Z70)*VLOOKUP($B70,Za!$B$13:$AV$63,47,FALSE)/24),MAX(IFERROR((VLOOKUP($B70,Za!$B$13:$AV$63,47,FALSE)/24),0),IF(COUNTIF(E70:V70,"ZIEK")&gt;9,0,IF(COUNTIF(E70:V70,"VAK")&gt;9,0,Medewerker!E72/120))))))))</f>
        <v/>
      </c>
      <c r="AB70" s="240" t="n"/>
      <c r="AC70" s="933">
        <f>IFERROR(IF(Medewerker!AG72="",VLOOKUP($B70,Zo!$B$13:$E$63,3,FALSE),Medewerker!AG72),"")</f>
        <v/>
      </c>
      <c r="AD70" s="933">
        <f>IFERROR(IF(Medewerker!AG72="",VLOOKUP($B70,Zo!$B$13:$E$63,4,FALSE),Medewerker!AG72),"")</f>
        <v/>
      </c>
      <c r="AE70" s="934">
        <f>IF(AD70="OA",0,IF(AD70="TA",0,IF(AD70="VRIJ",0,IF(AD70="ST",0,IFERROR(IF(AD70="","",(AD70/AD70)*VLOOKUP($B70,Zo!$B$13:$AV$63,47,FALSE)/24),MAX(IFERROR((VLOOKUP($B70,Zo!$B$13:$AV$63,47,FALSE)/24),0),IF(COUNTIF(E70:Z70,"ZIEK")&gt;9,0,IF(COUNTIF(E70:Z70,"VAK")&gt;9,0,Medewerker!E72/120))))))))</f>
        <v/>
      </c>
      <c r="AF70" s="240" t="n"/>
      <c r="AG70" s="935">
        <f>SUM(G70,K70,O70,S70,W70,AA70,AE70)</f>
        <v/>
      </c>
      <c r="AH70" s="532">
        <f>COUNT(G70,K70,O70,S70,W70,AA70,AE70)-(COUNTIF(E70:AD70,"Vrij")/2)</f>
        <v/>
      </c>
      <c r="AI70" s="936">
        <f>Planning!AG70*24-Medewerker!E72</f>
        <v/>
      </c>
      <c r="AJ70" s="254">
        <f>IF(MAX(G70,K70,O70,S70,W70,AA70,AE70)*24&gt;Instellingen!$I$8,"nee","ja")</f>
        <v/>
      </c>
      <c r="AK70" s="254">
        <f>IF(AG70*24&gt;Instellingen!$I$9,"nee","ja")</f>
        <v/>
      </c>
    </row>
    <row r="71" ht="14.25" customHeight="1">
      <c r="A71" s="78">
        <f>IF(B71="",0,MAX($A$6:A70)+1)</f>
        <v/>
      </c>
      <c r="B71" s="241">
        <f>IF(Medewerker!C73="","",Medewerker!C73)</f>
        <v/>
      </c>
      <c r="C71" s="238">
        <f>Medewerker!AI73</f>
        <v/>
      </c>
      <c r="D71" s="240" t="n"/>
      <c r="E71" s="932">
        <f>IFERROR(IF(Medewerker!I73="",VLOOKUP($B71,Ma!$B$13:$E$63,3,FALSE),Medewerker!I73),"")</f>
        <v/>
      </c>
      <c r="F71" s="933">
        <f>IFERROR(IF(Medewerker!I73="",VLOOKUP($B71,Ma!$B$13:$E$63,4,FALSE),Medewerker!I73),"")</f>
        <v/>
      </c>
      <c r="G71" s="934">
        <f>IF(F71="OA",0,IF(F71="TA",0,IF(F71="VRIJ",0,IF(F71="ST",0,IFERROR(IF(F71="","",(F71/F71)*VLOOKUP($B71,Ma!$B$13:$AV$63,47,FALSE)/24),MAX(IFERROR((VLOOKUP($B71,Ma!$B$13:$AV$63,47,FALSE)/24),0),Medewerker!E73/120))))))</f>
        <v/>
      </c>
      <c r="H71" s="240" t="n"/>
      <c r="I71" s="933">
        <f>IFERROR(IF(Medewerker!M73="",VLOOKUP($B71,Di!$B$13:$E$63,3,FALSE),Medewerker!M73),"")</f>
        <v/>
      </c>
      <c r="J71" s="933">
        <f>IFERROR(IF(Medewerker!M73="",VLOOKUP($B71,Di!$B$13:$E$63,4,FALSE),Medewerker!M73),"")</f>
        <v/>
      </c>
      <c r="K71" s="934">
        <f>IF(J71="OA",0,IF(J71="TA",0,IF(J71="VRIJ",0,IF(J71="ST",0,IFERROR(IF(J71="","",(J71/J71)*VLOOKUP($B71,Di!$B$13:$AV$63,47,FALSE)/24),MAX(IFERROR((VLOOKUP($B71,Di!$B$13:$AV$63,47,FALSE)/24),0),Medewerker!E73/120))))))</f>
        <v/>
      </c>
      <c r="L71" s="240" t="n"/>
      <c r="M71" s="933">
        <f>IFERROR(IF(Medewerker!Q73="",VLOOKUP($B71,Wo!$B$13:$E$63,3,FALSE),Medewerker!Q73),"")</f>
        <v/>
      </c>
      <c r="N71" s="933">
        <f>IFERROR(IF(Medewerker!Q73="",VLOOKUP($B71,Wo!$B$13:$E$63,4,FALSE),Medewerker!Q73),"")</f>
        <v/>
      </c>
      <c r="O71" s="934">
        <f>IF(N71="OA",0,IF(N71="TA",0,IF(N71="VRIJ",0,IF(N71="ST",0,IFERROR(IF(N71="","",(N71/N71)*VLOOKUP($B71,Wo!$B$13:$AV$63,47,FALSE)/24),MAX(IFERROR((VLOOKUP($B71,Wo!$B$13:$AV$63,47,FALSE)/24),0),Medewerker!E73/120))))))</f>
        <v/>
      </c>
      <c r="P71" s="240" t="n"/>
      <c r="Q71" s="933">
        <f>IFERROR(IF(Medewerker!U73="",VLOOKUP($B71,Do!$B$13:$E$63,3,FALSE),Medewerker!U73),"")</f>
        <v/>
      </c>
      <c r="R71" s="933">
        <f>IFERROR(IF(Medewerker!U73="",VLOOKUP($B71,Do!$B$13:$E$63,4,FALSE),Medewerker!U73),"")</f>
        <v/>
      </c>
      <c r="S71" s="934">
        <f>IF(R71="OA",0,IF(R71="TA",0,IF(R71="VRIJ",0,IF(R71="ST",0,IFERROR(IF(R71="","",(R71/R71)*VLOOKUP($B71,Do!$B$13:$AV$63,47,FALSE)/24),MAX(IFERROR((VLOOKUP($B71,Do!$B$13:$AV$63,47,FALSE)/24),0),Medewerker!E73/120))))))</f>
        <v/>
      </c>
      <c r="T71" s="240" t="n"/>
      <c r="U71" s="933">
        <f>IFERROR(IF(Medewerker!Y73="",VLOOKUP($B71,Vr!$B$13:$E$63,3,FALSE),Medewerker!Y73),"")</f>
        <v/>
      </c>
      <c r="V71" s="933">
        <f>IFERROR(IF(Medewerker!Y73="",VLOOKUP($B71,Vr!$B$13:$E$63,4,FALSE),Medewerker!Y73),"")</f>
        <v/>
      </c>
      <c r="W71" s="934">
        <f>IF(V71="OA",0,IF(V71="TA",0,IF(V71="VRIJ",0,IF(V71="ST",0,IFERROR(IF(V71="","",(V71/V71)*VLOOKUP($B71,Vr!$B$13:$AV$63,47,FALSE)/24),MAX(IFERROR((VLOOKUP($B71,Vr!$B$13:$AV$63,47,FALSE)/24),0),Medewerker!E73/120))))))</f>
        <v/>
      </c>
      <c r="X71" s="240" t="n"/>
      <c r="Y71" s="933">
        <f>IFERROR(IF(Medewerker!AC73="",VLOOKUP($B71,Za!$B$13:$E$63,3,FALSE),Medewerker!AC73),"")</f>
        <v/>
      </c>
      <c r="Z71" s="933">
        <f>IFERROR(IF(Medewerker!AC73="",VLOOKUP($B71,Za!$B$13:$E$63,4,FALSE),Medewerker!AC73),"")</f>
        <v/>
      </c>
      <c r="AA71" s="934">
        <f>IF(Z71="OA",0,IF(Z71="TA",0,IF(Z71="VRIJ",0,IF(Z71="ST",0,IFERROR(IF(Z71="","",(Z71/Z71)*VLOOKUP($B71,Za!$B$13:$AV$63,47,FALSE)/24),MAX(IFERROR((VLOOKUP($B71,Za!$B$13:$AV$63,47,FALSE)/24),0),IF(COUNTIF(E71:V71,"ZIEK")&gt;9,0,IF(COUNTIF(E71:V71,"VAK")&gt;9,0,Medewerker!E73/120))))))))</f>
        <v/>
      </c>
      <c r="AB71" s="240" t="n"/>
      <c r="AC71" s="933">
        <f>IFERROR(IF(Medewerker!AG73="",VLOOKUP($B71,Zo!$B$13:$E$63,3,FALSE),Medewerker!AG73),"")</f>
        <v/>
      </c>
      <c r="AD71" s="933">
        <f>IFERROR(IF(Medewerker!AG73="",VLOOKUP($B71,Zo!$B$13:$E$63,4,FALSE),Medewerker!AG73),"")</f>
        <v/>
      </c>
      <c r="AE71" s="934">
        <f>IF(AD71="OA",0,IF(AD71="TA",0,IF(AD71="VRIJ",0,IF(AD71="ST",0,IFERROR(IF(AD71="","",(AD71/AD71)*VLOOKUP($B71,Zo!$B$13:$AV$63,47,FALSE)/24),MAX(IFERROR((VLOOKUP($B71,Zo!$B$13:$AV$63,47,FALSE)/24),0),IF(COUNTIF(E71:Z71,"ZIEK")&gt;9,0,IF(COUNTIF(E71:Z71,"VAK")&gt;9,0,Medewerker!E73/120))))))))</f>
        <v/>
      </c>
      <c r="AF71" s="240" t="n"/>
      <c r="AG71" s="935">
        <f>SUM(G71,K71,O71,S71,W71,AA71,AE71)</f>
        <v/>
      </c>
      <c r="AH71" s="532">
        <f>COUNT(G71,K71,O71,S71,W71,AA71,AE71)-(COUNTIF(E71:AD71,"Vrij")/2)</f>
        <v/>
      </c>
      <c r="AI71" s="936">
        <f>Planning!AG71*24-Medewerker!E73</f>
        <v/>
      </c>
      <c r="AJ71" s="254">
        <f>IF(MAX(G71,K71,O71,S71,W71,AA71,AE71)*24&gt;Instellingen!$I$8,"nee","ja")</f>
        <v/>
      </c>
      <c r="AK71" s="254">
        <f>IF(AG71*24&gt;Instellingen!$I$9,"nee","ja")</f>
        <v/>
      </c>
    </row>
    <row r="72" ht="14.25" customHeight="1">
      <c r="A72" s="78">
        <f>IF(B72="",0,MAX($A$6:A71)+1)</f>
        <v/>
      </c>
      <c r="B72" s="241">
        <f>IF(Medewerker!C74="","",Medewerker!C74)</f>
        <v/>
      </c>
      <c r="C72" s="238">
        <f>Medewerker!AI74</f>
        <v/>
      </c>
      <c r="D72" s="240" t="n"/>
      <c r="E72" s="932">
        <f>IFERROR(IF(Medewerker!I74="",VLOOKUP($B72,Ma!$B$13:$E$63,3,FALSE),Medewerker!I74),"")</f>
        <v/>
      </c>
      <c r="F72" s="933">
        <f>IFERROR(IF(Medewerker!I74="",VLOOKUP($B72,Ma!$B$13:$E$63,4,FALSE),Medewerker!I74),"")</f>
        <v/>
      </c>
      <c r="G72" s="934">
        <f>IF(F72="OA",0,IF(F72="TA",0,IF(F72="VRIJ",0,IF(F72="ST",0,IFERROR(IF(F72="","",(F72/F72)*VLOOKUP($B72,Ma!$B$13:$AV$63,47,FALSE)/24),MAX(IFERROR((VLOOKUP($B72,Ma!$B$13:$AV$63,47,FALSE)/24),0),Medewerker!E74/120))))))</f>
        <v/>
      </c>
      <c r="H72" s="240" t="n"/>
      <c r="I72" s="933">
        <f>IFERROR(IF(Medewerker!M74="",VLOOKUP($B72,Di!$B$13:$E$63,3,FALSE),Medewerker!M74),"")</f>
        <v/>
      </c>
      <c r="J72" s="933">
        <f>IFERROR(IF(Medewerker!M74="",VLOOKUP($B72,Di!$B$13:$E$63,4,FALSE),Medewerker!M74),"")</f>
        <v/>
      </c>
      <c r="K72" s="934">
        <f>IF(J72="OA",0,IF(J72="TA",0,IF(J72="VRIJ",0,IF(J72="ST",0,IFERROR(IF(J72="","",(J72/J72)*VLOOKUP($B72,Di!$B$13:$AV$63,47,FALSE)/24),MAX(IFERROR((VLOOKUP($B72,Di!$B$13:$AV$63,47,FALSE)/24),0),Medewerker!E74/120))))))</f>
        <v/>
      </c>
      <c r="L72" s="240" t="n"/>
      <c r="M72" s="933">
        <f>IFERROR(IF(Medewerker!Q74="",VLOOKUP($B72,Wo!$B$13:$E$63,3,FALSE),Medewerker!Q74),"")</f>
        <v/>
      </c>
      <c r="N72" s="933">
        <f>IFERROR(IF(Medewerker!Q74="",VLOOKUP($B72,Wo!$B$13:$E$63,4,FALSE),Medewerker!Q74),"")</f>
        <v/>
      </c>
      <c r="O72" s="934">
        <f>IF(N72="OA",0,IF(N72="TA",0,IF(N72="VRIJ",0,IF(N72="ST",0,IFERROR(IF(N72="","",(N72/N72)*VLOOKUP($B72,Wo!$B$13:$AV$63,47,FALSE)/24),MAX(IFERROR((VLOOKUP($B72,Wo!$B$13:$AV$63,47,FALSE)/24),0),Medewerker!E74/120))))))</f>
        <v/>
      </c>
      <c r="P72" s="240" t="n"/>
      <c r="Q72" s="933">
        <f>IFERROR(IF(Medewerker!U74="",VLOOKUP($B72,Do!$B$13:$E$63,3,FALSE),Medewerker!U74),"")</f>
        <v/>
      </c>
      <c r="R72" s="933">
        <f>IFERROR(IF(Medewerker!U74="",VLOOKUP($B72,Do!$B$13:$E$63,4,FALSE),Medewerker!U74),"")</f>
        <v/>
      </c>
      <c r="S72" s="934">
        <f>IF(R72="OA",0,IF(R72="TA",0,IF(R72="VRIJ",0,IF(R72="ST",0,IFERROR(IF(R72="","",(R72/R72)*VLOOKUP($B72,Do!$B$13:$AV$63,47,FALSE)/24),MAX(IFERROR((VLOOKUP($B72,Do!$B$13:$AV$63,47,FALSE)/24),0),Medewerker!E74/120))))))</f>
        <v/>
      </c>
      <c r="T72" s="240" t="n"/>
      <c r="U72" s="933">
        <f>IFERROR(IF(Medewerker!Y74="",VLOOKUP($B72,Vr!$B$13:$E$63,3,FALSE),Medewerker!Y74),"")</f>
        <v/>
      </c>
      <c r="V72" s="933">
        <f>IFERROR(IF(Medewerker!Y74="",VLOOKUP($B72,Vr!$B$13:$E$63,4,FALSE),Medewerker!Y74),"")</f>
        <v/>
      </c>
      <c r="W72" s="934">
        <f>IF(V72="OA",0,IF(V72="TA",0,IF(V72="VRIJ",0,IF(V72="ST",0,IFERROR(IF(V72="","",(V72/V72)*VLOOKUP($B72,Vr!$B$13:$AV$63,47,FALSE)/24),MAX(IFERROR((VLOOKUP($B72,Vr!$B$13:$AV$63,47,FALSE)/24),0),Medewerker!E74/120))))))</f>
        <v/>
      </c>
      <c r="X72" s="240" t="n"/>
      <c r="Y72" s="933">
        <f>IFERROR(IF(Medewerker!AC74="",VLOOKUP($B72,Za!$B$13:$E$63,3,FALSE),Medewerker!AC74),"")</f>
        <v/>
      </c>
      <c r="Z72" s="933">
        <f>IFERROR(IF(Medewerker!AC74="",VLOOKUP($B72,Za!$B$13:$E$63,4,FALSE),Medewerker!AC74),"")</f>
        <v/>
      </c>
      <c r="AA72" s="934">
        <f>IF(Z72="OA",0,IF(Z72="TA",0,IF(Z72="VRIJ",0,IF(Z72="ST",0,IFERROR(IF(Z72="","",(Z72/Z72)*VLOOKUP($B72,Za!$B$13:$AV$63,47,FALSE)/24),MAX(IFERROR((VLOOKUP($B72,Za!$B$13:$AV$63,47,FALSE)/24),0),IF(COUNTIF(E72:V72,"ZIEK")&gt;9,0,IF(COUNTIF(E72:V72,"VAK")&gt;9,0,Medewerker!E74/120))))))))</f>
        <v/>
      </c>
      <c r="AB72" s="240" t="n"/>
      <c r="AC72" s="933">
        <f>IFERROR(IF(Medewerker!AG74="",VLOOKUP($B72,Zo!$B$13:$E$63,3,FALSE),Medewerker!AG74),"")</f>
        <v/>
      </c>
      <c r="AD72" s="933">
        <f>IFERROR(IF(Medewerker!AG74="",VLOOKUP($B72,Zo!$B$13:$E$63,4,FALSE),Medewerker!AG74),"")</f>
        <v/>
      </c>
      <c r="AE72" s="934">
        <f>IF(AD72="OA",0,IF(AD72="TA",0,IF(AD72="VRIJ",0,IF(AD72="ST",0,IFERROR(IF(AD72="","",(AD72/AD72)*VLOOKUP($B72,Zo!$B$13:$AV$63,47,FALSE)/24),MAX(IFERROR((VLOOKUP($B72,Zo!$B$13:$AV$63,47,FALSE)/24),0),IF(COUNTIF(E72:Z72,"ZIEK")&gt;9,0,IF(COUNTIF(E72:Z72,"VAK")&gt;9,0,Medewerker!E74/120))))))))</f>
        <v/>
      </c>
      <c r="AF72" s="240" t="n"/>
      <c r="AG72" s="935">
        <f>SUM(G72,K72,O72,S72,W72,AA72,AE72)</f>
        <v/>
      </c>
      <c r="AH72" s="532">
        <f>COUNT(G72,K72,O72,S72,W72,AA72,AE72)-(COUNTIF(E72:AD72,"Vrij")/2)</f>
        <v/>
      </c>
      <c r="AI72" s="936">
        <f>Planning!AG72*24-Medewerker!E74</f>
        <v/>
      </c>
      <c r="AJ72" s="254">
        <f>IF(MAX(G72,K72,O72,S72,W72,AA72,AE72)*24&gt;Instellingen!$I$8,"nee","ja")</f>
        <v/>
      </c>
      <c r="AK72" s="254">
        <f>IF(AG72*24&gt;Instellingen!$I$9,"nee","ja")</f>
        <v/>
      </c>
    </row>
    <row r="73" ht="14.25" customHeight="1">
      <c r="A73" s="78">
        <f>IF(B73="",0,MAX($A$6:A72)+1)</f>
        <v/>
      </c>
      <c r="B73" s="241">
        <f>IF(Medewerker!C75="","",Medewerker!C75)</f>
        <v/>
      </c>
      <c r="C73" s="238">
        <f>Medewerker!AI75</f>
        <v/>
      </c>
      <c r="D73" s="240" t="n"/>
      <c r="E73" s="932">
        <f>IFERROR(IF(Medewerker!I75="",VLOOKUP($B73,Ma!$B$13:$E$63,3,FALSE),Medewerker!I75),"")</f>
        <v/>
      </c>
      <c r="F73" s="933">
        <f>IFERROR(IF(Medewerker!I75="",VLOOKUP($B73,Ma!$B$13:$E$63,4,FALSE),Medewerker!I75),"")</f>
        <v/>
      </c>
      <c r="G73" s="934">
        <f>IF(F73="OA",0,IF(F73="TA",0,IF(F73="VRIJ",0,IF(F73="ST",0,IFERROR(IF(F73="","",(F73/F73)*VLOOKUP($B73,Ma!$B$13:$AV$63,47,FALSE)/24),MAX(IFERROR((VLOOKUP($B73,Ma!$B$13:$AV$63,47,FALSE)/24),0),Medewerker!E75/120))))))</f>
        <v/>
      </c>
      <c r="H73" s="240" t="n"/>
      <c r="I73" s="933">
        <f>IFERROR(IF(Medewerker!M75="",VLOOKUP($B73,Di!$B$13:$E$63,3,FALSE),Medewerker!M75),"")</f>
        <v/>
      </c>
      <c r="J73" s="933">
        <f>IFERROR(IF(Medewerker!M75="",VLOOKUP($B73,Di!$B$13:$E$63,4,FALSE),Medewerker!M75),"")</f>
        <v/>
      </c>
      <c r="K73" s="934">
        <f>IF(J73="OA",0,IF(J73="TA",0,IF(J73="VRIJ",0,IF(J73="ST",0,IFERROR(IF(J73="","",(J73/J73)*VLOOKUP($B73,Di!$B$13:$AV$63,47,FALSE)/24),MAX(IFERROR((VLOOKUP($B73,Di!$B$13:$AV$63,47,FALSE)/24),0),Medewerker!E75/120))))))</f>
        <v/>
      </c>
      <c r="L73" s="240" t="n"/>
      <c r="M73" s="933">
        <f>IFERROR(IF(Medewerker!Q75="",VLOOKUP($B73,Wo!$B$13:$E$63,3,FALSE),Medewerker!Q75),"")</f>
        <v/>
      </c>
      <c r="N73" s="933">
        <f>IFERROR(IF(Medewerker!Q75="",VLOOKUP($B73,Wo!$B$13:$E$63,4,FALSE),Medewerker!Q75),"")</f>
        <v/>
      </c>
      <c r="O73" s="934">
        <f>IF(N73="OA",0,IF(N73="TA",0,IF(N73="VRIJ",0,IF(N73="ST",0,IFERROR(IF(N73="","",(N73/N73)*VLOOKUP($B73,Wo!$B$13:$AV$63,47,FALSE)/24),MAX(IFERROR((VLOOKUP($B73,Wo!$B$13:$AV$63,47,FALSE)/24),0),Medewerker!E75/120))))))</f>
        <v/>
      </c>
      <c r="P73" s="240" t="n"/>
      <c r="Q73" s="933">
        <f>IFERROR(IF(Medewerker!U75="",VLOOKUP($B73,Do!$B$13:$E$63,3,FALSE),Medewerker!U75),"")</f>
        <v/>
      </c>
      <c r="R73" s="933">
        <f>IFERROR(IF(Medewerker!U75="",VLOOKUP($B73,Do!$B$13:$E$63,4,FALSE),Medewerker!U75),"")</f>
        <v/>
      </c>
      <c r="S73" s="934">
        <f>IF(R73="OA",0,IF(R73="TA",0,IF(R73="VRIJ",0,IF(R73="ST",0,IFERROR(IF(R73="","",(R73/R73)*VLOOKUP($B73,Do!$B$13:$AV$63,47,FALSE)/24),MAX(IFERROR((VLOOKUP($B73,Do!$B$13:$AV$63,47,FALSE)/24),0),Medewerker!E75/120))))))</f>
        <v/>
      </c>
      <c r="T73" s="240" t="n"/>
      <c r="U73" s="933">
        <f>IFERROR(IF(Medewerker!Y75="",VLOOKUP($B73,Vr!$B$13:$E$63,3,FALSE),Medewerker!Y75),"")</f>
        <v/>
      </c>
      <c r="V73" s="933">
        <f>IFERROR(IF(Medewerker!Y75="",VLOOKUP($B73,Vr!$B$13:$E$63,4,FALSE),Medewerker!Y75),"")</f>
        <v/>
      </c>
      <c r="W73" s="934">
        <f>IF(V73="OA",0,IF(V73="TA",0,IF(V73="VRIJ",0,IF(V73="ST",0,IFERROR(IF(V73="","",(V73/V73)*VLOOKUP($B73,Vr!$B$13:$AV$63,47,FALSE)/24),MAX(IFERROR((VLOOKUP($B73,Vr!$B$13:$AV$63,47,FALSE)/24),0),Medewerker!E75/120))))))</f>
        <v/>
      </c>
      <c r="X73" s="240" t="n"/>
      <c r="Y73" s="933">
        <f>IFERROR(IF(Medewerker!AC75="",VLOOKUP($B73,Za!$B$13:$E$63,3,FALSE),Medewerker!AC75),"")</f>
        <v/>
      </c>
      <c r="Z73" s="933">
        <f>IFERROR(IF(Medewerker!AC75="",VLOOKUP($B73,Za!$B$13:$E$63,4,FALSE),Medewerker!AC75),"")</f>
        <v/>
      </c>
      <c r="AA73" s="934">
        <f>IF(Z73="OA",0,IF(Z73="TA",0,IF(Z73="VRIJ",0,IF(Z73="ST",0,IFERROR(IF(Z73="","",(Z73/Z73)*VLOOKUP($B73,Za!$B$13:$AV$63,47,FALSE)/24),MAX(IFERROR((VLOOKUP($B73,Za!$B$13:$AV$63,47,FALSE)/24),0),IF(COUNTIF(E73:V73,"ZIEK")&gt;9,0,IF(COUNTIF(E73:V73,"VAK")&gt;9,0,Medewerker!E75/120))))))))</f>
        <v/>
      </c>
      <c r="AB73" s="240" t="n"/>
      <c r="AC73" s="933">
        <f>IFERROR(IF(Medewerker!AG75="",VLOOKUP($B73,Zo!$B$13:$E$63,3,FALSE),Medewerker!AG75),"")</f>
        <v/>
      </c>
      <c r="AD73" s="933">
        <f>IFERROR(IF(Medewerker!AG75="",VLOOKUP($B73,Zo!$B$13:$E$63,4,FALSE),Medewerker!AG75),"")</f>
        <v/>
      </c>
      <c r="AE73" s="934">
        <f>IF(AD73="OA",0,IF(AD73="TA",0,IF(AD73="VRIJ",0,IF(AD73="ST",0,IFERROR(IF(AD73="","",(AD73/AD73)*VLOOKUP($B73,Zo!$B$13:$AV$63,47,FALSE)/24),MAX(IFERROR((VLOOKUP($B73,Zo!$B$13:$AV$63,47,FALSE)/24),0),IF(COUNTIF(E73:Z73,"ZIEK")&gt;9,0,IF(COUNTIF(E73:Z73,"VAK")&gt;9,0,Medewerker!E75/120))))))))</f>
        <v/>
      </c>
      <c r="AF73" s="240" t="n"/>
      <c r="AG73" s="935">
        <f>SUM(G73,K73,O73,S73,W73,AA73,AE73)</f>
        <v/>
      </c>
      <c r="AH73" s="532">
        <f>COUNT(G73,K73,O73,S73,W73,AA73,AE73)-(COUNTIF(E73:AD73,"Vrij")/2)</f>
        <v/>
      </c>
      <c r="AI73" s="936">
        <f>Planning!AG73*24-Medewerker!E75</f>
        <v/>
      </c>
      <c r="AJ73" s="254">
        <f>IF(MAX(G73,K73,O73,S73,W73,AA73,AE73)*24&gt;Instellingen!$I$8,"nee","ja")</f>
        <v/>
      </c>
      <c r="AK73" s="254">
        <f>IF(AG73*24&gt;Instellingen!$I$9,"nee","ja")</f>
        <v/>
      </c>
    </row>
    <row r="74" ht="14.25" customHeight="1">
      <c r="A74" s="78">
        <f>IF(B74="",0,MAX($A$6:A73)+1)</f>
        <v/>
      </c>
      <c r="B74" s="241">
        <f>IF(Medewerker!C76="","",Medewerker!C76)</f>
        <v/>
      </c>
      <c r="C74" s="238">
        <f>Medewerker!AI76</f>
        <v/>
      </c>
      <c r="D74" s="240" t="n"/>
      <c r="E74" s="932">
        <f>IFERROR(IF(Medewerker!I76="",VLOOKUP($B74,Ma!$B$13:$E$63,3,FALSE),Medewerker!I76),"")</f>
        <v/>
      </c>
      <c r="F74" s="933">
        <f>IFERROR(IF(Medewerker!I76="",VLOOKUP($B74,Ma!$B$13:$E$63,4,FALSE),Medewerker!I76),"")</f>
        <v/>
      </c>
      <c r="G74" s="934">
        <f>IF(F74="OA",0,IF(F74="TA",0,IF(F74="VRIJ",0,IF(F74="ST",0,IFERROR(IF(F74="","",(F74/F74)*VLOOKUP($B74,Ma!$B$13:$AV$63,47,FALSE)/24),MAX(IFERROR((VLOOKUP($B74,Ma!$B$13:$AV$63,47,FALSE)/24),0),Medewerker!E76/120))))))</f>
        <v/>
      </c>
      <c r="H74" s="240" t="n"/>
      <c r="I74" s="933">
        <f>IFERROR(IF(Medewerker!M76="",VLOOKUP($B74,Di!$B$13:$E$63,3,FALSE),Medewerker!M76),"")</f>
        <v/>
      </c>
      <c r="J74" s="933">
        <f>IFERROR(IF(Medewerker!M76="",VLOOKUP($B74,Di!$B$13:$E$63,4,FALSE),Medewerker!M76),"")</f>
        <v/>
      </c>
      <c r="K74" s="934">
        <f>IF(J74="OA",0,IF(J74="TA",0,IF(J74="VRIJ",0,IF(J74="ST",0,IFERROR(IF(J74="","",(J74/J74)*VLOOKUP($B74,Di!$B$13:$AV$63,47,FALSE)/24),MAX(IFERROR((VLOOKUP($B74,Di!$B$13:$AV$63,47,FALSE)/24),0),Medewerker!E76/120))))))</f>
        <v/>
      </c>
      <c r="L74" s="240" t="n"/>
      <c r="M74" s="933">
        <f>IFERROR(IF(Medewerker!Q76="",VLOOKUP($B74,Wo!$B$13:$E$63,3,FALSE),Medewerker!Q76),"")</f>
        <v/>
      </c>
      <c r="N74" s="933">
        <f>IFERROR(IF(Medewerker!Q76="",VLOOKUP($B74,Wo!$B$13:$E$63,4,FALSE),Medewerker!Q76),"")</f>
        <v/>
      </c>
      <c r="O74" s="934">
        <f>IF(N74="OA",0,IF(N74="TA",0,IF(N74="VRIJ",0,IF(N74="ST",0,IFERROR(IF(N74="","",(N74/N74)*VLOOKUP($B74,Wo!$B$13:$AV$63,47,FALSE)/24),MAX(IFERROR((VLOOKUP($B74,Wo!$B$13:$AV$63,47,FALSE)/24),0),Medewerker!E76/120))))))</f>
        <v/>
      </c>
      <c r="P74" s="240" t="n"/>
      <c r="Q74" s="933">
        <f>IFERROR(IF(Medewerker!U76="",VLOOKUP($B74,Do!$B$13:$E$63,3,FALSE),Medewerker!U76),"")</f>
        <v/>
      </c>
      <c r="R74" s="933">
        <f>IFERROR(IF(Medewerker!U76="",VLOOKUP($B74,Do!$B$13:$E$63,4,FALSE),Medewerker!U76),"")</f>
        <v/>
      </c>
      <c r="S74" s="934">
        <f>IF(R74="OA",0,IF(R74="TA",0,IF(R74="VRIJ",0,IF(R74="ST",0,IFERROR(IF(R74="","",(R74/R74)*VLOOKUP($B74,Do!$B$13:$AV$63,47,FALSE)/24),MAX(IFERROR((VLOOKUP($B74,Do!$B$13:$AV$63,47,FALSE)/24),0),Medewerker!E76/120))))))</f>
        <v/>
      </c>
      <c r="T74" s="240" t="n"/>
      <c r="U74" s="933">
        <f>IFERROR(IF(Medewerker!Y76="",VLOOKUP($B74,Vr!$B$13:$E$63,3,FALSE),Medewerker!Y76),"")</f>
        <v/>
      </c>
      <c r="V74" s="933">
        <f>IFERROR(IF(Medewerker!Y76="",VLOOKUP($B74,Vr!$B$13:$E$63,4,FALSE),Medewerker!Y76),"")</f>
        <v/>
      </c>
      <c r="W74" s="934">
        <f>IF(V74="OA",0,IF(V74="TA",0,IF(V74="VRIJ",0,IF(V74="ST",0,IFERROR(IF(V74="","",(V74/V74)*VLOOKUP($B74,Vr!$B$13:$AV$63,47,FALSE)/24),MAX(IFERROR((VLOOKUP($B74,Vr!$B$13:$AV$63,47,FALSE)/24),0),Medewerker!E76/120))))))</f>
        <v/>
      </c>
      <c r="X74" s="240" t="n"/>
      <c r="Y74" s="933">
        <f>IFERROR(IF(Medewerker!AC76="",VLOOKUP($B74,Za!$B$13:$E$63,3,FALSE),Medewerker!AC76),"")</f>
        <v/>
      </c>
      <c r="Z74" s="933">
        <f>IFERROR(IF(Medewerker!AC76="",VLOOKUP($B74,Za!$B$13:$E$63,4,FALSE),Medewerker!AC76),"")</f>
        <v/>
      </c>
      <c r="AA74" s="934">
        <f>IF(Z74="OA",0,IF(Z74="TA",0,IF(Z74="VRIJ",0,IF(Z74="ST",0,IFERROR(IF(Z74="","",(Z74/Z74)*VLOOKUP($B74,Za!$B$13:$AV$63,47,FALSE)/24),MAX(IFERROR((VLOOKUP($B74,Za!$B$13:$AV$63,47,FALSE)/24),0),IF(COUNTIF(E74:V74,"ZIEK")&gt;9,0,IF(COUNTIF(E74:V74,"VAK")&gt;9,0,Medewerker!E76/120))))))))</f>
        <v/>
      </c>
      <c r="AB74" s="240" t="n"/>
      <c r="AC74" s="933">
        <f>IFERROR(IF(Medewerker!AG76="",VLOOKUP($B74,Zo!$B$13:$E$63,3,FALSE),Medewerker!AG76),"")</f>
        <v/>
      </c>
      <c r="AD74" s="933">
        <f>IFERROR(IF(Medewerker!AG76="",VLOOKUP($B74,Zo!$B$13:$E$63,4,FALSE),Medewerker!AG76),"")</f>
        <v/>
      </c>
      <c r="AE74" s="934">
        <f>IF(AD74="OA",0,IF(AD74="TA",0,IF(AD74="VRIJ",0,IF(AD74="ST",0,IFERROR(IF(AD74="","",(AD74/AD74)*VLOOKUP($B74,Zo!$B$13:$AV$63,47,FALSE)/24),MAX(IFERROR((VLOOKUP($B74,Zo!$B$13:$AV$63,47,FALSE)/24),0),IF(COUNTIF(E74:Z74,"ZIEK")&gt;9,0,IF(COUNTIF(E74:Z74,"VAK")&gt;9,0,Medewerker!E76/120))))))))</f>
        <v/>
      </c>
      <c r="AF74" s="240" t="n"/>
      <c r="AG74" s="935">
        <f>SUM(G74,K74,O74,S74,W74,AA74,AE74)</f>
        <v/>
      </c>
      <c r="AH74" s="532">
        <f>COUNT(G74,K74,O74,S74,W74,AA74,AE74)-(COUNTIF(E74:AD74,"Vrij")/2)</f>
        <v/>
      </c>
      <c r="AI74" s="936">
        <f>Planning!AG74*24-Medewerker!E76</f>
        <v/>
      </c>
      <c r="AJ74" s="254">
        <f>IF(MAX(G74,K74,O74,S74,W74,AA74,AE74)*24&gt;Instellingen!$I$8,"nee","ja")</f>
        <v/>
      </c>
      <c r="AK74" s="254">
        <f>IF(AG74*24&gt;Instellingen!$I$9,"nee","ja")</f>
        <v/>
      </c>
    </row>
    <row r="75" ht="14.25" customHeight="1">
      <c r="A75" s="78">
        <f>IF(B75="",0,MAX($A$6:A74)+1)</f>
        <v/>
      </c>
      <c r="B75" s="241">
        <f>IF(Medewerker!C77="","",Medewerker!C77)</f>
        <v/>
      </c>
      <c r="C75" s="238">
        <f>Medewerker!AI77</f>
        <v/>
      </c>
      <c r="D75" s="240" t="n"/>
      <c r="E75" s="932">
        <f>IFERROR(IF(Medewerker!I77="",VLOOKUP($B75,Ma!$B$13:$E$63,3,FALSE),Medewerker!I77),"")</f>
        <v/>
      </c>
      <c r="F75" s="933">
        <f>IFERROR(IF(Medewerker!I77="",VLOOKUP($B75,Ma!$B$13:$E$63,4,FALSE),Medewerker!I77),"")</f>
        <v/>
      </c>
      <c r="G75" s="934">
        <f>IF(F75="OA",0,IF(F75="TA",0,IF(F75="VRIJ",0,IF(F75="ST",0,IFERROR(IF(F75="","",(F75/F75)*VLOOKUP($B75,Ma!$B$13:$AV$63,47,FALSE)/24),MAX(IFERROR((VLOOKUP($B75,Ma!$B$13:$AV$63,47,FALSE)/24),0),Medewerker!E77/120))))))</f>
        <v/>
      </c>
      <c r="H75" s="240" t="n"/>
      <c r="I75" s="933">
        <f>IFERROR(IF(Medewerker!M77="",VLOOKUP($B75,Di!$B$13:$E$63,3,FALSE),Medewerker!M77),"")</f>
        <v/>
      </c>
      <c r="J75" s="933">
        <f>IFERROR(IF(Medewerker!M77="",VLOOKUP($B75,Di!$B$13:$E$63,4,FALSE),Medewerker!M77),"")</f>
        <v/>
      </c>
      <c r="K75" s="934">
        <f>IF(J75="OA",0,IF(J75="TA",0,IF(J75="VRIJ",0,IF(J75="ST",0,IFERROR(IF(J75="","",(J75/J75)*VLOOKUP($B75,Di!$B$13:$AV$63,47,FALSE)/24),MAX(IFERROR((VLOOKUP($B75,Di!$B$13:$AV$63,47,FALSE)/24),0),Medewerker!E77/120))))))</f>
        <v/>
      </c>
      <c r="L75" s="240" t="n"/>
      <c r="M75" s="933">
        <f>IFERROR(IF(Medewerker!Q77="",VLOOKUP($B75,Wo!$B$13:$E$63,3,FALSE),Medewerker!Q77),"")</f>
        <v/>
      </c>
      <c r="N75" s="933">
        <f>IFERROR(IF(Medewerker!Q77="",VLOOKUP($B75,Wo!$B$13:$E$63,4,FALSE),Medewerker!Q77),"")</f>
        <v/>
      </c>
      <c r="O75" s="934">
        <f>IF(N75="OA",0,IF(N75="TA",0,IF(N75="VRIJ",0,IF(N75="ST",0,IFERROR(IF(N75="","",(N75/N75)*VLOOKUP($B75,Wo!$B$13:$AV$63,47,FALSE)/24),MAX(IFERROR((VLOOKUP($B75,Wo!$B$13:$AV$63,47,FALSE)/24),0),Medewerker!E77/120))))))</f>
        <v/>
      </c>
      <c r="P75" s="240" t="n"/>
      <c r="Q75" s="933">
        <f>IFERROR(IF(Medewerker!U77="",VLOOKUP($B75,Do!$B$13:$E$63,3,FALSE),Medewerker!U77),"")</f>
        <v/>
      </c>
      <c r="R75" s="933">
        <f>IFERROR(IF(Medewerker!U77="",VLOOKUP($B75,Do!$B$13:$E$63,4,FALSE),Medewerker!U77),"")</f>
        <v/>
      </c>
      <c r="S75" s="934">
        <f>IF(R75="OA",0,IF(R75="TA",0,IF(R75="VRIJ",0,IF(R75="ST",0,IFERROR(IF(R75="","",(R75/R75)*VLOOKUP($B75,Do!$B$13:$AV$63,47,FALSE)/24),MAX(IFERROR((VLOOKUP($B75,Do!$B$13:$AV$63,47,FALSE)/24),0),Medewerker!E77/120))))))</f>
        <v/>
      </c>
      <c r="T75" s="240" t="n"/>
      <c r="U75" s="933">
        <f>IFERROR(IF(Medewerker!Y77="",VLOOKUP($B75,Vr!$B$13:$E$63,3,FALSE),Medewerker!Y77),"")</f>
        <v/>
      </c>
      <c r="V75" s="933">
        <f>IFERROR(IF(Medewerker!Y77="",VLOOKUP($B75,Vr!$B$13:$E$63,4,FALSE),Medewerker!Y77),"")</f>
        <v/>
      </c>
      <c r="W75" s="934">
        <f>IF(V75="OA",0,IF(V75="TA",0,IF(V75="VRIJ",0,IF(V75="ST",0,IFERROR(IF(V75="","",(V75/V75)*VLOOKUP($B75,Vr!$B$13:$AV$63,47,FALSE)/24),MAX(IFERROR((VLOOKUP($B75,Vr!$B$13:$AV$63,47,FALSE)/24),0),Medewerker!E77/120))))))</f>
        <v/>
      </c>
      <c r="X75" s="240" t="n"/>
      <c r="Y75" s="933">
        <f>IFERROR(IF(Medewerker!AC77="",VLOOKUP($B75,Za!$B$13:$E$63,3,FALSE),Medewerker!AC77),"")</f>
        <v/>
      </c>
      <c r="Z75" s="933">
        <f>IFERROR(IF(Medewerker!AC77="",VLOOKUP($B75,Za!$B$13:$E$63,4,FALSE),Medewerker!AC77),"")</f>
        <v/>
      </c>
      <c r="AA75" s="934">
        <f>IF(Z75="OA",0,IF(Z75="TA",0,IF(Z75="VRIJ",0,IF(Z75="ST",0,IFERROR(IF(Z75="","",(Z75/Z75)*VLOOKUP($B75,Za!$B$13:$AV$63,47,FALSE)/24),MAX(IFERROR((VLOOKUP($B75,Za!$B$13:$AV$63,47,FALSE)/24),0),IF(COUNTIF(E75:V75,"ZIEK")&gt;9,0,IF(COUNTIF(E75:V75,"VAK")&gt;9,0,Medewerker!E77/120))))))))</f>
        <v/>
      </c>
      <c r="AB75" s="240" t="n"/>
      <c r="AC75" s="933">
        <f>IFERROR(IF(Medewerker!AG77="",VLOOKUP($B75,Zo!$B$13:$E$63,3,FALSE),Medewerker!AG77),"")</f>
        <v/>
      </c>
      <c r="AD75" s="933">
        <f>IFERROR(IF(Medewerker!AG77="",VLOOKUP($B75,Zo!$B$13:$E$63,4,FALSE),Medewerker!AG77),"")</f>
        <v/>
      </c>
      <c r="AE75" s="934">
        <f>IF(AD75="OA",0,IF(AD75="TA",0,IF(AD75="VRIJ",0,IF(AD75="ST",0,IFERROR(IF(AD75="","",(AD75/AD75)*VLOOKUP($B75,Zo!$B$13:$AV$63,47,FALSE)/24),MAX(IFERROR((VLOOKUP($B75,Zo!$B$13:$AV$63,47,FALSE)/24),0),IF(COUNTIF(E75:Z75,"ZIEK")&gt;9,0,IF(COUNTIF(E75:Z75,"VAK")&gt;9,0,Medewerker!E77/120))))))))</f>
        <v/>
      </c>
      <c r="AF75" s="240" t="n"/>
      <c r="AG75" s="935">
        <f>SUM(G75,K75,O75,S75,W75,AA75,AE75)</f>
        <v/>
      </c>
      <c r="AH75" s="532">
        <f>COUNT(G75,K75,O75,S75,W75,AA75,AE75)-(COUNTIF(E75:AD75,"Vrij")/2)</f>
        <v/>
      </c>
      <c r="AI75" s="936">
        <f>Planning!AG75*24-Medewerker!E77</f>
        <v/>
      </c>
      <c r="AJ75" s="254">
        <f>IF(MAX(G75,K75,O75,S75,W75,AA75,AE75)*24&gt;Instellingen!$I$8,"nee","ja")</f>
        <v/>
      </c>
      <c r="AK75" s="254">
        <f>IF(AG75*24&gt;Instellingen!$I$9,"nee","ja")</f>
        <v/>
      </c>
    </row>
    <row r="76" ht="14.25" customHeight="1">
      <c r="A76" s="78">
        <f>IF(B76="",0,MAX($A$6:A75)+1)</f>
        <v/>
      </c>
      <c r="B76" s="241">
        <f>IF(Medewerker!C78="","",Medewerker!C78)</f>
        <v/>
      </c>
      <c r="C76" s="238">
        <f>Medewerker!AI78</f>
        <v/>
      </c>
      <c r="D76" s="240" t="n"/>
      <c r="E76" s="932">
        <f>IFERROR(IF(Medewerker!I78="",VLOOKUP($B76,Ma!$B$13:$E$63,3,FALSE),Medewerker!I78),"")</f>
        <v/>
      </c>
      <c r="F76" s="933">
        <f>IFERROR(IF(Medewerker!I78="",VLOOKUP($B76,Ma!$B$13:$E$63,4,FALSE),Medewerker!I78),"")</f>
        <v/>
      </c>
      <c r="G76" s="934">
        <f>IF(F76="OA",0,IF(F76="TA",0,IF(F76="VRIJ",0,IF(F76="ST",0,IFERROR(IF(F76="","",(F76/F76)*VLOOKUP($B76,Ma!$B$13:$AV$63,47,FALSE)/24),MAX(IFERROR((VLOOKUP($B76,Ma!$B$13:$AV$63,47,FALSE)/24),0),Medewerker!E78/120))))))</f>
        <v/>
      </c>
      <c r="H76" s="240" t="n"/>
      <c r="I76" s="933">
        <f>IFERROR(IF(Medewerker!M78="",VLOOKUP($B76,Di!$B$13:$E$63,3,FALSE),Medewerker!M78),"")</f>
        <v/>
      </c>
      <c r="J76" s="933">
        <f>IFERROR(IF(Medewerker!M78="",VLOOKUP($B76,Di!$B$13:$E$63,4,FALSE),Medewerker!M78),"")</f>
        <v/>
      </c>
      <c r="K76" s="934">
        <f>IF(J76="OA",0,IF(J76="TA",0,IF(J76="VRIJ",0,IF(J76="ST",0,IFERROR(IF(J76="","",(J76/J76)*VLOOKUP($B76,Di!$B$13:$AV$63,47,FALSE)/24),MAX(IFERROR((VLOOKUP($B76,Di!$B$13:$AV$63,47,FALSE)/24),0),Medewerker!E78/120))))))</f>
        <v/>
      </c>
      <c r="L76" s="240" t="n"/>
      <c r="M76" s="933">
        <f>IFERROR(IF(Medewerker!Q78="",VLOOKUP($B76,Wo!$B$13:$E$63,3,FALSE),Medewerker!Q78),"")</f>
        <v/>
      </c>
      <c r="N76" s="933">
        <f>IFERROR(IF(Medewerker!Q78="",VLOOKUP($B76,Wo!$B$13:$E$63,4,FALSE),Medewerker!Q78),"")</f>
        <v/>
      </c>
      <c r="O76" s="934">
        <f>IF(N76="OA",0,IF(N76="TA",0,IF(N76="VRIJ",0,IF(N76="ST",0,IFERROR(IF(N76="","",(N76/N76)*VLOOKUP($B76,Wo!$B$13:$AV$63,47,FALSE)/24),MAX(IFERROR((VLOOKUP($B76,Wo!$B$13:$AV$63,47,FALSE)/24),0),Medewerker!E78/120))))))</f>
        <v/>
      </c>
      <c r="P76" s="240" t="n"/>
      <c r="Q76" s="933">
        <f>IFERROR(IF(Medewerker!U78="",VLOOKUP($B76,Do!$B$13:$E$63,3,FALSE),Medewerker!U78),"")</f>
        <v/>
      </c>
      <c r="R76" s="933">
        <f>IFERROR(IF(Medewerker!U78="",VLOOKUP($B76,Do!$B$13:$E$63,4,FALSE),Medewerker!U78),"")</f>
        <v/>
      </c>
      <c r="S76" s="934">
        <f>IF(R76="OA",0,IF(R76="TA",0,IF(R76="VRIJ",0,IF(R76="ST",0,IFERROR(IF(R76="","",(R76/R76)*VLOOKUP($B76,Do!$B$13:$AV$63,47,FALSE)/24),MAX(IFERROR((VLOOKUP($B76,Do!$B$13:$AV$63,47,FALSE)/24),0),Medewerker!E78/120))))))</f>
        <v/>
      </c>
      <c r="T76" s="240" t="n"/>
      <c r="U76" s="933">
        <f>IFERROR(IF(Medewerker!Y78="",VLOOKUP($B76,Vr!$B$13:$E$63,3,FALSE),Medewerker!Y78),"")</f>
        <v/>
      </c>
      <c r="V76" s="933">
        <f>IFERROR(IF(Medewerker!Y78="",VLOOKUP($B76,Vr!$B$13:$E$63,4,FALSE),Medewerker!Y78),"")</f>
        <v/>
      </c>
      <c r="W76" s="934">
        <f>IF(V76="OA",0,IF(V76="TA",0,IF(V76="VRIJ",0,IF(V76="ST",0,IFERROR(IF(V76="","",(V76/V76)*VLOOKUP($B76,Vr!$B$13:$AV$63,47,FALSE)/24),MAX(IFERROR((VLOOKUP($B76,Vr!$B$13:$AV$63,47,FALSE)/24),0),Medewerker!E78/120))))))</f>
        <v/>
      </c>
      <c r="X76" s="240" t="n"/>
      <c r="Y76" s="933">
        <f>IFERROR(IF(Medewerker!AC78="",VLOOKUP($B76,Za!$B$13:$E$63,3,FALSE),Medewerker!AC78),"")</f>
        <v/>
      </c>
      <c r="Z76" s="933">
        <f>IFERROR(IF(Medewerker!AC78="",VLOOKUP($B76,Za!$B$13:$E$63,4,FALSE),Medewerker!AC78),"")</f>
        <v/>
      </c>
      <c r="AA76" s="934">
        <f>IF(Z76="OA",0,IF(Z76="TA",0,IF(Z76="VRIJ",0,IF(Z76="ST",0,IFERROR(IF(Z76="","",(Z76/Z76)*VLOOKUP($B76,Za!$B$13:$AV$63,47,FALSE)/24),MAX(IFERROR((VLOOKUP($B76,Za!$B$13:$AV$63,47,FALSE)/24),0),IF(COUNTIF(E76:V76,"ZIEK")&gt;9,0,IF(COUNTIF(E76:V76,"VAK")&gt;9,0,Medewerker!E78/120))))))))</f>
        <v/>
      </c>
      <c r="AB76" s="240" t="n"/>
      <c r="AC76" s="933">
        <f>IFERROR(IF(Medewerker!AG78="",VLOOKUP($B76,Zo!$B$13:$E$63,3,FALSE),Medewerker!AG78),"")</f>
        <v/>
      </c>
      <c r="AD76" s="933">
        <f>IFERROR(IF(Medewerker!AG78="",VLOOKUP($B76,Zo!$B$13:$E$63,4,FALSE),Medewerker!AG78),"")</f>
        <v/>
      </c>
      <c r="AE76" s="934">
        <f>IF(AD76="OA",0,IF(AD76="TA",0,IF(AD76="VRIJ",0,IF(AD76="ST",0,IFERROR(IF(AD76="","",(AD76/AD76)*VLOOKUP($B76,Zo!$B$13:$AV$63,47,FALSE)/24),MAX(IFERROR((VLOOKUP($B76,Zo!$B$13:$AV$63,47,FALSE)/24),0),IF(COUNTIF(E76:Z76,"ZIEK")&gt;9,0,IF(COUNTIF(E76:Z76,"VAK")&gt;9,0,Medewerker!E78/120))))))))</f>
        <v/>
      </c>
      <c r="AF76" s="240" t="n"/>
      <c r="AG76" s="935">
        <f>SUM(G76,K76,O76,S76,W76,AA76,AE76)</f>
        <v/>
      </c>
      <c r="AH76" s="532">
        <f>COUNT(G76,K76,O76,S76,W76,AA76,AE76)-(COUNTIF(E76:AD76,"Vrij")/2)</f>
        <v/>
      </c>
      <c r="AI76" s="936">
        <f>Planning!AG76*24-Medewerker!E78</f>
        <v/>
      </c>
      <c r="AJ76" s="254">
        <f>IF(MAX(G76,K76,O76,S76,W76,AA76,AE76)*24&gt;Instellingen!$I$8,"nee","ja")</f>
        <v/>
      </c>
      <c r="AK76" s="254">
        <f>IF(AG76*24&gt;Instellingen!$I$9,"nee","ja")</f>
        <v/>
      </c>
    </row>
    <row r="77" ht="14.25" customHeight="1">
      <c r="A77" s="78">
        <f>IF(B77="",0,MAX($A$6:A76)+1)</f>
        <v/>
      </c>
      <c r="B77" s="241">
        <f>IF(Medewerker!C79="","",Medewerker!C79)</f>
        <v/>
      </c>
      <c r="C77" s="238">
        <f>Medewerker!AI79</f>
        <v/>
      </c>
      <c r="D77" s="240" t="n"/>
      <c r="E77" s="932">
        <f>IFERROR(IF(Medewerker!I79="",VLOOKUP($B77,Ma!$B$13:$E$63,3,FALSE),Medewerker!I79),"")</f>
        <v/>
      </c>
      <c r="F77" s="933">
        <f>IFERROR(IF(Medewerker!I79="",VLOOKUP($B77,Ma!$B$13:$E$63,4,FALSE),Medewerker!I79),"")</f>
        <v/>
      </c>
      <c r="G77" s="934">
        <f>IF(F77="OA",0,IF(F77="TA",0,IF(F77="VRIJ",0,IF(F77="ST",0,IFERROR(IF(F77="","",(F77/F77)*VLOOKUP($B77,Ma!$B$13:$AV$63,47,FALSE)/24),MAX(IFERROR((VLOOKUP($B77,Ma!$B$13:$AV$63,47,FALSE)/24),0),Medewerker!E79/120))))))</f>
        <v/>
      </c>
      <c r="H77" s="240" t="n"/>
      <c r="I77" s="933">
        <f>IFERROR(IF(Medewerker!M79="",VLOOKUP($B77,Di!$B$13:$E$63,3,FALSE),Medewerker!M79),"")</f>
        <v/>
      </c>
      <c r="J77" s="933">
        <f>IFERROR(IF(Medewerker!M79="",VLOOKUP($B77,Di!$B$13:$E$63,4,FALSE),Medewerker!M79),"")</f>
        <v/>
      </c>
      <c r="K77" s="934">
        <f>IF(J77="OA",0,IF(J77="TA",0,IF(J77="VRIJ",0,IF(J77="ST",0,IFERROR(IF(J77="","",(J77/J77)*VLOOKUP($B77,Di!$B$13:$AV$63,47,FALSE)/24),MAX(IFERROR((VLOOKUP($B77,Di!$B$13:$AV$63,47,FALSE)/24),0),Medewerker!E79/120))))))</f>
        <v/>
      </c>
      <c r="L77" s="240" t="n"/>
      <c r="M77" s="933">
        <f>IFERROR(IF(Medewerker!Q79="",VLOOKUP($B77,Wo!$B$13:$E$63,3,FALSE),Medewerker!Q79),"")</f>
        <v/>
      </c>
      <c r="N77" s="933">
        <f>IFERROR(IF(Medewerker!Q79="",VLOOKUP($B77,Wo!$B$13:$E$63,4,FALSE),Medewerker!Q79),"")</f>
        <v/>
      </c>
      <c r="O77" s="934">
        <f>IF(N77="OA",0,IF(N77="TA",0,IF(N77="VRIJ",0,IF(N77="ST",0,IFERROR(IF(N77="","",(N77/N77)*VLOOKUP($B77,Wo!$B$13:$AV$63,47,FALSE)/24),MAX(IFERROR((VLOOKUP($B77,Wo!$B$13:$AV$63,47,FALSE)/24),0),Medewerker!E79/120))))))</f>
        <v/>
      </c>
      <c r="P77" s="240" t="n"/>
      <c r="Q77" s="933">
        <f>IFERROR(IF(Medewerker!U79="",VLOOKUP($B77,Do!$B$13:$E$63,3,FALSE),Medewerker!U79),"")</f>
        <v/>
      </c>
      <c r="R77" s="933">
        <f>IFERROR(IF(Medewerker!U79="",VLOOKUP($B77,Do!$B$13:$E$63,4,FALSE),Medewerker!U79),"")</f>
        <v/>
      </c>
      <c r="S77" s="934">
        <f>IF(R77="OA",0,IF(R77="TA",0,IF(R77="VRIJ",0,IF(R77="ST",0,IFERROR(IF(R77="","",(R77/R77)*VLOOKUP($B77,Do!$B$13:$AV$63,47,FALSE)/24),MAX(IFERROR((VLOOKUP($B77,Do!$B$13:$AV$63,47,FALSE)/24),0),Medewerker!E79/120))))))</f>
        <v/>
      </c>
      <c r="T77" s="240" t="n"/>
      <c r="U77" s="933">
        <f>IFERROR(IF(Medewerker!Y79="",VLOOKUP($B77,Vr!$B$13:$E$63,3,FALSE),Medewerker!Y79),"")</f>
        <v/>
      </c>
      <c r="V77" s="933">
        <f>IFERROR(IF(Medewerker!Y79="",VLOOKUP($B77,Vr!$B$13:$E$63,4,FALSE),Medewerker!Y79),"")</f>
        <v/>
      </c>
      <c r="W77" s="934">
        <f>IF(V77="OA",0,IF(V77="TA",0,IF(V77="VRIJ",0,IF(V77="ST",0,IFERROR(IF(V77="","",(V77/V77)*VLOOKUP($B77,Vr!$B$13:$AV$63,47,FALSE)/24),MAX(IFERROR((VLOOKUP($B77,Vr!$B$13:$AV$63,47,FALSE)/24),0),Medewerker!E79/120))))))</f>
        <v/>
      </c>
      <c r="X77" s="240" t="n"/>
      <c r="Y77" s="933">
        <f>IFERROR(IF(Medewerker!AC79="",VLOOKUP($B77,Za!$B$13:$E$63,3,FALSE),Medewerker!AC79),"")</f>
        <v/>
      </c>
      <c r="Z77" s="933">
        <f>IFERROR(IF(Medewerker!AC79="",VLOOKUP($B77,Za!$B$13:$E$63,4,FALSE),Medewerker!AC79),"")</f>
        <v/>
      </c>
      <c r="AA77" s="934">
        <f>IF(Z77="OA",0,IF(Z77="TA",0,IF(Z77="VRIJ",0,IF(Z77="ST",0,IFERROR(IF(Z77="","",(Z77/Z77)*VLOOKUP($B77,Za!$B$13:$AV$63,47,FALSE)/24),MAX(IFERROR((VLOOKUP($B77,Za!$B$13:$AV$63,47,FALSE)/24),0),IF(COUNTIF(E77:V77,"ZIEK")&gt;9,0,IF(COUNTIF(E77:V77,"VAK")&gt;9,0,Medewerker!E79/120))))))))</f>
        <v/>
      </c>
      <c r="AB77" s="240" t="n"/>
      <c r="AC77" s="933">
        <f>IFERROR(IF(Medewerker!AG79="",VLOOKUP($B77,Zo!$B$13:$E$63,3,FALSE),Medewerker!AG79),"")</f>
        <v/>
      </c>
      <c r="AD77" s="933">
        <f>IFERROR(IF(Medewerker!AG79="",VLOOKUP($B77,Zo!$B$13:$E$63,4,FALSE),Medewerker!AG79),"")</f>
        <v/>
      </c>
      <c r="AE77" s="934">
        <f>IF(AD77="OA",0,IF(AD77="TA",0,IF(AD77="VRIJ",0,IF(AD77="ST",0,IFERROR(IF(AD77="","",(AD77/AD77)*VLOOKUP($B77,Zo!$B$13:$AV$63,47,FALSE)/24),MAX(IFERROR((VLOOKUP($B77,Zo!$B$13:$AV$63,47,FALSE)/24),0),IF(COUNTIF(E77:Z77,"ZIEK")&gt;9,0,IF(COUNTIF(E77:Z77,"VAK")&gt;9,0,Medewerker!E79/120))))))))</f>
        <v/>
      </c>
      <c r="AF77" s="240" t="n"/>
      <c r="AG77" s="935">
        <f>SUM(G77,K77,O77,S77,W77,AA77,AE77)</f>
        <v/>
      </c>
      <c r="AH77" s="532">
        <f>COUNT(G77,K77,O77,S77,W77,AA77,AE77)-(COUNTIF(E77:AD77,"Vrij")/2)</f>
        <v/>
      </c>
      <c r="AI77" s="936">
        <f>Planning!AG77*24-Medewerker!E79</f>
        <v/>
      </c>
      <c r="AJ77" s="254">
        <f>IF(MAX(G77,K77,O77,S77,W77,AA77,AE77)*24&gt;Instellingen!$I$8,"nee","ja")</f>
        <v/>
      </c>
      <c r="AK77" s="254">
        <f>IF(AG77*24&gt;Instellingen!$I$9,"nee","ja")</f>
        <v/>
      </c>
    </row>
    <row r="78" ht="14.25" customHeight="1">
      <c r="A78" s="78">
        <f>IF(B78="",0,MAX($A$6:A77)+1)</f>
        <v/>
      </c>
      <c r="B78" s="241">
        <f>IF(Medewerker!C80="","",Medewerker!C80)</f>
        <v/>
      </c>
      <c r="C78" s="238">
        <f>Medewerker!AI80</f>
        <v/>
      </c>
      <c r="D78" s="240" t="n"/>
      <c r="E78" s="932">
        <f>IFERROR(IF(Medewerker!I80="",VLOOKUP($B78,Ma!$B$13:$E$63,3,FALSE),Medewerker!I80),"")</f>
        <v/>
      </c>
      <c r="F78" s="933">
        <f>IFERROR(IF(Medewerker!I80="",VLOOKUP($B78,Ma!$B$13:$E$63,4,FALSE),Medewerker!I80),"")</f>
        <v/>
      </c>
      <c r="G78" s="934">
        <f>IF(F78="OA",0,IF(F78="TA",0,IF(F78="VRIJ",0,IF(F78="ST",0,IFERROR(IF(F78="","",(F78/F78)*VLOOKUP($B78,Ma!$B$13:$AV$63,47,FALSE)/24),MAX(IFERROR((VLOOKUP($B78,Ma!$B$13:$AV$63,47,FALSE)/24),0),Medewerker!E80/120))))))</f>
        <v/>
      </c>
      <c r="H78" s="240" t="n"/>
      <c r="I78" s="933">
        <f>IFERROR(IF(Medewerker!M80="",VLOOKUP($B78,Di!$B$13:$E$63,3,FALSE),Medewerker!M80),"")</f>
        <v/>
      </c>
      <c r="J78" s="933">
        <f>IFERROR(IF(Medewerker!M80="",VLOOKUP($B78,Di!$B$13:$E$63,4,FALSE),Medewerker!M80),"")</f>
        <v/>
      </c>
      <c r="K78" s="934">
        <f>IF(J78="OA",0,IF(J78="TA",0,IF(J78="VRIJ",0,IF(J78="ST",0,IFERROR(IF(J78="","",(J78/J78)*VLOOKUP($B78,Di!$B$13:$AV$63,47,FALSE)/24),MAX(IFERROR((VLOOKUP($B78,Di!$B$13:$AV$63,47,FALSE)/24),0),Medewerker!E80/120))))))</f>
        <v/>
      </c>
      <c r="L78" s="240" t="n"/>
      <c r="M78" s="933">
        <f>IFERROR(IF(Medewerker!Q80="",VLOOKUP($B78,Wo!$B$13:$E$63,3,FALSE),Medewerker!Q80),"")</f>
        <v/>
      </c>
      <c r="N78" s="933">
        <f>IFERROR(IF(Medewerker!Q80="",VLOOKUP($B78,Wo!$B$13:$E$63,4,FALSE),Medewerker!Q80),"")</f>
        <v/>
      </c>
      <c r="O78" s="934">
        <f>IF(N78="OA",0,IF(N78="TA",0,IF(N78="VRIJ",0,IF(N78="ST",0,IFERROR(IF(N78="","",(N78/N78)*VLOOKUP($B78,Wo!$B$13:$AV$63,47,FALSE)/24),MAX(IFERROR((VLOOKUP($B78,Wo!$B$13:$AV$63,47,FALSE)/24),0),Medewerker!E80/120))))))</f>
        <v/>
      </c>
      <c r="P78" s="240" t="n"/>
      <c r="Q78" s="933">
        <f>IFERROR(IF(Medewerker!U80="",VLOOKUP($B78,Do!$B$13:$E$63,3,FALSE),Medewerker!U80),"")</f>
        <v/>
      </c>
      <c r="R78" s="933">
        <f>IFERROR(IF(Medewerker!U80="",VLOOKUP($B78,Do!$B$13:$E$63,4,FALSE),Medewerker!U80),"")</f>
        <v/>
      </c>
      <c r="S78" s="934">
        <f>IF(R78="OA",0,IF(R78="TA",0,IF(R78="VRIJ",0,IF(R78="ST",0,IFERROR(IF(R78="","",(R78/R78)*VLOOKUP($B78,Do!$B$13:$AV$63,47,FALSE)/24),MAX(IFERROR((VLOOKUP($B78,Do!$B$13:$AV$63,47,FALSE)/24),0),Medewerker!E80/120))))))</f>
        <v/>
      </c>
      <c r="T78" s="240" t="n"/>
      <c r="U78" s="933">
        <f>IFERROR(IF(Medewerker!Y80="",VLOOKUP($B78,Vr!$B$13:$E$63,3,FALSE),Medewerker!Y80),"")</f>
        <v/>
      </c>
      <c r="V78" s="933">
        <f>IFERROR(IF(Medewerker!Y80="",VLOOKUP($B78,Vr!$B$13:$E$63,4,FALSE),Medewerker!Y80),"")</f>
        <v/>
      </c>
      <c r="W78" s="934">
        <f>IF(V78="OA",0,IF(V78="TA",0,IF(V78="VRIJ",0,IF(V78="ST",0,IFERROR(IF(V78="","",(V78/V78)*VLOOKUP($B78,Vr!$B$13:$AV$63,47,FALSE)/24),MAX(IFERROR((VLOOKUP($B78,Vr!$B$13:$AV$63,47,FALSE)/24),0),Medewerker!E80/120))))))</f>
        <v/>
      </c>
      <c r="X78" s="240" t="n"/>
      <c r="Y78" s="933">
        <f>IFERROR(IF(Medewerker!AC80="",VLOOKUP($B78,Za!$B$13:$E$63,3,FALSE),Medewerker!AC80),"")</f>
        <v/>
      </c>
      <c r="Z78" s="933">
        <f>IFERROR(IF(Medewerker!AC80="",VLOOKUP($B78,Za!$B$13:$E$63,4,FALSE),Medewerker!AC80),"")</f>
        <v/>
      </c>
      <c r="AA78" s="934">
        <f>IF(Z78="OA",0,IF(Z78="TA",0,IF(Z78="VRIJ",0,IF(Z78="ST",0,IFERROR(IF(Z78="","",(Z78/Z78)*VLOOKUP($B78,Za!$B$13:$AV$63,47,FALSE)/24),MAX(IFERROR((VLOOKUP($B78,Za!$B$13:$AV$63,47,FALSE)/24),0),IF(COUNTIF(E78:V78,"ZIEK")&gt;9,0,IF(COUNTIF(E78:V78,"VAK")&gt;9,0,Medewerker!E80/120))))))))</f>
        <v/>
      </c>
      <c r="AB78" s="240" t="n"/>
      <c r="AC78" s="933">
        <f>IFERROR(IF(Medewerker!AG80="",VLOOKUP($B78,Zo!$B$13:$E$63,3,FALSE),Medewerker!AG80),"")</f>
        <v/>
      </c>
      <c r="AD78" s="933">
        <f>IFERROR(IF(Medewerker!AG80="",VLOOKUP($B78,Zo!$B$13:$E$63,4,FALSE),Medewerker!AG80),"")</f>
        <v/>
      </c>
      <c r="AE78" s="934">
        <f>IF(AD78="OA",0,IF(AD78="TA",0,IF(AD78="VRIJ",0,IF(AD78="ST",0,IFERROR(IF(AD78="","",(AD78/AD78)*VLOOKUP($B78,Zo!$B$13:$AV$63,47,FALSE)/24),MAX(IFERROR((VLOOKUP($B78,Zo!$B$13:$AV$63,47,FALSE)/24),0),IF(COUNTIF(E78:Z78,"ZIEK")&gt;9,0,IF(COUNTIF(E78:Z78,"VAK")&gt;9,0,Medewerker!E80/120))))))))</f>
        <v/>
      </c>
      <c r="AF78" s="240" t="n"/>
      <c r="AG78" s="935">
        <f>SUM(G78,K78,O78,S78,W78,AA78,AE78)</f>
        <v/>
      </c>
      <c r="AH78" s="532">
        <f>COUNT(G78,K78,O78,S78,W78,AA78,AE78)-(COUNTIF(E78:AD78,"Vrij")/2)</f>
        <v/>
      </c>
      <c r="AI78" s="936">
        <f>Planning!AG78*24-Medewerker!E80</f>
        <v/>
      </c>
      <c r="AJ78" s="254">
        <f>IF(MAX(G78,K78,O78,S78,W78,AA78,AE78)*24&gt;Instellingen!$I$8,"nee","ja")</f>
        <v/>
      </c>
      <c r="AK78" s="254">
        <f>IF(AG78*24&gt;Instellingen!$I$9,"nee","ja")</f>
        <v/>
      </c>
    </row>
    <row r="79" ht="14.25" customHeight="1">
      <c r="A79" s="78">
        <f>IF(B79="",0,MAX($A$6:A78)+1)</f>
        <v/>
      </c>
      <c r="B79" s="241">
        <f>IF(Medewerker!C81="","",Medewerker!C81)</f>
        <v/>
      </c>
      <c r="C79" s="238">
        <f>Medewerker!AI81</f>
        <v/>
      </c>
      <c r="D79" s="240" t="n"/>
      <c r="E79" s="932">
        <f>IFERROR(IF(Medewerker!I81="",VLOOKUP($B79,Ma!$B$13:$E$63,3,FALSE),Medewerker!I81),"")</f>
        <v/>
      </c>
      <c r="F79" s="933">
        <f>IFERROR(IF(Medewerker!I81="",VLOOKUP($B79,Ma!$B$13:$E$63,4,FALSE),Medewerker!I81),"")</f>
        <v/>
      </c>
      <c r="G79" s="934">
        <f>IF(F79="OA",0,IF(F79="TA",0,IF(F79="VRIJ",0,IF(F79="ST",0,IFERROR(IF(F79="","",(F79/F79)*VLOOKUP($B79,Ma!$B$13:$AV$63,47,FALSE)/24),MAX(IFERROR((VLOOKUP($B79,Ma!$B$13:$AV$63,47,FALSE)/24),0),Medewerker!E81/120))))))</f>
        <v/>
      </c>
      <c r="H79" s="240" t="n"/>
      <c r="I79" s="933">
        <f>IFERROR(IF(Medewerker!M81="",VLOOKUP($B79,Di!$B$13:$E$63,3,FALSE),Medewerker!M81),"")</f>
        <v/>
      </c>
      <c r="J79" s="933">
        <f>IFERROR(IF(Medewerker!M81="",VLOOKUP($B79,Di!$B$13:$E$63,4,FALSE),Medewerker!M81),"")</f>
        <v/>
      </c>
      <c r="K79" s="934">
        <f>IF(J79="OA",0,IF(J79="TA",0,IF(J79="VRIJ",0,IF(J79="ST",0,IFERROR(IF(J79="","",(J79/J79)*VLOOKUP($B79,Di!$B$13:$AV$63,47,FALSE)/24),MAX(IFERROR((VLOOKUP($B79,Di!$B$13:$AV$63,47,FALSE)/24),0),Medewerker!E81/120))))))</f>
        <v/>
      </c>
      <c r="L79" s="240" t="n"/>
      <c r="M79" s="933">
        <f>IFERROR(IF(Medewerker!Q81="",VLOOKUP($B79,Wo!$B$13:$E$63,3,FALSE),Medewerker!Q81),"")</f>
        <v/>
      </c>
      <c r="N79" s="933">
        <f>IFERROR(IF(Medewerker!Q81="",VLOOKUP($B79,Wo!$B$13:$E$63,4,FALSE),Medewerker!Q81),"")</f>
        <v/>
      </c>
      <c r="O79" s="934">
        <f>IF(N79="OA",0,IF(N79="TA",0,IF(N79="VRIJ",0,IF(N79="ST",0,IFERROR(IF(N79="","",(N79/N79)*VLOOKUP($B79,Wo!$B$13:$AV$63,47,FALSE)/24),MAX(IFERROR((VLOOKUP($B79,Wo!$B$13:$AV$63,47,FALSE)/24),0),Medewerker!E81/120))))))</f>
        <v/>
      </c>
      <c r="P79" s="240" t="n"/>
      <c r="Q79" s="933">
        <f>IFERROR(IF(Medewerker!U81="",VLOOKUP($B79,Do!$B$13:$E$63,3,FALSE),Medewerker!U81),"")</f>
        <v/>
      </c>
      <c r="R79" s="933">
        <f>IFERROR(IF(Medewerker!U81="",VLOOKUP($B79,Do!$B$13:$E$63,4,FALSE),Medewerker!U81),"")</f>
        <v/>
      </c>
      <c r="S79" s="934">
        <f>IF(R79="OA",0,IF(R79="TA",0,IF(R79="VRIJ",0,IF(R79="ST",0,IFERROR(IF(R79="","",(R79/R79)*VLOOKUP($B79,Do!$B$13:$AV$63,47,FALSE)/24),MAX(IFERROR((VLOOKUP($B79,Do!$B$13:$AV$63,47,FALSE)/24),0),Medewerker!E81/120))))))</f>
        <v/>
      </c>
      <c r="T79" s="240" t="n"/>
      <c r="U79" s="933">
        <f>IFERROR(IF(Medewerker!Y81="",VLOOKUP($B79,Vr!$B$13:$E$63,3,FALSE),Medewerker!Y81),"")</f>
        <v/>
      </c>
      <c r="V79" s="933">
        <f>IFERROR(IF(Medewerker!Y81="",VLOOKUP($B79,Vr!$B$13:$E$63,4,FALSE),Medewerker!Y81),"")</f>
        <v/>
      </c>
      <c r="W79" s="934">
        <f>IF(V79="OA",0,IF(V79="TA",0,IF(V79="VRIJ",0,IF(V79="ST",0,IFERROR(IF(V79="","",(V79/V79)*VLOOKUP($B79,Vr!$B$13:$AV$63,47,FALSE)/24),MAX(IFERROR((VLOOKUP($B79,Vr!$B$13:$AV$63,47,FALSE)/24),0),Medewerker!E81/120))))))</f>
        <v/>
      </c>
      <c r="X79" s="240" t="n"/>
      <c r="Y79" s="933">
        <f>IFERROR(IF(Medewerker!AC81="",VLOOKUP($B79,Za!$B$13:$E$63,3,FALSE),Medewerker!AC81),"")</f>
        <v/>
      </c>
      <c r="Z79" s="933">
        <f>IFERROR(IF(Medewerker!AC81="",VLOOKUP($B79,Za!$B$13:$E$63,4,FALSE),Medewerker!AC81),"")</f>
        <v/>
      </c>
      <c r="AA79" s="934">
        <f>IF(Z79="OA",0,IF(Z79="TA",0,IF(Z79="VRIJ",0,IF(Z79="ST",0,IFERROR(IF(Z79="","",(Z79/Z79)*VLOOKUP($B79,Za!$B$13:$AV$63,47,FALSE)/24),MAX(IFERROR((VLOOKUP($B79,Za!$B$13:$AV$63,47,FALSE)/24),0),IF(COUNTIF(E79:V79,"ZIEK")&gt;9,0,IF(COUNTIF(E79:V79,"VAK")&gt;9,0,Medewerker!E81/120))))))))</f>
        <v/>
      </c>
      <c r="AB79" s="240" t="n"/>
      <c r="AC79" s="933">
        <f>IFERROR(IF(Medewerker!AG81="",VLOOKUP($B79,Zo!$B$13:$E$63,3,FALSE),Medewerker!AG81),"")</f>
        <v/>
      </c>
      <c r="AD79" s="933">
        <f>IFERROR(IF(Medewerker!AG81="",VLOOKUP($B79,Zo!$B$13:$E$63,4,FALSE),Medewerker!AG81),"")</f>
        <v/>
      </c>
      <c r="AE79" s="934">
        <f>IF(AD79="OA",0,IF(AD79="TA",0,IF(AD79="VRIJ",0,IF(AD79="ST",0,IFERROR(IF(AD79="","",(AD79/AD79)*VLOOKUP($B79,Zo!$B$13:$AV$63,47,FALSE)/24),MAX(IFERROR((VLOOKUP($B79,Zo!$B$13:$AV$63,47,FALSE)/24),0),IF(COUNTIF(E79:Z79,"ZIEK")&gt;9,0,IF(COUNTIF(E79:Z79,"VAK")&gt;9,0,Medewerker!E81/120))))))))</f>
        <v/>
      </c>
      <c r="AF79" s="240" t="n"/>
      <c r="AG79" s="935">
        <f>SUM(G79,K79,O79,S79,W79,AA79,AE79)</f>
        <v/>
      </c>
      <c r="AH79" s="532">
        <f>COUNT(G79,K79,O79,S79,W79,AA79,AE79)-(COUNTIF(E79:AD79,"Vrij")/2)</f>
        <v/>
      </c>
      <c r="AI79" s="936">
        <f>Planning!AG79*24-Medewerker!E81</f>
        <v/>
      </c>
      <c r="AJ79" s="254">
        <f>IF(MAX(G79,K79,O79,S79,W79,AA79,AE79)*24&gt;Instellingen!$I$8,"nee","ja")</f>
        <v/>
      </c>
      <c r="AK79" s="254">
        <f>IF(AG79*24&gt;Instellingen!$I$9,"nee","ja")</f>
        <v/>
      </c>
    </row>
    <row r="80" ht="14.25" customHeight="1">
      <c r="A80" s="78">
        <f>IF(B80="",0,MAX($A$6:A79)+1)</f>
        <v/>
      </c>
      <c r="B80" s="241">
        <f>IF(Medewerker!C82="","",Medewerker!C82)</f>
        <v/>
      </c>
      <c r="C80" s="238">
        <f>Medewerker!AI82</f>
        <v/>
      </c>
      <c r="D80" s="240" t="n"/>
      <c r="E80" s="932">
        <f>IFERROR(IF(Medewerker!I82="",VLOOKUP($B80,Ma!$B$13:$E$63,3,FALSE),Medewerker!I82),"")</f>
        <v/>
      </c>
      <c r="F80" s="933">
        <f>IFERROR(IF(Medewerker!I82="",VLOOKUP($B80,Ma!$B$13:$E$63,4,FALSE),Medewerker!I82),"")</f>
        <v/>
      </c>
      <c r="G80" s="934">
        <f>IF(F80="OA",0,IF(F80="TA",0,IF(F80="VRIJ",0,IF(F80="ST",0,IFERROR(IF(F80="","",(F80/F80)*VLOOKUP($B80,Ma!$B$13:$AV$63,47,FALSE)/24),MAX(IFERROR((VLOOKUP($B80,Ma!$B$13:$AV$63,47,FALSE)/24),0),Medewerker!E82/120))))))</f>
        <v/>
      </c>
      <c r="H80" s="240" t="n"/>
      <c r="I80" s="933">
        <f>IFERROR(IF(Medewerker!M82="",VLOOKUP($B80,Di!$B$13:$E$63,3,FALSE),Medewerker!M82),"")</f>
        <v/>
      </c>
      <c r="J80" s="933">
        <f>IFERROR(IF(Medewerker!M82="",VLOOKUP($B80,Di!$B$13:$E$63,4,FALSE),Medewerker!M82),"")</f>
        <v/>
      </c>
      <c r="K80" s="934">
        <f>IF(J80="OA",0,IF(J80="TA",0,IF(J80="VRIJ",0,IF(J80="ST",0,IFERROR(IF(J80="","",(J80/J80)*VLOOKUP($B80,Di!$B$13:$AV$63,47,FALSE)/24),MAX(IFERROR((VLOOKUP($B80,Di!$B$13:$AV$63,47,FALSE)/24),0),Medewerker!E82/120))))))</f>
        <v/>
      </c>
      <c r="L80" s="240" t="n"/>
      <c r="M80" s="933">
        <f>IFERROR(IF(Medewerker!Q82="",VLOOKUP($B80,Wo!$B$13:$E$63,3,FALSE),Medewerker!Q82),"")</f>
        <v/>
      </c>
      <c r="N80" s="933">
        <f>IFERROR(IF(Medewerker!Q82="",VLOOKUP($B80,Wo!$B$13:$E$63,4,FALSE),Medewerker!Q82),"")</f>
        <v/>
      </c>
      <c r="O80" s="934">
        <f>IF(N80="OA",0,IF(N80="TA",0,IF(N80="VRIJ",0,IF(N80="ST",0,IFERROR(IF(N80="","",(N80/N80)*VLOOKUP($B80,Wo!$B$13:$AV$63,47,FALSE)/24),MAX(IFERROR((VLOOKUP($B80,Wo!$B$13:$AV$63,47,FALSE)/24),0),Medewerker!E82/120))))))</f>
        <v/>
      </c>
      <c r="P80" s="240" t="n"/>
      <c r="Q80" s="933">
        <f>IFERROR(IF(Medewerker!U82="",VLOOKUP($B80,Do!$B$13:$E$63,3,FALSE),Medewerker!U82),"")</f>
        <v/>
      </c>
      <c r="R80" s="933">
        <f>IFERROR(IF(Medewerker!U82="",VLOOKUP($B80,Do!$B$13:$E$63,4,FALSE),Medewerker!U82),"")</f>
        <v/>
      </c>
      <c r="S80" s="934">
        <f>IF(R80="OA",0,IF(R80="TA",0,IF(R80="VRIJ",0,IF(R80="ST",0,IFERROR(IF(R80="","",(R80/R80)*VLOOKUP($B80,Do!$B$13:$AV$63,47,FALSE)/24),MAX(IFERROR((VLOOKUP($B80,Do!$B$13:$AV$63,47,FALSE)/24),0),Medewerker!E82/120))))))</f>
        <v/>
      </c>
      <c r="T80" s="240" t="n"/>
      <c r="U80" s="933">
        <f>IFERROR(IF(Medewerker!Y82="",VLOOKUP($B80,Vr!$B$13:$E$63,3,FALSE),Medewerker!Y82),"")</f>
        <v/>
      </c>
      <c r="V80" s="933">
        <f>IFERROR(IF(Medewerker!Y82="",VLOOKUP($B80,Vr!$B$13:$E$63,4,FALSE),Medewerker!Y82),"")</f>
        <v/>
      </c>
      <c r="W80" s="934">
        <f>IF(V80="OA",0,IF(V80="TA",0,IF(V80="VRIJ",0,IF(V80="ST",0,IFERROR(IF(V80="","",(V80/V80)*VLOOKUP($B80,Vr!$B$13:$AV$63,47,FALSE)/24),MAX(IFERROR((VLOOKUP($B80,Vr!$B$13:$AV$63,47,FALSE)/24),0),Medewerker!E82/120))))))</f>
        <v/>
      </c>
      <c r="X80" s="240" t="n"/>
      <c r="Y80" s="933">
        <f>IFERROR(IF(Medewerker!AC82="",VLOOKUP($B80,Za!$B$13:$E$63,3,FALSE),Medewerker!AC82),"")</f>
        <v/>
      </c>
      <c r="Z80" s="933">
        <f>IFERROR(IF(Medewerker!AC82="",VLOOKUP($B80,Za!$B$13:$E$63,4,FALSE),Medewerker!AC82),"")</f>
        <v/>
      </c>
      <c r="AA80" s="934">
        <f>IF(Z80="OA",0,IF(Z80="TA",0,IF(Z80="VRIJ",0,IF(Z80="ST",0,IFERROR(IF(Z80="","",(Z80/Z80)*VLOOKUP($B80,Za!$B$13:$AV$63,47,FALSE)/24),MAX(IFERROR((VLOOKUP($B80,Za!$B$13:$AV$63,47,FALSE)/24),0),IF(COUNTIF(E80:V80,"ZIEK")&gt;9,0,IF(COUNTIF(E80:V80,"VAK")&gt;9,0,Medewerker!E82/120))))))))</f>
        <v/>
      </c>
      <c r="AB80" s="240" t="n"/>
      <c r="AC80" s="933">
        <f>IFERROR(IF(Medewerker!AG82="",VLOOKUP($B80,Zo!$B$13:$E$63,3,FALSE),Medewerker!AG82),"")</f>
        <v/>
      </c>
      <c r="AD80" s="933">
        <f>IFERROR(IF(Medewerker!AG82="",VLOOKUP($B80,Zo!$B$13:$E$63,4,FALSE),Medewerker!AG82),"")</f>
        <v/>
      </c>
      <c r="AE80" s="934">
        <f>IF(AD80="OA",0,IF(AD80="TA",0,IF(AD80="VRIJ",0,IF(AD80="ST",0,IFERROR(IF(AD80="","",(AD80/AD80)*VLOOKUP($B80,Zo!$B$13:$AV$63,47,FALSE)/24),MAX(IFERROR((VLOOKUP($B80,Zo!$B$13:$AV$63,47,FALSE)/24),0),IF(COUNTIF(E80:Z80,"ZIEK")&gt;9,0,IF(COUNTIF(E80:Z80,"VAK")&gt;9,0,Medewerker!E82/120))))))))</f>
        <v/>
      </c>
      <c r="AF80" s="240" t="n"/>
      <c r="AG80" s="935">
        <f>SUM(G80,K80,O80,S80,W80,AA80,AE80)</f>
        <v/>
      </c>
      <c r="AH80" s="532">
        <f>COUNT(G80,K80,O80,S80,W80,AA80,AE80)-(COUNTIF(E80:AD80,"Vrij")/2)</f>
        <v/>
      </c>
      <c r="AI80" s="936">
        <f>Planning!AG80*24-Medewerker!E82</f>
        <v/>
      </c>
      <c r="AJ80" s="254">
        <f>IF(MAX(G80,K80,O80,S80,W80,AA80,AE80)*24&gt;Instellingen!$I$8,"nee","ja")</f>
        <v/>
      </c>
      <c r="AK80" s="254">
        <f>IF(AG80*24&gt;Instellingen!$I$9,"nee","ja")</f>
        <v/>
      </c>
    </row>
    <row r="81" ht="14.25" customHeight="1">
      <c r="A81" s="78">
        <f>IF(B81="",0,MAX($A$6:A80)+1)</f>
        <v/>
      </c>
      <c r="B81" s="241">
        <f>IF(Medewerker!C83="","",Medewerker!C83)</f>
        <v/>
      </c>
      <c r="C81" s="238">
        <f>Medewerker!AI83</f>
        <v/>
      </c>
      <c r="D81" s="240" t="n"/>
      <c r="E81" s="932">
        <f>IFERROR(IF(Medewerker!I83="",VLOOKUP($B81,Ma!$B$13:$E$63,3,FALSE),Medewerker!I83),"")</f>
        <v/>
      </c>
      <c r="F81" s="933">
        <f>IFERROR(IF(Medewerker!I83="",VLOOKUP($B81,Ma!$B$13:$E$63,4,FALSE),Medewerker!I83),"")</f>
        <v/>
      </c>
      <c r="G81" s="934">
        <f>IF(F81="OA",0,IF(F81="TA",0,IF(F81="VRIJ",0,IF(F81="ST",0,IFERROR(IF(F81="","",(F81/F81)*VLOOKUP($B81,Ma!$B$13:$AV$63,47,FALSE)/24),MAX(IFERROR((VLOOKUP($B81,Ma!$B$13:$AV$63,47,FALSE)/24),0),Medewerker!E83/120))))))</f>
        <v/>
      </c>
      <c r="H81" s="240" t="n"/>
      <c r="I81" s="933">
        <f>IFERROR(IF(Medewerker!M83="",VLOOKUP($B81,Di!$B$13:$E$63,3,FALSE),Medewerker!M83),"")</f>
        <v/>
      </c>
      <c r="J81" s="933">
        <f>IFERROR(IF(Medewerker!M83="",VLOOKUP($B81,Di!$B$13:$E$63,4,FALSE),Medewerker!M83),"")</f>
        <v/>
      </c>
      <c r="K81" s="934">
        <f>IF(J81="OA",0,IF(J81="TA",0,IF(J81="VRIJ",0,IF(J81="ST",0,IFERROR(IF(J81="","",(J81/J81)*VLOOKUP($B81,Di!$B$13:$AV$63,47,FALSE)/24),MAX(IFERROR((VLOOKUP($B81,Di!$B$13:$AV$63,47,FALSE)/24),0),Medewerker!E83/120))))))</f>
        <v/>
      </c>
      <c r="L81" s="240" t="n"/>
      <c r="M81" s="933">
        <f>IFERROR(IF(Medewerker!Q83="",VLOOKUP($B81,Wo!$B$13:$E$63,3,FALSE),Medewerker!Q83),"")</f>
        <v/>
      </c>
      <c r="N81" s="933">
        <f>IFERROR(IF(Medewerker!Q83="",VLOOKUP($B81,Wo!$B$13:$E$63,4,FALSE),Medewerker!Q83),"")</f>
        <v/>
      </c>
      <c r="O81" s="934">
        <f>IF(N81="OA",0,IF(N81="TA",0,IF(N81="VRIJ",0,IF(N81="ST",0,IFERROR(IF(N81="","",(N81/N81)*VLOOKUP($B81,Wo!$B$13:$AV$63,47,FALSE)/24),MAX(IFERROR((VLOOKUP($B81,Wo!$B$13:$AV$63,47,FALSE)/24),0),Medewerker!E83/120))))))</f>
        <v/>
      </c>
      <c r="P81" s="240" t="n"/>
      <c r="Q81" s="933">
        <f>IFERROR(IF(Medewerker!U83="",VLOOKUP($B81,Do!$B$13:$E$63,3,FALSE),Medewerker!U83),"")</f>
        <v/>
      </c>
      <c r="R81" s="933">
        <f>IFERROR(IF(Medewerker!U83="",VLOOKUP($B81,Do!$B$13:$E$63,4,FALSE),Medewerker!U83),"")</f>
        <v/>
      </c>
      <c r="S81" s="934">
        <f>IF(R81="OA",0,IF(R81="TA",0,IF(R81="VRIJ",0,IF(R81="ST",0,IFERROR(IF(R81="","",(R81/R81)*VLOOKUP($B81,Do!$B$13:$AV$63,47,FALSE)/24),MAX(IFERROR((VLOOKUP($B81,Do!$B$13:$AV$63,47,FALSE)/24),0),Medewerker!E83/120))))))</f>
        <v/>
      </c>
      <c r="T81" s="240" t="n"/>
      <c r="U81" s="933">
        <f>IFERROR(IF(Medewerker!Y83="",VLOOKUP($B81,Vr!$B$13:$E$63,3,FALSE),Medewerker!Y83),"")</f>
        <v/>
      </c>
      <c r="V81" s="933">
        <f>IFERROR(IF(Medewerker!Y83="",VLOOKUP($B81,Vr!$B$13:$E$63,4,FALSE),Medewerker!Y83),"")</f>
        <v/>
      </c>
      <c r="W81" s="934">
        <f>IF(V81="OA",0,IF(V81="TA",0,IF(V81="VRIJ",0,IF(V81="ST",0,IFERROR(IF(V81="","",(V81/V81)*VLOOKUP($B81,Vr!$B$13:$AV$63,47,FALSE)/24),MAX(IFERROR((VLOOKUP($B81,Vr!$B$13:$AV$63,47,FALSE)/24),0),Medewerker!E83/120))))))</f>
        <v/>
      </c>
      <c r="X81" s="240" t="n"/>
      <c r="Y81" s="933">
        <f>IFERROR(IF(Medewerker!AC83="",VLOOKUP($B81,Za!$B$13:$E$63,3,FALSE),Medewerker!AC83),"")</f>
        <v/>
      </c>
      <c r="Z81" s="933">
        <f>IFERROR(IF(Medewerker!AC83="",VLOOKUP($B81,Za!$B$13:$E$63,4,FALSE),Medewerker!AC83),"")</f>
        <v/>
      </c>
      <c r="AA81" s="934">
        <f>IF(Z81="OA",0,IF(Z81="TA",0,IF(Z81="VRIJ",0,IF(Z81="ST",0,IFERROR(IF(Z81="","",(Z81/Z81)*VLOOKUP($B81,Za!$B$13:$AV$63,47,FALSE)/24),MAX(IFERROR((VLOOKUP($B81,Za!$B$13:$AV$63,47,FALSE)/24),0),IF(COUNTIF(E81:V81,"ZIEK")&gt;9,0,IF(COUNTIF(E81:V81,"VAK")&gt;9,0,Medewerker!E83/120))))))))</f>
        <v/>
      </c>
      <c r="AB81" s="240" t="n"/>
      <c r="AC81" s="933">
        <f>IFERROR(IF(Medewerker!AG83="",VLOOKUP($B81,Zo!$B$13:$E$63,3,FALSE),Medewerker!AG83),"")</f>
        <v/>
      </c>
      <c r="AD81" s="933">
        <f>IFERROR(IF(Medewerker!AG83="",VLOOKUP($B81,Zo!$B$13:$E$63,4,FALSE),Medewerker!AG83),"")</f>
        <v/>
      </c>
      <c r="AE81" s="934">
        <f>IF(AD81="OA",0,IF(AD81="TA",0,IF(AD81="VRIJ",0,IF(AD81="ST",0,IFERROR(IF(AD81="","",(AD81/AD81)*VLOOKUP($B81,Zo!$B$13:$AV$63,47,FALSE)/24),MAX(IFERROR((VLOOKUP($B81,Zo!$B$13:$AV$63,47,FALSE)/24),0),IF(COUNTIF(E81:Z81,"ZIEK")&gt;9,0,IF(COUNTIF(E81:Z81,"VAK")&gt;9,0,Medewerker!E83/120))))))))</f>
        <v/>
      </c>
      <c r="AF81" s="240" t="n"/>
      <c r="AG81" s="935">
        <f>SUM(G81,K81,O81,S81,W81,AA81,AE81)</f>
        <v/>
      </c>
      <c r="AH81" s="532">
        <f>COUNT(G81,K81,O81,S81,W81,AA81,AE81)-(COUNTIF(E81:AD81,"Vrij")/2)</f>
        <v/>
      </c>
      <c r="AI81" s="936">
        <f>Planning!AG81*24-Medewerker!E83</f>
        <v/>
      </c>
      <c r="AJ81" s="254">
        <f>IF(MAX(G81,K81,O81,S81,W81,AA81,AE81)*24&gt;Instellingen!$I$8,"nee","ja")</f>
        <v/>
      </c>
      <c r="AK81" s="254">
        <f>IF(AG81*24&gt;Instellingen!$I$9,"nee","ja")</f>
        <v/>
      </c>
    </row>
    <row r="82" ht="14.25" customHeight="1">
      <c r="A82" s="78">
        <f>IF(B82="",0,MAX($A$6:A81)+1)</f>
        <v/>
      </c>
      <c r="B82" s="241">
        <f>IF(Medewerker!C84="","",Medewerker!C84)</f>
        <v/>
      </c>
      <c r="C82" s="238">
        <f>Medewerker!AI84</f>
        <v/>
      </c>
      <c r="D82" s="240" t="n"/>
      <c r="E82" s="932">
        <f>IFERROR(IF(Medewerker!I84="",VLOOKUP($B82,Ma!$B$13:$E$63,3,FALSE),Medewerker!I84),"")</f>
        <v/>
      </c>
      <c r="F82" s="933">
        <f>IFERROR(IF(Medewerker!I84="",VLOOKUP($B82,Ma!$B$13:$E$63,4,FALSE),Medewerker!I84),"")</f>
        <v/>
      </c>
      <c r="G82" s="934">
        <f>IF(F82="OA",0,IF(F82="TA",0,IF(F82="VRIJ",0,IF(F82="ST",0,IFERROR(IF(F82="","",(F82/F82)*VLOOKUP($B82,Ma!$B$13:$AV$63,47,FALSE)/24),MAX(IFERROR((VLOOKUP($B82,Ma!$B$13:$AV$63,47,FALSE)/24),0),Medewerker!E84/120))))))</f>
        <v/>
      </c>
      <c r="H82" s="240" t="n"/>
      <c r="I82" s="933">
        <f>IFERROR(IF(Medewerker!M84="",VLOOKUP($B82,Di!$B$13:$E$63,3,FALSE),Medewerker!M84),"")</f>
        <v/>
      </c>
      <c r="J82" s="933">
        <f>IFERROR(IF(Medewerker!M84="",VLOOKUP($B82,Di!$B$13:$E$63,4,FALSE),Medewerker!M84),"")</f>
        <v/>
      </c>
      <c r="K82" s="934">
        <f>IF(J82="OA",0,IF(J82="TA",0,IF(J82="VRIJ",0,IF(J82="ST",0,IFERROR(IF(J82="","",(J82/J82)*VLOOKUP($B82,Di!$B$13:$AV$63,47,FALSE)/24),MAX(IFERROR((VLOOKUP($B82,Di!$B$13:$AV$63,47,FALSE)/24),0),Medewerker!E84/120))))))</f>
        <v/>
      </c>
      <c r="L82" s="240" t="n"/>
      <c r="M82" s="933">
        <f>IFERROR(IF(Medewerker!Q84="",VLOOKUP($B82,Wo!$B$13:$E$63,3,FALSE),Medewerker!Q84),"")</f>
        <v/>
      </c>
      <c r="N82" s="933">
        <f>IFERROR(IF(Medewerker!Q84="",VLOOKUP($B82,Wo!$B$13:$E$63,4,FALSE),Medewerker!Q84),"")</f>
        <v/>
      </c>
      <c r="O82" s="934">
        <f>IF(N82="OA",0,IF(N82="TA",0,IF(N82="VRIJ",0,IF(N82="ST",0,IFERROR(IF(N82="","",(N82/N82)*VLOOKUP($B82,Wo!$B$13:$AV$63,47,FALSE)/24),MAX(IFERROR((VLOOKUP($B82,Wo!$B$13:$AV$63,47,FALSE)/24),0),Medewerker!E84/120))))))</f>
        <v/>
      </c>
      <c r="P82" s="240" t="n"/>
      <c r="Q82" s="933">
        <f>IFERROR(IF(Medewerker!U84="",VLOOKUP($B82,Do!$B$13:$E$63,3,FALSE),Medewerker!U84),"")</f>
        <v/>
      </c>
      <c r="R82" s="933">
        <f>IFERROR(IF(Medewerker!U84="",VLOOKUP($B82,Do!$B$13:$E$63,4,FALSE),Medewerker!U84),"")</f>
        <v/>
      </c>
      <c r="S82" s="934">
        <f>IF(R82="OA",0,IF(R82="TA",0,IF(R82="VRIJ",0,IF(R82="ST",0,IFERROR(IF(R82="","",(R82/R82)*VLOOKUP($B82,Do!$B$13:$AV$63,47,FALSE)/24),MAX(IFERROR((VLOOKUP($B82,Do!$B$13:$AV$63,47,FALSE)/24),0),Medewerker!E84/120))))))</f>
        <v/>
      </c>
      <c r="T82" s="240" t="n"/>
      <c r="U82" s="933">
        <f>IFERROR(IF(Medewerker!Y84="",VLOOKUP($B82,Vr!$B$13:$E$63,3,FALSE),Medewerker!Y84),"")</f>
        <v/>
      </c>
      <c r="V82" s="933">
        <f>IFERROR(IF(Medewerker!Y84="",VLOOKUP($B82,Vr!$B$13:$E$63,4,FALSE),Medewerker!Y84),"")</f>
        <v/>
      </c>
      <c r="W82" s="934">
        <f>IF(V82="OA",0,IF(V82="TA",0,IF(V82="VRIJ",0,IF(V82="ST",0,IFERROR(IF(V82="","",(V82/V82)*VLOOKUP($B82,Vr!$B$13:$AV$63,47,FALSE)/24),MAX(IFERROR((VLOOKUP($B82,Vr!$B$13:$AV$63,47,FALSE)/24),0),Medewerker!E84/120))))))</f>
        <v/>
      </c>
      <c r="X82" s="240" t="n"/>
      <c r="Y82" s="933">
        <f>IFERROR(IF(Medewerker!AC84="",VLOOKUP($B82,Za!$B$13:$E$63,3,FALSE),Medewerker!AC84),"")</f>
        <v/>
      </c>
      <c r="Z82" s="933">
        <f>IFERROR(IF(Medewerker!AC84="",VLOOKUP($B82,Za!$B$13:$E$63,4,FALSE),Medewerker!AC84),"")</f>
        <v/>
      </c>
      <c r="AA82" s="934">
        <f>IF(Z82="OA",0,IF(Z82="TA",0,IF(Z82="VRIJ",0,IF(Z82="ST",0,IFERROR(IF(Z82="","",(Z82/Z82)*VLOOKUP($B82,Za!$B$13:$AV$63,47,FALSE)/24),MAX(IFERROR((VLOOKUP($B82,Za!$B$13:$AV$63,47,FALSE)/24),0),IF(COUNTIF(E82:V82,"ZIEK")&gt;9,0,IF(COUNTIF(E82:V82,"VAK")&gt;9,0,Medewerker!E84/120))))))))</f>
        <v/>
      </c>
      <c r="AB82" s="240" t="n"/>
      <c r="AC82" s="933">
        <f>IFERROR(IF(Medewerker!AG84="",VLOOKUP($B82,Zo!$B$13:$E$63,3,FALSE),Medewerker!AG84),"")</f>
        <v/>
      </c>
      <c r="AD82" s="933">
        <f>IFERROR(IF(Medewerker!AG84="",VLOOKUP($B82,Zo!$B$13:$E$63,4,FALSE),Medewerker!AG84),"")</f>
        <v/>
      </c>
      <c r="AE82" s="934">
        <f>IF(AD82="OA",0,IF(AD82="TA",0,IF(AD82="VRIJ",0,IF(AD82="ST",0,IFERROR(IF(AD82="","",(AD82/AD82)*VLOOKUP($B82,Zo!$B$13:$AV$63,47,FALSE)/24),MAX(IFERROR((VLOOKUP($B82,Zo!$B$13:$AV$63,47,FALSE)/24),0),IF(COUNTIF(E82:Z82,"ZIEK")&gt;9,0,IF(COUNTIF(E82:Z82,"VAK")&gt;9,0,Medewerker!E84/120))))))))</f>
        <v/>
      </c>
      <c r="AF82" s="240" t="n"/>
      <c r="AG82" s="935">
        <f>SUM(G82,K82,O82,S82,W82,AA82,AE82)</f>
        <v/>
      </c>
      <c r="AH82" s="532">
        <f>COUNT(G82,K82,O82,S82,W82,AA82,AE82)-(COUNTIF(E82:AD82,"Vrij")/2)</f>
        <v/>
      </c>
      <c r="AI82" s="936">
        <f>Planning!AG82*24-Medewerker!E84</f>
        <v/>
      </c>
      <c r="AJ82" s="254">
        <f>IF(MAX(G82,K82,O82,S82,W82,AA82,AE82)*24&gt;Instellingen!$I$8,"nee","ja")</f>
        <v/>
      </c>
      <c r="AK82" s="254">
        <f>IF(AG82*24&gt;Instellingen!$I$9,"nee","ja")</f>
        <v/>
      </c>
    </row>
    <row r="83" ht="14.25" customHeight="1">
      <c r="A83" s="78">
        <f>IF(B83="",0,MAX($A$6:A82)+1)</f>
        <v/>
      </c>
      <c r="B83" s="241">
        <f>IF(Medewerker!C85="","",Medewerker!C85)</f>
        <v/>
      </c>
      <c r="C83" s="238">
        <f>Medewerker!AI85</f>
        <v/>
      </c>
      <c r="D83" s="240" t="n"/>
      <c r="E83" s="932">
        <f>IFERROR(IF(Medewerker!I85="",VLOOKUP($B83,Ma!$B$13:$E$63,3,FALSE),Medewerker!I85),"")</f>
        <v/>
      </c>
      <c r="F83" s="933">
        <f>IFERROR(IF(Medewerker!I85="",VLOOKUP($B83,Ma!$B$13:$E$63,4,FALSE),Medewerker!I85),"")</f>
        <v/>
      </c>
      <c r="G83" s="934">
        <f>IF(F83="OA",0,IF(F83="TA",0,IF(F83="VRIJ",0,IF(F83="ST",0,IFERROR(IF(F83="","",(F83/F83)*VLOOKUP($B83,Ma!$B$13:$AV$63,47,FALSE)/24),MAX(IFERROR((VLOOKUP($B83,Ma!$B$13:$AV$63,47,FALSE)/24),0),Medewerker!E85/120))))))</f>
        <v/>
      </c>
      <c r="H83" s="240" t="n"/>
      <c r="I83" s="933">
        <f>IFERROR(IF(Medewerker!M85="",VLOOKUP($B83,Di!$B$13:$E$63,3,FALSE),Medewerker!M85),"")</f>
        <v/>
      </c>
      <c r="J83" s="933">
        <f>IFERROR(IF(Medewerker!M85="",VLOOKUP($B83,Di!$B$13:$E$63,4,FALSE),Medewerker!M85),"")</f>
        <v/>
      </c>
      <c r="K83" s="934">
        <f>IF(J83="OA",0,IF(J83="TA",0,IF(J83="VRIJ",0,IF(J83="ST",0,IFERROR(IF(J83="","",(J83/J83)*VLOOKUP($B83,Di!$B$13:$AV$63,47,FALSE)/24),MAX(IFERROR((VLOOKUP($B83,Di!$B$13:$AV$63,47,FALSE)/24),0),Medewerker!E85/120))))))</f>
        <v/>
      </c>
      <c r="L83" s="240" t="n"/>
      <c r="M83" s="933">
        <f>IFERROR(IF(Medewerker!Q85="",VLOOKUP($B83,Wo!$B$13:$E$63,3,FALSE),Medewerker!Q85),"")</f>
        <v/>
      </c>
      <c r="N83" s="933">
        <f>IFERROR(IF(Medewerker!Q85="",VLOOKUP($B83,Wo!$B$13:$E$63,4,FALSE),Medewerker!Q85),"")</f>
        <v/>
      </c>
      <c r="O83" s="934">
        <f>IF(N83="OA",0,IF(N83="TA",0,IF(N83="VRIJ",0,IF(N83="ST",0,IFERROR(IF(N83="","",(N83/N83)*VLOOKUP($B83,Wo!$B$13:$AV$63,47,FALSE)/24),MAX(IFERROR((VLOOKUP($B83,Wo!$B$13:$AV$63,47,FALSE)/24),0),Medewerker!E85/120))))))</f>
        <v/>
      </c>
      <c r="P83" s="240" t="n"/>
      <c r="Q83" s="933">
        <f>IFERROR(IF(Medewerker!U85="",VLOOKUP($B83,Do!$B$13:$E$63,3,FALSE),Medewerker!U85),"")</f>
        <v/>
      </c>
      <c r="R83" s="933">
        <f>IFERROR(IF(Medewerker!U85="",VLOOKUP($B83,Do!$B$13:$E$63,4,FALSE),Medewerker!U85),"")</f>
        <v/>
      </c>
      <c r="S83" s="934">
        <f>IF(R83="OA",0,IF(R83="TA",0,IF(R83="VRIJ",0,IF(R83="ST",0,IFERROR(IF(R83="","",(R83/R83)*VLOOKUP($B83,Do!$B$13:$AV$63,47,FALSE)/24),MAX(IFERROR((VLOOKUP($B83,Do!$B$13:$AV$63,47,FALSE)/24),0),Medewerker!E85/120))))))</f>
        <v/>
      </c>
      <c r="T83" s="240" t="n"/>
      <c r="U83" s="933">
        <f>IFERROR(IF(Medewerker!Y85="",VLOOKUP($B83,Vr!$B$13:$E$63,3,FALSE),Medewerker!Y85),"")</f>
        <v/>
      </c>
      <c r="V83" s="933">
        <f>IFERROR(IF(Medewerker!Y85="",VLOOKUP($B83,Vr!$B$13:$E$63,4,FALSE),Medewerker!Y85),"")</f>
        <v/>
      </c>
      <c r="W83" s="934">
        <f>IF(V83="OA",0,IF(V83="TA",0,IF(V83="VRIJ",0,IF(V83="ST",0,IFERROR(IF(V83="","",(V83/V83)*VLOOKUP($B83,Vr!$B$13:$AV$63,47,FALSE)/24),MAX(IFERROR((VLOOKUP($B83,Vr!$B$13:$AV$63,47,FALSE)/24),0),Medewerker!E85/120))))))</f>
        <v/>
      </c>
      <c r="X83" s="240" t="n"/>
      <c r="Y83" s="933">
        <f>IFERROR(IF(Medewerker!AC85="",VLOOKUP($B83,Za!$B$13:$E$63,3,FALSE),Medewerker!AC85),"")</f>
        <v/>
      </c>
      <c r="Z83" s="933">
        <f>IFERROR(IF(Medewerker!AC85="",VLOOKUP($B83,Za!$B$13:$E$63,4,FALSE),Medewerker!AC85),"")</f>
        <v/>
      </c>
      <c r="AA83" s="934">
        <f>IF(Z83="OA",0,IF(Z83="TA",0,IF(Z83="VRIJ",0,IF(Z83="ST",0,IFERROR(IF(Z83="","",(Z83/Z83)*VLOOKUP($B83,Za!$B$13:$AV$63,47,FALSE)/24),MAX(IFERROR((VLOOKUP($B83,Za!$B$13:$AV$63,47,FALSE)/24),0),IF(COUNTIF(E83:V83,"ZIEK")&gt;9,0,IF(COUNTIF(E83:V83,"VAK")&gt;9,0,Medewerker!E85/120))))))))</f>
        <v/>
      </c>
      <c r="AB83" s="240" t="n"/>
      <c r="AC83" s="933">
        <f>IFERROR(IF(Medewerker!AG85="",VLOOKUP($B83,Zo!$B$13:$E$63,3,FALSE),Medewerker!AG85),"")</f>
        <v/>
      </c>
      <c r="AD83" s="933">
        <f>IFERROR(IF(Medewerker!AG85="",VLOOKUP($B83,Zo!$B$13:$E$63,4,FALSE),Medewerker!AG85),"")</f>
        <v/>
      </c>
      <c r="AE83" s="934">
        <f>IF(AD83="OA",0,IF(AD83="TA",0,IF(AD83="VRIJ",0,IF(AD83="ST",0,IFERROR(IF(AD83="","",(AD83/AD83)*VLOOKUP($B83,Zo!$B$13:$AV$63,47,FALSE)/24),MAX(IFERROR((VLOOKUP($B83,Zo!$B$13:$AV$63,47,FALSE)/24),0),IF(COUNTIF(E83:Z83,"ZIEK")&gt;9,0,IF(COUNTIF(E83:Z83,"VAK")&gt;9,0,Medewerker!E85/120))))))))</f>
        <v/>
      </c>
      <c r="AF83" s="240" t="n"/>
      <c r="AG83" s="935">
        <f>SUM(G83,K83,O83,S83,W83,AA83,AE83)</f>
        <v/>
      </c>
      <c r="AH83" s="532">
        <f>COUNT(G83,K83,O83,S83,W83,AA83,AE83)-(COUNTIF(E83:AD83,"Vrij")/2)</f>
        <v/>
      </c>
      <c r="AI83" s="936">
        <f>Planning!AG83*24-Medewerker!E85</f>
        <v/>
      </c>
      <c r="AJ83" s="254">
        <f>IF(MAX(G83,K83,O83,S83,W83,AA83,AE83)*24&gt;Instellingen!$I$8,"nee","ja")</f>
        <v/>
      </c>
      <c r="AK83" s="254">
        <f>IF(AG83*24&gt;Instellingen!$I$9,"nee","ja")</f>
        <v/>
      </c>
    </row>
    <row r="84" ht="14.25" customHeight="1">
      <c r="A84" s="78">
        <f>IF(B84="",0,MAX($A$6:A83)+1)</f>
        <v/>
      </c>
      <c r="B84" s="241">
        <f>IF(Medewerker!C86="","",Medewerker!C86)</f>
        <v/>
      </c>
      <c r="C84" s="238">
        <f>Medewerker!AI86</f>
        <v/>
      </c>
      <c r="D84" s="240" t="n"/>
      <c r="E84" s="932">
        <f>IFERROR(IF(Medewerker!I86="",VLOOKUP($B84,Ma!$B$13:$E$63,3,FALSE),Medewerker!I86),"")</f>
        <v/>
      </c>
      <c r="F84" s="933">
        <f>IFERROR(IF(Medewerker!I86="",VLOOKUP($B84,Ma!$B$13:$E$63,4,FALSE),Medewerker!I86),"")</f>
        <v/>
      </c>
      <c r="G84" s="934">
        <f>IF(F84="OA",0,IF(F84="TA",0,IF(F84="VRIJ",0,IF(F84="ST",0,IFERROR(IF(F84="","",(F84/F84)*VLOOKUP($B84,Ma!$B$13:$AV$63,47,FALSE)/24),MAX(IFERROR((VLOOKUP($B84,Ma!$B$13:$AV$63,47,FALSE)/24),0),Medewerker!E86/120))))))</f>
        <v/>
      </c>
      <c r="H84" s="240" t="n"/>
      <c r="I84" s="933">
        <f>IFERROR(IF(Medewerker!M86="",VLOOKUP($B84,Di!$B$13:$E$63,3,FALSE),Medewerker!M86),"")</f>
        <v/>
      </c>
      <c r="J84" s="933">
        <f>IFERROR(IF(Medewerker!M86="",VLOOKUP($B84,Di!$B$13:$E$63,4,FALSE),Medewerker!M86),"")</f>
        <v/>
      </c>
      <c r="K84" s="934">
        <f>IF(J84="OA",0,IF(J84="TA",0,IF(J84="VRIJ",0,IF(J84="ST",0,IFERROR(IF(J84="","",(J84/J84)*VLOOKUP($B84,Di!$B$13:$AV$63,47,FALSE)/24),MAX(IFERROR((VLOOKUP($B84,Di!$B$13:$AV$63,47,FALSE)/24),0),Medewerker!E86/120))))))</f>
        <v/>
      </c>
      <c r="L84" s="240" t="n"/>
      <c r="M84" s="933">
        <f>IFERROR(IF(Medewerker!Q86="",VLOOKUP($B84,Wo!$B$13:$E$63,3,FALSE),Medewerker!Q86),"")</f>
        <v/>
      </c>
      <c r="N84" s="933">
        <f>IFERROR(IF(Medewerker!Q86="",VLOOKUP($B84,Wo!$B$13:$E$63,4,FALSE),Medewerker!Q86),"")</f>
        <v/>
      </c>
      <c r="O84" s="934">
        <f>IF(N84="OA",0,IF(N84="TA",0,IF(N84="VRIJ",0,IF(N84="ST",0,IFERROR(IF(N84="","",(N84/N84)*VLOOKUP($B84,Wo!$B$13:$AV$63,47,FALSE)/24),MAX(IFERROR((VLOOKUP($B84,Wo!$B$13:$AV$63,47,FALSE)/24),0),Medewerker!E86/120))))))</f>
        <v/>
      </c>
      <c r="P84" s="240" t="n"/>
      <c r="Q84" s="933">
        <f>IFERROR(IF(Medewerker!U86="",VLOOKUP($B84,Do!$B$13:$E$63,3,FALSE),Medewerker!U86),"")</f>
        <v/>
      </c>
      <c r="R84" s="933">
        <f>IFERROR(IF(Medewerker!U86="",VLOOKUP($B84,Do!$B$13:$E$63,4,FALSE),Medewerker!U86),"")</f>
        <v/>
      </c>
      <c r="S84" s="934">
        <f>IF(R84="OA",0,IF(R84="TA",0,IF(R84="VRIJ",0,IF(R84="ST",0,IFERROR(IF(R84="","",(R84/R84)*VLOOKUP($B84,Do!$B$13:$AV$63,47,FALSE)/24),MAX(IFERROR((VLOOKUP($B84,Do!$B$13:$AV$63,47,FALSE)/24),0),Medewerker!E86/120))))))</f>
        <v/>
      </c>
      <c r="T84" s="240" t="n"/>
      <c r="U84" s="933">
        <f>IFERROR(IF(Medewerker!Y86="",VLOOKUP($B84,Vr!$B$13:$E$63,3,FALSE),Medewerker!Y86),"")</f>
        <v/>
      </c>
      <c r="V84" s="933">
        <f>IFERROR(IF(Medewerker!Y86="",VLOOKUP($B84,Vr!$B$13:$E$63,4,FALSE),Medewerker!Y86),"")</f>
        <v/>
      </c>
      <c r="W84" s="934">
        <f>IF(V84="OA",0,IF(V84="TA",0,IF(V84="VRIJ",0,IF(V84="ST",0,IFERROR(IF(V84="","",(V84/V84)*VLOOKUP($B84,Vr!$B$13:$AV$63,47,FALSE)/24),MAX(IFERROR((VLOOKUP($B84,Vr!$B$13:$AV$63,47,FALSE)/24),0),Medewerker!E86/120))))))</f>
        <v/>
      </c>
      <c r="X84" s="240" t="n"/>
      <c r="Y84" s="933">
        <f>IFERROR(IF(Medewerker!AC86="",VLOOKUP($B84,Za!$B$13:$E$63,3,FALSE),Medewerker!AC86),"")</f>
        <v/>
      </c>
      <c r="Z84" s="933">
        <f>IFERROR(IF(Medewerker!AC86="",VLOOKUP($B84,Za!$B$13:$E$63,4,FALSE),Medewerker!AC86),"")</f>
        <v/>
      </c>
      <c r="AA84" s="934">
        <f>IF(Z84="OA",0,IF(Z84="TA",0,IF(Z84="VRIJ",0,IF(Z84="ST",0,IFERROR(IF(Z84="","",(Z84/Z84)*VLOOKUP($B84,Za!$B$13:$AV$63,47,FALSE)/24),MAX(IFERROR((VLOOKUP($B84,Za!$B$13:$AV$63,47,FALSE)/24),0),IF(COUNTIF(E84:V84,"ZIEK")&gt;9,0,IF(COUNTIF(E84:V84,"VAK")&gt;9,0,Medewerker!E86/120))))))))</f>
        <v/>
      </c>
      <c r="AB84" s="240" t="n"/>
      <c r="AC84" s="933">
        <f>IFERROR(IF(Medewerker!AG86="",VLOOKUP($B84,Zo!$B$13:$E$63,3,FALSE),Medewerker!AG86),"")</f>
        <v/>
      </c>
      <c r="AD84" s="933">
        <f>IFERROR(IF(Medewerker!AG86="",VLOOKUP($B84,Zo!$B$13:$E$63,4,FALSE),Medewerker!AG86),"")</f>
        <v/>
      </c>
      <c r="AE84" s="934">
        <f>IF(AD84="OA",0,IF(AD84="TA",0,IF(AD84="VRIJ",0,IF(AD84="ST",0,IFERROR(IF(AD84="","",(AD84/AD84)*VLOOKUP($B84,Zo!$B$13:$AV$63,47,FALSE)/24),MAX(IFERROR((VLOOKUP($B84,Zo!$B$13:$AV$63,47,FALSE)/24),0),IF(COUNTIF(E84:Z84,"ZIEK")&gt;9,0,IF(COUNTIF(E84:Z84,"VAK")&gt;9,0,Medewerker!E86/120))))))))</f>
        <v/>
      </c>
      <c r="AF84" s="240" t="n"/>
      <c r="AG84" s="935">
        <f>SUM(G84,K84,O84,S84,W84,AA84,AE84)</f>
        <v/>
      </c>
      <c r="AH84" s="532">
        <f>COUNT(G84,K84,O84,S84,W84,AA84,AE84)-(COUNTIF(E84:AD84,"Vrij")/2)</f>
        <v/>
      </c>
      <c r="AI84" s="936">
        <f>Planning!AG84*24-Medewerker!E86</f>
        <v/>
      </c>
      <c r="AJ84" s="254">
        <f>IF(MAX(G84,K84,O84,S84,W84,AA84,AE84)*24&gt;Instellingen!$I$8,"nee","ja")</f>
        <v/>
      </c>
      <c r="AK84" s="254">
        <f>IF(AG84*24&gt;Instellingen!$I$9,"nee","ja")</f>
        <v/>
      </c>
    </row>
    <row r="85" ht="14.25" customHeight="1">
      <c r="A85" s="78">
        <f>IF(B85="",0,MAX($A$6:A84)+1)</f>
        <v/>
      </c>
      <c r="B85" s="241">
        <f>IF(Medewerker!C87="","",Medewerker!C87)</f>
        <v/>
      </c>
      <c r="C85" s="238">
        <f>Medewerker!AI87</f>
        <v/>
      </c>
      <c r="D85" s="240" t="n"/>
      <c r="E85" s="932">
        <f>IFERROR(IF(Medewerker!I87="",VLOOKUP($B85,Ma!$B$13:$E$63,3,FALSE),Medewerker!I87),"")</f>
        <v/>
      </c>
      <c r="F85" s="933">
        <f>IFERROR(IF(Medewerker!I87="",VLOOKUP($B85,Ma!$B$13:$E$63,4,FALSE),Medewerker!I87),"")</f>
        <v/>
      </c>
      <c r="G85" s="934">
        <f>IF(F85="OA",0,IF(F85="TA",0,IF(F85="VRIJ",0,IF(F85="ST",0,IFERROR(IF(F85="","",(F85/F85)*VLOOKUP($B85,Ma!$B$13:$AV$63,47,FALSE)/24),MAX(IFERROR((VLOOKUP($B85,Ma!$B$13:$AV$63,47,FALSE)/24),0),Medewerker!E87/120))))))</f>
        <v/>
      </c>
      <c r="H85" s="240" t="n"/>
      <c r="I85" s="933">
        <f>IFERROR(IF(Medewerker!M87="",VLOOKUP($B85,Di!$B$13:$E$63,3,FALSE),Medewerker!M87),"")</f>
        <v/>
      </c>
      <c r="J85" s="933">
        <f>IFERROR(IF(Medewerker!M87="",VLOOKUP($B85,Di!$B$13:$E$63,4,FALSE),Medewerker!M87),"")</f>
        <v/>
      </c>
      <c r="K85" s="934">
        <f>IF(J85="OA",0,IF(J85="TA",0,IF(J85="VRIJ",0,IF(J85="ST",0,IFERROR(IF(J85="","",(J85/J85)*VLOOKUP($B85,Di!$B$13:$AV$63,47,FALSE)/24),MAX(IFERROR((VLOOKUP($B85,Di!$B$13:$AV$63,47,FALSE)/24),0),Medewerker!E87/120))))))</f>
        <v/>
      </c>
      <c r="L85" s="240" t="n"/>
      <c r="M85" s="933">
        <f>IFERROR(IF(Medewerker!Q87="",VLOOKUP($B85,Wo!$B$13:$E$63,3,FALSE),Medewerker!Q87),"")</f>
        <v/>
      </c>
      <c r="N85" s="933">
        <f>IFERROR(IF(Medewerker!Q87="",VLOOKUP($B85,Wo!$B$13:$E$63,4,FALSE),Medewerker!Q87),"")</f>
        <v/>
      </c>
      <c r="O85" s="934">
        <f>IF(N85="OA",0,IF(N85="TA",0,IF(N85="VRIJ",0,IF(N85="ST",0,IFERROR(IF(N85="","",(N85/N85)*VLOOKUP($B85,Wo!$B$13:$AV$63,47,FALSE)/24),MAX(IFERROR((VLOOKUP($B85,Wo!$B$13:$AV$63,47,FALSE)/24),0),Medewerker!E87/120))))))</f>
        <v/>
      </c>
      <c r="P85" s="240" t="n"/>
      <c r="Q85" s="933">
        <f>IFERROR(IF(Medewerker!U87="",VLOOKUP($B85,Do!$B$13:$E$63,3,FALSE),Medewerker!U87),"")</f>
        <v/>
      </c>
      <c r="R85" s="933">
        <f>IFERROR(IF(Medewerker!U87="",VLOOKUP($B85,Do!$B$13:$E$63,4,FALSE),Medewerker!U87),"")</f>
        <v/>
      </c>
      <c r="S85" s="934">
        <f>IF(R85="OA",0,IF(R85="TA",0,IF(R85="VRIJ",0,IF(R85="ST",0,IFERROR(IF(R85="","",(R85/R85)*VLOOKUP($B85,Do!$B$13:$AV$63,47,FALSE)/24),MAX(IFERROR((VLOOKUP($B85,Do!$B$13:$AV$63,47,FALSE)/24),0),Medewerker!E87/120))))))</f>
        <v/>
      </c>
      <c r="T85" s="240" t="n"/>
      <c r="U85" s="933">
        <f>IFERROR(IF(Medewerker!Y87="",VLOOKUP($B85,Vr!$B$13:$E$63,3,FALSE),Medewerker!Y87),"")</f>
        <v/>
      </c>
      <c r="V85" s="933">
        <f>IFERROR(IF(Medewerker!Y87="",VLOOKUP($B85,Vr!$B$13:$E$63,4,FALSE),Medewerker!Y87),"")</f>
        <v/>
      </c>
      <c r="W85" s="934">
        <f>IF(V85="OA",0,IF(V85="TA",0,IF(V85="VRIJ",0,IF(V85="ST",0,IFERROR(IF(V85="","",(V85/V85)*VLOOKUP($B85,Vr!$B$13:$AV$63,47,FALSE)/24),MAX(IFERROR((VLOOKUP($B85,Vr!$B$13:$AV$63,47,FALSE)/24),0),Medewerker!E87/120))))))</f>
        <v/>
      </c>
      <c r="X85" s="240" t="n"/>
      <c r="Y85" s="933">
        <f>IFERROR(IF(Medewerker!AC87="",VLOOKUP($B85,Za!$B$13:$E$63,3,FALSE),Medewerker!AC87),"")</f>
        <v/>
      </c>
      <c r="Z85" s="933">
        <f>IFERROR(IF(Medewerker!AC87="",VLOOKUP($B85,Za!$B$13:$E$63,4,FALSE),Medewerker!AC87),"")</f>
        <v/>
      </c>
      <c r="AA85" s="934">
        <f>IF(Z85="OA",0,IF(Z85="TA",0,IF(Z85="VRIJ",0,IF(Z85="ST",0,IFERROR(IF(Z85="","",(Z85/Z85)*VLOOKUP($B85,Za!$B$13:$AV$63,47,FALSE)/24),MAX(IFERROR((VLOOKUP($B85,Za!$B$13:$AV$63,47,FALSE)/24),0),IF(COUNTIF(E85:V85,"ZIEK")&gt;9,0,IF(COUNTIF(E85:V85,"VAK")&gt;9,0,Medewerker!E87/120))))))))</f>
        <v/>
      </c>
      <c r="AB85" s="240" t="n"/>
      <c r="AC85" s="933">
        <f>IFERROR(IF(Medewerker!AG87="",VLOOKUP($B85,Zo!$B$13:$E$63,3,FALSE),Medewerker!AG87),"")</f>
        <v/>
      </c>
      <c r="AD85" s="933">
        <f>IFERROR(IF(Medewerker!AG87="",VLOOKUP($B85,Zo!$B$13:$E$63,4,FALSE),Medewerker!AG87),"")</f>
        <v/>
      </c>
      <c r="AE85" s="934">
        <f>IF(AD85="OA",0,IF(AD85="TA",0,IF(AD85="VRIJ",0,IF(AD85="ST",0,IFERROR(IF(AD85="","",(AD85/AD85)*VLOOKUP($B85,Zo!$B$13:$AV$63,47,FALSE)/24),MAX(IFERROR((VLOOKUP($B85,Zo!$B$13:$AV$63,47,FALSE)/24),0),IF(COUNTIF(E85:Z85,"ZIEK")&gt;9,0,IF(COUNTIF(E85:Z85,"VAK")&gt;9,0,Medewerker!E87/120))))))))</f>
        <v/>
      </c>
      <c r="AF85" s="240" t="n"/>
      <c r="AG85" s="935">
        <f>SUM(G85,K85,O85,S85,W85,AA85,AE85)</f>
        <v/>
      </c>
      <c r="AH85" s="532">
        <f>COUNT(G85,K85,O85,S85,W85,AA85,AE85)-(COUNTIF(E85:AD85,"Vrij")/2)</f>
        <v/>
      </c>
      <c r="AI85" s="936">
        <f>Planning!AG85*24-Medewerker!E87</f>
        <v/>
      </c>
      <c r="AJ85" s="254">
        <f>IF(MAX(G85,K85,O85,S85,W85,AA85,AE85)*24&gt;Instellingen!$I$8,"nee","ja")</f>
        <v/>
      </c>
      <c r="AK85" s="254">
        <f>IF(AG85*24&gt;Instellingen!$I$9,"nee","ja")</f>
        <v/>
      </c>
    </row>
    <row r="86" ht="14.25" customHeight="1">
      <c r="A86" s="78">
        <f>IF(B86="",0,MAX($A$6:A85)+1)</f>
        <v/>
      </c>
      <c r="B86" s="241">
        <f>IF(Medewerker!C88="","",Medewerker!C88)</f>
        <v/>
      </c>
      <c r="C86" s="238">
        <f>Medewerker!AI88</f>
        <v/>
      </c>
      <c r="D86" s="240" t="n"/>
      <c r="E86" s="932">
        <f>IFERROR(IF(Medewerker!I88="",VLOOKUP($B86,Ma!$B$13:$E$63,3,FALSE),Medewerker!I88),"")</f>
        <v/>
      </c>
      <c r="F86" s="933">
        <f>IFERROR(IF(Medewerker!I88="",VLOOKUP($B86,Ma!$B$13:$E$63,4,FALSE),Medewerker!I88),"")</f>
        <v/>
      </c>
      <c r="G86" s="934">
        <f>IF(F86="OA",0,IF(F86="TA",0,IF(F86="VRIJ",0,IF(F86="ST",0,IFERROR(IF(F86="","",(F86/F86)*VLOOKUP($B86,Ma!$B$13:$AV$63,47,FALSE)/24),MAX(IFERROR((VLOOKUP($B86,Ma!$B$13:$AV$63,47,FALSE)/24),0),Medewerker!E88/120))))))</f>
        <v/>
      </c>
      <c r="H86" s="240" t="n"/>
      <c r="I86" s="933">
        <f>IFERROR(IF(Medewerker!M88="",VLOOKUP($B86,Di!$B$13:$E$63,3,FALSE),Medewerker!M88),"")</f>
        <v/>
      </c>
      <c r="J86" s="933">
        <f>IFERROR(IF(Medewerker!M88="",VLOOKUP($B86,Di!$B$13:$E$63,4,FALSE),Medewerker!M88),"")</f>
        <v/>
      </c>
      <c r="K86" s="934">
        <f>IF(J86="OA",0,IF(J86="TA",0,IF(J86="VRIJ",0,IF(J86="ST",0,IFERROR(IF(J86="","",(J86/J86)*VLOOKUP($B86,Di!$B$13:$AV$63,47,FALSE)/24),MAX(IFERROR((VLOOKUP($B86,Di!$B$13:$AV$63,47,FALSE)/24),0),Medewerker!E88/120))))))</f>
        <v/>
      </c>
      <c r="L86" s="240" t="n"/>
      <c r="M86" s="933">
        <f>IFERROR(IF(Medewerker!Q88="",VLOOKUP($B86,Wo!$B$13:$E$63,3,FALSE),Medewerker!Q88),"")</f>
        <v/>
      </c>
      <c r="N86" s="933">
        <f>IFERROR(IF(Medewerker!Q88="",VLOOKUP($B86,Wo!$B$13:$E$63,4,FALSE),Medewerker!Q88),"")</f>
        <v/>
      </c>
      <c r="O86" s="934">
        <f>IF(N86="OA",0,IF(N86="TA",0,IF(N86="VRIJ",0,IF(N86="ST",0,IFERROR(IF(N86="","",(N86/N86)*VLOOKUP($B86,Wo!$B$13:$AV$63,47,FALSE)/24),MAX(IFERROR((VLOOKUP($B86,Wo!$B$13:$AV$63,47,FALSE)/24),0),Medewerker!E88/120))))))</f>
        <v/>
      </c>
      <c r="P86" s="240" t="n"/>
      <c r="Q86" s="933">
        <f>IFERROR(IF(Medewerker!U88="",VLOOKUP($B86,Do!$B$13:$E$63,3,FALSE),Medewerker!U88),"")</f>
        <v/>
      </c>
      <c r="R86" s="933">
        <f>IFERROR(IF(Medewerker!U88="",VLOOKUP($B86,Do!$B$13:$E$63,4,FALSE),Medewerker!U88),"")</f>
        <v/>
      </c>
      <c r="S86" s="934">
        <f>IF(R86="OA",0,IF(R86="TA",0,IF(R86="VRIJ",0,IF(R86="ST",0,IFERROR(IF(R86="","",(R86/R86)*VLOOKUP($B86,Do!$B$13:$AV$63,47,FALSE)/24),MAX(IFERROR((VLOOKUP($B86,Do!$B$13:$AV$63,47,FALSE)/24),0),Medewerker!E88/120))))))</f>
        <v/>
      </c>
      <c r="T86" s="240" t="n"/>
      <c r="U86" s="933">
        <f>IFERROR(IF(Medewerker!Y88="",VLOOKUP($B86,Vr!$B$13:$E$63,3,FALSE),Medewerker!Y88),"")</f>
        <v/>
      </c>
      <c r="V86" s="933">
        <f>IFERROR(IF(Medewerker!Y88="",VLOOKUP($B86,Vr!$B$13:$E$63,4,FALSE),Medewerker!Y88),"")</f>
        <v/>
      </c>
      <c r="W86" s="934">
        <f>IF(V86="OA",0,IF(V86="TA",0,IF(V86="VRIJ",0,IF(V86="ST",0,IFERROR(IF(V86="","",(V86/V86)*VLOOKUP($B86,Vr!$B$13:$AV$63,47,FALSE)/24),MAX(IFERROR((VLOOKUP($B86,Vr!$B$13:$AV$63,47,FALSE)/24),0),Medewerker!E88/120))))))</f>
        <v/>
      </c>
      <c r="X86" s="240" t="n"/>
      <c r="Y86" s="933">
        <f>IFERROR(IF(Medewerker!AC88="",VLOOKUP($B86,Za!$B$13:$E$63,3,FALSE),Medewerker!AC88),"")</f>
        <v/>
      </c>
      <c r="Z86" s="933">
        <f>IFERROR(IF(Medewerker!AC88="",VLOOKUP($B86,Za!$B$13:$E$63,4,FALSE),Medewerker!AC88),"")</f>
        <v/>
      </c>
      <c r="AA86" s="934">
        <f>IF(Z86="OA",0,IF(Z86="TA",0,IF(Z86="VRIJ",0,IF(Z86="ST",0,IFERROR(IF(Z86="","",(Z86/Z86)*VLOOKUP($B86,Za!$B$13:$AV$63,47,FALSE)/24),MAX(IFERROR((VLOOKUP($B86,Za!$B$13:$AV$63,47,FALSE)/24),0),IF(COUNTIF(E86:V86,"ZIEK")&gt;9,0,IF(COUNTIF(E86:V86,"VAK")&gt;9,0,Medewerker!E88/120))))))))</f>
        <v/>
      </c>
      <c r="AB86" s="240" t="n"/>
      <c r="AC86" s="933">
        <f>IFERROR(IF(Medewerker!AG88="",VLOOKUP($B86,Zo!$B$13:$E$63,3,FALSE),Medewerker!AG88),"")</f>
        <v/>
      </c>
      <c r="AD86" s="933">
        <f>IFERROR(IF(Medewerker!AG88="",VLOOKUP($B86,Zo!$B$13:$E$63,4,FALSE),Medewerker!AG88),"")</f>
        <v/>
      </c>
      <c r="AE86" s="934">
        <f>IF(AD86="OA",0,IF(AD86="TA",0,IF(AD86="VRIJ",0,IF(AD86="ST",0,IFERROR(IF(AD86="","",(AD86/AD86)*VLOOKUP($B86,Zo!$B$13:$AV$63,47,FALSE)/24),MAX(IFERROR((VLOOKUP($B86,Zo!$B$13:$AV$63,47,FALSE)/24),0),IF(COUNTIF(E86:Z86,"ZIEK")&gt;9,0,IF(COUNTIF(E86:Z86,"VAK")&gt;9,0,Medewerker!E88/120))))))))</f>
        <v/>
      </c>
      <c r="AF86" s="240" t="n"/>
      <c r="AG86" s="935">
        <f>SUM(G86,K86,O86,S86,W86,AA86,AE86)</f>
        <v/>
      </c>
      <c r="AH86" s="532">
        <f>COUNT(G86,K86,O86,S86,W86,AA86,AE86)-(COUNTIF(E86:AD86,"Vrij")/2)</f>
        <v/>
      </c>
      <c r="AI86" s="936">
        <f>Planning!AG86*24-Medewerker!E88</f>
        <v/>
      </c>
      <c r="AJ86" s="254">
        <f>IF(MAX(G86,K86,O86,S86,W86,AA86,AE86)*24&gt;Instellingen!$I$8,"nee","ja")</f>
        <v/>
      </c>
      <c r="AK86" s="254">
        <f>IF(AG86*24&gt;Instellingen!$I$9,"nee","ja")</f>
        <v/>
      </c>
    </row>
    <row r="87" ht="14.25" customHeight="1">
      <c r="A87" s="78">
        <f>IF(B87="",0,MAX($A$6:A86)+1)</f>
        <v/>
      </c>
      <c r="B87" s="241">
        <f>IF(Medewerker!C89="","",Medewerker!C89)</f>
        <v/>
      </c>
      <c r="C87" s="238">
        <f>Medewerker!AI89</f>
        <v/>
      </c>
      <c r="D87" s="240" t="n"/>
      <c r="E87" s="932">
        <f>IFERROR(IF(Medewerker!I89="",VLOOKUP($B87,Ma!$B$13:$E$63,3,FALSE),Medewerker!I89),"")</f>
        <v/>
      </c>
      <c r="F87" s="933">
        <f>IFERROR(IF(Medewerker!I89="",VLOOKUP($B87,Ma!$B$13:$E$63,4,FALSE),Medewerker!I89),"")</f>
        <v/>
      </c>
      <c r="G87" s="934">
        <f>IF(F87="OA",0,IF(F87="TA",0,IF(F87="VRIJ",0,IF(F87="ST",0,IFERROR(IF(F87="","",(F87/F87)*VLOOKUP($B87,Ma!$B$13:$AV$63,47,FALSE)/24),MAX(IFERROR((VLOOKUP($B87,Ma!$B$13:$AV$63,47,FALSE)/24),0),Medewerker!E89/120))))))</f>
        <v/>
      </c>
      <c r="H87" s="240" t="n"/>
      <c r="I87" s="933">
        <f>IFERROR(IF(Medewerker!M89="",VLOOKUP($B87,Di!$B$13:$E$63,3,FALSE),Medewerker!M89),"")</f>
        <v/>
      </c>
      <c r="J87" s="933">
        <f>IFERROR(IF(Medewerker!M89="",VLOOKUP($B87,Di!$B$13:$E$63,4,FALSE),Medewerker!M89),"")</f>
        <v/>
      </c>
      <c r="K87" s="934">
        <f>IF(J87="OA",0,IF(J87="TA",0,IF(J87="VRIJ",0,IF(J87="ST",0,IFERROR(IF(J87="","",(J87/J87)*VLOOKUP($B87,Di!$B$13:$AV$63,47,FALSE)/24),MAX(IFERROR((VLOOKUP($B87,Di!$B$13:$AV$63,47,FALSE)/24),0),Medewerker!E89/120))))))</f>
        <v/>
      </c>
      <c r="L87" s="240" t="n"/>
      <c r="M87" s="933">
        <f>IFERROR(IF(Medewerker!Q89="",VLOOKUP($B87,Wo!$B$13:$E$63,3,FALSE),Medewerker!Q89),"")</f>
        <v/>
      </c>
      <c r="N87" s="933">
        <f>IFERROR(IF(Medewerker!Q89="",VLOOKUP($B87,Wo!$B$13:$E$63,4,FALSE),Medewerker!Q89),"")</f>
        <v/>
      </c>
      <c r="O87" s="934">
        <f>IF(N87="OA",0,IF(N87="TA",0,IF(N87="VRIJ",0,IF(N87="ST",0,IFERROR(IF(N87="","",(N87/N87)*VLOOKUP($B87,Wo!$B$13:$AV$63,47,FALSE)/24),MAX(IFERROR((VLOOKUP($B87,Wo!$B$13:$AV$63,47,FALSE)/24),0),Medewerker!E89/120))))))</f>
        <v/>
      </c>
      <c r="P87" s="240" t="n"/>
      <c r="Q87" s="933">
        <f>IFERROR(IF(Medewerker!U89="",VLOOKUP($B87,Do!$B$13:$E$63,3,FALSE),Medewerker!U89),"")</f>
        <v/>
      </c>
      <c r="R87" s="933">
        <f>IFERROR(IF(Medewerker!U89="",VLOOKUP($B87,Do!$B$13:$E$63,4,FALSE),Medewerker!U89),"")</f>
        <v/>
      </c>
      <c r="S87" s="934">
        <f>IF(R87="OA",0,IF(R87="TA",0,IF(R87="VRIJ",0,IF(R87="ST",0,IFERROR(IF(R87="","",(R87/R87)*VLOOKUP($B87,Do!$B$13:$AV$63,47,FALSE)/24),MAX(IFERROR((VLOOKUP($B87,Do!$B$13:$AV$63,47,FALSE)/24),0),Medewerker!E89/120))))))</f>
        <v/>
      </c>
      <c r="T87" s="240" t="n"/>
      <c r="U87" s="933">
        <f>IFERROR(IF(Medewerker!Y89="",VLOOKUP($B87,Vr!$B$13:$E$63,3,FALSE),Medewerker!Y89),"")</f>
        <v/>
      </c>
      <c r="V87" s="933">
        <f>IFERROR(IF(Medewerker!Y89="",VLOOKUP($B87,Vr!$B$13:$E$63,4,FALSE),Medewerker!Y89),"")</f>
        <v/>
      </c>
      <c r="W87" s="934">
        <f>IF(V87="OA",0,IF(V87="TA",0,IF(V87="VRIJ",0,IF(V87="ST",0,IFERROR(IF(V87="","",(V87/V87)*VLOOKUP($B87,Vr!$B$13:$AV$63,47,FALSE)/24),MAX(IFERROR((VLOOKUP($B87,Vr!$B$13:$AV$63,47,FALSE)/24),0),Medewerker!E89/120))))))</f>
        <v/>
      </c>
      <c r="X87" s="240" t="n"/>
      <c r="Y87" s="933">
        <f>IFERROR(IF(Medewerker!AC89="",VLOOKUP($B87,Za!$B$13:$E$63,3,FALSE),Medewerker!AC89),"")</f>
        <v/>
      </c>
      <c r="Z87" s="933">
        <f>IFERROR(IF(Medewerker!AC89="",VLOOKUP($B87,Za!$B$13:$E$63,4,FALSE),Medewerker!AC89),"")</f>
        <v/>
      </c>
      <c r="AA87" s="934">
        <f>IF(Z87="OA",0,IF(Z87="TA",0,IF(Z87="VRIJ",0,IF(Z87="ST",0,IFERROR(IF(Z87="","",(Z87/Z87)*VLOOKUP($B87,Za!$B$13:$AV$63,47,FALSE)/24),MAX(IFERROR((VLOOKUP($B87,Za!$B$13:$AV$63,47,FALSE)/24),0),IF(COUNTIF(E87:V87,"ZIEK")&gt;9,0,IF(COUNTIF(E87:V87,"VAK")&gt;9,0,Medewerker!E89/120))))))))</f>
        <v/>
      </c>
      <c r="AB87" s="240" t="n"/>
      <c r="AC87" s="933">
        <f>IFERROR(IF(Medewerker!AG89="",VLOOKUP($B87,Zo!$B$13:$E$63,3,FALSE),Medewerker!AG89),"")</f>
        <v/>
      </c>
      <c r="AD87" s="933">
        <f>IFERROR(IF(Medewerker!AG89="",VLOOKUP($B87,Zo!$B$13:$E$63,4,FALSE),Medewerker!AG89),"")</f>
        <v/>
      </c>
      <c r="AE87" s="934">
        <f>IF(AD87="OA",0,IF(AD87="TA",0,IF(AD87="VRIJ",0,IF(AD87="ST",0,IFERROR(IF(AD87="","",(AD87/AD87)*VLOOKUP($B87,Zo!$B$13:$AV$63,47,FALSE)/24),MAX(IFERROR((VLOOKUP($B87,Zo!$B$13:$AV$63,47,FALSE)/24),0),IF(COUNTIF(E87:Z87,"ZIEK")&gt;9,0,IF(COUNTIF(E87:Z87,"VAK")&gt;9,0,Medewerker!E89/120))))))))</f>
        <v/>
      </c>
      <c r="AF87" s="240" t="n"/>
      <c r="AG87" s="935">
        <f>SUM(G87,K87,O87,S87,W87,AA87,AE87)</f>
        <v/>
      </c>
      <c r="AH87" s="532">
        <f>COUNT(G87,K87,O87,S87,W87,AA87,AE87)-(COUNTIF(E87:AD87,"Vrij")/2)</f>
        <v/>
      </c>
      <c r="AI87" s="936">
        <f>Planning!AG87*24-Medewerker!E89</f>
        <v/>
      </c>
      <c r="AJ87" s="254">
        <f>IF(MAX(G87,K87,O87,S87,W87,AA87,AE87)*24&gt;Instellingen!$I$8,"nee","ja")</f>
        <v/>
      </c>
      <c r="AK87" s="254">
        <f>IF(AG87*24&gt;Instellingen!$I$9,"nee","ja")</f>
        <v/>
      </c>
    </row>
    <row r="88" ht="14.25" customHeight="1">
      <c r="A88" s="78">
        <f>IF(B88="",0,MAX($A$6:A87)+1)</f>
        <v/>
      </c>
      <c r="B88" s="241">
        <f>IF(Medewerker!C90="","",Medewerker!C90)</f>
        <v/>
      </c>
      <c r="C88" s="238">
        <f>Medewerker!AI90</f>
        <v/>
      </c>
      <c r="D88" s="240" t="n"/>
      <c r="E88" s="932">
        <f>IFERROR(IF(Medewerker!I90="",VLOOKUP($B88,Ma!$B$13:$E$63,3,FALSE),Medewerker!I90),"")</f>
        <v/>
      </c>
      <c r="F88" s="933">
        <f>IFERROR(IF(Medewerker!I90="",VLOOKUP($B88,Ma!$B$13:$E$63,4,FALSE),Medewerker!I90),"")</f>
        <v/>
      </c>
      <c r="G88" s="934">
        <f>IF(F88="OA",0,IF(F88="TA",0,IF(F88="VRIJ",0,IF(F88="ST",0,IFERROR(IF(F88="","",(F88/F88)*VLOOKUP($B88,Ma!$B$13:$AV$63,47,FALSE)/24),MAX(IFERROR((VLOOKUP($B88,Ma!$B$13:$AV$63,47,FALSE)/24),0),Medewerker!E90/120))))))</f>
        <v/>
      </c>
      <c r="H88" s="240" t="n"/>
      <c r="I88" s="933">
        <f>IFERROR(IF(Medewerker!M90="",VLOOKUP($B88,Di!$B$13:$E$63,3,FALSE),Medewerker!M90),"")</f>
        <v/>
      </c>
      <c r="J88" s="933">
        <f>IFERROR(IF(Medewerker!M90="",VLOOKUP($B88,Di!$B$13:$E$63,4,FALSE),Medewerker!M90),"")</f>
        <v/>
      </c>
      <c r="K88" s="934">
        <f>IF(J88="OA",0,IF(J88="TA",0,IF(J88="VRIJ",0,IF(J88="ST",0,IFERROR(IF(J88="","",(J88/J88)*VLOOKUP($B88,Di!$B$13:$AV$63,47,FALSE)/24),MAX(IFERROR((VLOOKUP($B88,Di!$B$13:$AV$63,47,FALSE)/24),0),Medewerker!E90/120))))))</f>
        <v/>
      </c>
      <c r="L88" s="240" t="n"/>
      <c r="M88" s="933">
        <f>IFERROR(IF(Medewerker!Q90="",VLOOKUP($B88,Wo!$B$13:$E$63,3,FALSE),Medewerker!Q90),"")</f>
        <v/>
      </c>
      <c r="N88" s="933">
        <f>IFERROR(IF(Medewerker!Q90="",VLOOKUP($B88,Wo!$B$13:$E$63,4,FALSE),Medewerker!Q90),"")</f>
        <v/>
      </c>
      <c r="O88" s="934">
        <f>IF(N88="OA",0,IF(N88="TA",0,IF(N88="VRIJ",0,IF(N88="ST",0,IFERROR(IF(N88="","",(N88/N88)*VLOOKUP($B88,Wo!$B$13:$AV$63,47,FALSE)/24),MAX(IFERROR((VLOOKUP($B88,Wo!$B$13:$AV$63,47,FALSE)/24),0),Medewerker!E90/120))))))</f>
        <v/>
      </c>
      <c r="P88" s="240" t="n"/>
      <c r="Q88" s="933">
        <f>IFERROR(IF(Medewerker!U90="",VLOOKUP($B88,Do!$B$13:$E$63,3,FALSE),Medewerker!U90),"")</f>
        <v/>
      </c>
      <c r="R88" s="933">
        <f>IFERROR(IF(Medewerker!U90="",VLOOKUP($B88,Do!$B$13:$E$63,4,FALSE),Medewerker!U90),"")</f>
        <v/>
      </c>
      <c r="S88" s="934">
        <f>IF(R88="OA",0,IF(R88="TA",0,IF(R88="VRIJ",0,IF(R88="ST",0,IFERROR(IF(R88="","",(R88/R88)*VLOOKUP($B88,Do!$B$13:$AV$63,47,FALSE)/24),MAX(IFERROR((VLOOKUP($B88,Do!$B$13:$AV$63,47,FALSE)/24),0),Medewerker!E90/120))))))</f>
        <v/>
      </c>
      <c r="T88" s="240" t="n"/>
      <c r="U88" s="933">
        <f>IFERROR(IF(Medewerker!Y90="",VLOOKUP($B88,Vr!$B$13:$E$63,3,FALSE),Medewerker!Y90),"")</f>
        <v/>
      </c>
      <c r="V88" s="933">
        <f>IFERROR(IF(Medewerker!Y90="",VLOOKUP($B88,Vr!$B$13:$E$63,4,FALSE),Medewerker!Y90),"")</f>
        <v/>
      </c>
      <c r="W88" s="934">
        <f>IF(V88="OA",0,IF(V88="TA",0,IF(V88="VRIJ",0,IF(V88="ST",0,IFERROR(IF(V88="","",(V88/V88)*VLOOKUP($B88,Vr!$B$13:$AV$63,47,FALSE)/24),MAX(IFERROR((VLOOKUP($B88,Vr!$B$13:$AV$63,47,FALSE)/24),0),Medewerker!E90/120))))))</f>
        <v/>
      </c>
      <c r="X88" s="240" t="n"/>
      <c r="Y88" s="933">
        <f>IFERROR(IF(Medewerker!AC90="",VLOOKUP($B88,Za!$B$13:$E$63,3,FALSE),Medewerker!AC90),"")</f>
        <v/>
      </c>
      <c r="Z88" s="933">
        <f>IFERROR(IF(Medewerker!AC90="",VLOOKUP($B88,Za!$B$13:$E$63,4,FALSE),Medewerker!AC90),"")</f>
        <v/>
      </c>
      <c r="AA88" s="934">
        <f>IF(Z88="OA",0,IF(Z88="TA",0,IF(Z88="VRIJ",0,IF(Z88="ST",0,IFERROR(IF(Z88="","",(Z88/Z88)*VLOOKUP($B88,Za!$B$13:$AV$63,47,FALSE)/24),MAX(IFERROR((VLOOKUP($B88,Za!$B$13:$AV$63,47,FALSE)/24),0),IF(COUNTIF(E88:V88,"ZIEK")&gt;9,0,IF(COUNTIF(E88:V88,"VAK")&gt;9,0,Medewerker!E90/120))))))))</f>
        <v/>
      </c>
      <c r="AB88" s="240" t="n"/>
      <c r="AC88" s="933">
        <f>IFERROR(IF(Medewerker!AG90="",VLOOKUP($B88,Zo!$B$13:$E$63,3,FALSE),Medewerker!AG90),"")</f>
        <v/>
      </c>
      <c r="AD88" s="933">
        <f>IFERROR(IF(Medewerker!AG90="",VLOOKUP($B88,Zo!$B$13:$E$63,4,FALSE),Medewerker!AG90),"")</f>
        <v/>
      </c>
      <c r="AE88" s="934">
        <f>IF(AD88="OA",0,IF(AD88="TA",0,IF(AD88="VRIJ",0,IF(AD88="ST",0,IFERROR(IF(AD88="","",(AD88/AD88)*VLOOKUP($B88,Zo!$B$13:$AV$63,47,FALSE)/24),MAX(IFERROR((VLOOKUP($B88,Zo!$B$13:$AV$63,47,FALSE)/24),0),IF(COUNTIF(E88:Z88,"ZIEK")&gt;9,0,IF(COUNTIF(E88:Z88,"VAK")&gt;9,0,Medewerker!E90/120))))))))</f>
        <v/>
      </c>
      <c r="AF88" s="240" t="n"/>
      <c r="AG88" s="935">
        <f>SUM(G88,K88,O88,S88,W88,AA88,AE88)</f>
        <v/>
      </c>
      <c r="AH88" s="532">
        <f>COUNT(G88,K88,O88,S88,W88,AA88,AE88)-(COUNTIF(E88:AD88,"Vrij")/2)</f>
        <v/>
      </c>
      <c r="AI88" s="936">
        <f>Planning!AG88*24-Medewerker!E90</f>
        <v/>
      </c>
      <c r="AJ88" s="254">
        <f>IF(MAX(G88,K88,O88,S88,W88,AA88,AE88)*24&gt;Instellingen!$I$8,"nee","ja")</f>
        <v/>
      </c>
      <c r="AK88" s="254">
        <f>IF(AG88*24&gt;Instellingen!$I$9,"nee","ja")</f>
        <v/>
      </c>
    </row>
    <row r="89" ht="14.25" customHeight="1">
      <c r="A89" s="78">
        <f>IF(B89="",0,MAX($A$6:A88)+1)</f>
        <v/>
      </c>
      <c r="B89" s="241">
        <f>IF(Medewerker!C91="","",Medewerker!C91)</f>
        <v/>
      </c>
      <c r="C89" s="238">
        <f>Medewerker!AI91</f>
        <v/>
      </c>
      <c r="D89" s="240" t="n"/>
      <c r="E89" s="932">
        <f>IFERROR(IF(Medewerker!I91="",VLOOKUP($B89,Ma!$B$13:$E$63,3,FALSE),Medewerker!I91),"")</f>
        <v/>
      </c>
      <c r="F89" s="933">
        <f>IFERROR(IF(Medewerker!I91="",VLOOKUP($B89,Ma!$B$13:$E$63,4,FALSE),Medewerker!I91),"")</f>
        <v/>
      </c>
      <c r="G89" s="934">
        <f>IF(F89="OA",0,IF(F89="TA",0,IF(F89="VRIJ",0,IF(F89="ST",0,IFERROR(IF(F89="","",(F89/F89)*VLOOKUP($B89,Ma!$B$13:$AV$63,47,FALSE)/24),MAX(IFERROR((VLOOKUP($B89,Ma!$B$13:$AV$63,47,FALSE)/24),0),Medewerker!E91/120))))))</f>
        <v/>
      </c>
      <c r="H89" s="240" t="n"/>
      <c r="I89" s="933">
        <f>IFERROR(IF(Medewerker!M91="",VLOOKUP($B89,Di!$B$13:$E$63,3,FALSE),Medewerker!M91),"")</f>
        <v/>
      </c>
      <c r="J89" s="933">
        <f>IFERROR(IF(Medewerker!M91="",VLOOKUP($B89,Di!$B$13:$E$63,4,FALSE),Medewerker!M91),"")</f>
        <v/>
      </c>
      <c r="K89" s="934">
        <f>IF(J89="OA",0,IF(J89="TA",0,IF(J89="VRIJ",0,IF(J89="ST",0,IFERROR(IF(J89="","",(J89/J89)*VLOOKUP($B89,Di!$B$13:$AV$63,47,FALSE)/24),MAX(IFERROR((VLOOKUP($B89,Di!$B$13:$AV$63,47,FALSE)/24),0),Medewerker!E91/120))))))</f>
        <v/>
      </c>
      <c r="L89" s="240" t="n"/>
      <c r="M89" s="933">
        <f>IFERROR(IF(Medewerker!Q91="",VLOOKUP($B89,Wo!$B$13:$E$63,3,FALSE),Medewerker!Q91),"")</f>
        <v/>
      </c>
      <c r="N89" s="933">
        <f>IFERROR(IF(Medewerker!Q91="",VLOOKUP($B89,Wo!$B$13:$E$63,4,FALSE),Medewerker!Q91),"")</f>
        <v/>
      </c>
      <c r="O89" s="934">
        <f>IF(N89="OA",0,IF(N89="TA",0,IF(N89="VRIJ",0,IF(N89="ST",0,IFERROR(IF(N89="","",(N89/N89)*VLOOKUP($B89,Wo!$B$13:$AV$63,47,FALSE)/24),MAX(IFERROR((VLOOKUP($B89,Wo!$B$13:$AV$63,47,FALSE)/24),0),Medewerker!E91/120))))))</f>
        <v/>
      </c>
      <c r="P89" s="240" t="n"/>
      <c r="Q89" s="933">
        <f>IFERROR(IF(Medewerker!U91="",VLOOKUP($B89,Do!$B$13:$E$63,3,FALSE),Medewerker!U91),"")</f>
        <v/>
      </c>
      <c r="R89" s="933">
        <f>IFERROR(IF(Medewerker!U91="",VLOOKUP($B89,Do!$B$13:$E$63,4,FALSE),Medewerker!U91),"")</f>
        <v/>
      </c>
      <c r="S89" s="934">
        <f>IF(R89="OA",0,IF(R89="TA",0,IF(R89="VRIJ",0,IF(R89="ST",0,IFERROR(IF(R89="","",(R89/R89)*VLOOKUP($B89,Do!$B$13:$AV$63,47,FALSE)/24),MAX(IFERROR((VLOOKUP($B89,Do!$B$13:$AV$63,47,FALSE)/24),0),Medewerker!E91/120))))))</f>
        <v/>
      </c>
      <c r="T89" s="240" t="n"/>
      <c r="U89" s="933">
        <f>IFERROR(IF(Medewerker!Y91="",VLOOKUP($B89,Vr!$B$13:$E$63,3,FALSE),Medewerker!Y91),"")</f>
        <v/>
      </c>
      <c r="V89" s="933">
        <f>IFERROR(IF(Medewerker!Y91="",VLOOKUP($B89,Vr!$B$13:$E$63,4,FALSE),Medewerker!Y91),"")</f>
        <v/>
      </c>
      <c r="W89" s="934">
        <f>IF(V89="OA",0,IF(V89="TA",0,IF(V89="VRIJ",0,IF(V89="ST",0,IFERROR(IF(V89="","",(V89/V89)*VLOOKUP($B89,Vr!$B$13:$AV$63,47,FALSE)/24),MAX(IFERROR((VLOOKUP($B89,Vr!$B$13:$AV$63,47,FALSE)/24),0),Medewerker!E91/120))))))</f>
        <v/>
      </c>
      <c r="X89" s="240" t="n"/>
      <c r="Y89" s="933">
        <f>IFERROR(IF(Medewerker!AC91="",VLOOKUP($B89,Za!$B$13:$E$63,3,FALSE),Medewerker!AC91),"")</f>
        <v/>
      </c>
      <c r="Z89" s="933">
        <f>IFERROR(IF(Medewerker!AC91="",VLOOKUP($B89,Za!$B$13:$E$63,4,FALSE),Medewerker!AC91),"")</f>
        <v/>
      </c>
      <c r="AA89" s="934">
        <f>IF(Z89="OA",0,IF(Z89="TA",0,IF(Z89="VRIJ",0,IF(Z89="ST",0,IFERROR(IF(Z89="","",(Z89/Z89)*VLOOKUP($B89,Za!$B$13:$AV$63,47,FALSE)/24),MAX(IFERROR((VLOOKUP($B89,Za!$B$13:$AV$63,47,FALSE)/24),0),IF(COUNTIF(E89:V89,"ZIEK")&gt;9,0,IF(COUNTIF(E89:V89,"VAK")&gt;9,0,Medewerker!E91/120))))))))</f>
        <v/>
      </c>
      <c r="AB89" s="240" t="n"/>
      <c r="AC89" s="933">
        <f>IFERROR(IF(Medewerker!AG91="",VLOOKUP($B89,Zo!$B$13:$E$63,3,FALSE),Medewerker!AG91),"")</f>
        <v/>
      </c>
      <c r="AD89" s="933">
        <f>IFERROR(IF(Medewerker!AG91="",VLOOKUP($B89,Zo!$B$13:$E$63,4,FALSE),Medewerker!AG91),"")</f>
        <v/>
      </c>
      <c r="AE89" s="934">
        <f>IF(AD89="OA",0,IF(AD89="TA",0,IF(AD89="VRIJ",0,IF(AD89="ST",0,IFERROR(IF(AD89="","",(AD89/AD89)*VLOOKUP($B89,Zo!$B$13:$AV$63,47,FALSE)/24),MAX(IFERROR((VLOOKUP($B89,Zo!$B$13:$AV$63,47,FALSE)/24),0),IF(COUNTIF(E89:Z89,"ZIEK")&gt;9,0,IF(COUNTIF(E89:Z89,"VAK")&gt;9,0,Medewerker!E91/120))))))))</f>
        <v/>
      </c>
      <c r="AF89" s="240" t="n"/>
      <c r="AG89" s="935">
        <f>SUM(G89,K89,O89,S89,W89,AA89,AE89)</f>
        <v/>
      </c>
      <c r="AH89" s="532">
        <f>COUNT(G89,K89,O89,S89,W89,AA89,AE89)-(COUNTIF(E89:AD89,"Vrij")/2)</f>
        <v/>
      </c>
      <c r="AI89" s="936">
        <f>Planning!AG89*24-Medewerker!E91</f>
        <v/>
      </c>
      <c r="AJ89" s="254">
        <f>IF(MAX(G89,K89,O89,S89,W89,AA89,AE89)*24&gt;Instellingen!$I$8,"nee","ja")</f>
        <v/>
      </c>
      <c r="AK89" s="254">
        <f>IF(AG89*24&gt;Instellingen!$I$9,"nee","ja")</f>
        <v/>
      </c>
    </row>
    <row r="90" ht="14.25" customHeight="1">
      <c r="A90" s="78">
        <f>IF(B90="",0,MAX($A$6:A89)+1)</f>
        <v/>
      </c>
      <c r="B90" s="241">
        <f>IF(Medewerker!C92="","",Medewerker!C92)</f>
        <v/>
      </c>
      <c r="C90" s="238">
        <f>Medewerker!AI92</f>
        <v/>
      </c>
      <c r="D90" s="240" t="n"/>
      <c r="E90" s="932">
        <f>IFERROR(IF(Medewerker!I92="",VLOOKUP($B90,Ma!$B$13:$E$63,3,FALSE),Medewerker!I92),"")</f>
        <v/>
      </c>
      <c r="F90" s="933">
        <f>IFERROR(IF(Medewerker!I92="",VLOOKUP($B90,Ma!$B$13:$E$63,4,FALSE),Medewerker!I92),"")</f>
        <v/>
      </c>
      <c r="G90" s="934">
        <f>IF(F90="OA",0,IF(F90="TA",0,IF(F90="VRIJ",0,IF(F90="ST",0,IFERROR(IF(F90="","",(F90/F90)*VLOOKUP($B90,Ma!$B$13:$AV$63,47,FALSE)/24),MAX(IFERROR((VLOOKUP($B90,Ma!$B$13:$AV$63,47,FALSE)/24),0),Medewerker!E92/120))))))</f>
        <v/>
      </c>
      <c r="H90" s="240" t="n"/>
      <c r="I90" s="933">
        <f>IFERROR(IF(Medewerker!M92="",VLOOKUP($B90,Di!$B$13:$E$63,3,FALSE),Medewerker!M92),"")</f>
        <v/>
      </c>
      <c r="J90" s="933">
        <f>IFERROR(IF(Medewerker!M92="",VLOOKUP($B90,Di!$B$13:$E$63,4,FALSE),Medewerker!M92),"")</f>
        <v/>
      </c>
      <c r="K90" s="934">
        <f>IF(J90="OA",0,IF(J90="TA",0,IF(J90="VRIJ",0,IF(J90="ST",0,IFERROR(IF(J90="","",(J90/J90)*VLOOKUP($B90,Di!$B$13:$AV$63,47,FALSE)/24),MAX(IFERROR((VLOOKUP($B90,Di!$B$13:$AV$63,47,FALSE)/24),0),Medewerker!E92/120))))))</f>
        <v/>
      </c>
      <c r="L90" s="240" t="n"/>
      <c r="M90" s="933">
        <f>IFERROR(IF(Medewerker!Q92="",VLOOKUP($B90,Wo!$B$13:$E$63,3,FALSE),Medewerker!Q92),"")</f>
        <v/>
      </c>
      <c r="N90" s="933">
        <f>IFERROR(IF(Medewerker!Q92="",VLOOKUP($B90,Wo!$B$13:$E$63,4,FALSE),Medewerker!Q92),"")</f>
        <v/>
      </c>
      <c r="O90" s="934">
        <f>IF(N90="OA",0,IF(N90="TA",0,IF(N90="VRIJ",0,IF(N90="ST",0,IFERROR(IF(N90="","",(N90/N90)*VLOOKUP($B90,Wo!$B$13:$AV$63,47,FALSE)/24),MAX(IFERROR((VLOOKUP($B90,Wo!$B$13:$AV$63,47,FALSE)/24),0),Medewerker!E92/120))))))</f>
        <v/>
      </c>
      <c r="P90" s="240" t="n"/>
      <c r="Q90" s="933">
        <f>IFERROR(IF(Medewerker!U92="",VLOOKUP($B90,Do!$B$13:$E$63,3,FALSE),Medewerker!U92),"")</f>
        <v/>
      </c>
      <c r="R90" s="933">
        <f>IFERROR(IF(Medewerker!U92="",VLOOKUP($B90,Do!$B$13:$E$63,4,FALSE),Medewerker!U92),"")</f>
        <v/>
      </c>
      <c r="S90" s="934">
        <f>IF(R90="OA",0,IF(R90="TA",0,IF(R90="VRIJ",0,IF(R90="ST",0,IFERROR(IF(R90="","",(R90/R90)*VLOOKUP($B90,Do!$B$13:$AV$63,47,FALSE)/24),MAX(IFERROR((VLOOKUP($B90,Do!$B$13:$AV$63,47,FALSE)/24),0),Medewerker!E92/120))))))</f>
        <v/>
      </c>
      <c r="T90" s="240" t="n"/>
      <c r="U90" s="933">
        <f>IFERROR(IF(Medewerker!Y92="",VLOOKUP($B90,Vr!$B$13:$E$63,3,FALSE),Medewerker!Y92),"")</f>
        <v/>
      </c>
      <c r="V90" s="933">
        <f>IFERROR(IF(Medewerker!Y92="",VLOOKUP($B90,Vr!$B$13:$E$63,4,FALSE),Medewerker!Y92),"")</f>
        <v/>
      </c>
      <c r="W90" s="934">
        <f>IF(V90="OA",0,IF(V90="TA",0,IF(V90="VRIJ",0,IF(V90="ST",0,IFERROR(IF(V90="","",(V90/V90)*VLOOKUP($B90,Vr!$B$13:$AV$63,47,FALSE)/24),MAX(IFERROR((VLOOKUP($B90,Vr!$B$13:$AV$63,47,FALSE)/24),0),Medewerker!E92/120))))))</f>
        <v/>
      </c>
      <c r="X90" s="240" t="n"/>
      <c r="Y90" s="933">
        <f>IFERROR(IF(Medewerker!AC92="",VLOOKUP($B90,Za!$B$13:$E$63,3,FALSE),Medewerker!AC92),"")</f>
        <v/>
      </c>
      <c r="Z90" s="933">
        <f>IFERROR(IF(Medewerker!AC92="",VLOOKUP($B90,Za!$B$13:$E$63,4,FALSE),Medewerker!AC92),"")</f>
        <v/>
      </c>
      <c r="AA90" s="934">
        <f>IF(Z90="OA",0,IF(Z90="TA",0,IF(Z90="VRIJ",0,IF(Z90="ST",0,IFERROR(IF(Z90="","",(Z90/Z90)*VLOOKUP($B90,Za!$B$13:$AV$63,47,FALSE)/24),MAX(IFERROR((VLOOKUP($B90,Za!$B$13:$AV$63,47,FALSE)/24),0),IF(COUNTIF(E90:V90,"ZIEK")&gt;9,0,IF(COUNTIF(E90:V90,"VAK")&gt;9,0,Medewerker!E92/120))))))))</f>
        <v/>
      </c>
      <c r="AB90" s="240" t="n"/>
      <c r="AC90" s="933">
        <f>IFERROR(IF(Medewerker!AG92="",VLOOKUP($B90,Zo!$B$13:$E$63,3,FALSE),Medewerker!AG92),"")</f>
        <v/>
      </c>
      <c r="AD90" s="933">
        <f>IFERROR(IF(Medewerker!AG92="",VLOOKUP($B90,Zo!$B$13:$E$63,4,FALSE),Medewerker!AG92),"")</f>
        <v/>
      </c>
      <c r="AE90" s="934">
        <f>IF(AD90="OA",0,IF(AD90="TA",0,IF(AD90="VRIJ",0,IF(AD90="ST",0,IFERROR(IF(AD90="","",(AD90/AD90)*VLOOKUP($B90,Zo!$B$13:$AV$63,47,FALSE)/24),MAX(IFERROR((VLOOKUP($B90,Zo!$B$13:$AV$63,47,FALSE)/24),0),IF(COUNTIF(E90:Z90,"ZIEK")&gt;9,0,IF(COUNTIF(E90:Z90,"VAK")&gt;9,0,Medewerker!E92/120))))))))</f>
        <v/>
      </c>
      <c r="AF90" s="240" t="n"/>
      <c r="AG90" s="935">
        <f>SUM(G90,K90,O90,S90,W90,AA90,AE90)</f>
        <v/>
      </c>
      <c r="AH90" s="532">
        <f>COUNT(G90,K90,O90,S90,W90,AA90,AE90)-(COUNTIF(E90:AD90,"Vrij")/2)</f>
        <v/>
      </c>
      <c r="AI90" s="936">
        <f>Planning!AG90*24-Medewerker!E92</f>
        <v/>
      </c>
      <c r="AJ90" s="254">
        <f>IF(MAX(G90,K90,O90,S90,W90,AA90,AE90)*24&gt;Instellingen!$I$8,"nee","ja")</f>
        <v/>
      </c>
      <c r="AK90" s="254">
        <f>IF(AG90*24&gt;Instellingen!$I$9,"nee","ja")</f>
        <v/>
      </c>
    </row>
    <row r="91" ht="14.25" customHeight="1">
      <c r="A91" s="78">
        <f>IF(B91="",0,MAX($A$6:A90)+1)</f>
        <v/>
      </c>
      <c r="B91" s="241">
        <f>IF(Medewerker!C93="","",Medewerker!C93)</f>
        <v/>
      </c>
      <c r="C91" s="238">
        <f>Medewerker!AI93</f>
        <v/>
      </c>
      <c r="D91" s="240" t="n"/>
      <c r="E91" s="932">
        <f>IFERROR(IF(Medewerker!I93="",VLOOKUP($B91,Ma!$B$13:$E$63,3,FALSE),Medewerker!I93),"")</f>
        <v/>
      </c>
      <c r="F91" s="933">
        <f>IFERROR(IF(Medewerker!I93="",VLOOKUP($B91,Ma!$B$13:$E$63,4,FALSE),Medewerker!I93),"")</f>
        <v/>
      </c>
      <c r="G91" s="934">
        <f>IF(F91="OA",0,IF(F91="TA",0,IF(F91="VRIJ",0,IF(F91="ST",0,IFERROR(IF(F91="","",(F91/F91)*VLOOKUP($B91,Ma!$B$13:$AV$63,47,FALSE)/24),MAX(IFERROR((VLOOKUP($B91,Ma!$B$13:$AV$63,47,FALSE)/24),0),Medewerker!E93/120))))))</f>
        <v/>
      </c>
      <c r="H91" s="240" t="n"/>
      <c r="I91" s="933">
        <f>IFERROR(IF(Medewerker!M93="",VLOOKUP($B91,Di!$B$13:$E$63,3,FALSE),Medewerker!M93),"")</f>
        <v/>
      </c>
      <c r="J91" s="933">
        <f>IFERROR(IF(Medewerker!M93="",VLOOKUP($B91,Di!$B$13:$E$63,4,FALSE),Medewerker!M93),"")</f>
        <v/>
      </c>
      <c r="K91" s="934">
        <f>IF(J91="OA",0,IF(J91="TA",0,IF(J91="VRIJ",0,IF(J91="ST",0,IFERROR(IF(J91="","",(J91/J91)*VLOOKUP($B91,Di!$B$13:$AV$63,47,FALSE)/24),MAX(IFERROR((VLOOKUP($B91,Di!$B$13:$AV$63,47,FALSE)/24),0),Medewerker!E93/120))))))</f>
        <v/>
      </c>
      <c r="L91" s="240" t="n"/>
      <c r="M91" s="933">
        <f>IFERROR(IF(Medewerker!Q93="",VLOOKUP($B91,Wo!$B$13:$E$63,3,FALSE),Medewerker!Q93),"")</f>
        <v/>
      </c>
      <c r="N91" s="933">
        <f>IFERROR(IF(Medewerker!Q93="",VLOOKUP($B91,Wo!$B$13:$E$63,4,FALSE),Medewerker!Q93),"")</f>
        <v/>
      </c>
      <c r="O91" s="934">
        <f>IF(N91="OA",0,IF(N91="TA",0,IF(N91="VRIJ",0,IF(N91="ST",0,IFERROR(IF(N91="","",(N91/N91)*VLOOKUP($B91,Wo!$B$13:$AV$63,47,FALSE)/24),MAX(IFERROR((VLOOKUP($B91,Wo!$B$13:$AV$63,47,FALSE)/24),0),Medewerker!E93/120))))))</f>
        <v/>
      </c>
      <c r="P91" s="240" t="n"/>
      <c r="Q91" s="933">
        <f>IFERROR(IF(Medewerker!U93="",VLOOKUP($B91,Do!$B$13:$E$63,3,FALSE),Medewerker!U93),"")</f>
        <v/>
      </c>
      <c r="R91" s="933">
        <f>IFERROR(IF(Medewerker!U93="",VLOOKUP($B91,Do!$B$13:$E$63,4,FALSE),Medewerker!U93),"")</f>
        <v/>
      </c>
      <c r="S91" s="934">
        <f>IF(R91="OA",0,IF(R91="TA",0,IF(R91="VRIJ",0,IF(R91="ST",0,IFERROR(IF(R91="","",(R91/R91)*VLOOKUP($B91,Do!$B$13:$AV$63,47,FALSE)/24),MAX(IFERROR((VLOOKUP($B91,Do!$B$13:$AV$63,47,FALSE)/24),0),Medewerker!E93/120))))))</f>
        <v/>
      </c>
      <c r="T91" s="240" t="n"/>
      <c r="U91" s="933">
        <f>IFERROR(IF(Medewerker!Y93="",VLOOKUP($B91,Vr!$B$13:$E$63,3,FALSE),Medewerker!Y93),"")</f>
        <v/>
      </c>
      <c r="V91" s="933">
        <f>IFERROR(IF(Medewerker!Y93="",VLOOKUP($B91,Vr!$B$13:$E$63,4,FALSE),Medewerker!Y93),"")</f>
        <v/>
      </c>
      <c r="W91" s="934">
        <f>IF(V91="OA",0,IF(V91="TA",0,IF(V91="VRIJ",0,IF(V91="ST",0,IFERROR(IF(V91="","",(V91/V91)*VLOOKUP($B91,Vr!$B$13:$AV$63,47,FALSE)/24),MAX(IFERROR((VLOOKUP($B91,Vr!$B$13:$AV$63,47,FALSE)/24),0),Medewerker!E93/120))))))</f>
        <v/>
      </c>
      <c r="X91" s="240" t="n"/>
      <c r="Y91" s="933">
        <f>IFERROR(IF(Medewerker!AC93="",VLOOKUP($B91,Za!$B$13:$E$63,3,FALSE),Medewerker!AC93),"")</f>
        <v/>
      </c>
      <c r="Z91" s="933">
        <f>IFERROR(IF(Medewerker!AC93="",VLOOKUP($B91,Za!$B$13:$E$63,4,FALSE),Medewerker!AC93),"")</f>
        <v/>
      </c>
      <c r="AA91" s="934">
        <f>IF(Z91="OA",0,IF(Z91="TA",0,IF(Z91="VRIJ",0,IF(Z91="ST",0,IFERROR(IF(Z91="","",(Z91/Z91)*VLOOKUP($B91,Za!$B$13:$AV$63,47,FALSE)/24),MAX(IFERROR((VLOOKUP($B91,Za!$B$13:$AV$63,47,FALSE)/24),0),IF(COUNTIF(E91:V91,"ZIEK")&gt;9,0,IF(COUNTIF(E91:V91,"VAK")&gt;9,0,Medewerker!E93/120))))))))</f>
        <v/>
      </c>
      <c r="AB91" s="240" t="n"/>
      <c r="AC91" s="933">
        <f>IFERROR(IF(Medewerker!AG93="",VLOOKUP($B91,Zo!$B$13:$E$63,3,FALSE),Medewerker!AG93),"")</f>
        <v/>
      </c>
      <c r="AD91" s="933">
        <f>IFERROR(IF(Medewerker!AG93="",VLOOKUP($B91,Zo!$B$13:$E$63,4,FALSE),Medewerker!AG93),"")</f>
        <v/>
      </c>
      <c r="AE91" s="934">
        <f>IF(AD91="OA",0,IF(AD91="TA",0,IF(AD91="VRIJ",0,IF(AD91="ST",0,IFERROR(IF(AD91="","",(AD91/AD91)*VLOOKUP($B91,Zo!$B$13:$AV$63,47,FALSE)/24),MAX(IFERROR((VLOOKUP($B91,Zo!$B$13:$AV$63,47,FALSE)/24),0),IF(COUNTIF(E91:Z91,"ZIEK")&gt;9,0,IF(COUNTIF(E91:Z91,"VAK")&gt;9,0,Medewerker!E93/120))))))))</f>
        <v/>
      </c>
      <c r="AF91" s="240" t="n"/>
      <c r="AG91" s="935">
        <f>SUM(G91,K91,O91,S91,W91,AA91,AE91)</f>
        <v/>
      </c>
      <c r="AH91" s="532">
        <f>COUNT(G91,K91,O91,S91,W91,AA91,AE91)-(COUNTIF(E91:AD91,"Vrij")/2)</f>
        <v/>
      </c>
      <c r="AI91" s="936">
        <f>Planning!AG91*24-Medewerker!E93</f>
        <v/>
      </c>
      <c r="AJ91" s="254">
        <f>IF(MAX(G91,K91,O91,S91,W91,AA91,AE91)*24&gt;Instellingen!$I$8,"nee","ja")</f>
        <v/>
      </c>
      <c r="AK91" s="254">
        <f>IF(AG91*24&gt;Instellingen!$I$9,"nee","ja")</f>
        <v/>
      </c>
    </row>
    <row r="92" ht="14.25" customHeight="1">
      <c r="A92" s="78">
        <f>IF(B92="",0,MAX($A$6:A91)+1)</f>
        <v/>
      </c>
      <c r="B92" s="241">
        <f>IF(Medewerker!C94="","",Medewerker!C94)</f>
        <v/>
      </c>
      <c r="C92" s="238">
        <f>Medewerker!AI94</f>
        <v/>
      </c>
      <c r="D92" s="240" t="n"/>
      <c r="E92" s="932">
        <f>IFERROR(IF(Medewerker!I94="",VLOOKUP($B92,Ma!$B$13:$E$63,3,FALSE),Medewerker!I94),"")</f>
        <v/>
      </c>
      <c r="F92" s="933">
        <f>IFERROR(IF(Medewerker!I94="",VLOOKUP($B92,Ma!$B$13:$E$63,4,FALSE),Medewerker!I94),"")</f>
        <v/>
      </c>
      <c r="G92" s="934">
        <f>IF(F92="OA",0,IF(F92="TA",0,IF(F92="VRIJ",0,IF(F92="ST",0,IFERROR(IF(F92="","",(F92/F92)*VLOOKUP($B92,Ma!$B$13:$AV$63,47,FALSE)/24),MAX(IFERROR((VLOOKUP($B92,Ma!$B$13:$AV$63,47,FALSE)/24),0),Medewerker!E94/120))))))</f>
        <v/>
      </c>
      <c r="H92" s="240" t="n"/>
      <c r="I92" s="933">
        <f>IFERROR(IF(Medewerker!M94="",VLOOKUP($B92,Di!$B$13:$E$63,3,FALSE),Medewerker!M94),"")</f>
        <v/>
      </c>
      <c r="J92" s="933">
        <f>IFERROR(IF(Medewerker!M94="",VLOOKUP($B92,Di!$B$13:$E$63,4,FALSE),Medewerker!M94),"")</f>
        <v/>
      </c>
      <c r="K92" s="934">
        <f>IF(J92="OA",0,IF(J92="TA",0,IF(J92="VRIJ",0,IF(J92="ST",0,IFERROR(IF(J92="","",(J92/J92)*VLOOKUP($B92,Di!$B$13:$AV$63,47,FALSE)/24),MAX(IFERROR((VLOOKUP($B92,Di!$B$13:$AV$63,47,FALSE)/24),0),Medewerker!E94/120))))))</f>
        <v/>
      </c>
      <c r="L92" s="240" t="n"/>
      <c r="M92" s="933">
        <f>IFERROR(IF(Medewerker!Q94="",VLOOKUP($B92,Wo!$B$13:$E$63,3,FALSE),Medewerker!Q94),"")</f>
        <v/>
      </c>
      <c r="N92" s="933">
        <f>IFERROR(IF(Medewerker!Q94="",VLOOKUP($B92,Wo!$B$13:$E$63,4,FALSE),Medewerker!Q94),"")</f>
        <v/>
      </c>
      <c r="O92" s="934">
        <f>IF(N92="OA",0,IF(N92="TA",0,IF(N92="VRIJ",0,IF(N92="ST",0,IFERROR(IF(N92="","",(N92/N92)*VLOOKUP($B92,Wo!$B$13:$AV$63,47,FALSE)/24),MAX(IFERROR((VLOOKUP($B92,Wo!$B$13:$AV$63,47,FALSE)/24),0),Medewerker!E94/120))))))</f>
        <v/>
      </c>
      <c r="P92" s="240" t="n"/>
      <c r="Q92" s="933">
        <f>IFERROR(IF(Medewerker!U94="",VLOOKUP($B92,Do!$B$13:$E$63,3,FALSE),Medewerker!U94),"")</f>
        <v/>
      </c>
      <c r="R92" s="933">
        <f>IFERROR(IF(Medewerker!U94="",VLOOKUP($B92,Do!$B$13:$E$63,4,FALSE),Medewerker!U94),"")</f>
        <v/>
      </c>
      <c r="S92" s="934">
        <f>IF(R92="OA",0,IF(R92="TA",0,IF(R92="VRIJ",0,IF(R92="ST",0,IFERROR(IF(R92="","",(R92/R92)*VLOOKUP($B92,Do!$B$13:$AV$63,47,FALSE)/24),MAX(IFERROR((VLOOKUP($B92,Do!$B$13:$AV$63,47,FALSE)/24),0),Medewerker!E94/120))))))</f>
        <v/>
      </c>
      <c r="T92" s="240" t="n"/>
      <c r="U92" s="933">
        <f>IFERROR(IF(Medewerker!Y94="",VLOOKUP($B92,Vr!$B$13:$E$63,3,FALSE),Medewerker!Y94),"")</f>
        <v/>
      </c>
      <c r="V92" s="933">
        <f>IFERROR(IF(Medewerker!Y94="",VLOOKUP($B92,Vr!$B$13:$E$63,4,FALSE),Medewerker!Y94),"")</f>
        <v/>
      </c>
      <c r="W92" s="934">
        <f>IF(V92="OA",0,IF(V92="TA",0,IF(V92="VRIJ",0,IF(V92="ST",0,IFERROR(IF(V92="","",(V92/V92)*VLOOKUP($B92,Vr!$B$13:$AV$63,47,FALSE)/24),MAX(IFERROR((VLOOKUP($B92,Vr!$B$13:$AV$63,47,FALSE)/24),0),Medewerker!E94/120))))))</f>
        <v/>
      </c>
      <c r="X92" s="240" t="n"/>
      <c r="Y92" s="933">
        <f>IFERROR(IF(Medewerker!AC94="",VLOOKUP($B92,Za!$B$13:$E$63,3,FALSE),Medewerker!AC94),"")</f>
        <v/>
      </c>
      <c r="Z92" s="933">
        <f>IFERROR(IF(Medewerker!AC94="",VLOOKUP($B92,Za!$B$13:$E$63,4,FALSE),Medewerker!AC94),"")</f>
        <v/>
      </c>
      <c r="AA92" s="934">
        <f>IF(Z92="OA",0,IF(Z92="TA",0,IF(Z92="VRIJ",0,IF(Z92="ST",0,IFERROR(IF(Z92="","",(Z92/Z92)*VLOOKUP($B92,Za!$B$13:$AV$63,47,FALSE)/24),MAX(IFERROR((VLOOKUP($B92,Za!$B$13:$AV$63,47,FALSE)/24),0),IF(COUNTIF(E92:V92,"ZIEK")&gt;9,0,IF(COUNTIF(E92:V92,"VAK")&gt;9,0,Medewerker!E94/120))))))))</f>
        <v/>
      </c>
      <c r="AB92" s="240" t="n"/>
      <c r="AC92" s="933">
        <f>IFERROR(IF(Medewerker!AG94="",VLOOKUP($B92,Zo!$B$13:$E$63,3,FALSE),Medewerker!AG94),"")</f>
        <v/>
      </c>
      <c r="AD92" s="933">
        <f>IFERROR(IF(Medewerker!AG94="",VLOOKUP($B92,Zo!$B$13:$E$63,4,FALSE),Medewerker!AG94),"")</f>
        <v/>
      </c>
      <c r="AE92" s="934">
        <f>IF(AD92="OA",0,IF(AD92="TA",0,IF(AD92="VRIJ",0,IF(AD92="ST",0,IFERROR(IF(AD92="","",(AD92/AD92)*VLOOKUP($B92,Zo!$B$13:$AV$63,47,FALSE)/24),MAX(IFERROR((VLOOKUP($B92,Zo!$B$13:$AV$63,47,FALSE)/24),0),IF(COUNTIF(E92:Z92,"ZIEK")&gt;9,0,IF(COUNTIF(E92:Z92,"VAK")&gt;9,0,Medewerker!E94/120))))))))</f>
        <v/>
      </c>
      <c r="AF92" s="240" t="n"/>
      <c r="AG92" s="935">
        <f>SUM(G92,K92,O92,S92,W92,AA92,AE92)</f>
        <v/>
      </c>
      <c r="AH92" s="532">
        <f>COUNT(G92,K92,O92,S92,W92,AA92,AE92)-(COUNTIF(E92:AD92,"Vrij")/2)</f>
        <v/>
      </c>
      <c r="AI92" s="936">
        <f>Planning!AG92*24-Medewerker!E94</f>
        <v/>
      </c>
      <c r="AJ92" s="254">
        <f>IF(MAX(G92,K92,O92,S92,W92,AA92,AE92)*24&gt;Instellingen!$I$8,"nee","ja")</f>
        <v/>
      </c>
      <c r="AK92" s="254">
        <f>IF(AG92*24&gt;Instellingen!$I$9,"nee","ja")</f>
        <v/>
      </c>
    </row>
    <row r="93" ht="14.25" customHeight="1">
      <c r="A93" s="78">
        <f>IF(B93="",0,MAX($A$6:A92)+1)</f>
        <v/>
      </c>
      <c r="B93" s="241">
        <f>IF(Medewerker!C95="","",Medewerker!C95)</f>
        <v/>
      </c>
      <c r="C93" s="238">
        <f>Medewerker!AI95</f>
        <v/>
      </c>
      <c r="D93" s="240" t="n"/>
      <c r="E93" s="932">
        <f>IFERROR(IF(Medewerker!I95="",VLOOKUP($B93,Ma!$B$13:$E$63,3,FALSE),Medewerker!I95),"")</f>
        <v/>
      </c>
      <c r="F93" s="933">
        <f>IFERROR(IF(Medewerker!I95="",VLOOKUP($B93,Ma!$B$13:$E$63,4,FALSE),Medewerker!I95),"")</f>
        <v/>
      </c>
      <c r="G93" s="934">
        <f>IF(F93="OA",0,IF(F93="TA",0,IF(F93="VRIJ",0,IF(F93="ST",0,IFERROR(IF(F93="","",(F93/F93)*VLOOKUP($B93,Ma!$B$13:$AV$63,47,FALSE)/24),MAX(IFERROR((VLOOKUP($B93,Ma!$B$13:$AV$63,47,FALSE)/24),0),Medewerker!E95/120))))))</f>
        <v/>
      </c>
      <c r="H93" s="240" t="n"/>
      <c r="I93" s="933">
        <f>IFERROR(IF(Medewerker!M95="",VLOOKUP($B93,Di!$B$13:$E$63,3,FALSE),Medewerker!M95),"")</f>
        <v/>
      </c>
      <c r="J93" s="933">
        <f>IFERROR(IF(Medewerker!M95="",VLOOKUP($B93,Di!$B$13:$E$63,4,FALSE),Medewerker!M95),"")</f>
        <v/>
      </c>
      <c r="K93" s="934">
        <f>IF(J93="OA",0,IF(J93="TA",0,IF(J93="VRIJ",0,IF(J93="ST",0,IFERROR(IF(J93="","",(J93/J93)*VLOOKUP($B93,Di!$B$13:$AV$63,47,FALSE)/24),MAX(IFERROR((VLOOKUP($B93,Di!$B$13:$AV$63,47,FALSE)/24),0),Medewerker!E95/120))))))</f>
        <v/>
      </c>
      <c r="L93" s="240" t="n"/>
      <c r="M93" s="933">
        <f>IFERROR(IF(Medewerker!Q95="",VLOOKUP($B93,Wo!$B$13:$E$63,3,FALSE),Medewerker!Q95),"")</f>
        <v/>
      </c>
      <c r="N93" s="933">
        <f>IFERROR(IF(Medewerker!Q95="",VLOOKUP($B93,Wo!$B$13:$E$63,4,FALSE),Medewerker!Q95),"")</f>
        <v/>
      </c>
      <c r="O93" s="934">
        <f>IF(N93="OA",0,IF(N93="TA",0,IF(N93="VRIJ",0,IF(N93="ST",0,IFERROR(IF(N93="","",(N93/N93)*VLOOKUP($B93,Wo!$B$13:$AV$63,47,FALSE)/24),MAX(IFERROR((VLOOKUP($B93,Wo!$B$13:$AV$63,47,FALSE)/24),0),Medewerker!E95/120))))))</f>
        <v/>
      </c>
      <c r="P93" s="240" t="n"/>
      <c r="Q93" s="933">
        <f>IFERROR(IF(Medewerker!U95="",VLOOKUP($B93,Do!$B$13:$E$63,3,FALSE),Medewerker!U95),"")</f>
        <v/>
      </c>
      <c r="R93" s="933">
        <f>IFERROR(IF(Medewerker!U95="",VLOOKUP($B93,Do!$B$13:$E$63,4,FALSE),Medewerker!U95),"")</f>
        <v/>
      </c>
      <c r="S93" s="934">
        <f>IF(R93="OA",0,IF(R93="TA",0,IF(R93="VRIJ",0,IF(R93="ST",0,IFERROR(IF(R93="","",(R93/R93)*VLOOKUP($B93,Do!$B$13:$AV$63,47,FALSE)/24),MAX(IFERROR((VLOOKUP($B93,Do!$B$13:$AV$63,47,FALSE)/24),0),Medewerker!E95/120))))))</f>
        <v/>
      </c>
      <c r="T93" s="240" t="n"/>
      <c r="U93" s="933">
        <f>IFERROR(IF(Medewerker!Y95="",VLOOKUP($B93,Vr!$B$13:$E$63,3,FALSE),Medewerker!Y95),"")</f>
        <v/>
      </c>
      <c r="V93" s="933">
        <f>IFERROR(IF(Medewerker!Y95="",VLOOKUP($B93,Vr!$B$13:$E$63,4,FALSE),Medewerker!Y95),"")</f>
        <v/>
      </c>
      <c r="W93" s="934">
        <f>IF(V93="OA",0,IF(V93="TA",0,IF(V93="VRIJ",0,IF(V93="ST",0,IFERROR(IF(V93="","",(V93/V93)*VLOOKUP($B93,Vr!$B$13:$AV$63,47,FALSE)/24),MAX(IFERROR((VLOOKUP($B93,Vr!$B$13:$AV$63,47,FALSE)/24),0),Medewerker!E95/120))))))</f>
        <v/>
      </c>
      <c r="X93" s="240" t="n"/>
      <c r="Y93" s="933">
        <f>IFERROR(IF(Medewerker!AC95="",VLOOKUP($B93,Za!$B$13:$E$63,3,FALSE),Medewerker!AC95),"")</f>
        <v/>
      </c>
      <c r="Z93" s="933">
        <f>IFERROR(IF(Medewerker!AC95="",VLOOKUP($B93,Za!$B$13:$E$63,4,FALSE),Medewerker!AC95),"")</f>
        <v/>
      </c>
      <c r="AA93" s="934">
        <f>IF(Z93="OA",0,IF(Z93="TA",0,IF(Z93="VRIJ",0,IF(Z93="ST",0,IFERROR(IF(Z93="","",(Z93/Z93)*VLOOKUP($B93,Za!$B$13:$AV$63,47,FALSE)/24),MAX(IFERROR((VLOOKUP($B93,Za!$B$13:$AV$63,47,FALSE)/24),0),IF(COUNTIF(E93:V93,"ZIEK")&gt;9,0,IF(COUNTIF(E93:V93,"VAK")&gt;9,0,Medewerker!E95/120))))))))</f>
        <v/>
      </c>
      <c r="AB93" s="240" t="n"/>
      <c r="AC93" s="933">
        <f>IFERROR(IF(Medewerker!AG95="",VLOOKUP($B93,Zo!$B$13:$E$63,3,FALSE),Medewerker!AG95),"")</f>
        <v/>
      </c>
      <c r="AD93" s="933">
        <f>IFERROR(IF(Medewerker!AG95="",VLOOKUP($B93,Zo!$B$13:$E$63,4,FALSE),Medewerker!AG95),"")</f>
        <v/>
      </c>
      <c r="AE93" s="934">
        <f>IF(AD93="OA",0,IF(AD93="TA",0,IF(AD93="VRIJ",0,IF(AD93="ST",0,IFERROR(IF(AD93="","",(AD93/AD93)*VLOOKUP($B93,Zo!$B$13:$AV$63,47,FALSE)/24),MAX(IFERROR((VLOOKUP($B93,Zo!$B$13:$AV$63,47,FALSE)/24),0),IF(COUNTIF(E93:Z93,"ZIEK")&gt;9,0,IF(COUNTIF(E93:Z93,"VAK")&gt;9,0,Medewerker!E95/120))))))))</f>
        <v/>
      </c>
      <c r="AF93" s="240" t="n"/>
      <c r="AG93" s="935">
        <f>SUM(G93,K93,O93,S93,W93,AA93,AE93)</f>
        <v/>
      </c>
      <c r="AH93" s="532">
        <f>COUNT(G93,K93,O93,S93,W93,AA93,AE93)-(COUNTIF(E93:AD93,"Vrij")/2)</f>
        <v/>
      </c>
      <c r="AI93" s="936">
        <f>Planning!AG93*24-Medewerker!E95</f>
        <v/>
      </c>
      <c r="AJ93" s="254">
        <f>IF(MAX(G93,K93,O93,S93,W93,AA93,AE93)*24&gt;Instellingen!$I$8,"nee","ja")</f>
        <v/>
      </c>
      <c r="AK93" s="254">
        <f>IF(AG93*24&gt;Instellingen!$I$9,"nee","ja")</f>
        <v/>
      </c>
    </row>
    <row r="94" ht="14.25" customHeight="1">
      <c r="A94" s="78">
        <f>IF(B94="",0,MAX($A$6:A93)+1)</f>
        <v/>
      </c>
      <c r="B94" s="241">
        <f>IF(Medewerker!C96="","",Medewerker!C96)</f>
        <v/>
      </c>
      <c r="C94" s="238">
        <f>Medewerker!AI96</f>
        <v/>
      </c>
      <c r="D94" s="240" t="n"/>
      <c r="E94" s="932">
        <f>IFERROR(IF(Medewerker!I96="",VLOOKUP($B94,Ma!$B$13:$E$63,3,FALSE),Medewerker!I96),"")</f>
        <v/>
      </c>
      <c r="F94" s="933">
        <f>IFERROR(IF(Medewerker!I96="",VLOOKUP($B94,Ma!$B$13:$E$63,4,FALSE),Medewerker!I96),"")</f>
        <v/>
      </c>
      <c r="G94" s="934">
        <f>IF(F94="OA",0,IF(F94="TA",0,IF(F94="VRIJ",0,IF(F94="ST",0,IFERROR(IF(F94="","",(F94/F94)*VLOOKUP($B94,Ma!$B$13:$AV$63,47,FALSE)/24),MAX(IFERROR((VLOOKUP($B94,Ma!$B$13:$AV$63,47,FALSE)/24),0),Medewerker!E96/120))))))</f>
        <v/>
      </c>
      <c r="H94" s="240" t="n"/>
      <c r="I94" s="933">
        <f>IFERROR(IF(Medewerker!M96="",VLOOKUP($B94,Di!$B$13:$E$63,3,FALSE),Medewerker!M96),"")</f>
        <v/>
      </c>
      <c r="J94" s="933">
        <f>IFERROR(IF(Medewerker!M96="",VLOOKUP($B94,Di!$B$13:$E$63,4,FALSE),Medewerker!M96),"")</f>
        <v/>
      </c>
      <c r="K94" s="934">
        <f>IF(J94="OA",0,IF(J94="TA",0,IF(J94="VRIJ",0,IF(J94="ST",0,IFERROR(IF(J94="","",(J94/J94)*VLOOKUP($B94,Di!$B$13:$AV$63,47,FALSE)/24),MAX(IFERROR((VLOOKUP($B94,Di!$B$13:$AV$63,47,FALSE)/24),0),Medewerker!E96/120))))))</f>
        <v/>
      </c>
      <c r="L94" s="240" t="n"/>
      <c r="M94" s="933">
        <f>IFERROR(IF(Medewerker!Q96="",VLOOKUP($B94,Wo!$B$13:$E$63,3,FALSE),Medewerker!Q96),"")</f>
        <v/>
      </c>
      <c r="N94" s="933">
        <f>IFERROR(IF(Medewerker!Q96="",VLOOKUP($B94,Wo!$B$13:$E$63,4,FALSE),Medewerker!Q96),"")</f>
        <v/>
      </c>
      <c r="O94" s="934">
        <f>IF(N94="OA",0,IF(N94="TA",0,IF(N94="VRIJ",0,IF(N94="ST",0,IFERROR(IF(N94="","",(N94/N94)*VLOOKUP($B94,Wo!$B$13:$AV$63,47,FALSE)/24),MAX(IFERROR((VLOOKUP($B94,Wo!$B$13:$AV$63,47,FALSE)/24),0),Medewerker!E96/120))))))</f>
        <v/>
      </c>
      <c r="P94" s="240" t="n"/>
      <c r="Q94" s="933">
        <f>IFERROR(IF(Medewerker!U96="",VLOOKUP($B94,Do!$B$13:$E$63,3,FALSE),Medewerker!U96),"")</f>
        <v/>
      </c>
      <c r="R94" s="933">
        <f>IFERROR(IF(Medewerker!U96="",VLOOKUP($B94,Do!$B$13:$E$63,4,FALSE),Medewerker!U96),"")</f>
        <v/>
      </c>
      <c r="S94" s="934">
        <f>IF(R94="OA",0,IF(R94="TA",0,IF(R94="VRIJ",0,IF(R94="ST",0,IFERROR(IF(R94="","",(R94/R94)*VLOOKUP($B94,Do!$B$13:$AV$63,47,FALSE)/24),MAX(IFERROR((VLOOKUP($B94,Do!$B$13:$AV$63,47,FALSE)/24),0),Medewerker!E96/120))))))</f>
        <v/>
      </c>
      <c r="T94" s="240" t="n"/>
      <c r="U94" s="933">
        <f>IFERROR(IF(Medewerker!Y96="",VLOOKUP($B94,Vr!$B$13:$E$63,3,FALSE),Medewerker!Y96),"")</f>
        <v/>
      </c>
      <c r="V94" s="933">
        <f>IFERROR(IF(Medewerker!Y96="",VLOOKUP($B94,Vr!$B$13:$E$63,4,FALSE),Medewerker!Y96),"")</f>
        <v/>
      </c>
      <c r="W94" s="934">
        <f>IF(V94="OA",0,IF(V94="TA",0,IF(V94="VRIJ",0,IF(V94="ST",0,IFERROR(IF(V94="","",(V94/V94)*VLOOKUP($B94,Vr!$B$13:$AV$63,47,FALSE)/24),MAX(IFERROR((VLOOKUP($B94,Vr!$B$13:$AV$63,47,FALSE)/24),0),Medewerker!E96/120))))))</f>
        <v/>
      </c>
      <c r="X94" s="240" t="n"/>
      <c r="Y94" s="933">
        <f>IFERROR(IF(Medewerker!AC96="",VLOOKUP($B94,Za!$B$13:$E$63,3,FALSE),Medewerker!AC96),"")</f>
        <v/>
      </c>
      <c r="Z94" s="933">
        <f>IFERROR(IF(Medewerker!AC96="",VLOOKUP($B94,Za!$B$13:$E$63,4,FALSE),Medewerker!AC96),"")</f>
        <v/>
      </c>
      <c r="AA94" s="934">
        <f>IF(Z94="OA",0,IF(Z94="TA",0,IF(Z94="VRIJ",0,IF(Z94="ST",0,IFERROR(IF(Z94="","",(Z94/Z94)*VLOOKUP($B94,Za!$B$13:$AV$63,47,FALSE)/24),MAX(IFERROR((VLOOKUP($B94,Za!$B$13:$AV$63,47,FALSE)/24),0),IF(COUNTIF(E94:V94,"ZIEK")&gt;9,0,IF(COUNTIF(E94:V94,"VAK")&gt;9,0,Medewerker!E96/120))))))))</f>
        <v/>
      </c>
      <c r="AB94" s="240" t="n"/>
      <c r="AC94" s="933">
        <f>IFERROR(IF(Medewerker!AG96="",VLOOKUP($B94,Zo!$B$13:$E$63,3,FALSE),Medewerker!AG96),"")</f>
        <v/>
      </c>
      <c r="AD94" s="933">
        <f>IFERROR(IF(Medewerker!AG96="",VLOOKUP($B94,Zo!$B$13:$E$63,4,FALSE),Medewerker!AG96),"")</f>
        <v/>
      </c>
      <c r="AE94" s="934">
        <f>IF(AD94="OA",0,IF(AD94="TA",0,IF(AD94="VRIJ",0,IF(AD94="ST",0,IFERROR(IF(AD94="","",(AD94/AD94)*VLOOKUP($B94,Zo!$B$13:$AV$63,47,FALSE)/24),MAX(IFERROR((VLOOKUP($B94,Zo!$B$13:$AV$63,47,FALSE)/24),0),IF(COUNTIF(E94:Z94,"ZIEK")&gt;9,0,IF(COUNTIF(E94:Z94,"VAK")&gt;9,0,Medewerker!E96/120))))))))</f>
        <v/>
      </c>
      <c r="AF94" s="240" t="n"/>
      <c r="AG94" s="935">
        <f>SUM(G94,K94,O94,S94,W94,AA94,AE94)</f>
        <v/>
      </c>
      <c r="AH94" s="532">
        <f>COUNT(G94,K94,O94,S94,W94,AA94,AE94)-(COUNTIF(E94:AD94,"Vrij")/2)</f>
        <v/>
      </c>
      <c r="AI94" s="936">
        <f>Planning!AG94*24-Medewerker!E96</f>
        <v/>
      </c>
      <c r="AJ94" s="254">
        <f>IF(MAX(G94,K94,O94,S94,W94,AA94,AE94)*24&gt;Instellingen!$I$8,"nee","ja")</f>
        <v/>
      </c>
      <c r="AK94" s="254">
        <f>IF(AG94*24&gt;Instellingen!$I$9,"nee","ja")</f>
        <v/>
      </c>
    </row>
    <row r="95" ht="14.25" customHeight="1">
      <c r="A95" s="78">
        <f>IF(B95="",0,MAX($A$6:A94)+1)</f>
        <v/>
      </c>
      <c r="B95" s="241">
        <f>IF(Medewerker!C97="","",Medewerker!C97)</f>
        <v/>
      </c>
      <c r="C95" s="238">
        <f>Medewerker!AI97</f>
        <v/>
      </c>
      <c r="D95" s="240" t="n"/>
      <c r="E95" s="932">
        <f>IFERROR(IF(Medewerker!I97="",VLOOKUP($B95,Ma!$B$13:$E$63,3,FALSE),Medewerker!I97),"")</f>
        <v/>
      </c>
      <c r="F95" s="933">
        <f>IFERROR(IF(Medewerker!I97="",VLOOKUP($B95,Ma!$B$13:$E$63,4,FALSE),Medewerker!I97),"")</f>
        <v/>
      </c>
      <c r="G95" s="934">
        <f>IF(F95="OA",0,IF(F95="TA",0,IF(F95="VRIJ",0,IF(F95="ST",0,IFERROR(IF(F95="","",(F95/F95)*VLOOKUP($B95,Ma!$B$13:$AV$63,47,FALSE)/24),MAX(IFERROR((VLOOKUP($B95,Ma!$B$13:$AV$63,47,FALSE)/24),0),Medewerker!E97/120))))))</f>
        <v/>
      </c>
      <c r="H95" s="240" t="n"/>
      <c r="I95" s="933">
        <f>IFERROR(IF(Medewerker!M97="",VLOOKUP($B95,Di!$B$13:$E$63,3,FALSE),Medewerker!M97),"")</f>
        <v/>
      </c>
      <c r="J95" s="933">
        <f>IFERROR(IF(Medewerker!M97="",VLOOKUP($B95,Di!$B$13:$E$63,4,FALSE),Medewerker!M97),"")</f>
        <v/>
      </c>
      <c r="K95" s="934">
        <f>IF(J95="OA",0,IF(J95="TA",0,IF(J95="VRIJ",0,IF(J95="ST",0,IFERROR(IF(J95="","",(J95/J95)*VLOOKUP($B95,Di!$B$13:$AV$63,47,FALSE)/24),MAX(IFERROR((VLOOKUP($B95,Di!$B$13:$AV$63,47,FALSE)/24),0),Medewerker!E97/120))))))</f>
        <v/>
      </c>
      <c r="L95" s="240" t="n"/>
      <c r="M95" s="933">
        <f>IFERROR(IF(Medewerker!Q97="",VLOOKUP($B95,Wo!$B$13:$E$63,3,FALSE),Medewerker!Q97),"")</f>
        <v/>
      </c>
      <c r="N95" s="933">
        <f>IFERROR(IF(Medewerker!Q97="",VLOOKUP($B95,Wo!$B$13:$E$63,4,FALSE),Medewerker!Q97),"")</f>
        <v/>
      </c>
      <c r="O95" s="934">
        <f>IF(N95="OA",0,IF(N95="TA",0,IF(N95="VRIJ",0,IF(N95="ST",0,IFERROR(IF(N95="","",(N95/N95)*VLOOKUP($B95,Wo!$B$13:$AV$63,47,FALSE)/24),MAX(IFERROR((VLOOKUP($B95,Wo!$B$13:$AV$63,47,FALSE)/24),0),Medewerker!E97/120))))))</f>
        <v/>
      </c>
      <c r="P95" s="240" t="n"/>
      <c r="Q95" s="933">
        <f>IFERROR(IF(Medewerker!U97="",VLOOKUP($B95,Do!$B$13:$E$63,3,FALSE),Medewerker!U97),"")</f>
        <v/>
      </c>
      <c r="R95" s="933">
        <f>IFERROR(IF(Medewerker!U97="",VLOOKUP($B95,Do!$B$13:$E$63,4,FALSE),Medewerker!U97),"")</f>
        <v/>
      </c>
      <c r="S95" s="934">
        <f>IF(R95="OA",0,IF(R95="TA",0,IF(R95="VRIJ",0,IF(R95="ST",0,IFERROR(IF(R95="","",(R95/R95)*VLOOKUP($B95,Do!$B$13:$AV$63,47,FALSE)/24),MAX(IFERROR((VLOOKUP($B95,Do!$B$13:$AV$63,47,FALSE)/24),0),Medewerker!E97/120))))))</f>
        <v/>
      </c>
      <c r="T95" s="240" t="n"/>
      <c r="U95" s="933">
        <f>IFERROR(IF(Medewerker!Y97="",VLOOKUP($B95,Vr!$B$13:$E$63,3,FALSE),Medewerker!Y97),"")</f>
        <v/>
      </c>
      <c r="V95" s="933">
        <f>IFERROR(IF(Medewerker!Y97="",VLOOKUP($B95,Vr!$B$13:$E$63,4,FALSE),Medewerker!Y97),"")</f>
        <v/>
      </c>
      <c r="W95" s="934">
        <f>IF(V95="OA",0,IF(V95="TA",0,IF(V95="VRIJ",0,IF(V95="ST",0,IFERROR(IF(V95="","",(V95/V95)*VLOOKUP($B95,Vr!$B$13:$AV$63,47,FALSE)/24),MAX(IFERROR((VLOOKUP($B95,Vr!$B$13:$AV$63,47,FALSE)/24),0),Medewerker!E97/120))))))</f>
        <v/>
      </c>
      <c r="X95" s="240" t="n"/>
      <c r="Y95" s="933">
        <f>IFERROR(IF(Medewerker!AC97="",VLOOKUP($B95,Za!$B$13:$E$63,3,FALSE),Medewerker!AC97),"")</f>
        <v/>
      </c>
      <c r="Z95" s="933">
        <f>IFERROR(IF(Medewerker!AC97="",VLOOKUP($B95,Za!$B$13:$E$63,4,FALSE),Medewerker!AC97),"")</f>
        <v/>
      </c>
      <c r="AA95" s="934">
        <f>IF(Z95="OA",0,IF(Z95="TA",0,IF(Z95="VRIJ",0,IF(Z95="ST",0,IFERROR(IF(Z95="","",(Z95/Z95)*VLOOKUP($B95,Za!$B$13:$AV$63,47,FALSE)/24),MAX(IFERROR((VLOOKUP($B95,Za!$B$13:$AV$63,47,FALSE)/24),0),IF(COUNTIF(E95:V95,"ZIEK")&gt;9,0,IF(COUNTIF(E95:V95,"VAK")&gt;9,0,Medewerker!E97/120))))))))</f>
        <v/>
      </c>
      <c r="AB95" s="240" t="n"/>
      <c r="AC95" s="933">
        <f>IFERROR(IF(Medewerker!AG97="",VLOOKUP($B95,Zo!$B$13:$E$63,3,FALSE),Medewerker!AG97),"")</f>
        <v/>
      </c>
      <c r="AD95" s="933">
        <f>IFERROR(IF(Medewerker!AG97="",VLOOKUP($B95,Zo!$B$13:$E$63,4,FALSE),Medewerker!AG97),"")</f>
        <v/>
      </c>
      <c r="AE95" s="934">
        <f>IF(AD95="OA",0,IF(AD95="TA",0,IF(AD95="VRIJ",0,IF(AD95="ST",0,IFERROR(IF(AD95="","",(AD95/AD95)*VLOOKUP($B95,Zo!$B$13:$AV$63,47,FALSE)/24),MAX(IFERROR((VLOOKUP($B95,Zo!$B$13:$AV$63,47,FALSE)/24),0),IF(COUNTIF(E95:Z95,"ZIEK")&gt;9,0,IF(COUNTIF(E95:Z95,"VAK")&gt;9,0,Medewerker!E97/120))))))))</f>
        <v/>
      </c>
      <c r="AF95" s="240" t="n"/>
      <c r="AG95" s="935">
        <f>SUM(G95,K95,O95,S95,W95,AA95,AE95)</f>
        <v/>
      </c>
      <c r="AH95" s="532">
        <f>COUNT(G95,K95,O95,S95,W95,AA95,AE95)-(COUNTIF(E95:AD95,"Vrij")/2)</f>
        <v/>
      </c>
      <c r="AI95" s="936">
        <f>Planning!AG95*24-Medewerker!E97</f>
        <v/>
      </c>
      <c r="AJ95" s="254">
        <f>IF(MAX(G95,K95,O95,S95,W95,AA95,AE95)*24&gt;Instellingen!$I$8,"nee","ja")</f>
        <v/>
      </c>
      <c r="AK95" s="254">
        <f>IF(AG95*24&gt;Instellingen!$I$9,"nee","ja")</f>
        <v/>
      </c>
    </row>
    <row r="96" ht="14.25" customHeight="1">
      <c r="A96" s="78">
        <f>IF(B96="",0,MAX($A$6:A95)+1)</f>
        <v/>
      </c>
      <c r="B96" s="241">
        <f>IF(Medewerker!C98="","",Medewerker!C98)</f>
        <v/>
      </c>
      <c r="C96" s="238">
        <f>Medewerker!AI98</f>
        <v/>
      </c>
      <c r="D96" s="240" t="n"/>
      <c r="E96" s="932">
        <f>IFERROR(IF(Medewerker!I98="",VLOOKUP($B96,Ma!$B$13:$E$63,3,FALSE),Medewerker!I98),"")</f>
        <v/>
      </c>
      <c r="F96" s="933">
        <f>IFERROR(IF(Medewerker!I98="",VLOOKUP($B96,Ma!$B$13:$E$63,4,FALSE),Medewerker!I98),"")</f>
        <v/>
      </c>
      <c r="G96" s="934">
        <f>IF(F96="OA",0,IF(F96="TA",0,IF(F96="VRIJ",0,IF(F96="ST",0,IFERROR(IF(F96="","",(F96/F96)*VLOOKUP($B96,Ma!$B$13:$AV$63,47,FALSE)/24),MAX(IFERROR((VLOOKUP($B96,Ma!$B$13:$AV$63,47,FALSE)/24),0),Medewerker!E98/120))))))</f>
        <v/>
      </c>
      <c r="H96" s="240" t="n"/>
      <c r="I96" s="933">
        <f>IFERROR(IF(Medewerker!M98="",VLOOKUP($B96,Di!$B$13:$E$63,3,FALSE),Medewerker!M98),"")</f>
        <v/>
      </c>
      <c r="J96" s="933">
        <f>IFERROR(IF(Medewerker!M98="",VLOOKUP($B96,Di!$B$13:$E$63,4,FALSE),Medewerker!M98),"")</f>
        <v/>
      </c>
      <c r="K96" s="934">
        <f>IF(J96="OA",0,IF(J96="TA",0,IF(J96="VRIJ",0,IF(J96="ST",0,IFERROR(IF(J96="","",(J96/J96)*VLOOKUP($B96,Di!$B$13:$AV$63,47,FALSE)/24),MAX(IFERROR((VLOOKUP($B96,Di!$B$13:$AV$63,47,FALSE)/24),0),Medewerker!E98/120))))))</f>
        <v/>
      </c>
      <c r="L96" s="240" t="n"/>
      <c r="M96" s="933">
        <f>IFERROR(IF(Medewerker!Q98="",VLOOKUP($B96,Wo!$B$13:$E$63,3,FALSE),Medewerker!Q98),"")</f>
        <v/>
      </c>
      <c r="N96" s="933">
        <f>IFERROR(IF(Medewerker!Q98="",VLOOKUP($B96,Wo!$B$13:$E$63,4,FALSE),Medewerker!Q98),"")</f>
        <v/>
      </c>
      <c r="O96" s="934">
        <f>IF(N96="OA",0,IF(N96="TA",0,IF(N96="VRIJ",0,IF(N96="ST",0,IFERROR(IF(N96="","",(N96/N96)*VLOOKUP($B96,Wo!$B$13:$AV$63,47,FALSE)/24),MAX(IFERROR((VLOOKUP($B96,Wo!$B$13:$AV$63,47,FALSE)/24),0),Medewerker!E98/120))))))</f>
        <v/>
      </c>
      <c r="P96" s="240" t="n"/>
      <c r="Q96" s="933">
        <f>IFERROR(IF(Medewerker!U98="",VLOOKUP($B96,Do!$B$13:$E$63,3,FALSE),Medewerker!U98),"")</f>
        <v/>
      </c>
      <c r="R96" s="933">
        <f>IFERROR(IF(Medewerker!U98="",VLOOKUP($B96,Do!$B$13:$E$63,4,FALSE),Medewerker!U98),"")</f>
        <v/>
      </c>
      <c r="S96" s="934">
        <f>IF(R96="OA",0,IF(R96="TA",0,IF(R96="VRIJ",0,IF(R96="ST",0,IFERROR(IF(R96="","",(R96/R96)*VLOOKUP($B96,Do!$B$13:$AV$63,47,FALSE)/24),MAX(IFERROR((VLOOKUP($B96,Do!$B$13:$AV$63,47,FALSE)/24),0),Medewerker!E98/120))))))</f>
        <v/>
      </c>
      <c r="T96" s="240" t="n"/>
      <c r="U96" s="933">
        <f>IFERROR(IF(Medewerker!Y98="",VLOOKUP($B96,Vr!$B$13:$E$63,3,FALSE),Medewerker!Y98),"")</f>
        <v/>
      </c>
      <c r="V96" s="933">
        <f>IFERROR(IF(Medewerker!Y98="",VLOOKUP($B96,Vr!$B$13:$E$63,4,FALSE),Medewerker!Y98),"")</f>
        <v/>
      </c>
      <c r="W96" s="934">
        <f>IF(V96="OA",0,IF(V96="TA",0,IF(V96="VRIJ",0,IF(V96="ST",0,IFERROR(IF(V96="","",(V96/V96)*VLOOKUP($B96,Vr!$B$13:$AV$63,47,FALSE)/24),MAX(IFERROR((VLOOKUP($B96,Vr!$B$13:$AV$63,47,FALSE)/24),0),Medewerker!E98/120))))))</f>
        <v/>
      </c>
      <c r="X96" s="240" t="n"/>
      <c r="Y96" s="933">
        <f>IFERROR(IF(Medewerker!AC98="",VLOOKUP($B96,Za!$B$13:$E$63,3,FALSE),Medewerker!AC98),"")</f>
        <v/>
      </c>
      <c r="Z96" s="933">
        <f>IFERROR(IF(Medewerker!AC98="",VLOOKUP($B96,Za!$B$13:$E$63,4,FALSE),Medewerker!AC98),"")</f>
        <v/>
      </c>
      <c r="AA96" s="934">
        <f>IF(Z96="OA",0,IF(Z96="TA",0,IF(Z96="VRIJ",0,IF(Z96="ST",0,IFERROR(IF(Z96="","",(Z96/Z96)*VLOOKUP($B96,Za!$B$13:$AV$63,47,FALSE)/24),MAX(IFERROR((VLOOKUP($B96,Za!$B$13:$AV$63,47,FALSE)/24),0),IF(COUNTIF(E96:V96,"ZIEK")&gt;9,0,IF(COUNTIF(E96:V96,"VAK")&gt;9,0,Medewerker!E98/120))))))))</f>
        <v/>
      </c>
      <c r="AB96" s="240" t="n"/>
      <c r="AC96" s="933">
        <f>IFERROR(IF(Medewerker!AG98="",VLOOKUP($B96,Zo!$B$13:$E$63,3,FALSE),Medewerker!AG98),"")</f>
        <v/>
      </c>
      <c r="AD96" s="933">
        <f>IFERROR(IF(Medewerker!AG98="",VLOOKUP($B96,Zo!$B$13:$E$63,4,FALSE),Medewerker!AG98),"")</f>
        <v/>
      </c>
      <c r="AE96" s="934">
        <f>IF(AD96="OA",0,IF(AD96="TA",0,IF(AD96="VRIJ",0,IF(AD96="ST",0,IFERROR(IF(AD96="","",(AD96/AD96)*VLOOKUP($B96,Zo!$B$13:$AV$63,47,FALSE)/24),MAX(IFERROR((VLOOKUP($B96,Zo!$B$13:$AV$63,47,FALSE)/24),0),IF(COUNTIF(E96:Z96,"ZIEK")&gt;9,0,IF(COUNTIF(E96:Z96,"VAK")&gt;9,0,Medewerker!E98/120))))))))</f>
        <v/>
      </c>
      <c r="AF96" s="240" t="n"/>
      <c r="AG96" s="935">
        <f>SUM(G96,K96,O96,S96,W96,AA96,AE96)</f>
        <v/>
      </c>
      <c r="AH96" s="532">
        <f>COUNT(G96,K96,O96,S96,W96,AA96,AE96)-(COUNTIF(E96:AD96,"Vrij")/2)</f>
        <v/>
      </c>
      <c r="AI96" s="936">
        <f>Planning!AG96*24-Medewerker!E98</f>
        <v/>
      </c>
      <c r="AJ96" s="254">
        <f>IF(MAX(G96,K96,O96,S96,W96,AA96,AE96)*24&gt;Instellingen!$I$8,"nee","ja")</f>
        <v/>
      </c>
      <c r="AK96" s="254">
        <f>IF(AG96*24&gt;Instellingen!$I$9,"nee","ja")</f>
        <v/>
      </c>
    </row>
    <row r="97" ht="14.25" customHeight="1">
      <c r="A97" s="78">
        <f>IF(B97="",0,MAX($A$6:A96)+1)</f>
        <v/>
      </c>
      <c r="B97" s="241">
        <f>IF(Medewerker!C99="","",Medewerker!C99)</f>
        <v/>
      </c>
      <c r="C97" s="238">
        <f>Medewerker!AI99</f>
        <v/>
      </c>
      <c r="D97" s="240" t="n"/>
      <c r="E97" s="932">
        <f>IFERROR(IF(Medewerker!I99="",VLOOKUP($B97,Ma!$B$13:$E$63,3,FALSE),Medewerker!I99),"")</f>
        <v/>
      </c>
      <c r="F97" s="933">
        <f>IFERROR(IF(Medewerker!I99="",VLOOKUP($B97,Ma!$B$13:$E$63,4,FALSE),Medewerker!I99),"")</f>
        <v/>
      </c>
      <c r="G97" s="934">
        <f>IF(F97="OA",0,IF(F97="TA",0,IF(F97="VRIJ",0,IF(F97="ST",0,IFERROR(IF(F97="","",(F97/F97)*VLOOKUP($B97,Ma!$B$13:$AV$63,47,FALSE)/24),MAX(IFERROR((VLOOKUP($B97,Ma!$B$13:$AV$63,47,FALSE)/24),0),Medewerker!E99/120))))))</f>
        <v/>
      </c>
      <c r="H97" s="240" t="n"/>
      <c r="I97" s="933">
        <f>IFERROR(IF(Medewerker!M99="",VLOOKUP($B97,Di!$B$13:$E$63,3,FALSE),Medewerker!M99),"")</f>
        <v/>
      </c>
      <c r="J97" s="933">
        <f>IFERROR(IF(Medewerker!M99="",VLOOKUP($B97,Di!$B$13:$E$63,4,FALSE),Medewerker!M99),"")</f>
        <v/>
      </c>
      <c r="K97" s="934">
        <f>IF(J97="OA",0,IF(J97="TA",0,IF(J97="VRIJ",0,IF(J97="ST",0,IFERROR(IF(J97="","",(J97/J97)*VLOOKUP($B97,Di!$B$13:$AV$63,47,FALSE)/24),MAX(IFERROR((VLOOKUP($B97,Di!$B$13:$AV$63,47,FALSE)/24),0),Medewerker!E99/120))))))</f>
        <v/>
      </c>
      <c r="L97" s="240" t="n"/>
      <c r="M97" s="933">
        <f>IFERROR(IF(Medewerker!Q99="",VLOOKUP($B97,Wo!$B$13:$E$63,3,FALSE),Medewerker!Q99),"")</f>
        <v/>
      </c>
      <c r="N97" s="933">
        <f>IFERROR(IF(Medewerker!Q99="",VLOOKUP($B97,Wo!$B$13:$E$63,4,FALSE),Medewerker!Q99),"")</f>
        <v/>
      </c>
      <c r="O97" s="934">
        <f>IF(N97="OA",0,IF(N97="TA",0,IF(N97="VRIJ",0,IF(N97="ST",0,IFERROR(IF(N97="","",(N97/N97)*VLOOKUP($B97,Wo!$B$13:$AV$63,47,FALSE)/24),MAX(IFERROR((VLOOKUP($B97,Wo!$B$13:$AV$63,47,FALSE)/24),0),Medewerker!E99/120))))))</f>
        <v/>
      </c>
      <c r="P97" s="240" t="n"/>
      <c r="Q97" s="933">
        <f>IFERROR(IF(Medewerker!U99="",VLOOKUP($B97,Do!$B$13:$E$63,3,FALSE),Medewerker!U99),"")</f>
        <v/>
      </c>
      <c r="R97" s="933">
        <f>IFERROR(IF(Medewerker!U99="",VLOOKUP($B97,Do!$B$13:$E$63,4,FALSE),Medewerker!U99),"")</f>
        <v/>
      </c>
      <c r="S97" s="934">
        <f>IF(R97="OA",0,IF(R97="TA",0,IF(R97="VRIJ",0,IF(R97="ST",0,IFERROR(IF(R97="","",(R97/R97)*VLOOKUP($B97,Do!$B$13:$AV$63,47,FALSE)/24),MAX(IFERROR((VLOOKUP($B97,Do!$B$13:$AV$63,47,FALSE)/24),0),Medewerker!E99/120))))))</f>
        <v/>
      </c>
      <c r="T97" s="240" t="n"/>
      <c r="U97" s="933">
        <f>IFERROR(IF(Medewerker!Y99="",VLOOKUP($B97,Vr!$B$13:$E$63,3,FALSE),Medewerker!Y99),"")</f>
        <v/>
      </c>
      <c r="V97" s="933">
        <f>IFERROR(IF(Medewerker!Y99="",VLOOKUP($B97,Vr!$B$13:$E$63,4,FALSE),Medewerker!Y99),"")</f>
        <v/>
      </c>
      <c r="W97" s="934">
        <f>IF(V97="OA",0,IF(V97="TA",0,IF(V97="VRIJ",0,IF(V97="ST",0,IFERROR(IF(V97="","",(V97/V97)*VLOOKUP($B97,Vr!$B$13:$AV$63,47,FALSE)/24),MAX(IFERROR((VLOOKUP($B97,Vr!$B$13:$AV$63,47,FALSE)/24),0),Medewerker!E99/120))))))</f>
        <v/>
      </c>
      <c r="X97" s="240" t="n"/>
      <c r="Y97" s="933">
        <f>IFERROR(IF(Medewerker!AC99="",VLOOKUP($B97,Za!$B$13:$E$63,3,FALSE),Medewerker!AC99),"")</f>
        <v/>
      </c>
      <c r="Z97" s="933">
        <f>IFERROR(IF(Medewerker!AC99="",VLOOKUP($B97,Za!$B$13:$E$63,4,FALSE),Medewerker!AC99),"")</f>
        <v/>
      </c>
      <c r="AA97" s="934">
        <f>IF(Z97="OA",0,IF(Z97="TA",0,IF(Z97="VRIJ",0,IF(Z97="ST",0,IFERROR(IF(Z97="","",(Z97/Z97)*VLOOKUP($B97,Za!$B$13:$AV$63,47,FALSE)/24),MAX(IFERROR((VLOOKUP($B97,Za!$B$13:$AV$63,47,FALSE)/24),0),IF(COUNTIF(E97:V97,"ZIEK")&gt;9,0,IF(COUNTIF(E97:V97,"VAK")&gt;9,0,Medewerker!E99/120))))))))</f>
        <v/>
      </c>
      <c r="AB97" s="240" t="n"/>
      <c r="AC97" s="933">
        <f>IFERROR(IF(Medewerker!AG99="",VLOOKUP($B97,Zo!$B$13:$E$63,3,FALSE),Medewerker!AG99),"")</f>
        <v/>
      </c>
      <c r="AD97" s="933">
        <f>IFERROR(IF(Medewerker!AG99="",VLOOKUP($B97,Zo!$B$13:$E$63,4,FALSE),Medewerker!AG99),"")</f>
        <v/>
      </c>
      <c r="AE97" s="934">
        <f>IF(AD97="OA",0,IF(AD97="TA",0,IF(AD97="VRIJ",0,IF(AD97="ST",0,IFERROR(IF(AD97="","",(AD97/AD97)*VLOOKUP($B97,Zo!$B$13:$AV$63,47,FALSE)/24),MAX(IFERROR((VLOOKUP($B97,Zo!$B$13:$AV$63,47,FALSE)/24),0),IF(COUNTIF(E97:Z97,"ZIEK")&gt;9,0,IF(COUNTIF(E97:Z97,"VAK")&gt;9,0,Medewerker!E99/120))))))))</f>
        <v/>
      </c>
      <c r="AF97" s="240" t="n"/>
      <c r="AG97" s="935">
        <f>SUM(G97,K97,O97,S97,W97,AA97,AE97)</f>
        <v/>
      </c>
      <c r="AH97" s="532">
        <f>COUNT(G97,K97,O97,S97,W97,AA97,AE97)-(COUNTIF(E97:AD97,"Vrij")/2)</f>
        <v/>
      </c>
      <c r="AI97" s="936">
        <f>Planning!AG97*24-Medewerker!E99</f>
        <v/>
      </c>
      <c r="AJ97" s="254">
        <f>IF(MAX(G97,K97,O97,S97,W97,AA97,AE97)*24&gt;Instellingen!$I$8,"nee","ja")</f>
        <v/>
      </c>
      <c r="AK97" s="254">
        <f>IF(AG97*24&gt;Instellingen!$I$9,"nee","ja")</f>
        <v/>
      </c>
    </row>
    <row r="98" ht="14.25" customHeight="1">
      <c r="A98" s="78">
        <f>IF(B98="",0,MAX($A$6:A97)+1)</f>
        <v/>
      </c>
      <c r="B98" s="241">
        <f>IF(Medewerker!C100="","",Medewerker!C100)</f>
        <v/>
      </c>
      <c r="C98" s="238">
        <f>Medewerker!AI100</f>
        <v/>
      </c>
      <c r="D98" s="240" t="n"/>
      <c r="E98" s="932">
        <f>IFERROR(IF(Medewerker!I100="",VLOOKUP($B98,Ma!$B$13:$E$63,3,FALSE),Medewerker!I100),"")</f>
        <v/>
      </c>
      <c r="F98" s="933">
        <f>IFERROR(IF(Medewerker!I100="",VLOOKUP($B98,Ma!$B$13:$E$63,4,FALSE),Medewerker!I100),"")</f>
        <v/>
      </c>
      <c r="G98" s="934">
        <f>IF(F98="OA",0,IF(F98="TA",0,IF(F98="VRIJ",0,IF(F98="ST",0,IFERROR(IF(F98="","",(F98/F98)*VLOOKUP($B98,Ma!$B$13:$AV$63,47,FALSE)/24),MAX(IFERROR((VLOOKUP($B98,Ma!$B$13:$AV$63,47,FALSE)/24),0),Medewerker!E100/120))))))</f>
        <v/>
      </c>
      <c r="H98" s="240" t="n"/>
      <c r="I98" s="933">
        <f>IFERROR(IF(Medewerker!M100="",VLOOKUP($B98,Di!$B$13:$E$63,3,FALSE),Medewerker!M100),"")</f>
        <v/>
      </c>
      <c r="J98" s="933">
        <f>IFERROR(IF(Medewerker!M100="",VLOOKUP($B98,Di!$B$13:$E$63,4,FALSE),Medewerker!M100),"")</f>
        <v/>
      </c>
      <c r="K98" s="934">
        <f>IF(J98="OA",0,IF(J98="TA",0,IF(J98="VRIJ",0,IF(J98="ST",0,IFERROR(IF(J98="","",(J98/J98)*VLOOKUP($B98,Di!$B$13:$AV$63,47,FALSE)/24),MAX(IFERROR((VLOOKUP($B98,Di!$B$13:$AV$63,47,FALSE)/24),0),Medewerker!E100/120))))))</f>
        <v/>
      </c>
      <c r="L98" s="240" t="n"/>
      <c r="M98" s="933">
        <f>IFERROR(IF(Medewerker!Q100="",VLOOKUP($B98,Wo!$B$13:$E$63,3,FALSE),Medewerker!Q100),"")</f>
        <v/>
      </c>
      <c r="N98" s="933">
        <f>IFERROR(IF(Medewerker!Q100="",VLOOKUP($B98,Wo!$B$13:$E$63,4,FALSE),Medewerker!Q100),"")</f>
        <v/>
      </c>
      <c r="O98" s="934">
        <f>IF(N98="OA",0,IF(N98="TA",0,IF(N98="VRIJ",0,IF(N98="ST",0,IFERROR(IF(N98="","",(N98/N98)*VLOOKUP($B98,Wo!$B$13:$AV$63,47,FALSE)/24),MAX(IFERROR((VLOOKUP($B98,Wo!$B$13:$AV$63,47,FALSE)/24),0),Medewerker!E100/120))))))</f>
        <v/>
      </c>
      <c r="P98" s="240" t="n"/>
      <c r="Q98" s="933">
        <f>IFERROR(IF(Medewerker!U100="",VLOOKUP($B98,Do!$B$13:$E$63,3,FALSE),Medewerker!U100),"")</f>
        <v/>
      </c>
      <c r="R98" s="933">
        <f>IFERROR(IF(Medewerker!U100="",VLOOKUP($B98,Do!$B$13:$E$63,4,FALSE),Medewerker!U100),"")</f>
        <v/>
      </c>
      <c r="S98" s="934">
        <f>IF(R98="OA",0,IF(R98="TA",0,IF(R98="VRIJ",0,IF(R98="ST",0,IFERROR(IF(R98="","",(R98/R98)*VLOOKUP($B98,Do!$B$13:$AV$63,47,FALSE)/24),MAX(IFERROR((VLOOKUP($B98,Do!$B$13:$AV$63,47,FALSE)/24),0),Medewerker!E100/120))))))</f>
        <v/>
      </c>
      <c r="T98" s="240" t="n"/>
      <c r="U98" s="933">
        <f>IFERROR(IF(Medewerker!Y100="",VLOOKUP($B98,Vr!$B$13:$E$63,3,FALSE),Medewerker!Y100),"")</f>
        <v/>
      </c>
      <c r="V98" s="933">
        <f>IFERROR(IF(Medewerker!Y100="",VLOOKUP($B98,Vr!$B$13:$E$63,4,FALSE),Medewerker!Y100),"")</f>
        <v/>
      </c>
      <c r="W98" s="934">
        <f>IF(V98="OA",0,IF(V98="TA",0,IF(V98="VRIJ",0,IF(V98="ST",0,IFERROR(IF(V98="","",(V98/V98)*VLOOKUP($B98,Vr!$B$13:$AV$63,47,FALSE)/24),MAX(IFERROR((VLOOKUP($B98,Vr!$B$13:$AV$63,47,FALSE)/24),0),Medewerker!E100/120))))))</f>
        <v/>
      </c>
      <c r="X98" s="240" t="n"/>
      <c r="Y98" s="933">
        <f>IFERROR(IF(Medewerker!AC100="",VLOOKUP($B98,Za!$B$13:$E$63,3,FALSE),Medewerker!AC100),"")</f>
        <v/>
      </c>
      <c r="Z98" s="933">
        <f>IFERROR(IF(Medewerker!AC100="",VLOOKUP($B98,Za!$B$13:$E$63,4,FALSE),Medewerker!AC100),"")</f>
        <v/>
      </c>
      <c r="AA98" s="934">
        <f>IF(Z98="OA",0,IF(Z98="TA",0,IF(Z98="VRIJ",0,IF(Z98="ST",0,IFERROR(IF(Z98="","",(Z98/Z98)*VLOOKUP($B98,Za!$B$13:$AV$63,47,FALSE)/24),MAX(IFERROR((VLOOKUP($B98,Za!$B$13:$AV$63,47,FALSE)/24),0),IF(COUNTIF(E98:V98,"ZIEK")&gt;9,0,IF(COUNTIF(E98:V98,"VAK")&gt;9,0,Medewerker!E100/120))))))))</f>
        <v/>
      </c>
      <c r="AB98" s="240" t="n"/>
      <c r="AC98" s="933">
        <f>IFERROR(IF(Medewerker!AG100="",VLOOKUP($B98,Zo!$B$13:$E$63,3,FALSE),Medewerker!AG100),"")</f>
        <v/>
      </c>
      <c r="AD98" s="933">
        <f>IFERROR(IF(Medewerker!AG100="",VLOOKUP($B98,Zo!$B$13:$E$63,4,FALSE),Medewerker!AG100),"")</f>
        <v/>
      </c>
      <c r="AE98" s="934">
        <f>IF(AD98="OA",0,IF(AD98="TA",0,IF(AD98="VRIJ",0,IF(AD98="ST",0,IFERROR(IF(AD98="","",(AD98/AD98)*VLOOKUP($B98,Zo!$B$13:$AV$63,47,FALSE)/24),MAX(IFERROR((VLOOKUP($B98,Zo!$B$13:$AV$63,47,FALSE)/24),0),IF(COUNTIF(E98:Z98,"ZIEK")&gt;9,0,IF(COUNTIF(E98:Z98,"VAK")&gt;9,0,Medewerker!E100/120))))))))</f>
        <v/>
      </c>
      <c r="AF98" s="240" t="n"/>
      <c r="AG98" s="935">
        <f>SUM(G98,K98,O98,S98,W98,AA98,AE98)</f>
        <v/>
      </c>
      <c r="AH98" s="532">
        <f>COUNT(G98,K98,O98,S98,W98,AA98,AE98)-(COUNTIF(E98:AD98,"Vrij")/2)</f>
        <v/>
      </c>
      <c r="AI98" s="936">
        <f>Planning!AG98*24-Medewerker!E100</f>
        <v/>
      </c>
      <c r="AJ98" s="254">
        <f>IF(MAX(G98,K98,O98,S98,W98,AA98,AE98)*24&gt;Instellingen!$I$8,"nee","ja")</f>
        <v/>
      </c>
      <c r="AK98" s="254">
        <f>IF(AG98*24&gt;Instellingen!$I$9,"nee","ja")</f>
        <v/>
      </c>
    </row>
    <row r="99" ht="14.25" customHeight="1">
      <c r="A99" s="78">
        <f>IF(B99="",0,MAX($A$6:A98)+1)</f>
        <v/>
      </c>
      <c r="B99" s="241">
        <f>IF(Medewerker!C101="","",Medewerker!C101)</f>
        <v/>
      </c>
      <c r="C99" s="238">
        <f>Medewerker!AI101</f>
        <v/>
      </c>
      <c r="D99" s="240" t="n"/>
      <c r="E99" s="932">
        <f>IFERROR(IF(Medewerker!I101="",VLOOKUP($B99,Ma!$B$13:$E$63,3,FALSE),Medewerker!I101),"")</f>
        <v/>
      </c>
      <c r="F99" s="933">
        <f>IFERROR(IF(Medewerker!I101="",VLOOKUP($B99,Ma!$B$13:$E$63,4,FALSE),Medewerker!I101),"")</f>
        <v/>
      </c>
      <c r="G99" s="934">
        <f>IF(F99="OA",0,IF(F99="TA",0,IF(F99="VRIJ",0,IF(F99="ST",0,IFERROR(IF(F99="","",(F99/F99)*VLOOKUP($B99,Ma!$B$13:$AV$63,47,FALSE)/24),MAX(IFERROR((VLOOKUP($B99,Ma!$B$13:$AV$63,47,FALSE)/24),0),Medewerker!E101/120))))))</f>
        <v/>
      </c>
      <c r="H99" s="240" t="n"/>
      <c r="I99" s="933">
        <f>IFERROR(IF(Medewerker!M101="",VLOOKUP($B99,Di!$B$13:$E$63,3,FALSE),Medewerker!M101),"")</f>
        <v/>
      </c>
      <c r="J99" s="933">
        <f>IFERROR(IF(Medewerker!M101="",VLOOKUP($B99,Di!$B$13:$E$63,4,FALSE),Medewerker!M101),"")</f>
        <v/>
      </c>
      <c r="K99" s="934">
        <f>IF(J99="OA",0,IF(J99="TA",0,IF(J99="VRIJ",0,IF(J99="ST",0,IFERROR(IF(J99="","",(J99/J99)*VLOOKUP($B99,Di!$B$13:$AV$63,47,FALSE)/24),MAX(IFERROR((VLOOKUP($B99,Di!$B$13:$AV$63,47,FALSE)/24),0),Medewerker!E101/120))))))</f>
        <v/>
      </c>
      <c r="L99" s="240" t="n"/>
      <c r="M99" s="933">
        <f>IFERROR(IF(Medewerker!Q101="",VLOOKUP($B99,Wo!$B$13:$E$63,3,FALSE),Medewerker!Q101),"")</f>
        <v/>
      </c>
      <c r="N99" s="933">
        <f>IFERROR(IF(Medewerker!Q101="",VLOOKUP($B99,Wo!$B$13:$E$63,4,FALSE),Medewerker!Q101),"")</f>
        <v/>
      </c>
      <c r="O99" s="934">
        <f>IF(N99="OA",0,IF(N99="TA",0,IF(N99="VRIJ",0,IF(N99="ST",0,IFERROR(IF(N99="","",(N99/N99)*VLOOKUP($B99,Wo!$B$13:$AV$63,47,FALSE)/24),MAX(IFERROR((VLOOKUP($B99,Wo!$B$13:$AV$63,47,FALSE)/24),0),Medewerker!E101/120))))))</f>
        <v/>
      </c>
      <c r="P99" s="240" t="n"/>
      <c r="Q99" s="933">
        <f>IFERROR(IF(Medewerker!U101="",VLOOKUP($B99,Do!$B$13:$E$63,3,FALSE),Medewerker!U101),"")</f>
        <v/>
      </c>
      <c r="R99" s="933">
        <f>IFERROR(IF(Medewerker!U101="",VLOOKUP($B99,Do!$B$13:$E$63,4,FALSE),Medewerker!U101),"")</f>
        <v/>
      </c>
      <c r="S99" s="934">
        <f>IF(R99="OA",0,IF(R99="TA",0,IF(R99="VRIJ",0,IF(R99="ST",0,IFERROR(IF(R99="","",(R99/R99)*VLOOKUP($B99,Do!$B$13:$AV$63,47,FALSE)/24),MAX(IFERROR((VLOOKUP($B99,Do!$B$13:$AV$63,47,FALSE)/24),0),Medewerker!E101/120))))))</f>
        <v/>
      </c>
      <c r="T99" s="240" t="n"/>
      <c r="U99" s="933">
        <f>IFERROR(IF(Medewerker!Y101="",VLOOKUP($B99,Vr!$B$13:$E$63,3,FALSE),Medewerker!Y101),"")</f>
        <v/>
      </c>
      <c r="V99" s="933">
        <f>IFERROR(IF(Medewerker!Y101="",VLOOKUP($B99,Vr!$B$13:$E$63,4,FALSE),Medewerker!Y101),"")</f>
        <v/>
      </c>
      <c r="W99" s="934">
        <f>IF(V99="OA",0,IF(V99="TA",0,IF(V99="VRIJ",0,IF(V99="ST",0,IFERROR(IF(V99="","",(V99/V99)*VLOOKUP($B99,Vr!$B$13:$AV$63,47,FALSE)/24),MAX(IFERROR((VLOOKUP($B99,Vr!$B$13:$AV$63,47,FALSE)/24),0),Medewerker!E101/120))))))</f>
        <v/>
      </c>
      <c r="X99" s="240" t="n"/>
      <c r="Y99" s="933">
        <f>IFERROR(IF(Medewerker!AC101="",VLOOKUP($B99,Za!$B$13:$E$63,3,FALSE),Medewerker!AC101),"")</f>
        <v/>
      </c>
      <c r="Z99" s="933">
        <f>IFERROR(IF(Medewerker!AC101="",VLOOKUP($B99,Za!$B$13:$E$63,4,FALSE),Medewerker!AC101),"")</f>
        <v/>
      </c>
      <c r="AA99" s="934">
        <f>IF(Z99="OA",0,IF(Z99="TA",0,IF(Z99="VRIJ",0,IF(Z99="ST",0,IFERROR(IF(Z99="","",(Z99/Z99)*VLOOKUP($B99,Za!$B$13:$AV$63,47,FALSE)/24),MAX(IFERROR((VLOOKUP($B99,Za!$B$13:$AV$63,47,FALSE)/24),0),IF(COUNTIF(E99:V99,"ZIEK")&gt;9,0,IF(COUNTIF(E99:V99,"VAK")&gt;9,0,Medewerker!E101/120))))))))</f>
        <v/>
      </c>
      <c r="AB99" s="240" t="n"/>
      <c r="AC99" s="933">
        <f>IFERROR(IF(Medewerker!AG101="",VLOOKUP($B99,Zo!$B$13:$E$63,3,FALSE),Medewerker!AG101),"")</f>
        <v/>
      </c>
      <c r="AD99" s="933">
        <f>IFERROR(IF(Medewerker!AG101="",VLOOKUP($B99,Zo!$B$13:$E$63,4,FALSE),Medewerker!AG101),"")</f>
        <v/>
      </c>
      <c r="AE99" s="934">
        <f>IF(AD99="OA",0,IF(AD99="TA",0,IF(AD99="VRIJ",0,IF(AD99="ST",0,IFERROR(IF(AD99="","",(AD99/AD99)*VLOOKUP($B99,Zo!$B$13:$AV$63,47,FALSE)/24),MAX(IFERROR((VLOOKUP($B99,Zo!$B$13:$AV$63,47,FALSE)/24),0),IF(COUNTIF(E99:Z99,"ZIEK")&gt;9,0,IF(COUNTIF(E99:Z99,"VAK")&gt;9,0,Medewerker!E101/120))))))))</f>
        <v/>
      </c>
      <c r="AF99" s="240" t="n"/>
      <c r="AG99" s="935">
        <f>SUM(G99,K99,O99,S99,W99,AA99,AE99)</f>
        <v/>
      </c>
      <c r="AH99" s="532">
        <f>COUNT(G99,K99,O99,S99,W99,AA99,AE99)-(COUNTIF(E99:AD99,"Vrij")/2)</f>
        <v/>
      </c>
      <c r="AI99" s="936">
        <f>Planning!AG99*24-Medewerker!E101</f>
        <v/>
      </c>
      <c r="AJ99" s="254">
        <f>IF(MAX(G99,K99,O99,S99,W99,AA99,AE99)*24&gt;Instellingen!$I$8,"nee","ja")</f>
        <v/>
      </c>
      <c r="AK99" s="254">
        <f>IF(AG99*24&gt;Instellingen!$I$9,"nee","ja")</f>
        <v/>
      </c>
    </row>
    <row r="100" ht="14.25" customHeight="1">
      <c r="A100" s="78">
        <f>IF(B100="",0,MAX($A$6:A99)+1)</f>
        <v/>
      </c>
      <c r="B100" s="241">
        <f>IF(Medewerker!C102="","",Medewerker!C102)</f>
        <v/>
      </c>
      <c r="C100" s="238">
        <f>Medewerker!AI102</f>
        <v/>
      </c>
      <c r="D100" s="240" t="n"/>
      <c r="E100" s="932">
        <f>IFERROR(IF(Medewerker!I102="",VLOOKUP($B100,Ma!$B$13:$E$63,3,FALSE),Medewerker!I102),"")</f>
        <v/>
      </c>
      <c r="F100" s="933">
        <f>IFERROR(IF(Medewerker!I102="",VLOOKUP($B100,Ma!$B$13:$E$63,4,FALSE),Medewerker!I102),"")</f>
        <v/>
      </c>
      <c r="G100" s="934">
        <f>IF(F100="OA",0,IF(F100="TA",0,IF(F100="VRIJ",0,IF(F100="ST",0,IFERROR(IF(F100="","",(F100/F100)*VLOOKUP($B100,Ma!$B$13:$AV$63,47,FALSE)/24),MAX(IFERROR((VLOOKUP($B100,Ma!$B$13:$AV$63,47,FALSE)/24),0),Medewerker!E102/120))))))</f>
        <v/>
      </c>
      <c r="H100" s="240" t="n"/>
      <c r="I100" s="933">
        <f>IFERROR(IF(Medewerker!M102="",VLOOKUP($B100,Di!$B$13:$E$63,3,FALSE),Medewerker!M102),"")</f>
        <v/>
      </c>
      <c r="J100" s="933">
        <f>IFERROR(IF(Medewerker!M102="",VLOOKUP($B100,Di!$B$13:$E$63,4,FALSE),Medewerker!M102),"")</f>
        <v/>
      </c>
      <c r="K100" s="934">
        <f>IF(J100="OA",0,IF(J100="TA",0,IF(J100="VRIJ",0,IF(J100="ST",0,IFERROR(IF(J100="","",(J100/J100)*VLOOKUP($B100,Di!$B$13:$AV$63,47,FALSE)/24),MAX(IFERROR((VLOOKUP($B100,Di!$B$13:$AV$63,47,FALSE)/24),0),Medewerker!E102/120))))))</f>
        <v/>
      </c>
      <c r="L100" s="240" t="n"/>
      <c r="M100" s="933">
        <f>IFERROR(IF(Medewerker!Q102="",VLOOKUP($B100,Wo!$B$13:$E$63,3,FALSE),Medewerker!Q102),"")</f>
        <v/>
      </c>
      <c r="N100" s="933">
        <f>IFERROR(IF(Medewerker!Q102="",VLOOKUP($B100,Wo!$B$13:$E$63,4,FALSE),Medewerker!Q102),"")</f>
        <v/>
      </c>
      <c r="O100" s="934">
        <f>IF(N100="OA",0,IF(N100="TA",0,IF(N100="VRIJ",0,IF(N100="ST",0,IFERROR(IF(N100="","",(N100/N100)*VLOOKUP($B100,Wo!$B$13:$AV$63,47,FALSE)/24),MAX(IFERROR((VLOOKUP($B100,Wo!$B$13:$AV$63,47,FALSE)/24),0),Medewerker!E102/120))))))</f>
        <v/>
      </c>
      <c r="P100" s="240" t="n"/>
      <c r="Q100" s="933">
        <f>IFERROR(IF(Medewerker!U102="",VLOOKUP($B100,Do!$B$13:$E$63,3,FALSE),Medewerker!U102),"")</f>
        <v/>
      </c>
      <c r="R100" s="933">
        <f>IFERROR(IF(Medewerker!U102="",VLOOKUP($B100,Do!$B$13:$E$63,4,FALSE),Medewerker!U102),"")</f>
        <v/>
      </c>
      <c r="S100" s="934">
        <f>IF(R100="OA",0,IF(R100="TA",0,IF(R100="VRIJ",0,IF(R100="ST",0,IFERROR(IF(R100="","",(R100/R100)*VLOOKUP($B100,Do!$B$13:$AV$63,47,FALSE)/24),MAX(IFERROR((VLOOKUP($B100,Do!$B$13:$AV$63,47,FALSE)/24),0),Medewerker!E102/120))))))</f>
        <v/>
      </c>
      <c r="T100" s="240" t="n"/>
      <c r="U100" s="933">
        <f>IFERROR(IF(Medewerker!Y102="",VLOOKUP($B100,Vr!$B$13:$E$63,3,FALSE),Medewerker!Y102),"")</f>
        <v/>
      </c>
      <c r="V100" s="933">
        <f>IFERROR(IF(Medewerker!Y102="",VLOOKUP($B100,Vr!$B$13:$E$63,4,FALSE),Medewerker!Y102),"")</f>
        <v/>
      </c>
      <c r="W100" s="934">
        <f>IF(V100="OA",0,IF(V100="TA",0,IF(V100="VRIJ",0,IF(V100="ST",0,IFERROR(IF(V100="","",(V100/V100)*VLOOKUP($B100,Vr!$B$13:$AV$63,47,FALSE)/24),MAX(IFERROR((VLOOKUP($B100,Vr!$B$13:$AV$63,47,FALSE)/24),0),Medewerker!E102/120))))))</f>
        <v/>
      </c>
      <c r="X100" s="240" t="n"/>
      <c r="Y100" s="933">
        <f>IFERROR(IF(Medewerker!AC102="",VLOOKUP($B100,Za!$B$13:$E$63,3,FALSE),Medewerker!AC102),"")</f>
        <v/>
      </c>
      <c r="Z100" s="933">
        <f>IFERROR(IF(Medewerker!AC102="",VLOOKUP($B100,Za!$B$13:$E$63,4,FALSE),Medewerker!AC102),"")</f>
        <v/>
      </c>
      <c r="AA100" s="934">
        <f>IF(Z100="OA",0,IF(Z100="TA",0,IF(Z100="VRIJ",0,IF(Z100="ST",0,IFERROR(IF(Z100="","",(Z100/Z100)*VLOOKUP($B100,Za!$B$13:$AV$63,47,FALSE)/24),MAX(IFERROR((VLOOKUP($B100,Za!$B$13:$AV$63,47,FALSE)/24),0),IF(COUNTIF(E100:V100,"ZIEK")&gt;9,0,IF(COUNTIF(E100:V100,"VAK")&gt;9,0,Medewerker!E102/120))))))))</f>
        <v/>
      </c>
      <c r="AB100" s="240" t="n"/>
      <c r="AC100" s="933">
        <f>IFERROR(IF(Medewerker!AG102="",VLOOKUP($B100,Zo!$B$13:$E$63,3,FALSE),Medewerker!AG102),"")</f>
        <v/>
      </c>
      <c r="AD100" s="933">
        <f>IFERROR(IF(Medewerker!AG102="",VLOOKUP($B100,Zo!$B$13:$E$63,4,FALSE),Medewerker!AG102),"")</f>
        <v/>
      </c>
      <c r="AE100" s="934">
        <f>IF(AD100="OA",0,IF(AD100="TA",0,IF(AD100="VRIJ",0,IF(AD100="ST",0,IFERROR(IF(AD100="","",(AD100/AD100)*VLOOKUP($B100,Zo!$B$13:$AV$63,47,FALSE)/24),MAX(IFERROR((VLOOKUP($B100,Zo!$B$13:$AV$63,47,FALSE)/24),0),IF(COUNTIF(E100:Z100,"ZIEK")&gt;9,0,IF(COUNTIF(E100:Z100,"VAK")&gt;9,0,Medewerker!E102/120))))))))</f>
        <v/>
      </c>
      <c r="AF100" s="240" t="n"/>
      <c r="AG100" s="935">
        <f>SUM(G100,K100,O100,S100,W100,AA100,AE100)</f>
        <v/>
      </c>
      <c r="AH100" s="532">
        <f>COUNT(G100,K100,O100,S100,W100,AA100,AE100)-(COUNTIF(E100:AD100,"Vrij")/2)</f>
        <v/>
      </c>
      <c r="AI100" s="936">
        <f>Planning!AG100*24-Medewerker!E102</f>
        <v/>
      </c>
      <c r="AJ100" s="254">
        <f>IF(MAX(G100,K100,O100,S100,W100,AA100,AE100)*24&gt;Instellingen!$I$8,"nee","ja")</f>
        <v/>
      </c>
      <c r="AK100" s="254">
        <f>IF(AG100*24&gt;Instellingen!$I$9,"nee","ja")</f>
        <v/>
      </c>
    </row>
    <row r="101" ht="14.25" customHeight="1">
      <c r="A101" s="78">
        <f>IF(B101="",0,MAX($A$6:A100)+1)</f>
        <v/>
      </c>
      <c r="B101" s="241">
        <f>IF(Medewerker!C103="","",Medewerker!C103)</f>
        <v/>
      </c>
      <c r="C101" s="238">
        <f>Medewerker!AI103</f>
        <v/>
      </c>
      <c r="D101" s="240" t="n"/>
      <c r="E101" s="932">
        <f>IFERROR(IF(Medewerker!I103="",VLOOKUP($B101,Ma!$B$13:$E$63,3,FALSE),Medewerker!I103),"")</f>
        <v/>
      </c>
      <c r="F101" s="933">
        <f>IFERROR(IF(Medewerker!I103="",VLOOKUP($B101,Ma!$B$13:$E$63,4,FALSE),Medewerker!I103),"")</f>
        <v/>
      </c>
      <c r="G101" s="934">
        <f>IF(F101="OA",0,IF(F101="TA",0,IF(F101="VRIJ",0,IF(F101="ST",0,IFERROR(IF(F101="","",(F101/F101)*VLOOKUP($B101,Ma!$B$13:$AV$63,47,FALSE)/24),MAX(IFERROR((VLOOKUP($B101,Ma!$B$13:$AV$63,47,FALSE)/24),0),Medewerker!E103/120))))))</f>
        <v/>
      </c>
      <c r="H101" s="240" t="n"/>
      <c r="I101" s="933">
        <f>IFERROR(IF(Medewerker!M103="",VLOOKUP($B101,Di!$B$13:$E$63,3,FALSE),Medewerker!M103),"")</f>
        <v/>
      </c>
      <c r="J101" s="933">
        <f>IFERROR(IF(Medewerker!M103="",VLOOKUP($B101,Di!$B$13:$E$63,4,FALSE),Medewerker!M103),"")</f>
        <v/>
      </c>
      <c r="K101" s="934">
        <f>IF(J101="OA",0,IF(J101="TA",0,IF(J101="VRIJ",0,IF(J101="ST",0,IFERROR(IF(J101="","",(J101/J101)*VLOOKUP($B101,Di!$B$13:$AV$63,47,FALSE)/24),MAX(IFERROR((VLOOKUP($B101,Di!$B$13:$AV$63,47,FALSE)/24),0),Medewerker!E103/120))))))</f>
        <v/>
      </c>
      <c r="L101" s="240" t="n"/>
      <c r="M101" s="933">
        <f>IFERROR(IF(Medewerker!Q103="",VLOOKUP($B101,Wo!$B$13:$E$63,3,FALSE),Medewerker!Q103),"")</f>
        <v/>
      </c>
      <c r="N101" s="933">
        <f>IFERROR(IF(Medewerker!Q103="",VLOOKUP($B101,Wo!$B$13:$E$63,4,FALSE),Medewerker!Q103),"")</f>
        <v/>
      </c>
      <c r="O101" s="934">
        <f>IF(N101="OA",0,IF(N101="TA",0,IF(N101="VRIJ",0,IF(N101="ST",0,IFERROR(IF(N101="","",(N101/N101)*VLOOKUP($B101,Wo!$B$13:$AV$63,47,FALSE)/24),MAX(IFERROR((VLOOKUP($B101,Wo!$B$13:$AV$63,47,FALSE)/24),0),Medewerker!E103/120))))))</f>
        <v/>
      </c>
      <c r="P101" s="240" t="n"/>
      <c r="Q101" s="933">
        <f>IFERROR(IF(Medewerker!U103="",VLOOKUP($B101,Do!$B$13:$E$63,3,FALSE),Medewerker!U103),"")</f>
        <v/>
      </c>
      <c r="R101" s="933">
        <f>IFERROR(IF(Medewerker!U103="",VLOOKUP($B101,Do!$B$13:$E$63,4,FALSE),Medewerker!U103),"")</f>
        <v/>
      </c>
      <c r="S101" s="934">
        <f>IF(R101="OA",0,IF(R101="TA",0,IF(R101="VRIJ",0,IF(R101="ST",0,IFERROR(IF(R101="","",(R101/R101)*VLOOKUP($B101,Do!$B$13:$AV$63,47,FALSE)/24),MAX(IFERROR((VLOOKUP($B101,Do!$B$13:$AV$63,47,FALSE)/24),0),Medewerker!E103/120))))))</f>
        <v/>
      </c>
      <c r="T101" s="240" t="n"/>
      <c r="U101" s="933">
        <f>IFERROR(IF(Medewerker!Y103="",VLOOKUP($B101,Vr!$B$13:$E$63,3,FALSE),Medewerker!Y103),"")</f>
        <v/>
      </c>
      <c r="V101" s="933">
        <f>IFERROR(IF(Medewerker!Y103="",VLOOKUP($B101,Vr!$B$13:$E$63,4,FALSE),Medewerker!Y103),"")</f>
        <v/>
      </c>
      <c r="W101" s="934">
        <f>IF(V101="OA",0,IF(V101="TA",0,IF(V101="VRIJ",0,IF(V101="ST",0,IFERROR(IF(V101="","",(V101/V101)*VLOOKUP($B101,Vr!$B$13:$AV$63,47,FALSE)/24),MAX(IFERROR((VLOOKUP($B101,Vr!$B$13:$AV$63,47,FALSE)/24),0),Medewerker!E103/120))))))</f>
        <v/>
      </c>
      <c r="X101" s="240" t="n"/>
      <c r="Y101" s="933">
        <f>IFERROR(IF(Medewerker!AC103="",VLOOKUP($B101,Za!$B$13:$E$63,3,FALSE),Medewerker!AC103),"")</f>
        <v/>
      </c>
      <c r="Z101" s="933">
        <f>IFERROR(IF(Medewerker!AC103="",VLOOKUP($B101,Za!$B$13:$E$63,4,FALSE),Medewerker!AC103),"")</f>
        <v/>
      </c>
      <c r="AA101" s="934">
        <f>IF(Z101="OA",0,IF(Z101="TA",0,IF(Z101="VRIJ",0,IF(Z101="ST",0,IFERROR(IF(Z101="","",(Z101/Z101)*VLOOKUP($B101,Za!$B$13:$AV$63,47,FALSE)/24),MAX(IFERROR((VLOOKUP($B101,Za!$B$13:$AV$63,47,FALSE)/24),0),IF(COUNTIF(E101:V101,"ZIEK")&gt;9,0,IF(COUNTIF(E101:V101,"VAK")&gt;9,0,Medewerker!E103/120))))))))</f>
        <v/>
      </c>
      <c r="AB101" s="240" t="n"/>
      <c r="AC101" s="933">
        <f>IFERROR(IF(Medewerker!AG103="",VLOOKUP($B101,Zo!$B$13:$E$63,3,FALSE),Medewerker!AG103),"")</f>
        <v/>
      </c>
      <c r="AD101" s="933">
        <f>IFERROR(IF(Medewerker!AG103="",VLOOKUP($B101,Zo!$B$13:$E$63,4,FALSE),Medewerker!AG103),"")</f>
        <v/>
      </c>
      <c r="AE101" s="934">
        <f>IF(AD101="OA",0,IF(AD101="TA",0,IF(AD101="VRIJ",0,IF(AD101="ST",0,IFERROR(IF(AD101="","",(AD101/AD101)*VLOOKUP($B101,Zo!$B$13:$AV$63,47,FALSE)/24),MAX(IFERROR((VLOOKUP($B101,Zo!$B$13:$AV$63,47,FALSE)/24),0),IF(COUNTIF(E101:Z101,"ZIEK")&gt;9,0,IF(COUNTIF(E101:Z101,"VAK")&gt;9,0,Medewerker!E103/120))))))))</f>
        <v/>
      </c>
      <c r="AF101" s="240" t="n"/>
      <c r="AG101" s="935">
        <f>SUM(G101,K101,O101,S101,W101,AA101,AE101)</f>
        <v/>
      </c>
      <c r="AH101" s="532">
        <f>COUNT(G101,K101,O101,S101,W101,AA101,AE101)-(COUNTIF(E101:AD101,"Vrij")/2)</f>
        <v/>
      </c>
      <c r="AI101" s="936">
        <f>Planning!AG101*24-Medewerker!E103</f>
        <v/>
      </c>
      <c r="AJ101" s="254">
        <f>IF(MAX(G101,K101,O101,S101,W101,AA101,AE101)*24&gt;Instellingen!$I$8,"nee","ja")</f>
        <v/>
      </c>
      <c r="AK101" s="254">
        <f>IF(AG101*24&gt;Instellingen!$I$9,"nee","ja")</f>
        <v/>
      </c>
    </row>
    <row r="102" ht="14.25" customHeight="1">
      <c r="A102" s="78">
        <f>IF(B102="",0,MAX($A$6:A101)+1)</f>
        <v/>
      </c>
      <c r="B102" s="241">
        <f>IF(Medewerker!C104="","",Medewerker!C104)</f>
        <v/>
      </c>
      <c r="C102" s="238">
        <f>Medewerker!AI104</f>
        <v/>
      </c>
      <c r="D102" s="240" t="n"/>
      <c r="E102" s="932">
        <f>IFERROR(IF(Medewerker!I104="",VLOOKUP($B102,Ma!$B$13:$E$63,3,FALSE),Medewerker!I104),"")</f>
        <v/>
      </c>
      <c r="F102" s="933">
        <f>IFERROR(IF(Medewerker!I104="",VLOOKUP($B102,Ma!$B$13:$E$63,4,FALSE),Medewerker!I104),"")</f>
        <v/>
      </c>
      <c r="G102" s="934">
        <f>IF(F102="OA",0,IF(F102="TA",0,IF(F102="VRIJ",0,IF(F102="ST",0,IFERROR(IF(F102="","",(F102/F102)*VLOOKUP($B102,Ma!$B$13:$AV$63,47,FALSE)/24),MAX(IFERROR((VLOOKUP($B102,Ma!$B$13:$AV$63,47,FALSE)/24),0),Medewerker!E104/120))))))</f>
        <v/>
      </c>
      <c r="H102" s="240" t="n"/>
      <c r="I102" s="933">
        <f>IFERROR(IF(Medewerker!M104="",VLOOKUP($B102,Di!$B$13:$E$63,3,FALSE),Medewerker!M104),"")</f>
        <v/>
      </c>
      <c r="J102" s="933">
        <f>IFERROR(IF(Medewerker!M104="",VLOOKUP($B102,Di!$B$13:$E$63,4,FALSE),Medewerker!M104),"")</f>
        <v/>
      </c>
      <c r="K102" s="934">
        <f>IF(J102="OA",0,IF(J102="TA",0,IF(J102="VRIJ",0,IF(J102="ST",0,IFERROR(IF(J102="","",(J102/J102)*VLOOKUP($B102,Di!$B$13:$AV$63,47,FALSE)/24),MAX(IFERROR((VLOOKUP($B102,Di!$B$13:$AV$63,47,FALSE)/24),0),Medewerker!E104/120))))))</f>
        <v/>
      </c>
      <c r="L102" s="240" t="n"/>
      <c r="M102" s="933">
        <f>IFERROR(IF(Medewerker!Q104="",VLOOKUP($B102,Wo!$B$13:$E$63,3,FALSE),Medewerker!Q104),"")</f>
        <v/>
      </c>
      <c r="N102" s="933">
        <f>IFERROR(IF(Medewerker!Q104="",VLOOKUP($B102,Wo!$B$13:$E$63,4,FALSE),Medewerker!Q104),"")</f>
        <v/>
      </c>
      <c r="O102" s="934">
        <f>IF(N102="OA",0,IF(N102="TA",0,IF(N102="VRIJ",0,IF(N102="ST",0,IFERROR(IF(N102="","",(N102/N102)*VLOOKUP($B102,Wo!$B$13:$AV$63,47,FALSE)/24),MAX(IFERROR((VLOOKUP($B102,Wo!$B$13:$AV$63,47,FALSE)/24),0),Medewerker!E104/120))))))</f>
        <v/>
      </c>
      <c r="P102" s="240" t="n"/>
      <c r="Q102" s="933">
        <f>IFERROR(IF(Medewerker!U104="",VLOOKUP($B102,Do!$B$13:$E$63,3,FALSE),Medewerker!U104),"")</f>
        <v/>
      </c>
      <c r="R102" s="933">
        <f>IFERROR(IF(Medewerker!U104="",VLOOKUP($B102,Do!$B$13:$E$63,4,FALSE),Medewerker!U104),"")</f>
        <v/>
      </c>
      <c r="S102" s="934">
        <f>IF(R102="OA",0,IF(R102="TA",0,IF(R102="VRIJ",0,IF(R102="ST",0,IFERROR(IF(R102="","",(R102/R102)*VLOOKUP($B102,Do!$B$13:$AV$63,47,FALSE)/24),MAX(IFERROR((VLOOKUP($B102,Do!$B$13:$AV$63,47,FALSE)/24),0),Medewerker!E104/120))))))</f>
        <v/>
      </c>
      <c r="T102" s="240" t="n"/>
      <c r="U102" s="933">
        <f>IFERROR(IF(Medewerker!Y104="",VLOOKUP($B102,Vr!$B$13:$E$63,3,FALSE),Medewerker!Y104),"")</f>
        <v/>
      </c>
      <c r="V102" s="933">
        <f>IFERROR(IF(Medewerker!Y104="",VLOOKUP($B102,Vr!$B$13:$E$63,4,FALSE),Medewerker!Y104),"")</f>
        <v/>
      </c>
      <c r="W102" s="934">
        <f>IF(V102="OA",0,IF(V102="TA",0,IF(V102="VRIJ",0,IF(V102="ST",0,IFERROR(IF(V102="","",(V102/V102)*VLOOKUP($B102,Vr!$B$13:$AV$63,47,FALSE)/24),MAX(IFERROR((VLOOKUP($B102,Vr!$B$13:$AV$63,47,FALSE)/24),0),Medewerker!E104/120))))))</f>
        <v/>
      </c>
      <c r="X102" s="240" t="n"/>
      <c r="Y102" s="933">
        <f>IFERROR(IF(Medewerker!AC104="",VLOOKUP($B102,Za!$B$13:$E$63,3,FALSE),Medewerker!AC104),"")</f>
        <v/>
      </c>
      <c r="Z102" s="933">
        <f>IFERROR(IF(Medewerker!AC104="",VLOOKUP($B102,Za!$B$13:$E$63,4,FALSE),Medewerker!AC104),"")</f>
        <v/>
      </c>
      <c r="AA102" s="934">
        <f>IF(Z102="OA",0,IF(Z102="TA",0,IF(Z102="VRIJ",0,IF(Z102="ST",0,IFERROR(IF(Z102="","",(Z102/Z102)*VLOOKUP($B102,Za!$B$13:$AV$63,47,FALSE)/24),MAX(IFERROR((VLOOKUP($B102,Za!$B$13:$AV$63,47,FALSE)/24),0),IF(COUNTIF(E102:V102,"ZIEK")&gt;9,0,IF(COUNTIF(E102:V102,"VAK")&gt;9,0,Medewerker!E104/120))))))))</f>
        <v/>
      </c>
      <c r="AB102" s="240" t="n"/>
      <c r="AC102" s="933">
        <f>IFERROR(IF(Medewerker!AG104="",VLOOKUP($B102,Zo!$B$13:$E$63,3,FALSE),Medewerker!AG104),"")</f>
        <v/>
      </c>
      <c r="AD102" s="933">
        <f>IFERROR(IF(Medewerker!AG104="",VLOOKUP($B102,Zo!$B$13:$E$63,4,FALSE),Medewerker!AG104),"")</f>
        <v/>
      </c>
      <c r="AE102" s="934">
        <f>IF(AD102="OA",0,IF(AD102="TA",0,IF(AD102="VRIJ",0,IF(AD102="ST",0,IFERROR(IF(AD102="","",(AD102/AD102)*VLOOKUP($B102,Zo!$B$13:$AV$63,47,FALSE)/24),MAX(IFERROR((VLOOKUP($B102,Zo!$B$13:$AV$63,47,FALSE)/24),0),IF(COUNTIF(E102:Z102,"ZIEK")&gt;9,0,IF(COUNTIF(E102:Z102,"VAK")&gt;9,0,Medewerker!E104/120))))))))</f>
        <v/>
      </c>
      <c r="AF102" s="240" t="n"/>
      <c r="AG102" s="935">
        <f>SUM(G102,K102,O102,S102,W102,AA102,AE102)</f>
        <v/>
      </c>
      <c r="AH102" s="532">
        <f>COUNT(G102,K102,O102,S102,W102,AA102,AE102)-(COUNTIF(E102:AD102,"Vrij")/2)</f>
        <v/>
      </c>
      <c r="AI102" s="936">
        <f>Planning!AG102*24-Medewerker!E104</f>
        <v/>
      </c>
      <c r="AJ102" s="254">
        <f>IF(MAX(G102,K102,O102,S102,W102,AA102,AE102)*24&gt;Instellingen!$I$8,"nee","ja")</f>
        <v/>
      </c>
      <c r="AK102" s="254">
        <f>IF(AG102*24&gt;Instellingen!$I$9,"nee","ja")</f>
        <v/>
      </c>
    </row>
    <row r="103" ht="14.25" customHeight="1">
      <c r="A103" s="78">
        <f>IF(B103="",0,MAX($A$6:A102)+1)</f>
        <v/>
      </c>
      <c r="B103" s="241">
        <f>IF(Medewerker!C105="","",Medewerker!C105)</f>
        <v/>
      </c>
      <c r="C103" s="238">
        <f>Medewerker!AI105</f>
        <v/>
      </c>
      <c r="D103" s="240" t="n"/>
      <c r="E103" s="932">
        <f>IFERROR(IF(Medewerker!I105="",VLOOKUP($B103,Ma!$B$13:$E$63,3,FALSE),Medewerker!I105),"")</f>
        <v/>
      </c>
      <c r="F103" s="933">
        <f>IFERROR(IF(Medewerker!I105="",VLOOKUP($B103,Ma!$B$13:$E$63,4,FALSE),Medewerker!I105),"")</f>
        <v/>
      </c>
      <c r="G103" s="934">
        <f>IF(F103="OA",0,IF(F103="TA",0,IF(F103="VRIJ",0,IF(F103="ST",0,IFERROR(IF(F103="","",(F103/F103)*VLOOKUP($B103,Ma!$B$13:$AV$63,47,FALSE)/24),MAX(IFERROR((VLOOKUP($B103,Ma!$B$13:$AV$63,47,FALSE)/24),0),Medewerker!E105/120))))))</f>
        <v/>
      </c>
      <c r="H103" s="240" t="n"/>
      <c r="I103" s="933">
        <f>IFERROR(IF(Medewerker!M105="",VLOOKUP($B103,Di!$B$13:$E$63,3,FALSE),Medewerker!M105),"")</f>
        <v/>
      </c>
      <c r="J103" s="933">
        <f>IFERROR(IF(Medewerker!M105="",VLOOKUP($B103,Di!$B$13:$E$63,4,FALSE),Medewerker!M105),"")</f>
        <v/>
      </c>
      <c r="K103" s="934">
        <f>IF(J103="OA",0,IF(J103="TA",0,IF(J103="VRIJ",0,IF(J103="ST",0,IFERROR(IF(J103="","",(J103/J103)*VLOOKUP($B103,Di!$B$13:$AV$63,47,FALSE)/24),MAX(IFERROR((VLOOKUP($B103,Di!$B$13:$AV$63,47,FALSE)/24),0),Medewerker!E105/120))))))</f>
        <v/>
      </c>
      <c r="L103" s="240" t="n"/>
      <c r="M103" s="933">
        <f>IFERROR(IF(Medewerker!Q105="",VLOOKUP($B103,Wo!$B$13:$E$63,3,FALSE),Medewerker!Q105),"")</f>
        <v/>
      </c>
      <c r="N103" s="933">
        <f>IFERROR(IF(Medewerker!Q105="",VLOOKUP($B103,Wo!$B$13:$E$63,4,FALSE),Medewerker!Q105),"")</f>
        <v/>
      </c>
      <c r="O103" s="934">
        <f>IF(N103="OA",0,IF(N103="TA",0,IF(N103="VRIJ",0,IF(N103="ST",0,IFERROR(IF(N103="","",(N103/N103)*VLOOKUP($B103,Wo!$B$13:$AV$63,47,FALSE)/24),MAX(IFERROR((VLOOKUP($B103,Wo!$B$13:$AV$63,47,FALSE)/24),0),Medewerker!E105/120))))))</f>
        <v/>
      </c>
      <c r="P103" s="240" t="n"/>
      <c r="Q103" s="933">
        <f>IFERROR(IF(Medewerker!U105="",VLOOKUP($B103,Do!$B$13:$E$63,3,FALSE),Medewerker!U105),"")</f>
        <v/>
      </c>
      <c r="R103" s="933">
        <f>IFERROR(IF(Medewerker!U105="",VLOOKUP($B103,Do!$B$13:$E$63,4,FALSE),Medewerker!U105),"")</f>
        <v/>
      </c>
      <c r="S103" s="934">
        <f>IF(R103="OA",0,IF(R103="TA",0,IF(R103="VRIJ",0,IF(R103="ST",0,IFERROR(IF(R103="","",(R103/R103)*VLOOKUP($B103,Do!$B$13:$AV$63,47,FALSE)/24),MAX(IFERROR((VLOOKUP($B103,Do!$B$13:$AV$63,47,FALSE)/24),0),Medewerker!E105/120))))))</f>
        <v/>
      </c>
      <c r="T103" s="240" t="n"/>
      <c r="U103" s="933">
        <f>IFERROR(IF(Medewerker!Y105="",VLOOKUP($B103,Vr!$B$13:$E$63,3,FALSE),Medewerker!Y105),"")</f>
        <v/>
      </c>
      <c r="V103" s="933">
        <f>IFERROR(IF(Medewerker!Y105="",VLOOKUP($B103,Vr!$B$13:$E$63,4,FALSE),Medewerker!Y105),"")</f>
        <v/>
      </c>
      <c r="W103" s="934">
        <f>IF(V103="OA",0,IF(V103="TA",0,IF(V103="VRIJ",0,IF(V103="ST",0,IFERROR(IF(V103="","",(V103/V103)*VLOOKUP($B103,Vr!$B$13:$AV$63,47,FALSE)/24),MAX(IFERROR((VLOOKUP($B103,Vr!$B$13:$AV$63,47,FALSE)/24),0),Medewerker!E105/120))))))</f>
        <v/>
      </c>
      <c r="X103" s="240" t="n"/>
      <c r="Y103" s="933">
        <f>IFERROR(IF(Medewerker!AC105="",VLOOKUP($B103,Za!$B$13:$E$63,3,FALSE),Medewerker!AC105),"")</f>
        <v/>
      </c>
      <c r="Z103" s="933">
        <f>IFERROR(IF(Medewerker!AC105="",VLOOKUP($B103,Za!$B$13:$E$63,4,FALSE),Medewerker!AC105),"")</f>
        <v/>
      </c>
      <c r="AA103" s="934">
        <f>IF(Z103="OA",0,IF(Z103="TA",0,IF(Z103="VRIJ",0,IF(Z103="ST",0,IFERROR(IF(Z103="","",(Z103/Z103)*VLOOKUP($B103,Za!$B$13:$AV$63,47,FALSE)/24),MAX(IFERROR((VLOOKUP($B103,Za!$B$13:$AV$63,47,FALSE)/24),0),IF(COUNTIF(E103:V103,"ZIEK")&gt;9,0,IF(COUNTIF(E103:V103,"VAK")&gt;9,0,Medewerker!E105/120))))))))</f>
        <v/>
      </c>
      <c r="AB103" s="240" t="n"/>
      <c r="AC103" s="933">
        <f>IFERROR(IF(Medewerker!AG105="",VLOOKUP($B103,Zo!$B$13:$E$63,3,FALSE),Medewerker!AG105),"")</f>
        <v/>
      </c>
      <c r="AD103" s="933">
        <f>IFERROR(IF(Medewerker!AG105="",VLOOKUP($B103,Zo!$B$13:$E$63,4,FALSE),Medewerker!AG105),"")</f>
        <v/>
      </c>
      <c r="AE103" s="934">
        <f>IF(AD103="OA",0,IF(AD103="TA",0,IF(AD103="VRIJ",0,IF(AD103="ST",0,IFERROR(IF(AD103="","",(AD103/AD103)*VLOOKUP($B103,Zo!$B$13:$AV$63,47,FALSE)/24),MAX(IFERROR((VLOOKUP($B103,Zo!$B$13:$AV$63,47,FALSE)/24),0),IF(COUNTIF(E103:Z103,"ZIEK")&gt;9,0,IF(COUNTIF(E103:Z103,"VAK")&gt;9,0,Medewerker!E105/120))))))))</f>
        <v/>
      </c>
      <c r="AF103" s="240" t="n"/>
      <c r="AG103" s="935">
        <f>SUM(G103,K103,O103,S103,W103,AA103,AE103)</f>
        <v/>
      </c>
      <c r="AH103" s="532">
        <f>COUNT(G103,K103,O103,S103,W103,AA103,AE103)-(COUNTIF(E103:AD103,"Vrij")/2)</f>
        <v/>
      </c>
      <c r="AI103" s="936">
        <f>Planning!AG103*24-Medewerker!E105</f>
        <v/>
      </c>
      <c r="AJ103" s="254">
        <f>IF(MAX(G103,K103,O103,S103,W103,AA103,AE103)*24&gt;Instellingen!$I$8,"nee","ja")</f>
        <v/>
      </c>
      <c r="AK103" s="254">
        <f>IF(AG103*24&gt;Instellingen!$I$9,"nee","ja")</f>
        <v/>
      </c>
    </row>
    <row r="104" ht="14.25" customHeight="1">
      <c r="A104" s="78">
        <f>IF(B104="",0,MAX($A$6:A103)+1)</f>
        <v/>
      </c>
      <c r="B104" s="241">
        <f>IF(Medewerker!C106="","",Medewerker!C106)</f>
        <v/>
      </c>
      <c r="C104" s="238">
        <f>Medewerker!AI106</f>
        <v/>
      </c>
      <c r="D104" s="240" t="n"/>
      <c r="E104" s="932">
        <f>IFERROR(IF(Medewerker!I106="",VLOOKUP($B104,Ma!$B$13:$E$63,3,FALSE),Medewerker!I106),"")</f>
        <v/>
      </c>
      <c r="F104" s="933">
        <f>IFERROR(IF(Medewerker!I106="",VLOOKUP($B104,Ma!$B$13:$E$63,4,FALSE),Medewerker!I106),"")</f>
        <v/>
      </c>
      <c r="G104" s="934">
        <f>IF(F104="OA",0,IF(F104="TA",0,IF(F104="VRIJ",0,IF(F104="ST",0,IFERROR(IF(F104="","",(F104/F104)*VLOOKUP($B104,Ma!$B$13:$AV$63,47,FALSE)/24),MAX(IFERROR((VLOOKUP($B104,Ma!$B$13:$AV$63,47,FALSE)/24),0),Medewerker!E106/120))))))</f>
        <v/>
      </c>
      <c r="H104" s="240" t="n"/>
      <c r="I104" s="933">
        <f>IFERROR(IF(Medewerker!M106="",VLOOKUP($B104,Di!$B$13:$E$63,3,FALSE),Medewerker!M106),"")</f>
        <v/>
      </c>
      <c r="J104" s="933">
        <f>IFERROR(IF(Medewerker!M106="",VLOOKUP($B104,Di!$B$13:$E$63,4,FALSE),Medewerker!M106),"")</f>
        <v/>
      </c>
      <c r="K104" s="934">
        <f>IF(J104="OA",0,IF(J104="TA",0,IF(J104="VRIJ",0,IF(J104="ST",0,IFERROR(IF(J104="","",(J104/J104)*VLOOKUP($B104,Di!$B$13:$AV$63,47,FALSE)/24),MAX(IFERROR((VLOOKUP($B104,Di!$B$13:$AV$63,47,FALSE)/24),0),Medewerker!E106/120))))))</f>
        <v/>
      </c>
      <c r="L104" s="240" t="n"/>
      <c r="M104" s="933">
        <f>IFERROR(IF(Medewerker!Q106="",VLOOKUP($B104,Wo!$B$13:$E$63,3,FALSE),Medewerker!Q106),"")</f>
        <v/>
      </c>
      <c r="N104" s="933">
        <f>IFERROR(IF(Medewerker!Q106="",VLOOKUP($B104,Wo!$B$13:$E$63,4,FALSE),Medewerker!Q106),"")</f>
        <v/>
      </c>
      <c r="O104" s="934">
        <f>IF(N104="OA",0,IF(N104="TA",0,IF(N104="VRIJ",0,IF(N104="ST",0,IFERROR(IF(N104="","",(N104/N104)*VLOOKUP($B104,Wo!$B$13:$AV$63,47,FALSE)/24),MAX(IFERROR((VLOOKUP($B104,Wo!$B$13:$AV$63,47,FALSE)/24),0),Medewerker!E106/120))))))</f>
        <v/>
      </c>
      <c r="P104" s="240" t="n"/>
      <c r="Q104" s="933">
        <f>IFERROR(IF(Medewerker!U106="",VLOOKUP($B104,Do!$B$13:$E$63,3,FALSE),Medewerker!U106),"")</f>
        <v/>
      </c>
      <c r="R104" s="933">
        <f>IFERROR(IF(Medewerker!U106="",VLOOKUP($B104,Do!$B$13:$E$63,4,FALSE),Medewerker!U106),"")</f>
        <v/>
      </c>
      <c r="S104" s="934">
        <f>IF(R104="OA",0,IF(R104="TA",0,IF(R104="VRIJ",0,IF(R104="ST",0,IFERROR(IF(R104="","",(R104/R104)*VLOOKUP($B104,Do!$B$13:$AV$63,47,FALSE)/24),MAX(IFERROR((VLOOKUP($B104,Do!$B$13:$AV$63,47,FALSE)/24),0),Medewerker!E106/120))))))</f>
        <v/>
      </c>
      <c r="T104" s="240" t="n"/>
      <c r="U104" s="933">
        <f>IFERROR(IF(Medewerker!Y106="",VLOOKUP($B104,Vr!$B$13:$E$63,3,FALSE),Medewerker!Y106),"")</f>
        <v/>
      </c>
      <c r="V104" s="933">
        <f>IFERROR(IF(Medewerker!Y106="",VLOOKUP($B104,Vr!$B$13:$E$63,4,FALSE),Medewerker!Y106),"")</f>
        <v/>
      </c>
      <c r="W104" s="934">
        <f>IF(V104="OA",0,IF(V104="TA",0,IF(V104="VRIJ",0,IF(V104="ST",0,IFERROR(IF(V104="","",(V104/V104)*VLOOKUP($B104,Vr!$B$13:$AV$63,47,FALSE)/24),MAX(IFERROR((VLOOKUP($B104,Vr!$B$13:$AV$63,47,FALSE)/24),0),Medewerker!E106/120))))))</f>
        <v/>
      </c>
      <c r="X104" s="240" t="n"/>
      <c r="Y104" s="933">
        <f>IFERROR(IF(Medewerker!AC106="",VLOOKUP($B104,Za!$B$13:$E$63,3,FALSE),Medewerker!AC106),"")</f>
        <v/>
      </c>
      <c r="Z104" s="933">
        <f>IFERROR(IF(Medewerker!AC106="",VLOOKUP($B104,Za!$B$13:$E$63,4,FALSE),Medewerker!AC106),"")</f>
        <v/>
      </c>
      <c r="AA104" s="934">
        <f>IF(Z104="OA",0,IF(Z104="TA",0,IF(Z104="VRIJ",0,IF(Z104="ST",0,IFERROR(IF(Z104="","",(Z104/Z104)*VLOOKUP($B104,Za!$B$13:$AV$63,47,FALSE)/24),MAX(IFERROR((VLOOKUP($B104,Za!$B$13:$AV$63,47,FALSE)/24),0),IF(COUNTIF(E104:V104,"ZIEK")&gt;9,0,IF(COUNTIF(E104:V104,"VAK")&gt;9,0,Medewerker!E106/120))))))))</f>
        <v/>
      </c>
      <c r="AB104" s="240" t="n"/>
      <c r="AC104" s="933">
        <f>IFERROR(IF(Medewerker!AG106="",VLOOKUP($B104,Zo!$B$13:$E$63,3,FALSE),Medewerker!AG106),"")</f>
        <v/>
      </c>
      <c r="AD104" s="933">
        <f>IFERROR(IF(Medewerker!AG106="",VLOOKUP($B104,Zo!$B$13:$E$63,4,FALSE),Medewerker!AG106),"")</f>
        <v/>
      </c>
      <c r="AE104" s="934">
        <f>IF(AD104="OA",0,IF(AD104="TA",0,IF(AD104="VRIJ",0,IF(AD104="ST",0,IFERROR(IF(AD104="","",(AD104/AD104)*VLOOKUP($B104,Zo!$B$13:$AV$63,47,FALSE)/24),MAX(IFERROR((VLOOKUP($B104,Zo!$B$13:$AV$63,47,FALSE)/24),0),IF(COUNTIF(E104:Z104,"ZIEK")&gt;9,0,IF(COUNTIF(E104:Z104,"VAK")&gt;9,0,Medewerker!E106/120))))))))</f>
        <v/>
      </c>
      <c r="AF104" s="240" t="n"/>
      <c r="AG104" s="935">
        <f>SUM(G104,K104,O104,S104,W104,AA104,AE104)</f>
        <v/>
      </c>
      <c r="AH104" s="532">
        <f>COUNT(G104,K104,O104,S104,W104,AA104,AE104)-(COUNTIF(E104:AD104,"Vrij")/2)</f>
        <v/>
      </c>
      <c r="AI104" s="936">
        <f>Planning!AG104*24-Medewerker!E106</f>
        <v/>
      </c>
      <c r="AJ104" s="254">
        <f>IF(MAX(G104,K104,O104,S104,W104,AA104,AE104)*24&gt;Instellingen!$I$8,"nee","ja")</f>
        <v/>
      </c>
      <c r="AK104" s="254">
        <f>IF(AG104*24&gt;Instellingen!$I$9,"nee","ja")</f>
        <v/>
      </c>
    </row>
    <row r="105" ht="14.25" customHeight="1" thickBot="1">
      <c r="A105" s="78">
        <f>IF(B105="",0,MAX($A$6:A104)+1)</f>
        <v/>
      </c>
      <c r="B105" s="243">
        <f>IF(Medewerker!C107="","",Medewerker!C107)</f>
        <v/>
      </c>
      <c r="C105" s="244">
        <f>Medewerker!AI107</f>
        <v/>
      </c>
      <c r="D105" s="245" t="n"/>
      <c r="E105" s="938">
        <f>IFERROR(IF(Medewerker!I107="",VLOOKUP($B105,Ma!$B$13:$E$63,3,FALSE),Medewerker!I107),"")</f>
        <v/>
      </c>
      <c r="F105" s="939">
        <f>IFERROR(IF(Medewerker!I107="",VLOOKUP($B105,Ma!$B$13:$E$63,4,FALSE),Medewerker!I107),"")</f>
        <v/>
      </c>
      <c r="G105" s="940">
        <f>IF(F105="OA",0,IF(F105="TA",0,IF(F105="VRIJ",0,IF(F105="ST",0,IFERROR(IF(F105="","",(F105/F105)*VLOOKUP($B105,Ma!$B$13:$AV$63,47,FALSE)/24),MAX(IFERROR((VLOOKUP($B105,Ma!$B$13:$AV$63,47,FALSE)/24),0),Medewerker!E107/120))))))</f>
        <v/>
      </c>
      <c r="H105" s="245" t="n"/>
      <c r="I105" s="939">
        <f>IFERROR(IF(Medewerker!M107="",VLOOKUP($B105,Di!$B$13:$E$63,3,FALSE),Medewerker!M107),"")</f>
        <v/>
      </c>
      <c r="J105" s="939">
        <f>IFERROR(IF(Medewerker!M107="",VLOOKUP($B105,Di!$B$13:$E$63,4,FALSE),Medewerker!M107),"")</f>
        <v/>
      </c>
      <c r="K105" s="940">
        <f>IF(J105="OA",0,IF(J105="TA",0,IF(J105="VRIJ",0,IF(J105="ST",0,IFERROR(IF(J105="","",(J105/J105)*VLOOKUP($B105,Di!$B$13:$AV$63,47,FALSE)/24),MAX(IFERROR((VLOOKUP($B105,Di!$B$13:$AV$63,47,FALSE)/24),0),Medewerker!E107/120))))))</f>
        <v/>
      </c>
      <c r="L105" s="245" t="n"/>
      <c r="M105" s="939">
        <f>IFERROR(IF(Medewerker!Q107="",VLOOKUP($B105,Wo!$B$13:$E$63,3,FALSE),Medewerker!Q107),"")</f>
        <v/>
      </c>
      <c r="N105" s="939">
        <f>IFERROR(IF(Medewerker!Q107="",VLOOKUP($B105,Wo!$B$13:$E$63,4,FALSE),Medewerker!Q107),"")</f>
        <v/>
      </c>
      <c r="O105" s="940">
        <f>IF(N105="OA",0,IF(N105="TA",0,IF(N105="VRIJ",0,IF(N105="ST",0,IFERROR(IF(N105="","",(N105/N105)*VLOOKUP($B105,Wo!$B$13:$AV$63,47,FALSE)/24),MAX(IFERROR((VLOOKUP($B105,Wo!$B$13:$AV$63,47,FALSE)/24),0),Medewerker!E107/120))))))</f>
        <v/>
      </c>
      <c r="P105" s="245" t="n"/>
      <c r="Q105" s="939">
        <f>IFERROR(IF(Medewerker!U107="",VLOOKUP($B105,Do!$B$13:$E$63,3,FALSE),Medewerker!U107),"")</f>
        <v/>
      </c>
      <c r="R105" s="939">
        <f>IFERROR(IF(Medewerker!U107="",VLOOKUP($B105,Do!$B$13:$E$63,4,FALSE),Medewerker!U107),"")</f>
        <v/>
      </c>
      <c r="S105" s="940">
        <f>IF(R105="OA",0,IF(R105="TA",0,IF(R105="VRIJ",0,IF(R105="ST",0,IFERROR(IF(R105="","",(R105/R105)*VLOOKUP($B105,Do!$B$13:$AV$63,47,FALSE)/24),MAX(IFERROR((VLOOKUP($B105,Do!$B$13:$AV$63,47,FALSE)/24),0),Medewerker!E107/120))))))</f>
        <v/>
      </c>
      <c r="T105" s="245" t="n"/>
      <c r="U105" s="939">
        <f>IFERROR(IF(Medewerker!Y107="",VLOOKUP($B105,Vr!$B$13:$E$63,3,FALSE),Medewerker!Y107),"")</f>
        <v/>
      </c>
      <c r="V105" s="939">
        <f>IFERROR(IF(Medewerker!Y107="",VLOOKUP($B105,Vr!$B$13:$E$63,4,FALSE),Medewerker!Y107),"")</f>
        <v/>
      </c>
      <c r="W105" s="940">
        <f>IF(V105="OA",0,IF(V105="TA",0,IF(V105="VRIJ",0,IF(V105="ST",0,IFERROR(IF(V105="","",(V105/V105)*VLOOKUP($B105,Vr!$B$13:$AV$63,47,FALSE)/24),MAX(IFERROR((VLOOKUP($B105,Vr!$B$13:$AV$63,47,FALSE)/24),0),Medewerker!E107/120))))))</f>
        <v/>
      </c>
      <c r="X105" s="245" t="n"/>
      <c r="Y105" s="939">
        <f>IFERROR(IF(Medewerker!AC107="",VLOOKUP($B105,Za!$B$13:$E$63,3,FALSE),Medewerker!AC107),"")</f>
        <v/>
      </c>
      <c r="Z105" s="939">
        <f>IFERROR(IF(Medewerker!AC107="",VLOOKUP($B105,Za!$B$13:$E$63,4,FALSE),Medewerker!AC107),"")</f>
        <v/>
      </c>
      <c r="AA105" s="940">
        <f>IF(Z105="OA",0,IF(Z105="TA",0,IF(Z105="VRIJ",0,IF(Z105="ST",0,IFERROR(IF(Z105="","",(Z105/Z105)*VLOOKUP($B105,Za!$B$13:$AV$63,47,FALSE)/24),MAX(IFERROR((VLOOKUP($B105,Za!$B$13:$AV$63,47,FALSE)/24),0),IF(COUNTIF(E105:V105,"ZIEK")&gt;9,0,IF(COUNTIF(E105:V105,"VAK")&gt;9,0,Medewerker!E107/120))))))))</f>
        <v/>
      </c>
      <c r="AB105" s="245" t="n"/>
      <c r="AC105" s="939">
        <f>IFERROR(IF(Medewerker!AG107="",VLOOKUP($B105,Zo!$B$13:$E$63,3,FALSE),Medewerker!AG107),"")</f>
        <v/>
      </c>
      <c r="AD105" s="939">
        <f>IFERROR(IF(Medewerker!AG107="",VLOOKUP($B105,Zo!$B$13:$E$63,4,FALSE),Medewerker!AG107),"")</f>
        <v/>
      </c>
      <c r="AE105" s="940">
        <f>IF(AD105="OA",0,IF(AD105="TA",0,IF(AD105="VRIJ",0,IF(AD105="ST",0,IFERROR(IF(AD105="","",(AD105/AD105)*VLOOKUP($B105,Zo!$B$13:$AV$63,47,FALSE)/24),MAX(IFERROR((VLOOKUP($B105,Zo!$B$13:$AV$63,47,FALSE)/24),0),IF(COUNTIF(E105:Z105,"ZIEK")&gt;9,0,IF(COUNTIF(E105:Z105,"VAK")&gt;9,0,Medewerker!E107/120))))))))</f>
        <v/>
      </c>
      <c r="AF105" s="245" t="n"/>
      <c r="AG105" s="941">
        <f>SUM(G105,K105,O105,S105,W105,AA105,AE105)</f>
        <v/>
      </c>
      <c r="AH105" s="532">
        <f>COUNT(G105,K105,O105,S105,W105,AA105,AE105)-(COUNTIF(E105:AD105,"Vrij")/2)</f>
        <v/>
      </c>
      <c r="AI105" s="936">
        <f>Planning!AG105*24-Medewerker!E107</f>
        <v/>
      </c>
      <c r="AJ105" s="254">
        <f>IF(MAX(G105,K105,O105,S105,W105,AA105,AE105)*24&gt;Instellingen!$I$8,"nee","ja")</f>
        <v/>
      </c>
      <c r="AK105" s="254">
        <f>IF(AG105*24&gt;Instellingen!$I$9,"nee","ja")</f>
        <v/>
      </c>
    </row>
  </sheetData>
  <mergeCells count="9">
    <mergeCell ref="Y5:AA5"/>
    <mergeCell ref="Q5:S5"/>
    <mergeCell ref="AA1:AF1"/>
    <mergeCell ref="AC5:AE5"/>
    <mergeCell ref="U5:W5"/>
    <mergeCell ref="E5:G5"/>
    <mergeCell ref="I5:K5"/>
    <mergeCell ref="M5:O5"/>
    <mergeCell ref="B1:Z1"/>
  </mergeCells>
  <pageMargins left="0.7" right="0.7" top="0.75" bottom="0.75" header="0.3" footer="0.3"/>
  <pageSetup orientation="landscape" paperSize="9" scale="66" fitToHeight="0"/>
</worksheet>
</file>

<file path=xl/worksheets/sheet12.xml><?xml version="1.0" encoding="utf-8"?>
<worksheet xmlns="http://schemas.openxmlformats.org/spreadsheetml/2006/main">
  <sheetPr codeName="Sheet11">
    <tabColor rgb="FFF1C232"/>
    <outlinePr summaryBelow="0" summaryRight="0"/>
    <pageSetUpPr/>
  </sheetPr>
  <dimension ref="A1:AK107"/>
  <sheetViews>
    <sheetView showGridLines="0" showRowColHeaders="0" zoomScaleNormal="100" workbookViewId="0">
      <pane ySplit="7" topLeftCell="A8" activePane="bottomLeft" state="frozen"/>
      <selection pane="bottomLeft" activeCell="D54" sqref="D54"/>
    </sheetView>
  </sheetViews>
  <sheetFormatPr baseColWidth="8" defaultColWidth="17.28515625" defaultRowHeight="15" customHeight="1"/>
  <cols>
    <col width="2.7109375" customWidth="1" style="264" min="1" max="1"/>
    <col width="2.7109375" customWidth="1" style="157" min="2" max="2"/>
    <col width="30.7109375" customWidth="1" style="264" min="3" max="3"/>
    <col width="21.7109375" bestFit="1" customWidth="1" style="264" min="4" max="4"/>
    <col width="6" customWidth="1" style="264" min="5" max="5"/>
    <col width="0.28515625" customWidth="1" style="264" min="6" max="6"/>
    <col width="5.7109375" customWidth="1" style="157" min="7" max="8"/>
    <col width="6.5703125" customWidth="1" style="157" min="9" max="9"/>
    <col width="0.28515625" customWidth="1" style="264" min="10" max="10"/>
    <col width="5.7109375" customWidth="1" style="157" min="11" max="12"/>
    <col width="6.5703125" customWidth="1" style="157" min="13" max="13"/>
    <col width="0.28515625" customWidth="1" style="264" min="14" max="14"/>
    <col width="5.7109375" customWidth="1" style="157" min="15" max="16"/>
    <col width="6.5703125" customWidth="1" style="157" min="17" max="17"/>
    <col width="0.28515625" customWidth="1" style="264" min="18" max="18"/>
    <col width="5.7109375" customWidth="1" style="157" min="19" max="20"/>
    <col width="6.5703125" customWidth="1" style="157" min="21" max="21"/>
    <col width="0.28515625" customWidth="1" style="264" min="22" max="22"/>
    <col width="5.7109375" customWidth="1" style="157" min="23" max="24"/>
    <col width="6.5703125" customWidth="1" style="157" min="25" max="25"/>
    <col width="0.28515625" customWidth="1" style="264" min="26" max="26"/>
    <col width="5.7109375" customWidth="1" style="157" min="27" max="28"/>
    <col width="6.5703125" customWidth="1" style="157" min="29" max="29"/>
    <col width="0.28515625" customWidth="1" style="264" min="30" max="30"/>
    <col width="5.7109375" customWidth="1" style="157" min="31" max="32"/>
    <col width="6.5703125" customWidth="1" style="157" min="33" max="33"/>
    <col width="0.28515625" customWidth="1" style="264" min="34" max="34"/>
    <col hidden="1" width="4.42578125" customWidth="1" style="264" min="35" max="37"/>
    <col width="17.28515625" customWidth="1" style="264" min="38" max="16384"/>
  </cols>
  <sheetData>
    <row r="1" ht="42.95" customHeight="1">
      <c r="B1" s="235" t="inlineStr">
        <is>
          <t>Medewerker</t>
        </is>
      </c>
      <c r="C1" s="235" t="n"/>
    </row>
    <row r="2" ht="3" customHeight="1">
      <c r="B2" s="607" t="n"/>
      <c r="C2" s="608" t="n"/>
      <c r="D2" s="608" t="n"/>
      <c r="E2" s="608" t="n"/>
      <c r="F2" s="608" t="n"/>
      <c r="G2" s="607" t="n"/>
      <c r="H2" s="607" t="n"/>
      <c r="I2" s="607" t="n"/>
      <c r="J2" s="608" t="n"/>
      <c r="K2" s="607" t="n"/>
      <c r="L2" s="607" t="n"/>
      <c r="M2" s="609" t="n"/>
      <c r="N2" s="610" t="n"/>
      <c r="O2" s="609" t="n"/>
      <c r="P2" s="609" t="n"/>
      <c r="Q2" s="609" t="n"/>
      <c r="R2" s="610" t="n"/>
      <c r="S2" s="609" t="n"/>
      <c r="T2" s="609" t="n"/>
      <c r="U2" s="609" t="n"/>
      <c r="V2" s="610" t="n"/>
      <c r="W2" s="609" t="n"/>
      <c r="X2" s="609" t="n"/>
      <c r="Y2" s="609" t="n"/>
      <c r="Z2" s="610" t="n"/>
      <c r="AA2" s="609" t="n"/>
      <c r="AB2" s="609" t="n"/>
      <c r="AC2" s="609" t="n"/>
      <c r="AD2" s="610" t="n"/>
      <c r="AE2" s="609" t="n"/>
      <c r="AF2" s="609" t="n"/>
      <c r="AG2" s="609" t="n"/>
      <c r="AH2" s="606" t="n"/>
    </row>
    <row r="3" ht="3" customHeight="1">
      <c r="B3" s="229" t="n"/>
      <c r="C3" s="141" t="n"/>
      <c r="D3" s="141" t="n"/>
      <c r="E3" s="141" t="n"/>
      <c r="F3" s="141" t="n"/>
      <c r="G3" s="229" t="n"/>
      <c r="H3" s="229" t="n"/>
      <c r="I3" s="229" t="n"/>
      <c r="J3" s="141" t="n"/>
      <c r="K3" s="229" t="n"/>
      <c r="L3" s="229" t="n"/>
      <c r="M3" s="266" t="n"/>
      <c r="N3" s="142" t="n"/>
      <c r="O3" s="266" t="n"/>
      <c r="P3" s="266" t="n"/>
      <c r="Q3" s="266" t="n"/>
      <c r="R3" s="142" t="n"/>
      <c r="S3" s="266" t="n"/>
      <c r="T3" s="266" t="n"/>
      <c r="U3" s="266" t="n"/>
      <c r="V3" s="142" t="n"/>
      <c r="W3" s="266" t="n"/>
      <c r="X3" s="266" t="n"/>
      <c r="Y3" s="266" t="n"/>
      <c r="Z3" s="142" t="n"/>
      <c r="AA3" s="266" t="n"/>
      <c r="AB3" s="266" t="n"/>
      <c r="AC3" s="266" t="n"/>
      <c r="AD3" s="142" t="n"/>
      <c r="AE3" s="266" t="n"/>
      <c r="AF3" s="266" t="n"/>
      <c r="AG3" s="266" t="n"/>
      <c r="AH3" s="142" t="n"/>
    </row>
    <row r="4" ht="13.5" customHeight="1" thickBot="1"/>
    <row r="5" ht="17.1" customFormat="1" customHeight="1" s="178">
      <c r="A5" s="264" t="n"/>
      <c r="B5" s="230" t="n"/>
      <c r="C5" s="942" t="inlineStr">
        <is>
          <t>Medewerkersgegevens</t>
        </is>
      </c>
      <c r="D5" s="931" t="n"/>
      <c r="E5" s="931" t="n"/>
      <c r="F5" s="226" t="n"/>
      <c r="G5" s="762" t="inlineStr">
        <is>
          <t>Beschikbaarheid - Afwezigheden</t>
        </is>
      </c>
      <c r="H5" s="943" t="n"/>
      <c r="I5" s="943" t="n"/>
      <c r="J5" s="943" t="n"/>
      <c r="K5" s="943" t="n"/>
      <c r="L5" s="943" t="n"/>
      <c r="M5" s="943" t="n"/>
      <c r="N5" s="943" t="n"/>
      <c r="O5" s="943" t="n"/>
      <c r="P5" s="943" t="n"/>
      <c r="Q5" s="943" t="n"/>
      <c r="R5" s="943" t="n"/>
      <c r="S5" s="943" t="n"/>
      <c r="T5" s="943" t="n"/>
      <c r="U5" s="943" t="n"/>
      <c r="V5" s="943" t="n"/>
      <c r="W5" s="943" t="n"/>
      <c r="X5" s="943" t="n"/>
      <c r="Y5" s="943" t="n"/>
      <c r="Z5" s="943" t="n"/>
      <c r="AA5" s="943" t="n"/>
      <c r="AB5" s="943" t="n"/>
      <c r="AC5" s="943" t="n"/>
      <c r="AD5" s="943" t="n"/>
      <c r="AE5" s="943" t="n"/>
      <c r="AF5" s="943" t="n"/>
      <c r="AG5" s="943" t="n"/>
      <c r="AH5" s="944" t="n"/>
      <c r="AI5" s="222" t="n"/>
      <c r="AJ5" s="184" t="n"/>
      <c r="AK5" s="184" t="n"/>
    </row>
    <row r="6" ht="12.75" customHeight="1">
      <c r="A6" s="56" t="n"/>
      <c r="B6" s="231" t="n"/>
      <c r="C6" s="945" t="n"/>
      <c r="D6" s="945" t="n"/>
      <c r="E6" s="945" t="n"/>
      <c r="F6" s="219" t="n"/>
      <c r="G6" s="946" t="inlineStr">
        <is>
          <t>Maandag</t>
        </is>
      </c>
      <c r="H6" s="264" t="n"/>
      <c r="I6" s="893" t="n"/>
      <c r="J6" s="219" t="n"/>
      <c r="K6" s="947" t="inlineStr">
        <is>
          <t>Dinsdag</t>
        </is>
      </c>
      <c r="L6" s="264" t="n"/>
      <c r="M6" s="893" t="n"/>
      <c r="N6" s="219" t="n"/>
      <c r="O6" s="947" t="inlineStr">
        <is>
          <t>Woensdag</t>
        </is>
      </c>
      <c r="P6" s="264" t="n"/>
      <c r="Q6" s="893" t="n"/>
      <c r="R6" s="219" t="n"/>
      <c r="S6" s="947" t="inlineStr">
        <is>
          <t>Donderdag</t>
        </is>
      </c>
      <c r="T6" s="264" t="n"/>
      <c r="U6" s="893" t="n"/>
      <c r="V6" s="219" t="n"/>
      <c r="W6" s="947" t="inlineStr">
        <is>
          <t>Vrijdag</t>
        </is>
      </c>
      <c r="X6" s="264" t="n"/>
      <c r="Y6" s="893" t="n"/>
      <c r="Z6" s="219" t="n"/>
      <c r="AA6" s="947" t="inlineStr">
        <is>
          <t>Zaterdag</t>
        </is>
      </c>
      <c r="AB6" s="264" t="n"/>
      <c r="AC6" s="893" t="n"/>
      <c r="AD6" s="219" t="n"/>
      <c r="AE6" s="765" t="inlineStr">
        <is>
          <t>Zondag</t>
        </is>
      </c>
      <c r="AF6" s="264" t="n"/>
      <c r="AG6" s="264" t="n"/>
      <c r="AH6" s="227" t="n"/>
      <c r="AI6" s="223" t="n"/>
      <c r="AJ6" s="57" t="n"/>
      <c r="AK6" s="57" t="n"/>
    </row>
    <row r="7" ht="12.6" customHeight="1">
      <c r="A7" s="56" t="n"/>
      <c r="B7" s="232" t="n"/>
      <c r="C7" s="220" t="inlineStr">
        <is>
          <t>Naam</t>
        </is>
      </c>
      <c r="D7" s="220" t="inlineStr">
        <is>
          <t>Functie</t>
        </is>
      </c>
      <c r="E7" s="220" t="inlineStr">
        <is>
          <t>Contr.</t>
        </is>
      </c>
      <c r="F7" s="219" t="n"/>
      <c r="G7" s="221" t="inlineStr">
        <is>
          <t>Beg</t>
        </is>
      </c>
      <c r="H7" s="221" t="inlineStr">
        <is>
          <t>Eind</t>
        </is>
      </c>
      <c r="I7" s="221" t="inlineStr">
        <is>
          <t>Afwezig</t>
        </is>
      </c>
      <c r="J7" s="219" t="n"/>
      <c r="K7" s="221" t="inlineStr">
        <is>
          <t>Beg</t>
        </is>
      </c>
      <c r="L7" s="221" t="inlineStr">
        <is>
          <t>Eind</t>
        </is>
      </c>
      <c r="M7" s="221" t="inlineStr">
        <is>
          <t>Afwezig</t>
        </is>
      </c>
      <c r="N7" s="219" t="n"/>
      <c r="O7" s="221" t="inlineStr">
        <is>
          <t>Beg</t>
        </is>
      </c>
      <c r="P7" s="221" t="inlineStr">
        <is>
          <t>Eind</t>
        </is>
      </c>
      <c r="Q7" s="221" t="inlineStr">
        <is>
          <t>Afwezig</t>
        </is>
      </c>
      <c r="R7" s="219" t="n"/>
      <c r="S7" s="221" t="inlineStr">
        <is>
          <t>Beg</t>
        </is>
      </c>
      <c r="T7" s="221" t="inlineStr">
        <is>
          <t>Eind</t>
        </is>
      </c>
      <c r="U7" s="221" t="inlineStr">
        <is>
          <t>Afwezig</t>
        </is>
      </c>
      <c r="V7" s="219" t="n"/>
      <c r="W7" s="221" t="inlineStr">
        <is>
          <t>Beg</t>
        </is>
      </c>
      <c r="X7" s="221" t="inlineStr">
        <is>
          <t>Eind</t>
        </is>
      </c>
      <c r="Y7" s="221" t="inlineStr">
        <is>
          <t>Afwezig</t>
        </is>
      </c>
      <c r="Z7" s="219" t="n"/>
      <c r="AA7" s="221" t="inlineStr">
        <is>
          <t>Beg</t>
        </is>
      </c>
      <c r="AB7" s="221" t="inlineStr">
        <is>
          <t>Eind</t>
        </is>
      </c>
      <c r="AC7" s="221" t="inlineStr">
        <is>
          <t>Afwezig</t>
        </is>
      </c>
      <c r="AD7" s="219" t="n"/>
      <c r="AE7" s="221" t="inlineStr">
        <is>
          <t>Beg</t>
        </is>
      </c>
      <c r="AF7" s="221" t="inlineStr">
        <is>
          <t>Eind</t>
        </is>
      </c>
      <c r="AG7" s="221" t="inlineStr">
        <is>
          <t>Afwezig</t>
        </is>
      </c>
      <c r="AH7" s="227" t="n"/>
      <c r="AI7" s="224" t="inlineStr">
        <is>
          <t>Afk</t>
        </is>
      </c>
      <c r="AJ7" s="58" t="n"/>
      <c r="AK7" s="58" t="n"/>
    </row>
    <row r="8" ht="12.75" customHeight="1">
      <c r="A8" s="21" t="n"/>
      <c r="B8" s="233" t="n">
        <v>1</v>
      </c>
      <c r="C8" s="273" t="inlineStr">
        <is>
          <t>Jacco Maas</t>
        </is>
      </c>
      <c r="D8" s="273" t="inlineStr">
        <is>
          <t>Manager Operatie</t>
        </is>
      </c>
      <c r="E8" s="274" t="n">
        <v>36.5</v>
      </c>
      <c r="F8" s="533" t="n"/>
      <c r="G8" s="277" t="n">
        <v>0.2083333333333333</v>
      </c>
      <c r="H8" s="277" t="n">
        <v>1</v>
      </c>
      <c r="I8" s="278" t="n"/>
      <c r="J8" s="533" t="n"/>
      <c r="K8" s="277" t="n">
        <v>0.2083333333333333</v>
      </c>
      <c r="L8" s="277" t="n">
        <v>1</v>
      </c>
      <c r="M8" s="278" t="n"/>
      <c r="N8" s="533" t="n"/>
      <c r="O8" s="277" t="n">
        <v>0.2083333333333333</v>
      </c>
      <c r="P8" s="277" t="n">
        <v>1</v>
      </c>
      <c r="Q8" s="278" t="n"/>
      <c r="R8" s="533" t="n"/>
      <c r="S8" s="277" t="n">
        <v>0.2083333333333333</v>
      </c>
      <c r="T8" s="277" t="n">
        <v>1</v>
      </c>
      <c r="U8" s="278" t="n"/>
      <c r="V8" s="533" t="n"/>
      <c r="W8" s="277" t="n">
        <v>0.2083333333333333</v>
      </c>
      <c r="X8" s="277" t="n">
        <v>1</v>
      </c>
      <c r="Y8" s="278" t="n"/>
      <c r="Z8" s="533" t="n"/>
      <c r="AA8" s="277" t="n">
        <v>0.2083333333333333</v>
      </c>
      <c r="AB8" s="277" t="n">
        <v>1</v>
      </c>
      <c r="AC8" s="278" t="n"/>
      <c r="AD8" s="533" t="n"/>
      <c r="AE8" s="277" t="n">
        <v>0.2083333333333333</v>
      </c>
      <c r="AF8" s="277" t="n">
        <v>1</v>
      </c>
      <c r="AG8" s="278" t="n"/>
      <c r="AH8" s="227" t="n"/>
      <c r="AI8" s="225">
        <f>IF(C8="","",IFERROR(VLOOKUP(D8,$AJ$8:$AK$21,2,FALSE),"MW"))</f>
        <v/>
      </c>
      <c r="AJ8" s="59" t="inlineStr">
        <is>
          <t>Supermarktmanager</t>
        </is>
      </c>
      <c r="AK8" s="59" t="inlineStr">
        <is>
          <t>SM</t>
        </is>
      </c>
    </row>
    <row r="9" ht="12.6" customHeight="1">
      <c r="A9" s="21" t="n"/>
      <c r="B9" s="233" t="n">
        <v>2</v>
      </c>
      <c r="C9" s="273" t="n"/>
      <c r="D9" s="273" t="n"/>
      <c r="E9" s="274" t="n"/>
      <c r="F9" s="533" t="n"/>
      <c r="G9" s="277" t="n">
        <v>0.2083333333333333</v>
      </c>
      <c r="H9" s="277" t="n">
        <v>1</v>
      </c>
      <c r="I9" s="278" t="n"/>
      <c r="J9" s="533" t="n"/>
      <c r="K9" s="277" t="n">
        <v>0.2083333333333333</v>
      </c>
      <c r="L9" s="277" t="n">
        <v>1</v>
      </c>
      <c r="M9" s="278" t="n"/>
      <c r="N9" s="533" t="n"/>
      <c r="O9" s="277" t="n">
        <v>0.2083333333333333</v>
      </c>
      <c r="P9" s="277" t="n">
        <v>1</v>
      </c>
      <c r="Q9" s="278" t="n"/>
      <c r="R9" s="533" t="n"/>
      <c r="S9" s="277" t="n">
        <v>0.2083333333333333</v>
      </c>
      <c r="T9" s="277" t="n">
        <v>1</v>
      </c>
      <c r="U9" s="278" t="n"/>
      <c r="V9" s="533" t="n"/>
      <c r="W9" s="277" t="n">
        <v>0.2083333333333333</v>
      </c>
      <c r="X9" s="277" t="n">
        <v>1</v>
      </c>
      <c r="Y9" s="278" t="n"/>
      <c r="Z9" s="533" t="n"/>
      <c r="AA9" s="277" t="n">
        <v>0.2083333333333333</v>
      </c>
      <c r="AB9" s="277" t="n">
        <v>1</v>
      </c>
      <c r="AC9" s="278" t="n"/>
      <c r="AD9" s="533" t="n"/>
      <c r="AE9" s="277" t="n">
        <v>0.2083333333333333</v>
      </c>
      <c r="AF9" s="277" t="n">
        <v>1</v>
      </c>
      <c r="AG9" s="278" t="n"/>
      <c r="AH9" s="227" t="n"/>
      <c r="AI9" s="225">
        <f>IF(C9="","",IFERROR(VLOOKUP(D9,$AJ$8:$AK$21,2,FALSE),"MW"))</f>
        <v/>
      </c>
      <c r="AJ9" s="59" t="inlineStr">
        <is>
          <t>Manager Operatie</t>
        </is>
      </c>
      <c r="AK9" s="59" t="inlineStr">
        <is>
          <t>MO</t>
        </is>
      </c>
    </row>
    <row r="10" ht="12.6" customHeight="1">
      <c r="A10" s="21" t="n"/>
      <c r="B10" s="233" t="n">
        <v>3</v>
      </c>
      <c r="C10" s="273" t="inlineStr">
        <is>
          <t>Sam Viravouth</t>
        </is>
      </c>
      <c r="D10" s="273" t="inlineStr">
        <is>
          <t>Shiftleider</t>
        </is>
      </c>
      <c r="E10" s="274" t="n">
        <v>36.5</v>
      </c>
      <c r="F10" s="533" t="n"/>
      <c r="G10" s="277" t="n">
        <v>0.2083333333333333</v>
      </c>
      <c r="H10" s="277" t="n">
        <v>1</v>
      </c>
      <c r="I10" s="278" t="n"/>
      <c r="J10" s="533" t="n"/>
      <c r="K10" s="277" t="n">
        <v>0.2083333333333333</v>
      </c>
      <c r="L10" s="277" t="n">
        <v>1</v>
      </c>
      <c r="M10" s="278" t="n"/>
      <c r="N10" s="533" t="n"/>
      <c r="O10" s="277" t="n">
        <v>0.2083333333333333</v>
      </c>
      <c r="P10" s="277" t="n">
        <v>1</v>
      </c>
      <c r="Q10" s="278" t="n"/>
      <c r="R10" s="533" t="n"/>
      <c r="S10" s="277" t="n">
        <v>0.2083333333333333</v>
      </c>
      <c r="T10" s="277" t="n">
        <v>1</v>
      </c>
      <c r="U10" s="278" t="n"/>
      <c r="V10" s="533" t="n"/>
      <c r="W10" s="277" t="n">
        <v>0.2083333333333333</v>
      </c>
      <c r="X10" s="277" t="n">
        <v>1</v>
      </c>
      <c r="Y10" s="278" t="n"/>
      <c r="Z10" s="533" t="n"/>
      <c r="AA10" s="277" t="n">
        <v>0.2083333333333333</v>
      </c>
      <c r="AB10" s="277" t="n">
        <v>1</v>
      </c>
      <c r="AC10" s="278" t="n"/>
      <c r="AD10" s="533" t="n"/>
      <c r="AE10" s="277" t="n">
        <v>0.2083333333333333</v>
      </c>
      <c r="AF10" s="277" t="n">
        <v>1</v>
      </c>
      <c r="AG10" s="278" t="n"/>
      <c r="AH10" s="227" t="n"/>
      <c r="AI10" s="225">
        <f>IF(C10="","",IFERROR(VLOOKUP(D10,$AJ$8:$AK$21,2,FALSE),"MW"))</f>
        <v/>
      </c>
      <c r="AJ10" s="59" t="inlineStr">
        <is>
          <t>Manager Vers</t>
        </is>
      </c>
      <c r="AK10" s="59" t="inlineStr">
        <is>
          <t>MV</t>
        </is>
      </c>
    </row>
    <row r="11" ht="12.6" customHeight="1">
      <c r="A11" s="21" t="n"/>
      <c r="B11" s="233" t="n">
        <v>4</v>
      </c>
      <c r="C11" s="273" t="inlineStr">
        <is>
          <t>Zubaid Shinwari</t>
        </is>
      </c>
      <c r="D11" s="273" t="inlineStr">
        <is>
          <t>Shiftleider</t>
        </is>
      </c>
      <c r="E11" s="274" t="n">
        <v>36.5</v>
      </c>
      <c r="F11" s="533" t="n"/>
      <c r="G11" s="277" t="n">
        <v>0.2083333333333333</v>
      </c>
      <c r="H11" s="277" t="n">
        <v>1</v>
      </c>
      <c r="I11" s="278" t="n"/>
      <c r="J11" s="533" t="n"/>
      <c r="K11" s="277" t="n">
        <v>0.2083333333333333</v>
      </c>
      <c r="L11" s="277" t="n">
        <v>1</v>
      </c>
      <c r="M11" s="278" t="n"/>
      <c r="N11" s="533" t="n"/>
      <c r="O11" s="277" t="n">
        <v>0.2083333333333333</v>
      </c>
      <c r="P11" s="277" t="n">
        <v>1</v>
      </c>
      <c r="Q11" s="278" t="n"/>
      <c r="R11" s="533" t="n"/>
      <c r="S11" s="277" t="n">
        <v>0.2083333333333333</v>
      </c>
      <c r="T11" s="277" t="n">
        <v>1</v>
      </c>
      <c r="U11" s="278" t="n"/>
      <c r="V11" s="533" t="n"/>
      <c r="W11" s="277" t="n">
        <v>0.2083333333333333</v>
      </c>
      <c r="X11" s="277" t="n">
        <v>1</v>
      </c>
      <c r="Y11" s="278" t="n"/>
      <c r="Z11" s="533" t="n"/>
      <c r="AA11" s="277" t="n">
        <v>0.2083333333333333</v>
      </c>
      <c r="AB11" s="277" t="n">
        <v>1</v>
      </c>
      <c r="AC11" s="278" t="n"/>
      <c r="AD11" s="533" t="n"/>
      <c r="AE11" s="277" t="n">
        <v>0.2083333333333333</v>
      </c>
      <c r="AF11" s="277" t="n">
        <v>1</v>
      </c>
      <c r="AG11" s="278" t="n"/>
      <c r="AH11" s="227" t="n"/>
      <c r="AI11" s="225">
        <f>IF(C11="","",IFERROR(VLOOKUP(D11,$AJ$8:$AK$21,2,FALSE),"MW"))</f>
        <v/>
      </c>
      <c r="AJ11" s="59" t="inlineStr">
        <is>
          <t>Manager Service</t>
        </is>
      </c>
      <c r="AK11" s="59" t="inlineStr">
        <is>
          <t>MS</t>
        </is>
      </c>
    </row>
    <row r="12" ht="12.6" customHeight="1">
      <c r="A12" s="21" t="n"/>
      <c r="B12" s="233" t="n">
        <v>5</v>
      </c>
      <c r="C12" s="273" t="inlineStr">
        <is>
          <t>Stefan</t>
        </is>
      </c>
      <c r="D12" s="273" t="inlineStr">
        <is>
          <t>Shiftleider</t>
        </is>
      </c>
      <c r="E12" s="274" t="n">
        <v>36.5</v>
      </c>
      <c r="F12" s="533" t="n"/>
      <c r="G12" s="277" t="n">
        <v>0.2083333333333333</v>
      </c>
      <c r="H12" s="277" t="n">
        <v>1</v>
      </c>
      <c r="I12" s="278" t="n"/>
      <c r="J12" s="533" t="n"/>
      <c r="K12" s="277" t="n">
        <v>0.2083333333333333</v>
      </c>
      <c r="L12" s="277" t="n">
        <v>1</v>
      </c>
      <c r="M12" s="278" t="n"/>
      <c r="N12" s="533" t="n"/>
      <c r="O12" s="277" t="n">
        <v>0.2083333333333333</v>
      </c>
      <c r="P12" s="277" t="n">
        <v>1</v>
      </c>
      <c r="Q12" s="278" t="n"/>
      <c r="R12" s="533" t="n"/>
      <c r="S12" s="277" t="n">
        <v>0.2083333333333333</v>
      </c>
      <c r="T12" s="277" t="n">
        <v>1</v>
      </c>
      <c r="U12" s="278" t="n"/>
      <c r="V12" s="533" t="n"/>
      <c r="W12" s="277" t="n">
        <v>0.2083333333333333</v>
      </c>
      <c r="X12" s="277" t="n">
        <v>1</v>
      </c>
      <c r="Y12" s="278" t="n"/>
      <c r="Z12" s="533" t="n"/>
      <c r="AA12" s="277" t="n">
        <v>0.2083333333333333</v>
      </c>
      <c r="AB12" s="277" t="n">
        <v>1</v>
      </c>
      <c r="AC12" s="278" t="n"/>
      <c r="AD12" s="533" t="n"/>
      <c r="AE12" s="277" t="n">
        <v>0.2083333333333333</v>
      </c>
      <c r="AF12" s="277" t="n">
        <v>1</v>
      </c>
      <c r="AG12" s="278" t="n"/>
      <c r="AH12" s="227" t="n"/>
      <c r="AI12" s="225">
        <f>IF(C12="","",IFERROR(VLOOKUP(D12,$AJ$8:$AK$21,2,FALSE),"MW"))</f>
        <v/>
      </c>
      <c r="AJ12" s="59" t="inlineStr">
        <is>
          <t>Shiftleider</t>
        </is>
      </c>
      <c r="AK12" s="59" t="inlineStr">
        <is>
          <t>SL</t>
        </is>
      </c>
    </row>
    <row r="13" ht="12.6" customHeight="1">
      <c r="A13" s="21" t="n"/>
      <c r="B13" s="233" t="n">
        <v>6</v>
      </c>
      <c r="C13" s="273" t="inlineStr">
        <is>
          <t>Viktor Toth</t>
        </is>
      </c>
      <c r="D13" s="273" t="inlineStr">
        <is>
          <t>Shiftleider</t>
        </is>
      </c>
      <c r="E13" s="274" t="n">
        <v>35</v>
      </c>
      <c r="F13" s="533" t="n"/>
      <c r="G13" s="277" t="n">
        <v>0.2083333333333333</v>
      </c>
      <c r="H13" s="277" t="n">
        <v>1</v>
      </c>
      <c r="I13" s="278" t="n"/>
      <c r="J13" s="533" t="n"/>
      <c r="K13" s="277" t="n">
        <v>0.2083333333333333</v>
      </c>
      <c r="L13" s="277" t="n">
        <v>1</v>
      </c>
      <c r="M13" s="278" t="n"/>
      <c r="N13" s="533" t="n"/>
      <c r="O13" s="277" t="n">
        <v>0.2083333333333333</v>
      </c>
      <c r="P13" s="277" t="n">
        <v>1</v>
      </c>
      <c r="Q13" s="278" t="n"/>
      <c r="R13" s="533" t="n"/>
      <c r="S13" s="277" t="n">
        <v>0.2083333333333333</v>
      </c>
      <c r="T13" s="277" t="n">
        <v>1</v>
      </c>
      <c r="U13" s="278" t="n"/>
      <c r="V13" s="533" t="n"/>
      <c r="W13" s="277" t="n">
        <v>0.2083333333333333</v>
      </c>
      <c r="X13" s="277" t="n">
        <v>1</v>
      </c>
      <c r="Y13" s="278" t="n"/>
      <c r="Z13" s="533" t="n"/>
      <c r="AA13" s="277" t="n">
        <v>0.2083333333333333</v>
      </c>
      <c r="AB13" s="277" t="n">
        <v>1</v>
      </c>
      <c r="AC13" s="278" t="n"/>
      <c r="AD13" s="533" t="n"/>
      <c r="AE13" s="277" t="n">
        <v>0.2083333333333333</v>
      </c>
      <c r="AF13" s="277" t="n">
        <v>1</v>
      </c>
      <c r="AG13" s="278" t="n"/>
      <c r="AH13" s="227" t="n"/>
      <c r="AI13" s="225">
        <f>IF(C13="","",IFERROR(VLOOKUP(D13,$AJ$8:$AK$21,2,FALSE),"MW"))</f>
        <v/>
      </c>
      <c r="AJ13" s="59" t="inlineStr">
        <is>
          <t>Medewerker Operatie</t>
        </is>
      </c>
      <c r="AK13" s="59" t="inlineStr">
        <is>
          <t>MW</t>
        </is>
      </c>
    </row>
    <row r="14" ht="12.6" customHeight="1">
      <c r="A14" s="21" t="n"/>
      <c r="B14" s="233" t="n">
        <v>7</v>
      </c>
      <c r="C14" s="273" t="n"/>
      <c r="D14" s="273" t="n"/>
      <c r="E14" s="274" t="n"/>
      <c r="F14" s="533" t="n"/>
      <c r="G14" s="277" t="n">
        <v>0.2083333333333333</v>
      </c>
      <c r="H14" s="277" t="n">
        <v>1</v>
      </c>
      <c r="I14" s="278" t="n"/>
      <c r="J14" s="533" t="n"/>
      <c r="K14" s="277" t="n">
        <v>0.2083333333333333</v>
      </c>
      <c r="L14" s="277" t="n">
        <v>1</v>
      </c>
      <c r="M14" s="278" t="n"/>
      <c r="N14" s="533" t="n"/>
      <c r="O14" s="277" t="n">
        <v>0.2083333333333333</v>
      </c>
      <c r="P14" s="277" t="n">
        <v>1</v>
      </c>
      <c r="Q14" s="278" t="n"/>
      <c r="R14" s="533" t="n"/>
      <c r="S14" s="277" t="n">
        <v>0.2083333333333333</v>
      </c>
      <c r="T14" s="277" t="n">
        <v>1</v>
      </c>
      <c r="U14" s="278" t="n"/>
      <c r="V14" s="533" t="n"/>
      <c r="W14" s="277" t="n">
        <v>0.2083333333333333</v>
      </c>
      <c r="X14" s="277" t="n">
        <v>1</v>
      </c>
      <c r="Y14" s="278" t="n"/>
      <c r="Z14" s="533" t="n"/>
      <c r="AA14" s="277" t="n">
        <v>0.2083333333333333</v>
      </c>
      <c r="AB14" s="277" t="n">
        <v>1</v>
      </c>
      <c r="AC14" s="278" t="n"/>
      <c r="AD14" s="533" t="n"/>
      <c r="AE14" s="277" t="n">
        <v>0.2083333333333333</v>
      </c>
      <c r="AF14" s="277" t="n">
        <v>1</v>
      </c>
      <c r="AG14" s="278" t="n"/>
      <c r="AH14" s="227" t="n"/>
      <c r="AI14" s="225">
        <f>IF(C14="","",IFERROR(VLOOKUP(D14,$AJ$8:$AK$21,2,FALSE),"MW"))</f>
        <v/>
      </c>
      <c r="AJ14" s="59" t="inlineStr">
        <is>
          <t>Medewerker Vers</t>
        </is>
      </c>
      <c r="AK14" s="59" t="inlineStr">
        <is>
          <t>MW</t>
        </is>
      </c>
    </row>
    <row r="15" ht="12.6" customHeight="1">
      <c r="A15" s="21" t="n"/>
      <c r="B15" s="233" t="n">
        <v>8</v>
      </c>
      <c r="C15" s="273" t="inlineStr">
        <is>
          <t>Laila Bishir</t>
        </is>
      </c>
      <c r="D15" s="273" t="inlineStr">
        <is>
          <t>Medewerker Operatie</t>
        </is>
      </c>
      <c r="E15" s="274" t="n">
        <v>30</v>
      </c>
      <c r="F15" s="533" t="n"/>
      <c r="G15" s="277" t="n">
        <v>0.2083333333333333</v>
      </c>
      <c r="H15" s="277" t="n">
        <v>1</v>
      </c>
      <c r="I15" s="278" t="n"/>
      <c r="J15" s="533" t="n"/>
      <c r="K15" s="277" t="n">
        <v>0.2083333333333333</v>
      </c>
      <c r="L15" s="277" t="n">
        <v>1</v>
      </c>
      <c r="M15" s="278" t="n"/>
      <c r="N15" s="533" t="n"/>
      <c r="O15" s="277" t="n">
        <v>0.2083333333333333</v>
      </c>
      <c r="P15" s="277" t="n">
        <v>1</v>
      </c>
      <c r="Q15" s="278" t="n"/>
      <c r="R15" s="533" t="n"/>
      <c r="S15" s="277" t="n">
        <v>0.2083333333333333</v>
      </c>
      <c r="T15" s="277" t="n">
        <v>1</v>
      </c>
      <c r="U15" s="278" t="n"/>
      <c r="V15" s="533" t="n"/>
      <c r="W15" s="277" t="n">
        <v>0.2083333333333333</v>
      </c>
      <c r="X15" s="277" t="n">
        <v>1</v>
      </c>
      <c r="Y15" s="278" t="n"/>
      <c r="Z15" s="533" t="n"/>
      <c r="AA15" s="277" t="n">
        <v>0.2083333333333333</v>
      </c>
      <c r="AB15" s="277" t="n">
        <v>1</v>
      </c>
      <c r="AC15" s="278" t="n"/>
      <c r="AD15" s="533" t="n"/>
      <c r="AE15" s="277" t="n">
        <v>0.2083333333333333</v>
      </c>
      <c r="AF15" s="277" t="n">
        <v>1</v>
      </c>
      <c r="AG15" s="278" t="n"/>
      <c r="AH15" s="227" t="n"/>
      <c r="AI15" s="225">
        <f>IF(C15="","",IFERROR(VLOOKUP(D15,$AJ$8:$AK$21,2,FALSE),"MW"))</f>
        <v/>
      </c>
      <c r="AJ15" s="59" t="inlineStr">
        <is>
          <t>Medewerker Kwaliteit</t>
        </is>
      </c>
      <c r="AK15" s="59" t="inlineStr">
        <is>
          <t>KW</t>
        </is>
      </c>
    </row>
    <row r="16" ht="12.6" customHeight="1">
      <c r="A16" s="21" t="n"/>
      <c r="B16" s="233" t="n">
        <v>9</v>
      </c>
      <c r="C16" s="273" t="inlineStr">
        <is>
          <t>Yoselin</t>
        </is>
      </c>
      <c r="D16" s="273" t="inlineStr">
        <is>
          <t>Medewerker Operatie</t>
        </is>
      </c>
      <c r="E16" s="274" t="n">
        <v>25</v>
      </c>
      <c r="F16" s="533" t="n"/>
      <c r="G16" s="277" t="n">
        <v>0.2083333333333333</v>
      </c>
      <c r="H16" s="277" t="n">
        <v>1</v>
      </c>
      <c r="I16" s="278" t="n"/>
      <c r="J16" s="533" t="n"/>
      <c r="K16" s="277" t="n">
        <v>0.2083333333333333</v>
      </c>
      <c r="L16" s="277" t="n">
        <v>1</v>
      </c>
      <c r="M16" s="278" t="n"/>
      <c r="N16" s="533" t="n"/>
      <c r="O16" s="277" t="n">
        <v>0.2083333333333333</v>
      </c>
      <c r="P16" s="277" t="n">
        <v>1</v>
      </c>
      <c r="Q16" s="278" t="n"/>
      <c r="R16" s="533" t="n"/>
      <c r="S16" s="277" t="n">
        <v>0.2083333333333333</v>
      </c>
      <c r="T16" s="277" t="n">
        <v>1</v>
      </c>
      <c r="U16" s="278" t="n"/>
      <c r="V16" s="533" t="n"/>
      <c r="W16" s="277" t="n">
        <v>0.2083333333333333</v>
      </c>
      <c r="X16" s="277" t="n">
        <v>1</v>
      </c>
      <c r="Y16" s="278" t="n"/>
      <c r="Z16" s="533" t="n"/>
      <c r="AA16" s="277" t="n">
        <v>0.2083333333333333</v>
      </c>
      <c r="AB16" s="277" t="n">
        <v>1</v>
      </c>
      <c r="AC16" s="278" t="n"/>
      <c r="AD16" s="533" t="n"/>
      <c r="AE16" s="277" t="n">
        <v>0.2083333333333333</v>
      </c>
      <c r="AF16" s="277" t="n">
        <v>1</v>
      </c>
      <c r="AG16" s="278" t="n"/>
      <c r="AH16" s="227" t="n"/>
      <c r="AI16" s="225">
        <f>IF(C16="","",IFERROR(VLOOKUP(D16,$AJ$8:$AK$21,2,FALSE),"MW"))</f>
        <v/>
      </c>
      <c r="AJ16" s="59" t="inlineStr">
        <is>
          <t>Caissière B</t>
        </is>
      </c>
      <c r="AK16" s="59" t="inlineStr">
        <is>
          <t>Cas B</t>
        </is>
      </c>
    </row>
    <row r="17" ht="12.6" customHeight="1">
      <c r="A17" s="21" t="n"/>
      <c r="B17" s="233" t="n">
        <v>10</v>
      </c>
      <c r="C17" s="273" t="inlineStr">
        <is>
          <t>Mina</t>
        </is>
      </c>
      <c r="D17" s="273" t="inlineStr">
        <is>
          <t>Medewerker Operatie</t>
        </is>
      </c>
      <c r="E17" s="274" t="n">
        <v>36.5</v>
      </c>
      <c r="F17" s="533" t="n"/>
      <c r="G17" s="277" t="n">
        <v>0.2083333333333333</v>
      </c>
      <c r="H17" s="277" t="n">
        <v>1</v>
      </c>
      <c r="I17" s="278" t="n"/>
      <c r="J17" s="533" t="n"/>
      <c r="K17" s="277" t="n">
        <v>0.2083333333333333</v>
      </c>
      <c r="L17" s="277" t="n">
        <v>1</v>
      </c>
      <c r="M17" s="278" t="n"/>
      <c r="N17" s="533" t="n"/>
      <c r="O17" s="277" t="n">
        <v>0.2083333333333333</v>
      </c>
      <c r="P17" s="277" t="n">
        <v>1</v>
      </c>
      <c r="Q17" s="278" t="n"/>
      <c r="R17" s="533" t="n"/>
      <c r="S17" s="277" t="n">
        <v>0.2083333333333333</v>
      </c>
      <c r="T17" s="277" t="n">
        <v>1</v>
      </c>
      <c r="U17" s="278" t="n"/>
      <c r="V17" s="533" t="n"/>
      <c r="W17" s="277" t="n">
        <v>0.2083333333333333</v>
      </c>
      <c r="X17" s="277" t="n">
        <v>1</v>
      </c>
      <c r="Y17" s="278" t="n"/>
      <c r="Z17" s="533" t="n"/>
      <c r="AA17" s="277" t="n">
        <v>0.2083333333333333</v>
      </c>
      <c r="AB17" s="277" t="n">
        <v>1</v>
      </c>
      <c r="AC17" s="278" t="n"/>
      <c r="AD17" s="533" t="n"/>
      <c r="AE17" s="277" t="n">
        <v>0.2083333333333333</v>
      </c>
      <c r="AF17" s="277" t="n">
        <v>1</v>
      </c>
      <c r="AG17" s="278" t="n"/>
      <c r="AH17" s="227" t="n"/>
      <c r="AI17" s="225">
        <f>IF(C17="","",IFERROR(VLOOKUP(D17,$AJ$8:$AK$21,2,FALSE),"MW"))</f>
        <v/>
      </c>
      <c r="AJ17" s="59" t="inlineStr">
        <is>
          <t>Caissière A</t>
        </is>
      </c>
      <c r="AK17" s="59" t="inlineStr">
        <is>
          <t>Cas A</t>
        </is>
      </c>
    </row>
    <row r="18" ht="12.6" customHeight="1">
      <c r="A18" s="21" t="n"/>
      <c r="B18" s="233" t="n">
        <v>11</v>
      </c>
      <c r="C18" s="273" t="inlineStr">
        <is>
          <t>Saida Hadouti</t>
        </is>
      </c>
      <c r="D18" s="273" t="inlineStr">
        <is>
          <t>Medewerker Operatie</t>
        </is>
      </c>
      <c r="E18" s="274" t="n">
        <v>25</v>
      </c>
      <c r="F18" s="533" t="n"/>
      <c r="G18" s="277" t="n">
        <v>0.2083333333333333</v>
      </c>
      <c r="H18" s="277" t="n">
        <v>1</v>
      </c>
      <c r="I18" s="278" t="n"/>
      <c r="J18" s="533" t="n"/>
      <c r="K18" s="277" t="n">
        <v>0.2083333333333333</v>
      </c>
      <c r="L18" s="277" t="n">
        <v>1</v>
      </c>
      <c r="M18" s="278" t="n"/>
      <c r="N18" s="533" t="n"/>
      <c r="O18" s="277" t="n">
        <v>0.2083333333333333</v>
      </c>
      <c r="P18" s="277" t="n">
        <v>1</v>
      </c>
      <c r="Q18" s="278" t="n"/>
      <c r="R18" s="533" t="n"/>
      <c r="S18" s="277" t="n">
        <v>0.2083333333333333</v>
      </c>
      <c r="T18" s="277" t="n">
        <v>1</v>
      </c>
      <c r="U18" s="278" t="n"/>
      <c r="V18" s="533" t="n"/>
      <c r="W18" s="277" t="n">
        <v>0.2083333333333333</v>
      </c>
      <c r="X18" s="277" t="n">
        <v>1</v>
      </c>
      <c r="Y18" s="278" t="n"/>
      <c r="Z18" s="533" t="n"/>
      <c r="AA18" s="277" t="n">
        <v>0.2083333333333333</v>
      </c>
      <c r="AB18" s="277" t="n">
        <v>1</v>
      </c>
      <c r="AC18" s="278" t="n"/>
      <c r="AD18" s="533" t="n"/>
      <c r="AE18" s="277" t="n">
        <v>0.2083333333333333</v>
      </c>
      <c r="AF18" s="277" t="n">
        <v>1</v>
      </c>
      <c r="AG18" s="278" t="n"/>
      <c r="AH18" s="227" t="n"/>
      <c r="AI18" s="225">
        <f>IF(C18="","",IFERROR(VLOOKUP(D18,$AJ$8:$AK$21,2,FALSE),"MW"))</f>
        <v/>
      </c>
      <c r="AJ18" s="59" t="inlineStr">
        <is>
          <t>Jobstudent</t>
        </is>
      </c>
      <c r="AK18" s="59" t="inlineStr">
        <is>
          <t>JOB</t>
        </is>
      </c>
    </row>
    <row r="19" ht="12.6" customHeight="1">
      <c r="A19" s="21" t="n"/>
      <c r="B19" s="233" t="n">
        <v>12</v>
      </c>
      <c r="C19" s="273" t="inlineStr">
        <is>
          <t>Snesjana</t>
        </is>
      </c>
      <c r="D19" s="273" t="inlineStr">
        <is>
          <t>Medewerker Operatie</t>
        </is>
      </c>
      <c r="E19" s="274" t="n">
        <v>25</v>
      </c>
      <c r="F19" s="533" t="n"/>
      <c r="G19" s="277" t="n">
        <v>0.2083333333333333</v>
      </c>
      <c r="H19" s="277" t="n">
        <v>1</v>
      </c>
      <c r="I19" s="278" t="n"/>
      <c r="J19" s="533" t="n"/>
      <c r="K19" s="277" t="n">
        <v>0.2083333333333333</v>
      </c>
      <c r="L19" s="277" t="n">
        <v>1</v>
      </c>
      <c r="M19" s="278" t="n"/>
      <c r="N19" s="533" t="n"/>
      <c r="O19" s="277" t="n">
        <v>0.2083333333333333</v>
      </c>
      <c r="P19" s="277" t="n">
        <v>1</v>
      </c>
      <c r="Q19" s="278" t="n"/>
      <c r="R19" s="533" t="n"/>
      <c r="S19" s="277" t="n">
        <v>0.2083333333333333</v>
      </c>
      <c r="T19" s="277" t="n">
        <v>1</v>
      </c>
      <c r="U19" s="278" t="n"/>
      <c r="V19" s="533" t="n"/>
      <c r="W19" s="277" t="n">
        <v>0.2083333333333333</v>
      </c>
      <c r="X19" s="277" t="n">
        <v>1</v>
      </c>
      <c r="Y19" s="278" t="n"/>
      <c r="Z19" s="533" t="n"/>
      <c r="AA19" s="277" t="n">
        <v>0.2083333333333333</v>
      </c>
      <c r="AB19" s="277" t="n">
        <v>1</v>
      </c>
      <c r="AC19" s="278" t="n"/>
      <c r="AD19" s="533" t="n"/>
      <c r="AE19" s="277" t="n">
        <v>0.2083333333333333</v>
      </c>
      <c r="AF19" s="277" t="n">
        <v>1</v>
      </c>
      <c r="AG19" s="278" t="n"/>
      <c r="AH19" s="227" t="n"/>
      <c r="AI19" s="225">
        <f>IF(C19="","",IFERROR(VLOOKUP(D19,$AJ$8:$AK$21,2,FALSE),"MW"))</f>
        <v/>
      </c>
      <c r="AJ19" s="59" t="inlineStr">
        <is>
          <t>Interim-Medewerker</t>
        </is>
      </c>
      <c r="AK19" s="59" t="inlineStr">
        <is>
          <t>IMW</t>
        </is>
      </c>
    </row>
    <row r="20" ht="12.6" customHeight="1">
      <c r="A20" s="21" t="n"/>
      <c r="B20" s="233" t="n">
        <v>13</v>
      </c>
      <c r="C20" s="273" t="inlineStr">
        <is>
          <t>Johny</t>
        </is>
      </c>
      <c r="D20" s="273" t="inlineStr">
        <is>
          <t>Medewerker Operatie</t>
        </is>
      </c>
      <c r="E20" s="274" t="n">
        <v>25</v>
      </c>
      <c r="F20" s="533" t="n"/>
      <c r="G20" s="277" t="n">
        <v>0.2083333333333333</v>
      </c>
      <c r="H20" s="277" t="n">
        <v>1</v>
      </c>
      <c r="I20" s="278" t="n"/>
      <c r="J20" s="533" t="n"/>
      <c r="K20" s="277" t="n">
        <v>0.2083333333333333</v>
      </c>
      <c r="L20" s="277" t="n">
        <v>1</v>
      </c>
      <c r="M20" s="278" t="n"/>
      <c r="N20" s="533" t="n"/>
      <c r="O20" s="277" t="n">
        <v>0.2083333333333333</v>
      </c>
      <c r="P20" s="277" t="n">
        <v>1</v>
      </c>
      <c r="Q20" s="278" t="n"/>
      <c r="R20" s="533" t="n"/>
      <c r="S20" s="277" t="n">
        <v>0.2083333333333333</v>
      </c>
      <c r="T20" s="277" t="n">
        <v>1</v>
      </c>
      <c r="U20" s="278" t="n"/>
      <c r="V20" s="533" t="n"/>
      <c r="W20" s="277" t="n">
        <v>0.2083333333333333</v>
      </c>
      <c r="X20" s="277" t="n">
        <v>1</v>
      </c>
      <c r="Y20" s="278" t="n"/>
      <c r="Z20" s="533" t="n"/>
      <c r="AA20" s="277" t="n">
        <v>0.2083333333333333</v>
      </c>
      <c r="AB20" s="277" t="n">
        <v>1</v>
      </c>
      <c r="AC20" s="278" t="n"/>
      <c r="AD20" s="533" t="n"/>
      <c r="AE20" s="277" t="n">
        <v>0.2083333333333333</v>
      </c>
      <c r="AF20" s="277" t="n">
        <v>1</v>
      </c>
      <c r="AG20" s="278" t="n"/>
      <c r="AH20" s="227" t="n"/>
      <c r="AI20" s="225">
        <f>IF(C20="","",IFERROR(VLOOKUP(D20,$AJ$8:$AK$21,2,FALSE),"MW"))</f>
        <v/>
      </c>
      <c r="AJ20" s="59" t="inlineStr">
        <is>
          <t>Interim - Jobstudent</t>
        </is>
      </c>
      <c r="AK20" s="59" t="inlineStr">
        <is>
          <t>IJOB</t>
        </is>
      </c>
    </row>
    <row r="21" ht="12.6" customHeight="1">
      <c r="A21" s="21" t="n"/>
      <c r="B21" s="233" t="n">
        <v>14</v>
      </c>
      <c r="C21" s="273" t="inlineStr">
        <is>
          <t>Kamal</t>
        </is>
      </c>
      <c r="D21" s="273" t="inlineStr">
        <is>
          <t>Medewerker Operatie</t>
        </is>
      </c>
      <c r="E21" s="274" t="n">
        <v>30</v>
      </c>
      <c r="F21" s="533" t="n"/>
      <c r="G21" s="277" t="n">
        <v>0.2083333333333333</v>
      </c>
      <c r="H21" s="277" t="n">
        <v>1</v>
      </c>
      <c r="I21" s="278" t="n"/>
      <c r="J21" s="533" t="n"/>
      <c r="K21" s="277" t="n">
        <v>0.2083333333333333</v>
      </c>
      <c r="L21" s="277" t="n">
        <v>1</v>
      </c>
      <c r="M21" s="278" t="n"/>
      <c r="N21" s="533" t="n"/>
      <c r="O21" s="277" t="n">
        <v>0.2083333333333333</v>
      </c>
      <c r="P21" s="277" t="n">
        <v>1</v>
      </c>
      <c r="Q21" s="278" t="n"/>
      <c r="R21" s="533" t="n"/>
      <c r="S21" s="277" t="n">
        <v>0.2083333333333333</v>
      </c>
      <c r="T21" s="277" t="n">
        <v>1</v>
      </c>
      <c r="U21" s="278" t="n"/>
      <c r="V21" s="533" t="n"/>
      <c r="W21" s="277" t="n">
        <v>0.2083333333333333</v>
      </c>
      <c r="X21" s="277" t="n">
        <v>1</v>
      </c>
      <c r="Y21" s="278" t="n"/>
      <c r="Z21" s="533" t="n"/>
      <c r="AA21" s="277" t="n">
        <v>0.2083333333333333</v>
      </c>
      <c r="AB21" s="277" t="n">
        <v>1</v>
      </c>
      <c r="AC21" s="278" t="n"/>
      <c r="AD21" s="533" t="n"/>
      <c r="AE21" s="277" t="n">
        <v>0.2083333333333333</v>
      </c>
      <c r="AF21" s="277" t="n">
        <v>1</v>
      </c>
      <c r="AG21" s="278" t="n"/>
      <c r="AH21" s="227" t="n"/>
      <c r="AI21" s="225">
        <f>IF(C21="","",IFERROR(VLOOKUP(D21,$AJ$8:$AK$21,2,FALSE),"MW"))</f>
        <v/>
      </c>
      <c r="AJ21" s="59">
        <f>IF(Access!C3&lt;3100,"","Flexi-job")</f>
        <v/>
      </c>
      <c r="AK21" s="59">
        <f>IF(Access!C3&lt;3100,"","FLX")</f>
        <v/>
      </c>
    </row>
    <row r="22" ht="12.6" customHeight="1">
      <c r="A22" s="21" t="n"/>
      <c r="B22" s="233" t="n">
        <v>15</v>
      </c>
      <c r="C22" s="273" t="inlineStr">
        <is>
          <t>Rachid Ahrass</t>
        </is>
      </c>
      <c r="D22" s="273" t="inlineStr">
        <is>
          <t>Medewerker Operatie</t>
        </is>
      </c>
      <c r="E22" s="274" t="n">
        <v>36.5</v>
      </c>
      <c r="F22" s="533" t="n"/>
      <c r="G22" s="277" t="n">
        <v>0.2083333333333333</v>
      </c>
      <c r="H22" s="277" t="n">
        <v>1</v>
      </c>
      <c r="I22" s="278" t="n"/>
      <c r="J22" s="533" t="n"/>
      <c r="K22" s="277" t="n">
        <v>0.2083333333333333</v>
      </c>
      <c r="L22" s="277" t="n">
        <v>1</v>
      </c>
      <c r="M22" s="278" t="n"/>
      <c r="N22" s="533" t="n"/>
      <c r="O22" s="277" t="n">
        <v>0.2083333333333333</v>
      </c>
      <c r="P22" s="277" t="n">
        <v>1</v>
      </c>
      <c r="Q22" s="278" t="n"/>
      <c r="R22" s="533" t="n"/>
      <c r="S22" s="277" t="n">
        <v>0.2083333333333333</v>
      </c>
      <c r="T22" s="277" t="n">
        <v>1</v>
      </c>
      <c r="U22" s="278" t="n"/>
      <c r="V22" s="533" t="n"/>
      <c r="W22" s="277" t="n">
        <v>0.2083333333333333</v>
      </c>
      <c r="X22" s="277" t="n">
        <v>1</v>
      </c>
      <c r="Y22" s="278" t="n"/>
      <c r="Z22" s="533" t="n"/>
      <c r="AA22" s="277" t="n">
        <v>0.2083333333333333</v>
      </c>
      <c r="AB22" s="277" t="n">
        <v>1</v>
      </c>
      <c r="AC22" s="278" t="n"/>
      <c r="AD22" s="533" t="n"/>
      <c r="AE22" s="277" t="n">
        <v>0.2083333333333333</v>
      </c>
      <c r="AF22" s="277" t="n">
        <v>1</v>
      </c>
      <c r="AG22" s="278" t="n"/>
      <c r="AH22" s="227" t="n"/>
      <c r="AI22" s="225">
        <f>IF(C22="","",IFERROR(VLOOKUP(D22,$AJ$8:$AK$21,2,FALSE),"MW"))</f>
        <v/>
      </c>
      <c r="AJ22" s="59" t="n"/>
      <c r="AK22" s="59" t="n"/>
    </row>
    <row r="23" ht="12.6" customHeight="1">
      <c r="A23" s="21" t="n"/>
      <c r="B23" s="233" t="n">
        <v>16</v>
      </c>
      <c r="C23" s="273" t="inlineStr">
        <is>
          <t>Mike Odafe</t>
        </is>
      </c>
      <c r="D23" s="273" t="inlineStr">
        <is>
          <t>Medewerker Operatie</t>
        </is>
      </c>
      <c r="E23" s="274" t="n">
        <v>36.5</v>
      </c>
      <c r="F23" s="533" t="n"/>
      <c r="G23" s="277" t="n">
        <v>0.2083333333333333</v>
      </c>
      <c r="H23" s="277" t="n">
        <v>1</v>
      </c>
      <c r="I23" s="278" t="n"/>
      <c r="J23" s="533" t="n"/>
      <c r="K23" s="277" t="n">
        <v>0.2083333333333333</v>
      </c>
      <c r="L23" s="277" t="n">
        <v>1</v>
      </c>
      <c r="M23" s="278" t="n"/>
      <c r="N23" s="533" t="n"/>
      <c r="O23" s="277" t="n">
        <v>0.2083333333333333</v>
      </c>
      <c r="P23" s="277" t="n">
        <v>1</v>
      </c>
      <c r="Q23" s="278" t="n"/>
      <c r="R23" s="533" t="n"/>
      <c r="S23" s="277" t="n">
        <v>0.2083333333333333</v>
      </c>
      <c r="T23" s="277" t="n">
        <v>1</v>
      </c>
      <c r="U23" s="278" t="n"/>
      <c r="V23" s="533" t="n"/>
      <c r="W23" s="277" t="n">
        <v>0.2083333333333333</v>
      </c>
      <c r="X23" s="277" t="n">
        <v>1</v>
      </c>
      <c r="Y23" s="278" t="n"/>
      <c r="Z23" s="533" t="n"/>
      <c r="AA23" s="277" t="n">
        <v>0.2083333333333333</v>
      </c>
      <c r="AB23" s="277" t="n">
        <v>1</v>
      </c>
      <c r="AC23" s="278" t="n"/>
      <c r="AD23" s="533" t="n"/>
      <c r="AE23" s="277" t="n">
        <v>0.2083333333333333</v>
      </c>
      <c r="AF23" s="277" t="n">
        <v>1</v>
      </c>
      <c r="AG23" s="278" t="n"/>
      <c r="AH23" s="227" t="n"/>
      <c r="AI23" s="225">
        <f>IF(C23="","",IFERROR(VLOOKUP(D23,$AJ$8:$AK$21,2,FALSE),"MW"))</f>
        <v/>
      </c>
      <c r="AJ23" s="59" t="n"/>
      <c r="AK23" s="59" t="n"/>
    </row>
    <row r="24" ht="12.6" customHeight="1">
      <c r="A24" s="21" t="n"/>
      <c r="B24" s="233" t="n">
        <v>17</v>
      </c>
      <c r="C24" s="273" t="inlineStr">
        <is>
          <t>Tony Zogo</t>
        </is>
      </c>
      <c r="D24" s="273" t="inlineStr">
        <is>
          <t>Medewerker Operatie</t>
        </is>
      </c>
      <c r="E24" s="274" t="n">
        <v>30</v>
      </c>
      <c r="F24" s="533" t="n"/>
      <c r="G24" s="277" t="n">
        <v>0.2083333333333333</v>
      </c>
      <c r="H24" s="277" t="n">
        <v>1</v>
      </c>
      <c r="I24" s="278" t="n"/>
      <c r="J24" s="533" t="n"/>
      <c r="K24" s="277" t="n">
        <v>0.2083333333333333</v>
      </c>
      <c r="L24" s="277" t="n">
        <v>1</v>
      </c>
      <c r="M24" s="278" t="n"/>
      <c r="N24" s="533" t="n"/>
      <c r="O24" s="277" t="n">
        <v>0.2083333333333333</v>
      </c>
      <c r="P24" s="277" t="n">
        <v>1</v>
      </c>
      <c r="Q24" s="278" t="n"/>
      <c r="R24" s="533" t="n"/>
      <c r="S24" s="277" t="n">
        <v>0.2083333333333333</v>
      </c>
      <c r="T24" s="277" t="n">
        <v>1</v>
      </c>
      <c r="U24" s="278" t="n"/>
      <c r="V24" s="533" t="n"/>
      <c r="W24" s="277" t="n">
        <v>0.2083333333333333</v>
      </c>
      <c r="X24" s="277" t="n">
        <v>1</v>
      </c>
      <c r="Y24" s="278" t="n"/>
      <c r="Z24" s="533" t="n"/>
      <c r="AA24" s="277" t="n">
        <v>0.2083333333333333</v>
      </c>
      <c r="AB24" s="277" t="n">
        <v>1</v>
      </c>
      <c r="AC24" s="278" t="n"/>
      <c r="AD24" s="533" t="n"/>
      <c r="AE24" s="277" t="n">
        <v>0.2083333333333333</v>
      </c>
      <c r="AF24" s="277" t="n">
        <v>1</v>
      </c>
      <c r="AG24" s="278" t="n"/>
      <c r="AH24" s="227" t="n"/>
      <c r="AI24" s="225">
        <f>IF(C24="","",IFERROR(VLOOKUP(D24,$AJ$8:$AK$21,2,FALSE),"MW"))</f>
        <v/>
      </c>
      <c r="AJ24" s="59" t="n"/>
      <c r="AK24" s="59" t="n"/>
    </row>
    <row r="25" ht="12.6" customHeight="1">
      <c r="A25" s="21" t="n"/>
      <c r="B25" s="233" t="n">
        <v>18</v>
      </c>
      <c r="C25" s="273" t="n"/>
      <c r="D25" s="273" t="n"/>
      <c r="E25" s="274" t="n"/>
      <c r="F25" s="533" t="n"/>
      <c r="G25" s="277" t="n">
        <v>0.2083333333333333</v>
      </c>
      <c r="H25" s="277" t="n">
        <v>1</v>
      </c>
      <c r="I25" s="278" t="n"/>
      <c r="J25" s="533" t="n"/>
      <c r="K25" s="277" t="n">
        <v>0.2083333333333333</v>
      </c>
      <c r="L25" s="277" t="n">
        <v>1</v>
      </c>
      <c r="M25" s="278" t="n"/>
      <c r="N25" s="533" t="n"/>
      <c r="O25" s="277" t="n">
        <v>0.2083333333333333</v>
      </c>
      <c r="P25" s="277" t="n">
        <v>1</v>
      </c>
      <c r="Q25" s="278" t="n"/>
      <c r="R25" s="533" t="n"/>
      <c r="S25" s="277" t="n">
        <v>0.2083333333333333</v>
      </c>
      <c r="T25" s="277" t="n">
        <v>1</v>
      </c>
      <c r="U25" s="278" t="n"/>
      <c r="V25" s="533" t="n"/>
      <c r="W25" s="277" t="n">
        <v>0.2083333333333333</v>
      </c>
      <c r="X25" s="277" t="n">
        <v>1</v>
      </c>
      <c r="Y25" s="278" t="n"/>
      <c r="Z25" s="533" t="n"/>
      <c r="AA25" s="277" t="n">
        <v>0.2083333333333333</v>
      </c>
      <c r="AB25" s="277" t="n">
        <v>1</v>
      </c>
      <c r="AC25" s="278" t="n"/>
      <c r="AD25" s="533" t="n"/>
      <c r="AE25" s="277" t="n">
        <v>0.2083333333333333</v>
      </c>
      <c r="AF25" s="277" t="n">
        <v>1</v>
      </c>
      <c r="AG25" s="278" t="n"/>
      <c r="AH25" s="227" t="n"/>
      <c r="AI25" s="225">
        <f>IF(C25="","",IFERROR(VLOOKUP(D25,$AJ$8:$AK$21,2,FALSE),"MW"))</f>
        <v/>
      </c>
      <c r="AJ25" s="59" t="n"/>
      <c r="AK25" s="59" t="n"/>
    </row>
    <row r="26" ht="12.6" customHeight="1">
      <c r="A26" s="21" t="n"/>
      <c r="B26" s="233" t="n">
        <v>19</v>
      </c>
      <c r="C26" s="273" t="inlineStr">
        <is>
          <t>Nermeen Mamlouk</t>
        </is>
      </c>
      <c r="D26" s="273" t="inlineStr">
        <is>
          <t>Medewerker Operatie</t>
        </is>
      </c>
      <c r="E26" s="274" t="n">
        <v>24</v>
      </c>
      <c r="F26" s="533" t="n"/>
      <c r="G26" s="277" t="n">
        <v>0.2083333333333333</v>
      </c>
      <c r="H26" s="277" t="n">
        <v>1</v>
      </c>
      <c r="I26" s="278" t="n"/>
      <c r="J26" s="533" t="n"/>
      <c r="K26" s="277" t="n">
        <v>0.2083333333333333</v>
      </c>
      <c r="L26" s="277" t="n">
        <v>1</v>
      </c>
      <c r="M26" s="278" t="n"/>
      <c r="N26" s="533" t="n"/>
      <c r="O26" s="277" t="n">
        <v>0.2083333333333333</v>
      </c>
      <c r="P26" s="277" t="n">
        <v>1</v>
      </c>
      <c r="Q26" s="278" t="n"/>
      <c r="R26" s="533" t="n"/>
      <c r="S26" s="277" t="n">
        <v>0.2083333333333333</v>
      </c>
      <c r="T26" s="277" t="n">
        <v>1</v>
      </c>
      <c r="U26" s="278" t="n"/>
      <c r="V26" s="533" t="n"/>
      <c r="W26" s="277" t="n">
        <v>0.2083333333333333</v>
      </c>
      <c r="X26" s="277" t="n">
        <v>1</v>
      </c>
      <c r="Y26" s="278" t="n"/>
      <c r="Z26" s="533" t="n"/>
      <c r="AA26" s="277" t="n">
        <v>0.2083333333333333</v>
      </c>
      <c r="AB26" s="277" t="n">
        <v>1</v>
      </c>
      <c r="AC26" s="278" t="n"/>
      <c r="AD26" s="533" t="n"/>
      <c r="AE26" s="277" t="n">
        <v>0.2083333333333333</v>
      </c>
      <c r="AF26" s="277" t="n">
        <v>1</v>
      </c>
      <c r="AG26" s="278" t="n"/>
      <c r="AH26" s="227" t="n"/>
      <c r="AI26" s="225">
        <f>IF(C26="","",IFERROR(VLOOKUP(D26,$AJ$8:$AK$21,2,FALSE),"MW"))</f>
        <v/>
      </c>
      <c r="AJ26" s="59" t="n"/>
      <c r="AK26" s="59" t="n"/>
    </row>
    <row r="27" ht="12.6" customHeight="1">
      <c r="A27" s="21" t="n"/>
      <c r="B27" s="233" t="n">
        <v>20</v>
      </c>
      <c r="C27" s="273" t="n"/>
      <c r="D27" s="273" t="n"/>
      <c r="E27" s="274" t="n"/>
      <c r="F27" s="533" t="n"/>
      <c r="G27" s="277" t="n">
        <v>0.2083333333333333</v>
      </c>
      <c r="H27" s="277" t="n">
        <v>1</v>
      </c>
      <c r="I27" s="278" t="n"/>
      <c r="J27" s="533" t="n"/>
      <c r="K27" s="277" t="n">
        <v>0.2083333333333333</v>
      </c>
      <c r="L27" s="277" t="n">
        <v>1</v>
      </c>
      <c r="M27" s="278" t="n"/>
      <c r="N27" s="533" t="n"/>
      <c r="O27" s="277" t="n">
        <v>0.2083333333333333</v>
      </c>
      <c r="P27" s="277" t="n">
        <v>1</v>
      </c>
      <c r="Q27" s="278" t="n"/>
      <c r="R27" s="533" t="n"/>
      <c r="S27" s="277" t="n">
        <v>0.2083333333333333</v>
      </c>
      <c r="T27" s="277" t="n">
        <v>1</v>
      </c>
      <c r="U27" s="278" t="n"/>
      <c r="V27" s="533" t="n"/>
      <c r="W27" s="277" t="n">
        <v>0.2083333333333333</v>
      </c>
      <c r="X27" s="277" t="n">
        <v>1</v>
      </c>
      <c r="Y27" s="278" t="n"/>
      <c r="Z27" s="533" t="n"/>
      <c r="AA27" s="277" t="n">
        <v>0.2083333333333333</v>
      </c>
      <c r="AB27" s="277" t="n">
        <v>1</v>
      </c>
      <c r="AC27" s="278" t="n"/>
      <c r="AD27" s="533" t="n"/>
      <c r="AE27" s="277" t="n">
        <v>0.2083333333333333</v>
      </c>
      <c r="AF27" s="277" t="n">
        <v>1</v>
      </c>
      <c r="AG27" s="278" t="n"/>
      <c r="AH27" s="227" t="n"/>
      <c r="AI27" s="225">
        <f>IF(C27="","",IFERROR(VLOOKUP(D27,$AJ$8:$AK$21,2,FALSE),"MW"))</f>
        <v/>
      </c>
      <c r="AJ27" s="59" t="n"/>
      <c r="AK27" s="59" t="n"/>
    </row>
    <row r="28" ht="12.6" customHeight="1">
      <c r="A28" s="21" t="n"/>
      <c r="B28" s="233" t="n">
        <v>21</v>
      </c>
      <c r="C28" s="273" t="inlineStr">
        <is>
          <t>Milan Gebruers</t>
        </is>
      </c>
      <c r="D28" s="273" t="inlineStr">
        <is>
          <t>Medewerker Operatie</t>
        </is>
      </c>
      <c r="E28" s="274" t="n">
        <v>36.5</v>
      </c>
      <c r="F28" s="533" t="n"/>
      <c r="G28" s="277" t="n">
        <v>0.2083333333333333</v>
      </c>
      <c r="H28" s="277" t="n">
        <v>1</v>
      </c>
      <c r="I28" s="278" t="n"/>
      <c r="J28" s="533" t="n"/>
      <c r="K28" s="277" t="n">
        <v>0.2083333333333333</v>
      </c>
      <c r="L28" s="277" t="n">
        <v>1</v>
      </c>
      <c r="M28" s="278" t="n"/>
      <c r="N28" s="533" t="n"/>
      <c r="O28" s="277" t="n">
        <v>0.2083333333333333</v>
      </c>
      <c r="P28" s="277" t="n">
        <v>1</v>
      </c>
      <c r="Q28" s="278" t="n"/>
      <c r="R28" s="533" t="n"/>
      <c r="S28" s="277" t="n">
        <v>0.2083333333333333</v>
      </c>
      <c r="T28" s="277" t="n">
        <v>1</v>
      </c>
      <c r="U28" s="278" t="n"/>
      <c r="V28" s="533" t="n"/>
      <c r="W28" s="277" t="n">
        <v>0.2083333333333333</v>
      </c>
      <c r="X28" s="277" t="n">
        <v>1</v>
      </c>
      <c r="Y28" s="278" t="n"/>
      <c r="Z28" s="533" t="n"/>
      <c r="AA28" s="277" t="n">
        <v>0.2083333333333333</v>
      </c>
      <c r="AB28" s="277" t="n">
        <v>1</v>
      </c>
      <c r="AC28" s="278" t="n"/>
      <c r="AD28" s="533" t="n"/>
      <c r="AE28" s="277" t="n">
        <v>0.2083333333333333</v>
      </c>
      <c r="AF28" s="277" t="n">
        <v>1</v>
      </c>
      <c r="AG28" s="278" t="n"/>
      <c r="AH28" s="227" t="n"/>
      <c r="AI28" s="225">
        <f>IF(C28="","",IFERROR(VLOOKUP(D28,$AJ$8:$AK$21,2,FALSE),"MW"))</f>
        <v/>
      </c>
      <c r="AJ28" s="59" t="n"/>
      <c r="AK28" s="59" t="n"/>
    </row>
    <row r="29" ht="12.6" customHeight="1">
      <c r="A29" s="21" t="n"/>
      <c r="B29" s="233" t="n">
        <v>22</v>
      </c>
      <c r="C29" s="273" t="inlineStr">
        <is>
          <t>Shana van Hooydonck</t>
        </is>
      </c>
      <c r="D29" s="273" t="inlineStr">
        <is>
          <t>Medewerker Vers</t>
        </is>
      </c>
      <c r="E29" s="274" t="n">
        <v>30</v>
      </c>
      <c r="F29" s="533" t="n"/>
      <c r="G29" s="277" t="n">
        <v>0.2083333333333333</v>
      </c>
      <c r="H29" s="277" t="n">
        <v>1</v>
      </c>
      <c r="I29" s="278" t="n"/>
      <c r="J29" s="533" t="n"/>
      <c r="K29" s="277" t="n">
        <v>0.2083333333333333</v>
      </c>
      <c r="L29" s="277" t="n">
        <v>1</v>
      </c>
      <c r="M29" s="278" t="n"/>
      <c r="N29" s="533" t="n"/>
      <c r="O29" s="277" t="n">
        <v>0.2083333333333333</v>
      </c>
      <c r="P29" s="277" t="n">
        <v>1</v>
      </c>
      <c r="Q29" s="278" t="n"/>
      <c r="R29" s="533" t="n"/>
      <c r="S29" s="277" t="n">
        <v>0.2083333333333333</v>
      </c>
      <c r="T29" s="277" t="n">
        <v>1</v>
      </c>
      <c r="U29" s="278" t="n"/>
      <c r="V29" s="533" t="n"/>
      <c r="W29" s="277" t="n">
        <v>0.2083333333333333</v>
      </c>
      <c r="X29" s="277" t="n">
        <v>1</v>
      </c>
      <c r="Y29" s="278" t="n"/>
      <c r="Z29" s="533" t="n"/>
      <c r="AA29" s="277" t="n">
        <v>0.2083333333333333</v>
      </c>
      <c r="AB29" s="277" t="n">
        <v>1</v>
      </c>
      <c r="AC29" s="278" t="n"/>
      <c r="AD29" s="533" t="n"/>
      <c r="AE29" s="277" t="n">
        <v>0.2083333333333333</v>
      </c>
      <c r="AF29" s="277" t="n">
        <v>1</v>
      </c>
      <c r="AG29" s="278" t="n"/>
      <c r="AH29" s="227" t="n"/>
      <c r="AI29" s="225">
        <f>IF(C29="","",IFERROR(VLOOKUP(D29,$AJ$8:$AK$21,2,FALSE),"MW"))</f>
        <v/>
      </c>
      <c r="AJ29" s="59" t="n"/>
      <c r="AK29" s="59" t="n"/>
    </row>
    <row r="30" ht="12.6" customHeight="1">
      <c r="A30" s="21" t="n"/>
      <c r="B30" s="233" t="n">
        <v>23</v>
      </c>
      <c r="C30" s="273" t="n"/>
      <c r="D30" s="273" t="n"/>
      <c r="E30" s="274" t="n"/>
      <c r="F30" s="533" t="n"/>
      <c r="G30" s="277" t="n">
        <v>0.2083333333333333</v>
      </c>
      <c r="H30" s="277" t="n">
        <v>1</v>
      </c>
      <c r="I30" s="278" t="n"/>
      <c r="J30" s="533" t="n"/>
      <c r="K30" s="277" t="n">
        <v>0.2083333333333333</v>
      </c>
      <c r="L30" s="277" t="n">
        <v>1</v>
      </c>
      <c r="M30" s="278" t="n"/>
      <c r="N30" s="533" t="n"/>
      <c r="O30" s="277" t="n">
        <v>0.2083333333333333</v>
      </c>
      <c r="P30" s="277" t="n">
        <v>1</v>
      </c>
      <c r="Q30" s="278" t="n"/>
      <c r="R30" s="533" t="n"/>
      <c r="S30" s="277" t="n">
        <v>0.2083333333333333</v>
      </c>
      <c r="T30" s="277" t="n">
        <v>1</v>
      </c>
      <c r="U30" s="278" t="n"/>
      <c r="V30" s="533" t="n"/>
      <c r="W30" s="277" t="n">
        <v>0.2083333333333333</v>
      </c>
      <c r="X30" s="277" t="n">
        <v>1</v>
      </c>
      <c r="Y30" s="278" t="n"/>
      <c r="Z30" s="533" t="n"/>
      <c r="AA30" s="277" t="n">
        <v>0.2083333333333333</v>
      </c>
      <c r="AB30" s="277" t="n">
        <v>1</v>
      </c>
      <c r="AC30" s="278" t="n"/>
      <c r="AD30" s="533" t="n"/>
      <c r="AE30" s="277" t="n">
        <v>0.2083333333333333</v>
      </c>
      <c r="AF30" s="277" t="n">
        <v>1</v>
      </c>
      <c r="AG30" s="278" t="n"/>
      <c r="AH30" s="227" t="n"/>
      <c r="AI30" s="225">
        <f>IF(C30="","",IFERROR(VLOOKUP(D30,$AJ$8:$AK$21,2,FALSE),"MW"))</f>
        <v/>
      </c>
      <c r="AJ30" s="59" t="n"/>
      <c r="AK30" s="59" t="n"/>
    </row>
    <row r="31" ht="12.6" customHeight="1">
      <c r="A31" s="21" t="n"/>
      <c r="B31" s="233" t="n">
        <v>24</v>
      </c>
      <c r="C31" s="273" t="inlineStr">
        <is>
          <t>Gretchen</t>
        </is>
      </c>
      <c r="D31" s="273" t="inlineStr">
        <is>
          <t>Medewerker Kwaliteit</t>
        </is>
      </c>
      <c r="E31" s="274" t="n">
        <v>28</v>
      </c>
      <c r="F31" s="533" t="n"/>
      <c r="G31" s="277" t="n">
        <v>0.2083333333333333</v>
      </c>
      <c r="H31" s="277" t="n">
        <v>1</v>
      </c>
      <c r="I31" s="278" t="n"/>
      <c r="J31" s="533" t="n"/>
      <c r="K31" s="277" t="n">
        <v>0.2083333333333333</v>
      </c>
      <c r="L31" s="277" t="n">
        <v>1</v>
      </c>
      <c r="M31" s="278" t="n"/>
      <c r="N31" s="533" t="n"/>
      <c r="O31" s="277" t="n">
        <v>0.2083333333333333</v>
      </c>
      <c r="P31" s="277" t="n">
        <v>1</v>
      </c>
      <c r="Q31" s="278" t="n"/>
      <c r="R31" s="533" t="n"/>
      <c r="S31" s="277" t="n">
        <v>0.2083333333333333</v>
      </c>
      <c r="T31" s="277" t="n">
        <v>1</v>
      </c>
      <c r="U31" s="278" t="n"/>
      <c r="V31" s="533" t="n"/>
      <c r="W31" s="277" t="n">
        <v>0.2083333333333333</v>
      </c>
      <c r="X31" s="277" t="n">
        <v>1</v>
      </c>
      <c r="Y31" s="278" t="n"/>
      <c r="Z31" s="533" t="n"/>
      <c r="AA31" s="277" t="n">
        <v>0.2083333333333333</v>
      </c>
      <c r="AB31" s="277" t="n">
        <v>1</v>
      </c>
      <c r="AC31" s="278" t="n"/>
      <c r="AD31" s="533" t="n"/>
      <c r="AE31" s="277" t="n">
        <v>0.2083333333333333</v>
      </c>
      <c r="AF31" s="277" t="n">
        <v>1</v>
      </c>
      <c r="AG31" s="278" t="n"/>
      <c r="AH31" s="227" t="n"/>
      <c r="AI31" s="225">
        <f>IF(C31="","",IFERROR(VLOOKUP(D31,$AJ$8:$AK$21,2,FALSE),"MW"))</f>
        <v/>
      </c>
      <c r="AJ31" s="59" t="n"/>
      <c r="AK31" s="59" t="n"/>
    </row>
    <row r="32" ht="12.6" customHeight="1">
      <c r="A32" s="21" t="n"/>
      <c r="B32" s="233" t="n">
        <v>25</v>
      </c>
      <c r="C32" s="273" t="inlineStr">
        <is>
          <t>Nataliia</t>
        </is>
      </c>
      <c r="D32" s="273" t="inlineStr">
        <is>
          <t>Medewerker Kwaliteit</t>
        </is>
      </c>
      <c r="E32" s="274" t="n">
        <v>28</v>
      </c>
      <c r="F32" s="533" t="n"/>
      <c r="G32" s="277" t="n">
        <v>0.2083333333333333</v>
      </c>
      <c r="H32" s="277" t="n">
        <v>1</v>
      </c>
      <c r="I32" s="278" t="n"/>
      <c r="J32" s="533" t="n"/>
      <c r="K32" s="277" t="n">
        <v>0.2083333333333333</v>
      </c>
      <c r="L32" s="277" t="n">
        <v>1</v>
      </c>
      <c r="M32" s="278" t="n"/>
      <c r="N32" s="533" t="n"/>
      <c r="O32" s="277" t="n">
        <v>0.2083333333333333</v>
      </c>
      <c r="P32" s="277" t="n">
        <v>1</v>
      </c>
      <c r="Q32" s="278" t="n"/>
      <c r="R32" s="533" t="n"/>
      <c r="S32" s="277" t="n">
        <v>0.2083333333333333</v>
      </c>
      <c r="T32" s="277" t="n">
        <v>1</v>
      </c>
      <c r="U32" s="278" t="n"/>
      <c r="V32" s="533" t="n"/>
      <c r="W32" s="277" t="n">
        <v>0.2083333333333333</v>
      </c>
      <c r="X32" s="277" t="n">
        <v>1</v>
      </c>
      <c r="Y32" s="278" t="n"/>
      <c r="Z32" s="533" t="n"/>
      <c r="AA32" s="277" t="n">
        <v>0.2083333333333333</v>
      </c>
      <c r="AB32" s="277" t="n">
        <v>1</v>
      </c>
      <c r="AC32" s="278" t="n"/>
      <c r="AD32" s="533" t="n"/>
      <c r="AE32" s="277" t="n">
        <v>0.2083333333333333</v>
      </c>
      <c r="AF32" s="277" t="n">
        <v>1</v>
      </c>
      <c r="AG32" s="278" t="n"/>
      <c r="AH32" s="227" t="n"/>
      <c r="AI32" s="225">
        <f>IF(C32="","",IFERROR(VLOOKUP(D32,$AJ$8:$AK$21,2,FALSE),"MW"))</f>
        <v/>
      </c>
      <c r="AJ32" s="59" t="n"/>
      <c r="AK32" s="59" t="n"/>
    </row>
    <row r="33" ht="12.6" customHeight="1">
      <c r="A33" s="21" t="n"/>
      <c r="B33" s="233" t="n">
        <v>26</v>
      </c>
      <c r="C33" s="273" t="n"/>
      <c r="D33" s="273" t="n"/>
      <c r="E33" s="274" t="n"/>
      <c r="F33" s="533" t="n"/>
      <c r="G33" s="277" t="n">
        <v>0.2083333333333333</v>
      </c>
      <c r="H33" s="277" t="n">
        <v>1</v>
      </c>
      <c r="I33" s="278" t="n"/>
      <c r="J33" s="533" t="n"/>
      <c r="K33" s="277" t="n">
        <v>0.2083333333333333</v>
      </c>
      <c r="L33" s="277" t="n">
        <v>1</v>
      </c>
      <c r="M33" s="278" t="n"/>
      <c r="N33" s="533" t="n"/>
      <c r="O33" s="277" t="n">
        <v>0.2083333333333333</v>
      </c>
      <c r="P33" s="277" t="n">
        <v>1</v>
      </c>
      <c r="Q33" s="278" t="n"/>
      <c r="R33" s="533" t="n"/>
      <c r="S33" s="277" t="n">
        <v>0.2083333333333333</v>
      </c>
      <c r="T33" s="277" t="n">
        <v>1</v>
      </c>
      <c r="U33" s="278" t="n"/>
      <c r="V33" s="533" t="n"/>
      <c r="W33" s="277" t="n">
        <v>0.2083333333333333</v>
      </c>
      <c r="X33" s="277" t="n">
        <v>1</v>
      </c>
      <c r="Y33" s="278" t="n"/>
      <c r="Z33" s="533" t="n"/>
      <c r="AA33" s="277" t="n">
        <v>0.2083333333333333</v>
      </c>
      <c r="AB33" s="277" t="n">
        <v>1</v>
      </c>
      <c r="AC33" s="278" t="n"/>
      <c r="AD33" s="533" t="n"/>
      <c r="AE33" s="277" t="n">
        <v>0.2083333333333333</v>
      </c>
      <c r="AF33" s="277" t="n">
        <v>1</v>
      </c>
      <c r="AG33" s="278" t="n"/>
      <c r="AH33" s="227" t="n"/>
      <c r="AI33" s="225">
        <f>IF(C33="","",IFERROR(VLOOKUP(D33,$AJ$8:$AK$21,2,FALSE),"MW"))</f>
        <v/>
      </c>
      <c r="AJ33" s="59" t="n"/>
      <c r="AK33" s="59" t="n"/>
    </row>
    <row r="34" ht="12.6" customHeight="1">
      <c r="A34" s="21" t="n"/>
      <c r="B34" s="233" t="n">
        <v>27</v>
      </c>
      <c r="C34" s="273" t="inlineStr">
        <is>
          <t>Deniz</t>
        </is>
      </c>
      <c r="D34" s="273" t="inlineStr">
        <is>
          <t>Medewerker Operatie</t>
        </is>
      </c>
      <c r="E34" s="274" t="n"/>
      <c r="F34" s="533" t="n"/>
      <c r="G34" s="277" t="n">
        <v>0.2083333333333333</v>
      </c>
      <c r="H34" s="277" t="n">
        <v>1</v>
      </c>
      <c r="I34" s="278" t="n"/>
      <c r="J34" s="533" t="n"/>
      <c r="K34" s="277" t="n">
        <v>0.2083333333333333</v>
      </c>
      <c r="L34" s="277" t="n">
        <v>1</v>
      </c>
      <c r="M34" s="278" t="n"/>
      <c r="N34" s="533" t="n"/>
      <c r="O34" s="277" t="n">
        <v>0.2083333333333333</v>
      </c>
      <c r="P34" s="277" t="n">
        <v>1</v>
      </c>
      <c r="Q34" s="278" t="n"/>
      <c r="R34" s="533" t="n"/>
      <c r="S34" s="277" t="n">
        <v>0.2083333333333333</v>
      </c>
      <c r="T34" s="277" t="n">
        <v>1</v>
      </c>
      <c r="U34" s="278" t="n"/>
      <c r="V34" s="533" t="n"/>
      <c r="W34" s="277" t="n">
        <v>0.2083333333333333</v>
      </c>
      <c r="X34" s="277" t="n">
        <v>1</v>
      </c>
      <c r="Y34" s="278" t="n"/>
      <c r="Z34" s="533" t="n"/>
      <c r="AA34" s="277" t="n">
        <v>0.2083333333333333</v>
      </c>
      <c r="AB34" s="277" t="n">
        <v>1</v>
      </c>
      <c r="AC34" s="278" t="n"/>
      <c r="AD34" s="533" t="n"/>
      <c r="AE34" s="277" t="n">
        <v>0.2083333333333333</v>
      </c>
      <c r="AF34" s="277" t="n">
        <v>1</v>
      </c>
      <c r="AG34" s="278" t="n"/>
      <c r="AH34" s="227" t="n"/>
      <c r="AI34" s="225">
        <f>IF(C34="","",IFERROR(VLOOKUP(D34,$AJ$8:$AK$21,2,FALSE),"MW"))</f>
        <v/>
      </c>
      <c r="AJ34" s="59" t="n"/>
      <c r="AK34" s="59" t="n"/>
    </row>
    <row r="35" ht="12.6" customHeight="1">
      <c r="A35" s="21" t="n"/>
      <c r="B35" s="233" t="n">
        <v>28</v>
      </c>
      <c r="C35" s="273" t="inlineStr">
        <is>
          <t>Natacha Reugemeuter</t>
        </is>
      </c>
      <c r="D35" s="273" t="inlineStr">
        <is>
          <t>Medewerker Operatie</t>
        </is>
      </c>
      <c r="E35" s="274" t="n"/>
      <c r="F35" s="533" t="n"/>
      <c r="G35" s="277" t="n">
        <v>0.2083333333333333</v>
      </c>
      <c r="H35" s="277" t="n">
        <v>1</v>
      </c>
      <c r="I35" s="278" t="n"/>
      <c r="J35" s="533" t="n"/>
      <c r="K35" s="277" t="n">
        <v>0.2083333333333333</v>
      </c>
      <c r="L35" s="277" t="n">
        <v>1</v>
      </c>
      <c r="M35" s="278" t="n"/>
      <c r="N35" s="533" t="n"/>
      <c r="O35" s="277" t="n">
        <v>0.2083333333333333</v>
      </c>
      <c r="P35" s="277" t="n">
        <v>1</v>
      </c>
      <c r="Q35" s="278" t="n"/>
      <c r="R35" s="533" t="n"/>
      <c r="S35" s="277" t="n">
        <v>0.2083333333333333</v>
      </c>
      <c r="T35" s="277" t="n">
        <v>1</v>
      </c>
      <c r="U35" s="278" t="n"/>
      <c r="V35" s="533" t="n"/>
      <c r="W35" s="277" t="n">
        <v>0.2083333333333333</v>
      </c>
      <c r="X35" s="277" t="n">
        <v>1</v>
      </c>
      <c r="Y35" s="278" t="n"/>
      <c r="Z35" s="533" t="n"/>
      <c r="AA35" s="277" t="n">
        <v>0.2083333333333333</v>
      </c>
      <c r="AB35" s="277" t="n">
        <v>1</v>
      </c>
      <c r="AC35" s="278" t="n"/>
      <c r="AD35" s="533" t="n"/>
      <c r="AE35" s="277" t="n">
        <v>0.2083333333333333</v>
      </c>
      <c r="AF35" s="277" t="n">
        <v>1</v>
      </c>
      <c r="AG35" s="278" t="n"/>
      <c r="AH35" s="227" t="n"/>
      <c r="AI35" s="225">
        <f>IF(C35="","",IFERROR(VLOOKUP(D35,$AJ$8:$AK$21,2,FALSE),"MW"))</f>
        <v/>
      </c>
      <c r="AJ35" s="59" t="n"/>
      <c r="AK35" s="59" t="n"/>
    </row>
    <row r="36" ht="12.6" customHeight="1">
      <c r="A36" s="21" t="n"/>
      <c r="B36" s="233" t="n">
        <v>29</v>
      </c>
      <c r="C36" s="273" t="inlineStr">
        <is>
          <t>Fatmir Bilalovski</t>
        </is>
      </c>
      <c r="D36" s="273" t="inlineStr">
        <is>
          <t>Medewerker Operatie</t>
        </is>
      </c>
      <c r="E36" s="274" t="n"/>
      <c r="F36" s="533" t="n"/>
      <c r="G36" s="277" t="n">
        <v>0.2083333333333333</v>
      </c>
      <c r="H36" s="277" t="n">
        <v>1</v>
      </c>
      <c r="I36" s="278" t="n"/>
      <c r="J36" s="533" t="n"/>
      <c r="K36" s="277" t="n">
        <v>0.2083333333333333</v>
      </c>
      <c r="L36" s="277" t="n">
        <v>1</v>
      </c>
      <c r="M36" s="278" t="n"/>
      <c r="N36" s="533" t="n"/>
      <c r="O36" s="277" t="n">
        <v>0.2083333333333333</v>
      </c>
      <c r="P36" s="277" t="n">
        <v>1</v>
      </c>
      <c r="Q36" s="278" t="n"/>
      <c r="R36" s="533" t="n"/>
      <c r="S36" s="277" t="n">
        <v>0.2083333333333333</v>
      </c>
      <c r="T36" s="277" t="n">
        <v>1</v>
      </c>
      <c r="U36" s="278" t="n"/>
      <c r="V36" s="533" t="n"/>
      <c r="W36" s="277" t="n">
        <v>0.2083333333333333</v>
      </c>
      <c r="X36" s="277" t="n">
        <v>1</v>
      </c>
      <c r="Y36" s="278" t="n"/>
      <c r="Z36" s="533" t="n"/>
      <c r="AA36" s="277" t="n">
        <v>0.2083333333333333</v>
      </c>
      <c r="AB36" s="277" t="n">
        <v>1</v>
      </c>
      <c r="AC36" s="278" t="n"/>
      <c r="AD36" s="533" t="n"/>
      <c r="AE36" s="277" t="n">
        <v>0.2083333333333333</v>
      </c>
      <c r="AF36" s="277" t="n">
        <v>1</v>
      </c>
      <c r="AG36" s="278" t="n"/>
      <c r="AH36" s="227" t="n"/>
      <c r="AI36" s="225">
        <f>IF(C36="","",IFERROR(VLOOKUP(D36,$AJ$8:$AK$21,2,FALSE),"MW"))</f>
        <v/>
      </c>
      <c r="AJ36" s="59" t="n"/>
      <c r="AK36" s="59" t="n"/>
    </row>
    <row r="37" ht="12.6" customHeight="1">
      <c r="A37" s="21" t="n"/>
      <c r="B37" s="233" t="n">
        <v>30</v>
      </c>
      <c r="C37" s="273" t="inlineStr">
        <is>
          <t>Umer</t>
        </is>
      </c>
      <c r="D37" s="273" t="inlineStr">
        <is>
          <t>Medewerker Operatie</t>
        </is>
      </c>
      <c r="E37" s="274" t="n"/>
      <c r="F37" s="533" t="n"/>
      <c r="G37" s="277" t="n">
        <v>0.2083333333333333</v>
      </c>
      <c r="H37" s="277" t="n">
        <v>1</v>
      </c>
      <c r="I37" s="278" t="n"/>
      <c r="J37" s="533" t="n"/>
      <c r="K37" s="277" t="n">
        <v>0.2083333333333333</v>
      </c>
      <c r="L37" s="277" t="n">
        <v>1</v>
      </c>
      <c r="M37" s="278" t="n"/>
      <c r="N37" s="533" t="n"/>
      <c r="O37" s="277" t="n">
        <v>0.2083333333333333</v>
      </c>
      <c r="P37" s="277" t="n">
        <v>1</v>
      </c>
      <c r="Q37" s="278" t="n"/>
      <c r="R37" s="533" t="n"/>
      <c r="S37" s="277" t="n">
        <v>0.2083333333333333</v>
      </c>
      <c r="T37" s="277" t="n">
        <v>1</v>
      </c>
      <c r="U37" s="278" t="n"/>
      <c r="V37" s="533" t="n"/>
      <c r="W37" s="277" t="n">
        <v>0.2083333333333333</v>
      </c>
      <c r="X37" s="277" t="n">
        <v>1</v>
      </c>
      <c r="Y37" s="278" t="n"/>
      <c r="Z37" s="533" t="n"/>
      <c r="AA37" s="277" t="n">
        <v>0.2083333333333333</v>
      </c>
      <c r="AB37" s="277" t="n">
        <v>1</v>
      </c>
      <c r="AC37" s="278" t="n"/>
      <c r="AD37" s="533" t="n"/>
      <c r="AE37" s="277" t="n">
        <v>0.2083333333333333</v>
      </c>
      <c r="AF37" s="277" t="n">
        <v>1</v>
      </c>
      <c r="AG37" s="278" t="n"/>
      <c r="AH37" s="227" t="n"/>
      <c r="AI37" s="225">
        <f>IF(C37="","",IFERROR(VLOOKUP(D37,$AJ$8:$AK$21,2,FALSE),"MW"))</f>
        <v/>
      </c>
      <c r="AJ37" s="59" t="n"/>
      <c r="AK37" s="59" t="n"/>
    </row>
    <row r="38" ht="12.6" customHeight="1">
      <c r="A38" s="21" t="n"/>
      <c r="B38" s="233" t="n">
        <v>31</v>
      </c>
      <c r="C38" s="273" t="inlineStr">
        <is>
          <t>Muhammed Armani</t>
        </is>
      </c>
      <c r="D38" s="273" t="inlineStr">
        <is>
          <t>Medewerker Operatie</t>
        </is>
      </c>
      <c r="E38" s="274" t="n"/>
      <c r="F38" s="533" t="n"/>
      <c r="G38" s="277" t="n">
        <v>0.2083333333333333</v>
      </c>
      <c r="H38" s="277" t="n">
        <v>1</v>
      </c>
      <c r="I38" s="278" t="n"/>
      <c r="J38" s="533" t="n"/>
      <c r="K38" s="277" t="n">
        <v>0.2083333333333333</v>
      </c>
      <c r="L38" s="277" t="n">
        <v>1</v>
      </c>
      <c r="M38" s="278" t="n"/>
      <c r="N38" s="533" t="n"/>
      <c r="O38" s="277" t="n">
        <v>0.2083333333333333</v>
      </c>
      <c r="P38" s="277" t="n">
        <v>1</v>
      </c>
      <c r="Q38" s="278" t="n"/>
      <c r="R38" s="533" t="n"/>
      <c r="S38" s="277" t="n">
        <v>0.2083333333333333</v>
      </c>
      <c r="T38" s="277" t="n">
        <v>1</v>
      </c>
      <c r="U38" s="278" t="n"/>
      <c r="V38" s="533" t="n"/>
      <c r="W38" s="277" t="n">
        <v>0.2083333333333333</v>
      </c>
      <c r="X38" s="277" t="n">
        <v>1</v>
      </c>
      <c r="Y38" s="278" t="n"/>
      <c r="Z38" s="533" t="n"/>
      <c r="AA38" s="277" t="n">
        <v>0.2083333333333333</v>
      </c>
      <c r="AB38" s="277" t="n">
        <v>1</v>
      </c>
      <c r="AC38" s="278" t="n"/>
      <c r="AD38" s="533" t="n"/>
      <c r="AE38" s="277" t="n">
        <v>0.2083333333333333</v>
      </c>
      <c r="AF38" s="277" t="n">
        <v>1</v>
      </c>
      <c r="AG38" s="278" t="n"/>
      <c r="AH38" s="227" t="n"/>
      <c r="AI38" s="225">
        <f>IF(C38="","",IFERROR(VLOOKUP(D38,$AJ$8:$AK$21,2,FALSE),"MW"))</f>
        <v/>
      </c>
      <c r="AJ38" s="59" t="n"/>
      <c r="AK38" s="59" t="n"/>
    </row>
    <row r="39" ht="12.6" customHeight="1">
      <c r="A39" s="21" t="n"/>
      <c r="B39" s="233" t="n">
        <v>32</v>
      </c>
      <c r="C39" s="273" t="inlineStr">
        <is>
          <t>Mo Samar</t>
        </is>
      </c>
      <c r="D39" s="273" t="inlineStr">
        <is>
          <t>Medewerker Operatie</t>
        </is>
      </c>
      <c r="E39" s="274" t="n"/>
      <c r="F39" s="533" t="n"/>
      <c r="G39" s="277" t="n">
        <v>0.2083333333333333</v>
      </c>
      <c r="H39" s="277" t="n">
        <v>1</v>
      </c>
      <c r="I39" s="278" t="n"/>
      <c r="J39" s="533" t="n"/>
      <c r="K39" s="277" t="n">
        <v>0.2083333333333333</v>
      </c>
      <c r="L39" s="277" t="n">
        <v>1</v>
      </c>
      <c r="M39" s="278" t="n"/>
      <c r="N39" s="533" t="n"/>
      <c r="O39" s="277" t="n">
        <v>0.2083333333333333</v>
      </c>
      <c r="P39" s="277" t="n">
        <v>1</v>
      </c>
      <c r="Q39" s="278" t="n"/>
      <c r="R39" s="533" t="n"/>
      <c r="S39" s="277" t="n">
        <v>0.2083333333333333</v>
      </c>
      <c r="T39" s="277" t="n">
        <v>1</v>
      </c>
      <c r="U39" s="278" t="n"/>
      <c r="V39" s="533" t="n"/>
      <c r="W39" s="277" t="n">
        <v>0.2083333333333333</v>
      </c>
      <c r="X39" s="277" t="n">
        <v>1</v>
      </c>
      <c r="Y39" s="278" t="n"/>
      <c r="Z39" s="533" t="n"/>
      <c r="AA39" s="277" t="n">
        <v>0.2083333333333333</v>
      </c>
      <c r="AB39" s="277" t="n">
        <v>1</v>
      </c>
      <c r="AC39" s="278" t="n"/>
      <c r="AD39" s="533" t="n"/>
      <c r="AE39" s="277" t="n">
        <v>0.2083333333333333</v>
      </c>
      <c r="AF39" s="277" t="n">
        <v>1</v>
      </c>
      <c r="AG39" s="278" t="n"/>
      <c r="AH39" s="227" t="n"/>
      <c r="AI39" s="225">
        <f>IF(C39="","",IFERROR(VLOOKUP(D39,$AJ$8:$AK$21,2,FALSE),"MW"))</f>
        <v/>
      </c>
      <c r="AJ39" s="59" t="n"/>
      <c r="AK39" s="59" t="n"/>
    </row>
    <row r="40" ht="12.6" customHeight="1">
      <c r="A40" s="21" t="n"/>
      <c r="B40" s="233" t="n">
        <v>33</v>
      </c>
      <c r="C40" s="273" t="inlineStr">
        <is>
          <t>Sevgyul</t>
        </is>
      </c>
      <c r="D40" s="273" t="inlineStr">
        <is>
          <t>Medewerker Operatie</t>
        </is>
      </c>
      <c r="E40" s="274" t="n"/>
      <c r="F40" s="533" t="n"/>
      <c r="G40" s="277" t="n">
        <v>0.2083333333333333</v>
      </c>
      <c r="H40" s="277" t="n">
        <v>1</v>
      </c>
      <c r="I40" s="278" t="n"/>
      <c r="J40" s="533" t="n"/>
      <c r="K40" s="277" t="n">
        <v>0.2083333333333333</v>
      </c>
      <c r="L40" s="277" t="n">
        <v>1</v>
      </c>
      <c r="M40" s="278" t="n"/>
      <c r="N40" s="533" t="n"/>
      <c r="O40" s="277" t="n">
        <v>0.2083333333333333</v>
      </c>
      <c r="P40" s="277" t="n">
        <v>1</v>
      </c>
      <c r="Q40" s="278" t="n"/>
      <c r="R40" s="533" t="n"/>
      <c r="S40" s="277" t="n">
        <v>0.2083333333333333</v>
      </c>
      <c r="T40" s="277" t="n">
        <v>1</v>
      </c>
      <c r="U40" s="278" t="n"/>
      <c r="V40" s="533" t="n"/>
      <c r="W40" s="277" t="n">
        <v>0.2083333333333333</v>
      </c>
      <c r="X40" s="277" t="n">
        <v>1</v>
      </c>
      <c r="Y40" s="278" t="n"/>
      <c r="Z40" s="533" t="n"/>
      <c r="AA40" s="277" t="n">
        <v>0.2083333333333333</v>
      </c>
      <c r="AB40" s="277" t="n">
        <v>1</v>
      </c>
      <c r="AC40" s="278" t="n"/>
      <c r="AD40" s="533" t="n"/>
      <c r="AE40" s="277" t="n">
        <v>0.2083333333333333</v>
      </c>
      <c r="AF40" s="277" t="n">
        <v>1</v>
      </c>
      <c r="AG40" s="278" t="n"/>
      <c r="AH40" s="227" t="n"/>
      <c r="AI40" s="225">
        <f>IF(C40="","",IFERROR(VLOOKUP(D40,$AJ$8:$AK$21,2,FALSE),"MW"))</f>
        <v/>
      </c>
      <c r="AJ40" s="59" t="n"/>
      <c r="AK40" s="59" t="n"/>
    </row>
    <row r="41" ht="12.6" customHeight="1">
      <c r="A41" s="21" t="n"/>
      <c r="B41" s="233" t="n">
        <v>34</v>
      </c>
      <c r="C41" s="273" t="inlineStr">
        <is>
          <t>Lucas</t>
        </is>
      </c>
      <c r="D41" s="273" t="inlineStr">
        <is>
          <t>Medewerker Operatie</t>
        </is>
      </c>
      <c r="E41" s="274" t="n"/>
      <c r="F41" s="533" t="n"/>
      <c r="G41" s="277" t="n">
        <v>0.2083333333333333</v>
      </c>
      <c r="H41" s="277" t="n">
        <v>1</v>
      </c>
      <c r="I41" s="278" t="n"/>
      <c r="J41" s="533" t="n"/>
      <c r="K41" s="277" t="n">
        <v>0.2083333333333333</v>
      </c>
      <c r="L41" s="277" t="n">
        <v>1</v>
      </c>
      <c r="M41" s="278" t="n"/>
      <c r="N41" s="533" t="n"/>
      <c r="O41" s="277" t="n">
        <v>0.2083333333333333</v>
      </c>
      <c r="P41" s="277" t="n">
        <v>1</v>
      </c>
      <c r="Q41" s="278" t="n"/>
      <c r="R41" s="533" t="n"/>
      <c r="S41" s="277" t="n">
        <v>0.2083333333333333</v>
      </c>
      <c r="T41" s="277" t="n">
        <v>1</v>
      </c>
      <c r="U41" s="278" t="n"/>
      <c r="V41" s="533" t="n"/>
      <c r="W41" s="277" t="n">
        <v>0.2083333333333333</v>
      </c>
      <c r="X41" s="277" t="n">
        <v>1</v>
      </c>
      <c r="Y41" s="278" t="n"/>
      <c r="Z41" s="533" t="n"/>
      <c r="AA41" s="277" t="n">
        <v>0.2083333333333333</v>
      </c>
      <c r="AB41" s="277" t="n">
        <v>1</v>
      </c>
      <c r="AC41" s="278" t="n"/>
      <c r="AD41" s="533" t="n"/>
      <c r="AE41" s="277" t="n">
        <v>0.2083333333333333</v>
      </c>
      <c r="AF41" s="277" t="n">
        <v>1</v>
      </c>
      <c r="AG41" s="278" t="n"/>
      <c r="AH41" s="227" t="n"/>
      <c r="AI41" s="225">
        <f>IF(C41="","",IFERROR(VLOOKUP(D41,$AJ$8:$AK$21,2,FALSE),"MW"))</f>
        <v/>
      </c>
      <c r="AJ41" s="59" t="n"/>
      <c r="AK41" s="59" t="n"/>
    </row>
    <row r="42" ht="12.6" customHeight="1">
      <c r="A42" s="21" t="n"/>
      <c r="B42" s="233" t="n">
        <v>35</v>
      </c>
      <c r="C42" s="273" t="inlineStr">
        <is>
          <t>Oemaima</t>
        </is>
      </c>
      <c r="D42" s="273" t="inlineStr">
        <is>
          <t>Medewerker Operatie</t>
        </is>
      </c>
      <c r="E42" s="274" t="n"/>
      <c r="F42" s="533" t="n"/>
      <c r="G42" s="277" t="n">
        <v>0.2083333333333333</v>
      </c>
      <c r="H42" s="277" t="n">
        <v>1</v>
      </c>
      <c r="I42" s="278" t="n"/>
      <c r="J42" s="533" t="n"/>
      <c r="K42" s="277" t="n">
        <v>0.2083333333333333</v>
      </c>
      <c r="L42" s="277" t="n">
        <v>1</v>
      </c>
      <c r="M42" s="278" t="n"/>
      <c r="N42" s="533" t="n"/>
      <c r="O42" s="277" t="n">
        <v>0.2083333333333333</v>
      </c>
      <c r="P42" s="277" t="n">
        <v>1</v>
      </c>
      <c r="Q42" s="278" t="n"/>
      <c r="R42" s="533" t="n"/>
      <c r="S42" s="277" t="n">
        <v>0.2083333333333333</v>
      </c>
      <c r="T42" s="277" t="n">
        <v>1</v>
      </c>
      <c r="U42" s="278" t="n"/>
      <c r="V42" s="533" t="n"/>
      <c r="W42" s="277" t="n">
        <v>0.2083333333333333</v>
      </c>
      <c r="X42" s="277" t="n">
        <v>1</v>
      </c>
      <c r="Y42" s="278" t="n"/>
      <c r="Z42" s="533" t="n"/>
      <c r="AA42" s="277" t="n">
        <v>0.2083333333333333</v>
      </c>
      <c r="AB42" s="277" t="n">
        <v>1</v>
      </c>
      <c r="AC42" s="278" t="n"/>
      <c r="AD42" s="533" t="n"/>
      <c r="AE42" s="277" t="n">
        <v>0.2083333333333333</v>
      </c>
      <c r="AF42" s="277" t="n">
        <v>1</v>
      </c>
      <c r="AG42" s="278" t="n"/>
      <c r="AH42" s="227" t="n"/>
      <c r="AI42" s="225">
        <f>IF(C42="","",IFERROR(VLOOKUP(D42,$AJ$8:$AK$21,2,FALSE),"MW"))</f>
        <v/>
      </c>
      <c r="AJ42" s="59" t="n"/>
      <c r="AK42" s="59" t="n"/>
    </row>
    <row r="43" ht="12.6" customHeight="1">
      <c r="A43" s="21" t="n"/>
      <c r="B43" s="233" t="n">
        <v>36</v>
      </c>
      <c r="C43" s="273" t="inlineStr">
        <is>
          <t>Yasmina ibrahimin</t>
        </is>
      </c>
      <c r="D43" s="273" t="inlineStr">
        <is>
          <t>Medewerker Operatie</t>
        </is>
      </c>
      <c r="E43" s="274" t="n"/>
      <c r="F43" s="533" t="n"/>
      <c r="G43" s="277" t="n">
        <v>0.2083333333333333</v>
      </c>
      <c r="H43" s="277" t="n">
        <v>1</v>
      </c>
      <c r="I43" s="278" t="n"/>
      <c r="J43" s="533" t="n"/>
      <c r="K43" s="277" t="n">
        <v>0.2083333333333333</v>
      </c>
      <c r="L43" s="277" t="n">
        <v>1</v>
      </c>
      <c r="M43" s="278" t="n"/>
      <c r="N43" s="533" t="n"/>
      <c r="O43" s="277" t="n">
        <v>0.2083333333333333</v>
      </c>
      <c r="P43" s="277" t="n">
        <v>1</v>
      </c>
      <c r="Q43" s="278" t="n"/>
      <c r="R43" s="533" t="n"/>
      <c r="S43" s="277" t="n">
        <v>0.2083333333333333</v>
      </c>
      <c r="T43" s="277" t="n">
        <v>1</v>
      </c>
      <c r="U43" s="278" t="n"/>
      <c r="V43" s="533" t="n"/>
      <c r="W43" s="277" t="n">
        <v>0.2083333333333333</v>
      </c>
      <c r="X43" s="277" t="n">
        <v>1</v>
      </c>
      <c r="Y43" s="278" t="n"/>
      <c r="Z43" s="533" t="n"/>
      <c r="AA43" s="277" t="n">
        <v>0.2083333333333333</v>
      </c>
      <c r="AB43" s="277" t="n">
        <v>1</v>
      </c>
      <c r="AC43" s="278" t="n"/>
      <c r="AD43" s="533" t="n"/>
      <c r="AE43" s="277" t="n">
        <v>0.2083333333333333</v>
      </c>
      <c r="AF43" s="277" t="n">
        <v>1</v>
      </c>
      <c r="AG43" s="278" t="n"/>
      <c r="AH43" s="227" t="n"/>
      <c r="AI43" s="225">
        <f>IF(C43="","",IFERROR(VLOOKUP(D43,$AJ$8:$AK$21,2,FALSE),"MW"))</f>
        <v/>
      </c>
      <c r="AJ43" s="59" t="n"/>
      <c r="AK43" s="59" t="n"/>
    </row>
    <row r="44" ht="12.6" customHeight="1">
      <c r="A44" s="21" t="n"/>
      <c r="B44" s="233" t="n">
        <v>37</v>
      </c>
      <c r="C44" s="273" t="n"/>
      <c r="D44" s="273" t="n"/>
      <c r="E44" s="274" t="n"/>
      <c r="F44" s="533" t="n"/>
      <c r="G44" s="277" t="n">
        <v>0.2083333333333333</v>
      </c>
      <c r="H44" s="277" t="n">
        <v>1</v>
      </c>
      <c r="I44" s="278" t="n"/>
      <c r="J44" s="533" t="n"/>
      <c r="K44" s="277" t="n">
        <v>0.2083333333333333</v>
      </c>
      <c r="L44" s="277" t="n">
        <v>1</v>
      </c>
      <c r="M44" s="278" t="n"/>
      <c r="N44" s="533" t="n"/>
      <c r="O44" s="277" t="n">
        <v>0.2083333333333333</v>
      </c>
      <c r="P44" s="277" t="n">
        <v>1</v>
      </c>
      <c r="Q44" s="278" t="n"/>
      <c r="R44" s="533" t="n"/>
      <c r="S44" s="277" t="n">
        <v>0.2083333333333333</v>
      </c>
      <c r="T44" s="277" t="n">
        <v>1</v>
      </c>
      <c r="U44" s="278" t="n"/>
      <c r="V44" s="533" t="n"/>
      <c r="W44" s="277" t="n">
        <v>0.2083333333333333</v>
      </c>
      <c r="X44" s="277" t="n">
        <v>1</v>
      </c>
      <c r="Y44" s="278" t="n"/>
      <c r="Z44" s="533" t="n"/>
      <c r="AA44" s="277" t="n">
        <v>0.2083333333333333</v>
      </c>
      <c r="AB44" s="277" t="n">
        <v>1</v>
      </c>
      <c r="AC44" s="278" t="n"/>
      <c r="AD44" s="533" t="n"/>
      <c r="AE44" s="277" t="n">
        <v>0.2083333333333333</v>
      </c>
      <c r="AF44" s="277" t="n">
        <v>1</v>
      </c>
      <c r="AG44" s="278" t="n"/>
      <c r="AH44" s="227" t="n"/>
      <c r="AI44" s="225">
        <f>IF(C44="","",IFERROR(VLOOKUP(D44,$AJ$8:$AK$21,2,FALSE),"MW"))</f>
        <v/>
      </c>
      <c r="AJ44" s="59" t="n"/>
      <c r="AK44" s="59" t="n"/>
    </row>
    <row r="45" ht="12.6" customHeight="1">
      <c r="A45" s="21" t="n"/>
      <c r="B45" s="233" t="n">
        <v>38</v>
      </c>
      <c r="C45" s="273" t="inlineStr">
        <is>
          <t>Yulia</t>
        </is>
      </c>
      <c r="D45" s="273" t="inlineStr">
        <is>
          <t>Interim-Medewerker</t>
        </is>
      </c>
      <c r="E45" s="274" t="n"/>
      <c r="F45" s="533" t="n"/>
      <c r="G45" s="277" t="n">
        <v>0.2083333333333333</v>
      </c>
      <c r="H45" s="277" t="n">
        <v>1</v>
      </c>
      <c r="I45" s="278" t="n"/>
      <c r="J45" s="533" t="n"/>
      <c r="K45" s="277" t="n">
        <v>0.2083333333333333</v>
      </c>
      <c r="L45" s="277" t="n">
        <v>1</v>
      </c>
      <c r="M45" s="278" t="n"/>
      <c r="N45" s="533" t="n"/>
      <c r="O45" s="277" t="n">
        <v>0.2083333333333333</v>
      </c>
      <c r="P45" s="277" t="n">
        <v>1</v>
      </c>
      <c r="Q45" s="278" t="n"/>
      <c r="R45" s="533" t="n"/>
      <c r="S45" s="277" t="n">
        <v>0.2083333333333333</v>
      </c>
      <c r="T45" s="277" t="n">
        <v>1</v>
      </c>
      <c r="U45" s="278" t="n"/>
      <c r="V45" s="533" t="n"/>
      <c r="W45" s="277" t="n">
        <v>0.2083333333333333</v>
      </c>
      <c r="X45" s="277" t="n">
        <v>1</v>
      </c>
      <c r="Y45" s="278" t="n"/>
      <c r="Z45" s="533" t="n"/>
      <c r="AA45" s="277" t="n">
        <v>0.2083333333333333</v>
      </c>
      <c r="AB45" s="277" t="n">
        <v>1</v>
      </c>
      <c r="AC45" s="278" t="n"/>
      <c r="AD45" s="533" t="n"/>
      <c r="AE45" s="277" t="n">
        <v>0.2083333333333333</v>
      </c>
      <c r="AF45" s="277" t="n">
        <v>1</v>
      </c>
      <c r="AG45" s="278" t="n"/>
      <c r="AH45" s="227" t="n"/>
      <c r="AI45" s="225">
        <f>IF(C45="","",IFERROR(VLOOKUP(D45,$AJ$8:$AK$21,2,FALSE),"MW"))</f>
        <v/>
      </c>
      <c r="AJ45" s="59" t="n"/>
      <c r="AK45" s="59" t="n"/>
    </row>
    <row r="46" ht="12.6" customHeight="1">
      <c r="A46" s="21" t="n"/>
      <c r="B46" s="233" t="n">
        <v>39</v>
      </c>
      <c r="C46" s="273" t="inlineStr">
        <is>
          <t>Alaa</t>
        </is>
      </c>
      <c r="D46" s="273" t="inlineStr">
        <is>
          <t>Jobstudent</t>
        </is>
      </c>
      <c r="E46" s="274" t="n"/>
      <c r="F46" s="533" t="n"/>
      <c r="G46" s="277" t="n">
        <v>0.2083333333333333</v>
      </c>
      <c r="H46" s="277" t="n">
        <v>1</v>
      </c>
      <c r="I46" s="278" t="n"/>
      <c r="J46" s="533" t="n"/>
      <c r="K46" s="277" t="n">
        <v>0.2083333333333333</v>
      </c>
      <c r="L46" s="277" t="n">
        <v>1</v>
      </c>
      <c r="M46" s="278" t="n"/>
      <c r="N46" s="533" t="n"/>
      <c r="O46" s="277" t="n">
        <v>0.2083333333333333</v>
      </c>
      <c r="P46" s="277" t="n">
        <v>1</v>
      </c>
      <c r="Q46" s="278" t="n"/>
      <c r="R46" s="533" t="n"/>
      <c r="S46" s="277" t="n">
        <v>0.2083333333333333</v>
      </c>
      <c r="T46" s="277" t="n">
        <v>1</v>
      </c>
      <c r="U46" s="278" t="n"/>
      <c r="V46" s="533" t="n"/>
      <c r="W46" s="277" t="n">
        <v>0.2083333333333333</v>
      </c>
      <c r="X46" s="277" t="n">
        <v>1</v>
      </c>
      <c r="Y46" s="278" t="n"/>
      <c r="Z46" s="533" t="n"/>
      <c r="AA46" s="277" t="n">
        <v>0.2083333333333333</v>
      </c>
      <c r="AB46" s="277" t="n">
        <v>1</v>
      </c>
      <c r="AC46" s="278" t="n"/>
      <c r="AD46" s="533" t="n"/>
      <c r="AE46" s="277" t="n">
        <v>0.2083333333333333</v>
      </c>
      <c r="AF46" s="277" t="n">
        <v>1</v>
      </c>
      <c r="AG46" s="278" t="n"/>
      <c r="AH46" s="227" t="n"/>
      <c r="AI46" s="225">
        <f>IF(C46="","",IFERROR(VLOOKUP(D46,$AJ$8:$AK$21,2,FALSE),"MW"))</f>
        <v/>
      </c>
      <c r="AJ46" s="59" t="n"/>
      <c r="AK46" s="59" t="n"/>
    </row>
    <row r="47" ht="12.6" customHeight="1">
      <c r="A47" s="21" t="n"/>
      <c r="B47" s="233" t="n">
        <v>40</v>
      </c>
      <c r="C47" s="273" t="inlineStr">
        <is>
          <t>Asola</t>
        </is>
      </c>
      <c r="D47" s="273" t="inlineStr">
        <is>
          <t>Jobstudent</t>
        </is>
      </c>
      <c r="E47" s="274" t="n"/>
      <c r="F47" s="533" t="n"/>
      <c r="G47" s="277" t="n">
        <v>0.2083333333333333</v>
      </c>
      <c r="H47" s="277" t="n">
        <v>1</v>
      </c>
      <c r="I47" s="278" t="n"/>
      <c r="J47" s="533" t="n"/>
      <c r="K47" s="277" t="n">
        <v>0.2083333333333333</v>
      </c>
      <c r="L47" s="277" t="n">
        <v>1</v>
      </c>
      <c r="M47" s="278" t="n"/>
      <c r="N47" s="533" t="n"/>
      <c r="O47" s="277" t="n">
        <v>0.2083333333333333</v>
      </c>
      <c r="P47" s="277" t="n">
        <v>1</v>
      </c>
      <c r="Q47" s="278" t="n"/>
      <c r="R47" s="533" t="n"/>
      <c r="S47" s="277" t="n">
        <v>0.2083333333333333</v>
      </c>
      <c r="T47" s="277" t="n">
        <v>1</v>
      </c>
      <c r="U47" s="278" t="n"/>
      <c r="V47" s="533" t="n"/>
      <c r="W47" s="277" t="n">
        <v>0.2083333333333333</v>
      </c>
      <c r="X47" s="277" t="n">
        <v>1</v>
      </c>
      <c r="Y47" s="278" t="n"/>
      <c r="Z47" s="533" t="n"/>
      <c r="AA47" s="277" t="n">
        <v>0.2083333333333333</v>
      </c>
      <c r="AB47" s="277" t="n">
        <v>1</v>
      </c>
      <c r="AC47" s="278" t="n"/>
      <c r="AD47" s="533" t="n"/>
      <c r="AE47" s="277" t="n">
        <v>0.2083333333333333</v>
      </c>
      <c r="AF47" s="277" t="n">
        <v>1</v>
      </c>
      <c r="AG47" s="278" t="n"/>
      <c r="AH47" s="227" t="n"/>
      <c r="AI47" s="225">
        <f>IF(C47="","",IFERROR(VLOOKUP(D47,$AJ$8:$AK$21,2,FALSE),"MW"))</f>
        <v/>
      </c>
      <c r="AJ47" s="59" t="n"/>
      <c r="AK47" s="59" t="n"/>
    </row>
    <row r="48" ht="12.6" customHeight="1">
      <c r="A48" s="21" t="n"/>
      <c r="B48" s="233" t="n">
        <v>41</v>
      </c>
      <c r="C48" s="273" t="inlineStr">
        <is>
          <t>Ayoub</t>
        </is>
      </c>
      <c r="D48" s="273" t="inlineStr">
        <is>
          <t>Jobstudent</t>
        </is>
      </c>
      <c r="E48" s="274" t="n"/>
      <c r="F48" s="533" t="n"/>
      <c r="G48" s="277" t="n">
        <v>0.2083333333333333</v>
      </c>
      <c r="H48" s="277" t="n">
        <v>1</v>
      </c>
      <c r="I48" s="278" t="n"/>
      <c r="J48" s="533" t="n"/>
      <c r="K48" s="277" t="n">
        <v>0.2083333333333333</v>
      </c>
      <c r="L48" s="277" t="n">
        <v>1</v>
      </c>
      <c r="M48" s="278" t="n"/>
      <c r="N48" s="533" t="n"/>
      <c r="O48" s="277" t="n">
        <v>0.2083333333333333</v>
      </c>
      <c r="P48" s="277" t="n">
        <v>1</v>
      </c>
      <c r="Q48" s="278" t="n"/>
      <c r="R48" s="533" t="n"/>
      <c r="S48" s="277" t="n">
        <v>0.2083333333333333</v>
      </c>
      <c r="T48" s="277" t="n">
        <v>1</v>
      </c>
      <c r="U48" s="278" t="n"/>
      <c r="V48" s="533" t="n"/>
      <c r="W48" s="277" t="n">
        <v>0.2083333333333333</v>
      </c>
      <c r="X48" s="277" t="n">
        <v>1</v>
      </c>
      <c r="Y48" s="278" t="n"/>
      <c r="Z48" s="533" t="n"/>
      <c r="AA48" s="277" t="n">
        <v>0.2083333333333333</v>
      </c>
      <c r="AB48" s="277" t="n">
        <v>1</v>
      </c>
      <c r="AC48" s="278" t="n"/>
      <c r="AD48" s="533" t="n"/>
      <c r="AE48" s="277" t="n">
        <v>0.2083333333333333</v>
      </c>
      <c r="AF48" s="277" t="n">
        <v>1</v>
      </c>
      <c r="AG48" s="278" t="n"/>
      <c r="AH48" s="227" t="n"/>
      <c r="AI48" s="225">
        <f>IF(C48="","",IFERROR(VLOOKUP(D48,$AJ$8:$AK$21,2,FALSE),"MW"))</f>
        <v/>
      </c>
      <c r="AJ48" s="59" t="n"/>
      <c r="AK48" s="59" t="n"/>
    </row>
    <row r="49" ht="12.6" customHeight="1">
      <c r="A49" s="21" t="n"/>
      <c r="B49" s="233" t="n">
        <v>42</v>
      </c>
      <c r="C49" s="273" t="inlineStr">
        <is>
          <t>Rougia</t>
        </is>
      </c>
      <c r="D49" s="273" t="inlineStr">
        <is>
          <t>Jobstudent</t>
        </is>
      </c>
      <c r="E49" s="274" t="n"/>
      <c r="F49" s="533" t="n"/>
      <c r="G49" s="277" t="n">
        <v>0.2083333333333333</v>
      </c>
      <c r="H49" s="277" t="n">
        <v>1</v>
      </c>
      <c r="I49" s="278" t="n"/>
      <c r="J49" s="533" t="n"/>
      <c r="K49" s="277" t="n">
        <v>0.2083333333333333</v>
      </c>
      <c r="L49" s="277" t="n">
        <v>1</v>
      </c>
      <c r="M49" s="278" t="n"/>
      <c r="N49" s="533" t="n"/>
      <c r="O49" s="277" t="n">
        <v>0.2083333333333333</v>
      </c>
      <c r="P49" s="277" t="n">
        <v>1</v>
      </c>
      <c r="Q49" s="278" t="n"/>
      <c r="R49" s="533" t="n"/>
      <c r="S49" s="277" t="n">
        <v>0.2083333333333333</v>
      </c>
      <c r="T49" s="277" t="n">
        <v>1</v>
      </c>
      <c r="U49" s="278" t="n"/>
      <c r="V49" s="533" t="n"/>
      <c r="W49" s="277" t="n">
        <v>0.2083333333333333</v>
      </c>
      <c r="X49" s="277" t="n">
        <v>1</v>
      </c>
      <c r="Y49" s="278" t="n"/>
      <c r="Z49" s="533" t="n"/>
      <c r="AA49" s="277" t="n">
        <v>0.2083333333333333</v>
      </c>
      <c r="AB49" s="277" t="n">
        <v>1</v>
      </c>
      <c r="AC49" s="278" t="n"/>
      <c r="AD49" s="533" t="n"/>
      <c r="AE49" s="277" t="n">
        <v>0.2083333333333333</v>
      </c>
      <c r="AF49" s="277" t="n">
        <v>1</v>
      </c>
      <c r="AG49" s="278" t="n"/>
      <c r="AH49" s="227" t="n"/>
      <c r="AI49" s="225">
        <f>IF(C49="","",IFERROR(VLOOKUP(D49,$AJ$8:$AK$21,2,FALSE),"MW"))</f>
        <v/>
      </c>
      <c r="AJ49" s="59" t="n"/>
      <c r="AK49" s="59" t="n"/>
    </row>
    <row r="50" ht="12.6" customHeight="1">
      <c r="A50" s="21" t="n"/>
      <c r="B50" s="233" t="n">
        <v>43</v>
      </c>
      <c r="C50" s="273" t="inlineStr">
        <is>
          <t>Arno</t>
        </is>
      </c>
      <c r="D50" s="273" t="inlineStr">
        <is>
          <t>Jobstudent</t>
        </is>
      </c>
      <c r="E50" s="274" t="n"/>
      <c r="F50" s="533" t="n"/>
      <c r="G50" s="277" t="n">
        <v>0.2083333333333333</v>
      </c>
      <c r="H50" s="277" t="n">
        <v>1</v>
      </c>
      <c r="I50" s="278" t="n"/>
      <c r="J50" s="533" t="n"/>
      <c r="K50" s="277" t="n">
        <v>0.2083333333333333</v>
      </c>
      <c r="L50" s="277" t="n">
        <v>1</v>
      </c>
      <c r="M50" s="278" t="n"/>
      <c r="N50" s="533" t="n"/>
      <c r="O50" s="277" t="n">
        <v>0.2083333333333333</v>
      </c>
      <c r="P50" s="277" t="n">
        <v>1</v>
      </c>
      <c r="Q50" s="278" t="n"/>
      <c r="R50" s="533" t="n"/>
      <c r="S50" s="277" t="n">
        <v>0.2083333333333333</v>
      </c>
      <c r="T50" s="277" t="n">
        <v>1</v>
      </c>
      <c r="U50" s="278" t="n"/>
      <c r="V50" s="533" t="n"/>
      <c r="W50" s="277" t="n">
        <v>0.2083333333333333</v>
      </c>
      <c r="X50" s="277" t="n">
        <v>1</v>
      </c>
      <c r="Y50" s="278" t="n"/>
      <c r="Z50" s="533" t="n"/>
      <c r="AA50" s="277" t="n">
        <v>0.2083333333333333</v>
      </c>
      <c r="AB50" s="277" t="n">
        <v>1</v>
      </c>
      <c r="AC50" s="278" t="n"/>
      <c r="AD50" s="533" t="n"/>
      <c r="AE50" s="277" t="n">
        <v>0.2083333333333333</v>
      </c>
      <c r="AF50" s="277" t="n">
        <v>1</v>
      </c>
      <c r="AG50" s="278" t="n"/>
      <c r="AH50" s="227" t="n"/>
      <c r="AI50" s="225">
        <f>IF(C50="","",IFERROR(VLOOKUP(D50,$AJ$8:$AK$21,2,FALSE),"MW"))</f>
        <v/>
      </c>
      <c r="AJ50" s="59" t="n"/>
      <c r="AK50" s="59" t="n"/>
    </row>
    <row r="51" ht="12.6" customHeight="1">
      <c r="A51" s="21" t="n"/>
      <c r="B51" s="233" t="n">
        <v>44</v>
      </c>
      <c r="C51" s="273" t="inlineStr">
        <is>
          <t>Divine</t>
        </is>
      </c>
      <c r="D51" s="273" t="inlineStr">
        <is>
          <t>Jobstudent</t>
        </is>
      </c>
      <c r="E51" s="274" t="n"/>
      <c r="F51" s="533" t="n"/>
      <c r="G51" s="277" t="n">
        <v>0.2083333333333333</v>
      </c>
      <c r="H51" s="277" t="n">
        <v>1</v>
      </c>
      <c r="I51" s="278" t="n"/>
      <c r="J51" s="533" t="n"/>
      <c r="K51" s="277" t="n">
        <v>0.2083333333333333</v>
      </c>
      <c r="L51" s="277" t="n">
        <v>1</v>
      </c>
      <c r="M51" s="278" t="n"/>
      <c r="N51" s="533" t="n"/>
      <c r="O51" s="277" t="n">
        <v>0.2083333333333333</v>
      </c>
      <c r="P51" s="277" t="n">
        <v>1</v>
      </c>
      <c r="Q51" s="278" t="n"/>
      <c r="R51" s="533" t="n"/>
      <c r="S51" s="277" t="n">
        <v>0.2083333333333333</v>
      </c>
      <c r="T51" s="277" t="n">
        <v>1</v>
      </c>
      <c r="U51" s="278" t="n"/>
      <c r="V51" s="533" t="n"/>
      <c r="W51" s="277" t="n">
        <v>0.2083333333333333</v>
      </c>
      <c r="X51" s="277" t="n">
        <v>1</v>
      </c>
      <c r="Y51" s="278" t="n"/>
      <c r="Z51" s="533" t="n"/>
      <c r="AA51" s="277" t="n">
        <v>0.2083333333333333</v>
      </c>
      <c r="AB51" s="277" t="n">
        <v>1</v>
      </c>
      <c r="AC51" s="278" t="n"/>
      <c r="AD51" s="533" t="n"/>
      <c r="AE51" s="277" t="n">
        <v>0.2083333333333333</v>
      </c>
      <c r="AF51" s="277" t="n">
        <v>1</v>
      </c>
      <c r="AG51" s="278" t="n"/>
      <c r="AH51" s="227" t="n"/>
      <c r="AI51" s="225">
        <f>IF(C51="","",IFERROR(VLOOKUP(D51,$AJ$8:$AK$21,2,FALSE),"MW"))</f>
        <v/>
      </c>
      <c r="AJ51" s="59" t="n"/>
      <c r="AK51" s="59" t="n"/>
    </row>
    <row r="52" ht="12.6" customHeight="1">
      <c r="A52" s="21" t="n"/>
      <c r="B52" s="233" t="n">
        <v>45</v>
      </c>
      <c r="C52" s="273" t="inlineStr">
        <is>
          <t>Raha</t>
        </is>
      </c>
      <c r="D52" s="273" t="inlineStr">
        <is>
          <t>Jobstudent</t>
        </is>
      </c>
      <c r="E52" s="274" t="n"/>
      <c r="F52" s="533" t="n"/>
      <c r="G52" s="277" t="n">
        <v>0.2083333333333333</v>
      </c>
      <c r="H52" s="277" t="n">
        <v>1</v>
      </c>
      <c r="I52" s="278" t="n"/>
      <c r="J52" s="533" t="n"/>
      <c r="K52" s="277" t="n">
        <v>0.2083333333333333</v>
      </c>
      <c r="L52" s="277" t="n">
        <v>1</v>
      </c>
      <c r="M52" s="278" t="n"/>
      <c r="N52" s="533" t="n"/>
      <c r="O52" s="277" t="n">
        <v>0.2083333333333333</v>
      </c>
      <c r="P52" s="277" t="n">
        <v>1</v>
      </c>
      <c r="Q52" s="278" t="n"/>
      <c r="R52" s="533" t="n"/>
      <c r="S52" s="277" t="n">
        <v>0.2083333333333333</v>
      </c>
      <c r="T52" s="277" t="n">
        <v>1</v>
      </c>
      <c r="U52" s="278" t="n"/>
      <c r="V52" s="533" t="n"/>
      <c r="W52" s="277" t="n">
        <v>0.2083333333333333</v>
      </c>
      <c r="X52" s="277" t="n">
        <v>1</v>
      </c>
      <c r="Y52" s="278" t="n"/>
      <c r="Z52" s="533" t="n"/>
      <c r="AA52" s="277" t="n">
        <v>0.2083333333333333</v>
      </c>
      <c r="AB52" s="277" t="n">
        <v>1</v>
      </c>
      <c r="AC52" s="278" t="n"/>
      <c r="AD52" s="533" t="n"/>
      <c r="AE52" s="277" t="n">
        <v>0.2083333333333333</v>
      </c>
      <c r="AF52" s="277" t="n">
        <v>1</v>
      </c>
      <c r="AG52" s="278" t="n"/>
      <c r="AH52" s="227" t="n"/>
      <c r="AI52" s="225">
        <f>IF(C52="","",IFERROR(VLOOKUP(D52,$AJ$8:$AK$21,2,FALSE),"MW"))</f>
        <v/>
      </c>
      <c r="AJ52" s="59" t="n"/>
      <c r="AK52" s="59" t="n"/>
    </row>
    <row r="53" ht="12.6" customHeight="1">
      <c r="A53" s="21" t="n"/>
      <c r="B53" s="233" t="n">
        <v>46</v>
      </c>
      <c r="C53" s="273" t="inlineStr">
        <is>
          <t>Soumia</t>
        </is>
      </c>
      <c r="D53" s="273" t="inlineStr">
        <is>
          <t>Interim-Medewerker</t>
        </is>
      </c>
      <c r="E53" s="274" t="n"/>
      <c r="F53" s="533" t="n"/>
      <c r="G53" s="277" t="n">
        <v>0.2083333333333333</v>
      </c>
      <c r="H53" s="277" t="n">
        <v>1</v>
      </c>
      <c r="I53" s="278" t="n"/>
      <c r="J53" s="533" t="n"/>
      <c r="K53" s="277" t="n">
        <v>0.2083333333333333</v>
      </c>
      <c r="L53" s="277" t="n">
        <v>1</v>
      </c>
      <c r="M53" s="278" t="n"/>
      <c r="N53" s="533" t="n"/>
      <c r="O53" s="277" t="n">
        <v>0.2083333333333333</v>
      </c>
      <c r="P53" s="277" t="n">
        <v>1</v>
      </c>
      <c r="Q53" s="278" t="n"/>
      <c r="R53" s="533" t="n"/>
      <c r="S53" s="277" t="n">
        <v>0.2083333333333333</v>
      </c>
      <c r="T53" s="277" t="n">
        <v>1</v>
      </c>
      <c r="U53" s="278" t="n"/>
      <c r="V53" s="533" t="n"/>
      <c r="W53" s="277" t="n">
        <v>0.2083333333333333</v>
      </c>
      <c r="X53" s="277" t="n">
        <v>1</v>
      </c>
      <c r="Y53" s="278" t="n"/>
      <c r="Z53" s="533" t="n"/>
      <c r="AA53" s="277" t="n">
        <v>0.2083333333333333</v>
      </c>
      <c r="AB53" s="277" t="n">
        <v>1</v>
      </c>
      <c r="AC53" s="278" t="n"/>
      <c r="AD53" s="533" t="n"/>
      <c r="AE53" s="277" t="n">
        <v>0.2083333333333333</v>
      </c>
      <c r="AF53" s="277" t="n">
        <v>1</v>
      </c>
      <c r="AG53" s="278" t="n"/>
      <c r="AH53" s="227" t="n"/>
      <c r="AI53" s="225">
        <f>IF(C53="","",IFERROR(VLOOKUP(D53,$AJ$8:$AK$21,2,FALSE),"MW"))</f>
        <v/>
      </c>
      <c r="AJ53" s="59" t="n"/>
      <c r="AK53" s="59" t="n"/>
    </row>
    <row r="54" ht="12.6" customHeight="1">
      <c r="A54" s="21" t="n"/>
      <c r="B54" s="233" t="n">
        <v>47</v>
      </c>
      <c r="C54" s="273" t="inlineStr">
        <is>
          <t>Younes</t>
        </is>
      </c>
      <c r="D54" s="273" t="inlineStr">
        <is>
          <t>Jobstudent</t>
        </is>
      </c>
      <c r="E54" s="274" t="n"/>
      <c r="F54" s="533" t="n"/>
      <c r="G54" s="277" t="n">
        <v>0.2083333333333333</v>
      </c>
      <c r="H54" s="277" t="n">
        <v>1</v>
      </c>
      <c r="I54" s="278" t="n"/>
      <c r="J54" s="533" t="n"/>
      <c r="K54" s="277" t="n">
        <v>0.2083333333333333</v>
      </c>
      <c r="L54" s="277" t="n">
        <v>1</v>
      </c>
      <c r="M54" s="278" t="n"/>
      <c r="N54" s="533" t="n"/>
      <c r="O54" s="277" t="n">
        <v>0.2083333333333333</v>
      </c>
      <c r="P54" s="277" t="n">
        <v>1</v>
      </c>
      <c r="Q54" s="278" t="n"/>
      <c r="R54" s="533" t="n"/>
      <c r="S54" s="277" t="n">
        <v>0.2083333333333333</v>
      </c>
      <c r="T54" s="277" t="n">
        <v>1</v>
      </c>
      <c r="U54" s="278" t="n"/>
      <c r="V54" s="533" t="n"/>
      <c r="W54" s="277" t="n">
        <v>0.2083333333333333</v>
      </c>
      <c r="X54" s="277" t="n">
        <v>1</v>
      </c>
      <c r="Y54" s="278" t="n"/>
      <c r="Z54" s="533" t="n"/>
      <c r="AA54" s="277" t="n">
        <v>0.2083333333333333</v>
      </c>
      <c r="AB54" s="277" t="n">
        <v>1</v>
      </c>
      <c r="AC54" s="278" t="n"/>
      <c r="AD54" s="533" t="n"/>
      <c r="AE54" s="277" t="n">
        <v>0.2083333333333333</v>
      </c>
      <c r="AF54" s="277" t="n">
        <v>1</v>
      </c>
      <c r="AG54" s="278" t="n"/>
      <c r="AH54" s="227" t="n"/>
      <c r="AI54" s="225">
        <f>IF(C54="","",IFERROR(VLOOKUP(D54,$AJ$8:$AK$21,2,FALSE),"MW"))</f>
        <v/>
      </c>
      <c r="AJ54" s="59" t="n"/>
      <c r="AK54" s="59" t="n"/>
    </row>
    <row r="55" ht="12.6" customHeight="1">
      <c r="A55" s="21" t="n"/>
      <c r="B55" s="233" t="n">
        <v>48</v>
      </c>
      <c r="C55" s="273" t="n"/>
      <c r="D55" s="273" t="n"/>
      <c r="E55" s="274" t="n"/>
      <c r="F55" s="533" t="n"/>
      <c r="G55" s="277" t="n">
        <v>0.2083333333333333</v>
      </c>
      <c r="H55" s="277" t="n">
        <v>1</v>
      </c>
      <c r="I55" s="278" t="n"/>
      <c r="J55" s="533" t="n"/>
      <c r="K55" s="277" t="n">
        <v>0.2083333333333333</v>
      </c>
      <c r="L55" s="277" t="n">
        <v>1</v>
      </c>
      <c r="M55" s="278" t="n"/>
      <c r="N55" s="533" t="n"/>
      <c r="O55" s="277" t="n">
        <v>0.2083333333333333</v>
      </c>
      <c r="P55" s="277" t="n">
        <v>1</v>
      </c>
      <c r="Q55" s="278" t="n"/>
      <c r="R55" s="533" t="n"/>
      <c r="S55" s="277" t="n">
        <v>0.2083333333333333</v>
      </c>
      <c r="T55" s="277" t="n">
        <v>1</v>
      </c>
      <c r="U55" s="278" t="n"/>
      <c r="V55" s="533" t="n"/>
      <c r="W55" s="277" t="n">
        <v>0.2083333333333333</v>
      </c>
      <c r="X55" s="277" t="n">
        <v>1</v>
      </c>
      <c r="Y55" s="278" t="n"/>
      <c r="Z55" s="533" t="n"/>
      <c r="AA55" s="277" t="n">
        <v>0.2083333333333333</v>
      </c>
      <c r="AB55" s="277" t="n">
        <v>1</v>
      </c>
      <c r="AC55" s="278" t="n"/>
      <c r="AD55" s="533" t="n"/>
      <c r="AE55" s="277" t="n">
        <v>0.2083333333333333</v>
      </c>
      <c r="AF55" s="277" t="n">
        <v>1</v>
      </c>
      <c r="AG55" s="278" t="n"/>
      <c r="AH55" s="227" t="n"/>
      <c r="AI55" s="225">
        <f>IF(C55="","",IFERROR(VLOOKUP(D55,$AJ$8:$AK$21,2,FALSE),"MW"))</f>
        <v/>
      </c>
      <c r="AJ55" s="59" t="n"/>
      <c r="AK55" s="59" t="n"/>
    </row>
    <row r="56" ht="12.6" customHeight="1">
      <c r="A56" s="21" t="n"/>
      <c r="B56" s="233" t="n">
        <v>49</v>
      </c>
      <c r="C56" s="273" t="n"/>
      <c r="D56" s="273" t="n"/>
      <c r="E56" s="274" t="n"/>
      <c r="F56" s="533" t="n"/>
      <c r="G56" s="277" t="n">
        <v>0.2083333333333333</v>
      </c>
      <c r="H56" s="277" t="n">
        <v>1</v>
      </c>
      <c r="I56" s="278" t="n"/>
      <c r="J56" s="533" t="n"/>
      <c r="K56" s="277" t="n">
        <v>0.2083333333333333</v>
      </c>
      <c r="L56" s="277" t="n">
        <v>1</v>
      </c>
      <c r="M56" s="278" t="n"/>
      <c r="N56" s="533" t="n"/>
      <c r="O56" s="277" t="n">
        <v>0.2083333333333333</v>
      </c>
      <c r="P56" s="277" t="n">
        <v>1</v>
      </c>
      <c r="Q56" s="278" t="n"/>
      <c r="R56" s="533" t="n"/>
      <c r="S56" s="277" t="n">
        <v>0.2083333333333333</v>
      </c>
      <c r="T56" s="277" t="n">
        <v>1</v>
      </c>
      <c r="U56" s="278" t="n"/>
      <c r="V56" s="533" t="n"/>
      <c r="W56" s="277" t="n">
        <v>0.2083333333333333</v>
      </c>
      <c r="X56" s="277" t="n">
        <v>1</v>
      </c>
      <c r="Y56" s="278" t="n"/>
      <c r="Z56" s="533" t="n"/>
      <c r="AA56" s="277" t="n">
        <v>0.2083333333333333</v>
      </c>
      <c r="AB56" s="277" t="n">
        <v>1</v>
      </c>
      <c r="AC56" s="278" t="n"/>
      <c r="AD56" s="533" t="n"/>
      <c r="AE56" s="277" t="n">
        <v>0.2083333333333333</v>
      </c>
      <c r="AF56" s="277" t="n">
        <v>1</v>
      </c>
      <c r="AG56" s="278" t="n"/>
      <c r="AH56" s="227" t="n"/>
      <c r="AI56" s="225">
        <f>IF(C56="","",IFERROR(VLOOKUP(D56,$AJ$8:$AK$21,2,FALSE),"MW"))</f>
        <v/>
      </c>
      <c r="AJ56" s="59" t="n"/>
      <c r="AK56" s="59" t="n"/>
    </row>
    <row r="57" ht="12.6" customHeight="1">
      <c r="A57" s="21" t="n"/>
      <c r="B57" s="233" t="n">
        <v>50</v>
      </c>
      <c r="C57" s="273" t="n"/>
      <c r="D57" s="273" t="n"/>
      <c r="E57" s="274" t="n"/>
      <c r="F57" s="533" t="n"/>
      <c r="G57" s="277" t="n">
        <v>0.2083333333333333</v>
      </c>
      <c r="H57" s="277" t="n">
        <v>1</v>
      </c>
      <c r="I57" s="278" t="n"/>
      <c r="J57" s="533" t="n"/>
      <c r="K57" s="277" t="n">
        <v>0.2083333333333333</v>
      </c>
      <c r="L57" s="277" t="n">
        <v>1</v>
      </c>
      <c r="M57" s="278" t="n"/>
      <c r="N57" s="533" t="n"/>
      <c r="O57" s="277" t="n">
        <v>0.2083333333333333</v>
      </c>
      <c r="P57" s="277" t="n">
        <v>1</v>
      </c>
      <c r="Q57" s="278" t="n"/>
      <c r="R57" s="533" t="n"/>
      <c r="S57" s="277" t="n">
        <v>0.2083333333333333</v>
      </c>
      <c r="T57" s="277" t="n">
        <v>1</v>
      </c>
      <c r="U57" s="278" t="n"/>
      <c r="V57" s="533" t="n"/>
      <c r="W57" s="277" t="n">
        <v>0.2083333333333333</v>
      </c>
      <c r="X57" s="277" t="n">
        <v>1</v>
      </c>
      <c r="Y57" s="278" t="n"/>
      <c r="Z57" s="533" t="n"/>
      <c r="AA57" s="277" t="n">
        <v>0.2083333333333333</v>
      </c>
      <c r="AB57" s="277" t="n">
        <v>1</v>
      </c>
      <c r="AC57" s="278" t="n"/>
      <c r="AD57" s="533" t="n"/>
      <c r="AE57" s="277" t="n">
        <v>0.2083333333333333</v>
      </c>
      <c r="AF57" s="277" t="n">
        <v>1</v>
      </c>
      <c r="AG57" s="278" t="n"/>
      <c r="AH57" s="227" t="n"/>
      <c r="AI57" s="225">
        <f>IF(C57="","",IFERROR(VLOOKUP(D57,$AJ$8:$AK$21,2,FALSE),"MW"))</f>
        <v/>
      </c>
      <c r="AJ57" s="59" t="n"/>
      <c r="AK57" s="59" t="n"/>
    </row>
    <row r="58" ht="12.6" customHeight="1">
      <c r="A58" s="21" t="n"/>
      <c r="B58" s="233" t="n">
        <v>51</v>
      </c>
      <c r="C58" s="273" t="n"/>
      <c r="D58" s="273" t="n"/>
      <c r="E58" s="274" t="n"/>
      <c r="F58" s="533" t="n"/>
      <c r="G58" s="277" t="n">
        <v>0.2083333333333333</v>
      </c>
      <c r="H58" s="277" t="n">
        <v>1</v>
      </c>
      <c r="I58" s="278" t="n"/>
      <c r="J58" s="533" t="n"/>
      <c r="K58" s="277" t="n">
        <v>0.2083333333333333</v>
      </c>
      <c r="L58" s="277" t="n">
        <v>1</v>
      </c>
      <c r="M58" s="278" t="n"/>
      <c r="N58" s="533" t="n"/>
      <c r="O58" s="277" t="n">
        <v>0.2083333333333333</v>
      </c>
      <c r="P58" s="277" t="n">
        <v>1</v>
      </c>
      <c r="Q58" s="278" t="n"/>
      <c r="R58" s="533" t="n"/>
      <c r="S58" s="277" t="n">
        <v>0.2083333333333333</v>
      </c>
      <c r="T58" s="277" t="n">
        <v>1</v>
      </c>
      <c r="U58" s="278" t="n"/>
      <c r="V58" s="533" t="n"/>
      <c r="W58" s="277" t="n">
        <v>0.2083333333333333</v>
      </c>
      <c r="X58" s="277" t="n">
        <v>1</v>
      </c>
      <c r="Y58" s="278" t="n"/>
      <c r="Z58" s="533" t="n"/>
      <c r="AA58" s="277" t="n">
        <v>0.2083333333333333</v>
      </c>
      <c r="AB58" s="277" t="n">
        <v>1</v>
      </c>
      <c r="AC58" s="278" t="n"/>
      <c r="AD58" s="533" t="n"/>
      <c r="AE58" s="277" t="n">
        <v>0.2083333333333333</v>
      </c>
      <c r="AF58" s="277" t="n">
        <v>1</v>
      </c>
      <c r="AG58" s="278" t="n"/>
      <c r="AH58" s="227" t="n"/>
      <c r="AI58" s="225">
        <f>IF(C58="","",IFERROR(VLOOKUP(D58,$AJ$8:$AK$21,2,FALSE),"MW"))</f>
        <v/>
      </c>
      <c r="AJ58" s="59" t="n"/>
      <c r="AK58" s="59" t="n"/>
    </row>
    <row r="59" ht="12.6" customHeight="1">
      <c r="A59" s="21" t="n"/>
      <c r="B59" s="233" t="n">
        <v>52</v>
      </c>
      <c r="C59" s="273" t="n"/>
      <c r="D59" s="273" t="n"/>
      <c r="E59" s="274" t="n"/>
      <c r="F59" s="533" t="n"/>
      <c r="G59" s="277" t="n">
        <v>0.2083333333333333</v>
      </c>
      <c r="H59" s="277" t="n">
        <v>1</v>
      </c>
      <c r="I59" s="278" t="n"/>
      <c r="J59" s="533" t="n"/>
      <c r="K59" s="277" t="n">
        <v>0.2083333333333333</v>
      </c>
      <c r="L59" s="277" t="n">
        <v>1</v>
      </c>
      <c r="M59" s="278" t="n"/>
      <c r="N59" s="533" t="n"/>
      <c r="O59" s="277" t="n">
        <v>0.2083333333333333</v>
      </c>
      <c r="P59" s="277" t="n">
        <v>1</v>
      </c>
      <c r="Q59" s="278" t="n"/>
      <c r="R59" s="533" t="n"/>
      <c r="S59" s="277" t="n">
        <v>0.2083333333333333</v>
      </c>
      <c r="T59" s="277" t="n">
        <v>1</v>
      </c>
      <c r="U59" s="278" t="n"/>
      <c r="V59" s="533" t="n"/>
      <c r="W59" s="277" t="n">
        <v>0.2083333333333333</v>
      </c>
      <c r="X59" s="277" t="n">
        <v>1</v>
      </c>
      <c r="Y59" s="278" t="n"/>
      <c r="Z59" s="533" t="n"/>
      <c r="AA59" s="277" t="n">
        <v>0.2083333333333333</v>
      </c>
      <c r="AB59" s="277" t="n">
        <v>1</v>
      </c>
      <c r="AC59" s="278" t="n"/>
      <c r="AD59" s="533" t="n"/>
      <c r="AE59" s="277" t="n">
        <v>0.2083333333333333</v>
      </c>
      <c r="AF59" s="277" t="n">
        <v>1</v>
      </c>
      <c r="AG59" s="278" t="n"/>
      <c r="AH59" s="227" t="n"/>
      <c r="AI59" s="225">
        <f>IF(C59="","",IFERROR(VLOOKUP(D59,$AJ$8:$AK$21,2,FALSE),"MW"))</f>
        <v/>
      </c>
      <c r="AJ59" s="59" t="n"/>
      <c r="AK59" s="59" t="n"/>
    </row>
    <row r="60" ht="12.6" customHeight="1">
      <c r="A60" s="21" t="n"/>
      <c r="B60" s="233" t="n">
        <v>53</v>
      </c>
      <c r="C60" s="273" t="n"/>
      <c r="D60" s="273" t="n"/>
      <c r="E60" s="274" t="n"/>
      <c r="F60" s="533" t="n"/>
      <c r="G60" s="277" t="n">
        <v>0.2083333333333333</v>
      </c>
      <c r="H60" s="277" t="n">
        <v>1</v>
      </c>
      <c r="I60" s="278" t="n"/>
      <c r="J60" s="533" t="n"/>
      <c r="K60" s="277" t="n">
        <v>0.2083333333333333</v>
      </c>
      <c r="L60" s="277" t="n">
        <v>1</v>
      </c>
      <c r="M60" s="278" t="n"/>
      <c r="N60" s="533" t="n"/>
      <c r="O60" s="277" t="n">
        <v>0.2083333333333333</v>
      </c>
      <c r="P60" s="277" t="n">
        <v>1</v>
      </c>
      <c r="Q60" s="278" t="n"/>
      <c r="R60" s="533" t="n"/>
      <c r="S60" s="277" t="n">
        <v>0.2083333333333333</v>
      </c>
      <c r="T60" s="277" t="n">
        <v>1</v>
      </c>
      <c r="U60" s="278" t="n"/>
      <c r="V60" s="533" t="n"/>
      <c r="W60" s="277" t="n">
        <v>0.2083333333333333</v>
      </c>
      <c r="X60" s="277" t="n">
        <v>1</v>
      </c>
      <c r="Y60" s="278" t="n"/>
      <c r="Z60" s="533" t="n"/>
      <c r="AA60" s="277" t="n">
        <v>0.2083333333333333</v>
      </c>
      <c r="AB60" s="277" t="n">
        <v>1</v>
      </c>
      <c r="AC60" s="278" t="n"/>
      <c r="AD60" s="533" t="n"/>
      <c r="AE60" s="277" t="n">
        <v>0.2083333333333333</v>
      </c>
      <c r="AF60" s="277" t="n">
        <v>1</v>
      </c>
      <c r="AG60" s="278" t="n"/>
      <c r="AH60" s="227" t="n"/>
      <c r="AI60" s="225">
        <f>IF(C60="","",IFERROR(VLOOKUP(D60,$AJ$8:$AK$21,2,FALSE),"MW"))</f>
        <v/>
      </c>
      <c r="AJ60" s="59" t="n"/>
      <c r="AK60" s="59" t="n"/>
    </row>
    <row r="61" ht="12.6" customHeight="1">
      <c r="A61" s="21" t="n"/>
      <c r="B61" s="233" t="n">
        <v>54</v>
      </c>
      <c r="C61" s="273" t="n"/>
      <c r="D61" s="273" t="n"/>
      <c r="E61" s="274" t="n"/>
      <c r="F61" s="533" t="n"/>
      <c r="G61" s="277" t="n">
        <v>0.2083333333333333</v>
      </c>
      <c r="H61" s="277" t="n">
        <v>1</v>
      </c>
      <c r="I61" s="278" t="n"/>
      <c r="J61" s="533" t="n"/>
      <c r="K61" s="277" t="n">
        <v>0.2083333333333333</v>
      </c>
      <c r="L61" s="277" t="n">
        <v>1</v>
      </c>
      <c r="M61" s="278" t="n"/>
      <c r="N61" s="533" t="n"/>
      <c r="O61" s="277" t="n">
        <v>0.2083333333333333</v>
      </c>
      <c r="P61" s="277" t="n">
        <v>1</v>
      </c>
      <c r="Q61" s="278" t="n"/>
      <c r="R61" s="533" t="n"/>
      <c r="S61" s="277" t="n">
        <v>0.2083333333333333</v>
      </c>
      <c r="T61" s="277" t="n">
        <v>1</v>
      </c>
      <c r="U61" s="278" t="n"/>
      <c r="V61" s="533" t="n"/>
      <c r="W61" s="277" t="n">
        <v>0.2083333333333333</v>
      </c>
      <c r="X61" s="277" t="n">
        <v>1</v>
      </c>
      <c r="Y61" s="278" t="n"/>
      <c r="Z61" s="533" t="n"/>
      <c r="AA61" s="277" t="n">
        <v>0.2083333333333333</v>
      </c>
      <c r="AB61" s="277" t="n">
        <v>1</v>
      </c>
      <c r="AC61" s="278" t="n"/>
      <c r="AD61" s="533" t="n"/>
      <c r="AE61" s="277" t="n">
        <v>0.2083333333333333</v>
      </c>
      <c r="AF61" s="277" t="n">
        <v>1</v>
      </c>
      <c r="AG61" s="278" t="n"/>
      <c r="AH61" s="227" t="n"/>
      <c r="AI61" s="225">
        <f>IF(C61="","",IFERROR(VLOOKUP(D61,$AJ$8:$AK$21,2,FALSE),"MW"))</f>
        <v/>
      </c>
      <c r="AJ61" s="59" t="n"/>
      <c r="AK61" s="59" t="n"/>
    </row>
    <row r="62" ht="12.6" customHeight="1">
      <c r="A62" s="21" t="n"/>
      <c r="B62" s="233" t="n">
        <v>55</v>
      </c>
      <c r="C62" s="273" t="n"/>
      <c r="D62" s="273" t="n"/>
      <c r="E62" s="274" t="n"/>
      <c r="F62" s="533" t="n"/>
      <c r="G62" s="277" t="n">
        <v>0.2083333333333333</v>
      </c>
      <c r="H62" s="277" t="n">
        <v>1</v>
      </c>
      <c r="I62" s="278" t="n"/>
      <c r="J62" s="533" t="n"/>
      <c r="K62" s="277" t="n">
        <v>0.2083333333333333</v>
      </c>
      <c r="L62" s="277" t="n">
        <v>1</v>
      </c>
      <c r="M62" s="278" t="n"/>
      <c r="N62" s="533" t="n"/>
      <c r="O62" s="277" t="n">
        <v>0.2083333333333333</v>
      </c>
      <c r="P62" s="277" t="n">
        <v>1</v>
      </c>
      <c r="Q62" s="278" t="n"/>
      <c r="R62" s="533" t="n"/>
      <c r="S62" s="277" t="n">
        <v>0.2083333333333333</v>
      </c>
      <c r="T62" s="277" t="n">
        <v>1</v>
      </c>
      <c r="U62" s="278" t="n"/>
      <c r="V62" s="533" t="n"/>
      <c r="W62" s="277" t="n">
        <v>0.2083333333333333</v>
      </c>
      <c r="X62" s="277" t="n">
        <v>1</v>
      </c>
      <c r="Y62" s="278" t="n"/>
      <c r="Z62" s="533" t="n"/>
      <c r="AA62" s="277" t="n">
        <v>0.2083333333333333</v>
      </c>
      <c r="AB62" s="277" t="n">
        <v>1</v>
      </c>
      <c r="AC62" s="278" t="n"/>
      <c r="AD62" s="533" t="n"/>
      <c r="AE62" s="277" t="n">
        <v>0.2083333333333333</v>
      </c>
      <c r="AF62" s="277" t="n">
        <v>1</v>
      </c>
      <c r="AG62" s="278" t="n"/>
      <c r="AH62" s="227" t="n"/>
      <c r="AI62" s="225">
        <f>IF(C62="","",IFERROR(VLOOKUP(D62,$AJ$8:$AK$21,2,FALSE),"MW"))</f>
        <v/>
      </c>
      <c r="AJ62" s="59" t="n"/>
      <c r="AK62" s="59" t="n"/>
    </row>
    <row r="63" ht="12.6" customHeight="1">
      <c r="A63" s="21" t="n"/>
      <c r="B63" s="233" t="n">
        <v>56</v>
      </c>
      <c r="C63" s="273" t="n"/>
      <c r="D63" s="273" t="n"/>
      <c r="E63" s="274" t="n"/>
      <c r="F63" s="533" t="n"/>
      <c r="G63" s="277" t="n">
        <v>0.2083333333333333</v>
      </c>
      <c r="H63" s="277" t="n">
        <v>1</v>
      </c>
      <c r="I63" s="278" t="n"/>
      <c r="J63" s="533" t="n"/>
      <c r="K63" s="277" t="n">
        <v>0.2083333333333333</v>
      </c>
      <c r="L63" s="277" t="n">
        <v>1</v>
      </c>
      <c r="M63" s="278" t="n"/>
      <c r="N63" s="533" t="n"/>
      <c r="O63" s="277" t="n">
        <v>0.2083333333333333</v>
      </c>
      <c r="P63" s="277" t="n">
        <v>1</v>
      </c>
      <c r="Q63" s="278" t="n"/>
      <c r="R63" s="533" t="n"/>
      <c r="S63" s="277" t="n">
        <v>0.2083333333333333</v>
      </c>
      <c r="T63" s="277" t="n">
        <v>1</v>
      </c>
      <c r="U63" s="278" t="n"/>
      <c r="V63" s="533" t="n"/>
      <c r="W63" s="277" t="n">
        <v>0.2083333333333333</v>
      </c>
      <c r="X63" s="277" t="n">
        <v>1</v>
      </c>
      <c r="Y63" s="278" t="n"/>
      <c r="Z63" s="533" t="n"/>
      <c r="AA63" s="277" t="n">
        <v>0.2083333333333333</v>
      </c>
      <c r="AB63" s="277" t="n">
        <v>1</v>
      </c>
      <c r="AC63" s="278" t="n"/>
      <c r="AD63" s="533" t="n"/>
      <c r="AE63" s="277" t="n">
        <v>0.2083333333333333</v>
      </c>
      <c r="AF63" s="277" t="n">
        <v>1</v>
      </c>
      <c r="AG63" s="278" t="n"/>
      <c r="AH63" s="227" t="n"/>
      <c r="AI63" s="225">
        <f>IF(C63="","",IFERROR(VLOOKUP(D63,$AJ$8:$AK$21,2,FALSE),"MW"))</f>
        <v/>
      </c>
      <c r="AJ63" s="59" t="n"/>
      <c r="AK63" s="59" t="n"/>
    </row>
    <row r="64" ht="12.6" customHeight="1">
      <c r="A64" s="21" t="n"/>
      <c r="B64" s="233" t="n">
        <v>57</v>
      </c>
      <c r="C64" s="273" t="n"/>
      <c r="D64" s="273" t="n"/>
      <c r="E64" s="274" t="n"/>
      <c r="F64" s="533" t="n"/>
      <c r="G64" s="277" t="n">
        <v>0.2083333333333333</v>
      </c>
      <c r="H64" s="277" t="n">
        <v>1</v>
      </c>
      <c r="I64" s="278" t="n"/>
      <c r="J64" s="533" t="n"/>
      <c r="K64" s="277" t="n">
        <v>0.2083333333333333</v>
      </c>
      <c r="L64" s="277" t="n">
        <v>1</v>
      </c>
      <c r="M64" s="278" t="n"/>
      <c r="N64" s="533" t="n"/>
      <c r="O64" s="277" t="n">
        <v>0.2083333333333333</v>
      </c>
      <c r="P64" s="277" t="n">
        <v>1</v>
      </c>
      <c r="Q64" s="278" t="n"/>
      <c r="R64" s="533" t="n"/>
      <c r="S64" s="277" t="n">
        <v>0.2083333333333333</v>
      </c>
      <c r="T64" s="277" t="n">
        <v>1</v>
      </c>
      <c r="U64" s="278" t="n"/>
      <c r="V64" s="533" t="n"/>
      <c r="W64" s="277" t="n">
        <v>0.2083333333333333</v>
      </c>
      <c r="X64" s="277" t="n">
        <v>1</v>
      </c>
      <c r="Y64" s="278" t="n"/>
      <c r="Z64" s="533" t="n"/>
      <c r="AA64" s="277" t="n">
        <v>0.2083333333333333</v>
      </c>
      <c r="AB64" s="277" t="n">
        <v>1</v>
      </c>
      <c r="AC64" s="278" t="n"/>
      <c r="AD64" s="533" t="n"/>
      <c r="AE64" s="277" t="n">
        <v>0.2083333333333333</v>
      </c>
      <c r="AF64" s="277" t="n">
        <v>1</v>
      </c>
      <c r="AG64" s="278" t="n"/>
      <c r="AH64" s="227" t="n"/>
      <c r="AI64" s="225">
        <f>IF(C64="","",IFERROR(VLOOKUP(D64,$AJ$8:$AK$21,2,FALSE),"MW"))</f>
        <v/>
      </c>
      <c r="AJ64" s="59" t="n"/>
      <c r="AK64" s="59" t="n"/>
    </row>
    <row r="65" ht="12.6" customHeight="1">
      <c r="A65" s="21" t="n"/>
      <c r="B65" s="233" t="n">
        <v>58</v>
      </c>
      <c r="C65" s="273" t="n"/>
      <c r="D65" s="273" t="n"/>
      <c r="E65" s="274" t="n"/>
      <c r="F65" s="533" t="n"/>
      <c r="G65" s="277" t="n">
        <v>0.2083333333333333</v>
      </c>
      <c r="H65" s="277" t="n">
        <v>1</v>
      </c>
      <c r="I65" s="278" t="n"/>
      <c r="J65" s="533" t="n"/>
      <c r="K65" s="277" t="n">
        <v>0.2083333333333333</v>
      </c>
      <c r="L65" s="277" t="n">
        <v>1</v>
      </c>
      <c r="M65" s="278" t="n"/>
      <c r="N65" s="533" t="n"/>
      <c r="O65" s="277" t="n">
        <v>0.2083333333333333</v>
      </c>
      <c r="P65" s="277" t="n">
        <v>1</v>
      </c>
      <c r="Q65" s="278" t="n"/>
      <c r="R65" s="533" t="n"/>
      <c r="S65" s="277" t="n">
        <v>0.2083333333333333</v>
      </c>
      <c r="T65" s="277" t="n">
        <v>1</v>
      </c>
      <c r="U65" s="278" t="n"/>
      <c r="V65" s="533" t="n"/>
      <c r="W65" s="277" t="n">
        <v>0.2083333333333333</v>
      </c>
      <c r="X65" s="277" t="n">
        <v>1</v>
      </c>
      <c r="Y65" s="278" t="n"/>
      <c r="Z65" s="533" t="n"/>
      <c r="AA65" s="277" t="n">
        <v>0.2083333333333333</v>
      </c>
      <c r="AB65" s="277" t="n">
        <v>1</v>
      </c>
      <c r="AC65" s="278" t="n"/>
      <c r="AD65" s="533" t="n"/>
      <c r="AE65" s="277" t="n">
        <v>0.2083333333333333</v>
      </c>
      <c r="AF65" s="277" t="n">
        <v>1</v>
      </c>
      <c r="AG65" s="278" t="n"/>
      <c r="AH65" s="227" t="n"/>
      <c r="AI65" s="225">
        <f>IF(C65="","",IFERROR(VLOOKUP(D65,$AJ$8:$AK$21,2,FALSE),"MW"))</f>
        <v/>
      </c>
      <c r="AJ65" s="59" t="n"/>
      <c r="AK65" s="59" t="n"/>
    </row>
    <row r="66" ht="12.6" customHeight="1">
      <c r="A66" s="21" t="n"/>
      <c r="B66" s="233" t="n">
        <v>59</v>
      </c>
      <c r="C66" s="273" t="n"/>
      <c r="D66" s="273" t="n"/>
      <c r="E66" s="274" t="n"/>
      <c r="F66" s="533" t="n"/>
      <c r="G66" s="277" t="n">
        <v>0.2083333333333333</v>
      </c>
      <c r="H66" s="277" t="n">
        <v>1</v>
      </c>
      <c r="I66" s="278" t="n"/>
      <c r="J66" s="533" t="n"/>
      <c r="K66" s="277" t="n">
        <v>0.2083333333333333</v>
      </c>
      <c r="L66" s="277" t="n">
        <v>1</v>
      </c>
      <c r="M66" s="278" t="n"/>
      <c r="N66" s="533" t="n"/>
      <c r="O66" s="277" t="n">
        <v>0.2083333333333333</v>
      </c>
      <c r="P66" s="277" t="n">
        <v>1</v>
      </c>
      <c r="Q66" s="278" t="n"/>
      <c r="R66" s="533" t="n"/>
      <c r="S66" s="277" t="n">
        <v>0.2083333333333333</v>
      </c>
      <c r="T66" s="277" t="n">
        <v>1</v>
      </c>
      <c r="U66" s="278" t="n"/>
      <c r="V66" s="533" t="n"/>
      <c r="W66" s="277" t="n">
        <v>0.2083333333333333</v>
      </c>
      <c r="X66" s="277" t="n">
        <v>1</v>
      </c>
      <c r="Y66" s="278" t="n"/>
      <c r="Z66" s="533" t="n"/>
      <c r="AA66" s="277" t="n">
        <v>0.2083333333333333</v>
      </c>
      <c r="AB66" s="277" t="n">
        <v>1</v>
      </c>
      <c r="AC66" s="278" t="n"/>
      <c r="AD66" s="533" t="n"/>
      <c r="AE66" s="277" t="n">
        <v>0.2083333333333333</v>
      </c>
      <c r="AF66" s="277" t="n">
        <v>1</v>
      </c>
      <c r="AG66" s="278" t="n"/>
      <c r="AH66" s="227" t="n"/>
      <c r="AI66" s="225">
        <f>IF(C66="","",IFERROR(VLOOKUP(D66,$AJ$8:$AK$21,2,FALSE),"MW"))</f>
        <v/>
      </c>
      <c r="AJ66" s="59" t="n"/>
      <c r="AK66" s="59" t="n"/>
    </row>
    <row r="67" ht="12.6" customHeight="1">
      <c r="A67" s="21" t="n"/>
      <c r="B67" s="233" t="n">
        <v>60</v>
      </c>
      <c r="C67" s="273" t="n"/>
      <c r="D67" s="273" t="n"/>
      <c r="E67" s="274" t="n"/>
      <c r="F67" s="533" t="n"/>
      <c r="G67" s="277" t="n">
        <v>0.2083333333333333</v>
      </c>
      <c r="H67" s="277" t="n">
        <v>1</v>
      </c>
      <c r="I67" s="278" t="n"/>
      <c r="J67" s="533" t="n"/>
      <c r="K67" s="277" t="n">
        <v>0.2083333333333333</v>
      </c>
      <c r="L67" s="277" t="n">
        <v>1</v>
      </c>
      <c r="M67" s="278" t="n"/>
      <c r="N67" s="533" t="n"/>
      <c r="O67" s="277" t="n">
        <v>0.2083333333333333</v>
      </c>
      <c r="P67" s="277" t="n">
        <v>1</v>
      </c>
      <c r="Q67" s="278" t="n"/>
      <c r="R67" s="533" t="n"/>
      <c r="S67" s="277" t="n">
        <v>0.2083333333333333</v>
      </c>
      <c r="T67" s="277" t="n">
        <v>1</v>
      </c>
      <c r="U67" s="278" t="n"/>
      <c r="V67" s="533" t="n"/>
      <c r="W67" s="277" t="n">
        <v>0.2083333333333333</v>
      </c>
      <c r="X67" s="277" t="n">
        <v>1</v>
      </c>
      <c r="Y67" s="278" t="n"/>
      <c r="Z67" s="533" t="n"/>
      <c r="AA67" s="277" t="n">
        <v>0.2083333333333333</v>
      </c>
      <c r="AB67" s="277" t="n">
        <v>1</v>
      </c>
      <c r="AC67" s="278" t="n"/>
      <c r="AD67" s="533" t="n"/>
      <c r="AE67" s="277" t="n">
        <v>0.2083333333333333</v>
      </c>
      <c r="AF67" s="277" t="n">
        <v>1</v>
      </c>
      <c r="AG67" s="278" t="n"/>
      <c r="AH67" s="227" t="n"/>
      <c r="AI67" s="225">
        <f>IF(C67="","",IFERROR(VLOOKUP(D67,$AJ$8:$AK$21,2,FALSE),"MW"))</f>
        <v/>
      </c>
      <c r="AJ67" s="59" t="n"/>
      <c r="AK67" s="59" t="n"/>
    </row>
    <row r="68" ht="12.6" customHeight="1">
      <c r="A68" s="21" t="n"/>
      <c r="B68" s="233" t="n">
        <v>61</v>
      </c>
      <c r="C68" s="273" t="n"/>
      <c r="D68" s="273" t="n"/>
      <c r="E68" s="274" t="n"/>
      <c r="F68" s="533" t="n"/>
      <c r="G68" s="277" t="n">
        <v>0.2083333333333333</v>
      </c>
      <c r="H68" s="277" t="n">
        <v>1</v>
      </c>
      <c r="I68" s="278" t="n"/>
      <c r="J68" s="533" t="n"/>
      <c r="K68" s="277" t="n">
        <v>0.2083333333333333</v>
      </c>
      <c r="L68" s="277" t="n">
        <v>1</v>
      </c>
      <c r="M68" s="278" t="n"/>
      <c r="N68" s="533" t="n"/>
      <c r="O68" s="277" t="n">
        <v>0.2083333333333333</v>
      </c>
      <c r="P68" s="277" t="n">
        <v>1</v>
      </c>
      <c r="Q68" s="278" t="n"/>
      <c r="R68" s="533" t="n"/>
      <c r="S68" s="277" t="n">
        <v>0.2083333333333333</v>
      </c>
      <c r="T68" s="277" t="n">
        <v>1</v>
      </c>
      <c r="U68" s="278" t="n"/>
      <c r="V68" s="533" t="n"/>
      <c r="W68" s="277" t="n">
        <v>0.2083333333333333</v>
      </c>
      <c r="X68" s="277" t="n">
        <v>1</v>
      </c>
      <c r="Y68" s="278" t="n"/>
      <c r="Z68" s="533" t="n"/>
      <c r="AA68" s="277" t="n">
        <v>0.2083333333333333</v>
      </c>
      <c r="AB68" s="277" t="n">
        <v>1</v>
      </c>
      <c r="AC68" s="278" t="n"/>
      <c r="AD68" s="533" t="n"/>
      <c r="AE68" s="277" t="n">
        <v>0.2083333333333333</v>
      </c>
      <c r="AF68" s="277" t="n">
        <v>1</v>
      </c>
      <c r="AG68" s="278" t="n"/>
      <c r="AH68" s="227" t="n"/>
      <c r="AI68" s="225">
        <f>IF(C68="","",IFERROR(VLOOKUP(D68,$AJ$8:$AK$21,2,FALSE),"MW"))</f>
        <v/>
      </c>
      <c r="AJ68" s="59" t="n"/>
      <c r="AK68" s="59" t="n"/>
    </row>
    <row r="69" ht="12.6" customHeight="1">
      <c r="A69" s="21" t="n"/>
      <c r="B69" s="233" t="n">
        <v>62</v>
      </c>
      <c r="C69" s="273" t="n"/>
      <c r="D69" s="273" t="n"/>
      <c r="E69" s="274" t="n"/>
      <c r="F69" s="533" t="n"/>
      <c r="G69" s="277" t="n">
        <v>0.2083333333333333</v>
      </c>
      <c r="H69" s="277" t="n">
        <v>1</v>
      </c>
      <c r="I69" s="278" t="n"/>
      <c r="J69" s="533" t="n"/>
      <c r="K69" s="277" t="n">
        <v>0.2083333333333333</v>
      </c>
      <c r="L69" s="277" t="n">
        <v>1</v>
      </c>
      <c r="M69" s="278" t="n"/>
      <c r="N69" s="533" t="n"/>
      <c r="O69" s="277" t="n">
        <v>0.2083333333333333</v>
      </c>
      <c r="P69" s="277" t="n">
        <v>1</v>
      </c>
      <c r="Q69" s="278" t="n"/>
      <c r="R69" s="533" t="n"/>
      <c r="S69" s="277" t="n">
        <v>0.2083333333333333</v>
      </c>
      <c r="T69" s="277" t="n">
        <v>1</v>
      </c>
      <c r="U69" s="278" t="n"/>
      <c r="V69" s="533" t="n"/>
      <c r="W69" s="277" t="n">
        <v>0.2083333333333333</v>
      </c>
      <c r="X69" s="277" t="n">
        <v>1</v>
      </c>
      <c r="Y69" s="278" t="n"/>
      <c r="Z69" s="533" t="n"/>
      <c r="AA69" s="277" t="n">
        <v>0.2083333333333333</v>
      </c>
      <c r="AB69" s="277" t="n">
        <v>1</v>
      </c>
      <c r="AC69" s="278" t="n"/>
      <c r="AD69" s="533" t="n"/>
      <c r="AE69" s="277" t="n">
        <v>0.2083333333333333</v>
      </c>
      <c r="AF69" s="277" t="n">
        <v>1</v>
      </c>
      <c r="AG69" s="278" t="n"/>
      <c r="AH69" s="227" t="n"/>
      <c r="AI69" s="225">
        <f>IF(C69="","",IFERROR(VLOOKUP(D69,$AJ$8:$AK$21,2,FALSE),"MW"))</f>
        <v/>
      </c>
      <c r="AJ69" s="59" t="n"/>
      <c r="AK69" s="59" t="n"/>
    </row>
    <row r="70" ht="12.6" customHeight="1">
      <c r="A70" s="21" t="n"/>
      <c r="B70" s="233" t="n">
        <v>63</v>
      </c>
      <c r="C70" s="273" t="n"/>
      <c r="D70" s="273" t="n"/>
      <c r="E70" s="274" t="n"/>
      <c r="F70" s="533" t="n"/>
      <c r="G70" s="277" t="n">
        <v>0.2083333333333333</v>
      </c>
      <c r="H70" s="277" t="n">
        <v>1</v>
      </c>
      <c r="I70" s="278" t="n"/>
      <c r="J70" s="533" t="n"/>
      <c r="K70" s="277" t="n">
        <v>0.2083333333333333</v>
      </c>
      <c r="L70" s="277" t="n">
        <v>1</v>
      </c>
      <c r="M70" s="278" t="n"/>
      <c r="N70" s="533" t="n"/>
      <c r="O70" s="277" t="n">
        <v>0.2083333333333333</v>
      </c>
      <c r="P70" s="277" t="n">
        <v>1</v>
      </c>
      <c r="Q70" s="278" t="n"/>
      <c r="R70" s="533" t="n"/>
      <c r="S70" s="277" t="n">
        <v>0.2083333333333333</v>
      </c>
      <c r="T70" s="277" t="n">
        <v>1</v>
      </c>
      <c r="U70" s="278" t="n"/>
      <c r="V70" s="533" t="n"/>
      <c r="W70" s="277" t="n">
        <v>0.2083333333333333</v>
      </c>
      <c r="X70" s="277" t="n">
        <v>1</v>
      </c>
      <c r="Y70" s="278" t="n"/>
      <c r="Z70" s="533" t="n"/>
      <c r="AA70" s="277" t="n">
        <v>0.2083333333333333</v>
      </c>
      <c r="AB70" s="277" t="n">
        <v>1</v>
      </c>
      <c r="AC70" s="278" t="n"/>
      <c r="AD70" s="533" t="n"/>
      <c r="AE70" s="277" t="n">
        <v>0.2083333333333333</v>
      </c>
      <c r="AF70" s="277" t="n">
        <v>1</v>
      </c>
      <c r="AG70" s="278" t="n"/>
      <c r="AH70" s="227" t="n"/>
      <c r="AI70" s="225">
        <f>IF(C70="","",IFERROR(VLOOKUP(D70,$AJ$8:$AK$21,2,FALSE),"MW"))</f>
        <v/>
      </c>
      <c r="AJ70" s="59" t="n"/>
      <c r="AK70" s="59" t="n"/>
    </row>
    <row r="71" ht="12.6" customHeight="1">
      <c r="A71" s="21" t="n"/>
      <c r="B71" s="233" t="n">
        <v>64</v>
      </c>
      <c r="C71" s="273" t="n"/>
      <c r="D71" s="273" t="n"/>
      <c r="E71" s="274" t="n"/>
      <c r="F71" s="533" t="n"/>
      <c r="G71" s="277" t="n">
        <v>0.2083333333333333</v>
      </c>
      <c r="H71" s="277" t="n">
        <v>1</v>
      </c>
      <c r="I71" s="278" t="n"/>
      <c r="J71" s="533" t="n"/>
      <c r="K71" s="277" t="n">
        <v>0.2083333333333333</v>
      </c>
      <c r="L71" s="277" t="n">
        <v>1</v>
      </c>
      <c r="M71" s="278" t="n"/>
      <c r="N71" s="533" t="n"/>
      <c r="O71" s="277" t="n">
        <v>0.2083333333333333</v>
      </c>
      <c r="P71" s="277" t="n">
        <v>1</v>
      </c>
      <c r="Q71" s="278" t="n"/>
      <c r="R71" s="533" t="n"/>
      <c r="S71" s="277" t="n">
        <v>0.2083333333333333</v>
      </c>
      <c r="T71" s="277" t="n">
        <v>1</v>
      </c>
      <c r="U71" s="278" t="n"/>
      <c r="V71" s="533" t="n"/>
      <c r="W71" s="277" t="n">
        <v>0.2083333333333333</v>
      </c>
      <c r="X71" s="277" t="n">
        <v>1</v>
      </c>
      <c r="Y71" s="278" t="n"/>
      <c r="Z71" s="533" t="n"/>
      <c r="AA71" s="277" t="n">
        <v>0.2083333333333333</v>
      </c>
      <c r="AB71" s="277" t="n">
        <v>1</v>
      </c>
      <c r="AC71" s="278" t="n"/>
      <c r="AD71" s="533" t="n"/>
      <c r="AE71" s="277" t="n">
        <v>0.2083333333333333</v>
      </c>
      <c r="AF71" s="277" t="n">
        <v>1</v>
      </c>
      <c r="AG71" s="278" t="n"/>
      <c r="AH71" s="227" t="n"/>
      <c r="AI71" s="225">
        <f>IF(C71="","",IFERROR(VLOOKUP(D71,$AJ$8:$AK$21,2,FALSE),"MW"))</f>
        <v/>
      </c>
      <c r="AJ71" s="59" t="n"/>
      <c r="AK71" s="59" t="n"/>
    </row>
    <row r="72" ht="12.6" customHeight="1">
      <c r="A72" s="21" t="n"/>
      <c r="B72" s="233" t="n">
        <v>65</v>
      </c>
      <c r="C72" s="273" t="n"/>
      <c r="D72" s="273" t="n"/>
      <c r="E72" s="274" t="n"/>
      <c r="F72" s="533" t="n"/>
      <c r="G72" s="277" t="n">
        <v>0.2083333333333333</v>
      </c>
      <c r="H72" s="277" t="n">
        <v>1</v>
      </c>
      <c r="I72" s="278" t="n"/>
      <c r="J72" s="533" t="n"/>
      <c r="K72" s="277" t="n">
        <v>0.2083333333333333</v>
      </c>
      <c r="L72" s="277" t="n">
        <v>1</v>
      </c>
      <c r="M72" s="278" t="n"/>
      <c r="N72" s="533" t="n"/>
      <c r="O72" s="277" t="n">
        <v>0.2083333333333333</v>
      </c>
      <c r="P72" s="277" t="n">
        <v>1</v>
      </c>
      <c r="Q72" s="278" t="n"/>
      <c r="R72" s="533" t="n"/>
      <c r="S72" s="277" t="n">
        <v>0.2083333333333333</v>
      </c>
      <c r="T72" s="277" t="n">
        <v>1</v>
      </c>
      <c r="U72" s="278" t="n"/>
      <c r="V72" s="533" t="n"/>
      <c r="W72" s="277" t="n">
        <v>0.2083333333333333</v>
      </c>
      <c r="X72" s="277" t="n">
        <v>1</v>
      </c>
      <c r="Y72" s="278" t="n"/>
      <c r="Z72" s="533" t="n"/>
      <c r="AA72" s="277" t="n">
        <v>0.2083333333333333</v>
      </c>
      <c r="AB72" s="277" t="n">
        <v>1</v>
      </c>
      <c r="AC72" s="278" t="n"/>
      <c r="AD72" s="533" t="n"/>
      <c r="AE72" s="277" t="n">
        <v>0.2083333333333333</v>
      </c>
      <c r="AF72" s="277" t="n">
        <v>1</v>
      </c>
      <c r="AG72" s="278" t="n"/>
      <c r="AH72" s="227" t="n"/>
      <c r="AI72" s="225">
        <f>IF(C72="","",IFERROR(VLOOKUP(D72,$AJ$8:$AK$21,2,FALSE),"MW"))</f>
        <v/>
      </c>
      <c r="AJ72" s="59" t="n"/>
      <c r="AK72" s="59" t="n"/>
    </row>
    <row r="73" ht="12.6" customHeight="1">
      <c r="A73" s="21" t="n"/>
      <c r="B73" s="233" t="n">
        <v>66</v>
      </c>
      <c r="C73" s="273" t="n"/>
      <c r="D73" s="273" t="n"/>
      <c r="E73" s="274" t="n"/>
      <c r="F73" s="533" t="n"/>
      <c r="G73" s="277" t="n">
        <v>0.2083333333333333</v>
      </c>
      <c r="H73" s="277" t="n">
        <v>1</v>
      </c>
      <c r="I73" s="278" t="n"/>
      <c r="J73" s="533" t="n"/>
      <c r="K73" s="277" t="n">
        <v>0.2083333333333333</v>
      </c>
      <c r="L73" s="277" t="n">
        <v>1</v>
      </c>
      <c r="M73" s="278" t="n"/>
      <c r="N73" s="533" t="n"/>
      <c r="O73" s="277" t="n">
        <v>0.2083333333333333</v>
      </c>
      <c r="P73" s="277" t="n">
        <v>1</v>
      </c>
      <c r="Q73" s="278" t="n"/>
      <c r="R73" s="533" t="n"/>
      <c r="S73" s="277" t="n">
        <v>0.2083333333333333</v>
      </c>
      <c r="T73" s="277" t="n">
        <v>1</v>
      </c>
      <c r="U73" s="278" t="n"/>
      <c r="V73" s="533" t="n"/>
      <c r="W73" s="277" t="n">
        <v>0.2083333333333333</v>
      </c>
      <c r="X73" s="277" t="n">
        <v>1</v>
      </c>
      <c r="Y73" s="278" t="n"/>
      <c r="Z73" s="533" t="n"/>
      <c r="AA73" s="277" t="n">
        <v>0.2083333333333333</v>
      </c>
      <c r="AB73" s="277" t="n">
        <v>1</v>
      </c>
      <c r="AC73" s="278" t="n"/>
      <c r="AD73" s="533" t="n"/>
      <c r="AE73" s="277" t="n">
        <v>0.2083333333333333</v>
      </c>
      <c r="AF73" s="277" t="n">
        <v>1</v>
      </c>
      <c r="AG73" s="278" t="n"/>
      <c r="AH73" s="227" t="n"/>
      <c r="AI73" s="225">
        <f>IF(C73="","",IFERROR(VLOOKUP(D73,$AJ$8:$AK$21,2,FALSE),"MW"))</f>
        <v/>
      </c>
      <c r="AJ73" s="59" t="n"/>
      <c r="AK73" s="59" t="n"/>
    </row>
    <row r="74" ht="12.6" customHeight="1">
      <c r="A74" s="21" t="n"/>
      <c r="B74" s="233" t="n">
        <v>67</v>
      </c>
      <c r="C74" s="273" t="n"/>
      <c r="D74" s="273" t="n"/>
      <c r="E74" s="274" t="n"/>
      <c r="F74" s="533" t="n"/>
      <c r="G74" s="277" t="n">
        <v>0.2083333333333333</v>
      </c>
      <c r="H74" s="277" t="n">
        <v>1</v>
      </c>
      <c r="I74" s="278" t="n"/>
      <c r="J74" s="533" t="n"/>
      <c r="K74" s="277" t="n">
        <v>0.2083333333333333</v>
      </c>
      <c r="L74" s="277" t="n">
        <v>1</v>
      </c>
      <c r="M74" s="278" t="n"/>
      <c r="N74" s="533" t="n"/>
      <c r="O74" s="277" t="n">
        <v>0.2083333333333333</v>
      </c>
      <c r="P74" s="277" t="n">
        <v>1</v>
      </c>
      <c r="Q74" s="278" t="n"/>
      <c r="R74" s="533" t="n"/>
      <c r="S74" s="277" t="n">
        <v>0.2083333333333333</v>
      </c>
      <c r="T74" s="277" t="n">
        <v>1</v>
      </c>
      <c r="U74" s="278" t="n"/>
      <c r="V74" s="533" t="n"/>
      <c r="W74" s="277" t="n">
        <v>0.2083333333333333</v>
      </c>
      <c r="X74" s="277" t="n">
        <v>1</v>
      </c>
      <c r="Y74" s="278" t="n"/>
      <c r="Z74" s="533" t="n"/>
      <c r="AA74" s="277" t="n">
        <v>0.2083333333333333</v>
      </c>
      <c r="AB74" s="277" t="n">
        <v>1</v>
      </c>
      <c r="AC74" s="278" t="n"/>
      <c r="AD74" s="533" t="n"/>
      <c r="AE74" s="277" t="n">
        <v>0.2083333333333333</v>
      </c>
      <c r="AF74" s="277" t="n">
        <v>1</v>
      </c>
      <c r="AG74" s="278" t="n"/>
      <c r="AH74" s="227" t="n"/>
      <c r="AI74" s="225">
        <f>IF(C74="","",IFERROR(VLOOKUP(D74,$AJ$8:$AK$21,2,FALSE),"MW"))</f>
        <v/>
      </c>
      <c r="AJ74" s="59" t="n"/>
      <c r="AK74" s="59" t="n"/>
    </row>
    <row r="75" ht="12.6" customHeight="1">
      <c r="A75" s="21" t="n"/>
      <c r="B75" s="233" t="n">
        <v>68</v>
      </c>
      <c r="C75" s="273" t="n"/>
      <c r="D75" s="273" t="n"/>
      <c r="E75" s="274" t="n"/>
      <c r="F75" s="533" t="n"/>
      <c r="G75" s="277" t="n">
        <v>0.2083333333333333</v>
      </c>
      <c r="H75" s="277" t="n">
        <v>1</v>
      </c>
      <c r="I75" s="278" t="n"/>
      <c r="J75" s="533" t="n"/>
      <c r="K75" s="277" t="n">
        <v>0.2083333333333333</v>
      </c>
      <c r="L75" s="277" t="n">
        <v>1</v>
      </c>
      <c r="M75" s="278" t="n"/>
      <c r="N75" s="533" t="n"/>
      <c r="O75" s="277" t="n">
        <v>0.2083333333333333</v>
      </c>
      <c r="P75" s="277" t="n">
        <v>1</v>
      </c>
      <c r="Q75" s="278" t="n"/>
      <c r="R75" s="533" t="n"/>
      <c r="S75" s="277" t="n">
        <v>0.2083333333333333</v>
      </c>
      <c r="T75" s="277" t="n">
        <v>1</v>
      </c>
      <c r="U75" s="278" t="n"/>
      <c r="V75" s="533" t="n"/>
      <c r="W75" s="277" t="n">
        <v>0.2083333333333333</v>
      </c>
      <c r="X75" s="277" t="n">
        <v>1</v>
      </c>
      <c r="Y75" s="278" t="n"/>
      <c r="Z75" s="533" t="n"/>
      <c r="AA75" s="277" t="n">
        <v>0.2083333333333333</v>
      </c>
      <c r="AB75" s="277" t="n">
        <v>1</v>
      </c>
      <c r="AC75" s="278" t="n"/>
      <c r="AD75" s="533" t="n"/>
      <c r="AE75" s="277" t="n">
        <v>0.2083333333333333</v>
      </c>
      <c r="AF75" s="277" t="n">
        <v>1</v>
      </c>
      <c r="AG75" s="278" t="n"/>
      <c r="AH75" s="227" t="n"/>
      <c r="AI75" s="225">
        <f>IF(C75="","",IFERROR(VLOOKUP(D75,$AJ$8:$AK$21,2,FALSE),"MW"))</f>
        <v/>
      </c>
      <c r="AJ75" s="59" t="n"/>
      <c r="AK75" s="59" t="n"/>
    </row>
    <row r="76" ht="12.6" customHeight="1">
      <c r="A76" s="21" t="n"/>
      <c r="B76" s="233" t="n">
        <v>69</v>
      </c>
      <c r="C76" s="273" t="n"/>
      <c r="D76" s="273" t="n"/>
      <c r="E76" s="274" t="n"/>
      <c r="F76" s="533" t="n"/>
      <c r="G76" s="277" t="n">
        <v>0.2083333333333333</v>
      </c>
      <c r="H76" s="277" t="n">
        <v>1</v>
      </c>
      <c r="I76" s="278" t="n"/>
      <c r="J76" s="533" t="n"/>
      <c r="K76" s="277" t="n">
        <v>0.2083333333333333</v>
      </c>
      <c r="L76" s="277" t="n">
        <v>1</v>
      </c>
      <c r="M76" s="278" t="n"/>
      <c r="N76" s="533" t="n"/>
      <c r="O76" s="277" t="n">
        <v>0.2083333333333333</v>
      </c>
      <c r="P76" s="277" t="n">
        <v>1</v>
      </c>
      <c r="Q76" s="278" t="n"/>
      <c r="R76" s="533" t="n"/>
      <c r="S76" s="277" t="n">
        <v>0.2083333333333333</v>
      </c>
      <c r="T76" s="277" t="n">
        <v>1</v>
      </c>
      <c r="U76" s="278" t="n"/>
      <c r="V76" s="533" t="n"/>
      <c r="W76" s="277" t="n">
        <v>0.2083333333333333</v>
      </c>
      <c r="X76" s="277" t="n">
        <v>1</v>
      </c>
      <c r="Y76" s="278" t="n"/>
      <c r="Z76" s="533" t="n"/>
      <c r="AA76" s="277" t="n">
        <v>0.2083333333333333</v>
      </c>
      <c r="AB76" s="277" t="n">
        <v>1</v>
      </c>
      <c r="AC76" s="278" t="n"/>
      <c r="AD76" s="533" t="n"/>
      <c r="AE76" s="277" t="n">
        <v>0.2083333333333333</v>
      </c>
      <c r="AF76" s="277" t="n">
        <v>1</v>
      </c>
      <c r="AG76" s="278" t="n"/>
      <c r="AH76" s="227" t="n"/>
      <c r="AI76" s="225">
        <f>IF(C76="","",IFERROR(VLOOKUP(D76,$AJ$8:$AK$21,2,FALSE),"MW"))</f>
        <v/>
      </c>
      <c r="AJ76" s="59" t="n"/>
      <c r="AK76" s="59" t="n"/>
    </row>
    <row r="77" ht="12.6" customHeight="1">
      <c r="A77" s="21" t="n"/>
      <c r="B77" s="233" t="n">
        <v>70</v>
      </c>
      <c r="C77" s="273" t="n"/>
      <c r="D77" s="273" t="n"/>
      <c r="E77" s="274" t="n"/>
      <c r="F77" s="533" t="n"/>
      <c r="G77" s="277" t="n">
        <v>0.2083333333333333</v>
      </c>
      <c r="H77" s="277" t="n">
        <v>1</v>
      </c>
      <c r="I77" s="278" t="n"/>
      <c r="J77" s="533" t="n"/>
      <c r="K77" s="277" t="n">
        <v>0.2083333333333333</v>
      </c>
      <c r="L77" s="277" t="n">
        <v>1</v>
      </c>
      <c r="M77" s="278" t="n"/>
      <c r="N77" s="533" t="n"/>
      <c r="O77" s="277" t="n">
        <v>0.2083333333333333</v>
      </c>
      <c r="P77" s="277" t="n">
        <v>1</v>
      </c>
      <c r="Q77" s="278" t="n"/>
      <c r="R77" s="533" t="n"/>
      <c r="S77" s="277" t="n">
        <v>0.2083333333333333</v>
      </c>
      <c r="T77" s="277" t="n">
        <v>1</v>
      </c>
      <c r="U77" s="278" t="n"/>
      <c r="V77" s="533" t="n"/>
      <c r="W77" s="277" t="n">
        <v>0.2083333333333333</v>
      </c>
      <c r="X77" s="277" t="n">
        <v>1</v>
      </c>
      <c r="Y77" s="278" t="n"/>
      <c r="Z77" s="533" t="n"/>
      <c r="AA77" s="277" t="n">
        <v>0.2083333333333333</v>
      </c>
      <c r="AB77" s="277" t="n">
        <v>1</v>
      </c>
      <c r="AC77" s="278" t="n"/>
      <c r="AD77" s="533" t="n"/>
      <c r="AE77" s="277" t="n">
        <v>0.2083333333333333</v>
      </c>
      <c r="AF77" s="277" t="n">
        <v>1</v>
      </c>
      <c r="AG77" s="278" t="n"/>
      <c r="AH77" s="227" t="n"/>
      <c r="AI77" s="225">
        <f>IF(C77="","",IFERROR(VLOOKUP(D77,$AJ$8:$AK$21,2,FALSE),"MW"))</f>
        <v/>
      </c>
      <c r="AJ77" s="59" t="n"/>
      <c r="AK77" s="59" t="n"/>
    </row>
    <row r="78" ht="12.6" customHeight="1">
      <c r="A78" s="21" t="n"/>
      <c r="B78" s="233" t="n">
        <v>71</v>
      </c>
      <c r="C78" s="273" t="n"/>
      <c r="D78" s="273" t="n"/>
      <c r="E78" s="274" t="n"/>
      <c r="F78" s="533" t="n"/>
      <c r="G78" s="277" t="n">
        <v>0.2083333333333333</v>
      </c>
      <c r="H78" s="277" t="n">
        <v>1</v>
      </c>
      <c r="I78" s="278" t="n"/>
      <c r="J78" s="533" t="n"/>
      <c r="K78" s="277" t="n">
        <v>0.2083333333333333</v>
      </c>
      <c r="L78" s="277" t="n">
        <v>1</v>
      </c>
      <c r="M78" s="278" t="n"/>
      <c r="N78" s="533" t="n"/>
      <c r="O78" s="277" t="n">
        <v>0.2083333333333333</v>
      </c>
      <c r="P78" s="277" t="n">
        <v>1</v>
      </c>
      <c r="Q78" s="278" t="n"/>
      <c r="R78" s="533" t="n"/>
      <c r="S78" s="277" t="n">
        <v>0.2083333333333333</v>
      </c>
      <c r="T78" s="277" t="n">
        <v>1</v>
      </c>
      <c r="U78" s="278" t="n"/>
      <c r="V78" s="533" t="n"/>
      <c r="W78" s="277" t="n">
        <v>0.2083333333333333</v>
      </c>
      <c r="X78" s="277" t="n">
        <v>1</v>
      </c>
      <c r="Y78" s="278" t="n"/>
      <c r="Z78" s="533" t="n"/>
      <c r="AA78" s="277" t="n">
        <v>0.2083333333333333</v>
      </c>
      <c r="AB78" s="277" t="n">
        <v>1</v>
      </c>
      <c r="AC78" s="278" t="n"/>
      <c r="AD78" s="533" t="n"/>
      <c r="AE78" s="277" t="n">
        <v>0.2083333333333333</v>
      </c>
      <c r="AF78" s="277" t="n">
        <v>1</v>
      </c>
      <c r="AG78" s="278" t="n"/>
      <c r="AH78" s="227" t="n"/>
      <c r="AI78" s="225">
        <f>IF(C78="","",IFERROR(VLOOKUP(D78,$AJ$8:$AK$21,2,FALSE),"MW"))</f>
        <v/>
      </c>
      <c r="AJ78" s="59" t="n"/>
      <c r="AK78" s="59" t="n"/>
    </row>
    <row r="79" ht="12.6" customHeight="1">
      <c r="A79" s="21" t="n"/>
      <c r="B79" s="233" t="n">
        <v>72</v>
      </c>
      <c r="C79" s="273" t="n"/>
      <c r="D79" s="273" t="n"/>
      <c r="E79" s="274" t="n"/>
      <c r="F79" s="533" t="n"/>
      <c r="G79" s="277" t="n"/>
      <c r="H79" s="277" t="n"/>
      <c r="I79" s="278" t="n"/>
      <c r="J79" s="533" t="n"/>
      <c r="K79" s="277" t="n"/>
      <c r="L79" s="277" t="n"/>
      <c r="M79" s="278" t="n"/>
      <c r="N79" s="533" t="n"/>
      <c r="O79" s="277" t="n"/>
      <c r="P79" s="277" t="n"/>
      <c r="Q79" s="278" t="n"/>
      <c r="R79" s="533" t="n"/>
      <c r="S79" s="277" t="n"/>
      <c r="T79" s="277" t="n"/>
      <c r="U79" s="278" t="n"/>
      <c r="V79" s="533" t="n"/>
      <c r="W79" s="277" t="n"/>
      <c r="X79" s="277" t="n"/>
      <c r="Y79" s="278" t="n"/>
      <c r="Z79" s="533" t="n"/>
      <c r="AA79" s="277" t="n"/>
      <c r="AB79" s="277" t="n"/>
      <c r="AC79" s="278" t="n"/>
      <c r="AD79" s="533" t="n"/>
      <c r="AE79" s="277" t="n"/>
      <c r="AF79" s="277" t="n"/>
      <c r="AG79" s="278" t="n"/>
      <c r="AH79" s="227" t="n"/>
      <c r="AI79" s="225">
        <f>IF(C79="","",IFERROR(VLOOKUP(D79,$AJ$8:$AK$21,2,FALSE),"MW"))</f>
        <v/>
      </c>
      <c r="AJ79" s="59" t="n"/>
      <c r="AK79" s="59" t="n"/>
    </row>
    <row r="80" ht="12.6" customHeight="1">
      <c r="A80" s="21" t="n"/>
      <c r="B80" s="233" t="n">
        <v>73</v>
      </c>
      <c r="C80" s="273" t="n"/>
      <c r="D80" s="273" t="n"/>
      <c r="E80" s="274" t="n"/>
      <c r="F80" s="533" t="n"/>
      <c r="G80" s="277" t="n"/>
      <c r="H80" s="277" t="n"/>
      <c r="I80" s="278" t="n"/>
      <c r="J80" s="533" t="n"/>
      <c r="K80" s="277" t="n"/>
      <c r="L80" s="277" t="n"/>
      <c r="M80" s="278" t="n"/>
      <c r="N80" s="533" t="n"/>
      <c r="O80" s="277" t="n"/>
      <c r="P80" s="277" t="n"/>
      <c r="Q80" s="278" t="n"/>
      <c r="R80" s="533" t="n"/>
      <c r="S80" s="277" t="n"/>
      <c r="T80" s="277" t="n"/>
      <c r="U80" s="278" t="n"/>
      <c r="V80" s="533" t="n"/>
      <c r="W80" s="277" t="n"/>
      <c r="X80" s="277" t="n"/>
      <c r="Y80" s="278" t="n"/>
      <c r="Z80" s="533" t="n"/>
      <c r="AA80" s="277" t="n"/>
      <c r="AB80" s="277" t="n"/>
      <c r="AC80" s="278" t="n"/>
      <c r="AD80" s="533" t="n"/>
      <c r="AE80" s="277" t="n"/>
      <c r="AF80" s="277" t="n"/>
      <c r="AG80" s="278" t="n"/>
      <c r="AH80" s="227" t="n"/>
      <c r="AI80" s="225">
        <f>IF(C80="","",IFERROR(VLOOKUP(D80,$AJ$8:$AK$21,2,FALSE),"MW"))</f>
        <v/>
      </c>
      <c r="AJ80" s="59" t="n"/>
      <c r="AK80" s="59" t="n"/>
    </row>
    <row r="81" ht="12.6" customHeight="1">
      <c r="A81" s="21" t="n"/>
      <c r="B81" s="233" t="n">
        <v>74</v>
      </c>
      <c r="C81" s="273" t="n"/>
      <c r="D81" s="273" t="n"/>
      <c r="E81" s="274" t="n"/>
      <c r="F81" s="533" t="n"/>
      <c r="G81" s="277" t="n"/>
      <c r="H81" s="277" t="n"/>
      <c r="I81" s="278" t="n"/>
      <c r="J81" s="533" t="n"/>
      <c r="K81" s="277" t="n"/>
      <c r="L81" s="277" t="n"/>
      <c r="M81" s="278" t="n"/>
      <c r="N81" s="533" t="n"/>
      <c r="O81" s="277" t="n"/>
      <c r="P81" s="277" t="n"/>
      <c r="Q81" s="278" t="n"/>
      <c r="R81" s="533" t="n"/>
      <c r="S81" s="277" t="n"/>
      <c r="T81" s="277" t="n"/>
      <c r="U81" s="278" t="n"/>
      <c r="V81" s="533" t="n"/>
      <c r="W81" s="277" t="n"/>
      <c r="X81" s="277" t="n"/>
      <c r="Y81" s="278" t="n"/>
      <c r="Z81" s="533" t="n"/>
      <c r="AA81" s="277" t="n"/>
      <c r="AB81" s="277" t="n"/>
      <c r="AC81" s="278" t="n"/>
      <c r="AD81" s="533" t="n"/>
      <c r="AE81" s="277" t="n"/>
      <c r="AF81" s="277" t="n"/>
      <c r="AG81" s="278" t="n"/>
      <c r="AH81" s="227" t="n"/>
      <c r="AI81" s="225">
        <f>IF(C81="","",IFERROR(VLOOKUP(D81,$AJ$8:$AK$21,2,FALSE),"MW"))</f>
        <v/>
      </c>
      <c r="AJ81" s="59" t="n"/>
      <c r="AK81" s="59" t="n"/>
    </row>
    <row r="82" ht="12.6" customHeight="1">
      <c r="A82" s="21" t="n"/>
      <c r="B82" s="233" t="n">
        <v>75</v>
      </c>
      <c r="C82" s="273" t="n"/>
      <c r="D82" s="273" t="n"/>
      <c r="E82" s="274" t="n"/>
      <c r="F82" s="533" t="n"/>
      <c r="G82" s="277" t="n"/>
      <c r="H82" s="277" t="n"/>
      <c r="I82" s="278" t="n"/>
      <c r="J82" s="533" t="n"/>
      <c r="K82" s="277" t="n"/>
      <c r="L82" s="277" t="n"/>
      <c r="M82" s="278" t="n"/>
      <c r="N82" s="533" t="n"/>
      <c r="O82" s="277" t="n"/>
      <c r="P82" s="277" t="n"/>
      <c r="Q82" s="278" t="n"/>
      <c r="R82" s="533" t="n"/>
      <c r="S82" s="277" t="n"/>
      <c r="T82" s="277" t="n"/>
      <c r="U82" s="278" t="n"/>
      <c r="V82" s="533" t="n"/>
      <c r="W82" s="277" t="n"/>
      <c r="X82" s="277" t="n"/>
      <c r="Y82" s="278" t="n"/>
      <c r="Z82" s="533" t="n"/>
      <c r="AA82" s="277" t="n"/>
      <c r="AB82" s="277" t="n"/>
      <c r="AC82" s="278" t="n"/>
      <c r="AD82" s="533" t="n"/>
      <c r="AE82" s="277" t="n"/>
      <c r="AF82" s="277" t="n"/>
      <c r="AG82" s="278" t="n"/>
      <c r="AH82" s="227" t="n"/>
      <c r="AI82" s="225">
        <f>IF(C82="","",IFERROR(VLOOKUP(D82,$AJ$8:$AK$21,2,FALSE),"MW"))</f>
        <v/>
      </c>
      <c r="AJ82" s="59" t="n"/>
      <c r="AK82" s="59" t="n"/>
    </row>
    <row r="83" ht="12.6" customHeight="1">
      <c r="A83" s="21" t="n"/>
      <c r="B83" s="233" t="n">
        <v>76</v>
      </c>
      <c r="C83" s="273" t="n"/>
      <c r="D83" s="273" t="n"/>
      <c r="E83" s="274" t="n"/>
      <c r="F83" s="533" t="n"/>
      <c r="G83" s="277" t="n"/>
      <c r="H83" s="277" t="n"/>
      <c r="I83" s="278" t="n"/>
      <c r="J83" s="533" t="n"/>
      <c r="K83" s="277" t="n"/>
      <c r="L83" s="277" t="n"/>
      <c r="M83" s="278" t="n"/>
      <c r="N83" s="533" t="n"/>
      <c r="O83" s="277" t="n"/>
      <c r="P83" s="277" t="n"/>
      <c r="Q83" s="278" t="n"/>
      <c r="R83" s="533" t="n"/>
      <c r="S83" s="277" t="n"/>
      <c r="T83" s="277" t="n"/>
      <c r="U83" s="278" t="n"/>
      <c r="V83" s="533" t="n"/>
      <c r="W83" s="277" t="n"/>
      <c r="X83" s="277" t="n"/>
      <c r="Y83" s="278" t="n"/>
      <c r="Z83" s="533" t="n"/>
      <c r="AA83" s="277" t="n"/>
      <c r="AB83" s="277" t="n"/>
      <c r="AC83" s="278" t="n"/>
      <c r="AD83" s="533" t="n"/>
      <c r="AE83" s="277" t="n"/>
      <c r="AF83" s="277" t="n"/>
      <c r="AG83" s="278" t="n"/>
      <c r="AH83" s="227" t="n"/>
      <c r="AI83" s="225">
        <f>IF(C83="","",IFERROR(VLOOKUP(D83,$AJ$8:$AK$21,2,FALSE),"MW"))</f>
        <v/>
      </c>
      <c r="AJ83" s="59" t="n"/>
      <c r="AK83" s="59" t="n"/>
    </row>
    <row r="84" ht="12.6" customHeight="1">
      <c r="A84" s="21" t="n"/>
      <c r="B84" s="233" t="n">
        <v>77</v>
      </c>
      <c r="C84" s="273" t="n"/>
      <c r="D84" s="273" t="n"/>
      <c r="E84" s="274" t="n"/>
      <c r="F84" s="533" t="n"/>
      <c r="G84" s="277" t="n"/>
      <c r="H84" s="277" t="n"/>
      <c r="I84" s="278" t="n"/>
      <c r="J84" s="533" t="n"/>
      <c r="K84" s="277" t="n"/>
      <c r="L84" s="277" t="n"/>
      <c r="M84" s="278" t="n"/>
      <c r="N84" s="533" t="n"/>
      <c r="O84" s="277" t="n"/>
      <c r="P84" s="277" t="n"/>
      <c r="Q84" s="278" t="n"/>
      <c r="R84" s="533" t="n"/>
      <c r="S84" s="277" t="n"/>
      <c r="T84" s="277" t="n"/>
      <c r="U84" s="278" t="n"/>
      <c r="V84" s="533" t="n"/>
      <c r="W84" s="277" t="n"/>
      <c r="X84" s="277" t="n"/>
      <c r="Y84" s="278" t="n"/>
      <c r="Z84" s="533" t="n"/>
      <c r="AA84" s="277" t="n"/>
      <c r="AB84" s="277" t="n"/>
      <c r="AC84" s="278" t="n"/>
      <c r="AD84" s="533" t="n"/>
      <c r="AE84" s="277" t="n"/>
      <c r="AF84" s="277" t="n"/>
      <c r="AG84" s="278" t="n"/>
      <c r="AH84" s="227" t="n"/>
      <c r="AI84" s="225">
        <f>IF(C84="","",IFERROR(VLOOKUP(D84,$AJ$8:$AK$21,2,FALSE),"MW"))</f>
        <v/>
      </c>
      <c r="AJ84" s="59" t="n"/>
      <c r="AK84" s="59" t="n"/>
    </row>
    <row r="85" ht="12.6" customHeight="1">
      <c r="A85" s="21" t="n"/>
      <c r="B85" s="233" t="n">
        <v>78</v>
      </c>
      <c r="C85" s="273" t="n"/>
      <c r="D85" s="273" t="n"/>
      <c r="E85" s="274" t="n"/>
      <c r="F85" s="533" t="n"/>
      <c r="G85" s="277" t="n"/>
      <c r="H85" s="277" t="n"/>
      <c r="I85" s="278" t="n"/>
      <c r="J85" s="533" t="n"/>
      <c r="K85" s="277" t="n"/>
      <c r="L85" s="277" t="n"/>
      <c r="M85" s="278" t="n"/>
      <c r="N85" s="533" t="n"/>
      <c r="O85" s="277" t="n"/>
      <c r="P85" s="277" t="n"/>
      <c r="Q85" s="278" t="n"/>
      <c r="R85" s="533" t="n"/>
      <c r="S85" s="277" t="n"/>
      <c r="T85" s="277" t="n"/>
      <c r="U85" s="278" t="n"/>
      <c r="V85" s="533" t="n"/>
      <c r="W85" s="277" t="n"/>
      <c r="X85" s="277" t="n"/>
      <c r="Y85" s="278" t="n"/>
      <c r="Z85" s="533" t="n"/>
      <c r="AA85" s="277" t="n"/>
      <c r="AB85" s="277" t="n"/>
      <c r="AC85" s="278" t="n"/>
      <c r="AD85" s="533" t="n"/>
      <c r="AE85" s="277" t="n"/>
      <c r="AF85" s="277" t="n"/>
      <c r="AG85" s="278" t="n"/>
      <c r="AH85" s="227" t="n"/>
      <c r="AI85" s="225">
        <f>IF(C85="","",IFERROR(VLOOKUP(D85,$AJ$8:$AK$21,2,FALSE),"MW"))</f>
        <v/>
      </c>
      <c r="AJ85" s="59" t="n"/>
      <c r="AK85" s="59" t="n"/>
    </row>
    <row r="86" ht="12.6" customHeight="1">
      <c r="A86" s="21" t="n"/>
      <c r="B86" s="233" t="n">
        <v>79</v>
      </c>
      <c r="C86" s="273" t="n"/>
      <c r="D86" s="273" t="n"/>
      <c r="E86" s="274" t="n"/>
      <c r="F86" s="533" t="n"/>
      <c r="G86" s="277" t="n"/>
      <c r="H86" s="277" t="n"/>
      <c r="I86" s="278" t="n"/>
      <c r="J86" s="533" t="n"/>
      <c r="K86" s="277" t="n"/>
      <c r="L86" s="277" t="n"/>
      <c r="M86" s="278" t="n"/>
      <c r="N86" s="533" t="n"/>
      <c r="O86" s="277" t="n"/>
      <c r="P86" s="277" t="n"/>
      <c r="Q86" s="278" t="n"/>
      <c r="R86" s="533" t="n"/>
      <c r="S86" s="277" t="n"/>
      <c r="T86" s="277" t="n"/>
      <c r="U86" s="278" t="n"/>
      <c r="V86" s="533" t="n"/>
      <c r="W86" s="277" t="n"/>
      <c r="X86" s="277" t="n"/>
      <c r="Y86" s="278" t="n"/>
      <c r="Z86" s="533" t="n"/>
      <c r="AA86" s="277" t="n"/>
      <c r="AB86" s="277" t="n"/>
      <c r="AC86" s="278" t="n"/>
      <c r="AD86" s="533" t="n"/>
      <c r="AE86" s="277" t="n"/>
      <c r="AF86" s="277" t="n"/>
      <c r="AG86" s="278" t="n"/>
      <c r="AH86" s="227" t="n"/>
      <c r="AI86" s="225">
        <f>IF(C86="","",IFERROR(VLOOKUP(D86,$AJ$8:$AK$21,2,FALSE),"MW"))</f>
        <v/>
      </c>
      <c r="AJ86" s="59" t="n"/>
      <c r="AK86" s="59" t="n"/>
    </row>
    <row r="87" ht="12.6" customHeight="1">
      <c r="A87" s="21" t="n"/>
      <c r="B87" s="233" t="n">
        <v>80</v>
      </c>
      <c r="C87" s="273" t="n"/>
      <c r="D87" s="273" t="n"/>
      <c r="E87" s="274" t="n"/>
      <c r="F87" s="533" t="n"/>
      <c r="G87" s="277" t="n"/>
      <c r="H87" s="277" t="n"/>
      <c r="I87" s="278" t="n"/>
      <c r="J87" s="533" t="n"/>
      <c r="K87" s="277" t="n"/>
      <c r="L87" s="277" t="n"/>
      <c r="M87" s="278" t="n"/>
      <c r="N87" s="533" t="n"/>
      <c r="O87" s="277" t="n"/>
      <c r="P87" s="277" t="n"/>
      <c r="Q87" s="278" t="n"/>
      <c r="R87" s="533" t="n"/>
      <c r="S87" s="277" t="n"/>
      <c r="T87" s="277" t="n"/>
      <c r="U87" s="278" t="n"/>
      <c r="V87" s="533" t="n"/>
      <c r="W87" s="277" t="n"/>
      <c r="X87" s="277" t="n"/>
      <c r="Y87" s="278" t="n"/>
      <c r="Z87" s="533" t="n"/>
      <c r="AA87" s="277" t="n"/>
      <c r="AB87" s="277" t="n"/>
      <c r="AC87" s="278" t="n"/>
      <c r="AD87" s="533" t="n"/>
      <c r="AE87" s="277" t="n"/>
      <c r="AF87" s="277" t="n"/>
      <c r="AG87" s="278" t="n"/>
      <c r="AH87" s="227" t="n"/>
      <c r="AI87" s="225">
        <f>IF(C87="","",IFERROR(VLOOKUP(D87,$AJ$8:$AK$21,2,FALSE),"MW"))</f>
        <v/>
      </c>
      <c r="AJ87" s="59" t="n"/>
      <c r="AK87" s="59" t="n"/>
    </row>
    <row r="88" ht="12.6" customHeight="1">
      <c r="A88" s="21" t="n"/>
      <c r="B88" s="233" t="n">
        <v>81</v>
      </c>
      <c r="C88" s="273" t="n"/>
      <c r="D88" s="273" t="n"/>
      <c r="E88" s="274" t="n"/>
      <c r="F88" s="533" t="n"/>
      <c r="G88" s="277" t="n"/>
      <c r="H88" s="277" t="n"/>
      <c r="I88" s="278" t="n"/>
      <c r="J88" s="533" t="n"/>
      <c r="K88" s="277" t="n"/>
      <c r="L88" s="277" t="n"/>
      <c r="M88" s="278" t="n"/>
      <c r="N88" s="533" t="n"/>
      <c r="O88" s="277" t="n"/>
      <c r="P88" s="277" t="n"/>
      <c r="Q88" s="278" t="n"/>
      <c r="R88" s="533" t="n"/>
      <c r="S88" s="277" t="n"/>
      <c r="T88" s="277" t="n"/>
      <c r="U88" s="278" t="n"/>
      <c r="V88" s="533" t="n"/>
      <c r="W88" s="277" t="n"/>
      <c r="X88" s="277" t="n"/>
      <c r="Y88" s="278" t="n"/>
      <c r="Z88" s="533" t="n"/>
      <c r="AA88" s="277" t="n"/>
      <c r="AB88" s="277" t="n"/>
      <c r="AC88" s="278" t="n"/>
      <c r="AD88" s="533" t="n"/>
      <c r="AE88" s="277" t="n"/>
      <c r="AF88" s="277" t="n"/>
      <c r="AG88" s="278" t="n"/>
      <c r="AH88" s="227" t="n"/>
      <c r="AI88" s="225">
        <f>IF(C88="","",IFERROR(VLOOKUP(D88,$AJ$8:$AK$21,2,FALSE),"MW"))</f>
        <v/>
      </c>
      <c r="AJ88" s="59" t="n"/>
      <c r="AK88" s="59" t="n"/>
    </row>
    <row r="89" ht="12.6" customHeight="1">
      <c r="A89" s="21" t="n"/>
      <c r="B89" s="233" t="n">
        <v>82</v>
      </c>
      <c r="C89" s="273" t="n"/>
      <c r="D89" s="273" t="n"/>
      <c r="E89" s="274" t="n"/>
      <c r="F89" s="533" t="n"/>
      <c r="G89" s="277" t="n"/>
      <c r="H89" s="277" t="n"/>
      <c r="I89" s="278" t="n"/>
      <c r="J89" s="533" t="n"/>
      <c r="K89" s="277" t="n"/>
      <c r="L89" s="277" t="n"/>
      <c r="M89" s="278" t="n"/>
      <c r="N89" s="533" t="n"/>
      <c r="O89" s="277" t="n"/>
      <c r="P89" s="277" t="n"/>
      <c r="Q89" s="278" t="n"/>
      <c r="R89" s="533" t="n"/>
      <c r="S89" s="277" t="n"/>
      <c r="T89" s="277" t="n"/>
      <c r="U89" s="278" t="n"/>
      <c r="V89" s="533" t="n"/>
      <c r="W89" s="277" t="n"/>
      <c r="X89" s="277" t="n"/>
      <c r="Y89" s="278" t="n"/>
      <c r="Z89" s="533" t="n"/>
      <c r="AA89" s="277" t="n"/>
      <c r="AB89" s="277" t="n"/>
      <c r="AC89" s="278" t="n"/>
      <c r="AD89" s="533" t="n"/>
      <c r="AE89" s="277" t="n"/>
      <c r="AF89" s="277" t="n"/>
      <c r="AG89" s="278" t="n"/>
      <c r="AH89" s="227" t="n"/>
      <c r="AI89" s="225">
        <f>IF(C89="","",IFERROR(VLOOKUP(D89,$AJ$8:$AK$21,2,FALSE),"MW"))</f>
        <v/>
      </c>
      <c r="AJ89" s="59" t="n"/>
      <c r="AK89" s="59" t="n"/>
    </row>
    <row r="90" ht="12.6" customHeight="1">
      <c r="A90" s="21" t="n"/>
      <c r="B90" s="233" t="n">
        <v>83</v>
      </c>
      <c r="C90" s="273" t="n"/>
      <c r="D90" s="273" t="n"/>
      <c r="E90" s="274" t="n"/>
      <c r="F90" s="533" t="n"/>
      <c r="G90" s="277" t="n"/>
      <c r="H90" s="277" t="n"/>
      <c r="I90" s="278" t="n"/>
      <c r="J90" s="533" t="n"/>
      <c r="K90" s="277" t="n"/>
      <c r="L90" s="277" t="n"/>
      <c r="M90" s="278" t="n"/>
      <c r="N90" s="533" t="n"/>
      <c r="O90" s="277" t="n"/>
      <c r="P90" s="277" t="n"/>
      <c r="Q90" s="278" t="n"/>
      <c r="R90" s="533" t="n"/>
      <c r="S90" s="277" t="n"/>
      <c r="T90" s="277" t="n"/>
      <c r="U90" s="278" t="n"/>
      <c r="V90" s="533" t="n"/>
      <c r="W90" s="277" t="n"/>
      <c r="X90" s="277" t="n"/>
      <c r="Y90" s="278" t="n"/>
      <c r="Z90" s="533" t="n"/>
      <c r="AA90" s="277" t="n"/>
      <c r="AB90" s="277" t="n"/>
      <c r="AC90" s="278" t="n"/>
      <c r="AD90" s="533" t="n"/>
      <c r="AE90" s="277" t="n"/>
      <c r="AF90" s="277" t="n"/>
      <c r="AG90" s="278" t="n"/>
      <c r="AH90" s="227" t="n"/>
      <c r="AI90" s="225">
        <f>IF(C90="","",IFERROR(VLOOKUP(D90,$AJ$8:$AK$21,2,FALSE),"MW"))</f>
        <v/>
      </c>
      <c r="AJ90" s="59" t="n"/>
      <c r="AK90" s="59" t="n"/>
    </row>
    <row r="91" ht="12.6" customHeight="1">
      <c r="A91" s="21" t="n"/>
      <c r="B91" s="233" t="n">
        <v>84</v>
      </c>
      <c r="C91" s="273" t="n"/>
      <c r="D91" s="273" t="n"/>
      <c r="E91" s="274" t="n"/>
      <c r="F91" s="533" t="n"/>
      <c r="G91" s="277" t="n"/>
      <c r="H91" s="277" t="n"/>
      <c r="I91" s="278" t="n"/>
      <c r="J91" s="533" t="n"/>
      <c r="K91" s="277" t="n"/>
      <c r="L91" s="277" t="n"/>
      <c r="M91" s="278" t="n"/>
      <c r="N91" s="533" t="n"/>
      <c r="O91" s="277" t="n"/>
      <c r="P91" s="277" t="n"/>
      <c r="Q91" s="278" t="n"/>
      <c r="R91" s="533" t="n"/>
      <c r="S91" s="277" t="n"/>
      <c r="T91" s="277" t="n"/>
      <c r="U91" s="278" t="n"/>
      <c r="V91" s="533" t="n"/>
      <c r="W91" s="277" t="n"/>
      <c r="X91" s="277" t="n"/>
      <c r="Y91" s="278" t="n"/>
      <c r="Z91" s="533" t="n"/>
      <c r="AA91" s="277" t="n"/>
      <c r="AB91" s="277" t="n"/>
      <c r="AC91" s="278" t="n"/>
      <c r="AD91" s="533" t="n"/>
      <c r="AE91" s="277" t="n"/>
      <c r="AF91" s="277" t="n"/>
      <c r="AG91" s="278" t="n"/>
      <c r="AH91" s="227" t="n"/>
      <c r="AI91" s="225">
        <f>IF(C91="","",IFERROR(VLOOKUP(D91,$AJ$8:$AK$21,2,FALSE),"MW"))</f>
        <v/>
      </c>
      <c r="AJ91" s="59" t="n"/>
      <c r="AK91" s="59" t="n"/>
    </row>
    <row r="92" ht="12.6" customHeight="1">
      <c r="A92" s="21" t="n"/>
      <c r="B92" s="233" t="n">
        <v>85</v>
      </c>
      <c r="C92" s="273" t="n"/>
      <c r="D92" s="273" t="n"/>
      <c r="E92" s="274" t="n"/>
      <c r="F92" s="533" t="n"/>
      <c r="G92" s="277" t="n"/>
      <c r="H92" s="277" t="n"/>
      <c r="I92" s="278" t="n"/>
      <c r="J92" s="533" t="n"/>
      <c r="K92" s="277" t="n"/>
      <c r="L92" s="277" t="n"/>
      <c r="M92" s="278" t="n"/>
      <c r="N92" s="533" t="n"/>
      <c r="O92" s="277" t="n"/>
      <c r="P92" s="277" t="n"/>
      <c r="Q92" s="278" t="n"/>
      <c r="R92" s="533" t="n"/>
      <c r="S92" s="277" t="n"/>
      <c r="T92" s="277" t="n"/>
      <c r="U92" s="278" t="n"/>
      <c r="V92" s="533" t="n"/>
      <c r="W92" s="277" t="n"/>
      <c r="X92" s="277" t="n"/>
      <c r="Y92" s="278" t="n"/>
      <c r="Z92" s="533" t="n"/>
      <c r="AA92" s="277" t="n"/>
      <c r="AB92" s="277" t="n"/>
      <c r="AC92" s="278" t="n"/>
      <c r="AD92" s="533" t="n"/>
      <c r="AE92" s="277" t="n"/>
      <c r="AF92" s="277" t="n"/>
      <c r="AG92" s="278" t="n"/>
      <c r="AH92" s="227" t="n"/>
      <c r="AI92" s="225">
        <f>IF(C92="","",IFERROR(VLOOKUP(D92,$AJ$8:$AK$21,2,FALSE),"MW"))</f>
        <v/>
      </c>
      <c r="AJ92" s="59" t="n"/>
      <c r="AK92" s="59" t="n"/>
    </row>
    <row r="93" ht="12.6" customHeight="1">
      <c r="A93" s="21" t="n"/>
      <c r="B93" s="233" t="n">
        <v>86</v>
      </c>
      <c r="C93" s="273" t="n"/>
      <c r="D93" s="273" t="n"/>
      <c r="E93" s="274" t="n"/>
      <c r="F93" s="533" t="n"/>
      <c r="G93" s="277" t="n"/>
      <c r="H93" s="277" t="n"/>
      <c r="I93" s="278" t="n"/>
      <c r="J93" s="533" t="n"/>
      <c r="K93" s="277" t="n"/>
      <c r="L93" s="277" t="n"/>
      <c r="M93" s="278" t="n"/>
      <c r="N93" s="533" t="n"/>
      <c r="O93" s="277" t="n"/>
      <c r="P93" s="277" t="n"/>
      <c r="Q93" s="278" t="n"/>
      <c r="R93" s="533" t="n"/>
      <c r="S93" s="277" t="n"/>
      <c r="T93" s="277" t="n"/>
      <c r="U93" s="278" t="n"/>
      <c r="V93" s="533" t="n"/>
      <c r="W93" s="277" t="n"/>
      <c r="X93" s="277" t="n"/>
      <c r="Y93" s="278" t="n"/>
      <c r="Z93" s="533" t="n"/>
      <c r="AA93" s="277" t="n"/>
      <c r="AB93" s="277" t="n"/>
      <c r="AC93" s="278" t="n"/>
      <c r="AD93" s="533" t="n"/>
      <c r="AE93" s="277" t="n"/>
      <c r="AF93" s="277" t="n"/>
      <c r="AG93" s="278" t="n"/>
      <c r="AH93" s="227" t="n"/>
      <c r="AI93" s="225">
        <f>IF(C93="","",IFERROR(VLOOKUP(D93,$AJ$8:$AK$21,2,FALSE),"MW"))</f>
        <v/>
      </c>
      <c r="AJ93" s="59" t="n"/>
      <c r="AK93" s="59" t="n"/>
    </row>
    <row r="94" ht="12.6" customHeight="1">
      <c r="A94" s="21" t="n"/>
      <c r="B94" s="233" t="n">
        <v>87</v>
      </c>
      <c r="C94" s="273" t="n"/>
      <c r="D94" s="273" t="n"/>
      <c r="E94" s="274" t="n"/>
      <c r="F94" s="533" t="n"/>
      <c r="G94" s="277" t="n"/>
      <c r="H94" s="277" t="n"/>
      <c r="I94" s="278" t="n"/>
      <c r="J94" s="533" t="n"/>
      <c r="K94" s="277" t="n"/>
      <c r="L94" s="277" t="n"/>
      <c r="M94" s="278" t="n"/>
      <c r="N94" s="533" t="n"/>
      <c r="O94" s="277" t="n"/>
      <c r="P94" s="277" t="n"/>
      <c r="Q94" s="278" t="n"/>
      <c r="R94" s="533" t="n"/>
      <c r="S94" s="277" t="n"/>
      <c r="T94" s="277" t="n"/>
      <c r="U94" s="278" t="n"/>
      <c r="V94" s="533" t="n"/>
      <c r="W94" s="277" t="n"/>
      <c r="X94" s="277" t="n"/>
      <c r="Y94" s="278" t="n"/>
      <c r="Z94" s="533" t="n"/>
      <c r="AA94" s="277" t="n"/>
      <c r="AB94" s="277" t="n"/>
      <c r="AC94" s="278" t="n"/>
      <c r="AD94" s="533" t="n"/>
      <c r="AE94" s="277" t="n"/>
      <c r="AF94" s="277" t="n"/>
      <c r="AG94" s="278" t="n"/>
      <c r="AH94" s="227" t="n"/>
      <c r="AI94" s="225">
        <f>IF(C94="","",IFERROR(VLOOKUP(D94,$AJ$8:$AK$21,2,FALSE),"MW"))</f>
        <v/>
      </c>
      <c r="AJ94" s="59" t="n"/>
      <c r="AK94" s="59" t="n"/>
    </row>
    <row r="95" ht="12.6" customHeight="1">
      <c r="A95" s="21" t="n"/>
      <c r="B95" s="233" t="n">
        <v>88</v>
      </c>
      <c r="C95" s="273" t="n"/>
      <c r="D95" s="273" t="n"/>
      <c r="E95" s="274" t="n"/>
      <c r="F95" s="533" t="n"/>
      <c r="G95" s="277" t="n"/>
      <c r="H95" s="277" t="n"/>
      <c r="I95" s="278" t="n"/>
      <c r="J95" s="533" t="n"/>
      <c r="K95" s="277" t="n"/>
      <c r="L95" s="277" t="n"/>
      <c r="M95" s="278" t="n"/>
      <c r="N95" s="533" t="n"/>
      <c r="O95" s="277" t="n"/>
      <c r="P95" s="277" t="n"/>
      <c r="Q95" s="278" t="n"/>
      <c r="R95" s="533" t="n"/>
      <c r="S95" s="277" t="n"/>
      <c r="T95" s="277" t="n"/>
      <c r="U95" s="278" t="n"/>
      <c r="V95" s="533" t="n"/>
      <c r="W95" s="277" t="n"/>
      <c r="X95" s="277" t="n"/>
      <c r="Y95" s="278" t="n"/>
      <c r="Z95" s="533" t="n"/>
      <c r="AA95" s="277" t="n"/>
      <c r="AB95" s="277" t="n"/>
      <c r="AC95" s="278" t="n"/>
      <c r="AD95" s="533" t="n"/>
      <c r="AE95" s="277" t="n"/>
      <c r="AF95" s="277" t="n"/>
      <c r="AG95" s="278" t="n"/>
      <c r="AH95" s="227" t="n"/>
      <c r="AI95" s="225">
        <f>IF(C95="","",IFERROR(VLOOKUP(D95,$AJ$8:$AK$21,2,FALSE),"MW"))</f>
        <v/>
      </c>
      <c r="AJ95" s="59" t="n"/>
      <c r="AK95" s="59" t="n"/>
    </row>
    <row r="96" ht="12.6" customHeight="1">
      <c r="A96" s="21" t="n"/>
      <c r="B96" s="233" t="n">
        <v>89</v>
      </c>
      <c r="C96" s="273" t="n"/>
      <c r="D96" s="273" t="n"/>
      <c r="E96" s="274" t="n"/>
      <c r="F96" s="533" t="n"/>
      <c r="G96" s="277" t="n"/>
      <c r="H96" s="277" t="n"/>
      <c r="I96" s="278" t="n"/>
      <c r="J96" s="533" t="n"/>
      <c r="K96" s="277" t="n"/>
      <c r="L96" s="277" t="n"/>
      <c r="M96" s="278" t="n"/>
      <c r="N96" s="533" t="n"/>
      <c r="O96" s="277" t="n"/>
      <c r="P96" s="277" t="n"/>
      <c r="Q96" s="278" t="n"/>
      <c r="R96" s="533" t="n"/>
      <c r="S96" s="277" t="n"/>
      <c r="T96" s="277" t="n"/>
      <c r="U96" s="278" t="n"/>
      <c r="V96" s="533" t="n"/>
      <c r="W96" s="277" t="n"/>
      <c r="X96" s="277" t="n"/>
      <c r="Y96" s="278" t="n"/>
      <c r="Z96" s="533" t="n"/>
      <c r="AA96" s="277" t="n"/>
      <c r="AB96" s="277" t="n"/>
      <c r="AC96" s="278" t="n"/>
      <c r="AD96" s="533" t="n"/>
      <c r="AE96" s="277" t="n"/>
      <c r="AF96" s="277" t="n"/>
      <c r="AG96" s="278" t="n"/>
      <c r="AH96" s="227" t="n"/>
      <c r="AI96" s="225">
        <f>IF(C96="","",IFERROR(VLOOKUP(D96,$AJ$8:$AK$21,2,FALSE),"MW"))</f>
        <v/>
      </c>
      <c r="AJ96" s="59" t="n"/>
      <c r="AK96" s="59" t="n"/>
    </row>
    <row r="97" ht="12.6" customHeight="1">
      <c r="A97" s="21" t="n"/>
      <c r="B97" s="233" t="n">
        <v>90</v>
      </c>
      <c r="C97" s="273" t="n"/>
      <c r="D97" s="273" t="n"/>
      <c r="E97" s="274" t="n"/>
      <c r="F97" s="533" t="n"/>
      <c r="G97" s="277" t="n"/>
      <c r="H97" s="277" t="n"/>
      <c r="I97" s="278" t="n"/>
      <c r="J97" s="533" t="n"/>
      <c r="K97" s="277" t="n"/>
      <c r="L97" s="277" t="n"/>
      <c r="M97" s="278" t="n"/>
      <c r="N97" s="533" t="n"/>
      <c r="O97" s="277" t="n"/>
      <c r="P97" s="277" t="n"/>
      <c r="Q97" s="278" t="n"/>
      <c r="R97" s="533" t="n"/>
      <c r="S97" s="277" t="n"/>
      <c r="T97" s="277" t="n"/>
      <c r="U97" s="278" t="n"/>
      <c r="V97" s="533" t="n"/>
      <c r="W97" s="277" t="n"/>
      <c r="X97" s="277" t="n"/>
      <c r="Y97" s="278" t="n"/>
      <c r="Z97" s="533" t="n"/>
      <c r="AA97" s="277" t="n"/>
      <c r="AB97" s="277" t="n"/>
      <c r="AC97" s="278" t="n"/>
      <c r="AD97" s="533" t="n"/>
      <c r="AE97" s="277" t="n"/>
      <c r="AF97" s="277" t="n"/>
      <c r="AG97" s="278" t="n"/>
      <c r="AH97" s="227" t="n"/>
      <c r="AI97" s="225">
        <f>IF(C97="","",IFERROR(VLOOKUP(D97,$AJ$8:$AK$21,2,FALSE),"MW"))</f>
        <v/>
      </c>
      <c r="AJ97" s="59" t="n"/>
      <c r="AK97" s="59" t="n"/>
    </row>
    <row r="98" ht="12.6" customHeight="1">
      <c r="A98" s="21" t="n"/>
      <c r="B98" s="233" t="n">
        <v>91</v>
      </c>
      <c r="C98" s="273" t="n"/>
      <c r="D98" s="273" t="n"/>
      <c r="E98" s="274" t="n"/>
      <c r="F98" s="533" t="n"/>
      <c r="G98" s="277" t="n"/>
      <c r="H98" s="277" t="n"/>
      <c r="I98" s="278" t="n"/>
      <c r="J98" s="533" t="n"/>
      <c r="K98" s="277" t="n"/>
      <c r="L98" s="277" t="n"/>
      <c r="M98" s="278" t="n"/>
      <c r="N98" s="533" t="n"/>
      <c r="O98" s="277" t="n"/>
      <c r="P98" s="277" t="n"/>
      <c r="Q98" s="278" t="n"/>
      <c r="R98" s="533" t="n"/>
      <c r="S98" s="277" t="n"/>
      <c r="T98" s="277" t="n"/>
      <c r="U98" s="278" t="n"/>
      <c r="V98" s="533" t="n"/>
      <c r="W98" s="277" t="n"/>
      <c r="X98" s="277" t="n"/>
      <c r="Y98" s="278" t="n"/>
      <c r="Z98" s="533" t="n"/>
      <c r="AA98" s="277" t="n"/>
      <c r="AB98" s="277" t="n"/>
      <c r="AC98" s="278" t="n"/>
      <c r="AD98" s="533" t="n"/>
      <c r="AE98" s="277" t="n"/>
      <c r="AF98" s="277" t="n"/>
      <c r="AG98" s="278" t="n"/>
      <c r="AH98" s="227" t="n"/>
      <c r="AI98" s="225">
        <f>IF(C98="","",IFERROR(VLOOKUP(D98,$AJ$8:$AK$21,2,FALSE),"MW"))</f>
        <v/>
      </c>
      <c r="AJ98" s="59" t="n"/>
      <c r="AK98" s="59" t="n"/>
    </row>
    <row r="99" ht="12.6" customHeight="1">
      <c r="A99" s="21" t="n"/>
      <c r="B99" s="233" t="n">
        <v>92</v>
      </c>
      <c r="C99" s="273" t="n"/>
      <c r="D99" s="273" t="n"/>
      <c r="E99" s="274" t="n"/>
      <c r="F99" s="533" t="n"/>
      <c r="G99" s="277" t="n"/>
      <c r="H99" s="277" t="n"/>
      <c r="I99" s="278" t="n"/>
      <c r="J99" s="533" t="n"/>
      <c r="K99" s="277" t="n"/>
      <c r="L99" s="277" t="n"/>
      <c r="M99" s="278" t="n"/>
      <c r="N99" s="533" t="n"/>
      <c r="O99" s="277" t="n"/>
      <c r="P99" s="277" t="n"/>
      <c r="Q99" s="278" t="n"/>
      <c r="R99" s="533" t="n"/>
      <c r="S99" s="277" t="n"/>
      <c r="T99" s="277" t="n"/>
      <c r="U99" s="278" t="n"/>
      <c r="V99" s="533" t="n"/>
      <c r="W99" s="277" t="n"/>
      <c r="X99" s="277" t="n"/>
      <c r="Y99" s="278" t="n"/>
      <c r="Z99" s="533" t="n"/>
      <c r="AA99" s="277" t="n"/>
      <c r="AB99" s="277" t="n"/>
      <c r="AC99" s="278" t="n"/>
      <c r="AD99" s="533" t="n"/>
      <c r="AE99" s="277" t="n"/>
      <c r="AF99" s="277" t="n"/>
      <c r="AG99" s="278" t="n"/>
      <c r="AH99" s="227" t="n"/>
      <c r="AI99" s="225">
        <f>IF(C99="","",IFERROR(VLOOKUP(D99,$AJ$8:$AK$21,2,FALSE),"MW"))</f>
        <v/>
      </c>
      <c r="AJ99" s="59" t="n"/>
      <c r="AK99" s="59" t="n"/>
    </row>
    <row r="100" ht="12.6" customHeight="1">
      <c r="A100" s="21" t="n"/>
      <c r="B100" s="233" t="n">
        <v>93</v>
      </c>
      <c r="C100" s="273" t="n"/>
      <c r="D100" s="273" t="n"/>
      <c r="E100" s="274" t="n"/>
      <c r="F100" s="533" t="n"/>
      <c r="G100" s="277" t="n"/>
      <c r="H100" s="277" t="n"/>
      <c r="I100" s="278" t="n"/>
      <c r="J100" s="533" t="n"/>
      <c r="K100" s="277" t="n"/>
      <c r="L100" s="277" t="n"/>
      <c r="M100" s="278" t="n"/>
      <c r="N100" s="533" t="n"/>
      <c r="O100" s="277" t="n"/>
      <c r="P100" s="277" t="n"/>
      <c r="Q100" s="278" t="n"/>
      <c r="R100" s="533" t="n"/>
      <c r="S100" s="277" t="n"/>
      <c r="T100" s="277" t="n"/>
      <c r="U100" s="278" t="n"/>
      <c r="V100" s="533" t="n"/>
      <c r="W100" s="277" t="n"/>
      <c r="X100" s="277" t="n"/>
      <c r="Y100" s="278" t="n"/>
      <c r="Z100" s="533" t="n"/>
      <c r="AA100" s="277" t="n"/>
      <c r="AB100" s="277" t="n"/>
      <c r="AC100" s="278" t="n"/>
      <c r="AD100" s="533" t="n"/>
      <c r="AE100" s="277" t="n"/>
      <c r="AF100" s="277" t="n"/>
      <c r="AG100" s="278" t="n"/>
      <c r="AH100" s="227" t="n"/>
      <c r="AI100" s="225">
        <f>IF(C100="","",IFERROR(VLOOKUP(D100,$AJ$8:$AK$21,2,FALSE),"MW"))</f>
        <v/>
      </c>
      <c r="AJ100" s="59" t="n"/>
      <c r="AK100" s="59" t="n"/>
    </row>
    <row r="101" ht="12.6" customHeight="1">
      <c r="A101" s="21" t="n"/>
      <c r="B101" s="233" t="n">
        <v>94</v>
      </c>
      <c r="C101" s="273" t="n"/>
      <c r="D101" s="273" t="n"/>
      <c r="E101" s="274" t="n"/>
      <c r="F101" s="533" t="n"/>
      <c r="G101" s="277" t="n"/>
      <c r="H101" s="277" t="n"/>
      <c r="I101" s="278" t="n"/>
      <c r="J101" s="533" t="n"/>
      <c r="K101" s="277" t="n"/>
      <c r="L101" s="277" t="n"/>
      <c r="M101" s="278" t="n"/>
      <c r="N101" s="533" t="n"/>
      <c r="O101" s="277" t="n"/>
      <c r="P101" s="277" t="n"/>
      <c r="Q101" s="278" t="n"/>
      <c r="R101" s="533" t="n"/>
      <c r="S101" s="277" t="n"/>
      <c r="T101" s="277" t="n"/>
      <c r="U101" s="278" t="n"/>
      <c r="V101" s="533" t="n"/>
      <c r="W101" s="277" t="n"/>
      <c r="X101" s="277" t="n"/>
      <c r="Y101" s="278" t="n"/>
      <c r="Z101" s="533" t="n"/>
      <c r="AA101" s="277" t="n"/>
      <c r="AB101" s="277" t="n"/>
      <c r="AC101" s="278" t="n"/>
      <c r="AD101" s="533" t="n"/>
      <c r="AE101" s="277" t="n"/>
      <c r="AF101" s="277" t="n"/>
      <c r="AG101" s="278" t="n"/>
      <c r="AH101" s="227" t="n"/>
      <c r="AI101" s="225">
        <f>IF(C101="","",IFERROR(VLOOKUP(D101,$AJ$8:$AK$21,2,FALSE),"MW"))</f>
        <v/>
      </c>
      <c r="AJ101" s="59" t="n"/>
      <c r="AK101" s="59" t="n"/>
    </row>
    <row r="102" ht="12.6" customHeight="1">
      <c r="A102" s="21" t="n"/>
      <c r="B102" s="233" t="n">
        <v>95</v>
      </c>
      <c r="C102" s="273" t="n"/>
      <c r="D102" s="273" t="n"/>
      <c r="E102" s="274" t="n"/>
      <c r="F102" s="533" t="n"/>
      <c r="G102" s="277" t="n"/>
      <c r="H102" s="277" t="n"/>
      <c r="I102" s="278" t="n"/>
      <c r="J102" s="533" t="n"/>
      <c r="K102" s="277" t="n"/>
      <c r="L102" s="277" t="n"/>
      <c r="M102" s="278" t="n"/>
      <c r="N102" s="533" t="n"/>
      <c r="O102" s="277" t="n"/>
      <c r="P102" s="277" t="n"/>
      <c r="Q102" s="278" t="n"/>
      <c r="R102" s="533" t="n"/>
      <c r="S102" s="277" t="n"/>
      <c r="T102" s="277" t="n"/>
      <c r="U102" s="278" t="n"/>
      <c r="V102" s="533" t="n"/>
      <c r="W102" s="277" t="n"/>
      <c r="X102" s="277" t="n"/>
      <c r="Y102" s="278" t="n"/>
      <c r="Z102" s="533" t="n"/>
      <c r="AA102" s="277" t="n"/>
      <c r="AB102" s="277" t="n"/>
      <c r="AC102" s="278" t="n"/>
      <c r="AD102" s="533" t="n"/>
      <c r="AE102" s="277" t="n"/>
      <c r="AF102" s="277" t="n"/>
      <c r="AG102" s="278" t="n"/>
      <c r="AH102" s="227" t="n"/>
      <c r="AI102" s="225">
        <f>IF(C102="","",IFERROR(VLOOKUP(D102,$AJ$8:$AK$21,2,FALSE),"MW"))</f>
        <v/>
      </c>
      <c r="AJ102" s="59" t="n"/>
      <c r="AK102" s="59" t="n"/>
    </row>
    <row r="103" ht="12.6" customHeight="1">
      <c r="A103" s="21" t="n"/>
      <c r="B103" s="233" t="n">
        <v>96</v>
      </c>
      <c r="C103" s="273" t="n"/>
      <c r="D103" s="273" t="n"/>
      <c r="E103" s="274" t="n"/>
      <c r="F103" s="533" t="n"/>
      <c r="G103" s="277" t="n"/>
      <c r="H103" s="277" t="n"/>
      <c r="I103" s="278" t="n"/>
      <c r="J103" s="533" t="n"/>
      <c r="K103" s="277" t="n"/>
      <c r="L103" s="277" t="n"/>
      <c r="M103" s="278" t="n"/>
      <c r="N103" s="533" t="n"/>
      <c r="O103" s="277" t="n"/>
      <c r="P103" s="277" t="n"/>
      <c r="Q103" s="278" t="n"/>
      <c r="R103" s="533" t="n"/>
      <c r="S103" s="277" t="n"/>
      <c r="T103" s="277" t="n"/>
      <c r="U103" s="278" t="n"/>
      <c r="V103" s="533" t="n"/>
      <c r="W103" s="277" t="n"/>
      <c r="X103" s="277" t="n"/>
      <c r="Y103" s="278" t="n"/>
      <c r="Z103" s="533" t="n"/>
      <c r="AA103" s="277" t="n"/>
      <c r="AB103" s="277" t="n"/>
      <c r="AC103" s="278" t="n"/>
      <c r="AD103" s="533" t="n"/>
      <c r="AE103" s="277" t="n"/>
      <c r="AF103" s="277" t="n"/>
      <c r="AG103" s="278" t="n"/>
      <c r="AH103" s="227" t="n"/>
      <c r="AI103" s="225">
        <f>IF(C103="","",IFERROR(VLOOKUP(D103,$AJ$8:$AK$21,2,FALSE),"MW"))</f>
        <v/>
      </c>
      <c r="AJ103" s="59" t="n"/>
      <c r="AK103" s="59" t="n"/>
    </row>
    <row r="104" ht="12.6" customHeight="1">
      <c r="A104" s="21" t="n"/>
      <c r="B104" s="233" t="n">
        <v>97</v>
      </c>
      <c r="C104" s="273" t="n"/>
      <c r="D104" s="273" t="n"/>
      <c r="E104" s="274" t="n"/>
      <c r="F104" s="533" t="n"/>
      <c r="G104" s="277" t="n"/>
      <c r="H104" s="277" t="n"/>
      <c r="I104" s="278" t="n"/>
      <c r="J104" s="533" t="n"/>
      <c r="K104" s="277" t="n"/>
      <c r="L104" s="277" t="n"/>
      <c r="M104" s="278" t="n"/>
      <c r="N104" s="533" t="n"/>
      <c r="O104" s="277" t="n"/>
      <c r="P104" s="277" t="n"/>
      <c r="Q104" s="278" t="n"/>
      <c r="R104" s="533" t="n"/>
      <c r="S104" s="277" t="n"/>
      <c r="T104" s="277" t="n"/>
      <c r="U104" s="278" t="n"/>
      <c r="V104" s="533" t="n"/>
      <c r="W104" s="277" t="n"/>
      <c r="X104" s="277" t="n"/>
      <c r="Y104" s="278" t="n"/>
      <c r="Z104" s="533" t="n"/>
      <c r="AA104" s="277" t="n"/>
      <c r="AB104" s="277" t="n"/>
      <c r="AC104" s="278" t="n"/>
      <c r="AD104" s="533" t="n"/>
      <c r="AE104" s="277" t="n"/>
      <c r="AF104" s="277" t="n"/>
      <c r="AG104" s="278" t="n"/>
      <c r="AH104" s="227" t="n"/>
      <c r="AI104" s="225">
        <f>IF(C104="","",IFERROR(VLOOKUP(D104,$AJ$8:$AK$21,2,FALSE),"MW"))</f>
        <v/>
      </c>
      <c r="AJ104" s="59" t="n"/>
      <c r="AK104" s="59" t="n"/>
    </row>
    <row r="105" ht="12.6" customHeight="1">
      <c r="A105" s="21" t="n"/>
      <c r="B105" s="233" t="n">
        <v>98</v>
      </c>
      <c r="C105" s="273" t="n"/>
      <c r="D105" s="273" t="n"/>
      <c r="E105" s="274" t="n"/>
      <c r="F105" s="533" t="n"/>
      <c r="G105" s="277" t="n"/>
      <c r="H105" s="277" t="n"/>
      <c r="I105" s="278" t="n"/>
      <c r="J105" s="533" t="n"/>
      <c r="K105" s="277" t="n"/>
      <c r="L105" s="277" t="n"/>
      <c r="M105" s="278" t="n"/>
      <c r="N105" s="533" t="n"/>
      <c r="O105" s="277" t="n"/>
      <c r="P105" s="277" t="n"/>
      <c r="Q105" s="278" t="n"/>
      <c r="R105" s="533" t="n"/>
      <c r="S105" s="277" t="n"/>
      <c r="T105" s="277" t="n"/>
      <c r="U105" s="278" t="n"/>
      <c r="V105" s="533" t="n"/>
      <c r="W105" s="277" t="n"/>
      <c r="X105" s="277" t="n"/>
      <c r="Y105" s="278" t="n"/>
      <c r="Z105" s="533" t="n"/>
      <c r="AA105" s="277" t="n"/>
      <c r="AB105" s="277" t="n"/>
      <c r="AC105" s="278" t="n"/>
      <c r="AD105" s="533" t="n"/>
      <c r="AE105" s="277" t="n"/>
      <c r="AF105" s="277" t="n"/>
      <c r="AG105" s="278" t="n"/>
      <c r="AH105" s="227" t="n"/>
      <c r="AI105" s="225">
        <f>IF(C105="","",IFERROR(VLOOKUP(D105,$AJ$8:$AK$21,2,FALSE),"MW"))</f>
        <v/>
      </c>
      <c r="AJ105" s="59" t="n"/>
      <c r="AK105" s="59" t="n"/>
    </row>
    <row r="106" ht="12.6" customHeight="1">
      <c r="A106" s="21" t="n"/>
      <c r="B106" s="233" t="n">
        <v>99</v>
      </c>
      <c r="C106" s="273" t="n"/>
      <c r="D106" s="273" t="n"/>
      <c r="E106" s="274" t="n"/>
      <c r="F106" s="533" t="n"/>
      <c r="G106" s="277" t="n"/>
      <c r="H106" s="277" t="n"/>
      <c r="I106" s="278" t="n"/>
      <c r="J106" s="533" t="n"/>
      <c r="K106" s="277" t="n"/>
      <c r="L106" s="277" t="n"/>
      <c r="M106" s="278" t="n"/>
      <c r="N106" s="533" t="n"/>
      <c r="O106" s="277" t="n"/>
      <c r="P106" s="277" t="n"/>
      <c r="Q106" s="278" t="n"/>
      <c r="R106" s="533" t="n"/>
      <c r="S106" s="277" t="n"/>
      <c r="T106" s="277" t="n"/>
      <c r="U106" s="278" t="n"/>
      <c r="V106" s="533" t="n"/>
      <c r="W106" s="277" t="n"/>
      <c r="X106" s="277" t="n"/>
      <c r="Y106" s="278" t="n"/>
      <c r="Z106" s="533" t="n"/>
      <c r="AA106" s="277" t="n"/>
      <c r="AB106" s="277" t="n"/>
      <c r="AC106" s="278" t="n"/>
      <c r="AD106" s="533" t="n"/>
      <c r="AE106" s="277" t="n"/>
      <c r="AF106" s="277" t="n"/>
      <c r="AG106" s="278" t="n"/>
      <c r="AH106" s="227" t="n"/>
      <c r="AI106" s="225">
        <f>IF(C106="","",IFERROR(VLOOKUP(D106,$AJ$8:$AK$21,2,FALSE),"MW"))</f>
        <v/>
      </c>
      <c r="AJ106" s="59" t="n"/>
      <c r="AK106" s="59" t="n"/>
    </row>
    <row r="107" ht="12.95" customHeight="1" thickBot="1">
      <c r="A107" s="21" t="n"/>
      <c r="B107" s="234" t="n">
        <v>100</v>
      </c>
      <c r="C107" s="275" t="n"/>
      <c r="D107" s="275" t="n"/>
      <c r="E107" s="276" t="n"/>
      <c r="F107" s="534" t="n"/>
      <c r="G107" s="279" t="n"/>
      <c r="H107" s="279" t="n"/>
      <c r="I107" s="280" t="n"/>
      <c r="J107" s="534" t="n"/>
      <c r="K107" s="279" t="n"/>
      <c r="L107" s="279" t="n"/>
      <c r="M107" s="280" t="n"/>
      <c r="N107" s="534" t="n"/>
      <c r="O107" s="279" t="n"/>
      <c r="P107" s="279" t="n"/>
      <c r="Q107" s="280" t="n"/>
      <c r="R107" s="534" t="n"/>
      <c r="S107" s="279" t="n"/>
      <c r="T107" s="279" t="n"/>
      <c r="U107" s="280" t="n"/>
      <c r="V107" s="534" t="n"/>
      <c r="W107" s="279" t="n"/>
      <c r="X107" s="279" t="n"/>
      <c r="Y107" s="280" t="n"/>
      <c r="Z107" s="534" t="n"/>
      <c r="AA107" s="279" t="n"/>
      <c r="AB107" s="279" t="n"/>
      <c r="AC107" s="280" t="n"/>
      <c r="AD107" s="534" t="n"/>
      <c r="AE107" s="279" t="n"/>
      <c r="AF107" s="279" t="n"/>
      <c r="AG107" s="280" t="n"/>
      <c r="AH107" s="228" t="n"/>
      <c r="AI107" s="225">
        <f>IF(C107="","",IFERROR(VLOOKUP(D107,$AJ$8:$AK$21,2,FALSE),"MW"))</f>
        <v/>
      </c>
      <c r="AJ107" s="59" t="n"/>
      <c r="AK107" s="59" t="n"/>
    </row>
  </sheetData>
  <mergeCells count="9">
    <mergeCell ref="S6:U6"/>
    <mergeCell ref="W6:Y6"/>
    <mergeCell ref="O6:Q6"/>
    <mergeCell ref="G6:I6"/>
    <mergeCell ref="K6:M6"/>
    <mergeCell ref="C5:E6"/>
    <mergeCell ref="G5:AH5"/>
    <mergeCell ref="AA6:AC6"/>
    <mergeCell ref="AE6:AG6"/>
  </mergeCells>
  <conditionalFormatting sqref="I8:I107 M8:M107 Q8:Q107 U8:U107 Y8:Y107 AC8:AC107 AG8:AG107">
    <cfRule type="notContainsBlanks" priority="9" dxfId="27">
      <formula>LEN(TRIM(I8))&gt;0</formula>
    </cfRule>
    <cfRule type="cellIs" priority="6" operator="equal" dxfId="25">
      <formula>"ZIEK"</formula>
    </cfRule>
    <cfRule type="cellIs" priority="7" operator="equal" dxfId="24">
      <formula>"OA"</formula>
    </cfRule>
  </conditionalFormatting>
  <conditionalFormatting sqref="AF8:AG39">
    <cfRule type="cellIs" priority="4" operator="equal" dxfId="23">
      <formula>0</formula>
    </cfRule>
  </conditionalFormatting>
  <conditionalFormatting sqref="AG40:AG107">
    <cfRule type="cellIs" priority="5" operator="equal" dxfId="23">
      <formula>0</formula>
    </cfRule>
  </conditionalFormatting>
  <dataValidations count="3">
    <dataValidation sqref="D8:D107" showDropDown="0" showInputMessage="0" showErrorMessage="1" allowBlank="1" type="list">
      <formula1>$AJ$8:$AJ$20</formula1>
    </dataValidation>
    <dataValidation sqref="E8:E107" showDropDown="1" showInputMessage="0" showErrorMessage="1" allowBlank="1" type="decimal">
      <formula1>0</formula1>
      <formula2>41</formula2>
    </dataValidation>
    <dataValidation sqref="I8:I107 M8:M107 Q8:Q107 U8:U107 Y8:Y107 AC8:AC107 AG8:AG107" showDropDown="0" showInputMessage="1" showErrorMessage="0" allowBlank="1" prompt="FD = Feestdag, OA = Ongewettigd Afwezig, OV = Overig Verlof, ST = Staking, SV = Syndicaal Verlof, TA = Toegestaan Afwezig, VAK = Vakantie, VRIJ = vrij, ZIEK = ziekte" type="list">
      <formula1>"FD,OA,OV,ST,SV,TA,VAK,VRIJ,ZIEK"</formula1>
    </dataValidation>
  </dataValidations>
  <pageMargins left="0.7" right="0.7" top="0.75" bottom="0.75" header="0.3" footer="0.3"/>
  <pageSetup orientation="portrait" paperSize="9" horizontalDpi="4294967295" verticalDpi="4294967295"/>
</worksheet>
</file>

<file path=xl/worksheets/sheet13.xml><?xml version="1.0" encoding="utf-8"?>
<worksheet xmlns="http://schemas.openxmlformats.org/spreadsheetml/2006/main">
  <sheetPr codeName="Sheet12">
    <tabColor rgb="FFF1C232"/>
    <outlinePr summaryBelow="0" summaryRight="0"/>
    <pageSetUpPr/>
  </sheetPr>
  <dimension ref="B1:AD69"/>
  <sheetViews>
    <sheetView showGridLines="0" showRowColHeaders="0" topLeftCell="A7" workbookViewId="0">
      <selection activeCell="O27" sqref="O27"/>
    </sheetView>
  </sheetViews>
  <sheetFormatPr baseColWidth="8" defaultColWidth="17.28515625" defaultRowHeight="15" customHeight="1"/>
  <cols>
    <col width="2.7109375" customWidth="1" style="264" min="1" max="1"/>
    <col width="8.7109375" customWidth="1" style="264" min="2" max="17"/>
    <col width="8.7109375" customWidth="1" style="299" min="18" max="20"/>
    <col width="17.28515625" customWidth="1" style="299" min="21" max="29"/>
    <col width="17.28515625" customWidth="1" style="263" min="30" max="30"/>
    <col width="17.28515625" customWidth="1" style="264" min="31" max="16384"/>
  </cols>
  <sheetData>
    <row r="1" ht="42.95" customFormat="1" customHeight="1" s="179">
      <c r="B1" s="181" t="inlineStr">
        <is>
          <t>Instellingen</t>
        </is>
      </c>
      <c r="C1" s="182" t="n"/>
      <c r="D1" s="182" t="n"/>
      <c r="E1" s="182" t="n"/>
      <c r="F1" s="182" t="n"/>
      <c r="G1" s="182" t="n"/>
      <c r="H1" s="182" t="n"/>
      <c r="I1" s="182" t="n"/>
      <c r="J1" s="182" t="n"/>
      <c r="K1" s="183" t="n"/>
      <c r="L1" s="183" t="n"/>
      <c r="M1" s="183" t="n"/>
      <c r="N1" s="183" t="n"/>
      <c r="O1" s="183" t="n"/>
      <c r="P1" s="183" t="n"/>
      <c r="Q1" s="183" t="n"/>
      <c r="R1" s="298" t="n"/>
      <c r="S1" s="298" t="n"/>
      <c r="T1" s="298" t="n"/>
      <c r="U1" s="298" t="n"/>
      <c r="V1" s="298" t="n"/>
      <c r="W1" s="298" t="n"/>
      <c r="X1" s="298" t="n"/>
      <c r="Y1" s="298" t="n"/>
      <c r="Z1" s="298" t="n"/>
      <c r="AA1" s="298" t="n"/>
      <c r="AB1" s="298" t="n"/>
      <c r="AC1" s="298" t="n"/>
      <c r="AD1" s="399" t="n"/>
    </row>
    <row r="2" ht="3" customHeight="1">
      <c r="B2" s="608" t="n"/>
      <c r="C2" s="608" t="n"/>
      <c r="D2" s="608" t="n"/>
      <c r="E2" s="608" t="n"/>
      <c r="F2" s="608" t="n"/>
      <c r="G2" s="608" t="n"/>
      <c r="H2" s="608" t="n"/>
      <c r="I2" s="608" t="n"/>
      <c r="J2" s="608" t="n"/>
      <c r="K2" s="610" t="n"/>
      <c r="L2" s="610" t="n"/>
      <c r="M2" s="610" t="n"/>
      <c r="N2" s="610" t="n"/>
      <c r="O2" s="610" t="n"/>
      <c r="P2" s="610" t="n"/>
      <c r="Q2" s="610" t="n"/>
    </row>
    <row r="3" ht="3" customHeight="1">
      <c r="B3" s="141" t="n"/>
      <c r="C3" s="141" t="n"/>
      <c r="D3" s="141" t="n"/>
      <c r="E3" s="141" t="n"/>
      <c r="F3" s="141" t="n"/>
      <c r="G3" s="141" t="n"/>
      <c r="H3" s="141" t="n"/>
      <c r="I3" s="141" t="n"/>
      <c r="J3" s="141" t="n"/>
      <c r="K3" s="142" t="n"/>
      <c r="L3" s="142" t="n"/>
      <c r="M3" s="142" t="n"/>
      <c r="N3" s="142" t="n"/>
      <c r="O3" s="142" t="n"/>
      <c r="P3" s="142" t="n"/>
      <c r="Q3" s="142" t="n"/>
    </row>
    <row r="4" ht="13.5" customHeight="1">
      <c r="B4" s="74" t="n"/>
      <c r="C4" s="74" t="n"/>
      <c r="D4" s="74" t="n"/>
      <c r="E4" s="74" t="n"/>
      <c r="F4" s="74" t="n"/>
      <c r="G4" s="74" t="n"/>
      <c r="H4" s="74" t="n"/>
      <c r="I4" s="74" t="n"/>
      <c r="J4" s="74" t="n"/>
      <c r="L4" s="74" t="n"/>
      <c r="M4" s="74" t="n"/>
      <c r="N4" s="74" t="n"/>
      <c r="O4" s="74" t="n"/>
      <c r="P4" s="74" t="n"/>
      <c r="Q4" s="74" t="n"/>
    </row>
    <row r="5" ht="12.75" customHeight="1">
      <c r="B5" s="948" t="inlineStr">
        <is>
          <t>Algemene vragen</t>
        </is>
      </c>
      <c r="C5" s="883" t="n"/>
      <c r="D5" s="883" t="n"/>
      <c r="E5" s="883" t="n"/>
      <c r="F5" s="883" t="n"/>
      <c r="G5" s="883" t="n"/>
      <c r="H5" s="883" t="n"/>
      <c r="I5" s="884" t="n"/>
      <c r="J5" s="64" t="n"/>
      <c r="K5" s="74" t="n"/>
      <c r="L5" s="74" t="n"/>
      <c r="M5" s="74" t="n"/>
      <c r="N5" s="74" t="n"/>
      <c r="O5" s="74" t="n"/>
      <c r="P5" s="74" t="n"/>
      <c r="Q5" s="74" t="n"/>
    </row>
    <row r="6" ht="12.75" customHeight="1">
      <c r="B6" s="251" t="inlineStr">
        <is>
          <t>Is de winkel standaard op zondag geopend?</t>
        </is>
      </c>
      <c r="C6" s="831" t="n"/>
      <c r="D6" s="831" t="n"/>
      <c r="E6" s="831" t="n"/>
      <c r="F6" s="831" t="n"/>
      <c r="G6" s="831" t="n"/>
      <c r="H6" s="831" t="n"/>
      <c r="I6" s="296" t="inlineStr">
        <is>
          <t>ja</t>
        </is>
      </c>
      <c r="J6" s="64" t="n"/>
      <c r="K6" s="74" t="n"/>
      <c r="L6" s="74" t="n"/>
      <c r="M6" s="74" t="n"/>
      <c r="N6" s="74" t="n"/>
      <c r="O6" s="74" t="n"/>
      <c r="P6" s="74" t="n"/>
      <c r="Q6" s="74" t="n"/>
    </row>
    <row r="7" ht="12.75" customHeight="1">
      <c r="B7" s="251" t="inlineStr">
        <is>
          <t>Is er een Pick-Up-Point aanwezig?</t>
        </is>
      </c>
      <c r="C7" s="831" t="n"/>
      <c r="D7" s="831" t="n"/>
      <c r="E7" s="831" t="n"/>
      <c r="F7" s="831" t="n"/>
      <c r="G7" s="831" t="n"/>
      <c r="H7" s="831" t="n"/>
      <c r="I7" s="296" t="inlineStr">
        <is>
          <t>nee</t>
        </is>
      </c>
      <c r="J7" s="64" t="n"/>
      <c r="K7" s="74" t="n"/>
      <c r="L7" s="74" t="n"/>
      <c r="M7" s="74" t="n"/>
      <c r="N7" s="74" t="n"/>
      <c r="O7" s="74" t="n"/>
      <c r="P7" s="74" t="n"/>
      <c r="Q7" s="74" t="n"/>
    </row>
    <row r="8" ht="12.75" customHeight="1">
      <c r="B8" s="251" t="inlineStr">
        <is>
          <t>Wat is de maximaal geplande tijd per dag (in uren, excl. pauze)?</t>
        </is>
      </c>
      <c r="C8" s="831" t="n"/>
      <c r="D8" s="831" t="n"/>
      <c r="E8" s="831" t="n"/>
      <c r="F8" s="831" t="n"/>
      <c r="G8" s="831" t="n"/>
      <c r="H8" s="831" t="n"/>
      <c r="I8" s="296" t="n">
        <v>9</v>
      </c>
      <c r="J8" s="64" t="n"/>
      <c r="K8" s="74" t="n"/>
      <c r="L8" s="74" t="n"/>
      <c r="M8" s="74" t="n"/>
      <c r="N8" s="74" t="n"/>
      <c r="O8" s="74" t="n"/>
      <c r="P8" s="74" t="n"/>
      <c r="Q8" s="74" t="n"/>
    </row>
    <row r="9" ht="12.75" customHeight="1">
      <c r="B9" s="146" t="inlineStr">
        <is>
          <t>Wat is de maximaal geplande tijd per week (in uren, excl. pauze)?</t>
        </is>
      </c>
      <c r="C9" s="147" t="n"/>
      <c r="D9" s="147" t="n"/>
      <c r="E9" s="147" t="n"/>
      <c r="F9" s="147" t="n"/>
      <c r="G9" s="147" t="n"/>
      <c r="H9" s="147" t="n"/>
      <c r="I9" s="297" t="n">
        <v>36.5</v>
      </c>
      <c r="J9" s="64" t="n"/>
      <c r="K9" s="74" t="n"/>
      <c r="L9" s="74" t="n"/>
      <c r="M9" s="74" t="n"/>
      <c r="N9" s="74" t="n"/>
      <c r="O9" s="74" t="n"/>
      <c r="P9" s="74" t="n"/>
      <c r="Q9" s="74" t="n"/>
    </row>
    <row r="10" ht="12.75" customHeight="1">
      <c r="B10" s="64" t="n"/>
      <c r="C10" s="64" t="n"/>
      <c r="D10" s="64" t="n"/>
      <c r="E10" s="64" t="n"/>
      <c r="F10" s="64" t="n"/>
      <c r="G10" s="64" t="n"/>
      <c r="H10" s="64" t="n"/>
      <c r="I10" s="64" t="n"/>
      <c r="J10" s="64" t="n"/>
      <c r="K10" s="74" t="n"/>
      <c r="L10" s="74" t="n"/>
      <c r="M10" s="74" t="n"/>
      <c r="N10" s="74" t="n"/>
      <c r="O10" s="74" t="n"/>
      <c r="P10" s="74" t="n"/>
      <c r="Q10" s="74" t="n"/>
    </row>
    <row r="11" ht="12.75" customHeight="1">
      <c r="B11" s="64" t="n"/>
      <c r="C11" s="64" t="n"/>
      <c r="D11" s="64" t="n"/>
      <c r="E11" s="64" t="n"/>
      <c r="F11" s="64" t="n"/>
      <c r="G11" s="64" t="n"/>
      <c r="H11" s="64" t="n"/>
      <c r="I11" s="64" t="n"/>
      <c r="J11" s="64" t="n"/>
      <c r="K11" s="74" t="n"/>
      <c r="L11" s="74" t="n"/>
      <c r="M11" s="74" t="n"/>
      <c r="N11" s="74" t="n"/>
      <c r="O11" s="74" t="n"/>
      <c r="P11" s="148" t="n"/>
      <c r="Q11" s="74" t="n"/>
    </row>
    <row r="12" ht="12.95" customHeight="1">
      <c r="B12" s="949" t="inlineStr">
        <is>
          <t>Openingstijden</t>
        </is>
      </c>
      <c r="C12" s="883" t="n"/>
      <c r="D12" s="883" t="n"/>
      <c r="E12" s="883" t="n"/>
      <c r="F12" s="883" t="n"/>
      <c r="G12" s="883" t="n"/>
      <c r="H12" s="883" t="n"/>
      <c r="I12" s="883" t="n"/>
      <c r="J12" s="883" t="n"/>
      <c r="K12" s="883" t="n"/>
      <c r="L12" s="883" t="n"/>
      <c r="M12" s="883" t="n"/>
      <c r="N12" s="883" t="n"/>
      <c r="O12" s="883" t="n"/>
      <c r="P12" s="884" t="n"/>
      <c r="Q12" s="74" t="n"/>
    </row>
    <row r="13" ht="12.6" customHeight="1">
      <c r="B13" s="150" t="inlineStr">
        <is>
          <t>Vul in de lichtgrijze cellen de openingstijden in (bv. '20:00').</t>
        </is>
      </c>
      <c r="C13" s="143" t="n"/>
      <c r="D13" s="143" t="n"/>
      <c r="E13" s="143" t="n"/>
      <c r="F13" s="143" t="n"/>
      <c r="G13" s="143" t="n"/>
      <c r="H13" s="143" t="n"/>
      <c r="I13" s="143" t="n"/>
      <c r="J13" s="143" t="n"/>
      <c r="K13" s="143" t="n"/>
      <c r="L13" s="143" t="n"/>
      <c r="M13" s="143" t="n"/>
      <c r="N13" s="143" t="n"/>
      <c r="O13" s="143" t="n"/>
      <c r="P13" s="144" t="n"/>
      <c r="Q13" s="74" t="n"/>
    </row>
    <row r="14" ht="12.95" customHeight="1">
      <c r="B14" s="158" t="n"/>
      <c r="C14" s="950" t="inlineStr">
        <is>
          <t>Maandag</t>
        </is>
      </c>
      <c r="D14" s="951" t="n"/>
      <c r="E14" s="950" t="inlineStr">
        <is>
          <t>Dinsdag</t>
        </is>
      </c>
      <c r="F14" s="951" t="n"/>
      <c r="G14" s="950" t="inlineStr">
        <is>
          <t>Woensdag</t>
        </is>
      </c>
      <c r="H14" s="951" t="n"/>
      <c r="I14" s="950" t="inlineStr">
        <is>
          <t>Donderdag</t>
        </is>
      </c>
      <c r="J14" s="951" t="n"/>
      <c r="K14" s="950" t="inlineStr">
        <is>
          <t>Vrijdag</t>
        </is>
      </c>
      <c r="L14" s="951" t="n"/>
      <c r="M14" s="950" t="inlineStr">
        <is>
          <t>Zaterdag</t>
        </is>
      </c>
      <c r="N14" s="951" t="n"/>
      <c r="O14" s="950" t="inlineStr">
        <is>
          <t>Zondag</t>
        </is>
      </c>
      <c r="P14" s="951" t="n"/>
      <c r="Q14" s="74" t="n"/>
    </row>
    <row r="15" ht="12.6" customHeight="1">
      <c r="B15" s="149" t="n"/>
      <c r="C15" s="282" t="inlineStr">
        <is>
          <t>Open</t>
        </is>
      </c>
      <c r="D15" s="283" t="inlineStr">
        <is>
          <t>Sluit</t>
        </is>
      </c>
      <c r="E15" s="282" t="inlineStr">
        <is>
          <t>Open</t>
        </is>
      </c>
      <c r="F15" s="283" t="inlineStr">
        <is>
          <t>Sluit</t>
        </is>
      </c>
      <c r="G15" s="282" t="inlineStr">
        <is>
          <t>Open</t>
        </is>
      </c>
      <c r="H15" s="283" t="inlineStr">
        <is>
          <t>Sluit</t>
        </is>
      </c>
      <c r="I15" s="282" t="inlineStr">
        <is>
          <t>Open</t>
        </is>
      </c>
      <c r="J15" s="283" t="inlineStr">
        <is>
          <t>Sluit</t>
        </is>
      </c>
      <c r="K15" s="282" t="inlineStr">
        <is>
          <t>Open</t>
        </is>
      </c>
      <c r="L15" s="283" t="inlineStr">
        <is>
          <t>Sluit</t>
        </is>
      </c>
      <c r="M15" s="282" t="inlineStr">
        <is>
          <t>Open</t>
        </is>
      </c>
      <c r="N15" s="283" t="inlineStr">
        <is>
          <t>Sluit</t>
        </is>
      </c>
      <c r="O15" s="282" t="inlineStr">
        <is>
          <t>Open</t>
        </is>
      </c>
      <c r="P15" s="283" t="inlineStr">
        <is>
          <t>Sluit</t>
        </is>
      </c>
      <c r="Q15" s="74" t="n"/>
    </row>
    <row r="16" ht="12.6" customHeight="1">
      <c r="B16" s="281" t="inlineStr">
        <is>
          <t>Tijd:</t>
        </is>
      </c>
      <c r="C16" s="284" t="n">
        <v>0.2916666666666667</v>
      </c>
      <c r="D16" s="285" t="n">
        <v>0.875</v>
      </c>
      <c r="E16" s="284" t="n">
        <v>0.2916666666666667</v>
      </c>
      <c r="F16" s="285" t="n">
        <v>0.875</v>
      </c>
      <c r="G16" s="284" t="n">
        <v>0.2916666666666667</v>
      </c>
      <c r="H16" s="285" t="n">
        <v>0.875</v>
      </c>
      <c r="I16" s="284" t="n">
        <v>0.2916666666666667</v>
      </c>
      <c r="J16" s="285" t="n">
        <v>0.875</v>
      </c>
      <c r="K16" s="284" t="n">
        <v>0.2916666666666667</v>
      </c>
      <c r="L16" s="285" t="n">
        <v>0.875</v>
      </c>
      <c r="M16" s="284" t="n">
        <v>0.2916666666666667</v>
      </c>
      <c r="N16" s="285" t="n">
        <v>0.875</v>
      </c>
      <c r="O16" s="284" t="n">
        <v>0.2916666666666667</v>
      </c>
      <c r="P16" s="285" t="n">
        <v>0.875</v>
      </c>
      <c r="Q16" s="74" t="n"/>
    </row>
    <row r="17" ht="12.6" customHeight="1">
      <c r="B17" s="64" t="n"/>
      <c r="C17" s="64" t="n"/>
      <c r="D17" s="64" t="n"/>
      <c r="E17" s="64" t="n"/>
      <c r="F17" s="64" t="n"/>
      <c r="G17" s="64" t="n"/>
      <c r="H17" s="64" t="n"/>
      <c r="I17" s="64" t="n"/>
      <c r="J17" s="64" t="n"/>
      <c r="K17" s="74" t="n"/>
      <c r="L17" s="74" t="n"/>
      <c r="M17" s="74" t="n"/>
      <c r="N17" s="74" t="n"/>
      <c r="O17" s="74" t="n"/>
      <c r="P17" s="148" t="n"/>
      <c r="Q17" s="74" t="n"/>
    </row>
    <row r="18" ht="12.6" customHeight="1">
      <c r="B18" s="64" t="n"/>
      <c r="C18" s="64" t="n"/>
      <c r="D18" s="64" t="n"/>
      <c r="E18" s="64" t="n"/>
      <c r="F18" s="64" t="n"/>
      <c r="G18" s="64" t="n"/>
      <c r="H18" s="64" t="n"/>
      <c r="I18" s="64" t="n"/>
      <c r="J18" s="64" t="n"/>
      <c r="K18" s="74" t="n"/>
      <c r="L18" s="74" t="n"/>
      <c r="M18" s="74" t="n"/>
      <c r="N18" s="74" t="n"/>
      <c r="O18" s="74" t="n"/>
      <c r="P18" s="148" t="n"/>
      <c r="Q18" s="74" t="n"/>
    </row>
    <row r="19" ht="12.95" customHeight="1">
      <c r="B19" s="952" t="inlineStr">
        <is>
          <t>Verdeling uren</t>
        </is>
      </c>
      <c r="C19" s="883" t="n"/>
      <c r="D19" s="883" t="n"/>
      <c r="E19" s="883" t="n"/>
      <c r="F19" s="883" t="n"/>
      <c r="G19" s="883" t="n"/>
      <c r="H19" s="883" t="n"/>
      <c r="I19" s="883" t="n"/>
      <c r="J19" s="883" t="n"/>
      <c r="K19" s="883" t="n"/>
      <c r="L19" s="883" t="n"/>
      <c r="M19" s="884" t="n"/>
      <c r="N19" s="74" t="n"/>
      <c r="O19" s="74" t="n"/>
      <c r="P19" s="148" t="n"/>
      <c r="Q19" s="74" t="n"/>
    </row>
    <row r="20" ht="12.95" customHeight="1">
      <c r="B20" s="286" t="inlineStr">
        <is>
          <t>Op tabblad 'Begroting' zie je het totale urenbudget, aan de hand van onderstaande percentages wordt het budget per dag verdeeld.</t>
        </is>
      </c>
      <c r="C20" s="287" t="n"/>
      <c r="D20" s="287" t="n"/>
      <c r="E20" s="287" t="n"/>
      <c r="F20" s="289" t="n"/>
      <c r="G20" s="287" t="n"/>
      <c r="H20" s="287" t="n"/>
      <c r="I20" s="287" t="n"/>
      <c r="J20" s="289" t="n"/>
      <c r="K20" s="287" t="n"/>
      <c r="L20" s="287" t="n"/>
      <c r="M20" s="290" t="n"/>
      <c r="N20" s="74" t="n"/>
      <c r="O20" s="74" t="n"/>
      <c r="P20" s="148" t="n"/>
      <c r="Q20" s="74" t="n"/>
    </row>
    <row r="21" ht="12.95" customHeight="1">
      <c r="B21" s="953" t="n"/>
      <c r="C21" s="954" t="n"/>
      <c r="D21" s="954" t="n"/>
      <c r="E21" s="951" t="n"/>
      <c r="F21" s="291" t="inlineStr">
        <is>
          <t>Maandag</t>
        </is>
      </c>
      <c r="G21" s="291" t="inlineStr">
        <is>
          <t>Dinsdag</t>
        </is>
      </c>
      <c r="H21" s="291" t="inlineStr">
        <is>
          <t>Woensdag</t>
        </is>
      </c>
      <c r="I21" s="291" t="inlineStr">
        <is>
          <t>Donderdag</t>
        </is>
      </c>
      <c r="J21" s="292" t="inlineStr">
        <is>
          <t>Vrijdag</t>
        </is>
      </c>
      <c r="K21" s="292" t="inlineStr">
        <is>
          <t>Zaterdag</t>
        </is>
      </c>
      <c r="L21" s="292" t="inlineStr">
        <is>
          <t>Zondag</t>
        </is>
      </c>
      <c r="M21" s="292" t="inlineStr">
        <is>
          <t>Totaal</t>
        </is>
      </c>
      <c r="N21" s="74" t="n"/>
      <c r="O21" s="74" t="n"/>
      <c r="P21" s="148" t="n"/>
      <c r="Q21" s="145" t="n"/>
    </row>
    <row r="22" ht="12.6" customHeight="1">
      <c r="B22" s="955" t="inlineStr">
        <is>
          <t>Uren Operatie (%)</t>
        </is>
      </c>
      <c r="C22" s="956" t="n"/>
      <c r="D22" s="956" t="n"/>
      <c r="E22" s="957" t="n"/>
      <c r="F22" s="293" t="n">
        <v>0.15</v>
      </c>
      <c r="G22" s="293" t="n">
        <v>0.14</v>
      </c>
      <c r="H22" s="293" t="n">
        <v>0.14</v>
      </c>
      <c r="I22" s="293" t="n">
        <v>0.14</v>
      </c>
      <c r="J22" s="293" t="n">
        <v>0.14</v>
      </c>
      <c r="K22" s="293" t="n">
        <v>0.135</v>
      </c>
      <c r="L22" s="293" t="n">
        <v>0.155</v>
      </c>
      <c r="M22" s="295">
        <f>SUM(F22:L22)</f>
        <v/>
      </c>
      <c r="N22" s="74" t="n"/>
      <c r="O22" s="74" t="n"/>
      <c r="P22" s="148" t="n"/>
      <c r="Q22" s="145" t="n"/>
    </row>
    <row r="23" ht="12.6" customHeight="1">
      <c r="B23" s="958" t="inlineStr">
        <is>
          <t>Uren Operatie</t>
        </is>
      </c>
      <c r="C23" s="959" t="n"/>
      <c r="D23" s="959" t="n"/>
      <c r="E23" s="960" t="n"/>
      <c r="F23" s="294">
        <f>Begroting!$N$71*Instellingen!F22</f>
        <v/>
      </c>
      <c r="G23" s="294">
        <f>Begroting!$N$71*Instellingen!G22</f>
        <v/>
      </c>
      <c r="H23" s="294">
        <f>Begroting!$N$71*Instellingen!H22</f>
        <v/>
      </c>
      <c r="I23" s="294">
        <f>Begroting!$N$71*Instellingen!I22</f>
        <v/>
      </c>
      <c r="J23" s="294">
        <f>Begroting!$N$71*Instellingen!J22</f>
        <v/>
      </c>
      <c r="K23" s="294">
        <f>Begroting!$N$71*Instellingen!K22</f>
        <v/>
      </c>
      <c r="L23" s="294">
        <f>Begroting!$N$71*Instellingen!L22</f>
        <v/>
      </c>
      <c r="M23" s="515">
        <f>IFERROR(Begroting!N71,0)</f>
        <v/>
      </c>
      <c r="N23" s="74" t="n"/>
      <c r="O23" s="74" t="n"/>
      <c r="P23" s="148" t="n"/>
      <c r="Q23" s="145" t="n"/>
    </row>
    <row r="24" ht="12.6" customHeight="1">
      <c r="B24" s="64" t="n"/>
      <c r="C24" s="64" t="n"/>
      <c r="D24" s="64" t="n"/>
      <c r="E24" s="64" t="n"/>
      <c r="F24" s="64" t="n"/>
      <c r="G24" s="64" t="n"/>
      <c r="H24" s="64" t="n"/>
      <c r="I24" s="64" t="n"/>
      <c r="J24" s="64" t="n"/>
      <c r="K24" s="74" t="n"/>
      <c r="L24" s="74" t="n"/>
      <c r="M24" s="74" t="n"/>
      <c r="N24" s="74" t="n"/>
      <c r="O24" s="74" t="n"/>
      <c r="P24" s="148" t="n"/>
      <c r="Q24" s="145" t="n"/>
    </row>
    <row r="25" ht="12.6" customHeight="1">
      <c r="Q25" s="74" t="n"/>
    </row>
    <row r="26" ht="12.75" customHeight="1">
      <c r="B26" s="952" t="inlineStr">
        <is>
          <t>Spoorboekje en OBM's</t>
        </is>
      </c>
      <c r="C26" s="883" t="n"/>
      <c r="D26" s="883" t="n"/>
      <c r="E26" s="883" t="n"/>
      <c r="F26" s="883" t="n"/>
      <c r="G26" s="883" t="n"/>
      <c r="H26" s="883" t="n"/>
      <c r="I26" s="883" t="n"/>
      <c r="J26" s="883" t="n"/>
      <c r="K26" s="883" t="n"/>
      <c r="L26" s="884" t="n"/>
      <c r="Q26" s="74" t="n"/>
    </row>
    <row r="27" ht="12.75" customHeight="1">
      <c r="B27" s="185" t="inlineStr">
        <is>
          <t>Vul in de lichtgrijze cellen het spoorboekje in (bv. "14:00"). Gebruik hiervoor de info uit de RE Toolbox.</t>
        </is>
      </c>
      <c r="C27" s="186" t="n"/>
      <c r="D27" s="186" t="n"/>
      <c r="E27" s="186" t="n"/>
      <c r="F27" s="186" t="n"/>
      <c r="G27" s="186" t="n"/>
      <c r="H27" s="186" t="n"/>
      <c r="I27" s="186" t="n"/>
      <c r="J27" s="186" t="n"/>
      <c r="K27" s="186" t="n"/>
      <c r="L27" s="187" t="n"/>
      <c r="Q27" s="74" t="n"/>
    </row>
    <row r="28" ht="12.75" customHeight="1">
      <c r="B28" s="961" t="inlineStr">
        <is>
          <t>Aflevermomenten</t>
        </is>
      </c>
      <c r="C28" s="883" t="n"/>
      <c r="D28" s="883" t="n"/>
      <c r="E28" s="883" t="n"/>
      <c r="F28" s="883" t="n"/>
      <c r="G28" s="883" t="n"/>
      <c r="H28" s="883" t="n"/>
      <c r="I28" s="883" t="n"/>
      <c r="J28" s="883" t="n"/>
      <c r="K28" s="883" t="n"/>
      <c r="L28" s="884" t="n"/>
      <c r="Q28" s="74" t="n"/>
    </row>
    <row r="29" ht="12.75" customHeight="1">
      <c r="B29" s="422" t="n"/>
      <c r="C29" s="417" t="n"/>
      <c r="D29" s="417" t="n"/>
      <c r="E29" s="418" t="n"/>
      <c r="F29" s="419" t="inlineStr">
        <is>
          <t>Maandag</t>
        </is>
      </c>
      <c r="G29" s="420" t="inlineStr">
        <is>
          <t>Dinsdag</t>
        </is>
      </c>
      <c r="H29" s="420" t="inlineStr">
        <is>
          <t>Woensdag</t>
        </is>
      </c>
      <c r="I29" s="420" t="inlineStr">
        <is>
          <t>Donderdag</t>
        </is>
      </c>
      <c r="J29" s="421" t="inlineStr">
        <is>
          <t>Vrijdag</t>
        </is>
      </c>
      <c r="K29" s="421" t="inlineStr">
        <is>
          <t>Zaterdag</t>
        </is>
      </c>
      <c r="L29" s="421" t="inlineStr">
        <is>
          <t>Zondag</t>
        </is>
      </c>
      <c r="M29" s="64" t="n"/>
      <c r="N29" s="64" t="n"/>
      <c r="O29" s="64" t="n"/>
      <c r="P29" s="64" t="n"/>
      <c r="Q29" s="74" t="n"/>
      <c r="R29" s="64" t="n"/>
    </row>
    <row r="30" ht="12.75" customHeight="1">
      <c r="B30" s="962" t="inlineStr">
        <is>
          <t>Houdbaar (HA)</t>
        </is>
      </c>
      <c r="C30" s="963" t="n"/>
      <c r="D30" s="963" t="n"/>
      <c r="E30" s="964" t="n"/>
      <c r="F30" s="965" t="n">
        <v>0.3958333333333333</v>
      </c>
      <c r="G30" s="966" t="n">
        <v>0.3958333333333333</v>
      </c>
      <c r="H30" s="966" t="n">
        <v>0.3958333333333333</v>
      </c>
      <c r="I30" s="966" t="n">
        <v>0.3958333333333333</v>
      </c>
      <c r="J30" s="966" t="n">
        <v>0.3958333333333333</v>
      </c>
      <c r="K30" s="966" t="n">
        <v>0.3958333333333333</v>
      </c>
      <c r="L30" s="967" t="n">
        <v>0.3958333333333333</v>
      </c>
      <c r="M30" s="968">
        <f>IF(F30="","",F30+0.0000001)</f>
        <v/>
      </c>
      <c r="N30" s="299">
        <f>IF(G30="","",G30+0.0000001)</f>
        <v/>
      </c>
      <c r="O30" s="299">
        <f>IF(H30="","",H30+0.0000001)</f>
        <v/>
      </c>
      <c r="P30" s="299">
        <f>IF(I30="","",I30+0.0000001)</f>
        <v/>
      </c>
      <c r="Q30" s="530">
        <f>IF(J30="","",J30+0.0000001)</f>
        <v/>
      </c>
      <c r="R30" s="299">
        <f>IF(K30="","",K30+0.0000001)</f>
        <v/>
      </c>
      <c r="S30" s="299">
        <f>IF(L30="","",L30+0.0000001)</f>
        <v/>
      </c>
      <c r="T30" s="968">
        <f>B30</f>
        <v/>
      </c>
    </row>
    <row r="31" ht="12.75" customHeight="1">
      <c r="B31" s="969" t="inlineStr">
        <is>
          <t>Houdbaar (BA)</t>
        </is>
      </c>
      <c r="C31" s="970" t="n"/>
      <c r="D31" s="970" t="n"/>
      <c r="E31" s="971" t="n"/>
      <c r="F31" s="972" t="n"/>
      <c r="G31" s="973" t="n"/>
      <c r="H31" s="973" t="n"/>
      <c r="I31" s="973" t="n"/>
      <c r="J31" s="973" t="n"/>
      <c r="K31" s="973" t="n"/>
      <c r="L31" s="974" t="n"/>
      <c r="M31" s="299">
        <f>IF(F31="","",F31+0.0000002)</f>
        <v/>
      </c>
      <c r="N31" s="299">
        <f>IF(G31="","",G31+0.0000002)</f>
        <v/>
      </c>
      <c r="O31" s="299">
        <f>IF(H31="","",H31+0.0000002)</f>
        <v/>
      </c>
      <c r="P31" s="299">
        <f>IF(I31="","",I31+0.0000002)</f>
        <v/>
      </c>
      <c r="Q31" s="530">
        <f>IF(J31="","",J31+0.0000002)</f>
        <v/>
      </c>
      <c r="R31" s="299">
        <f>IF(K31="","",K31+0.0000002)</f>
        <v/>
      </c>
      <c r="S31" s="299">
        <f>IF(L31="","",L31+0.0000002)</f>
        <v/>
      </c>
      <c r="T31" s="968">
        <f>B31</f>
        <v/>
      </c>
    </row>
    <row r="32" ht="12.75" customHeight="1">
      <c r="B32" s="975" t="inlineStr">
        <is>
          <t>Houdbaar (BA2)</t>
        </is>
      </c>
      <c r="C32" s="976" t="n"/>
      <c r="D32" s="976" t="n"/>
      <c r="E32" s="977" t="n"/>
      <c r="F32" s="978" t="n"/>
      <c r="G32" s="979" t="n"/>
      <c r="H32" s="979" t="n"/>
      <c r="I32" s="979" t="n"/>
      <c r="J32" s="979" t="n"/>
      <c r="K32" s="979" t="n"/>
      <c r="L32" s="980" t="n"/>
      <c r="M32" s="299">
        <f>IF(F32="","",F32+0.0000003)</f>
        <v/>
      </c>
      <c r="N32" s="299">
        <f>IF(G32="","",G32+0.0000003)</f>
        <v/>
      </c>
      <c r="O32" s="299">
        <f>IF(H32="","",H32+0.0000003)</f>
        <v/>
      </c>
      <c r="P32" s="299">
        <f>IF(I32="","",I32+0.0000003)</f>
        <v/>
      </c>
      <c r="Q32" s="530">
        <f>IF(J32="","",J32+0.0000003)</f>
        <v/>
      </c>
      <c r="R32" s="299">
        <f>IF(K32="","",K32+0.0000003)</f>
        <v/>
      </c>
      <c r="S32" s="299">
        <f>IF(L32="","",L32+0.0000003)</f>
        <v/>
      </c>
      <c r="T32" s="968">
        <f>B32</f>
        <v/>
      </c>
    </row>
    <row r="33" ht="12.75" customHeight="1">
      <c r="B33" s="981" t="inlineStr">
        <is>
          <t>Vers (HA)</t>
        </is>
      </c>
      <c r="C33" s="982" t="n"/>
      <c r="D33" s="982" t="n"/>
      <c r="E33" s="983" t="n"/>
      <c r="F33" s="965" t="n">
        <v>0.84375</v>
      </c>
      <c r="G33" s="966" t="n">
        <v>0.84375</v>
      </c>
      <c r="H33" s="966" t="n">
        <v>0.84375</v>
      </c>
      <c r="I33" s="966" t="n">
        <v>0.84375</v>
      </c>
      <c r="J33" s="966" t="n">
        <v>0.84375</v>
      </c>
      <c r="K33" s="966" t="n">
        <v>0.84375</v>
      </c>
      <c r="L33" s="967" t="n">
        <v>0.84375</v>
      </c>
      <c r="M33" s="299">
        <f>IF(F33="","",F33+0.0000004)</f>
        <v/>
      </c>
      <c r="N33" s="299">
        <f>IF(G33="","",G33+0.0000004)</f>
        <v/>
      </c>
      <c r="O33" s="299">
        <f>IF(H33="","",H33+0.0000004)</f>
        <v/>
      </c>
      <c r="P33" s="299">
        <f>IF(I33="","",I33+0.0000004)</f>
        <v/>
      </c>
      <c r="Q33" s="530">
        <f>IF(J33="","",J33+0.0000004)</f>
        <v/>
      </c>
      <c r="R33" s="299">
        <f>IF(K33="","",K33+0.0000004)</f>
        <v/>
      </c>
      <c r="S33" s="299">
        <f>IF(L33="","",L33+0.0000004)</f>
        <v/>
      </c>
      <c r="T33" s="968">
        <f>B33</f>
        <v/>
      </c>
    </row>
    <row r="34" ht="12.75" customHeight="1">
      <c r="B34" s="969" t="inlineStr">
        <is>
          <t>Vers (BA)</t>
        </is>
      </c>
      <c r="C34" s="970" t="n"/>
      <c r="D34" s="970" t="n"/>
      <c r="E34" s="971" t="n"/>
      <c r="F34" s="972" t="n"/>
      <c r="G34" s="973" t="n"/>
      <c r="H34" s="973" t="n"/>
      <c r="I34" s="973" t="n"/>
      <c r="J34" s="973" t="n"/>
      <c r="K34" s="973" t="n"/>
      <c r="L34" s="974" t="n"/>
      <c r="M34" s="299">
        <f>IF(F34="","",F34+0.0000005)</f>
        <v/>
      </c>
      <c r="N34" s="299">
        <f>IF(G34="","",G34+0.0000005)</f>
        <v/>
      </c>
      <c r="O34" s="299">
        <f>IF(H34="","",H34+0.0000005)</f>
        <v/>
      </c>
      <c r="P34" s="299">
        <f>IF(I34="","",I34+0.0000005)</f>
        <v/>
      </c>
      <c r="Q34" s="530">
        <f>IF(J34="","",J34+0.0000005)</f>
        <v/>
      </c>
      <c r="R34" s="299">
        <f>IF(K34="","",K34+0.0000005)</f>
        <v/>
      </c>
      <c r="S34" s="299">
        <f>IF(L34="","",L34+0.0000005)</f>
        <v/>
      </c>
      <c r="T34" s="968">
        <f>B34</f>
        <v/>
      </c>
    </row>
    <row r="35" ht="12.75" customHeight="1">
      <c r="B35" s="984" t="inlineStr">
        <is>
          <t>Vers (BA2)</t>
        </is>
      </c>
      <c r="C35" s="985" t="n"/>
      <c r="D35" s="985" t="n"/>
      <c r="E35" s="986" t="n"/>
      <c r="F35" s="987" t="n"/>
      <c r="G35" s="988" t="n"/>
      <c r="H35" s="988" t="n"/>
      <c r="I35" s="988" t="n"/>
      <c r="J35" s="988" t="n"/>
      <c r="K35" s="988" t="n"/>
      <c r="L35" s="989" t="n"/>
      <c r="M35" s="299">
        <f>IF(F35="","",F35+0.0000006)</f>
        <v/>
      </c>
      <c r="N35" s="299">
        <f>IF(G35="","",G35+0.0000006)</f>
        <v/>
      </c>
      <c r="O35" s="299">
        <f>IF(H35="","",H35+0.0000006)</f>
        <v/>
      </c>
      <c r="P35" s="299">
        <f>IF(I35="","",I35+0.0000006)</f>
        <v/>
      </c>
      <c r="Q35" s="530">
        <f>IF(J35="","",J35+0.0000006)</f>
        <v/>
      </c>
      <c r="R35" s="299">
        <f>IF(K35="","",K35+0.0000006)</f>
        <v/>
      </c>
      <c r="S35" s="299">
        <f>IF(L35="","",L35+0.0000006)</f>
        <v/>
      </c>
      <c r="T35" s="968">
        <f>B35</f>
        <v/>
      </c>
    </row>
    <row r="36" ht="12.75" customHeight="1">
      <c r="B36" s="984" t="inlineStr">
        <is>
          <t>Diepvries (HA)</t>
        </is>
      </c>
      <c r="C36" s="985" t="n"/>
      <c r="D36" s="985" t="n"/>
      <c r="E36" s="986" t="n"/>
      <c r="F36" s="987" t="n">
        <v>0.4166666666666667</v>
      </c>
      <c r="G36" s="988" t="n">
        <v>0.4166666666666667</v>
      </c>
      <c r="H36" s="988" t="n">
        <v>0.4166666666666667</v>
      </c>
      <c r="I36" s="988" t="n">
        <v>0.4166666666666667</v>
      </c>
      <c r="J36" s="988" t="n">
        <v>0.4166666666666667</v>
      </c>
      <c r="K36" s="988" t="n">
        <v>0.4166666666666667</v>
      </c>
      <c r="L36" s="989" t="n">
        <v>0.4166666666666667</v>
      </c>
      <c r="M36" s="299">
        <f>IF(F36="","",F36+0.0000007)</f>
        <v/>
      </c>
      <c r="N36" s="299">
        <f>IF(G36="","",G36+0.0000007)</f>
        <v/>
      </c>
      <c r="O36" s="299">
        <f>IF(H36="","",H36+0.0000007)</f>
        <v/>
      </c>
      <c r="P36" s="299">
        <f>IF(I36="","",I36+0.0000007)</f>
        <v/>
      </c>
      <c r="Q36" s="530">
        <f>IF(J36="","",J36+0.0000007)</f>
        <v/>
      </c>
      <c r="R36" s="299">
        <f>IF(K36="","",K36+0.0000007)</f>
        <v/>
      </c>
      <c r="S36" s="299">
        <f>IF(L36="","",L36+0.0000007)</f>
        <v/>
      </c>
      <c r="T36" s="968">
        <f>B36</f>
        <v/>
      </c>
    </row>
    <row r="37" ht="12.75" customHeight="1">
      <c r="B37" s="990" t="inlineStr">
        <is>
          <t>Brood (HA)</t>
        </is>
      </c>
      <c r="C37" s="883" t="n"/>
      <c r="D37" s="883" t="n"/>
      <c r="E37" s="991" t="n"/>
      <c r="F37" s="992" t="n">
        <v>0.2916666666666667</v>
      </c>
      <c r="G37" s="993" t="n">
        <v>0.2916666666666667</v>
      </c>
      <c r="H37" s="993" t="n">
        <v>0.2916666666666667</v>
      </c>
      <c r="I37" s="993" t="n">
        <v>0.2916666666666667</v>
      </c>
      <c r="J37" s="993" t="n">
        <v>0.2916666666666667</v>
      </c>
      <c r="K37" s="993" t="n">
        <v>0.2916666666666667</v>
      </c>
      <c r="L37" s="994" t="n">
        <v>0.2916666666666667</v>
      </c>
      <c r="M37" s="299">
        <f>IF(F37="","",F37+0.0000008)</f>
        <v/>
      </c>
      <c r="N37" s="299">
        <f>IF(G37="","",G37+0.0000008)</f>
        <v/>
      </c>
      <c r="O37" s="299">
        <f>IF(H37="","",H37+0.0000008)</f>
        <v/>
      </c>
      <c r="P37" s="299">
        <f>IF(I37="","",I37+0.0000008)</f>
        <v/>
      </c>
      <c r="Q37" s="530">
        <f>IF(J37="","",J37+0.0000008)</f>
        <v/>
      </c>
      <c r="R37" s="299">
        <f>IF(K37="","",K37+0.0000008)</f>
        <v/>
      </c>
      <c r="S37" s="299">
        <f>IF(L37="","",L37+0.0000008)</f>
        <v/>
      </c>
      <c r="T37" s="968">
        <f>B37</f>
        <v/>
      </c>
    </row>
    <row r="38" ht="12.75" customHeight="1">
      <c r="B38" s="961" t="inlineStr">
        <is>
          <t>OBM's</t>
        </is>
      </c>
      <c r="C38" s="883" t="n"/>
      <c r="D38" s="883" t="n"/>
      <c r="E38" s="883" t="n"/>
      <c r="F38" s="883" t="n"/>
      <c r="G38" s="883" t="n"/>
      <c r="H38" s="883" t="n"/>
      <c r="I38" s="883" t="n"/>
      <c r="J38" s="883" t="n"/>
      <c r="K38" s="883" t="n"/>
      <c r="L38" s="884" t="n"/>
      <c r="M38" s="299" t="n"/>
      <c r="N38" s="299" t="n"/>
      <c r="O38" s="299" t="n"/>
      <c r="P38" s="299" t="n"/>
      <c r="Q38" s="530" t="n"/>
    </row>
    <row r="39" ht="12.75" customHeight="1">
      <c r="B39" s="422" t="n"/>
      <c r="C39" s="417" t="n"/>
      <c r="D39" s="417" t="n"/>
      <c r="E39" s="418" t="n"/>
      <c r="F39" s="419" t="inlineStr">
        <is>
          <t>Maandag</t>
        </is>
      </c>
      <c r="G39" s="420" t="inlineStr">
        <is>
          <t>Dinsdag</t>
        </is>
      </c>
      <c r="H39" s="420" t="inlineStr">
        <is>
          <t>Woensdag</t>
        </is>
      </c>
      <c r="I39" s="420" t="inlineStr">
        <is>
          <t>Donderdag</t>
        </is>
      </c>
      <c r="J39" s="421" t="inlineStr">
        <is>
          <t>Vrijdag</t>
        </is>
      </c>
      <c r="K39" s="421" t="inlineStr">
        <is>
          <t>Zaterdag</t>
        </is>
      </c>
      <c r="L39" s="421" t="inlineStr">
        <is>
          <t>Zondag</t>
        </is>
      </c>
      <c r="M39" s="299" t="n"/>
      <c r="N39" s="299" t="n"/>
      <c r="O39" s="299" t="n"/>
      <c r="P39" s="299" t="n"/>
      <c r="Q39" s="530" t="n"/>
      <c r="S39" s="299" t="inlineStr">
        <is>
          <t>Woensdag</t>
        </is>
      </c>
      <c r="T39" s="968" t="n"/>
      <c r="U39" s="299" t="inlineStr">
        <is>
          <t>Vrijdag</t>
        </is>
      </c>
      <c r="V39" s="299" t="inlineStr">
        <is>
          <t>Zaterdag</t>
        </is>
      </c>
      <c r="W39" s="299" t="inlineStr">
        <is>
          <t>Zondag</t>
        </is>
      </c>
    </row>
    <row r="40" ht="12.75" customHeight="1">
      <c r="B40" s="995" t="inlineStr">
        <is>
          <t>OBM Houdbaar (HA)</t>
        </is>
      </c>
      <c r="C40" s="963" t="n"/>
      <c r="D40" s="963" t="n"/>
      <c r="E40" s="996" t="n"/>
      <c r="F40" s="965" t="n">
        <v>0.3958333333333333</v>
      </c>
      <c r="G40" s="966" t="n">
        <v>0.3958333333333333</v>
      </c>
      <c r="H40" s="966" t="n">
        <v>0.3958333333333333</v>
      </c>
      <c r="I40" s="966" t="n">
        <v>0.3958333333333333</v>
      </c>
      <c r="J40" s="966" t="n">
        <v>0.3958333333333333</v>
      </c>
      <c r="K40" s="966" t="n">
        <v>0.3958333333333333</v>
      </c>
      <c r="L40" s="967" t="n">
        <v>0.3958333333333333</v>
      </c>
      <c r="M40" s="968">
        <f>IF(F40="","",F40+0.0000001)</f>
        <v/>
      </c>
      <c r="N40" s="968">
        <f>IF(G40="","",G40+0.0000001)</f>
        <v/>
      </c>
      <c r="O40" s="968">
        <f>IF(H40="","",H40+0.0000001)</f>
        <v/>
      </c>
      <c r="P40" s="968">
        <f>IF(I40="","",I40+0.0000001)</f>
        <v/>
      </c>
      <c r="Q40" s="968">
        <f>IF(J40="","",J40+0.0000001)</f>
        <v/>
      </c>
      <c r="R40" s="968">
        <f>IF(K40="","",K40+0.0000001)</f>
        <v/>
      </c>
      <c r="S40" s="968">
        <f>IF(L40="","",L40+0.0000001)</f>
        <v/>
      </c>
      <c r="T40" s="968">
        <f>B40</f>
        <v/>
      </c>
    </row>
    <row r="41" ht="12.75" customHeight="1">
      <c r="B41" s="997" t="inlineStr">
        <is>
          <t>OBM Houdbaar (BA)</t>
        </is>
      </c>
      <c r="C41" s="970" t="n"/>
      <c r="D41" s="970" t="n"/>
      <c r="E41" s="998" t="n"/>
      <c r="F41" s="972" t="n"/>
      <c r="G41" s="973" t="n"/>
      <c r="H41" s="973" t="n"/>
      <c r="I41" s="973" t="n"/>
      <c r="J41" s="973" t="n"/>
      <c r="K41" s="973" t="n"/>
      <c r="L41" s="974" t="n"/>
      <c r="M41" s="299">
        <f>IF(F41="","",F41+0.0000002)</f>
        <v/>
      </c>
      <c r="N41" s="299">
        <f>IF(G41="","",G41+0.0000002)</f>
        <v/>
      </c>
      <c r="O41" s="299">
        <f>IF(H41="","",H41+0.0000002)</f>
        <v/>
      </c>
      <c r="P41" s="299">
        <f>IF(I41="","",I41+0.0000002)</f>
        <v/>
      </c>
      <c r="Q41" s="299">
        <f>IF(J41="","",J41+0.0000002)</f>
        <v/>
      </c>
      <c r="R41" s="299">
        <f>IF(K41="","",K41+0.0000002)</f>
        <v/>
      </c>
      <c r="S41" s="299">
        <f>IF(L41="","",L41+0.0000002)</f>
        <v/>
      </c>
      <c r="T41" s="968">
        <f>B41</f>
        <v/>
      </c>
    </row>
    <row r="42" ht="12.75" customHeight="1">
      <c r="B42" s="999" t="inlineStr">
        <is>
          <t>OBM Houdbaar (BA2)</t>
        </is>
      </c>
      <c r="C42" s="976" t="n"/>
      <c r="D42" s="976" t="n"/>
      <c r="E42" s="1000" t="n"/>
      <c r="F42" s="978" t="n"/>
      <c r="G42" s="979" t="n"/>
      <c r="H42" s="979" t="n"/>
      <c r="I42" s="979" t="n"/>
      <c r="J42" s="979" t="n"/>
      <c r="K42" s="979" t="n"/>
      <c r="L42" s="980" t="n"/>
      <c r="M42" s="299">
        <f>IF(F42="","",F42+0.0000003)</f>
        <v/>
      </c>
      <c r="N42" s="299">
        <f>IF(G42="","",G42+0.0000003)</f>
        <v/>
      </c>
      <c r="O42" s="299">
        <f>IF(H42="","",H42+0.0000003)</f>
        <v/>
      </c>
      <c r="P42" s="299">
        <f>IF(I42="","",I42+0.0000003)</f>
        <v/>
      </c>
      <c r="Q42" s="299">
        <f>IF(J42="","",J42+0.0000003)</f>
        <v/>
      </c>
      <c r="R42" s="299">
        <f>IF(K42="","",K42+0.0000003)</f>
        <v/>
      </c>
      <c r="S42" s="299">
        <f>IF(L42="","",L42+0.0000003)</f>
        <v/>
      </c>
      <c r="T42" s="968">
        <f>B42</f>
        <v/>
      </c>
    </row>
    <row r="43" ht="12.75" customHeight="1">
      <c r="B43" s="1001" t="inlineStr">
        <is>
          <t>OBM Vers (HA)</t>
        </is>
      </c>
      <c r="C43" s="982" t="n"/>
      <c r="D43" s="982" t="n"/>
      <c r="E43" s="1002" t="n"/>
      <c r="F43" s="965" t="n">
        <v>0.84375</v>
      </c>
      <c r="G43" s="966" t="n">
        <v>0.84375</v>
      </c>
      <c r="H43" s="966" t="n">
        <v>0.84375</v>
      </c>
      <c r="I43" s="966" t="n">
        <v>0.84375</v>
      </c>
      <c r="J43" s="966" t="n">
        <v>0.84375</v>
      </c>
      <c r="K43" s="966" t="n">
        <v>0.84375</v>
      </c>
      <c r="L43" s="967" t="n">
        <v>0.84375</v>
      </c>
      <c r="M43" s="299">
        <f>IF(F43="","",F43+0.0000004)</f>
        <v/>
      </c>
      <c r="N43" s="299">
        <f>IF(G43="","",G43+0.0000004)</f>
        <v/>
      </c>
      <c r="O43" s="299">
        <f>IF(H43="","",H43+0.0000004)</f>
        <v/>
      </c>
      <c r="P43" s="299">
        <f>IF(I43="","",I43+0.0000004)</f>
        <v/>
      </c>
      <c r="Q43" s="299">
        <f>IF(J43="","",J43+0.0000004)</f>
        <v/>
      </c>
      <c r="R43" s="299">
        <f>IF(K43="","",K43+0.0000004)</f>
        <v/>
      </c>
      <c r="S43" s="299">
        <f>IF(L43="","",L43+0.0000004)</f>
        <v/>
      </c>
      <c r="T43" s="968">
        <f>B43</f>
        <v/>
      </c>
    </row>
    <row r="44" ht="12.75" customHeight="1">
      <c r="B44" s="997" t="inlineStr">
        <is>
          <t>OBM Vers (BA)</t>
        </is>
      </c>
      <c r="C44" s="970" t="n"/>
      <c r="D44" s="970" t="n"/>
      <c r="E44" s="998" t="n"/>
      <c r="F44" s="972" t="n"/>
      <c r="G44" s="973" t="n"/>
      <c r="H44" s="973" t="n"/>
      <c r="I44" s="973" t="n"/>
      <c r="J44" s="973" t="n"/>
      <c r="K44" s="973" t="n"/>
      <c r="L44" s="974" t="n"/>
      <c r="M44" s="299">
        <f>IF(F44="","",F44+0.0000005)</f>
        <v/>
      </c>
      <c r="N44" s="299">
        <f>IF(G44="","",G44+0.0000005)</f>
        <v/>
      </c>
      <c r="O44" s="299">
        <f>IF(H44="","",H44+0.0000005)</f>
        <v/>
      </c>
      <c r="P44" s="299">
        <f>IF(I44="","",I44+0.0000005)</f>
        <v/>
      </c>
      <c r="Q44" s="299">
        <f>IF(J44="","",J44+0.0000005)</f>
        <v/>
      </c>
      <c r="R44" s="299">
        <f>IF(K44="","",K44+0.0000005)</f>
        <v/>
      </c>
      <c r="S44" s="299">
        <f>IF(L44="","",L44+0.0000005)</f>
        <v/>
      </c>
      <c r="T44" s="968">
        <f>B44</f>
        <v/>
      </c>
    </row>
    <row r="45" ht="12.75" customHeight="1">
      <c r="B45" s="1003" t="inlineStr">
        <is>
          <t>OBM Vers (BA2)</t>
        </is>
      </c>
      <c r="C45" s="985" t="n"/>
      <c r="D45" s="985" t="n"/>
      <c r="E45" s="1004" t="n"/>
      <c r="F45" s="987" t="n"/>
      <c r="G45" s="988" t="n"/>
      <c r="H45" s="988" t="n"/>
      <c r="I45" s="988" t="n"/>
      <c r="J45" s="988" t="n"/>
      <c r="K45" s="988" t="n"/>
      <c r="L45" s="989" t="n"/>
      <c r="M45" s="299">
        <f>IF(F45="","",F45+0.0000006)</f>
        <v/>
      </c>
      <c r="N45" s="299">
        <f>IF(G45="","",G45+0.0000006)</f>
        <v/>
      </c>
      <c r="O45" s="299">
        <f>IF(H45="","",H45+0.0000006)</f>
        <v/>
      </c>
      <c r="P45" s="299">
        <f>IF(I45="","",I45+0.0000006)</f>
        <v/>
      </c>
      <c r="Q45" s="299">
        <f>IF(J45="","",J45+0.0000006)</f>
        <v/>
      </c>
      <c r="R45" s="299">
        <f>IF(K45="","",K45+0.0000006)</f>
        <v/>
      </c>
      <c r="S45" s="299">
        <f>IF(L45="","",L45+0.0000006)</f>
        <v/>
      </c>
      <c r="T45" s="968">
        <f>B45</f>
        <v/>
      </c>
    </row>
    <row r="46" ht="12.75" customHeight="1">
      <c r="B46" s="1005" t="inlineStr">
        <is>
          <t>OBM Diepvries</t>
        </is>
      </c>
      <c r="C46" s="883" t="n"/>
      <c r="D46" s="883" t="n"/>
      <c r="E46" s="884" t="n"/>
      <c r="F46" s="992" t="n">
        <v>0.4166666666666667</v>
      </c>
      <c r="G46" s="993" t="n">
        <v>0.4166666666666667</v>
      </c>
      <c r="H46" s="993" t="n">
        <v>0.4166666666666667</v>
      </c>
      <c r="I46" s="993" t="n">
        <v>0.4166666666666667</v>
      </c>
      <c r="J46" s="993" t="n">
        <v>0.4166666666666667</v>
      </c>
      <c r="K46" s="993" t="n">
        <v>0.4166666666666667</v>
      </c>
      <c r="L46" s="994" t="n">
        <v>0.4166666666666667</v>
      </c>
      <c r="M46" s="299">
        <f>IF(F46="","",F46+0.0000007)</f>
        <v/>
      </c>
      <c r="N46" s="299">
        <f>IF(G46="","",G46+0.0000007)</f>
        <v/>
      </c>
      <c r="O46" s="299">
        <f>IF(H46="","",H46+0.0000007)</f>
        <v/>
      </c>
      <c r="P46" s="299">
        <f>IF(I46="","",I46+0.0000007)</f>
        <v/>
      </c>
      <c r="Q46" s="299">
        <f>IF(J46="","",J46+0.0000007)</f>
        <v/>
      </c>
      <c r="R46" s="299">
        <f>IF(K46="","",K46+0.0000007)</f>
        <v/>
      </c>
      <c r="S46" s="299">
        <f>IF(L46="","",L46+0.0000007)</f>
        <v/>
      </c>
      <c r="T46" s="968">
        <f>B46</f>
        <v/>
      </c>
    </row>
    <row r="47" ht="12.75" customHeight="1">
      <c r="B47" s="990" t="inlineStr">
        <is>
          <t>OBM Brood (HA)</t>
        </is>
      </c>
      <c r="C47" s="883" t="n"/>
      <c r="D47" s="883" t="n"/>
      <c r="E47" s="991" t="n"/>
      <c r="F47" s="992" t="n">
        <v>0.2916666666666667</v>
      </c>
      <c r="G47" s="993" t="n">
        <v>0.2916666666666667</v>
      </c>
      <c r="H47" s="993" t="n">
        <v>0.2916666666666667</v>
      </c>
      <c r="I47" s="993" t="n">
        <v>0.2916666666666667</v>
      </c>
      <c r="J47" s="993" t="n">
        <v>0.2916666666666667</v>
      </c>
      <c r="K47" s="993" t="n">
        <v>0.2916666666666667</v>
      </c>
      <c r="L47" s="994" t="n">
        <v>0.2916666666666667</v>
      </c>
      <c r="M47" s="299">
        <f>IF(F47="","",F47+0.0000008)</f>
        <v/>
      </c>
      <c r="N47" s="299">
        <f>IF(G47="","",G47+0.0000008)</f>
        <v/>
      </c>
      <c r="O47" s="299">
        <f>IF(H47="","",H47+0.0000008)</f>
        <v/>
      </c>
      <c r="P47" s="299">
        <f>IF(I47="","",I47+0.0000008)</f>
        <v/>
      </c>
      <c r="Q47" s="299">
        <f>IF(J47="","",J47+0.0000008)</f>
        <v/>
      </c>
      <c r="R47" s="299">
        <f>IF(K47="","",K47+0.0000008)</f>
        <v/>
      </c>
      <c r="S47" s="299">
        <f>IF(L47="","",L47+0.0000008)</f>
        <v/>
      </c>
      <c r="T47" s="968">
        <f>B47</f>
        <v/>
      </c>
    </row>
    <row r="48" ht="12.75" customHeight="1">
      <c r="Q48" s="74" t="n"/>
    </row>
    <row r="49" ht="12.75" customHeight="1">
      <c r="Q49" s="74" t="n"/>
    </row>
    <row r="50" ht="12.75" customHeight="1">
      <c r="Q50" s="74" t="n"/>
    </row>
    <row r="51" ht="12.75" customHeight="1">
      <c r="Q51" s="74" t="n"/>
    </row>
    <row r="52" ht="12.75" customHeight="1">
      <c r="Q52" s="74" t="n"/>
    </row>
    <row r="53" ht="12.75" customHeight="1">
      <c r="Q53" s="74" t="n"/>
    </row>
    <row r="54" ht="12.75" customHeight="1">
      <c r="Q54" s="74" t="n"/>
    </row>
    <row r="55" ht="12.75" customHeight="1">
      <c r="Q55" s="74" t="n"/>
    </row>
    <row r="56" ht="12.75" customHeight="1">
      <c r="Q56" s="74" t="n"/>
    </row>
    <row r="57" ht="12.75" customHeight="1">
      <c r="Q57" s="74" t="n"/>
    </row>
    <row r="58" ht="12.75" customHeight="1">
      <c r="Q58" s="74" t="n"/>
    </row>
    <row r="59" ht="12.75" customHeight="1">
      <c r="Q59" s="74" t="n"/>
    </row>
    <row r="60" ht="15" customHeight="1">
      <c r="Q60" s="74" t="n"/>
    </row>
    <row r="61" ht="15" customHeight="1">
      <c r="Q61" s="74" t="n"/>
    </row>
    <row r="62" ht="15" customHeight="1">
      <c r="Q62" s="74" t="n"/>
    </row>
    <row r="63" ht="15" customHeight="1">
      <c r="Q63" s="74" t="n"/>
    </row>
    <row r="64" ht="15" customHeight="1">
      <c r="Q64" s="74" t="n"/>
    </row>
    <row r="65" ht="15" customHeight="1">
      <c r="Q65" s="74" t="n"/>
    </row>
    <row r="66" ht="15" customHeight="1">
      <c r="Q66" s="74" t="n"/>
    </row>
    <row r="67" ht="15" customHeight="1">
      <c r="Q67" s="74" t="n"/>
    </row>
    <row r="68" ht="15" customHeight="1">
      <c r="Q68" s="74" t="n"/>
    </row>
    <row r="69" ht="15" customHeight="1">
      <c r="Q69" s="74" t="n"/>
    </row>
  </sheetData>
  <mergeCells count="32">
    <mergeCell ref="B40:E40"/>
    <mergeCell ref="B26:L26"/>
    <mergeCell ref="B30:E30"/>
    <mergeCell ref="C14:D14"/>
    <mergeCell ref="B33:E33"/>
    <mergeCell ref="E14:F14"/>
    <mergeCell ref="B36:E36"/>
    <mergeCell ref="B32:E32"/>
    <mergeCell ref="B45:E45"/>
    <mergeCell ref="B41:E41"/>
    <mergeCell ref="B35:E35"/>
    <mergeCell ref="B19:M19"/>
    <mergeCell ref="B47:E47"/>
    <mergeCell ref="B46:E46"/>
    <mergeCell ref="B22:E22"/>
    <mergeCell ref="B31:E31"/>
    <mergeCell ref="B38:L38"/>
    <mergeCell ref="B43:E43"/>
    <mergeCell ref="B21:E21"/>
    <mergeCell ref="G14:H14"/>
    <mergeCell ref="B28:L28"/>
    <mergeCell ref="I14:J14"/>
    <mergeCell ref="K14:L14"/>
    <mergeCell ref="B42:E42"/>
    <mergeCell ref="B23:E23"/>
    <mergeCell ref="B44:E44"/>
    <mergeCell ref="M14:N14"/>
    <mergeCell ref="O14:P14"/>
    <mergeCell ref="B5:I5"/>
    <mergeCell ref="B37:E37"/>
    <mergeCell ref="B12:P12"/>
    <mergeCell ref="B34:E34"/>
  </mergeCells>
  <conditionalFormatting sqref="M21">
    <cfRule type="cellIs" priority="5" operator="equal" dxfId="22">
      <formula>1</formula>
    </cfRule>
  </conditionalFormatting>
  <conditionalFormatting sqref="M22">
    <cfRule type="cellIs" priority="1" operator="equal" dxfId="21">
      <formula>1</formula>
    </cfRule>
  </conditionalFormatting>
  <dataValidations count="2">
    <dataValidation sqref="I6:I7" showDropDown="0" showInputMessage="1" showErrorMessage="1" allowBlank="1" type="list">
      <formula1>"ja,nee"</formula1>
    </dataValidation>
    <dataValidation sqref="I8" showDropDown="0" showInputMessage="1" showErrorMessage="1" allowBlank="1" type="decimal">
      <formula1>0</formula1>
      <formula2>45</formula2>
    </dataValidation>
  </dataValidations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 codeName="Sheet14">
    <tabColor rgb="FFF1C232"/>
    <outlinePr summaryBelow="0" summaryRight="0"/>
    <pageSetUpPr/>
  </sheetPr>
  <dimension ref="B1:AC72"/>
  <sheetViews>
    <sheetView showGridLines="0" showRowColHeaders="0" zoomScaleNormal="100" workbookViewId="0">
      <pane ySplit="9" topLeftCell="A10" activePane="bottomLeft" state="frozen"/>
      <selection pane="bottomLeft" activeCell="N3" sqref="N3"/>
    </sheetView>
  </sheetViews>
  <sheetFormatPr baseColWidth="8" defaultColWidth="17.28515625" defaultRowHeight="15" customHeight="1"/>
  <cols>
    <col width="2.7109375" customWidth="1" style="264" min="1" max="1"/>
    <col width="8.85546875" customWidth="1" style="264" min="2" max="2"/>
    <col width="20.140625" customWidth="1" style="264" min="3" max="3"/>
    <col width="9.7109375" customWidth="1" style="264" min="4" max="11"/>
    <col width="27.7109375" customWidth="1" style="264" min="12" max="12"/>
    <col width="16.7109375" customWidth="1" style="264" min="13" max="14"/>
    <col width="11.42578125" customWidth="1" style="264" min="15" max="15"/>
    <col width="17.28515625" customWidth="1" style="264" min="16" max="16384"/>
  </cols>
  <sheetData>
    <row r="1" ht="8.1" customHeight="1">
      <c r="B1" s="1006" t="inlineStr">
        <is>
          <t>Begroting</t>
        </is>
      </c>
      <c r="C1" s="264" t="n"/>
      <c r="D1" s="264" t="n"/>
      <c r="E1" s="264" t="n"/>
      <c r="F1" s="264" t="n"/>
      <c r="G1" s="264" t="n"/>
      <c r="H1" s="264" t="n"/>
      <c r="I1" s="264" t="n"/>
      <c r="J1" s="264" t="n"/>
      <c r="K1" s="151" t="n"/>
      <c r="L1" s="151" t="n"/>
      <c r="M1" s="151" t="n"/>
      <c r="N1" s="152" t="n"/>
      <c r="O1" s="1007">
        <f>IFERROR(IF(Access!C4="",0,VLOOKUP(WEEKNUM(Access!C4,21),'Instellingen HIDE'!$L$2:$N$54,3,FALSE)),0)</f>
        <v/>
      </c>
    </row>
    <row r="2" ht="13.5" customHeight="1">
      <c r="B2" s="264" t="n"/>
      <c r="C2" s="264" t="n"/>
      <c r="D2" s="264" t="n"/>
      <c r="E2" s="264" t="n"/>
      <c r="F2" s="264" t="n"/>
      <c r="G2" s="264" t="n"/>
      <c r="H2" s="264" t="n"/>
      <c r="I2" s="264" t="n"/>
      <c r="J2" s="264" t="n"/>
      <c r="K2" s="151" t="n"/>
      <c r="L2" s="216" t="inlineStr">
        <is>
          <t>Standaardomzet</t>
        </is>
      </c>
      <c r="M2" s="1008" t="n">
        <v>369312</v>
      </c>
      <c r="N2" s="217" t="inlineStr">
        <is>
          <t>Simulatie</t>
        </is>
      </c>
      <c r="O2" s="217" t="inlineStr">
        <is>
          <t>Begroting</t>
        </is>
      </c>
    </row>
    <row r="3" ht="13.5" customHeight="1">
      <c r="B3" s="264" t="n"/>
      <c r="C3" s="264" t="n"/>
      <c r="D3" s="264" t="n"/>
      <c r="E3" s="264" t="n"/>
      <c r="F3" s="264" t="n"/>
      <c r="G3" s="264" t="n"/>
      <c r="H3" s="264" t="n"/>
      <c r="I3" s="264" t="n"/>
      <c r="J3" s="264" t="n"/>
      <c r="K3" s="151" t="n"/>
      <c r="L3" s="216" t="inlineStr">
        <is>
          <t>Verwachte omzet</t>
        </is>
      </c>
      <c r="M3" s="1009">
        <f>IF(Access!C4="",IF(Begroting!N3="",Begroting!M2,Begroting!N3),IF(Begroting!N3="",Begroting!O3,Begroting!N3))</f>
        <v/>
      </c>
      <c r="N3" s="257" t="n"/>
      <c r="O3" s="218">
        <f>IFERROR(IF(Access!C4="","basisweek",VLOOKUP(WEEKNUM(Access!C4,21),'Instellingen HIDE'!$L$2:$M$54,2,FALSE)),"basisweek")</f>
        <v/>
      </c>
    </row>
    <row r="4" ht="8.1" customHeight="1">
      <c r="B4" s="264" t="n"/>
      <c r="C4" s="264" t="n"/>
      <c r="D4" s="264" t="n"/>
      <c r="E4" s="264" t="n"/>
      <c r="F4" s="264" t="n"/>
      <c r="G4" s="264" t="n"/>
      <c r="H4" s="264" t="n"/>
      <c r="I4" s="264" t="n"/>
      <c r="J4" s="264" t="n"/>
      <c r="K4" s="151" t="n"/>
      <c r="L4" s="154" t="n"/>
      <c r="M4" s="1010" t="n"/>
      <c r="N4" s="156" t="n"/>
      <c r="O4" s="156" t="n"/>
    </row>
    <row r="5" ht="3" customHeight="1">
      <c r="B5" s="608" t="n"/>
      <c r="C5" s="608" t="n"/>
      <c r="D5" s="608" t="n"/>
      <c r="E5" s="608" t="n"/>
      <c r="F5" s="608" t="n"/>
      <c r="G5" s="608" t="n"/>
      <c r="H5" s="608" t="n"/>
      <c r="I5" s="608" t="n"/>
      <c r="J5" s="608" t="n"/>
      <c r="K5" s="610" t="n"/>
      <c r="L5" s="610" t="n"/>
      <c r="M5" s="610" t="n"/>
      <c r="N5" s="610" t="n"/>
      <c r="O5" s="610" t="n"/>
    </row>
    <row r="6" ht="3" customHeight="1">
      <c r="B6" s="141" t="n"/>
      <c r="C6" s="141" t="n"/>
      <c r="D6" s="141" t="n"/>
      <c r="E6" s="141" t="n"/>
      <c r="F6" s="141" t="n"/>
      <c r="G6" s="141" t="n"/>
      <c r="H6" s="141" t="n"/>
      <c r="I6" s="141" t="n"/>
      <c r="J6" s="141" t="n"/>
      <c r="K6" s="142" t="n"/>
      <c r="L6" s="142" t="n"/>
      <c r="M6" s="142" t="n"/>
      <c r="N6" s="142" t="n"/>
      <c r="O6" s="142" t="n"/>
    </row>
    <row r="7" ht="13.5" customHeight="1" thickBot="1">
      <c r="B7" s="151" t="n"/>
      <c r="C7" s="151" t="n"/>
      <c r="D7" s="151" t="n"/>
      <c r="E7" s="151" t="n"/>
      <c r="F7" s="151" t="n"/>
      <c r="G7" s="151" t="n"/>
      <c r="H7" s="151" t="n"/>
      <c r="I7" s="151" t="n"/>
      <c r="J7" s="151" t="n"/>
      <c r="K7" s="151" t="n"/>
      <c r="L7" s="151" t="n"/>
      <c r="M7" s="151" t="n"/>
      <c r="N7" s="151" t="n"/>
      <c r="O7" s="1011" t="n"/>
    </row>
    <row r="8" ht="13.7" customFormat="1" customHeight="1" s="179">
      <c r="B8" s="1012" t="inlineStr">
        <is>
          <t>Planning</t>
        </is>
      </c>
      <c r="C8" s="931" t="n"/>
      <c r="D8" s="931" t="n"/>
      <c r="E8" s="931" t="n"/>
      <c r="F8" s="931" t="n"/>
      <c r="G8" s="931" t="n"/>
      <c r="H8" s="931" t="n"/>
      <c r="I8" s="931" t="n"/>
      <c r="J8" s="931" t="n"/>
      <c r="K8" s="1013" t="n"/>
      <c r="L8" s="1014" t="inlineStr">
        <is>
          <t>Begroting</t>
        </is>
      </c>
      <c r="M8" s="931" t="n"/>
      <c r="N8" s="1013" t="n"/>
      <c r="O8" s="494" t="inlineStr">
        <is>
          <t>Vergelijking</t>
        </is>
      </c>
      <c r="P8" s="264" t="n"/>
      <c r="Q8" s="264" t="n"/>
      <c r="R8" s="264" t="n"/>
      <c r="S8" s="264" t="n"/>
      <c r="T8" s="264" t="n"/>
      <c r="U8" s="264" t="n"/>
      <c r="V8" s="264" t="n"/>
      <c r="W8" s="264" t="n"/>
      <c r="X8" s="264" t="n"/>
      <c r="Y8" s="264" t="n"/>
      <c r="Z8" s="264" t="n"/>
      <c r="AA8" s="264" t="n"/>
      <c r="AB8" s="264" t="n"/>
      <c r="AC8" s="264" t="n"/>
    </row>
    <row r="9" ht="13.7" customFormat="1" customHeight="1" s="179">
      <c r="B9" s="188" t="inlineStr">
        <is>
          <t>Afkorting</t>
        </is>
      </c>
      <c r="C9" s="189" t="inlineStr">
        <is>
          <t>Omschrijving</t>
        </is>
      </c>
      <c r="D9" s="190" t="inlineStr">
        <is>
          <t>Maandag</t>
        </is>
      </c>
      <c r="E9" s="190" t="inlineStr">
        <is>
          <t>Dinsdag</t>
        </is>
      </c>
      <c r="F9" s="190" t="inlineStr">
        <is>
          <t>Woensdag</t>
        </is>
      </c>
      <c r="G9" s="190" t="inlineStr">
        <is>
          <t>Donderdag</t>
        </is>
      </c>
      <c r="H9" s="191" t="inlineStr">
        <is>
          <t>Vrijdag</t>
        </is>
      </c>
      <c r="I9" s="191" t="inlineStr">
        <is>
          <t>Zaterdag</t>
        </is>
      </c>
      <c r="J9" s="192" t="inlineStr">
        <is>
          <t>Zondag</t>
        </is>
      </c>
      <c r="K9" s="193" t="inlineStr">
        <is>
          <t>Totaal</t>
        </is>
      </c>
      <c r="L9" s="194" t="inlineStr">
        <is>
          <t xml:space="preserve">Omschrijving </t>
        </is>
      </c>
      <c r="M9" s="195" t="inlineStr">
        <is>
          <t>Norm (standaard)</t>
        </is>
      </c>
      <c r="N9" s="500" t="inlineStr">
        <is>
          <t>Norm (verwacht)</t>
        </is>
      </c>
      <c r="O9" s="1015" t="n"/>
    </row>
    <row r="10" ht="13.7" customFormat="1" customHeight="1" s="179">
      <c r="B10" s="196" t="inlineStr">
        <is>
          <t>act</t>
        </is>
      </c>
      <c r="C10" s="1016" t="inlineStr">
        <is>
          <t>Actieopbouw</t>
        </is>
      </c>
      <c r="D10" s="1017">
        <f>Ma!$BA$42</f>
        <v/>
      </c>
      <c r="E10" s="1017">
        <f>Di!$BA$42</f>
        <v/>
      </c>
      <c r="F10" s="1017">
        <f>Wo!$BA$42</f>
        <v/>
      </c>
      <c r="G10" s="1017">
        <f>Do!$BA$42</f>
        <v/>
      </c>
      <c r="H10" s="1017">
        <f>Vr!$BA$42</f>
        <v/>
      </c>
      <c r="I10" s="1017">
        <f>Za!$BA$42</f>
        <v/>
      </c>
      <c r="J10" s="1018">
        <f>Zo!$BA$42</f>
        <v/>
      </c>
      <c r="K10" s="302">
        <f>SUM(D10:J10)</f>
        <v/>
      </c>
      <c r="L10" s="198" t="inlineStr">
        <is>
          <t>Voorber. en afr. houdbaar</t>
        </is>
      </c>
      <c r="M10" s="300" t="n">
        <v>32.12760343516702</v>
      </c>
      <c r="N10" s="271">
        <f>IFERROR(M10*($M$3/$M$2),0)</f>
        <v/>
      </c>
      <c r="O10" s="1019" t="n"/>
    </row>
    <row r="11" ht="13.7" customFormat="1" customHeight="1" s="179">
      <c r="B11" s="196" t="inlineStr">
        <is>
          <t>hl</t>
        </is>
      </c>
      <c r="C11" s="1016" t="inlineStr">
        <is>
          <t>Hardlopers vullen</t>
        </is>
      </c>
      <c r="D11" s="1017">
        <f>Ma!$BA$26</f>
        <v/>
      </c>
      <c r="E11" s="1017">
        <f>Di!$BA$26</f>
        <v/>
      </c>
      <c r="F11" s="1017">
        <f>Wo!$BA$26</f>
        <v/>
      </c>
      <c r="G11" s="1017">
        <f>Do!$BA$26</f>
        <v/>
      </c>
      <c r="H11" s="1017">
        <f>Vr!$BA$26</f>
        <v/>
      </c>
      <c r="I11" s="1017">
        <f>Za!$BA$26</f>
        <v/>
      </c>
      <c r="J11" s="1018">
        <f>Zo!$BA$26</f>
        <v/>
      </c>
      <c r="K11" s="303">
        <f>SUM(D11:J11)</f>
        <v/>
      </c>
      <c r="L11" s="199" t="inlineStr">
        <is>
          <t>Vullen Houdbaar</t>
        </is>
      </c>
      <c r="M11" s="301" t="n">
        <v>233.923215070151</v>
      </c>
      <c r="N11" s="272">
        <f>IFERROR(M11*($M$3/$M$2),0)</f>
        <v/>
      </c>
      <c r="O11" s="1020" t="n"/>
    </row>
    <row r="12" ht="13.7" customFormat="1" customHeight="1" s="179">
      <c r="B12" s="196" t="inlineStr">
        <is>
          <t>hv</t>
        </is>
      </c>
      <c r="C12" s="1016" t="inlineStr">
        <is>
          <t>Houdbaar vullen</t>
        </is>
      </c>
      <c r="D12" s="1017">
        <f>Ma!$BA$14</f>
        <v/>
      </c>
      <c r="E12" s="1017">
        <f>Di!$BA$14</f>
        <v/>
      </c>
      <c r="F12" s="1017">
        <f>Wo!$BA$14</f>
        <v/>
      </c>
      <c r="G12" s="1017">
        <f>Do!$BA$14</f>
        <v/>
      </c>
      <c r="H12" s="1017">
        <f>Vr!$BA$14</f>
        <v/>
      </c>
      <c r="I12" s="1017">
        <f>Za!$BA$14</f>
        <v/>
      </c>
      <c r="J12" s="1018">
        <f>Zo!$BA$14</f>
        <v/>
      </c>
      <c r="K12" s="303">
        <f>SUM(D12:J12)</f>
        <v/>
      </c>
      <c r="L12" s="481" t="inlineStr">
        <is>
          <t>Verzorging</t>
        </is>
      </c>
      <c r="M12" s="460" t="n">
        <v>10.86263365987189</v>
      </c>
      <c r="N12" s="461">
        <f>IF(O1=1,5/6,1)*M12</f>
        <v/>
      </c>
      <c r="O12" s="201" t="n"/>
    </row>
    <row r="13" ht="13.7" customFormat="1" customHeight="1" s="179">
      <c r="B13" s="196" t="inlineStr">
        <is>
          <t>nh</t>
        </is>
      </c>
      <c r="C13" s="1016" t="inlineStr">
        <is>
          <t>Navulling Houdbaar</t>
        </is>
      </c>
      <c r="D13" s="1017">
        <f>Ma!$BA$17</f>
        <v/>
      </c>
      <c r="E13" s="1017">
        <f>Di!$BA$17</f>
        <v/>
      </c>
      <c r="F13" s="1017">
        <f>Wo!$BA$17</f>
        <v/>
      </c>
      <c r="G13" s="1017">
        <f>Do!$BA$17</f>
        <v/>
      </c>
      <c r="H13" s="1017">
        <f>Vr!$BA$17</f>
        <v/>
      </c>
      <c r="I13" s="1017">
        <f>Za!$BA$17</f>
        <v/>
      </c>
      <c r="J13" s="1018">
        <f>Zo!$BA$17</f>
        <v/>
      </c>
      <c r="K13" s="303">
        <f>SUM(D13:J13)</f>
        <v/>
      </c>
      <c r="L13" s="470" t="n"/>
      <c r="M13" s="469" t="n"/>
      <c r="N13" s="465" t="n"/>
      <c r="O13" s="201" t="n"/>
    </row>
    <row r="14" ht="13.7" customFormat="1" customHeight="1" s="179">
      <c r="B14" s="443" t="inlineStr">
        <is>
          <t>rh</t>
        </is>
      </c>
      <c r="C14" s="1021" t="inlineStr">
        <is>
          <t>Restant Houdbaar</t>
        </is>
      </c>
      <c r="D14" s="1022">
        <f>Ma!$BA$20</f>
        <v/>
      </c>
      <c r="E14" s="1022">
        <f>Di!$BA$20</f>
        <v/>
      </c>
      <c r="F14" s="1022">
        <f>Wo!$BA$20</f>
        <v/>
      </c>
      <c r="G14" s="1022">
        <f>Do!$BA$20</f>
        <v/>
      </c>
      <c r="H14" s="1022">
        <f>Vr!$BA$20</f>
        <v/>
      </c>
      <c r="I14" s="1022">
        <f>Za!$BA$20</f>
        <v/>
      </c>
      <c r="J14" s="1023">
        <f>Zo!$BA$20</f>
        <v/>
      </c>
      <c r="K14" s="447">
        <f>SUM(D14:J14)</f>
        <v/>
      </c>
      <c r="L14" s="470" t="n"/>
      <c r="M14" s="469" t="n"/>
      <c r="N14" s="465" t="n"/>
      <c r="O14" s="201" t="n"/>
    </row>
    <row r="15" ht="13.7" customFormat="1" customHeight="1" s="179">
      <c r="B15" s="1024" t="inlineStr">
        <is>
          <t>Totaal</t>
        </is>
      </c>
      <c r="C15" s="1025" t="n"/>
      <c r="D15" s="205">
        <f>SUM(D10:D14)</f>
        <v/>
      </c>
      <c r="E15" s="205">
        <f>SUM(E10:E14)</f>
        <v/>
      </c>
      <c r="F15" s="205">
        <f>SUM(F10:F14)</f>
        <v/>
      </c>
      <c r="G15" s="205">
        <f>SUM(G10:G14)</f>
        <v/>
      </c>
      <c r="H15" s="205">
        <f>SUM(H10:H14)</f>
        <v/>
      </c>
      <c r="I15" s="205">
        <f>SUM(I10:I14)</f>
        <v/>
      </c>
      <c r="J15" s="206">
        <f>SUM(J10:J14)</f>
        <v/>
      </c>
      <c r="K15" s="203">
        <f>SUM(K10:K14)</f>
        <v/>
      </c>
      <c r="L15" s="453" t="inlineStr">
        <is>
          <t>Totaal</t>
        </is>
      </c>
      <c r="M15" s="454">
        <f>SUM(M10:M12)</f>
        <v/>
      </c>
      <c r="N15" s="455">
        <f>SUM(N10:N12)</f>
        <v/>
      </c>
      <c r="O15" s="498">
        <f>N15-K15</f>
        <v/>
      </c>
    </row>
    <row r="16" ht="13.7" customFormat="1" customHeight="1" s="179">
      <c r="B16" s="448" t="inlineStr">
        <is>
          <t>nv</t>
        </is>
      </c>
      <c r="C16" s="1026" t="inlineStr">
        <is>
          <t>Navulling Vers</t>
        </is>
      </c>
      <c r="D16" s="1027">
        <f>Ma!$BA$19</f>
        <v/>
      </c>
      <c r="E16" s="1027">
        <f>Di!$BA$19</f>
        <v/>
      </c>
      <c r="F16" s="1027">
        <f>Wo!$BA$19</f>
        <v/>
      </c>
      <c r="G16" s="1027">
        <f>Do!$BA$19</f>
        <v/>
      </c>
      <c r="H16" s="1027">
        <f>Vr!$BA$19</f>
        <v/>
      </c>
      <c r="I16" s="1027">
        <f>Za!$BA$19</f>
        <v/>
      </c>
      <c r="J16" s="1028">
        <f>Zo!$BA$19</f>
        <v/>
      </c>
      <c r="K16" s="452">
        <f>SUM(D16:J16)</f>
        <v/>
      </c>
      <c r="L16" s="459" t="inlineStr">
        <is>
          <t>Voorber. en afr. Vers</t>
        </is>
      </c>
      <c r="M16" s="300" t="n">
        <v>22.13775563322527</v>
      </c>
      <c r="N16" s="271">
        <f>IFERROR(M16*($M$3/$M$2),0)</f>
        <v/>
      </c>
      <c r="O16" s="201" t="n"/>
    </row>
    <row r="17" ht="13.7" customFormat="1" customHeight="1" s="179">
      <c r="B17" s="196" t="inlineStr">
        <is>
          <t>rv</t>
        </is>
      </c>
      <c r="C17" s="1016" t="inlineStr">
        <is>
          <t>Restant Vers</t>
        </is>
      </c>
      <c r="D17" s="1017">
        <f>Ma!$BA$22</f>
        <v/>
      </c>
      <c r="E17" s="1017">
        <f>Di!$BA$22</f>
        <v/>
      </c>
      <c r="F17" s="1017">
        <f>Wo!$BA$22</f>
        <v/>
      </c>
      <c r="G17" s="1017">
        <f>Do!$BA$22</f>
        <v/>
      </c>
      <c r="H17" s="1017">
        <f>Vr!$BA$22</f>
        <v/>
      </c>
      <c r="I17" s="1017">
        <f>Za!$BA$22</f>
        <v/>
      </c>
      <c r="J17" s="1018">
        <f>Zo!$BA$22</f>
        <v/>
      </c>
      <c r="K17" s="303">
        <f>SUM(D17:J17)</f>
        <v/>
      </c>
      <c r="L17" s="631" t="inlineStr">
        <is>
          <t>Vullen Vers</t>
        </is>
      </c>
      <c r="M17" s="460" t="n">
        <v>165.3099357107614</v>
      </c>
      <c r="N17" s="461">
        <f>IFERROR(M17*($M$3/$M$2),0)</f>
        <v/>
      </c>
      <c r="O17" s="201" t="n"/>
    </row>
    <row r="18" ht="13.7" customFormat="1" customHeight="1" s="179">
      <c r="B18" s="472" t="inlineStr">
        <is>
          <t>vv</t>
        </is>
      </c>
      <c r="C18" s="1029" t="inlineStr">
        <is>
          <t>Vers vullen</t>
        </is>
      </c>
      <c r="D18" s="1030">
        <f>Ma!$BA$16</f>
        <v/>
      </c>
      <c r="E18" s="1030">
        <f>Di!$BA$16</f>
        <v/>
      </c>
      <c r="F18" s="1030">
        <f>Wo!$BA$16</f>
        <v/>
      </c>
      <c r="G18" s="1030">
        <f>Do!$BA$16</f>
        <v/>
      </c>
      <c r="H18" s="1030">
        <f>Vr!$BA$16</f>
        <v/>
      </c>
      <c r="I18" s="1030">
        <f>Za!$BA$16</f>
        <v/>
      </c>
      <c r="J18" s="1031">
        <f>Zo!$BA$16</f>
        <v/>
      </c>
      <c r="K18" s="304">
        <f>SUM(D18:J18)</f>
        <v/>
      </c>
      <c r="L18" s="470" t="n"/>
      <c r="M18" s="469" t="n"/>
      <c r="N18" s="465" t="n"/>
      <c r="O18" s="201" t="n"/>
    </row>
    <row r="19" ht="13.7" customFormat="1" customHeight="1" s="179">
      <c r="B19" s="1024" t="inlineStr">
        <is>
          <t>Totaal</t>
        </is>
      </c>
      <c r="C19" s="1025" t="n"/>
      <c r="D19" s="205">
        <f>SUM(D16:D18)</f>
        <v/>
      </c>
      <c r="E19" s="205">
        <f>SUM(E16:E18)</f>
        <v/>
      </c>
      <c r="F19" s="205">
        <f>SUM(F16:F18)</f>
        <v/>
      </c>
      <c r="G19" s="205">
        <f>SUM(G16:G18)</f>
        <v/>
      </c>
      <c r="H19" s="205">
        <f>SUM(H16:H18)</f>
        <v/>
      </c>
      <c r="I19" s="205">
        <f>SUM(I16:I18)</f>
        <v/>
      </c>
      <c r="J19" s="206">
        <f>SUM(J16:J18)</f>
        <v/>
      </c>
      <c r="K19" s="203">
        <f>SUM(K16:K18)</f>
        <v/>
      </c>
      <c r="L19" s="453" t="inlineStr">
        <is>
          <t>Totaal</t>
        </is>
      </c>
      <c r="M19" s="454">
        <f>SUM(M16:M17)</f>
        <v/>
      </c>
      <c r="N19" s="455">
        <f>SUM(N16:N17)</f>
        <v/>
      </c>
      <c r="O19" s="498">
        <f>N19-K19</f>
        <v/>
      </c>
    </row>
    <row r="20" ht="13.7" customFormat="1" customHeight="1" s="179">
      <c r="B20" s="476" t="inlineStr">
        <is>
          <t>dv</t>
        </is>
      </c>
      <c r="C20" s="1032" t="inlineStr">
        <is>
          <t>Diepvries vullen</t>
        </is>
      </c>
      <c r="D20" s="1033">
        <f>Ma!$BA$15</f>
        <v/>
      </c>
      <c r="E20" s="1033">
        <f>Di!$BA$15</f>
        <v/>
      </c>
      <c r="F20" s="1033">
        <f>Wo!$BA$15</f>
        <v/>
      </c>
      <c r="G20" s="1033">
        <f>Do!$BA$15</f>
        <v/>
      </c>
      <c r="H20" s="1033">
        <f>Vr!$BA$15</f>
        <v/>
      </c>
      <c r="I20" s="1033">
        <f>Za!$BA$15</f>
        <v/>
      </c>
      <c r="J20" s="1034">
        <f>Zo!$BA$15</f>
        <v/>
      </c>
      <c r="K20" s="302">
        <f>SUM(D20:J20)</f>
        <v/>
      </c>
      <c r="L20" s="478" t="inlineStr">
        <is>
          <t>Vullen Diepvries</t>
        </is>
      </c>
      <c r="M20" s="479" t="n">
        <v>10.84461058924857</v>
      </c>
      <c r="N20" s="480">
        <f>IFERROR(M20*($M$3/$M$2),0)</f>
        <v/>
      </c>
      <c r="O20" s="499" t="n"/>
    </row>
    <row r="21" ht="13.7" customFormat="1" customHeight="1" s="179">
      <c r="B21" s="196" t="inlineStr">
        <is>
          <t>nd</t>
        </is>
      </c>
      <c r="C21" s="1016" t="inlineStr">
        <is>
          <t>Navulling Diepvries</t>
        </is>
      </c>
      <c r="D21" s="1017">
        <f>Ma!$BA$18</f>
        <v/>
      </c>
      <c r="E21" s="1017">
        <f>Di!$BA$18</f>
        <v/>
      </c>
      <c r="F21" s="1017">
        <f>Wo!$BA$18</f>
        <v/>
      </c>
      <c r="G21" s="1017">
        <f>Do!$BA$18</f>
        <v/>
      </c>
      <c r="H21" s="1017">
        <f>Vr!$BA$18</f>
        <v/>
      </c>
      <c r="I21" s="1017">
        <f>Za!$BA$18</f>
        <v/>
      </c>
      <c r="J21" s="1018">
        <f>Zo!$BA$18</f>
        <v/>
      </c>
      <c r="K21" s="303">
        <f>SUM(D21:J21)</f>
        <v/>
      </c>
      <c r="L21" s="470" t="n"/>
      <c r="M21" s="469" t="n"/>
      <c r="N21" s="465" t="n"/>
      <c r="O21" s="201" t="n"/>
    </row>
    <row r="22" ht="13.7" customFormat="1" customHeight="1" s="179">
      <c r="B22" s="196" t="inlineStr">
        <is>
          <t>rd</t>
        </is>
      </c>
      <c r="C22" s="1016" t="inlineStr">
        <is>
          <t>Restant Diepvries</t>
        </is>
      </c>
      <c r="D22" s="1017">
        <f>Ma!$BA$21</f>
        <v/>
      </c>
      <c r="E22" s="1017">
        <f>Di!$BA$21</f>
        <v/>
      </c>
      <c r="F22" s="1017">
        <f>Wo!$BA$21</f>
        <v/>
      </c>
      <c r="G22" s="1017">
        <f>Do!$BA$21</f>
        <v/>
      </c>
      <c r="H22" s="1017">
        <f>Vr!$BA$21</f>
        <v/>
      </c>
      <c r="I22" s="1017">
        <f>Za!$BA$21</f>
        <v/>
      </c>
      <c r="J22" s="1018">
        <f>Zo!$BA$21</f>
        <v/>
      </c>
      <c r="K22" s="303">
        <f>SUM(D22:J22)</f>
        <v/>
      </c>
      <c r="L22" s="482" t="n"/>
      <c r="M22" s="483" t="n"/>
      <c r="N22" s="484" t="n"/>
      <c r="O22" s="201" t="n"/>
    </row>
    <row r="23" ht="13.7" customFormat="1" customHeight="1" s="179">
      <c r="B23" s="1024" t="inlineStr">
        <is>
          <t>Totaal</t>
        </is>
      </c>
      <c r="C23" s="1025" t="n"/>
      <c r="D23" s="205">
        <f>SUM(D20:D22)</f>
        <v/>
      </c>
      <c r="E23" s="205">
        <f>SUM(E20:E22)</f>
        <v/>
      </c>
      <c r="F23" s="205">
        <f>SUM(F20:F22)</f>
        <v/>
      </c>
      <c r="G23" s="205">
        <f>SUM(G20:G22)</f>
        <v/>
      </c>
      <c r="H23" s="205">
        <f>SUM(H20:H22)</f>
        <v/>
      </c>
      <c r="I23" s="205">
        <f>SUM(I20:I22)</f>
        <v/>
      </c>
      <c r="J23" s="206">
        <f>SUM(J20:J22)</f>
        <v/>
      </c>
      <c r="K23" s="203">
        <f>SUM(K20:K22)</f>
        <v/>
      </c>
      <c r="L23" s="466" t="inlineStr">
        <is>
          <t>Totaal</t>
        </is>
      </c>
      <c r="M23" s="467">
        <f>M20</f>
        <v/>
      </c>
      <c r="N23" s="468">
        <f>N20</f>
        <v/>
      </c>
      <c r="O23" s="498">
        <f>N23-K23</f>
        <v/>
      </c>
    </row>
    <row r="24" ht="13.7" customFormat="1" customHeight="1" s="179">
      <c r="B24" s="476" t="inlineStr">
        <is>
          <t>l</t>
        </is>
      </c>
      <c r="C24" s="1032" t="inlineStr">
        <is>
          <t>Lossen/Retouren</t>
        </is>
      </c>
      <c r="D24" s="1033">
        <f>Ma!$BA$32</f>
        <v/>
      </c>
      <c r="E24" s="1033">
        <f>Di!$BA$32</f>
        <v/>
      </c>
      <c r="F24" s="1033">
        <f>Wo!$BA$32</f>
        <v/>
      </c>
      <c r="G24" s="1033">
        <f>Do!$BA$32</f>
        <v/>
      </c>
      <c r="H24" s="1033">
        <f>Vr!$BA$32</f>
        <v/>
      </c>
      <c r="I24" s="1033">
        <f>Za!$BA$32</f>
        <v/>
      </c>
      <c r="J24" s="1034">
        <f>Zo!$BA$32</f>
        <v/>
      </c>
      <c r="K24" s="302">
        <f>SUM(D24:J24)</f>
        <v/>
      </c>
      <c r="L24" s="459" t="inlineStr">
        <is>
          <t>Emballage</t>
        </is>
      </c>
      <c r="M24" s="300" t="n">
        <v>3.636392659332508</v>
      </c>
      <c r="N24" s="271">
        <f>IFERROR(M24*($M$3/$M$2),0)</f>
        <v/>
      </c>
      <c r="O24" s="499" t="n"/>
    </row>
    <row r="25" ht="13.7" customFormat="1" customHeight="1" s="179">
      <c r="B25" s="196" t="inlineStr">
        <is>
          <t>ma</t>
        </is>
      </c>
      <c r="C25" s="1016" t="inlineStr">
        <is>
          <t>Magazijn</t>
        </is>
      </c>
      <c r="D25" s="1017">
        <f>Ma!$BA$33</f>
        <v/>
      </c>
      <c r="E25" s="1017">
        <f>Di!$BA$33</f>
        <v/>
      </c>
      <c r="F25" s="1017">
        <f>Wo!$BA$33</f>
        <v/>
      </c>
      <c r="G25" s="1017">
        <f>Do!$BA$33</f>
        <v/>
      </c>
      <c r="H25" s="1017">
        <f>Vr!$BA$33</f>
        <v/>
      </c>
      <c r="I25" s="1017">
        <f>Za!$BA$33</f>
        <v/>
      </c>
      <c r="J25" s="1018">
        <f>Zo!$BA$33</f>
        <v/>
      </c>
      <c r="K25" s="303">
        <f>SUM(D25:J25)</f>
        <v/>
      </c>
      <c r="L25" s="200" t="inlineStr">
        <is>
          <t>Ontvangst en retour</t>
        </is>
      </c>
      <c r="M25" s="301" t="n">
        <v>21.28136259829775</v>
      </c>
      <c r="N25" s="272">
        <f>IFERROR(M25*($M$3/$M$2),0)</f>
        <v/>
      </c>
      <c r="O25" s="201" t="n"/>
    </row>
    <row r="26" ht="13.7" customFormat="1" customHeight="1" s="179">
      <c r="B26" s="1024" t="inlineStr">
        <is>
          <t>Totaal</t>
        </is>
      </c>
      <c r="C26" s="1025" t="n"/>
      <c r="D26" s="205">
        <f>SUM(D24:D25)</f>
        <v/>
      </c>
      <c r="E26" s="205">
        <f>SUM(E24:E25)</f>
        <v/>
      </c>
      <c r="F26" s="205">
        <f>SUM(F24:F25)</f>
        <v/>
      </c>
      <c r="G26" s="205">
        <f>SUM(G24:G25)</f>
        <v/>
      </c>
      <c r="H26" s="205">
        <f>SUM(H24:H25)</f>
        <v/>
      </c>
      <c r="I26" s="205">
        <f>SUM(I24:I25)</f>
        <v/>
      </c>
      <c r="J26" s="206">
        <f>SUM(J24:J25)</f>
        <v/>
      </c>
      <c r="K26" s="203">
        <f>SUM(K24:K25)</f>
        <v/>
      </c>
      <c r="L26" s="453" t="inlineStr">
        <is>
          <t>Totaal</t>
        </is>
      </c>
      <c r="M26" s="454">
        <f>SUM(M24:M25)</f>
        <v/>
      </c>
      <c r="N26" s="455">
        <f>SUM(N24:N25)</f>
        <v/>
      </c>
      <c r="O26" s="498">
        <f>N26-K26</f>
        <v/>
      </c>
    </row>
    <row r="27" ht="13.7" customFormat="1" customHeight="1" s="179">
      <c r="B27" s="196" t="inlineStr">
        <is>
          <t>sp</t>
        </is>
      </c>
      <c r="C27" s="1016" t="inlineStr">
        <is>
          <t>Splitsen</t>
        </is>
      </c>
      <c r="D27" s="1017">
        <f>Ma!$BA$34</f>
        <v/>
      </c>
      <c r="E27" s="1017">
        <f>Di!$BA$34</f>
        <v/>
      </c>
      <c r="F27" s="1017">
        <f>Wo!$BA$34</f>
        <v/>
      </c>
      <c r="G27" s="1017">
        <f>Do!$BA$34</f>
        <v/>
      </c>
      <c r="H27" s="1017">
        <f>Vr!$BA$34</f>
        <v/>
      </c>
      <c r="I27" s="1017">
        <f>Za!$BA$34</f>
        <v/>
      </c>
      <c r="J27" s="1018">
        <f>Zo!$BA$34</f>
        <v/>
      </c>
      <c r="K27" s="303">
        <f>SUM(D27:J27)</f>
        <v/>
      </c>
      <c r="L27" s="200" t="inlineStr">
        <is>
          <t>Splitsen</t>
        </is>
      </c>
      <c r="M27" s="301" t="n">
        <v>28.67038149875528</v>
      </c>
      <c r="N27" s="272">
        <f>IFERROR(M27*($M$3/$M$2),0)</f>
        <v/>
      </c>
      <c r="O27" s="201" t="n"/>
    </row>
    <row r="28" ht="13.7" customFormat="1" customHeight="1" s="179">
      <c r="B28" s="1024" t="inlineStr">
        <is>
          <t>Totaal</t>
        </is>
      </c>
      <c r="C28" s="1025" t="n"/>
      <c r="D28" s="205">
        <f>D27</f>
        <v/>
      </c>
      <c r="E28" s="205">
        <f>E27</f>
        <v/>
      </c>
      <c r="F28" s="205">
        <f>F27</f>
        <v/>
      </c>
      <c r="G28" s="205">
        <f>G27</f>
        <v/>
      </c>
      <c r="H28" s="205">
        <f>H27</f>
        <v/>
      </c>
      <c r="I28" s="205">
        <f>I27</f>
        <v/>
      </c>
      <c r="J28" s="206">
        <f>J27</f>
        <v/>
      </c>
      <c r="K28" s="203">
        <f>K27</f>
        <v/>
      </c>
      <c r="L28" s="453" t="inlineStr">
        <is>
          <t>Totaal</t>
        </is>
      </c>
      <c r="M28" s="454">
        <f>M27</f>
        <v/>
      </c>
      <c r="N28" s="455">
        <f>N27</f>
        <v/>
      </c>
      <c r="O28" s="498">
        <f>N28-K28</f>
        <v/>
      </c>
    </row>
    <row r="29" ht="13.7" customFormat="1" customHeight="1" s="179">
      <c r="B29" s="196" t="inlineStr">
        <is>
          <t>com</t>
        </is>
      </c>
      <c r="C29" s="1016" t="inlineStr">
        <is>
          <t>Comco sorteren</t>
        </is>
      </c>
      <c r="D29" s="1017">
        <f>Ma!$BA$43</f>
        <v/>
      </c>
      <c r="E29" s="1017">
        <f>Di!$BA$43</f>
        <v/>
      </c>
      <c r="F29" s="1017">
        <f>Wo!$BA$43</f>
        <v/>
      </c>
      <c r="G29" s="1017">
        <f>Do!$BA$43</f>
        <v/>
      </c>
      <c r="H29" s="1017">
        <f>Vr!$BA$43</f>
        <v/>
      </c>
      <c r="I29" s="1017">
        <f>Za!$BA$43</f>
        <v/>
      </c>
      <c r="J29" s="1018">
        <f>Zo!$BA$43</f>
        <v/>
      </c>
      <c r="K29" s="303">
        <f>SUM(D29:J29)</f>
        <v/>
      </c>
      <c r="L29" s="478" t="inlineStr">
        <is>
          <t>WAP-uren</t>
        </is>
      </c>
      <c r="M29" s="479" t="n">
        <v>25.17773228140848</v>
      </c>
      <c r="N29" s="480">
        <f>IF(O18=1,5/6,1)*M29</f>
        <v/>
      </c>
      <c r="O29" s="201" t="n"/>
    </row>
    <row r="30" ht="13.7" customFormat="1" customHeight="1" s="179">
      <c r="B30" s="196" t="inlineStr">
        <is>
          <t>pro</t>
        </is>
      </c>
      <c r="C30" s="1016" t="inlineStr">
        <is>
          <t>Promotie</t>
        </is>
      </c>
      <c r="D30" s="1017">
        <f>Ma!$BA$44</f>
        <v/>
      </c>
      <c r="E30" s="1017">
        <f>Di!$BA$44</f>
        <v/>
      </c>
      <c r="F30" s="1017">
        <f>Wo!$BA$44</f>
        <v/>
      </c>
      <c r="G30" s="1017">
        <f>Do!$BA$44</f>
        <v/>
      </c>
      <c r="H30" s="1017">
        <f>Vr!$BA$44</f>
        <v/>
      </c>
      <c r="I30" s="1017">
        <f>Za!$BA$44</f>
        <v/>
      </c>
      <c r="J30" s="1018">
        <f>Zo!$BA$44</f>
        <v/>
      </c>
      <c r="K30" s="303">
        <f>SUM(D30:J30)</f>
        <v/>
      </c>
      <c r="L30" s="470" t="n"/>
      <c r="M30" s="469" t="n"/>
      <c r="N30" s="465" t="n"/>
      <c r="O30" s="201" t="n"/>
    </row>
    <row r="31" ht="13.7" customFormat="1" customHeight="1" s="179">
      <c r="B31" s="196" t="inlineStr">
        <is>
          <t>pw</t>
        </is>
      </c>
      <c r="C31" s="1016" t="inlineStr">
        <is>
          <t>Prijswijzigingen</t>
        </is>
      </c>
      <c r="D31" s="1017">
        <f>Ma!$BA$45</f>
        <v/>
      </c>
      <c r="E31" s="1017">
        <f>Di!$BA$45</f>
        <v/>
      </c>
      <c r="F31" s="1017">
        <f>Wo!$BA$45</f>
        <v/>
      </c>
      <c r="G31" s="1017">
        <f>Do!$BA$45</f>
        <v/>
      </c>
      <c r="H31" s="1017">
        <f>Vr!$BA$45</f>
        <v/>
      </c>
      <c r="I31" s="1017">
        <f>Za!$BA$45</f>
        <v/>
      </c>
      <c r="J31" s="1018">
        <f>Zo!$BA$45</f>
        <v/>
      </c>
      <c r="K31" s="303">
        <f>SUM(D31:J31)</f>
        <v/>
      </c>
      <c r="L31" s="470" t="n"/>
      <c r="M31" s="469" t="n"/>
      <c r="N31" s="465" t="n"/>
      <c r="O31" s="201" t="n"/>
    </row>
    <row r="32" ht="13.7" customFormat="1" customHeight="1" s="179">
      <c r="B32" s="196" t="inlineStr">
        <is>
          <t>us</t>
        </is>
      </c>
      <c r="C32" s="1016" t="inlineStr">
        <is>
          <t>Vervallen artikelen</t>
        </is>
      </c>
      <c r="D32" s="1017">
        <f>Ma!$BA$39</f>
        <v/>
      </c>
      <c r="E32" s="1017">
        <f>Di!$BA$39</f>
        <v/>
      </c>
      <c r="F32" s="1017">
        <f>Wo!$BA$39</f>
        <v/>
      </c>
      <c r="G32" s="1017">
        <f>Do!$BA$39</f>
        <v/>
      </c>
      <c r="H32" s="1017">
        <f>Vr!$BA$39</f>
        <v/>
      </c>
      <c r="I32" s="1017">
        <f>Za!$BA$39</f>
        <v/>
      </c>
      <c r="J32" s="1018">
        <f>Zo!$BA$39</f>
        <v/>
      </c>
      <c r="K32" s="303">
        <f>SUM(D32:J32)</f>
        <v/>
      </c>
      <c r="L32" s="470" t="n"/>
      <c r="M32" s="469" t="n"/>
      <c r="N32" s="465" t="n"/>
      <c r="O32" s="201" t="n"/>
    </row>
    <row r="33" ht="13.7" customFormat="1" customHeight="1" s="179">
      <c r="B33" s="196" t="inlineStr">
        <is>
          <t>wap</t>
        </is>
      </c>
      <c r="C33" s="1016" t="inlineStr">
        <is>
          <t>WAP uitvoeren</t>
        </is>
      </c>
      <c r="D33" s="1017">
        <f>Ma!$BA$46</f>
        <v/>
      </c>
      <c r="E33" s="1017">
        <f>Di!$BA$46</f>
        <v/>
      </c>
      <c r="F33" s="1017">
        <f>Wo!$BA$46</f>
        <v/>
      </c>
      <c r="G33" s="1017">
        <f>Do!$BA$46</f>
        <v/>
      </c>
      <c r="H33" s="1017">
        <f>Vr!$BA$46</f>
        <v/>
      </c>
      <c r="I33" s="1017">
        <f>Za!$BA$46</f>
        <v/>
      </c>
      <c r="J33" s="1018">
        <f>Zo!$BA$46</f>
        <v/>
      </c>
      <c r="K33" s="303">
        <f>SUM(D33:J33)</f>
        <v/>
      </c>
      <c r="L33" s="482" t="n"/>
      <c r="M33" s="483" t="n"/>
      <c r="N33" s="484" t="n"/>
      <c r="O33" s="201" t="n"/>
    </row>
    <row r="34" ht="13.7" customFormat="1" customHeight="1" s="179">
      <c r="B34" s="1024" t="inlineStr">
        <is>
          <t>Totaal</t>
        </is>
      </c>
      <c r="C34" s="1025" t="n"/>
      <c r="D34" s="205">
        <f>SUM(D29:D33)</f>
        <v/>
      </c>
      <c r="E34" s="205">
        <f>SUM(E29:E33)</f>
        <v/>
      </c>
      <c r="F34" s="205">
        <f>SUM(F29:F33)</f>
        <v/>
      </c>
      <c r="G34" s="205">
        <f>SUM(G29:G33)</f>
        <v/>
      </c>
      <c r="H34" s="205">
        <f>SUM(H29:H33)</f>
        <v/>
      </c>
      <c r="I34" s="205">
        <f>SUM(I29:I33)</f>
        <v/>
      </c>
      <c r="J34" s="206">
        <f>SUM(J29:J33)</f>
        <v/>
      </c>
      <c r="K34" s="203">
        <f>SUM(K29:K33)</f>
        <v/>
      </c>
      <c r="L34" s="453" t="inlineStr">
        <is>
          <t>Totaal</t>
        </is>
      </c>
      <c r="M34" s="454">
        <f>M29</f>
        <v/>
      </c>
      <c r="N34" s="455">
        <f>N29</f>
        <v/>
      </c>
      <c r="O34" s="498">
        <f>N34-K34</f>
        <v/>
      </c>
    </row>
    <row r="35" ht="13.7" customFormat="1" customHeight="1" s="179">
      <c r="B35" s="196" t="inlineStr">
        <is>
          <t>bl</t>
        </is>
      </c>
      <c r="C35" s="1016" t="inlineStr">
        <is>
          <t>Bepalen langrestant</t>
        </is>
      </c>
      <c r="D35" s="1017">
        <f>Ma!$BA$25</f>
        <v/>
      </c>
      <c r="E35" s="1017">
        <f>Di!$BA$25</f>
        <v/>
      </c>
      <c r="F35" s="1017">
        <f>Wo!$BA$25</f>
        <v/>
      </c>
      <c r="G35" s="1017">
        <f>Do!$BA$25</f>
        <v/>
      </c>
      <c r="H35" s="1017">
        <f>Vr!$BA$25</f>
        <v/>
      </c>
      <c r="I35" s="1017">
        <f>Za!$BA$25</f>
        <v/>
      </c>
      <c r="J35" s="1018">
        <f>Zo!$BA$25</f>
        <v/>
      </c>
      <c r="K35" s="303">
        <f>SUM(D35:J35)</f>
        <v/>
      </c>
      <c r="L35" s="200" t="inlineStr">
        <is>
          <t>Voorraad controle</t>
        </is>
      </c>
      <c r="M35" s="301" t="n">
        <v>19.66220898899291</v>
      </c>
      <c r="N35" s="272">
        <f>IF(O24=1,5/6,1)*M35</f>
        <v/>
      </c>
      <c r="O35" s="201" t="n"/>
    </row>
    <row r="36" ht="13.7" customFormat="1" customHeight="1" s="179">
      <c r="B36" s="196" t="inlineStr">
        <is>
          <t>br</t>
        </is>
      </c>
      <c r="C36" s="1016" t="inlineStr">
        <is>
          <t>Bepalen restant</t>
        </is>
      </c>
      <c r="D36" s="1017">
        <f>Ma!$BA$24</f>
        <v/>
      </c>
      <c r="E36" s="1017">
        <f>Di!$BA$24</f>
        <v/>
      </c>
      <c r="F36" s="1017">
        <f>Wo!$BA$24</f>
        <v/>
      </c>
      <c r="G36" s="1017">
        <f>Do!$BA$24</f>
        <v/>
      </c>
      <c r="H36" s="1017">
        <f>Vr!$BA$24</f>
        <v/>
      </c>
      <c r="I36" s="1017">
        <f>Za!$BA$24</f>
        <v/>
      </c>
      <c r="J36" s="1018">
        <f>Zo!$BA$24</f>
        <v/>
      </c>
      <c r="K36" s="303">
        <f>SUM(D36:J36)</f>
        <v/>
      </c>
      <c r="L36" s="481" t="inlineStr">
        <is>
          <t>Voorraad op orde</t>
        </is>
      </c>
      <c r="M36" s="460" t="n">
        <v>5.424844430974844</v>
      </c>
      <c r="N36" s="461">
        <f>IFERROR(M36*($M$3/$M$2),0)</f>
        <v/>
      </c>
      <c r="O36" s="201" t="n"/>
    </row>
    <row r="37" ht="13.7" customFormat="1" customHeight="1" s="179">
      <c r="B37" s="196" t="inlineStr">
        <is>
          <t>ldv</t>
        </is>
      </c>
      <c r="C37" s="1016" t="inlineStr">
        <is>
          <t>Neeverkoop Diepvries</t>
        </is>
      </c>
      <c r="D37" s="1017">
        <f>Ma!$BA$28</f>
        <v/>
      </c>
      <c r="E37" s="1017">
        <f>Di!$BA$28</f>
        <v/>
      </c>
      <c r="F37" s="1017">
        <f>Wo!$BA$28</f>
        <v/>
      </c>
      <c r="G37" s="1017">
        <f>Do!$BA$28</f>
        <v/>
      </c>
      <c r="H37" s="1017">
        <f>Vr!$BA$28</f>
        <v/>
      </c>
      <c r="I37" s="1017">
        <f>Za!$BA$28</f>
        <v/>
      </c>
      <c r="J37" s="1018">
        <f>Zo!$BA$28</f>
        <v/>
      </c>
      <c r="K37" s="303">
        <f>SUM(D37:J37)</f>
        <v/>
      </c>
      <c r="L37" s="470" t="n"/>
      <c r="M37" s="469" t="n"/>
      <c r="N37" s="465" t="n"/>
      <c r="O37" s="201" t="n"/>
    </row>
    <row r="38" ht="13.7" customFormat="1" customHeight="1" s="179">
      <c r="B38" s="196" t="inlineStr">
        <is>
          <t>lhb</t>
        </is>
      </c>
      <c r="C38" s="1016" t="inlineStr">
        <is>
          <t>Neeverkoop Houdbaar</t>
        </is>
      </c>
      <c r="D38" s="1017">
        <f>Ma!$BA$27</f>
        <v/>
      </c>
      <c r="E38" s="1017">
        <f>Di!$BA$27</f>
        <v/>
      </c>
      <c r="F38" s="1017">
        <f>Wo!$BA$27</f>
        <v/>
      </c>
      <c r="G38" s="1017">
        <f>Do!$BA$27</f>
        <v/>
      </c>
      <c r="H38" s="1017">
        <f>Vr!$BA$27</f>
        <v/>
      </c>
      <c r="I38" s="1017">
        <f>Za!$BA$27</f>
        <v/>
      </c>
      <c r="J38" s="1018">
        <f>Zo!$BA$27</f>
        <v/>
      </c>
      <c r="K38" s="303">
        <f>SUM(D38:J38)</f>
        <v/>
      </c>
      <c r="L38" s="470" t="n"/>
      <c r="M38" s="469" t="n"/>
      <c r="N38" s="465" t="n"/>
      <c r="O38" s="201" t="n"/>
    </row>
    <row r="39" ht="13.7" customFormat="1" customHeight="1" s="179">
      <c r="B39" s="196" t="inlineStr">
        <is>
          <t>lvv</t>
        </is>
      </c>
      <c r="C39" s="1016" t="inlineStr">
        <is>
          <t>Neeverkoop Vers</t>
        </is>
      </c>
      <c r="D39" s="1017">
        <f>Ma!$BA$29</f>
        <v/>
      </c>
      <c r="E39" s="1017">
        <f>Di!$BA$29</f>
        <v/>
      </c>
      <c r="F39" s="1017">
        <f>Wo!$BA$29</f>
        <v/>
      </c>
      <c r="G39" s="1017">
        <f>Do!$BA$29</f>
        <v/>
      </c>
      <c r="H39" s="1017">
        <f>Vr!$BA$29</f>
        <v/>
      </c>
      <c r="I39" s="1017">
        <f>Za!$BA$29</f>
        <v/>
      </c>
      <c r="J39" s="1018">
        <f>Zo!$BA$29</f>
        <v/>
      </c>
      <c r="K39" s="303">
        <f>SUM(D39:J39)</f>
        <v/>
      </c>
      <c r="L39" s="470" t="n"/>
      <c r="M39" s="469" t="n"/>
      <c r="N39" s="465" t="n"/>
      <c r="O39" s="201" t="n"/>
    </row>
    <row r="40" ht="13.7" customFormat="1" customHeight="1" s="179">
      <c r="B40" s="196" t="inlineStr">
        <is>
          <t>vcr</t>
        </is>
      </c>
      <c r="C40" s="1016" t="inlineStr">
        <is>
          <t>Risicoartikelen tellen</t>
        </is>
      </c>
      <c r="D40" s="1017">
        <f>Ma!$BA$30</f>
        <v/>
      </c>
      <c r="E40" s="1017">
        <f>Di!$BA$30</f>
        <v/>
      </c>
      <c r="F40" s="1017">
        <f>Wo!$BA$30</f>
        <v/>
      </c>
      <c r="G40" s="1017">
        <f>Do!$BA$30</f>
        <v/>
      </c>
      <c r="H40" s="1017">
        <f>Vr!$BA$30</f>
        <v/>
      </c>
      <c r="I40" s="1017">
        <f>Za!$BA$30</f>
        <v/>
      </c>
      <c r="J40" s="1018">
        <f>Zo!$BA$30</f>
        <v/>
      </c>
      <c r="K40" s="303">
        <f>SUM(D40:J40)</f>
        <v/>
      </c>
      <c r="L40" s="482" t="n"/>
      <c r="M40" s="483" t="n"/>
      <c r="N40" s="484" t="n"/>
      <c r="O40" s="201" t="n"/>
    </row>
    <row r="41" ht="13.7" customFormat="1" customHeight="1" s="179">
      <c r="B41" s="1024" t="inlineStr">
        <is>
          <t>Totaal</t>
        </is>
      </c>
      <c r="C41" s="1025" t="n"/>
      <c r="D41" s="205">
        <f>SUM(D35:D40)</f>
        <v/>
      </c>
      <c r="E41" s="205">
        <f>SUM(E35:E40)</f>
        <v/>
      </c>
      <c r="F41" s="205">
        <f>SUM(F35:F40)</f>
        <v/>
      </c>
      <c r="G41" s="205">
        <f>SUM(G35:G40)</f>
        <v/>
      </c>
      <c r="H41" s="205">
        <f>SUM(H35:H40)</f>
        <v/>
      </c>
      <c r="I41" s="205">
        <f>SUM(I35:I40)</f>
        <v/>
      </c>
      <c r="J41" s="206">
        <f>SUM(J35:J40)</f>
        <v/>
      </c>
      <c r="K41" s="203">
        <f>SUM(K35:K40)</f>
        <v/>
      </c>
      <c r="L41" s="453" t="inlineStr">
        <is>
          <t>Totaal</t>
        </is>
      </c>
      <c r="M41" s="454">
        <f>SUM(M35:M36)</f>
        <v/>
      </c>
      <c r="N41" s="455">
        <f>SUM(N35:N36)</f>
        <v/>
      </c>
      <c r="O41" s="498">
        <f>N41-K41</f>
        <v/>
      </c>
    </row>
    <row r="42" ht="13.7" customFormat="1" customHeight="1" s="179">
      <c r="B42" s="196" t="inlineStr">
        <is>
          <t>afp</t>
        </is>
      </c>
      <c r="C42" s="1016" t="inlineStr">
        <is>
          <t>Afprijzen</t>
        </is>
      </c>
      <c r="D42" s="1017">
        <f>Ma!$BA$36</f>
        <v/>
      </c>
      <c r="E42" s="1017">
        <f>Di!$BA$36</f>
        <v/>
      </c>
      <c r="F42" s="1017">
        <f>Wo!$BA$36</f>
        <v/>
      </c>
      <c r="G42" s="1017">
        <f>Do!$BA$36</f>
        <v/>
      </c>
      <c r="H42" s="1017">
        <f>Vr!$BA$36</f>
        <v/>
      </c>
      <c r="I42" s="1017">
        <f>Za!$BA$36</f>
        <v/>
      </c>
      <c r="J42" s="1018">
        <f>Zo!$BA$36</f>
        <v/>
      </c>
      <c r="K42" s="303">
        <f>SUM(D42:J42)</f>
        <v/>
      </c>
      <c r="L42" s="478" t="inlineStr">
        <is>
          <t>Codecontrole</t>
        </is>
      </c>
      <c r="M42" s="479" t="n">
        <v>23.70411918801501</v>
      </c>
      <c r="N42" s="480">
        <f>IF(O31=1,5/6,1)*M42</f>
        <v/>
      </c>
      <c r="O42" s="201" t="n"/>
    </row>
    <row r="43" ht="13.7" customFormat="1" customHeight="1" s="179">
      <c r="B43" s="196" t="inlineStr">
        <is>
          <t>cb</t>
        </is>
      </c>
      <c r="C43" s="1016" t="inlineStr">
        <is>
          <t>Codeboek</t>
        </is>
      </c>
      <c r="D43" s="1017">
        <f>Ma!$BA$37</f>
        <v/>
      </c>
      <c r="E43" s="1017">
        <f>Di!$BA$37</f>
        <v/>
      </c>
      <c r="F43" s="1017">
        <f>Wo!$BA$37</f>
        <v/>
      </c>
      <c r="G43" s="1017">
        <f>Do!$BA$37</f>
        <v/>
      </c>
      <c r="H43" s="1017">
        <f>Vr!$BA$37</f>
        <v/>
      </c>
      <c r="I43" s="1017">
        <f>Za!$BA$37</f>
        <v/>
      </c>
      <c r="J43" s="1018">
        <f>Zo!$BA$37</f>
        <v/>
      </c>
      <c r="K43" s="303">
        <f>SUM(D43:J43)</f>
        <v/>
      </c>
      <c r="L43" s="470" t="n"/>
      <c r="M43" s="469" t="n"/>
      <c r="N43" s="465" t="n"/>
      <c r="O43" s="201" t="n"/>
    </row>
    <row r="44" ht="13.7" customFormat="1" customHeight="1" s="179">
      <c r="B44" s="196" t="inlineStr">
        <is>
          <t>nr</t>
        </is>
      </c>
      <c r="C44" s="1016" t="inlineStr">
        <is>
          <t>Naloopronde</t>
        </is>
      </c>
      <c r="D44" s="1017">
        <f>Ma!$BA$38</f>
        <v/>
      </c>
      <c r="E44" s="1017">
        <f>Di!$BA$38</f>
        <v/>
      </c>
      <c r="F44" s="1017">
        <f>Wo!$BA$38</f>
        <v/>
      </c>
      <c r="G44" s="1017">
        <f>Do!$BA$38</f>
        <v/>
      </c>
      <c r="H44" s="1017">
        <f>Vr!$BA$38</f>
        <v/>
      </c>
      <c r="I44" s="1017">
        <f>Za!$BA$38</f>
        <v/>
      </c>
      <c r="J44" s="1018">
        <f>Zo!$BA$38</f>
        <v/>
      </c>
      <c r="K44" s="303">
        <f>SUM(D44:J44)</f>
        <v/>
      </c>
      <c r="L44" s="470" t="n"/>
      <c r="M44" s="469" t="n"/>
      <c r="N44" s="465" t="n"/>
      <c r="O44" s="201" t="n"/>
    </row>
    <row r="45" ht="13.7" customFormat="1" customHeight="1" s="179">
      <c r="B45" s="196" t="inlineStr">
        <is>
          <t>ver</t>
        </is>
      </c>
      <c r="C45" s="1016" t="inlineStr">
        <is>
          <t>Vernietigen/Reststoffen</t>
        </is>
      </c>
      <c r="D45" s="1017">
        <f>Ma!$BA$40</f>
        <v/>
      </c>
      <c r="E45" s="1017">
        <f>Di!$BA$40</f>
        <v/>
      </c>
      <c r="F45" s="1017">
        <f>Wo!$BA$40</f>
        <v/>
      </c>
      <c r="G45" s="1017">
        <f>Do!$BA$40</f>
        <v/>
      </c>
      <c r="H45" s="1017">
        <f>Vr!$BA$40</f>
        <v/>
      </c>
      <c r="I45" s="1017">
        <f>Za!$BA$40</f>
        <v/>
      </c>
      <c r="J45" s="1018">
        <f>Zo!$BA$40</f>
        <v/>
      </c>
      <c r="K45" s="303">
        <f>SUM(D45:J45)</f>
        <v/>
      </c>
      <c r="L45" s="482" t="n"/>
      <c r="M45" s="483" t="n"/>
      <c r="N45" s="484" t="n"/>
      <c r="O45" s="201" t="n"/>
    </row>
    <row r="46" ht="13.7" customFormat="1" customHeight="1" s="179">
      <c r="B46" s="1024" t="inlineStr">
        <is>
          <t>Totaal</t>
        </is>
      </c>
      <c r="C46" s="1025" t="n"/>
      <c r="D46" s="205">
        <f>SUM(D42:D45)</f>
        <v/>
      </c>
      <c r="E46" s="205">
        <f>SUM(E42:E45)</f>
        <v/>
      </c>
      <c r="F46" s="205">
        <f>SUM(F42:F45)</f>
        <v/>
      </c>
      <c r="G46" s="205">
        <f>SUM(G42:G45)</f>
        <v/>
      </c>
      <c r="H46" s="205">
        <f>SUM(H42:H45)</f>
        <v/>
      </c>
      <c r="I46" s="205">
        <f>SUM(I42:I45)</f>
        <v/>
      </c>
      <c r="J46" s="206">
        <f>SUM(J42:J45)</f>
        <v/>
      </c>
      <c r="K46" s="203">
        <f>SUM(K42:K45)</f>
        <v/>
      </c>
      <c r="L46" s="453" t="inlineStr">
        <is>
          <t>Totaal</t>
        </is>
      </c>
      <c r="M46" s="454">
        <f>M42</f>
        <v/>
      </c>
      <c r="N46" s="455">
        <f>N42</f>
        <v/>
      </c>
      <c r="O46" s="498">
        <f>N46-K46</f>
        <v/>
      </c>
    </row>
    <row r="47" ht="13.7" customFormat="1" customHeight="1" s="179">
      <c r="B47" s="196" t="inlineStr">
        <is>
          <t>mt</t>
        </is>
      </c>
      <c r="C47" s="1016" t="inlineStr">
        <is>
          <t>MT of CKW-overleg</t>
        </is>
      </c>
      <c r="D47" s="1017">
        <f>Ma!$BA$49</f>
        <v/>
      </c>
      <c r="E47" s="1017">
        <f>Di!$BA$49</f>
        <v/>
      </c>
      <c r="F47" s="1017">
        <f>Wo!$BA$49</f>
        <v/>
      </c>
      <c r="G47" s="1017">
        <f>Do!$BA$49</f>
        <v/>
      </c>
      <c r="H47" s="1017">
        <f>Vr!$BA$49</f>
        <v/>
      </c>
      <c r="I47" s="1017">
        <f>Za!$BA$49</f>
        <v/>
      </c>
      <c r="J47" s="1018">
        <f>Zo!$BA$49</f>
        <v/>
      </c>
      <c r="K47" s="303">
        <f>SUM(D47:J47)</f>
        <v/>
      </c>
      <c r="L47" s="478" t="inlineStr">
        <is>
          <t>Leiding Operatie</t>
        </is>
      </c>
      <c r="M47" s="479" t="n">
        <v>110.5978204015231</v>
      </c>
      <c r="N47" s="480">
        <f>IF(O36=1,5/6,1)*M47</f>
        <v/>
      </c>
      <c r="O47" s="201" t="n"/>
    </row>
    <row r="48" ht="13.7" customFormat="1" customHeight="1" s="179">
      <c r="B48" s="196" t="inlineStr">
        <is>
          <t>prt</t>
        </is>
      </c>
      <c r="C48" s="1016" t="inlineStr">
        <is>
          <t>Protime</t>
        </is>
      </c>
      <c r="D48" s="1017">
        <f>Ma!$BA$51</f>
        <v/>
      </c>
      <c r="E48" s="1017">
        <f>Di!$BA$51</f>
        <v/>
      </c>
      <c r="F48" s="1017">
        <f>Wo!$BA$51</f>
        <v/>
      </c>
      <c r="G48" s="1017">
        <f>Do!$BA$51</f>
        <v/>
      </c>
      <c r="H48" s="1017">
        <f>Vr!$BA$51</f>
        <v/>
      </c>
      <c r="I48" s="1017">
        <f>Za!$BA$51</f>
        <v/>
      </c>
      <c r="J48" s="1018">
        <f>Zo!$BA$51</f>
        <v/>
      </c>
      <c r="K48" s="303">
        <f>SUM(D48:J48)</f>
        <v/>
      </c>
      <c r="L48" s="470" t="n"/>
      <c r="M48" s="469" t="n"/>
      <c r="N48" s="465" t="n"/>
      <c r="O48" s="201" t="n"/>
    </row>
    <row r="49" ht="13.7" customFormat="1" customHeight="1" s="179">
      <c r="B49" s="196" t="inlineStr">
        <is>
          <t>sl</t>
        </is>
      </c>
      <c r="C49" s="1016" t="inlineStr">
        <is>
          <t>Shift leiden</t>
        </is>
      </c>
      <c r="D49" s="1017">
        <f>Ma!$BA$52</f>
        <v/>
      </c>
      <c r="E49" s="1017">
        <f>Di!$BA$52</f>
        <v/>
      </c>
      <c r="F49" s="1017">
        <f>Wo!$BA$52</f>
        <v/>
      </c>
      <c r="G49" s="1017">
        <f>Do!$BA$52</f>
        <v/>
      </c>
      <c r="H49" s="1017">
        <f>Vr!$BA$52</f>
        <v/>
      </c>
      <c r="I49" s="1017">
        <f>Za!$BA$52</f>
        <v/>
      </c>
      <c r="J49" s="1018">
        <f>Zo!$BA$52</f>
        <v/>
      </c>
      <c r="K49" s="303">
        <f>SUM(D49:J49)</f>
        <v/>
      </c>
      <c r="L49" s="470" t="n"/>
      <c r="M49" s="469" t="n"/>
      <c r="N49" s="465" t="n"/>
      <c r="O49" s="201" t="n"/>
    </row>
    <row r="50" ht="13.7" customFormat="1" customHeight="1" s="179">
      <c r="B50" s="196" t="inlineStr">
        <is>
          <t>vp</t>
        </is>
      </c>
      <c r="C50" s="1016" t="inlineStr">
        <is>
          <t>Vulshiftplanning</t>
        </is>
      </c>
      <c r="D50" s="1017">
        <f>Ma!$BA$53</f>
        <v/>
      </c>
      <c r="E50" s="1017">
        <f>Di!$BA$53</f>
        <v/>
      </c>
      <c r="F50" s="1017">
        <f>Wo!$BA$53</f>
        <v/>
      </c>
      <c r="G50" s="1017">
        <f>Do!$BA$53</f>
        <v/>
      </c>
      <c r="H50" s="1017">
        <f>Vr!$BA$53</f>
        <v/>
      </c>
      <c r="I50" s="1017">
        <f>Za!$BA$53</f>
        <v/>
      </c>
      <c r="J50" s="1018">
        <f>Zo!$BA$53</f>
        <v/>
      </c>
      <c r="K50" s="303">
        <f>SUM(D50:J50)</f>
        <v/>
      </c>
      <c r="L50" s="470" t="n"/>
      <c r="M50" s="469" t="n"/>
      <c r="N50" s="465" t="n"/>
      <c r="O50" s="201" t="n"/>
    </row>
    <row r="51" ht="13.7" customFormat="1" customHeight="1" s="179">
      <c r="B51" s="196" t="inlineStr">
        <is>
          <t>wp</t>
        </is>
      </c>
      <c r="C51" s="1016" t="inlineStr">
        <is>
          <t>Weekplanning</t>
        </is>
      </c>
      <c r="D51" s="1017">
        <f>Ma!$BA$55</f>
        <v/>
      </c>
      <c r="E51" s="1017">
        <f>Di!$BA$55</f>
        <v/>
      </c>
      <c r="F51" s="1017">
        <f>Wo!$BA$55</f>
        <v/>
      </c>
      <c r="G51" s="1017">
        <f>Do!$BA$55</f>
        <v/>
      </c>
      <c r="H51" s="1017">
        <f>Vr!$BA$55</f>
        <v/>
      </c>
      <c r="I51" s="1017">
        <f>Za!$BA$55</f>
        <v/>
      </c>
      <c r="J51" s="1018">
        <f>Zo!$BA$55</f>
        <v/>
      </c>
      <c r="K51" s="303">
        <f>SUM(D51:J51)</f>
        <v/>
      </c>
      <c r="L51" s="470" t="n"/>
      <c r="M51" s="469" t="n"/>
      <c r="N51" s="465" t="n"/>
      <c r="O51" s="201" t="n"/>
    </row>
    <row r="52" ht="13.7" customFormat="1" customHeight="1" s="179">
      <c r="B52" s="1024" t="inlineStr">
        <is>
          <t>Totaal</t>
        </is>
      </c>
      <c r="C52" s="1025" t="n"/>
      <c r="D52" s="205">
        <f>SUM(D47:D51)</f>
        <v/>
      </c>
      <c r="E52" s="205">
        <f>SUM(E47:E51)</f>
        <v/>
      </c>
      <c r="F52" s="205">
        <f>SUM(F47:F51)</f>
        <v/>
      </c>
      <c r="G52" s="205">
        <f>SUM(G47:G51)</f>
        <v/>
      </c>
      <c r="H52" s="205">
        <f>SUM(H47:H51)</f>
        <v/>
      </c>
      <c r="I52" s="205">
        <f>SUM(I47:I51)</f>
        <v/>
      </c>
      <c r="J52" s="206">
        <f>SUM(J47:J51)</f>
        <v/>
      </c>
      <c r="K52" s="203">
        <f>SUM(K47:K51)</f>
        <v/>
      </c>
      <c r="L52" s="453" t="inlineStr">
        <is>
          <t>Totaal</t>
        </is>
      </c>
      <c r="M52" s="454">
        <f>M47</f>
        <v/>
      </c>
      <c r="N52" s="455">
        <f>N47</f>
        <v/>
      </c>
      <c r="O52" s="498">
        <f>N52-K52</f>
        <v/>
      </c>
    </row>
    <row r="53" ht="13.7" customFormat="1" customHeight="1" s="179">
      <c r="B53" s="486" t="inlineStr">
        <is>
          <t>km</t>
        </is>
      </c>
      <c r="C53" s="1035" t="inlineStr">
        <is>
          <t>Kwaliteitsmedewerker</t>
        </is>
      </c>
      <c r="D53" s="1036">
        <f>Ma!$BA$48</f>
        <v/>
      </c>
      <c r="E53" s="1036">
        <f>Di!$BA$48</f>
        <v/>
      </c>
      <c r="F53" s="1036">
        <f>Wo!$BA$48</f>
        <v/>
      </c>
      <c r="G53" s="1036">
        <f>Do!$BA$48</f>
        <v/>
      </c>
      <c r="H53" s="1036">
        <f>Vr!$BA$48</f>
        <v/>
      </c>
      <c r="I53" s="1036">
        <f>Za!$BA$48</f>
        <v/>
      </c>
      <c r="J53" s="1037">
        <f>Zo!$BA$48</f>
        <v/>
      </c>
      <c r="K53" s="490">
        <f>SUM(D53:J53)</f>
        <v/>
      </c>
      <c r="L53" s="491" t="inlineStr">
        <is>
          <t>Dienstruimten en magazijn</t>
        </is>
      </c>
      <c r="M53" s="301" t="n">
        <v>11.62049182218853</v>
      </c>
      <c r="N53" s="272">
        <f>IF(O42=1,5/6,1)*M53</f>
        <v/>
      </c>
      <c r="O53" s="201" t="n"/>
    </row>
    <row r="54" ht="13.7" customFormat="1" customHeight="1" s="179">
      <c r="B54" s="475" t="n"/>
      <c r="C54" s="1038" t="n"/>
      <c r="D54" s="1039" t="n"/>
      <c r="E54" s="1039" t="n"/>
      <c r="F54" s="1039" t="n"/>
      <c r="G54" s="1039" t="n"/>
      <c r="H54" s="1039" t="n"/>
      <c r="I54" s="1039" t="n"/>
      <c r="J54" s="1039" t="n"/>
      <c r="K54" s="1040" t="n"/>
      <c r="L54" s="492" t="inlineStr">
        <is>
          <t>Diepvries schoonmaken</t>
        </is>
      </c>
      <c r="M54" s="301" t="n">
        <v>1.62097440273282</v>
      </c>
      <c r="N54" s="272">
        <f>IF(O43=1,5/6,1)*M54</f>
        <v/>
      </c>
      <c r="O54" s="201" t="n"/>
    </row>
    <row r="55" ht="13.7" customFormat="1" customHeight="1" s="179">
      <c r="B55" s="475" t="n"/>
      <c r="C55" s="1038" t="n"/>
      <c r="D55" s="1039" t="n"/>
      <c r="E55" s="1039" t="n"/>
      <c r="F55" s="1039" t="n"/>
      <c r="G55" s="1039" t="n"/>
      <c r="H55" s="1039" t="n"/>
      <c r="I55" s="1039" t="n"/>
      <c r="J55" s="1039" t="n"/>
      <c r="K55" s="1040" t="n"/>
      <c r="L55" s="492" t="inlineStr">
        <is>
          <t>HACCP borging</t>
        </is>
      </c>
      <c r="M55" s="301" t="n">
        <v>1.599922787112913</v>
      </c>
      <c r="N55" s="272">
        <f>IF(O44=1,5/6,1)*M55</f>
        <v/>
      </c>
      <c r="O55" s="201" t="n"/>
    </row>
    <row r="56" ht="13.7" customFormat="1" customHeight="1" s="179">
      <c r="B56" s="475" t="n"/>
      <c r="C56" s="1038" t="n"/>
      <c r="D56" s="1039" t="n"/>
      <c r="E56" s="1039" t="n"/>
      <c r="F56" s="1039" t="n"/>
      <c r="G56" s="1039" t="n"/>
      <c r="H56" s="1039" t="n"/>
      <c r="I56" s="1039" t="n"/>
      <c r="J56" s="1039" t="n"/>
      <c r="K56" s="1040" t="n"/>
      <c r="L56" s="492" t="inlineStr">
        <is>
          <t>Houdbaar schoonmaken</t>
        </is>
      </c>
      <c r="M56" s="301" t="n">
        <v>23.78832565049463</v>
      </c>
      <c r="N56" s="272">
        <f>IF(O45=1,5/6,1)*M56</f>
        <v/>
      </c>
      <c r="O56" s="201" t="n"/>
    </row>
    <row r="57" ht="13.7" customFormat="1" customHeight="1" s="179">
      <c r="B57" s="475" t="n"/>
      <c r="C57" s="1038" t="n"/>
      <c r="D57" s="1039" t="n"/>
      <c r="E57" s="1039" t="n"/>
      <c r="F57" s="1039" t="n"/>
      <c r="G57" s="1039" t="n"/>
      <c r="H57" s="1039" t="n"/>
      <c r="I57" s="1039" t="n"/>
      <c r="J57" s="1039" t="n"/>
      <c r="K57" s="1040" t="n"/>
      <c r="L57" s="492" t="inlineStr">
        <is>
          <t>Kassa en counter schoonmaken</t>
        </is>
      </c>
      <c r="M57" s="301" t="n">
        <v>1.473613093393473</v>
      </c>
      <c r="N57" s="272">
        <f>IF(O46=1,5/6,1)*M57</f>
        <v/>
      </c>
      <c r="O57" s="201" t="n"/>
    </row>
    <row r="58" ht="13.7" customFormat="1" customHeight="1" s="179">
      <c r="B58" s="475" t="n"/>
      <c r="C58" s="1038" t="n"/>
      <c r="D58" s="1039" t="n"/>
      <c r="E58" s="1039" t="n"/>
      <c r="F58" s="1039" t="n"/>
      <c r="G58" s="1039" t="n"/>
      <c r="H58" s="1039" t="n"/>
      <c r="I58" s="1039" t="n"/>
      <c r="J58" s="1039" t="n"/>
      <c r="K58" s="1040" t="n"/>
      <c r="L58" s="492" t="inlineStr">
        <is>
          <t>Vers schoonmaken</t>
        </is>
      </c>
      <c r="M58" s="301" t="n">
        <v>40.8190826869992</v>
      </c>
      <c r="N58" s="272">
        <f>IF(O47=1,5/6,1)*M58</f>
        <v/>
      </c>
      <c r="O58" s="201" t="n"/>
    </row>
    <row r="59" ht="13.7" customFormat="1" customHeight="1" s="179">
      <c r="B59" s="475" t="n"/>
      <c r="C59" s="1038" t="n"/>
      <c r="D59" s="1039" t="n"/>
      <c r="E59" s="1039" t="n"/>
      <c r="F59" s="1039" t="n"/>
      <c r="G59" s="1039" t="n"/>
      <c r="H59" s="1039" t="n"/>
      <c r="I59" s="1039" t="n"/>
      <c r="J59" s="1039" t="n"/>
      <c r="K59" s="1040" t="n"/>
      <c r="L59" s="493" t="inlineStr">
        <is>
          <t>Winkel en omgeving schoonmaken</t>
        </is>
      </c>
      <c r="M59" s="301" t="n">
        <v>11.24156274103021</v>
      </c>
      <c r="N59" s="272">
        <f>IF(O48=1,5/6,1)*M59</f>
        <v/>
      </c>
      <c r="O59" s="201" t="n"/>
    </row>
    <row r="60" ht="13.7" customFormat="1" customHeight="1" s="179">
      <c r="B60" s="1024" t="inlineStr">
        <is>
          <t>Totaal</t>
        </is>
      </c>
      <c r="C60" s="1025" t="n"/>
      <c r="D60" s="205">
        <f>SUM(D53)</f>
        <v/>
      </c>
      <c r="E60" s="205">
        <f>SUM(E53)</f>
        <v/>
      </c>
      <c r="F60" s="205">
        <f>SUM(F53)</f>
        <v/>
      </c>
      <c r="G60" s="205">
        <f>SUM(G53)</f>
        <v/>
      </c>
      <c r="H60" s="205">
        <f>SUM(H53)</f>
        <v/>
      </c>
      <c r="I60" s="205">
        <f>SUM(I53)</f>
        <v/>
      </c>
      <c r="J60" s="206">
        <f>SUM(J53)</f>
        <v/>
      </c>
      <c r="K60" s="203">
        <f>SUM(K53)</f>
        <v/>
      </c>
      <c r="L60" s="453" t="inlineStr">
        <is>
          <t>Totaal</t>
        </is>
      </c>
      <c r="M60" s="454">
        <f>SUM(M53:M59)</f>
        <v/>
      </c>
      <c r="N60" s="455">
        <f>SUM(N53:N59)</f>
        <v/>
      </c>
      <c r="O60" s="498">
        <f>N60-K60</f>
        <v/>
      </c>
    </row>
    <row r="61" ht="13.7" customFormat="1" customHeight="1" s="179">
      <c r="B61" s="196" t="inlineStr">
        <is>
          <t>afw</t>
        </is>
      </c>
      <c r="C61" s="1016" t="inlineStr">
        <is>
          <t>Afwezig</t>
        </is>
      </c>
      <c r="D61" s="1017">
        <f>Ma!$BA$63</f>
        <v/>
      </c>
      <c r="E61" s="1017">
        <f>Di!$BA$63</f>
        <v/>
      </c>
      <c r="F61" s="1017">
        <f>Wo!$BA$63</f>
        <v/>
      </c>
      <c r="G61" s="1017">
        <f>Do!$BA$63</f>
        <v/>
      </c>
      <c r="H61" s="1017">
        <f>Vr!$BA$63</f>
        <v/>
      </c>
      <c r="I61" s="1017">
        <f>Za!$BA$63</f>
        <v/>
      </c>
      <c r="J61" s="1018">
        <f>Zo!$BA$63</f>
        <v/>
      </c>
      <c r="K61" s="303">
        <f>SUM(D61:J61)</f>
        <v/>
      </c>
      <c r="L61" s="200" t="inlineStr">
        <is>
          <t>Winkelspecifiek</t>
        </is>
      </c>
      <c r="M61" s="301" t="n">
        <v>0</v>
      </c>
      <c r="N61" s="272">
        <f>M61</f>
        <v/>
      </c>
      <c r="O61" s="201" t="n"/>
    </row>
    <row r="62" ht="13.7" customFormat="1" customHeight="1" s="179">
      <c r="B62" s="196" t="inlineStr">
        <is>
          <t>ov</t>
        </is>
      </c>
      <c r="C62" s="1016" t="inlineStr">
        <is>
          <t>Overig</t>
        </is>
      </c>
      <c r="D62" s="1017">
        <f>Ma!$BA$50</f>
        <v/>
      </c>
      <c r="E62" s="1017">
        <f>Di!$BA$50</f>
        <v/>
      </c>
      <c r="F62" s="1017">
        <f>Wo!$BA$50</f>
        <v/>
      </c>
      <c r="G62" s="1017">
        <f>Do!$BA$50</f>
        <v/>
      </c>
      <c r="H62" s="1017">
        <f>Vr!$BA$50</f>
        <v/>
      </c>
      <c r="I62" s="1017">
        <f>Za!$BA$50</f>
        <v/>
      </c>
      <c r="J62" s="1018">
        <f>Zo!$BA$50</f>
        <v/>
      </c>
      <c r="K62" s="303">
        <f>SUM(D62:J62)</f>
        <v/>
      </c>
      <c r="L62" s="481" t="inlineStr">
        <is>
          <t>Transfer-uren</t>
        </is>
      </c>
      <c r="M62" s="535" t="n">
        <v>0</v>
      </c>
      <c r="N62" s="461">
        <f>M62</f>
        <v/>
      </c>
      <c r="O62" s="201" t="n"/>
    </row>
    <row r="63" ht="13.7" customFormat="1" customHeight="1" s="179">
      <c r="B63" s="196" t="inlineStr">
        <is>
          <t>wh</t>
        </is>
      </c>
      <c r="C63" s="1016" t="inlineStr">
        <is>
          <t>Winkelwagens halen</t>
        </is>
      </c>
      <c r="D63" s="1017">
        <f>Ma!$BA$54</f>
        <v/>
      </c>
      <c r="E63" s="1017">
        <f>Di!$BA$54</f>
        <v/>
      </c>
      <c r="F63" s="1017">
        <f>Wo!$BA$54</f>
        <v/>
      </c>
      <c r="G63" s="1017">
        <f>Do!$BA$54</f>
        <v/>
      </c>
      <c r="H63" s="1017">
        <f>Vr!$BA$54</f>
        <v/>
      </c>
      <c r="I63" s="1017">
        <f>Za!$BA$54</f>
        <v/>
      </c>
      <c r="J63" s="1018">
        <f>Zo!$BA$54</f>
        <v/>
      </c>
      <c r="K63" s="303">
        <f>SUM(D63:J63)</f>
        <v/>
      </c>
      <c r="L63" s="470" t="n"/>
      <c r="M63" s="469" t="n"/>
      <c r="N63" s="465" t="n"/>
      <c r="O63" s="201" t="n"/>
    </row>
    <row r="64" ht="13.7" customFormat="1" customHeight="1" s="179">
      <c r="B64" s="196" t="inlineStr">
        <is>
          <t>wv</t>
        </is>
      </c>
      <c r="C64" s="1016" t="inlineStr">
        <is>
          <t>Winkelverzorging</t>
        </is>
      </c>
      <c r="D64" s="1017">
        <f>Ma!$BA$56</f>
        <v/>
      </c>
      <c r="E64" s="1017">
        <f>Di!$BA$56</f>
        <v/>
      </c>
      <c r="F64" s="1017">
        <f>Wo!$BA$56</f>
        <v/>
      </c>
      <c r="G64" s="1017">
        <f>Do!$BA$56</f>
        <v/>
      </c>
      <c r="H64" s="1017">
        <f>Vr!$BA$56</f>
        <v/>
      </c>
      <c r="I64" s="1017">
        <f>Za!$BA$56</f>
        <v/>
      </c>
      <c r="J64" s="1018">
        <f>Zo!$BA$56</f>
        <v/>
      </c>
      <c r="K64" s="303">
        <f>SUM(D64:J64)</f>
        <v/>
      </c>
      <c r="L64" s="470" t="n"/>
      <c r="M64" s="469" t="n"/>
      <c r="N64" s="465" t="n"/>
      <c r="O64" s="201" t="n"/>
    </row>
    <row r="65" ht="13.7" customFormat="1" customHeight="1" s="179">
      <c r="B65" s="196" t="inlineStr">
        <is>
          <t>pup</t>
        </is>
      </c>
      <c r="C65" s="1016" t="inlineStr">
        <is>
          <t>Pick-Up-Point</t>
        </is>
      </c>
      <c r="D65" s="1017">
        <f>Ma!$BA$57</f>
        <v/>
      </c>
      <c r="E65" s="1017">
        <f>Di!$BA$57</f>
        <v/>
      </c>
      <c r="F65" s="1017">
        <f>Wo!$BA$57</f>
        <v/>
      </c>
      <c r="G65" s="1017">
        <f>Do!$BA$57</f>
        <v/>
      </c>
      <c r="H65" s="1017">
        <f>Vr!$BA$57</f>
        <v/>
      </c>
      <c r="I65" s="1017">
        <f>Za!$BA$57</f>
        <v/>
      </c>
      <c r="J65" s="1018">
        <f>Zo!$BA$57</f>
        <v/>
      </c>
      <c r="K65" s="303">
        <f>SUM(D65:J65)</f>
        <v/>
      </c>
      <c r="L65" s="470" t="n"/>
      <c r="M65" s="469" t="n"/>
      <c r="N65" s="465" t="n"/>
      <c r="O65" s="201" t="n"/>
    </row>
    <row r="66" ht="13.7" customFormat="1" customHeight="1" s="179">
      <c r="B66" s="196" t="n"/>
      <c r="C66" s="1016" t="n"/>
      <c r="D66" s="1017">
        <f>IFERROR(Ma!$BA$58,0)</f>
        <v/>
      </c>
      <c r="E66" s="1017">
        <f>IFERROR(Di!$BA$58,0)</f>
        <v/>
      </c>
      <c r="F66" s="1017">
        <f>IFERROR(Wo!$BA$58,0)</f>
        <v/>
      </c>
      <c r="G66" s="1017">
        <f>IFERROR(Do!$BA$58,0)</f>
        <v/>
      </c>
      <c r="H66" s="1017">
        <f>IFERROR(Vr!$BA$58,0)</f>
        <v/>
      </c>
      <c r="I66" s="1017">
        <f>IFERROR(Za!$BA$58,0)</f>
        <v/>
      </c>
      <c r="J66" s="1018">
        <f>IFERROR(Zo!$BA$58,0)</f>
        <v/>
      </c>
      <c r="K66" s="303">
        <f>SUM(D66:J66)</f>
        <v/>
      </c>
      <c r="L66" s="470" t="n"/>
      <c r="M66" s="469" t="n"/>
      <c r="N66" s="465" t="n"/>
      <c r="O66" s="201" t="n"/>
    </row>
    <row r="67" ht="13.7" customFormat="1" customHeight="1" s="179">
      <c r="B67" s="196" t="n"/>
      <c r="C67" s="1016" t="n"/>
      <c r="D67" s="1017">
        <f>IFERROR(Ma!$BA$59,0)</f>
        <v/>
      </c>
      <c r="E67" s="1017">
        <f>IFERROR(Di!$BA$59,0)</f>
        <v/>
      </c>
      <c r="F67" s="1017">
        <f>IFERROR(Wo!$BA$59,0)</f>
        <v/>
      </c>
      <c r="G67" s="1017">
        <f>IFERROR(Do!$BA$59,0)</f>
        <v/>
      </c>
      <c r="H67" s="1017">
        <f>IFERROR(Vr!$BA$59,0)</f>
        <v/>
      </c>
      <c r="I67" s="1017">
        <f>IFERROR(Za!$BA$59,0)</f>
        <v/>
      </c>
      <c r="J67" s="1018">
        <f>IFERROR(Zo!$BA$59,0)</f>
        <v/>
      </c>
      <c r="K67" s="303">
        <f>SUM(D67:J67)</f>
        <v/>
      </c>
      <c r="L67" s="470" t="n"/>
      <c r="M67" s="469" t="n"/>
      <c r="N67" s="465" t="n"/>
      <c r="O67" s="201" t="n"/>
    </row>
    <row r="68" ht="13.7" customFormat="1" customHeight="1" s="179">
      <c r="B68" s="196" t="n"/>
      <c r="C68" s="1016" t="n"/>
      <c r="D68" s="1017">
        <f>IFERROR(Ma!$BA$60,0)</f>
        <v/>
      </c>
      <c r="E68" s="1017">
        <f>IFERROR(Di!$BA$60,0)</f>
        <v/>
      </c>
      <c r="F68" s="1017">
        <f>IFERROR(Wo!$BA$60,0)</f>
        <v/>
      </c>
      <c r="G68" s="1017">
        <f>IFERROR(Do!$BA$60,0)</f>
        <v/>
      </c>
      <c r="H68" s="1017">
        <f>IFERROR(Vr!$BA$60,0)</f>
        <v/>
      </c>
      <c r="I68" s="1017">
        <f>IFERROR(Za!$BA$60,0)</f>
        <v/>
      </c>
      <c r="J68" s="1018">
        <f>IFERROR(Zo!$BA$60,0)</f>
        <v/>
      </c>
      <c r="K68" s="303">
        <f>SUM(D68:J68)</f>
        <v/>
      </c>
      <c r="L68" s="470" t="n"/>
      <c r="M68" s="469" t="n"/>
      <c r="N68" s="465" t="n"/>
      <c r="O68" s="201" t="n"/>
    </row>
    <row r="69" ht="13.7" customFormat="1" customHeight="1" s="179">
      <c r="B69" s="471" t="inlineStr">
        <is>
          <t>---</t>
        </is>
      </c>
      <c r="C69" s="1016" t="inlineStr">
        <is>
          <t>Taken zonder legenda</t>
        </is>
      </c>
      <c r="D69" s="1017">
        <f>Ma!$BA$65</f>
        <v/>
      </c>
      <c r="E69" s="1017">
        <f>Di!$BA$65</f>
        <v/>
      </c>
      <c r="F69" s="1017">
        <f>Wo!$BA$65</f>
        <v/>
      </c>
      <c r="G69" s="1017">
        <f>Do!$BA$65</f>
        <v/>
      </c>
      <c r="H69" s="1017">
        <f>Vr!$BA$65</f>
        <v/>
      </c>
      <c r="I69" s="1017">
        <f>Za!$BA$65</f>
        <v/>
      </c>
      <c r="J69" s="1018">
        <f>Zo!$BA$65</f>
        <v/>
      </c>
      <c r="K69" s="303">
        <f>SUM(D69:J69)</f>
        <v/>
      </c>
      <c r="L69" s="482" t="n"/>
      <c r="M69" s="483" t="n"/>
      <c r="N69" s="484" t="n"/>
      <c r="O69" s="201" t="n"/>
    </row>
    <row r="70" ht="13.7" customFormat="1" customHeight="1" s="179">
      <c r="B70" s="1024" t="inlineStr">
        <is>
          <t>Totaal</t>
        </is>
      </c>
      <c r="C70" s="1025" t="n"/>
      <c r="D70" s="205">
        <f>SUM(D62:D69)</f>
        <v/>
      </c>
      <c r="E70" s="205">
        <f>SUM(E62:E69)</f>
        <v/>
      </c>
      <c r="F70" s="205">
        <f>SUM(F62:F69)</f>
        <v/>
      </c>
      <c r="G70" s="205">
        <f>SUM(G62:G69)</f>
        <v/>
      </c>
      <c r="H70" s="205">
        <f>SUM(H62:H69)</f>
        <v/>
      </c>
      <c r="I70" s="205">
        <f>SUM(I62:I69)</f>
        <v/>
      </c>
      <c r="J70" s="206">
        <f>SUM(J62:J69)</f>
        <v/>
      </c>
      <c r="K70" s="203">
        <f>SUM(K62:K69)</f>
        <v/>
      </c>
      <c r="L70" s="453" t="inlineStr">
        <is>
          <t>Totaal</t>
        </is>
      </c>
      <c r="M70" s="454">
        <f>SUM(M61:M62)</f>
        <v/>
      </c>
      <c r="N70" s="455">
        <f>SUM(N61:N62)</f>
        <v/>
      </c>
      <c r="O70" s="498">
        <f>N70-K70</f>
        <v/>
      </c>
    </row>
    <row r="71" ht="13.7" customFormat="1" customHeight="1" s="180" thickBot="1">
      <c r="B71" s="1041" t="inlineStr">
        <is>
          <t>Totaal</t>
        </is>
      </c>
      <c r="C71" s="1042" t="n"/>
      <c r="D71" s="209">
        <f>SUM(D70,D60,D52,D46,D41,D34,D28,D26,D23,D19,D15)</f>
        <v/>
      </c>
      <c r="E71" s="209">
        <f>SUM(E70,E60,E52,E46,E41,E34,E28,E26,E23,E19,E15)</f>
        <v/>
      </c>
      <c r="F71" s="209">
        <f>SUM(F70,F60,F52,F46,F41,F34,F28,F26,F23,F19,F15)</f>
        <v/>
      </c>
      <c r="G71" s="209">
        <f>SUM(G70,G60,G52,G46,G41,G34,G28,G26,G23,G19,G15)</f>
        <v/>
      </c>
      <c r="H71" s="209">
        <f>SUM(H70,H60,H52,H46,H41,H34,H28,H26,H23,H19,H15)</f>
        <v/>
      </c>
      <c r="I71" s="209">
        <f>SUM(I70,I60,I52,I46,I41,I34,I28,I26,I23,I19,I15)</f>
        <v/>
      </c>
      <c r="J71" s="210">
        <f>SUM(J70,J60,J52,J46,J41,J34,J28,J26,J23,J19,J15)</f>
        <v/>
      </c>
      <c r="K71" s="211">
        <f>SUM(K70,K60,K52,K46,K41,K34,K28,K26,K23,K19,K15)</f>
        <v/>
      </c>
      <c r="L71" s="212" t="inlineStr">
        <is>
          <t>Totaal</t>
        </is>
      </c>
      <c r="M71" s="213">
        <f>SUM(M70,M60,M52,M46,M41,M34,M28,M26,M23,M19,M15)</f>
        <v/>
      </c>
      <c r="N71" s="214">
        <f>SUM(N70,N60,N52,N46,N41,N34,N28,N26,N23,N19,N15)</f>
        <v/>
      </c>
      <c r="O71" s="215">
        <f>N71-K71</f>
        <v/>
      </c>
    </row>
    <row r="72" ht="15" customHeight="1">
      <c r="B72" s="310" t="n"/>
      <c r="C72" s="310" t="n"/>
      <c r="D72" s="310" t="n"/>
      <c r="E72" s="310" t="n"/>
      <c r="F72" s="310" t="n"/>
      <c r="G72" s="310" t="n"/>
      <c r="H72" s="310" t="n"/>
      <c r="I72" s="310" t="n"/>
      <c r="J72" s="310" t="n"/>
      <c r="K72" s="310" t="n"/>
    </row>
  </sheetData>
  <mergeCells count="3">
    <mergeCell ref="L8:N8"/>
    <mergeCell ref="B1:J4"/>
    <mergeCell ref="B8:K8"/>
  </mergeCells>
  <conditionalFormatting sqref="D10:J14 D16:J18 D20:J22 D24:J25 D27:J27 D29:J33 D35:J40 D42:J45 D47:J51 D53:J53">
    <cfRule type="cellIs" priority="2" operator="equal" dxfId="19">
      <formula>0</formula>
    </cfRule>
  </conditionalFormatting>
  <conditionalFormatting sqref="D61:J69">
    <cfRule type="cellIs" priority="1" operator="equal" dxfId="19">
      <formula>0</formula>
    </cfRule>
  </conditionalFormatting>
  <conditionalFormatting sqref="O15 O19 O23 O26 O70:O71">
    <cfRule type="cellIs" priority="29" operator="lessThan" dxfId="18">
      <formula>0</formula>
    </cfRule>
  </conditionalFormatting>
  <pageMargins left="0.7" right="0.7" top="0.75" bottom="0.75" header="0.3" footer="0.3"/>
  <pageSetup orientation="portrait" paperSize="9" horizontalDpi="4294967293" verticalDpi="0"/>
</worksheet>
</file>

<file path=xl/worksheets/sheet15.xml><?xml version="1.0" encoding="utf-8"?>
<worksheet xmlns="http://schemas.openxmlformats.org/spreadsheetml/2006/main">
  <sheetPr codeName="Sheet16">
    <tabColor rgb="FF7030A0"/>
    <outlinePr summaryBelow="0" summaryRight="0"/>
    <pageSetUpPr fitToPage="1"/>
  </sheetPr>
  <dimension ref="A1:I177"/>
  <sheetViews>
    <sheetView showGridLines="0" showRowColHeaders="0" topLeftCell="E1" workbookViewId="0">
      <selection activeCell="E2" sqref="E2:F2"/>
    </sheetView>
  </sheetViews>
  <sheetFormatPr baseColWidth="8" defaultColWidth="17.28515625" defaultRowHeight="15" customHeight="1"/>
  <cols>
    <col hidden="1" width="4" customWidth="1" style="1" min="1" max="1"/>
    <col hidden="1" width="11.28515625" customWidth="1" style="1" min="2" max="2"/>
    <col hidden="1" width="5.7109375" customWidth="1" style="1" min="3" max="3"/>
    <col hidden="1" width="8.7109375" customWidth="1" style="1" min="4" max="4"/>
    <col width="5.7109375" customWidth="1" style="1" min="5" max="5"/>
    <col width="74.28515625" customWidth="1" style="1" min="6" max="6"/>
    <col width="5" customWidth="1" style="1" min="7" max="7"/>
    <col width="25.140625" customWidth="1" style="1" min="8" max="8"/>
    <col width="15" customWidth="1" style="1" min="9" max="9"/>
    <col width="17.28515625" customWidth="1" style="1" min="10" max="16384"/>
  </cols>
  <sheetData>
    <row r="1" ht="8.1" customHeight="1">
      <c r="E1" s="385" t="n"/>
      <c r="F1" s="385" t="n"/>
      <c r="G1" s="385" t="n"/>
      <c r="H1" s="396" t="n"/>
      <c r="I1" s="386" t="n"/>
    </row>
    <row r="2" ht="27" customHeight="1">
      <c r="A2" s="79" t="n"/>
      <c r="B2" s="79" t="n"/>
      <c r="C2" s="79" t="n"/>
      <c r="D2" s="80" t="n"/>
      <c r="E2" s="1043">
        <f>CONCATENATE("Werkschema Operatie week ",IF(Access!C4="","BASIS",CONCATENATE(WEEKNUM(Access!C4,21)," - ",YEAR(Access!C4+3))))</f>
        <v/>
      </c>
      <c r="F2" s="1044" t="n"/>
      <c r="G2" s="394" t="inlineStr">
        <is>
          <t>Dag:</t>
        </is>
      </c>
      <c r="H2" s="397" t="inlineStr">
        <is>
          <t>Maandag</t>
        </is>
      </c>
      <c r="I2" s="395" t="n"/>
    </row>
    <row r="3" ht="8.1" customHeight="1">
      <c r="A3" s="79" t="n"/>
      <c r="B3" s="79" t="n"/>
      <c r="C3" s="79" t="n"/>
      <c r="D3" s="80" t="n"/>
    </row>
    <row r="4" ht="3" customHeight="1">
      <c r="A4" s="79" t="n"/>
      <c r="B4" s="79" t="n"/>
      <c r="C4" s="79" t="n"/>
      <c r="D4" s="80" t="n"/>
      <c r="E4" s="1045" t="n"/>
      <c r="F4" s="620" t="n"/>
      <c r="G4" s="621" t="n"/>
      <c r="H4" s="622" t="n"/>
      <c r="I4" s="621" t="n"/>
    </row>
    <row r="5" ht="3" customHeight="1">
      <c r="A5" s="79" t="n"/>
      <c r="B5" s="79" t="n"/>
      <c r="C5" s="79" t="n"/>
      <c r="D5" s="80" t="n"/>
      <c r="E5" s="1046" t="n"/>
      <c r="F5" s="616" t="n"/>
      <c r="G5" s="617" t="n"/>
      <c r="H5" s="618" t="n"/>
      <c r="I5" s="617" t="n"/>
    </row>
    <row r="6" ht="15" customHeight="1">
      <c r="A6" s="81" t="n"/>
      <c r="B6" s="81" t="n"/>
      <c r="C6" s="81" t="n"/>
      <c r="D6" s="82" t="n"/>
      <c r="E6" s="1047" t="n"/>
      <c r="F6" s="391" t="n"/>
      <c r="G6" s="392" t="n"/>
      <c r="H6" s="393">
        <f>IF(H2="Maandag",0,IF(H2="Dinsdag",1,IF(H2="Woensdag",2,IF(H2="Donderdag",3,IF(H2="Vrijdag",4,IF(H2="Zaterdag",5,6))))))</f>
        <v/>
      </c>
      <c r="I6" s="391" t="n"/>
    </row>
    <row r="7" ht="15" customHeight="1">
      <c r="A7" s="83" t="n"/>
      <c r="B7" s="83" t="inlineStr">
        <is>
          <t>Herkenning schifttaak</t>
        </is>
      </c>
      <c r="C7" s="83" t="inlineStr">
        <is>
          <t>Verschil taak -1</t>
        </is>
      </c>
      <c r="D7" s="84" t="inlineStr">
        <is>
          <t>Rekentijd</t>
        </is>
      </c>
      <c r="E7" s="1048" t="inlineStr">
        <is>
          <t>Tijd</t>
        </is>
      </c>
      <c r="F7" s="388" t="inlineStr">
        <is>
          <t>Taak</t>
        </is>
      </c>
      <c r="G7" s="389" t="inlineStr">
        <is>
          <t>Taak</t>
        </is>
      </c>
      <c r="H7" s="389" t="inlineStr">
        <is>
          <t>Uitgevoerd door:</t>
        </is>
      </c>
      <c r="I7" s="389" t="inlineStr">
        <is>
          <t>Paraaf</t>
        </is>
      </c>
    </row>
    <row r="8" ht="15" customHeight="1">
      <c r="A8" s="85" t="n">
        <v>1</v>
      </c>
      <c r="B8" s="86">
        <f>IF(LEFT(F8,9)="Taken van",1,IF(LEFT(F8,14)="Start vulshift",2,IF(LEFT(F8,8)="Levering",3,0)))</f>
        <v/>
      </c>
      <c r="C8" s="87" t="n"/>
      <c r="D8" s="1049">
        <f>SMALL(OFFSET('Werkschema - Instelling'!$AA$3:$AA$172,0,$H$6*2),A8)</f>
        <v/>
      </c>
      <c r="E8" s="1050">
        <f>IFERROR($D8-VLOOKUP($F8,'Werkschema - Instelling'!$A$3:$Z$172,26,FALSE),1)</f>
        <v/>
      </c>
      <c r="F8" s="1051">
        <f>IF(D8&gt;0.958333333,"",IF($H$6=0, VLOOKUP($D8,'Werkschema - Instelling'!$AA$3:$AO$172,15,FALSE),IF($H$6=1,VLOOKUP($D8,'Werkschema - Instelling'!$AC$3:$AO$172,13,FALSE),IF($H$6=2,VLOOKUP($D8,'Werkschema - Instelling'!$AE$3:$AO$172,11,FALSE),IF($H$6=3,VLOOKUP($D8,'Werkschema - Instelling'!$AG$3:$AO$172,9,FALSE),IF($H$6=4,VLOOKUP($D8,'Werkschema - Instelling'!$AI$3:$AO$172,7,FALSE),IF($H$6=5,VLOOKUP($D8,'Werkschema - Instelling'!$AK$3:$AO$172,5,FALSE),VLOOKUP($D8,'Werkschema - Instelling'!$AM$3:$AO$172,3,FALSE))))))))</f>
        <v/>
      </c>
      <c r="G8" s="1052">
        <f>IF(D8&gt;0.958333333,"", IF($H$6=0, VLOOKUP($D8,'Werkschema - Instelling'!$AA$3:$AP$172,16,FALSE),IF($H$6=1,VLOOKUP($D8,'Werkschema - Instelling'!$AC$3:$AP$172,14,FALSE),IF($H$6=2,VLOOKUP($D8,'Werkschema - Instelling'!$AE$3:$AP$172,12,FALSE),IF($H$6=3,VLOOKUP($D8,'Werkschema - Instelling'!$AG$3:$AP$172,10,FALSE),IF($H$6=4,VLOOKUP($D8,'Werkschema - Instelling'!$AI$3:$AP$172,8,FALSE),IF($H$6=5,VLOOKUP($D8,'Werkschema - Instelling'!$AK$3:$AP$172,6,FALSE),VLOOKUP($D8,'Werkschema - Instelling'!$AM$3:$AP$172,4,FALSE))))))))</f>
        <v/>
      </c>
      <c r="H8" s="1053">
        <f>IF($D8&gt;0.985333333,"", IF($H$6=0, VLOOKUP($D8,'Werkschema - Instelling'!$AA$3:$AB$172,2,FALSE),IF($H$6=1,VLOOKUP($D8,'Werkschema - Instelling'!$AC$3:$AD$172,2,FALSE),IF($H$6=2,VLOOKUP($D8,'Werkschema - Instelling'!$AE$3:$AF$172,2,FALSE),IF($H$6=3,VLOOKUP($D8,'Werkschema - Instelling'!$AG$3:$AH$172,2,FALSE),IF($H$6=4,VLOOKUP($D8,'Werkschema - Instelling'!$AI$3:$AJ$172,2,FALSE),IF($H$6=5,VLOOKUP($D8,'Werkschema - Instelling'!$AK$3:$AL$172,2,FALSE),VLOOKUP($D8,'Werkschema - Instelling'!$AM$3:$AN$172,2,FALSE))))))))</f>
        <v/>
      </c>
      <c r="I8" s="5" t="n"/>
    </row>
    <row r="9" ht="15" customHeight="1">
      <c r="A9" s="85" t="n">
        <v>2</v>
      </c>
      <c r="B9" s="86">
        <f>IF(LEFT(F9,9)="Taken van",1,IF(LEFT(F9,14)="Start vulshift",2,IF(LEFT(F9,8)="Levering",3,0)))</f>
        <v/>
      </c>
      <c r="C9" s="85">
        <f>E9-E8</f>
        <v/>
      </c>
      <c r="D9" s="1049">
        <f>SMALL(OFFSET('Werkschema - Instelling'!$AA$3:$AA$172,0,$H$6*2),A9)</f>
        <v/>
      </c>
      <c r="E9" s="1054">
        <f>IFERROR(IF(D9-D8&lt;0.0001,"",$D9-VLOOKUP($F9,'Werkschema - Instelling'!$A$3:$Z$172,26,FALSE)),1)</f>
        <v/>
      </c>
      <c r="F9" s="1055">
        <f>IF(D9&gt;0.958333333,"",IF($H$6=0, VLOOKUP($D9,'Werkschema - Instelling'!$AA$3:$AO$172,15,FALSE),IF($H$6=1,VLOOKUP($D9,'Werkschema - Instelling'!$AC$3:$AO$172,13,FALSE),IF($H$6=2,VLOOKUP($D9,'Werkschema - Instelling'!$AE$3:$AO$172,11,FALSE),IF($H$6=3,VLOOKUP($D9,'Werkschema - Instelling'!$AG$3:$AO$172,9,FALSE),IF($H$6=4,VLOOKUP($D9,'Werkschema - Instelling'!$AI$3:$AO$172,7,FALSE),IF($H$6=5,VLOOKUP($D9,'Werkschema - Instelling'!$AK$3:$AO$172,5,FALSE),VLOOKUP($D9,'Werkschema - Instelling'!$AM$3:$AO$172,3,FALSE))))))))</f>
        <v/>
      </c>
      <c r="G9" s="1056">
        <f>IF(D9&gt;0.958333333,"", IF($H$6=0, VLOOKUP($D9,'Werkschema - Instelling'!$AA$3:$AP$172,16,FALSE),IF($H$6=1,VLOOKUP($D9,'Werkschema - Instelling'!$AC$3:$AP$172,14,FALSE),IF($H$6=2,VLOOKUP($D9,'Werkschema - Instelling'!$AE$3:$AP$172,12,FALSE),IF($H$6=3,VLOOKUP($D9,'Werkschema - Instelling'!$AG$3:$AP$172,10,FALSE),IF($H$6=4,VLOOKUP($D9,'Werkschema - Instelling'!$AI$3:$AP$172,8,FALSE),IF($H$6=5,VLOOKUP($D9,'Werkschema - Instelling'!$AK$3:$AP$172,6,FALSE),VLOOKUP($D9,'Werkschema - Instelling'!$AM$3:$AP$172,4,FALSE))))))))</f>
        <v/>
      </c>
      <c r="H9" s="1057">
        <f>IF($D9&gt;0.985333333,"", IF($H$6=0, VLOOKUP($D9,'Werkschema - Instelling'!$AA$3:$AB$172,2,FALSE),IF($H$6=1,VLOOKUP($D9,'Werkschema - Instelling'!$AC$3:$AD$172,2,FALSE),IF($H$6=2,VLOOKUP($D9,'Werkschema - Instelling'!$AE$3:$AF$172,2,FALSE),IF($H$6=3,VLOOKUP($D9,'Werkschema - Instelling'!$AG$3:$AH$172,2,FALSE),IF($H$6=4,VLOOKUP($D9,'Werkschema - Instelling'!$AI$3:$AJ$172,2,FALSE),IF($H$6=5,VLOOKUP($D9,'Werkschema - Instelling'!$AK$3:$AL$172,2,FALSE),VLOOKUP($D9,'Werkschema - Instelling'!$AM$3:$AN$172,2,FALSE))))))))</f>
        <v/>
      </c>
      <c r="I9" s="3" t="n"/>
    </row>
    <row r="10" ht="15" customHeight="1">
      <c r="A10" s="85" t="n">
        <v>3</v>
      </c>
      <c r="B10" s="86">
        <f>IF(LEFT(F10,9)="Taken van",1,IF(LEFT(F10,14)="Start vulshift",2,IF(LEFT(F10,8)="Levering",3,0)))</f>
        <v/>
      </c>
      <c r="C10" s="85">
        <f>E10-E9</f>
        <v/>
      </c>
      <c r="D10" s="1049">
        <f>SMALL(OFFSET('Werkschema - Instelling'!$AA$3:$AA$172,0,$H$6*2),A10)</f>
        <v/>
      </c>
      <c r="E10" s="1054">
        <f>IFERROR(IF(D10-D9&lt;0.0001,"",$D10-VLOOKUP($F10,'Werkschema - Instelling'!$A$3:$Z$172,26,FALSE)),1)</f>
        <v/>
      </c>
      <c r="F10" s="1055">
        <f>IF(D10&gt;0.958333333,"",IF($H$6=0, VLOOKUP($D10,'Werkschema - Instelling'!$AA$3:$AO$172,15,FALSE),IF($H$6=1,VLOOKUP($D10,'Werkschema - Instelling'!$AC$3:$AO$172,13,FALSE),IF($H$6=2,VLOOKUP($D10,'Werkschema - Instelling'!$AE$3:$AO$172,11,FALSE),IF($H$6=3,VLOOKUP($D10,'Werkschema - Instelling'!$AG$3:$AO$172,9,FALSE),IF($H$6=4,VLOOKUP($D10,'Werkschema - Instelling'!$AI$3:$AO$172,7,FALSE),IF($H$6=5,VLOOKUP($D10,'Werkschema - Instelling'!$AK$3:$AO$172,5,FALSE),VLOOKUP($D10,'Werkschema - Instelling'!$AM$3:$AO$172,3,FALSE))))))))</f>
        <v/>
      </c>
      <c r="G10" s="1056">
        <f>IF(D10&gt;0.958333333,"", IF($H$6=0, VLOOKUP($D10,'Werkschema - Instelling'!$AA$3:$AP$172,16,FALSE),IF($H$6=1,VLOOKUP($D10,'Werkschema - Instelling'!$AC$3:$AP$172,14,FALSE),IF($H$6=2,VLOOKUP($D10,'Werkschema - Instelling'!$AE$3:$AP$172,12,FALSE),IF($H$6=3,VLOOKUP($D10,'Werkschema - Instelling'!$AG$3:$AP$172,10,FALSE),IF($H$6=4,VLOOKUP($D10,'Werkschema - Instelling'!$AI$3:$AP$172,8,FALSE),IF($H$6=5,VLOOKUP($D10,'Werkschema - Instelling'!$AK$3:$AP$172,6,FALSE),VLOOKUP($D10,'Werkschema - Instelling'!$AM$3:$AP$172,4,FALSE))))))))</f>
        <v/>
      </c>
      <c r="H10" s="1057">
        <f>IF($D10&gt;0.985333333,"", IF($H$6=0, VLOOKUP($D10,'Werkschema - Instelling'!$AA$3:$AB$172,2,FALSE),IF($H$6=1,VLOOKUP($D10,'Werkschema - Instelling'!$AC$3:$AD$172,2,FALSE),IF($H$6=2,VLOOKUP($D10,'Werkschema - Instelling'!$AE$3:$AF$172,2,FALSE),IF($H$6=3,VLOOKUP($D10,'Werkschema - Instelling'!$AG$3:$AH$172,2,FALSE),IF($H$6=4,VLOOKUP($D10,'Werkschema - Instelling'!$AI$3:$AJ$172,2,FALSE),IF($H$6=5,VLOOKUP($D10,'Werkschema - Instelling'!$AK$3:$AL$172,2,FALSE),VLOOKUP($D10,'Werkschema - Instelling'!$AM$3:$AN$172,2,FALSE))))))))</f>
        <v/>
      </c>
      <c r="I10" s="3" t="n"/>
    </row>
    <row r="11" ht="15" customHeight="1">
      <c r="A11" s="85" t="n">
        <v>4</v>
      </c>
      <c r="B11" s="86">
        <f>IF(LEFT(F11,9)="Taken van",1,IF(LEFT(F11,14)="Start vulshift",2,IF(LEFT(F11,8)="Levering",3,0)))</f>
        <v/>
      </c>
      <c r="C11" s="85">
        <f>E11-E10</f>
        <v/>
      </c>
      <c r="D11" s="1049">
        <f>SMALL(OFFSET('Werkschema - Instelling'!$AA$3:$AA$172,0,$H$6*2),A11)</f>
        <v/>
      </c>
      <c r="E11" s="1054">
        <f>IFERROR(IF(D11-D10&lt;0.0001,"",$D11-VLOOKUP($F11,'Werkschema - Instelling'!$A$3:$Z$172,26,FALSE)),1)</f>
        <v/>
      </c>
      <c r="F11" s="1055">
        <f>IF(D11&gt;0.958333333,"",IF($H$6=0, VLOOKUP($D11,'Werkschema - Instelling'!$AA$3:$AO$172,15,FALSE),IF($H$6=1,VLOOKUP($D11,'Werkschema - Instelling'!$AC$3:$AO$172,13,FALSE),IF($H$6=2,VLOOKUP($D11,'Werkschema - Instelling'!$AE$3:$AO$172,11,FALSE),IF($H$6=3,VLOOKUP($D11,'Werkschema - Instelling'!$AG$3:$AO$172,9,FALSE),IF($H$6=4,VLOOKUP($D11,'Werkschema - Instelling'!$AI$3:$AO$172,7,FALSE),IF($H$6=5,VLOOKUP($D11,'Werkschema - Instelling'!$AK$3:$AO$172,5,FALSE),VLOOKUP($D11,'Werkschema - Instelling'!$AM$3:$AO$172,3,FALSE))))))))</f>
        <v/>
      </c>
      <c r="G11" s="1056">
        <f>IF(D11&gt;0.958333333,"", IF($H$6=0, VLOOKUP($D11,'Werkschema - Instelling'!$AA$3:$AP$172,16,FALSE),IF($H$6=1,VLOOKUP($D11,'Werkschema - Instelling'!$AC$3:$AP$172,14,FALSE),IF($H$6=2,VLOOKUP($D11,'Werkschema - Instelling'!$AE$3:$AP$172,12,FALSE),IF($H$6=3,VLOOKUP($D11,'Werkschema - Instelling'!$AG$3:$AP$172,10,FALSE),IF($H$6=4,VLOOKUP($D11,'Werkschema - Instelling'!$AI$3:$AP$172,8,FALSE),IF($H$6=5,VLOOKUP($D11,'Werkschema - Instelling'!$AK$3:$AP$172,6,FALSE),VLOOKUP($D11,'Werkschema - Instelling'!$AM$3:$AP$172,4,FALSE))))))))</f>
        <v/>
      </c>
      <c r="H11" s="1057">
        <f>IF($D11&gt;0.985333333,"", IF($H$6=0, VLOOKUP($D11,'Werkschema - Instelling'!$AA$3:$AB$172,2,FALSE),IF($H$6=1,VLOOKUP($D11,'Werkschema - Instelling'!$AC$3:$AD$172,2,FALSE),IF($H$6=2,VLOOKUP($D11,'Werkschema - Instelling'!$AE$3:$AF$172,2,FALSE),IF($H$6=3,VLOOKUP($D11,'Werkschema - Instelling'!$AG$3:$AH$172,2,FALSE),IF($H$6=4,VLOOKUP($D11,'Werkschema - Instelling'!$AI$3:$AJ$172,2,FALSE),IF($H$6=5,VLOOKUP($D11,'Werkschema - Instelling'!$AK$3:$AL$172,2,FALSE),VLOOKUP($D11,'Werkschema - Instelling'!$AM$3:$AN$172,2,FALSE))))))))</f>
        <v/>
      </c>
      <c r="I11" s="3" t="n"/>
    </row>
    <row r="12" ht="15" customHeight="1">
      <c r="A12" s="85" t="n">
        <v>5</v>
      </c>
      <c r="B12" s="86">
        <f>IF(LEFT(F12,9)="Taken van",1,IF(LEFT(F12,14)="Start vulshift",2,IF(LEFT(F12,8)="Levering",3,0)))</f>
        <v/>
      </c>
      <c r="C12" s="85">
        <f>E12-E11</f>
        <v/>
      </c>
      <c r="D12" s="1049">
        <f>SMALL(OFFSET('Werkschema - Instelling'!$AA$3:$AA$172,0,$H$6*2),A12)</f>
        <v/>
      </c>
      <c r="E12" s="1054">
        <f>IFERROR(IF(D12-D11&lt;0.0001,"",$D12-VLOOKUP($F12,'Werkschema - Instelling'!$A$3:$Z$172,26,FALSE)),1)</f>
        <v/>
      </c>
      <c r="F12" s="1055">
        <f>IF(D12&gt;0.958333333,"",IF($H$6=0, VLOOKUP($D12,'Werkschema - Instelling'!$AA$3:$AO$172,15,FALSE),IF($H$6=1,VLOOKUP($D12,'Werkschema - Instelling'!$AC$3:$AO$172,13,FALSE),IF($H$6=2,VLOOKUP($D12,'Werkschema - Instelling'!$AE$3:$AO$172,11,FALSE),IF($H$6=3,VLOOKUP($D12,'Werkschema - Instelling'!$AG$3:$AO$172,9,FALSE),IF($H$6=4,VLOOKUP($D12,'Werkschema - Instelling'!$AI$3:$AO$172,7,FALSE),IF($H$6=5,VLOOKUP($D12,'Werkschema - Instelling'!$AK$3:$AO$172,5,FALSE),VLOOKUP($D12,'Werkschema - Instelling'!$AM$3:$AO$172,3,FALSE))))))))</f>
        <v/>
      </c>
      <c r="G12" s="1056">
        <f>IF(D12&gt;0.958333333,"", IF($H$6=0, VLOOKUP($D12,'Werkschema - Instelling'!$AA$3:$AP$172,16,FALSE),IF($H$6=1,VLOOKUP($D12,'Werkschema - Instelling'!$AC$3:$AP$172,14,FALSE),IF($H$6=2,VLOOKUP($D12,'Werkschema - Instelling'!$AE$3:$AP$172,12,FALSE),IF($H$6=3,VLOOKUP($D12,'Werkschema - Instelling'!$AG$3:$AP$172,10,FALSE),IF($H$6=4,VLOOKUP($D12,'Werkschema - Instelling'!$AI$3:$AP$172,8,FALSE),IF($H$6=5,VLOOKUP($D12,'Werkschema - Instelling'!$AK$3:$AP$172,6,FALSE),VLOOKUP($D12,'Werkschema - Instelling'!$AM$3:$AP$172,4,FALSE))))))))</f>
        <v/>
      </c>
      <c r="H12" s="1057">
        <f>IF($D12&gt;0.985333333,"", IF($H$6=0, VLOOKUP($D12,'Werkschema - Instelling'!$AA$3:$AB$172,2,FALSE),IF($H$6=1,VLOOKUP($D12,'Werkschema - Instelling'!$AC$3:$AD$172,2,FALSE),IF($H$6=2,VLOOKUP($D12,'Werkschema - Instelling'!$AE$3:$AF$172,2,FALSE),IF($H$6=3,VLOOKUP($D12,'Werkschema - Instelling'!$AG$3:$AH$172,2,FALSE),IF($H$6=4,VLOOKUP($D12,'Werkschema - Instelling'!$AI$3:$AJ$172,2,FALSE),IF($H$6=5,VLOOKUP($D12,'Werkschema - Instelling'!$AK$3:$AL$172,2,FALSE),VLOOKUP($D12,'Werkschema - Instelling'!$AM$3:$AN$172,2,FALSE))))))))</f>
        <v/>
      </c>
      <c r="I12" s="3" t="n"/>
    </row>
    <row r="13" ht="15" customHeight="1">
      <c r="A13" s="85" t="n">
        <v>6</v>
      </c>
      <c r="B13" s="86">
        <f>IF(LEFT(F13,9)="Taken van",1,IF(LEFT(F13,14)="Start vulshift",2,IF(LEFT(F13,8)="Levering",3,0)))</f>
        <v/>
      </c>
      <c r="C13" s="85">
        <f>E13-E12</f>
        <v/>
      </c>
      <c r="D13" s="1049">
        <f>SMALL(OFFSET('Werkschema - Instelling'!$AA$3:$AA$172,0,$H$6*2),A13)</f>
        <v/>
      </c>
      <c r="E13" s="1054">
        <f>IFERROR(IF(D13-D12&lt;0.0001,"",$D13-VLOOKUP($F13,'Werkschema - Instelling'!$A$3:$Z$172,26,FALSE)),1)</f>
        <v/>
      </c>
      <c r="F13" s="1055">
        <f>IF(D13&gt;0.958333333,"",IF($H$6=0, VLOOKUP($D13,'Werkschema - Instelling'!$AA$3:$AO$172,15,FALSE),IF($H$6=1,VLOOKUP($D13,'Werkschema - Instelling'!$AC$3:$AO$172,13,FALSE),IF($H$6=2,VLOOKUP($D13,'Werkschema - Instelling'!$AE$3:$AO$172,11,FALSE),IF($H$6=3,VLOOKUP($D13,'Werkschema - Instelling'!$AG$3:$AO$172,9,FALSE),IF($H$6=4,VLOOKUP($D13,'Werkschema - Instelling'!$AI$3:$AO$172,7,FALSE),IF($H$6=5,VLOOKUP($D13,'Werkschema - Instelling'!$AK$3:$AO$172,5,FALSE),VLOOKUP($D13,'Werkschema - Instelling'!$AM$3:$AO$172,3,FALSE))))))))</f>
        <v/>
      </c>
      <c r="G13" s="1056">
        <f>IF(D13&gt;0.958333333,"", IF($H$6=0, VLOOKUP($D13,'Werkschema - Instelling'!$AA$3:$AP$172,16,FALSE),IF($H$6=1,VLOOKUP($D13,'Werkschema - Instelling'!$AC$3:$AP$172,14,FALSE),IF($H$6=2,VLOOKUP($D13,'Werkschema - Instelling'!$AE$3:$AP$172,12,FALSE),IF($H$6=3,VLOOKUP($D13,'Werkschema - Instelling'!$AG$3:$AP$172,10,FALSE),IF($H$6=4,VLOOKUP($D13,'Werkschema - Instelling'!$AI$3:$AP$172,8,FALSE),IF($H$6=5,VLOOKUP($D13,'Werkschema - Instelling'!$AK$3:$AP$172,6,FALSE),VLOOKUP($D13,'Werkschema - Instelling'!$AM$3:$AP$172,4,FALSE))))))))</f>
        <v/>
      </c>
      <c r="H13" s="1057">
        <f>IF($D13&gt;0.985333333,"", IF($H$6=0, VLOOKUP($D13,'Werkschema - Instelling'!$AA$3:$AB$172,2,FALSE),IF($H$6=1,VLOOKUP($D13,'Werkschema - Instelling'!$AC$3:$AD$172,2,FALSE),IF($H$6=2,VLOOKUP($D13,'Werkschema - Instelling'!$AE$3:$AF$172,2,FALSE),IF($H$6=3,VLOOKUP($D13,'Werkschema - Instelling'!$AG$3:$AH$172,2,FALSE),IF($H$6=4,VLOOKUP($D13,'Werkschema - Instelling'!$AI$3:$AJ$172,2,FALSE),IF($H$6=5,VLOOKUP($D13,'Werkschema - Instelling'!$AK$3:$AL$172,2,FALSE),VLOOKUP($D13,'Werkschema - Instelling'!$AM$3:$AN$172,2,FALSE))))))))</f>
        <v/>
      </c>
      <c r="I13" s="3" t="n"/>
    </row>
    <row r="14" ht="15" customHeight="1">
      <c r="A14" s="85" t="n">
        <v>7</v>
      </c>
      <c r="B14" s="86">
        <f>IF(LEFT(F14,9)="Taken van",1,IF(LEFT(F14,14)="Start vulshift",2,IF(LEFT(F14,8)="Levering",3,0)))</f>
        <v/>
      </c>
      <c r="C14" s="85">
        <f>E14-E13</f>
        <v/>
      </c>
      <c r="D14" s="1049">
        <f>SMALL(OFFSET('Werkschema - Instelling'!$AA$3:$AA$172,0,$H$6*2),A14)</f>
        <v/>
      </c>
      <c r="E14" s="1054">
        <f>IFERROR(IF(D14-D13&lt;0.0001,"",$D14-VLOOKUP($F14,'Werkschema - Instelling'!$A$3:$Z$172,26,FALSE)),1)</f>
        <v/>
      </c>
      <c r="F14" s="1055">
        <f>IF(D14&gt;0.958333333,"",IF($H$6=0, VLOOKUP($D14,'Werkschema - Instelling'!$AA$3:$AO$172,15,FALSE),IF($H$6=1,VLOOKUP($D14,'Werkschema - Instelling'!$AC$3:$AO$172,13,FALSE),IF($H$6=2,VLOOKUP($D14,'Werkschema - Instelling'!$AE$3:$AO$172,11,FALSE),IF($H$6=3,VLOOKUP($D14,'Werkschema - Instelling'!$AG$3:$AO$172,9,FALSE),IF($H$6=4,VLOOKUP($D14,'Werkschema - Instelling'!$AI$3:$AO$172,7,FALSE),IF($H$6=5,VLOOKUP($D14,'Werkschema - Instelling'!$AK$3:$AO$172,5,FALSE),VLOOKUP($D14,'Werkschema - Instelling'!$AM$3:$AO$172,3,FALSE))))))))</f>
        <v/>
      </c>
      <c r="G14" s="1056">
        <f>IF(D14&gt;0.958333333,"", IF($H$6=0, VLOOKUP($D14,'Werkschema - Instelling'!$AA$3:$AP$172,16,FALSE),IF($H$6=1,VLOOKUP($D14,'Werkschema - Instelling'!$AC$3:$AP$172,14,FALSE),IF($H$6=2,VLOOKUP($D14,'Werkschema - Instelling'!$AE$3:$AP$172,12,FALSE),IF($H$6=3,VLOOKUP($D14,'Werkschema - Instelling'!$AG$3:$AP$172,10,FALSE),IF($H$6=4,VLOOKUP($D14,'Werkschema - Instelling'!$AI$3:$AP$172,8,FALSE),IF($H$6=5,VLOOKUP($D14,'Werkschema - Instelling'!$AK$3:$AP$172,6,FALSE),VLOOKUP($D14,'Werkschema - Instelling'!$AM$3:$AP$172,4,FALSE))))))))</f>
        <v/>
      </c>
      <c r="H14" s="1057">
        <f>IF($D14&gt;0.985333333,"", IF($H$6=0, VLOOKUP($D14,'Werkschema - Instelling'!$AA$3:$AB$172,2,FALSE),IF($H$6=1,VLOOKUP($D14,'Werkschema - Instelling'!$AC$3:$AD$172,2,FALSE),IF($H$6=2,VLOOKUP($D14,'Werkschema - Instelling'!$AE$3:$AF$172,2,FALSE),IF($H$6=3,VLOOKUP($D14,'Werkschema - Instelling'!$AG$3:$AH$172,2,FALSE),IF($H$6=4,VLOOKUP($D14,'Werkschema - Instelling'!$AI$3:$AJ$172,2,FALSE),IF($H$6=5,VLOOKUP($D14,'Werkschema - Instelling'!$AK$3:$AL$172,2,FALSE),VLOOKUP($D14,'Werkschema - Instelling'!$AM$3:$AN$172,2,FALSE))))))))</f>
        <v/>
      </c>
      <c r="I14" s="3" t="n"/>
    </row>
    <row r="15" ht="15" customHeight="1">
      <c r="A15" s="85" t="n">
        <v>8</v>
      </c>
      <c r="B15" s="86">
        <f>IF(LEFT(F15,9)="Taken van",1,IF(LEFT(F15,14)="Start vulshift",2,IF(LEFT(F15,8)="Levering",3,0)))</f>
        <v/>
      </c>
      <c r="C15" s="85">
        <f>E15-E14</f>
        <v/>
      </c>
      <c r="D15" s="1049">
        <f>SMALL(OFFSET('Werkschema - Instelling'!$AA$3:$AA$172,0,$H$6*2),A15)</f>
        <v/>
      </c>
      <c r="E15" s="1054">
        <f>IFERROR(IF(D15-D14&lt;0.0001,"",$D15-VLOOKUP($F15,'Werkschema - Instelling'!$A$3:$Z$172,26,FALSE)),1)</f>
        <v/>
      </c>
      <c r="F15" s="1055">
        <f>IF(D15&gt;0.958333333,"",IF($H$6=0, VLOOKUP($D15,'Werkschema - Instelling'!$AA$3:$AO$172,15,FALSE),IF($H$6=1,VLOOKUP($D15,'Werkschema - Instelling'!$AC$3:$AO$172,13,FALSE),IF($H$6=2,VLOOKUP($D15,'Werkschema - Instelling'!$AE$3:$AO$172,11,FALSE),IF($H$6=3,VLOOKUP($D15,'Werkschema - Instelling'!$AG$3:$AO$172,9,FALSE),IF($H$6=4,VLOOKUP($D15,'Werkschema - Instelling'!$AI$3:$AO$172,7,FALSE),IF($H$6=5,VLOOKUP($D15,'Werkschema - Instelling'!$AK$3:$AO$172,5,FALSE),VLOOKUP($D15,'Werkschema - Instelling'!$AM$3:$AO$172,3,FALSE))))))))</f>
        <v/>
      </c>
      <c r="G15" s="1056">
        <f>IF(D15&gt;0.958333333,"", IF($H$6=0, VLOOKUP($D15,'Werkschema - Instelling'!$AA$3:$AP$172,16,FALSE),IF($H$6=1,VLOOKUP($D15,'Werkschema - Instelling'!$AC$3:$AP$172,14,FALSE),IF($H$6=2,VLOOKUP($D15,'Werkschema - Instelling'!$AE$3:$AP$172,12,FALSE),IF($H$6=3,VLOOKUP($D15,'Werkschema - Instelling'!$AG$3:$AP$172,10,FALSE),IF($H$6=4,VLOOKUP($D15,'Werkschema - Instelling'!$AI$3:$AP$172,8,FALSE),IF($H$6=5,VLOOKUP($D15,'Werkschema - Instelling'!$AK$3:$AP$172,6,FALSE),VLOOKUP($D15,'Werkschema - Instelling'!$AM$3:$AP$172,4,FALSE))))))))</f>
        <v/>
      </c>
      <c r="H15" s="1057">
        <f>IF($D15&gt;0.985333333,"", IF($H$6=0, VLOOKUP($D15,'Werkschema - Instelling'!$AA$3:$AB$172,2,FALSE),IF($H$6=1,VLOOKUP($D15,'Werkschema - Instelling'!$AC$3:$AD$172,2,FALSE),IF($H$6=2,VLOOKUP($D15,'Werkschema - Instelling'!$AE$3:$AF$172,2,FALSE),IF($H$6=3,VLOOKUP($D15,'Werkschema - Instelling'!$AG$3:$AH$172,2,FALSE),IF($H$6=4,VLOOKUP($D15,'Werkschema - Instelling'!$AI$3:$AJ$172,2,FALSE),IF($H$6=5,VLOOKUP($D15,'Werkschema - Instelling'!$AK$3:$AL$172,2,FALSE),VLOOKUP($D15,'Werkschema - Instelling'!$AM$3:$AN$172,2,FALSE))))))))</f>
        <v/>
      </c>
      <c r="I15" s="3" t="n"/>
    </row>
    <row r="16" ht="15" customHeight="1">
      <c r="A16" s="85" t="n">
        <v>9</v>
      </c>
      <c r="B16" s="86">
        <f>IF(LEFT(F16,9)="Taken van",1,IF(LEFT(F16,14)="Start vulshift",2,IF(LEFT(F16,8)="Levering",3,0)))</f>
        <v/>
      </c>
      <c r="C16" s="85">
        <f>E16-E15</f>
        <v/>
      </c>
      <c r="D16" s="1049">
        <f>SMALL(OFFSET('Werkschema - Instelling'!$AA$3:$AA$172,0,$H$6*2),A16)</f>
        <v/>
      </c>
      <c r="E16" s="1054">
        <f>IFERROR(IF(D16-D15&lt;0.0001,"",$D16-VLOOKUP($F16,'Werkschema - Instelling'!$A$3:$Z$172,26,FALSE)),1)</f>
        <v/>
      </c>
      <c r="F16" s="1055">
        <f>IF(D16&gt;0.958333333,"",IF($H$6=0, VLOOKUP($D16,'Werkschema - Instelling'!$AA$3:$AO$172,15,FALSE),IF($H$6=1,VLOOKUP($D16,'Werkschema - Instelling'!$AC$3:$AO$172,13,FALSE),IF($H$6=2,VLOOKUP($D16,'Werkschema - Instelling'!$AE$3:$AO$172,11,FALSE),IF($H$6=3,VLOOKUP($D16,'Werkschema - Instelling'!$AG$3:$AO$172,9,FALSE),IF($H$6=4,VLOOKUP($D16,'Werkschema - Instelling'!$AI$3:$AO$172,7,FALSE),IF($H$6=5,VLOOKUP($D16,'Werkschema - Instelling'!$AK$3:$AO$172,5,FALSE),VLOOKUP($D16,'Werkschema - Instelling'!$AM$3:$AO$172,3,FALSE))))))))</f>
        <v/>
      </c>
      <c r="G16" s="1056">
        <f>IF(D16&gt;0.958333333,"", IF($H$6=0, VLOOKUP($D16,'Werkschema - Instelling'!$AA$3:$AP$172,16,FALSE),IF($H$6=1,VLOOKUP($D16,'Werkschema - Instelling'!$AC$3:$AP$172,14,FALSE),IF($H$6=2,VLOOKUP($D16,'Werkschema - Instelling'!$AE$3:$AP$172,12,FALSE),IF($H$6=3,VLOOKUP($D16,'Werkschema - Instelling'!$AG$3:$AP$172,10,FALSE),IF($H$6=4,VLOOKUP($D16,'Werkschema - Instelling'!$AI$3:$AP$172,8,FALSE),IF($H$6=5,VLOOKUP($D16,'Werkschema - Instelling'!$AK$3:$AP$172,6,FALSE),VLOOKUP($D16,'Werkschema - Instelling'!$AM$3:$AP$172,4,FALSE))))))))</f>
        <v/>
      </c>
      <c r="H16" s="1057">
        <f>IF($D16&gt;0.985333333,"", IF($H$6=0, VLOOKUP($D16,'Werkschema - Instelling'!$AA$3:$AB$172,2,FALSE),IF($H$6=1,VLOOKUP($D16,'Werkschema - Instelling'!$AC$3:$AD$172,2,FALSE),IF($H$6=2,VLOOKUP($D16,'Werkschema - Instelling'!$AE$3:$AF$172,2,FALSE),IF($H$6=3,VLOOKUP($D16,'Werkschema - Instelling'!$AG$3:$AH$172,2,FALSE),IF($H$6=4,VLOOKUP($D16,'Werkschema - Instelling'!$AI$3:$AJ$172,2,FALSE),IF($H$6=5,VLOOKUP($D16,'Werkschema - Instelling'!$AK$3:$AL$172,2,FALSE),VLOOKUP($D16,'Werkschema - Instelling'!$AM$3:$AN$172,2,FALSE))))))))</f>
        <v/>
      </c>
      <c r="I16" s="3" t="n"/>
    </row>
    <row r="17" ht="15" customHeight="1">
      <c r="A17" s="85" t="n">
        <v>10</v>
      </c>
      <c r="B17" s="86">
        <f>IF(LEFT(F17,9)="Taken van",1,IF(LEFT(F17,14)="Start vulshift",2,IF(LEFT(F17,8)="Levering",3,0)))</f>
        <v/>
      </c>
      <c r="C17" s="85">
        <f>E17-E16</f>
        <v/>
      </c>
      <c r="D17" s="1049">
        <f>SMALL(OFFSET('Werkschema - Instelling'!$AA$3:$AA$172,0,$H$6*2),A17)</f>
        <v/>
      </c>
      <c r="E17" s="1054">
        <f>IFERROR(IF(D17-D16&lt;0.0001,"",$D17-VLOOKUP($F17,'Werkschema - Instelling'!$A$3:$Z$172,26,FALSE)),1)</f>
        <v/>
      </c>
      <c r="F17" s="1055">
        <f>IF(D17&gt;0.958333333,"",IF($H$6=0, VLOOKUP($D17,'Werkschema - Instelling'!$AA$3:$AO$172,15,FALSE),IF($H$6=1,VLOOKUP($D17,'Werkschema - Instelling'!$AC$3:$AO$172,13,FALSE),IF($H$6=2,VLOOKUP($D17,'Werkschema - Instelling'!$AE$3:$AO$172,11,FALSE),IF($H$6=3,VLOOKUP($D17,'Werkschema - Instelling'!$AG$3:$AO$172,9,FALSE),IF($H$6=4,VLOOKUP($D17,'Werkschema - Instelling'!$AI$3:$AO$172,7,FALSE),IF($H$6=5,VLOOKUP($D17,'Werkschema - Instelling'!$AK$3:$AO$172,5,FALSE),VLOOKUP($D17,'Werkschema - Instelling'!$AM$3:$AO$172,3,FALSE))))))))</f>
        <v/>
      </c>
      <c r="G17" s="1056">
        <f>IF(D17&gt;0.958333333,"", IF($H$6=0, VLOOKUP($D17,'Werkschema - Instelling'!$AA$3:$AP$172,16,FALSE),IF($H$6=1,VLOOKUP($D17,'Werkschema - Instelling'!$AC$3:$AP$172,14,FALSE),IF($H$6=2,VLOOKUP($D17,'Werkschema - Instelling'!$AE$3:$AP$172,12,FALSE),IF($H$6=3,VLOOKUP($D17,'Werkschema - Instelling'!$AG$3:$AP$172,10,FALSE),IF($H$6=4,VLOOKUP($D17,'Werkschema - Instelling'!$AI$3:$AP$172,8,FALSE),IF($H$6=5,VLOOKUP($D17,'Werkschema - Instelling'!$AK$3:$AP$172,6,FALSE),VLOOKUP($D17,'Werkschema - Instelling'!$AM$3:$AP$172,4,FALSE))))))))</f>
        <v/>
      </c>
      <c r="H17" s="1057">
        <f>IF($D17&gt;0.985333333,"", IF($H$6=0, VLOOKUP($D17,'Werkschema - Instelling'!$AA$3:$AB$172,2,FALSE),IF($H$6=1,VLOOKUP($D17,'Werkschema - Instelling'!$AC$3:$AD$172,2,FALSE),IF($H$6=2,VLOOKUP($D17,'Werkschema - Instelling'!$AE$3:$AF$172,2,FALSE),IF($H$6=3,VLOOKUP($D17,'Werkschema - Instelling'!$AG$3:$AH$172,2,FALSE),IF($H$6=4,VLOOKUP($D17,'Werkschema - Instelling'!$AI$3:$AJ$172,2,FALSE),IF($H$6=5,VLOOKUP($D17,'Werkschema - Instelling'!$AK$3:$AL$172,2,FALSE),VLOOKUP($D17,'Werkschema - Instelling'!$AM$3:$AN$172,2,FALSE))))))))</f>
        <v/>
      </c>
      <c r="I17" s="3" t="n"/>
    </row>
    <row r="18" ht="15" customHeight="1">
      <c r="A18" s="85" t="n">
        <v>11</v>
      </c>
      <c r="B18" s="86">
        <f>IF(LEFT(F18,9)="Taken van",1,IF(LEFT(F18,14)="Start vulshift",2,IF(LEFT(F18,8)="Levering",3,0)))</f>
        <v/>
      </c>
      <c r="C18" s="85">
        <f>E18-E17</f>
        <v/>
      </c>
      <c r="D18" s="1049">
        <f>SMALL(OFFSET('Werkschema - Instelling'!$AA$3:$AA$172,0,$H$6*2),A18)</f>
        <v/>
      </c>
      <c r="E18" s="1054">
        <f>IFERROR(IF(D18-D17&lt;0.0001,"",$D18-VLOOKUP($F18,'Werkschema - Instelling'!$A$3:$Z$172,26,FALSE)),1)</f>
        <v/>
      </c>
      <c r="F18" s="1055">
        <f>IF(D18&gt;0.958333333,"",IF($H$6=0, VLOOKUP($D18,'Werkschema - Instelling'!$AA$3:$AO$172,15,FALSE),IF($H$6=1,VLOOKUP($D18,'Werkschema - Instelling'!$AC$3:$AO$172,13,FALSE),IF($H$6=2,VLOOKUP($D18,'Werkschema - Instelling'!$AE$3:$AO$172,11,FALSE),IF($H$6=3,VLOOKUP($D18,'Werkschema - Instelling'!$AG$3:$AO$172,9,FALSE),IF($H$6=4,VLOOKUP($D18,'Werkschema - Instelling'!$AI$3:$AO$172,7,FALSE),IF($H$6=5,VLOOKUP($D18,'Werkschema - Instelling'!$AK$3:$AO$172,5,FALSE),VLOOKUP($D18,'Werkschema - Instelling'!$AM$3:$AO$172,3,FALSE))))))))</f>
        <v/>
      </c>
      <c r="G18" s="1056">
        <f>IF(D18&gt;0.958333333,"", IF($H$6=0, VLOOKUP($D18,'Werkschema - Instelling'!$AA$3:$AP$172,16,FALSE),IF($H$6=1,VLOOKUP($D18,'Werkschema - Instelling'!$AC$3:$AP$172,14,FALSE),IF($H$6=2,VLOOKUP($D18,'Werkschema - Instelling'!$AE$3:$AP$172,12,FALSE),IF($H$6=3,VLOOKUP($D18,'Werkschema - Instelling'!$AG$3:$AP$172,10,FALSE),IF($H$6=4,VLOOKUP($D18,'Werkschema - Instelling'!$AI$3:$AP$172,8,FALSE),IF($H$6=5,VLOOKUP($D18,'Werkschema - Instelling'!$AK$3:$AP$172,6,FALSE),VLOOKUP($D18,'Werkschema - Instelling'!$AM$3:$AP$172,4,FALSE))))))))</f>
        <v/>
      </c>
      <c r="H18" s="1057">
        <f>IF($D18&gt;0.985333333,"", IF($H$6=0, VLOOKUP($D18,'Werkschema - Instelling'!$AA$3:$AB$172,2,FALSE),IF($H$6=1,VLOOKUP($D18,'Werkschema - Instelling'!$AC$3:$AD$172,2,FALSE),IF($H$6=2,VLOOKUP($D18,'Werkschema - Instelling'!$AE$3:$AF$172,2,FALSE),IF($H$6=3,VLOOKUP($D18,'Werkschema - Instelling'!$AG$3:$AH$172,2,FALSE),IF($H$6=4,VLOOKUP($D18,'Werkschema - Instelling'!$AI$3:$AJ$172,2,FALSE),IF($H$6=5,VLOOKUP($D18,'Werkschema - Instelling'!$AK$3:$AL$172,2,FALSE),VLOOKUP($D18,'Werkschema - Instelling'!$AM$3:$AN$172,2,FALSE))))))))</f>
        <v/>
      </c>
      <c r="I18" s="3" t="n"/>
    </row>
    <row r="19" ht="15" customHeight="1">
      <c r="A19" s="85" t="n">
        <v>12</v>
      </c>
      <c r="B19" s="86">
        <f>IF(LEFT(F19,9)="Taken van",1,IF(LEFT(F19,14)="Start vulshift",2,IF(LEFT(F19,8)="Levering",3,0)))</f>
        <v/>
      </c>
      <c r="C19" s="85">
        <f>E19-E18</f>
        <v/>
      </c>
      <c r="D19" s="1049">
        <f>SMALL(OFFSET('Werkschema - Instelling'!$AA$3:$AA$172,0,$H$6*2),A19)</f>
        <v/>
      </c>
      <c r="E19" s="1054">
        <f>IFERROR(IF(D19-D18&lt;0.0001,"",$D19-VLOOKUP($F19,'Werkschema - Instelling'!$A$3:$Z$172,26,FALSE)),1)</f>
        <v/>
      </c>
      <c r="F19" s="1055">
        <f>IF(D19&gt;0.958333333,"",IF($H$6=0, VLOOKUP($D19,'Werkschema - Instelling'!$AA$3:$AO$172,15,FALSE),IF($H$6=1,VLOOKUP($D19,'Werkschema - Instelling'!$AC$3:$AO$172,13,FALSE),IF($H$6=2,VLOOKUP($D19,'Werkschema - Instelling'!$AE$3:$AO$172,11,FALSE),IF($H$6=3,VLOOKUP($D19,'Werkschema - Instelling'!$AG$3:$AO$172,9,FALSE),IF($H$6=4,VLOOKUP($D19,'Werkschema - Instelling'!$AI$3:$AO$172,7,FALSE),IF($H$6=5,VLOOKUP($D19,'Werkschema - Instelling'!$AK$3:$AO$172,5,FALSE),VLOOKUP($D19,'Werkschema - Instelling'!$AM$3:$AO$172,3,FALSE))))))))</f>
        <v/>
      </c>
      <c r="G19" s="1056">
        <f>IF(D19&gt;0.958333333,"", IF($H$6=0, VLOOKUP($D19,'Werkschema - Instelling'!$AA$3:$AP$172,16,FALSE),IF($H$6=1,VLOOKUP($D19,'Werkschema - Instelling'!$AC$3:$AP$172,14,FALSE),IF($H$6=2,VLOOKUP($D19,'Werkschema - Instelling'!$AE$3:$AP$172,12,FALSE),IF($H$6=3,VLOOKUP($D19,'Werkschema - Instelling'!$AG$3:$AP$172,10,FALSE),IF($H$6=4,VLOOKUP($D19,'Werkschema - Instelling'!$AI$3:$AP$172,8,FALSE),IF($H$6=5,VLOOKUP($D19,'Werkschema - Instelling'!$AK$3:$AP$172,6,FALSE),VLOOKUP($D19,'Werkschema - Instelling'!$AM$3:$AP$172,4,FALSE))))))))</f>
        <v/>
      </c>
      <c r="H19" s="1057">
        <f>IF($D19&gt;0.985333333,"", IF($H$6=0, VLOOKUP($D19,'Werkschema - Instelling'!$AA$3:$AB$172,2,FALSE),IF($H$6=1,VLOOKUP($D19,'Werkschema - Instelling'!$AC$3:$AD$172,2,FALSE),IF($H$6=2,VLOOKUP($D19,'Werkschema - Instelling'!$AE$3:$AF$172,2,FALSE),IF($H$6=3,VLOOKUP($D19,'Werkschema - Instelling'!$AG$3:$AH$172,2,FALSE),IF($H$6=4,VLOOKUP($D19,'Werkschema - Instelling'!$AI$3:$AJ$172,2,FALSE),IF($H$6=5,VLOOKUP($D19,'Werkschema - Instelling'!$AK$3:$AL$172,2,FALSE),VLOOKUP($D19,'Werkschema - Instelling'!$AM$3:$AN$172,2,FALSE))))))))</f>
        <v/>
      </c>
      <c r="I19" s="3" t="n"/>
    </row>
    <row r="20" ht="15" customHeight="1">
      <c r="A20" s="85" t="n">
        <v>13</v>
      </c>
      <c r="B20" s="86">
        <f>IF(LEFT(F20,9)="Taken van",1,IF(LEFT(F20,14)="Start vulshift",2,IF(LEFT(F20,8)="Levering",3,0)))</f>
        <v/>
      </c>
      <c r="C20" s="85">
        <f>E20-E19</f>
        <v/>
      </c>
      <c r="D20" s="1049">
        <f>SMALL(OFFSET('Werkschema - Instelling'!$AA$3:$AA$172,0,$H$6*2),A20)</f>
        <v/>
      </c>
      <c r="E20" s="1054">
        <f>IFERROR(IF(D20-D19&lt;0.0001,"",$D20-VLOOKUP($F20,'Werkschema - Instelling'!$A$3:$Z$172,26,FALSE)),1)</f>
        <v/>
      </c>
      <c r="F20" s="1055">
        <f>IF(D20&gt;0.958333333,"",IF($H$6=0, VLOOKUP($D20,'Werkschema - Instelling'!$AA$3:$AO$172,15,FALSE),IF($H$6=1,VLOOKUP($D20,'Werkschema - Instelling'!$AC$3:$AO$172,13,FALSE),IF($H$6=2,VLOOKUP($D20,'Werkschema - Instelling'!$AE$3:$AO$172,11,FALSE),IF($H$6=3,VLOOKUP($D20,'Werkschema - Instelling'!$AG$3:$AO$172,9,FALSE),IF($H$6=4,VLOOKUP($D20,'Werkschema - Instelling'!$AI$3:$AO$172,7,FALSE),IF($H$6=5,VLOOKUP($D20,'Werkschema - Instelling'!$AK$3:$AO$172,5,FALSE),VLOOKUP($D20,'Werkschema - Instelling'!$AM$3:$AO$172,3,FALSE))))))))</f>
        <v/>
      </c>
      <c r="G20" s="1056">
        <f>IF(D20&gt;0.958333333,"", IF($H$6=0, VLOOKUP($D20,'Werkschema - Instelling'!$AA$3:$AP$172,16,FALSE),IF($H$6=1,VLOOKUP($D20,'Werkschema - Instelling'!$AC$3:$AP$172,14,FALSE),IF($H$6=2,VLOOKUP($D20,'Werkschema - Instelling'!$AE$3:$AP$172,12,FALSE),IF($H$6=3,VLOOKUP($D20,'Werkschema - Instelling'!$AG$3:$AP$172,10,FALSE),IF($H$6=4,VLOOKUP($D20,'Werkschema - Instelling'!$AI$3:$AP$172,8,FALSE),IF($H$6=5,VLOOKUP($D20,'Werkschema - Instelling'!$AK$3:$AP$172,6,FALSE),VLOOKUP($D20,'Werkschema - Instelling'!$AM$3:$AP$172,4,FALSE))))))))</f>
        <v/>
      </c>
      <c r="H20" s="1057">
        <f>IF($D20&gt;0.985333333,"", IF($H$6=0, VLOOKUP($D20,'Werkschema - Instelling'!$AA$3:$AB$172,2,FALSE),IF($H$6=1,VLOOKUP($D20,'Werkschema - Instelling'!$AC$3:$AD$172,2,FALSE),IF($H$6=2,VLOOKUP($D20,'Werkschema - Instelling'!$AE$3:$AF$172,2,FALSE),IF($H$6=3,VLOOKUP($D20,'Werkschema - Instelling'!$AG$3:$AH$172,2,FALSE),IF($H$6=4,VLOOKUP($D20,'Werkschema - Instelling'!$AI$3:$AJ$172,2,FALSE),IF($H$6=5,VLOOKUP($D20,'Werkschema - Instelling'!$AK$3:$AL$172,2,FALSE),VLOOKUP($D20,'Werkschema - Instelling'!$AM$3:$AN$172,2,FALSE))))))))</f>
        <v/>
      </c>
      <c r="I20" s="3" t="n"/>
    </row>
    <row r="21" ht="15" customHeight="1">
      <c r="A21" s="85" t="n">
        <v>14</v>
      </c>
      <c r="B21" s="86">
        <f>IF(LEFT(F21,9)="Taken van",1,IF(LEFT(F21,14)="Start vulshift",2,IF(LEFT(F21,8)="Levering",3,0)))</f>
        <v/>
      </c>
      <c r="C21" s="85">
        <f>E21-E20</f>
        <v/>
      </c>
      <c r="D21" s="1049">
        <f>SMALL(OFFSET('Werkschema - Instelling'!$AA$3:$AA$172,0,$H$6*2),A21)</f>
        <v/>
      </c>
      <c r="E21" s="1054">
        <f>IFERROR(IF(D21-D20&lt;0.0001,"",$D21-VLOOKUP($F21,'Werkschema - Instelling'!$A$3:$Z$172,26,FALSE)),1)</f>
        <v/>
      </c>
      <c r="F21" s="1055">
        <f>IF(D21&gt;0.958333333,"",IF($H$6=0, VLOOKUP($D21,'Werkschema - Instelling'!$AA$3:$AO$172,15,FALSE),IF($H$6=1,VLOOKUP($D21,'Werkschema - Instelling'!$AC$3:$AO$172,13,FALSE),IF($H$6=2,VLOOKUP($D21,'Werkschema - Instelling'!$AE$3:$AO$172,11,FALSE),IF($H$6=3,VLOOKUP($D21,'Werkschema - Instelling'!$AG$3:$AO$172,9,FALSE),IF($H$6=4,VLOOKUP($D21,'Werkschema - Instelling'!$AI$3:$AO$172,7,FALSE),IF($H$6=5,VLOOKUP($D21,'Werkschema - Instelling'!$AK$3:$AO$172,5,FALSE),VLOOKUP($D21,'Werkschema - Instelling'!$AM$3:$AO$172,3,FALSE))))))))</f>
        <v/>
      </c>
      <c r="G21" s="1056">
        <f>IF(D21&gt;0.958333333,"", IF($H$6=0, VLOOKUP($D21,'Werkschema - Instelling'!$AA$3:$AP$172,16,FALSE),IF($H$6=1,VLOOKUP($D21,'Werkschema - Instelling'!$AC$3:$AP$172,14,FALSE),IF($H$6=2,VLOOKUP($D21,'Werkschema - Instelling'!$AE$3:$AP$172,12,FALSE),IF($H$6=3,VLOOKUP($D21,'Werkschema - Instelling'!$AG$3:$AP$172,10,FALSE),IF($H$6=4,VLOOKUP($D21,'Werkschema - Instelling'!$AI$3:$AP$172,8,FALSE),IF($H$6=5,VLOOKUP($D21,'Werkschema - Instelling'!$AK$3:$AP$172,6,FALSE),VLOOKUP($D21,'Werkschema - Instelling'!$AM$3:$AP$172,4,FALSE))))))))</f>
        <v/>
      </c>
      <c r="H21" s="1057">
        <f>IF($D21&gt;0.985333333,"", IF($H$6=0, VLOOKUP($D21,'Werkschema - Instelling'!$AA$3:$AB$172,2,FALSE),IF($H$6=1,VLOOKUP($D21,'Werkschema - Instelling'!$AC$3:$AD$172,2,FALSE),IF($H$6=2,VLOOKUP($D21,'Werkschema - Instelling'!$AE$3:$AF$172,2,FALSE),IF($H$6=3,VLOOKUP($D21,'Werkschema - Instelling'!$AG$3:$AH$172,2,FALSE),IF($H$6=4,VLOOKUP($D21,'Werkschema - Instelling'!$AI$3:$AJ$172,2,FALSE),IF($H$6=5,VLOOKUP($D21,'Werkschema - Instelling'!$AK$3:$AL$172,2,FALSE),VLOOKUP($D21,'Werkschema - Instelling'!$AM$3:$AN$172,2,FALSE))))))))</f>
        <v/>
      </c>
      <c r="I21" s="3" t="n"/>
    </row>
    <row r="22" ht="15" customHeight="1">
      <c r="A22" s="85" t="n">
        <v>15</v>
      </c>
      <c r="B22" s="86">
        <f>IF(LEFT(F22,9)="Taken van",1,IF(LEFT(F22,14)="Start vulshift",2,IF(LEFT(F22,8)="Levering",3,0)))</f>
        <v/>
      </c>
      <c r="C22" s="85">
        <f>E22-E21</f>
        <v/>
      </c>
      <c r="D22" s="1049">
        <f>SMALL(OFFSET('Werkschema - Instelling'!$AA$3:$AA$172,0,$H$6*2),A22)</f>
        <v/>
      </c>
      <c r="E22" s="1054">
        <f>IFERROR(IF(D22-D21&lt;0.0001,"",$D22-VLOOKUP($F22,'Werkschema - Instelling'!$A$3:$Z$172,26,FALSE)),1)</f>
        <v/>
      </c>
      <c r="F22" s="1055">
        <f>IF(D22&gt;0.958333333,"",IF($H$6=0, VLOOKUP($D22,'Werkschema - Instelling'!$AA$3:$AO$172,15,FALSE),IF($H$6=1,VLOOKUP($D22,'Werkschema - Instelling'!$AC$3:$AO$172,13,FALSE),IF($H$6=2,VLOOKUP($D22,'Werkschema - Instelling'!$AE$3:$AO$172,11,FALSE),IF($H$6=3,VLOOKUP($D22,'Werkschema - Instelling'!$AG$3:$AO$172,9,FALSE),IF($H$6=4,VLOOKUP($D22,'Werkschema - Instelling'!$AI$3:$AO$172,7,FALSE),IF($H$6=5,VLOOKUP($D22,'Werkschema - Instelling'!$AK$3:$AO$172,5,FALSE),VLOOKUP($D22,'Werkschema - Instelling'!$AM$3:$AO$172,3,FALSE))))))))</f>
        <v/>
      </c>
      <c r="G22" s="1056">
        <f>IF(D22&gt;0.958333333,"", IF($H$6=0, VLOOKUP($D22,'Werkschema - Instelling'!$AA$3:$AP$172,16,FALSE),IF($H$6=1,VLOOKUP($D22,'Werkschema - Instelling'!$AC$3:$AP$172,14,FALSE),IF($H$6=2,VLOOKUP($D22,'Werkschema - Instelling'!$AE$3:$AP$172,12,FALSE),IF($H$6=3,VLOOKUP($D22,'Werkschema - Instelling'!$AG$3:$AP$172,10,FALSE),IF($H$6=4,VLOOKUP($D22,'Werkschema - Instelling'!$AI$3:$AP$172,8,FALSE),IF($H$6=5,VLOOKUP($D22,'Werkschema - Instelling'!$AK$3:$AP$172,6,FALSE),VLOOKUP($D22,'Werkschema - Instelling'!$AM$3:$AP$172,4,FALSE))))))))</f>
        <v/>
      </c>
      <c r="H22" s="1057">
        <f>IF($D22&gt;0.985333333,"", IF($H$6=0, VLOOKUP($D22,'Werkschema - Instelling'!$AA$3:$AB$172,2,FALSE),IF($H$6=1,VLOOKUP($D22,'Werkschema - Instelling'!$AC$3:$AD$172,2,FALSE),IF($H$6=2,VLOOKUP($D22,'Werkschema - Instelling'!$AE$3:$AF$172,2,FALSE),IF($H$6=3,VLOOKUP($D22,'Werkschema - Instelling'!$AG$3:$AH$172,2,FALSE),IF($H$6=4,VLOOKUP($D22,'Werkschema - Instelling'!$AI$3:$AJ$172,2,FALSE),IF($H$6=5,VLOOKUP($D22,'Werkschema - Instelling'!$AK$3:$AL$172,2,FALSE),VLOOKUP($D22,'Werkschema - Instelling'!$AM$3:$AN$172,2,FALSE))))))))</f>
        <v/>
      </c>
      <c r="I22" s="3" t="n"/>
    </row>
    <row r="23" ht="15" customHeight="1">
      <c r="A23" s="85" t="n">
        <v>16</v>
      </c>
      <c r="B23" s="86">
        <f>IF(LEFT(F23,9)="Taken van",1,IF(LEFT(F23,14)="Start vulshift",2,IF(LEFT(F23,8)="Levering",3,0)))</f>
        <v/>
      </c>
      <c r="C23" s="85">
        <f>E23-E22</f>
        <v/>
      </c>
      <c r="D23" s="1049">
        <f>SMALL(OFFSET('Werkschema - Instelling'!$AA$3:$AA$172,0,$H$6*2),A23)</f>
        <v/>
      </c>
      <c r="E23" s="1054">
        <f>IFERROR(IF(D23-D22&lt;0.0001,"",$D23-VLOOKUP($F23,'Werkschema - Instelling'!$A$3:$Z$172,26,FALSE)),1)</f>
        <v/>
      </c>
      <c r="F23" s="1055">
        <f>IF(D23&gt;0.958333333,"",IF($H$6=0, VLOOKUP($D23,'Werkschema - Instelling'!$AA$3:$AO$172,15,FALSE),IF($H$6=1,VLOOKUP($D23,'Werkschema - Instelling'!$AC$3:$AO$172,13,FALSE),IF($H$6=2,VLOOKUP($D23,'Werkschema - Instelling'!$AE$3:$AO$172,11,FALSE),IF($H$6=3,VLOOKUP($D23,'Werkschema - Instelling'!$AG$3:$AO$172,9,FALSE),IF($H$6=4,VLOOKUP($D23,'Werkschema - Instelling'!$AI$3:$AO$172,7,FALSE),IF($H$6=5,VLOOKUP($D23,'Werkschema - Instelling'!$AK$3:$AO$172,5,FALSE),VLOOKUP($D23,'Werkschema - Instelling'!$AM$3:$AO$172,3,FALSE))))))))</f>
        <v/>
      </c>
      <c r="G23" s="1056">
        <f>IF(D23&gt;0.958333333,"", IF($H$6=0, VLOOKUP($D23,'Werkschema - Instelling'!$AA$3:$AP$172,16,FALSE),IF($H$6=1,VLOOKUP($D23,'Werkschema - Instelling'!$AC$3:$AP$172,14,FALSE),IF($H$6=2,VLOOKUP($D23,'Werkschema - Instelling'!$AE$3:$AP$172,12,FALSE),IF($H$6=3,VLOOKUP($D23,'Werkschema - Instelling'!$AG$3:$AP$172,10,FALSE),IF($H$6=4,VLOOKUP($D23,'Werkschema - Instelling'!$AI$3:$AP$172,8,FALSE),IF($H$6=5,VLOOKUP($D23,'Werkschema - Instelling'!$AK$3:$AP$172,6,FALSE),VLOOKUP($D23,'Werkschema - Instelling'!$AM$3:$AP$172,4,FALSE))))))))</f>
        <v/>
      </c>
      <c r="H23" s="1057">
        <f>IF($D23&gt;0.985333333,"", IF($H$6=0, VLOOKUP($D23,'Werkschema - Instelling'!$AA$3:$AB$172,2,FALSE),IF($H$6=1,VLOOKUP($D23,'Werkschema - Instelling'!$AC$3:$AD$172,2,FALSE),IF($H$6=2,VLOOKUP($D23,'Werkschema - Instelling'!$AE$3:$AF$172,2,FALSE),IF($H$6=3,VLOOKUP($D23,'Werkschema - Instelling'!$AG$3:$AH$172,2,FALSE),IF($H$6=4,VLOOKUP($D23,'Werkschema - Instelling'!$AI$3:$AJ$172,2,FALSE),IF($H$6=5,VLOOKUP($D23,'Werkschema - Instelling'!$AK$3:$AL$172,2,FALSE),VLOOKUP($D23,'Werkschema - Instelling'!$AM$3:$AN$172,2,FALSE))))))))</f>
        <v/>
      </c>
      <c r="I23" s="3" t="n"/>
    </row>
    <row r="24" ht="15" customHeight="1">
      <c r="A24" s="85" t="n">
        <v>17</v>
      </c>
      <c r="B24" s="86">
        <f>IF(LEFT(F24,9)="Taken van",1,IF(LEFT(F24,14)="Start vulshift",2,IF(LEFT(F24,8)="Levering",3,0)))</f>
        <v/>
      </c>
      <c r="C24" s="85">
        <f>E24-E23</f>
        <v/>
      </c>
      <c r="D24" s="1049">
        <f>SMALL(OFFSET('Werkschema - Instelling'!$AA$3:$AA$172,0,$H$6*2),A24)</f>
        <v/>
      </c>
      <c r="E24" s="1054">
        <f>IFERROR(IF(D24-D23&lt;0.0001,"",$D24-VLOOKUP($F24,'Werkschema - Instelling'!$A$3:$Z$172,26,FALSE)),1)</f>
        <v/>
      </c>
      <c r="F24" s="1055">
        <f>IF(D24&gt;0.958333333,"",IF($H$6=0, VLOOKUP($D24,'Werkschema - Instelling'!$AA$3:$AO$172,15,FALSE),IF($H$6=1,VLOOKUP($D24,'Werkschema - Instelling'!$AC$3:$AO$172,13,FALSE),IF($H$6=2,VLOOKUP($D24,'Werkschema - Instelling'!$AE$3:$AO$172,11,FALSE),IF($H$6=3,VLOOKUP($D24,'Werkschema - Instelling'!$AG$3:$AO$172,9,FALSE),IF($H$6=4,VLOOKUP($D24,'Werkschema - Instelling'!$AI$3:$AO$172,7,FALSE),IF($H$6=5,VLOOKUP($D24,'Werkschema - Instelling'!$AK$3:$AO$172,5,FALSE),VLOOKUP($D24,'Werkschema - Instelling'!$AM$3:$AO$172,3,FALSE))))))))</f>
        <v/>
      </c>
      <c r="G24" s="1056">
        <f>IF(D24&gt;0.958333333,"", IF($H$6=0, VLOOKUP($D24,'Werkschema - Instelling'!$AA$3:$AP$172,16,FALSE),IF($H$6=1,VLOOKUP($D24,'Werkschema - Instelling'!$AC$3:$AP$172,14,FALSE),IF($H$6=2,VLOOKUP($D24,'Werkschema - Instelling'!$AE$3:$AP$172,12,FALSE),IF($H$6=3,VLOOKUP($D24,'Werkschema - Instelling'!$AG$3:$AP$172,10,FALSE),IF($H$6=4,VLOOKUP($D24,'Werkschema - Instelling'!$AI$3:$AP$172,8,FALSE),IF($H$6=5,VLOOKUP($D24,'Werkschema - Instelling'!$AK$3:$AP$172,6,FALSE),VLOOKUP($D24,'Werkschema - Instelling'!$AM$3:$AP$172,4,FALSE))))))))</f>
        <v/>
      </c>
      <c r="H24" s="1057">
        <f>IF($D24&gt;0.985333333,"", IF($H$6=0, VLOOKUP($D24,'Werkschema - Instelling'!$AA$3:$AB$172,2,FALSE),IF($H$6=1,VLOOKUP($D24,'Werkschema - Instelling'!$AC$3:$AD$172,2,FALSE),IF($H$6=2,VLOOKUP($D24,'Werkschema - Instelling'!$AE$3:$AF$172,2,FALSE),IF($H$6=3,VLOOKUP($D24,'Werkschema - Instelling'!$AG$3:$AH$172,2,FALSE),IF($H$6=4,VLOOKUP($D24,'Werkschema - Instelling'!$AI$3:$AJ$172,2,FALSE),IF($H$6=5,VLOOKUP($D24,'Werkschema - Instelling'!$AK$3:$AL$172,2,FALSE),VLOOKUP($D24,'Werkschema - Instelling'!$AM$3:$AN$172,2,FALSE))))))))</f>
        <v/>
      </c>
      <c r="I24" s="3" t="n"/>
    </row>
    <row r="25" ht="15" customHeight="1">
      <c r="A25" s="85" t="n">
        <v>18</v>
      </c>
      <c r="B25" s="86">
        <f>IF(LEFT(F25,9)="Taken van",1,IF(LEFT(F25,14)="Start vulshift",2,IF(LEFT(F25,8)="Levering",3,0)))</f>
        <v/>
      </c>
      <c r="C25" s="85">
        <f>E25-E24</f>
        <v/>
      </c>
      <c r="D25" s="1049">
        <f>SMALL(OFFSET('Werkschema - Instelling'!$AA$3:$AA$172,0,$H$6*2),A25)</f>
        <v/>
      </c>
      <c r="E25" s="1054">
        <f>IFERROR(IF(D25-D24&lt;0.0001,"",$D25-VLOOKUP($F25,'Werkschema - Instelling'!$A$3:$Z$172,26,FALSE)),1)</f>
        <v/>
      </c>
      <c r="F25" s="1055">
        <f>IF(D25&gt;0.958333333,"",IF($H$6=0, VLOOKUP($D25,'Werkschema - Instelling'!$AA$3:$AO$172,15,FALSE),IF($H$6=1,VLOOKUP($D25,'Werkschema - Instelling'!$AC$3:$AO$172,13,FALSE),IF($H$6=2,VLOOKUP($D25,'Werkschema - Instelling'!$AE$3:$AO$172,11,FALSE),IF($H$6=3,VLOOKUP($D25,'Werkschema - Instelling'!$AG$3:$AO$172,9,FALSE),IF($H$6=4,VLOOKUP($D25,'Werkschema - Instelling'!$AI$3:$AO$172,7,FALSE),IF($H$6=5,VLOOKUP($D25,'Werkschema - Instelling'!$AK$3:$AO$172,5,FALSE),VLOOKUP($D25,'Werkschema - Instelling'!$AM$3:$AO$172,3,FALSE))))))))</f>
        <v/>
      </c>
      <c r="G25" s="1056">
        <f>IF(D25&gt;0.958333333,"", IF($H$6=0, VLOOKUP($D25,'Werkschema - Instelling'!$AA$3:$AP$172,16,FALSE),IF($H$6=1,VLOOKUP($D25,'Werkschema - Instelling'!$AC$3:$AP$172,14,FALSE),IF($H$6=2,VLOOKUP($D25,'Werkschema - Instelling'!$AE$3:$AP$172,12,FALSE),IF($H$6=3,VLOOKUP($D25,'Werkschema - Instelling'!$AG$3:$AP$172,10,FALSE),IF($H$6=4,VLOOKUP($D25,'Werkschema - Instelling'!$AI$3:$AP$172,8,FALSE),IF($H$6=5,VLOOKUP($D25,'Werkschema - Instelling'!$AK$3:$AP$172,6,FALSE),VLOOKUP($D25,'Werkschema - Instelling'!$AM$3:$AP$172,4,FALSE))))))))</f>
        <v/>
      </c>
      <c r="H25" s="1057">
        <f>IF($D25&gt;0.985333333,"", IF($H$6=0, VLOOKUP($D25,'Werkschema - Instelling'!$AA$3:$AB$172,2,FALSE),IF($H$6=1,VLOOKUP($D25,'Werkschema - Instelling'!$AC$3:$AD$172,2,FALSE),IF($H$6=2,VLOOKUP($D25,'Werkschema - Instelling'!$AE$3:$AF$172,2,FALSE),IF($H$6=3,VLOOKUP($D25,'Werkschema - Instelling'!$AG$3:$AH$172,2,FALSE),IF($H$6=4,VLOOKUP($D25,'Werkschema - Instelling'!$AI$3:$AJ$172,2,FALSE),IF($H$6=5,VLOOKUP($D25,'Werkschema - Instelling'!$AK$3:$AL$172,2,FALSE),VLOOKUP($D25,'Werkschema - Instelling'!$AM$3:$AN$172,2,FALSE))))))))</f>
        <v/>
      </c>
      <c r="I25" s="3" t="n"/>
    </row>
    <row r="26" ht="15" customHeight="1">
      <c r="A26" s="85" t="n">
        <v>19</v>
      </c>
      <c r="B26" s="86">
        <f>IF(LEFT(F26,9)="Taken van",1,IF(LEFT(F26,14)="Start vulshift",2,IF(LEFT(F26,8)="Levering",3,0)))</f>
        <v/>
      </c>
      <c r="C26" s="85">
        <f>E26-E25</f>
        <v/>
      </c>
      <c r="D26" s="1049">
        <f>SMALL(OFFSET('Werkschema - Instelling'!$AA$3:$AA$172,0,$H$6*2),A26)</f>
        <v/>
      </c>
      <c r="E26" s="1054">
        <f>IFERROR(IF(D26-D25&lt;0.0001,"",$D26-VLOOKUP($F26,'Werkschema - Instelling'!$A$3:$Z$172,26,FALSE)),1)</f>
        <v/>
      </c>
      <c r="F26" s="1055">
        <f>IF(D26&gt;0.958333333,"",IF($H$6=0, VLOOKUP($D26,'Werkschema - Instelling'!$AA$3:$AO$172,15,FALSE),IF($H$6=1,VLOOKUP($D26,'Werkschema - Instelling'!$AC$3:$AO$172,13,FALSE),IF($H$6=2,VLOOKUP($D26,'Werkschema - Instelling'!$AE$3:$AO$172,11,FALSE),IF($H$6=3,VLOOKUP($D26,'Werkschema - Instelling'!$AG$3:$AO$172,9,FALSE),IF($H$6=4,VLOOKUP($D26,'Werkschema - Instelling'!$AI$3:$AO$172,7,FALSE),IF($H$6=5,VLOOKUP($D26,'Werkschema - Instelling'!$AK$3:$AO$172,5,FALSE),VLOOKUP($D26,'Werkschema - Instelling'!$AM$3:$AO$172,3,FALSE))))))))</f>
        <v/>
      </c>
      <c r="G26" s="1056">
        <f>IF(D26&gt;0.958333333,"", IF($H$6=0, VLOOKUP($D26,'Werkschema - Instelling'!$AA$3:$AP$172,16,FALSE),IF($H$6=1,VLOOKUP($D26,'Werkschema - Instelling'!$AC$3:$AP$172,14,FALSE),IF($H$6=2,VLOOKUP($D26,'Werkschema - Instelling'!$AE$3:$AP$172,12,FALSE),IF($H$6=3,VLOOKUP($D26,'Werkschema - Instelling'!$AG$3:$AP$172,10,FALSE),IF($H$6=4,VLOOKUP($D26,'Werkschema - Instelling'!$AI$3:$AP$172,8,FALSE),IF($H$6=5,VLOOKUP($D26,'Werkschema - Instelling'!$AK$3:$AP$172,6,FALSE),VLOOKUP($D26,'Werkschema - Instelling'!$AM$3:$AP$172,4,FALSE))))))))</f>
        <v/>
      </c>
      <c r="H26" s="1057">
        <f>IF($D26&gt;0.985333333,"", IF($H$6=0, VLOOKUP($D26,'Werkschema - Instelling'!$AA$3:$AB$172,2,FALSE),IF($H$6=1,VLOOKUP($D26,'Werkschema - Instelling'!$AC$3:$AD$172,2,FALSE),IF($H$6=2,VLOOKUP($D26,'Werkschema - Instelling'!$AE$3:$AF$172,2,FALSE),IF($H$6=3,VLOOKUP($D26,'Werkschema - Instelling'!$AG$3:$AH$172,2,FALSE),IF($H$6=4,VLOOKUP($D26,'Werkschema - Instelling'!$AI$3:$AJ$172,2,FALSE),IF($H$6=5,VLOOKUP($D26,'Werkschema - Instelling'!$AK$3:$AL$172,2,FALSE),VLOOKUP($D26,'Werkschema - Instelling'!$AM$3:$AN$172,2,FALSE))))))))</f>
        <v/>
      </c>
      <c r="I26" s="3" t="n"/>
    </row>
    <row r="27" ht="15" customHeight="1">
      <c r="A27" s="85" t="n">
        <v>20</v>
      </c>
      <c r="B27" s="86">
        <f>IF(LEFT(F27,9)="Taken van",1,IF(LEFT(F27,14)="Start vulshift",2,IF(LEFT(F27,8)="Levering",3,0)))</f>
        <v/>
      </c>
      <c r="C27" s="85">
        <f>E27-E26</f>
        <v/>
      </c>
      <c r="D27" s="1049">
        <f>SMALL(OFFSET('Werkschema - Instelling'!$AA$3:$AA$172,0,$H$6*2),A27)</f>
        <v/>
      </c>
      <c r="E27" s="1054">
        <f>IFERROR(IF(D27-D26&lt;0.0001,"",$D27-VLOOKUP($F27,'Werkschema - Instelling'!$A$3:$Z$172,26,FALSE)),1)</f>
        <v/>
      </c>
      <c r="F27" s="1055">
        <f>IF(D27&gt;0.958333333,"",IF($H$6=0, VLOOKUP($D27,'Werkschema - Instelling'!$AA$3:$AO$172,15,FALSE),IF($H$6=1,VLOOKUP($D27,'Werkschema - Instelling'!$AC$3:$AO$172,13,FALSE),IF($H$6=2,VLOOKUP($D27,'Werkschema - Instelling'!$AE$3:$AO$172,11,FALSE),IF($H$6=3,VLOOKUP($D27,'Werkschema - Instelling'!$AG$3:$AO$172,9,FALSE),IF($H$6=4,VLOOKUP($D27,'Werkschema - Instelling'!$AI$3:$AO$172,7,FALSE),IF($H$6=5,VLOOKUP($D27,'Werkschema - Instelling'!$AK$3:$AO$172,5,FALSE),VLOOKUP($D27,'Werkschema - Instelling'!$AM$3:$AO$172,3,FALSE))))))))</f>
        <v/>
      </c>
      <c r="G27" s="1056">
        <f>IF(D27&gt;0.958333333,"", IF($H$6=0, VLOOKUP($D27,'Werkschema - Instelling'!$AA$3:$AP$172,16,FALSE),IF($H$6=1,VLOOKUP($D27,'Werkschema - Instelling'!$AC$3:$AP$172,14,FALSE),IF($H$6=2,VLOOKUP($D27,'Werkschema - Instelling'!$AE$3:$AP$172,12,FALSE),IF($H$6=3,VLOOKUP($D27,'Werkschema - Instelling'!$AG$3:$AP$172,10,FALSE),IF($H$6=4,VLOOKUP($D27,'Werkschema - Instelling'!$AI$3:$AP$172,8,FALSE),IF($H$6=5,VLOOKUP($D27,'Werkschema - Instelling'!$AK$3:$AP$172,6,FALSE),VLOOKUP($D27,'Werkschema - Instelling'!$AM$3:$AP$172,4,FALSE))))))))</f>
        <v/>
      </c>
      <c r="H27" s="1057">
        <f>IF($D27&gt;0.985333333,"", IF($H$6=0, VLOOKUP($D27,'Werkschema - Instelling'!$AA$3:$AB$172,2,FALSE),IF($H$6=1,VLOOKUP($D27,'Werkschema - Instelling'!$AC$3:$AD$172,2,FALSE),IF($H$6=2,VLOOKUP($D27,'Werkschema - Instelling'!$AE$3:$AF$172,2,FALSE),IF($H$6=3,VLOOKUP($D27,'Werkschema - Instelling'!$AG$3:$AH$172,2,FALSE),IF($H$6=4,VLOOKUP($D27,'Werkschema - Instelling'!$AI$3:$AJ$172,2,FALSE),IF($H$6=5,VLOOKUP($D27,'Werkschema - Instelling'!$AK$3:$AL$172,2,FALSE),VLOOKUP($D27,'Werkschema - Instelling'!$AM$3:$AN$172,2,FALSE))))))))</f>
        <v/>
      </c>
      <c r="I27" s="3" t="n"/>
    </row>
    <row r="28" ht="15" customHeight="1">
      <c r="A28" s="85" t="n">
        <v>21</v>
      </c>
      <c r="B28" s="86">
        <f>IF(LEFT(F28,9)="Taken van",1,IF(LEFT(F28,14)="Start vulshift",2,IF(LEFT(F28,8)="Levering",3,0)))</f>
        <v/>
      </c>
      <c r="C28" s="85">
        <f>E28-E27</f>
        <v/>
      </c>
      <c r="D28" s="1049">
        <f>SMALL(OFFSET('Werkschema - Instelling'!$AA$3:$AA$172,0,$H$6*2),A28)</f>
        <v/>
      </c>
      <c r="E28" s="1054">
        <f>IFERROR(IF(D28-D27&lt;0.0001,"",$D28-VLOOKUP($F28,'Werkschema - Instelling'!$A$3:$Z$172,26,FALSE)),1)</f>
        <v/>
      </c>
      <c r="F28" s="1055">
        <f>IF(D28&gt;0.958333333,"",IF($H$6=0, VLOOKUP($D28,'Werkschema - Instelling'!$AA$3:$AO$172,15,FALSE),IF($H$6=1,VLOOKUP($D28,'Werkschema - Instelling'!$AC$3:$AO$172,13,FALSE),IF($H$6=2,VLOOKUP($D28,'Werkschema - Instelling'!$AE$3:$AO$172,11,FALSE),IF($H$6=3,VLOOKUP($D28,'Werkschema - Instelling'!$AG$3:$AO$172,9,FALSE),IF($H$6=4,VLOOKUP($D28,'Werkschema - Instelling'!$AI$3:$AO$172,7,FALSE),IF($H$6=5,VLOOKUP($D28,'Werkschema - Instelling'!$AK$3:$AO$172,5,FALSE),VLOOKUP($D28,'Werkschema - Instelling'!$AM$3:$AO$172,3,FALSE))))))))</f>
        <v/>
      </c>
      <c r="G28" s="1056">
        <f>IF(D28&gt;0.958333333,"", IF($H$6=0, VLOOKUP($D28,'Werkschema - Instelling'!$AA$3:$AP$172,16,FALSE),IF($H$6=1,VLOOKUP($D28,'Werkschema - Instelling'!$AC$3:$AP$172,14,FALSE),IF($H$6=2,VLOOKUP($D28,'Werkschema - Instelling'!$AE$3:$AP$172,12,FALSE),IF($H$6=3,VLOOKUP($D28,'Werkschema - Instelling'!$AG$3:$AP$172,10,FALSE),IF($H$6=4,VLOOKUP($D28,'Werkschema - Instelling'!$AI$3:$AP$172,8,FALSE),IF($H$6=5,VLOOKUP($D28,'Werkschema - Instelling'!$AK$3:$AP$172,6,FALSE),VLOOKUP($D28,'Werkschema - Instelling'!$AM$3:$AP$172,4,FALSE))))))))</f>
        <v/>
      </c>
      <c r="H28" s="1057">
        <f>IF($D28&gt;0.985333333,"", IF($H$6=0, VLOOKUP($D28,'Werkschema - Instelling'!$AA$3:$AB$172,2,FALSE),IF($H$6=1,VLOOKUP($D28,'Werkschema - Instelling'!$AC$3:$AD$172,2,FALSE),IF($H$6=2,VLOOKUP($D28,'Werkschema - Instelling'!$AE$3:$AF$172,2,FALSE),IF($H$6=3,VLOOKUP($D28,'Werkschema - Instelling'!$AG$3:$AH$172,2,FALSE),IF($H$6=4,VLOOKUP($D28,'Werkschema - Instelling'!$AI$3:$AJ$172,2,FALSE),IF($H$6=5,VLOOKUP($D28,'Werkschema - Instelling'!$AK$3:$AL$172,2,FALSE),VLOOKUP($D28,'Werkschema - Instelling'!$AM$3:$AN$172,2,FALSE))))))))</f>
        <v/>
      </c>
      <c r="I28" s="3" t="n"/>
    </row>
    <row r="29" ht="15" customHeight="1">
      <c r="A29" s="85" t="n">
        <v>22</v>
      </c>
      <c r="B29" s="86">
        <f>IF(LEFT(F29,9)="Taken van",1,IF(LEFT(F29,14)="Start vulshift",2,IF(LEFT(F29,8)="Levering",3,0)))</f>
        <v/>
      </c>
      <c r="C29" s="85">
        <f>E29-E28</f>
        <v/>
      </c>
      <c r="D29" s="1049">
        <f>SMALL(OFFSET('Werkschema - Instelling'!$AA$3:$AA$172,0,$H$6*2),A29)</f>
        <v/>
      </c>
      <c r="E29" s="1054">
        <f>IFERROR(IF(D29-D28&lt;0.0001,"",$D29-VLOOKUP($F29,'Werkschema - Instelling'!$A$3:$Z$172,26,FALSE)),1)</f>
        <v/>
      </c>
      <c r="F29" s="1055">
        <f>IF(D29&gt;0.958333333,"",IF($H$6=0, VLOOKUP($D29,'Werkschema - Instelling'!$AA$3:$AO$172,15,FALSE),IF($H$6=1,VLOOKUP($D29,'Werkschema - Instelling'!$AC$3:$AO$172,13,FALSE),IF($H$6=2,VLOOKUP($D29,'Werkschema - Instelling'!$AE$3:$AO$172,11,FALSE),IF($H$6=3,VLOOKUP($D29,'Werkschema - Instelling'!$AG$3:$AO$172,9,FALSE),IF($H$6=4,VLOOKUP($D29,'Werkschema - Instelling'!$AI$3:$AO$172,7,FALSE),IF($H$6=5,VLOOKUP($D29,'Werkschema - Instelling'!$AK$3:$AO$172,5,FALSE),VLOOKUP($D29,'Werkschema - Instelling'!$AM$3:$AO$172,3,FALSE))))))))</f>
        <v/>
      </c>
      <c r="G29" s="1056">
        <f>IF(D29&gt;0.958333333,"", IF($H$6=0, VLOOKUP($D29,'Werkschema - Instelling'!$AA$3:$AP$172,16,FALSE),IF($H$6=1,VLOOKUP($D29,'Werkschema - Instelling'!$AC$3:$AP$172,14,FALSE),IF($H$6=2,VLOOKUP($D29,'Werkschema - Instelling'!$AE$3:$AP$172,12,FALSE),IF($H$6=3,VLOOKUP($D29,'Werkschema - Instelling'!$AG$3:$AP$172,10,FALSE),IF($H$6=4,VLOOKUP($D29,'Werkschema - Instelling'!$AI$3:$AP$172,8,FALSE),IF($H$6=5,VLOOKUP($D29,'Werkschema - Instelling'!$AK$3:$AP$172,6,FALSE),VLOOKUP($D29,'Werkschema - Instelling'!$AM$3:$AP$172,4,FALSE))))))))</f>
        <v/>
      </c>
      <c r="H29" s="1057">
        <f>IF($D29&gt;0.985333333,"", IF($H$6=0, VLOOKUP($D29,'Werkschema - Instelling'!$AA$3:$AB$172,2,FALSE),IF($H$6=1,VLOOKUP($D29,'Werkschema - Instelling'!$AC$3:$AD$172,2,FALSE),IF($H$6=2,VLOOKUP($D29,'Werkschema - Instelling'!$AE$3:$AF$172,2,FALSE),IF($H$6=3,VLOOKUP($D29,'Werkschema - Instelling'!$AG$3:$AH$172,2,FALSE),IF($H$6=4,VLOOKUP($D29,'Werkschema - Instelling'!$AI$3:$AJ$172,2,FALSE),IF($H$6=5,VLOOKUP($D29,'Werkschema - Instelling'!$AK$3:$AL$172,2,FALSE),VLOOKUP($D29,'Werkschema - Instelling'!$AM$3:$AN$172,2,FALSE))))))))</f>
        <v/>
      </c>
      <c r="I29" s="3" t="n"/>
    </row>
    <row r="30" ht="15" customHeight="1">
      <c r="A30" s="85" t="n">
        <v>23</v>
      </c>
      <c r="B30" s="86">
        <f>IF(LEFT(F30,9)="Taken van",1,IF(LEFT(F30,14)="Start vulshift",2,IF(LEFT(F30,8)="Levering",3,0)))</f>
        <v/>
      </c>
      <c r="C30" s="85">
        <f>E30-E29</f>
        <v/>
      </c>
      <c r="D30" s="1049">
        <f>SMALL(OFFSET('Werkschema - Instelling'!$AA$3:$AA$172,0,$H$6*2),A30)</f>
        <v/>
      </c>
      <c r="E30" s="1054">
        <f>IFERROR(IF(D30-D29&lt;0.0001,"",$D30-VLOOKUP($F30,'Werkschema - Instelling'!$A$3:$Z$172,26,FALSE)),1)</f>
        <v/>
      </c>
      <c r="F30" s="1055">
        <f>IF(D30&gt;0.958333333,"",IF($H$6=0, VLOOKUP($D30,'Werkschema - Instelling'!$AA$3:$AO$172,15,FALSE),IF($H$6=1,VLOOKUP($D30,'Werkschema - Instelling'!$AC$3:$AO$172,13,FALSE),IF($H$6=2,VLOOKUP($D30,'Werkschema - Instelling'!$AE$3:$AO$172,11,FALSE),IF($H$6=3,VLOOKUP($D30,'Werkschema - Instelling'!$AG$3:$AO$172,9,FALSE),IF($H$6=4,VLOOKUP($D30,'Werkschema - Instelling'!$AI$3:$AO$172,7,FALSE),IF($H$6=5,VLOOKUP($D30,'Werkschema - Instelling'!$AK$3:$AO$172,5,FALSE),VLOOKUP($D30,'Werkschema - Instelling'!$AM$3:$AO$172,3,FALSE))))))))</f>
        <v/>
      </c>
      <c r="G30" s="1056">
        <f>IF(D30&gt;0.958333333,"", IF($H$6=0, VLOOKUP($D30,'Werkschema - Instelling'!$AA$3:$AP$172,16,FALSE),IF($H$6=1,VLOOKUP($D30,'Werkschema - Instelling'!$AC$3:$AP$172,14,FALSE),IF($H$6=2,VLOOKUP($D30,'Werkschema - Instelling'!$AE$3:$AP$172,12,FALSE),IF($H$6=3,VLOOKUP($D30,'Werkschema - Instelling'!$AG$3:$AP$172,10,FALSE),IF($H$6=4,VLOOKUP($D30,'Werkschema - Instelling'!$AI$3:$AP$172,8,FALSE),IF($H$6=5,VLOOKUP($D30,'Werkschema - Instelling'!$AK$3:$AP$172,6,FALSE),VLOOKUP($D30,'Werkschema - Instelling'!$AM$3:$AP$172,4,FALSE))))))))</f>
        <v/>
      </c>
      <c r="H30" s="1057">
        <f>IF($D30&gt;0.985333333,"", IF($H$6=0, VLOOKUP($D30,'Werkschema - Instelling'!$AA$3:$AB$172,2,FALSE),IF($H$6=1,VLOOKUP($D30,'Werkschema - Instelling'!$AC$3:$AD$172,2,FALSE),IF($H$6=2,VLOOKUP($D30,'Werkschema - Instelling'!$AE$3:$AF$172,2,FALSE),IF($H$6=3,VLOOKUP($D30,'Werkschema - Instelling'!$AG$3:$AH$172,2,FALSE),IF($H$6=4,VLOOKUP($D30,'Werkschema - Instelling'!$AI$3:$AJ$172,2,FALSE),IF($H$6=5,VLOOKUP($D30,'Werkschema - Instelling'!$AK$3:$AL$172,2,FALSE),VLOOKUP($D30,'Werkschema - Instelling'!$AM$3:$AN$172,2,FALSE))))))))</f>
        <v/>
      </c>
      <c r="I30" s="3" t="n"/>
    </row>
    <row r="31" ht="15" customHeight="1">
      <c r="A31" s="85" t="n">
        <v>24</v>
      </c>
      <c r="B31" s="86">
        <f>IF(LEFT(F31,9)="Taken van",1,IF(LEFT(F31,14)="Start vulshift",2,IF(LEFT(F31,8)="Levering",3,0)))</f>
        <v/>
      </c>
      <c r="C31" s="85">
        <f>E31-E30</f>
        <v/>
      </c>
      <c r="D31" s="1049">
        <f>SMALL(OFFSET('Werkschema - Instelling'!$AA$3:$AA$172,0,$H$6*2),A31)</f>
        <v/>
      </c>
      <c r="E31" s="1054">
        <f>IFERROR(IF(D31-D30&lt;0.0001,"",$D31-VLOOKUP($F31,'Werkschema - Instelling'!$A$3:$Z$172,26,FALSE)),1)</f>
        <v/>
      </c>
      <c r="F31" s="1055">
        <f>IF(D31&gt;0.958333333,"",IF($H$6=0, VLOOKUP($D31,'Werkschema - Instelling'!$AA$3:$AO$172,15,FALSE),IF($H$6=1,VLOOKUP($D31,'Werkschema - Instelling'!$AC$3:$AO$172,13,FALSE),IF($H$6=2,VLOOKUP($D31,'Werkschema - Instelling'!$AE$3:$AO$172,11,FALSE),IF($H$6=3,VLOOKUP($D31,'Werkschema - Instelling'!$AG$3:$AO$172,9,FALSE),IF($H$6=4,VLOOKUP($D31,'Werkschema - Instelling'!$AI$3:$AO$172,7,FALSE),IF($H$6=5,VLOOKUP($D31,'Werkschema - Instelling'!$AK$3:$AO$172,5,FALSE),VLOOKUP($D31,'Werkschema - Instelling'!$AM$3:$AO$172,3,FALSE))))))))</f>
        <v/>
      </c>
      <c r="G31" s="1056">
        <f>IF(D31&gt;0.958333333,"", IF($H$6=0, VLOOKUP($D31,'Werkschema - Instelling'!$AA$3:$AP$172,16,FALSE),IF($H$6=1,VLOOKUP($D31,'Werkschema - Instelling'!$AC$3:$AP$172,14,FALSE),IF($H$6=2,VLOOKUP($D31,'Werkschema - Instelling'!$AE$3:$AP$172,12,FALSE),IF($H$6=3,VLOOKUP($D31,'Werkschema - Instelling'!$AG$3:$AP$172,10,FALSE),IF($H$6=4,VLOOKUP($D31,'Werkschema - Instelling'!$AI$3:$AP$172,8,FALSE),IF($H$6=5,VLOOKUP($D31,'Werkschema - Instelling'!$AK$3:$AP$172,6,FALSE),VLOOKUP($D31,'Werkschema - Instelling'!$AM$3:$AP$172,4,FALSE))))))))</f>
        <v/>
      </c>
      <c r="H31" s="1057">
        <f>IF($D31&gt;0.985333333,"", IF($H$6=0, VLOOKUP($D31,'Werkschema - Instelling'!$AA$3:$AB$172,2,FALSE),IF($H$6=1,VLOOKUP($D31,'Werkschema - Instelling'!$AC$3:$AD$172,2,FALSE),IF($H$6=2,VLOOKUP($D31,'Werkschema - Instelling'!$AE$3:$AF$172,2,FALSE),IF($H$6=3,VLOOKUP($D31,'Werkschema - Instelling'!$AG$3:$AH$172,2,FALSE),IF($H$6=4,VLOOKUP($D31,'Werkschema - Instelling'!$AI$3:$AJ$172,2,FALSE),IF($H$6=5,VLOOKUP($D31,'Werkschema - Instelling'!$AK$3:$AL$172,2,FALSE),VLOOKUP($D31,'Werkschema - Instelling'!$AM$3:$AN$172,2,FALSE))))))))</f>
        <v/>
      </c>
      <c r="I31" s="3" t="n"/>
    </row>
    <row r="32" ht="15" customHeight="1">
      <c r="A32" s="85" t="n">
        <v>25</v>
      </c>
      <c r="B32" s="86">
        <f>IF(LEFT(F32,9)="Taken van",1,IF(LEFT(F32,14)="Start vulshift",2,IF(LEFT(F32,8)="Levering",3,0)))</f>
        <v/>
      </c>
      <c r="C32" s="85">
        <f>E32-E31</f>
        <v/>
      </c>
      <c r="D32" s="1049">
        <f>SMALL(OFFSET('Werkschema - Instelling'!$AA$3:$AA$172,0,$H$6*2),A32)</f>
        <v/>
      </c>
      <c r="E32" s="1054">
        <f>IFERROR(IF(D32-D31&lt;0.0001,"",$D32-VLOOKUP($F32,'Werkschema - Instelling'!$A$3:$Z$172,26,FALSE)),1)</f>
        <v/>
      </c>
      <c r="F32" s="1055">
        <f>IF(D32&gt;0.958333333,"",IF($H$6=0, VLOOKUP($D32,'Werkschema - Instelling'!$AA$3:$AO$172,15,FALSE),IF($H$6=1,VLOOKUP($D32,'Werkschema - Instelling'!$AC$3:$AO$172,13,FALSE),IF($H$6=2,VLOOKUP($D32,'Werkschema - Instelling'!$AE$3:$AO$172,11,FALSE),IF($H$6=3,VLOOKUP($D32,'Werkschema - Instelling'!$AG$3:$AO$172,9,FALSE),IF($H$6=4,VLOOKUP($D32,'Werkschema - Instelling'!$AI$3:$AO$172,7,FALSE),IF($H$6=5,VLOOKUP($D32,'Werkschema - Instelling'!$AK$3:$AO$172,5,FALSE),VLOOKUP($D32,'Werkschema - Instelling'!$AM$3:$AO$172,3,FALSE))))))))</f>
        <v/>
      </c>
      <c r="G32" s="1056">
        <f>IF(D32&gt;0.958333333,"", IF($H$6=0, VLOOKUP($D32,'Werkschema - Instelling'!$AA$3:$AP$172,16,FALSE),IF($H$6=1,VLOOKUP($D32,'Werkschema - Instelling'!$AC$3:$AP$172,14,FALSE),IF($H$6=2,VLOOKUP($D32,'Werkschema - Instelling'!$AE$3:$AP$172,12,FALSE),IF($H$6=3,VLOOKUP($D32,'Werkschema - Instelling'!$AG$3:$AP$172,10,FALSE),IF($H$6=4,VLOOKUP($D32,'Werkschema - Instelling'!$AI$3:$AP$172,8,FALSE),IF($H$6=5,VLOOKUP($D32,'Werkschema - Instelling'!$AK$3:$AP$172,6,FALSE),VLOOKUP($D32,'Werkschema - Instelling'!$AM$3:$AP$172,4,FALSE))))))))</f>
        <v/>
      </c>
      <c r="H32" s="1057">
        <f>IF($D32&gt;0.985333333,"", IF($H$6=0, VLOOKUP($D32,'Werkschema - Instelling'!$AA$3:$AB$172,2,FALSE),IF($H$6=1,VLOOKUP($D32,'Werkschema - Instelling'!$AC$3:$AD$172,2,FALSE),IF($H$6=2,VLOOKUP($D32,'Werkschema - Instelling'!$AE$3:$AF$172,2,FALSE),IF($H$6=3,VLOOKUP($D32,'Werkschema - Instelling'!$AG$3:$AH$172,2,FALSE),IF($H$6=4,VLOOKUP($D32,'Werkschema - Instelling'!$AI$3:$AJ$172,2,FALSE),IF($H$6=5,VLOOKUP($D32,'Werkschema - Instelling'!$AK$3:$AL$172,2,FALSE),VLOOKUP($D32,'Werkschema - Instelling'!$AM$3:$AN$172,2,FALSE))))))))</f>
        <v/>
      </c>
      <c r="I32" s="3" t="n"/>
    </row>
    <row r="33" ht="15" customHeight="1">
      <c r="A33" s="85" t="n">
        <v>26</v>
      </c>
      <c r="B33" s="86">
        <f>IF(LEFT(F33,9)="Taken van",1,IF(LEFT(F33,14)="Start vulshift",2,IF(LEFT(F33,8)="Levering",3,0)))</f>
        <v/>
      </c>
      <c r="C33" s="85">
        <f>E33-E32</f>
        <v/>
      </c>
      <c r="D33" s="1049">
        <f>SMALL(OFFSET('Werkschema - Instelling'!$AA$3:$AA$172,0,$H$6*2),A33)</f>
        <v/>
      </c>
      <c r="E33" s="1054">
        <f>IFERROR(IF(D33-D32&lt;0.0001,"",$D33-VLOOKUP($F33,'Werkschema - Instelling'!$A$3:$Z$172,26,FALSE)),1)</f>
        <v/>
      </c>
      <c r="F33" s="1055">
        <f>IF(D33&gt;0.958333333,"",IF($H$6=0, VLOOKUP($D33,'Werkschema - Instelling'!$AA$3:$AO$172,15,FALSE),IF($H$6=1,VLOOKUP($D33,'Werkschema - Instelling'!$AC$3:$AO$172,13,FALSE),IF($H$6=2,VLOOKUP($D33,'Werkschema - Instelling'!$AE$3:$AO$172,11,FALSE),IF($H$6=3,VLOOKUP($D33,'Werkschema - Instelling'!$AG$3:$AO$172,9,FALSE),IF($H$6=4,VLOOKUP($D33,'Werkschema - Instelling'!$AI$3:$AO$172,7,FALSE),IF($H$6=5,VLOOKUP($D33,'Werkschema - Instelling'!$AK$3:$AO$172,5,FALSE),VLOOKUP($D33,'Werkschema - Instelling'!$AM$3:$AO$172,3,FALSE))))))))</f>
        <v/>
      </c>
      <c r="G33" s="1056">
        <f>IF(D33&gt;0.958333333,"", IF($H$6=0, VLOOKUP($D33,'Werkschema - Instelling'!$AA$3:$AP$172,16,FALSE),IF($H$6=1,VLOOKUP($D33,'Werkschema - Instelling'!$AC$3:$AP$172,14,FALSE),IF($H$6=2,VLOOKUP($D33,'Werkschema - Instelling'!$AE$3:$AP$172,12,FALSE),IF($H$6=3,VLOOKUP($D33,'Werkschema - Instelling'!$AG$3:$AP$172,10,FALSE),IF($H$6=4,VLOOKUP($D33,'Werkschema - Instelling'!$AI$3:$AP$172,8,FALSE),IF($H$6=5,VLOOKUP($D33,'Werkschema - Instelling'!$AK$3:$AP$172,6,FALSE),VLOOKUP($D33,'Werkschema - Instelling'!$AM$3:$AP$172,4,FALSE))))))))</f>
        <v/>
      </c>
      <c r="H33" s="1057">
        <f>IF($D33&gt;0.985333333,"", IF($H$6=0, VLOOKUP($D33,'Werkschema - Instelling'!$AA$3:$AB$172,2,FALSE),IF($H$6=1,VLOOKUP($D33,'Werkschema - Instelling'!$AC$3:$AD$172,2,FALSE),IF($H$6=2,VLOOKUP($D33,'Werkschema - Instelling'!$AE$3:$AF$172,2,FALSE),IF($H$6=3,VLOOKUP($D33,'Werkschema - Instelling'!$AG$3:$AH$172,2,FALSE),IF($H$6=4,VLOOKUP($D33,'Werkschema - Instelling'!$AI$3:$AJ$172,2,FALSE),IF($H$6=5,VLOOKUP($D33,'Werkschema - Instelling'!$AK$3:$AL$172,2,FALSE),VLOOKUP($D33,'Werkschema - Instelling'!$AM$3:$AN$172,2,FALSE))))))))</f>
        <v/>
      </c>
      <c r="I33" s="3" t="n"/>
    </row>
    <row r="34" ht="15" customHeight="1">
      <c r="A34" s="85" t="n">
        <v>27</v>
      </c>
      <c r="B34" s="86">
        <f>IF(LEFT(F34,9)="Taken van",1,IF(LEFT(F34,14)="Start vulshift",2,IF(LEFT(F34,8)="Levering",3,0)))</f>
        <v/>
      </c>
      <c r="C34" s="85">
        <f>E34-E33</f>
        <v/>
      </c>
      <c r="D34" s="1049">
        <f>SMALL(OFFSET('Werkschema - Instelling'!$AA$3:$AA$172,0,$H$6*2),A34)</f>
        <v/>
      </c>
      <c r="E34" s="1054">
        <f>IFERROR(IF(D34-D33&lt;0.0001,"",$D34-VLOOKUP($F34,'Werkschema - Instelling'!$A$3:$Z$172,26,FALSE)),1)</f>
        <v/>
      </c>
      <c r="F34" s="1055">
        <f>IF(D34&gt;0.958333333,"",IF($H$6=0, VLOOKUP($D34,'Werkschema - Instelling'!$AA$3:$AO$172,15,FALSE),IF($H$6=1,VLOOKUP($D34,'Werkschema - Instelling'!$AC$3:$AO$172,13,FALSE),IF($H$6=2,VLOOKUP($D34,'Werkschema - Instelling'!$AE$3:$AO$172,11,FALSE),IF($H$6=3,VLOOKUP($D34,'Werkschema - Instelling'!$AG$3:$AO$172,9,FALSE),IF($H$6=4,VLOOKUP($D34,'Werkschema - Instelling'!$AI$3:$AO$172,7,FALSE),IF($H$6=5,VLOOKUP($D34,'Werkschema - Instelling'!$AK$3:$AO$172,5,FALSE),VLOOKUP($D34,'Werkschema - Instelling'!$AM$3:$AO$172,3,FALSE))))))))</f>
        <v/>
      </c>
      <c r="G34" s="1056">
        <f>IF(D34&gt;0.958333333,"", IF($H$6=0, VLOOKUP($D34,'Werkschema - Instelling'!$AA$3:$AP$172,16,FALSE),IF($H$6=1,VLOOKUP($D34,'Werkschema - Instelling'!$AC$3:$AP$172,14,FALSE),IF($H$6=2,VLOOKUP($D34,'Werkschema - Instelling'!$AE$3:$AP$172,12,FALSE),IF($H$6=3,VLOOKUP($D34,'Werkschema - Instelling'!$AG$3:$AP$172,10,FALSE),IF($H$6=4,VLOOKUP($D34,'Werkschema - Instelling'!$AI$3:$AP$172,8,FALSE),IF($H$6=5,VLOOKUP($D34,'Werkschema - Instelling'!$AK$3:$AP$172,6,FALSE),VLOOKUP($D34,'Werkschema - Instelling'!$AM$3:$AP$172,4,FALSE))))))))</f>
        <v/>
      </c>
      <c r="H34" s="1057">
        <f>IF($D34&gt;0.985333333,"", IF($H$6=0, VLOOKUP($D34,'Werkschema - Instelling'!$AA$3:$AB$172,2,FALSE),IF($H$6=1,VLOOKUP($D34,'Werkschema - Instelling'!$AC$3:$AD$172,2,FALSE),IF($H$6=2,VLOOKUP($D34,'Werkschema - Instelling'!$AE$3:$AF$172,2,FALSE),IF($H$6=3,VLOOKUP($D34,'Werkschema - Instelling'!$AG$3:$AH$172,2,FALSE),IF($H$6=4,VLOOKUP($D34,'Werkschema - Instelling'!$AI$3:$AJ$172,2,FALSE),IF($H$6=5,VLOOKUP($D34,'Werkschema - Instelling'!$AK$3:$AL$172,2,FALSE),VLOOKUP($D34,'Werkschema - Instelling'!$AM$3:$AN$172,2,FALSE))))))))</f>
        <v/>
      </c>
      <c r="I34" s="3" t="n"/>
    </row>
    <row r="35" ht="15" customHeight="1">
      <c r="A35" s="85" t="n">
        <v>28</v>
      </c>
      <c r="B35" s="86">
        <f>IF(LEFT(F35,9)="Taken van",1,IF(LEFT(F35,14)="Start vulshift",2,IF(LEFT(F35,8)="Levering",3,0)))</f>
        <v/>
      </c>
      <c r="C35" s="85">
        <f>E35-E34</f>
        <v/>
      </c>
      <c r="D35" s="1049">
        <f>SMALL(OFFSET('Werkschema - Instelling'!$AA$3:$AA$172,0,$H$6*2),A35)</f>
        <v/>
      </c>
      <c r="E35" s="1054">
        <f>IFERROR(IF(D35-D34&lt;0.0001,"",$D35-VLOOKUP($F35,'Werkschema - Instelling'!$A$3:$Z$172,26,FALSE)),1)</f>
        <v/>
      </c>
      <c r="F35" s="1055">
        <f>IF(D35&gt;0.958333333,"",IF($H$6=0, VLOOKUP($D35,'Werkschema - Instelling'!$AA$3:$AO$172,15,FALSE),IF($H$6=1,VLOOKUP($D35,'Werkschema - Instelling'!$AC$3:$AO$172,13,FALSE),IF($H$6=2,VLOOKUP($D35,'Werkschema - Instelling'!$AE$3:$AO$172,11,FALSE),IF($H$6=3,VLOOKUP($D35,'Werkschema - Instelling'!$AG$3:$AO$172,9,FALSE),IF($H$6=4,VLOOKUP($D35,'Werkschema - Instelling'!$AI$3:$AO$172,7,FALSE),IF($H$6=5,VLOOKUP($D35,'Werkschema - Instelling'!$AK$3:$AO$172,5,FALSE),VLOOKUP($D35,'Werkschema - Instelling'!$AM$3:$AO$172,3,FALSE))))))))</f>
        <v/>
      </c>
      <c r="G35" s="1056">
        <f>IF(D35&gt;0.958333333,"", IF($H$6=0, VLOOKUP($D35,'Werkschema - Instelling'!$AA$3:$AP$172,16,FALSE),IF($H$6=1,VLOOKUP($D35,'Werkschema - Instelling'!$AC$3:$AP$172,14,FALSE),IF($H$6=2,VLOOKUP($D35,'Werkschema - Instelling'!$AE$3:$AP$172,12,FALSE),IF($H$6=3,VLOOKUP($D35,'Werkschema - Instelling'!$AG$3:$AP$172,10,FALSE),IF($H$6=4,VLOOKUP($D35,'Werkschema - Instelling'!$AI$3:$AP$172,8,FALSE),IF($H$6=5,VLOOKUP($D35,'Werkschema - Instelling'!$AK$3:$AP$172,6,FALSE),VLOOKUP($D35,'Werkschema - Instelling'!$AM$3:$AP$172,4,FALSE))))))))</f>
        <v/>
      </c>
      <c r="H35" s="1057">
        <f>IF($D35&gt;0.985333333,"", IF($H$6=0, VLOOKUP($D35,'Werkschema - Instelling'!$AA$3:$AB$172,2,FALSE),IF($H$6=1,VLOOKUP($D35,'Werkschema - Instelling'!$AC$3:$AD$172,2,FALSE),IF($H$6=2,VLOOKUP($D35,'Werkschema - Instelling'!$AE$3:$AF$172,2,FALSE),IF($H$6=3,VLOOKUP($D35,'Werkschema - Instelling'!$AG$3:$AH$172,2,FALSE),IF($H$6=4,VLOOKUP($D35,'Werkschema - Instelling'!$AI$3:$AJ$172,2,FALSE),IF($H$6=5,VLOOKUP($D35,'Werkschema - Instelling'!$AK$3:$AL$172,2,FALSE),VLOOKUP($D35,'Werkschema - Instelling'!$AM$3:$AN$172,2,FALSE))))))))</f>
        <v/>
      </c>
      <c r="I35" s="3" t="n"/>
    </row>
    <row r="36" ht="15" customHeight="1">
      <c r="A36" s="85" t="n">
        <v>29</v>
      </c>
      <c r="B36" s="86">
        <f>IF(LEFT(F36,9)="Taken van",1,IF(LEFT(F36,14)="Start vulshift",2,IF(LEFT(F36,8)="Levering",3,0)))</f>
        <v/>
      </c>
      <c r="C36" s="85">
        <f>E36-E35</f>
        <v/>
      </c>
      <c r="D36" s="1049">
        <f>SMALL(OFFSET('Werkschema - Instelling'!$AA$3:$AA$172,0,$H$6*2),A36)</f>
        <v/>
      </c>
      <c r="E36" s="1054">
        <f>IFERROR(IF(D36-D35&lt;0.0001,"",$D36-VLOOKUP($F36,'Werkschema - Instelling'!$A$3:$Z$172,26,FALSE)),1)</f>
        <v/>
      </c>
      <c r="F36" s="1055">
        <f>IF(D36&gt;0.958333333,"",IF($H$6=0, VLOOKUP($D36,'Werkschema - Instelling'!$AA$3:$AO$172,15,FALSE),IF($H$6=1,VLOOKUP($D36,'Werkschema - Instelling'!$AC$3:$AO$172,13,FALSE),IF($H$6=2,VLOOKUP($D36,'Werkschema - Instelling'!$AE$3:$AO$172,11,FALSE),IF($H$6=3,VLOOKUP($D36,'Werkschema - Instelling'!$AG$3:$AO$172,9,FALSE),IF($H$6=4,VLOOKUP($D36,'Werkschema - Instelling'!$AI$3:$AO$172,7,FALSE),IF($H$6=5,VLOOKUP($D36,'Werkschema - Instelling'!$AK$3:$AO$172,5,FALSE),VLOOKUP($D36,'Werkschema - Instelling'!$AM$3:$AO$172,3,FALSE))))))))</f>
        <v/>
      </c>
      <c r="G36" s="1056">
        <f>IF(D36&gt;0.958333333,"", IF($H$6=0, VLOOKUP($D36,'Werkschema - Instelling'!$AA$3:$AP$172,16,FALSE),IF($H$6=1,VLOOKUP($D36,'Werkschema - Instelling'!$AC$3:$AP$172,14,FALSE),IF($H$6=2,VLOOKUP($D36,'Werkschema - Instelling'!$AE$3:$AP$172,12,FALSE),IF($H$6=3,VLOOKUP($D36,'Werkschema - Instelling'!$AG$3:$AP$172,10,FALSE),IF($H$6=4,VLOOKUP($D36,'Werkschema - Instelling'!$AI$3:$AP$172,8,FALSE),IF($H$6=5,VLOOKUP($D36,'Werkschema - Instelling'!$AK$3:$AP$172,6,FALSE),VLOOKUP($D36,'Werkschema - Instelling'!$AM$3:$AP$172,4,FALSE))))))))</f>
        <v/>
      </c>
      <c r="H36" s="1057">
        <f>IF($D36&gt;0.985333333,"", IF($H$6=0, VLOOKUP($D36,'Werkschema - Instelling'!$AA$3:$AB$172,2,FALSE),IF($H$6=1,VLOOKUP($D36,'Werkschema - Instelling'!$AC$3:$AD$172,2,FALSE),IF($H$6=2,VLOOKUP($D36,'Werkschema - Instelling'!$AE$3:$AF$172,2,FALSE),IF($H$6=3,VLOOKUP($D36,'Werkschema - Instelling'!$AG$3:$AH$172,2,FALSE),IF($H$6=4,VLOOKUP($D36,'Werkschema - Instelling'!$AI$3:$AJ$172,2,FALSE),IF($H$6=5,VLOOKUP($D36,'Werkschema - Instelling'!$AK$3:$AL$172,2,FALSE),VLOOKUP($D36,'Werkschema - Instelling'!$AM$3:$AN$172,2,FALSE))))))))</f>
        <v/>
      </c>
      <c r="I36" s="3" t="n"/>
    </row>
    <row r="37" ht="15" customHeight="1">
      <c r="A37" s="85" t="n">
        <v>30</v>
      </c>
      <c r="B37" s="86">
        <f>IF(LEFT(F37,9)="Taken van",1,IF(LEFT(F37,14)="Start vulshift",2,IF(LEFT(F37,8)="Levering",3,0)))</f>
        <v/>
      </c>
      <c r="C37" s="85">
        <f>E37-E36</f>
        <v/>
      </c>
      <c r="D37" s="1049">
        <f>SMALL(OFFSET('Werkschema - Instelling'!$AA$3:$AA$172,0,$H$6*2),A37)</f>
        <v/>
      </c>
      <c r="E37" s="1054">
        <f>IFERROR(IF(D37-D36&lt;0.0001,"",$D37-VLOOKUP($F37,'Werkschema - Instelling'!$A$3:$Z$172,26,FALSE)),1)</f>
        <v/>
      </c>
      <c r="F37" s="1055">
        <f>IF(D37&gt;0.958333333,"",IF($H$6=0, VLOOKUP($D37,'Werkschema - Instelling'!$AA$3:$AO$172,15,FALSE),IF($H$6=1,VLOOKUP($D37,'Werkschema - Instelling'!$AC$3:$AO$172,13,FALSE),IF($H$6=2,VLOOKUP($D37,'Werkschema - Instelling'!$AE$3:$AO$172,11,FALSE),IF($H$6=3,VLOOKUP($D37,'Werkschema - Instelling'!$AG$3:$AO$172,9,FALSE),IF($H$6=4,VLOOKUP($D37,'Werkschema - Instelling'!$AI$3:$AO$172,7,FALSE),IF($H$6=5,VLOOKUP($D37,'Werkschema - Instelling'!$AK$3:$AO$172,5,FALSE),VLOOKUP($D37,'Werkschema - Instelling'!$AM$3:$AO$172,3,FALSE))))))))</f>
        <v/>
      </c>
      <c r="G37" s="1056">
        <f>IF(D37&gt;0.958333333,"", IF($H$6=0, VLOOKUP($D37,'Werkschema - Instelling'!$AA$3:$AP$172,16,FALSE),IF($H$6=1,VLOOKUP($D37,'Werkschema - Instelling'!$AC$3:$AP$172,14,FALSE),IF($H$6=2,VLOOKUP($D37,'Werkschema - Instelling'!$AE$3:$AP$172,12,FALSE),IF($H$6=3,VLOOKUP($D37,'Werkschema - Instelling'!$AG$3:$AP$172,10,FALSE),IF($H$6=4,VLOOKUP($D37,'Werkschema - Instelling'!$AI$3:$AP$172,8,FALSE),IF($H$6=5,VLOOKUP($D37,'Werkschema - Instelling'!$AK$3:$AP$172,6,FALSE),VLOOKUP($D37,'Werkschema - Instelling'!$AM$3:$AP$172,4,FALSE))))))))</f>
        <v/>
      </c>
      <c r="H37" s="1057">
        <f>IF($D37&gt;0.985333333,"", IF($H$6=0, VLOOKUP($D37,'Werkschema - Instelling'!$AA$3:$AB$172,2,FALSE),IF($H$6=1,VLOOKUP($D37,'Werkschema - Instelling'!$AC$3:$AD$172,2,FALSE),IF($H$6=2,VLOOKUP($D37,'Werkschema - Instelling'!$AE$3:$AF$172,2,FALSE),IF($H$6=3,VLOOKUP($D37,'Werkschema - Instelling'!$AG$3:$AH$172,2,FALSE),IF($H$6=4,VLOOKUP($D37,'Werkschema - Instelling'!$AI$3:$AJ$172,2,FALSE),IF($H$6=5,VLOOKUP($D37,'Werkschema - Instelling'!$AK$3:$AL$172,2,FALSE),VLOOKUP($D37,'Werkschema - Instelling'!$AM$3:$AN$172,2,FALSE))))))))</f>
        <v/>
      </c>
      <c r="I37" s="3" t="n"/>
    </row>
    <row r="38" ht="15" customHeight="1">
      <c r="A38" s="85" t="n">
        <v>31</v>
      </c>
      <c r="B38" s="86">
        <f>IF(LEFT(F38,9)="Taken van",1,IF(LEFT(F38,14)="Start vulshift",2,IF(LEFT(F38,8)="Levering",3,0)))</f>
        <v/>
      </c>
      <c r="C38" s="85">
        <f>E38-E37</f>
        <v/>
      </c>
      <c r="D38" s="1049">
        <f>SMALL(OFFSET('Werkschema - Instelling'!$AA$3:$AA$172,0,$H$6*2),A38)</f>
        <v/>
      </c>
      <c r="E38" s="1054">
        <f>IFERROR(IF(D38-D37&lt;0.0001,"",$D38-VLOOKUP($F38,'Werkschema - Instelling'!$A$3:$Z$172,26,FALSE)),1)</f>
        <v/>
      </c>
      <c r="F38" s="1055">
        <f>IF(D38&gt;0.958333333,"",IF($H$6=0, VLOOKUP($D38,'Werkschema - Instelling'!$AA$3:$AO$172,15,FALSE),IF($H$6=1,VLOOKUP($D38,'Werkschema - Instelling'!$AC$3:$AO$172,13,FALSE),IF($H$6=2,VLOOKUP($D38,'Werkschema - Instelling'!$AE$3:$AO$172,11,FALSE),IF($H$6=3,VLOOKUP($D38,'Werkschema - Instelling'!$AG$3:$AO$172,9,FALSE),IF($H$6=4,VLOOKUP($D38,'Werkschema - Instelling'!$AI$3:$AO$172,7,FALSE),IF($H$6=5,VLOOKUP($D38,'Werkschema - Instelling'!$AK$3:$AO$172,5,FALSE),VLOOKUP($D38,'Werkschema - Instelling'!$AM$3:$AO$172,3,FALSE))))))))</f>
        <v/>
      </c>
      <c r="G38" s="1056">
        <f>IF(D38&gt;0.958333333,"", IF($H$6=0, VLOOKUP($D38,'Werkschema - Instelling'!$AA$3:$AP$172,16,FALSE),IF($H$6=1,VLOOKUP($D38,'Werkschema - Instelling'!$AC$3:$AP$172,14,FALSE),IF($H$6=2,VLOOKUP($D38,'Werkschema - Instelling'!$AE$3:$AP$172,12,FALSE),IF($H$6=3,VLOOKUP($D38,'Werkschema - Instelling'!$AG$3:$AP$172,10,FALSE),IF($H$6=4,VLOOKUP($D38,'Werkschema - Instelling'!$AI$3:$AP$172,8,FALSE),IF($H$6=5,VLOOKUP($D38,'Werkschema - Instelling'!$AK$3:$AP$172,6,FALSE),VLOOKUP($D38,'Werkschema - Instelling'!$AM$3:$AP$172,4,FALSE))))))))</f>
        <v/>
      </c>
      <c r="H38" s="1057">
        <f>IF($D38&gt;0.985333333,"", IF($H$6=0, VLOOKUP($D38,'Werkschema - Instelling'!$AA$3:$AB$172,2,FALSE),IF($H$6=1,VLOOKUP($D38,'Werkschema - Instelling'!$AC$3:$AD$172,2,FALSE),IF($H$6=2,VLOOKUP($D38,'Werkschema - Instelling'!$AE$3:$AF$172,2,FALSE),IF($H$6=3,VLOOKUP($D38,'Werkschema - Instelling'!$AG$3:$AH$172,2,FALSE),IF($H$6=4,VLOOKUP($D38,'Werkschema - Instelling'!$AI$3:$AJ$172,2,FALSE),IF($H$6=5,VLOOKUP($D38,'Werkschema - Instelling'!$AK$3:$AL$172,2,FALSE),VLOOKUP($D38,'Werkschema - Instelling'!$AM$3:$AN$172,2,FALSE))))))))</f>
        <v/>
      </c>
      <c r="I38" s="3" t="n"/>
    </row>
    <row r="39" ht="15" customHeight="1">
      <c r="A39" s="85" t="n">
        <v>32</v>
      </c>
      <c r="B39" s="86">
        <f>IF(LEFT(F39,9)="Taken van",1,IF(LEFT(F39,14)="Start vulshift",2,IF(LEFT(F39,8)="Levering",3,0)))</f>
        <v/>
      </c>
      <c r="C39" s="85">
        <f>E39-E38</f>
        <v/>
      </c>
      <c r="D39" s="1049">
        <f>SMALL(OFFSET('Werkschema - Instelling'!$AA$3:$AA$172,0,$H$6*2),A39)</f>
        <v/>
      </c>
      <c r="E39" s="1054">
        <f>IFERROR(IF(D39-D38&lt;0.0001,"",$D39-VLOOKUP($F39,'Werkschema - Instelling'!$A$3:$Z$172,26,FALSE)),1)</f>
        <v/>
      </c>
      <c r="F39" s="1055">
        <f>IF(D39&gt;0.958333333,"",IF($H$6=0, VLOOKUP($D39,'Werkschema - Instelling'!$AA$3:$AO$172,15,FALSE),IF($H$6=1,VLOOKUP($D39,'Werkschema - Instelling'!$AC$3:$AO$172,13,FALSE),IF($H$6=2,VLOOKUP($D39,'Werkschema - Instelling'!$AE$3:$AO$172,11,FALSE),IF($H$6=3,VLOOKUP($D39,'Werkschema - Instelling'!$AG$3:$AO$172,9,FALSE),IF($H$6=4,VLOOKUP($D39,'Werkschema - Instelling'!$AI$3:$AO$172,7,FALSE),IF($H$6=5,VLOOKUP($D39,'Werkschema - Instelling'!$AK$3:$AO$172,5,FALSE),VLOOKUP($D39,'Werkschema - Instelling'!$AM$3:$AO$172,3,FALSE))))))))</f>
        <v/>
      </c>
      <c r="G39" s="1056">
        <f>IF(D39&gt;0.958333333,"", IF($H$6=0, VLOOKUP($D39,'Werkschema - Instelling'!$AA$3:$AP$172,16,FALSE),IF($H$6=1,VLOOKUP($D39,'Werkschema - Instelling'!$AC$3:$AP$172,14,FALSE),IF($H$6=2,VLOOKUP($D39,'Werkschema - Instelling'!$AE$3:$AP$172,12,FALSE),IF($H$6=3,VLOOKUP($D39,'Werkschema - Instelling'!$AG$3:$AP$172,10,FALSE),IF($H$6=4,VLOOKUP($D39,'Werkschema - Instelling'!$AI$3:$AP$172,8,FALSE),IF($H$6=5,VLOOKUP($D39,'Werkschema - Instelling'!$AK$3:$AP$172,6,FALSE),VLOOKUP($D39,'Werkschema - Instelling'!$AM$3:$AP$172,4,FALSE))))))))</f>
        <v/>
      </c>
      <c r="H39" s="1057">
        <f>IF($D39&gt;0.985333333,"", IF($H$6=0, VLOOKUP($D39,'Werkschema - Instelling'!$AA$3:$AB$172,2,FALSE),IF($H$6=1,VLOOKUP($D39,'Werkschema - Instelling'!$AC$3:$AD$172,2,FALSE),IF($H$6=2,VLOOKUP($D39,'Werkschema - Instelling'!$AE$3:$AF$172,2,FALSE),IF($H$6=3,VLOOKUP($D39,'Werkschema - Instelling'!$AG$3:$AH$172,2,FALSE),IF($H$6=4,VLOOKUP($D39,'Werkschema - Instelling'!$AI$3:$AJ$172,2,FALSE),IF($H$6=5,VLOOKUP($D39,'Werkschema - Instelling'!$AK$3:$AL$172,2,FALSE),VLOOKUP($D39,'Werkschema - Instelling'!$AM$3:$AN$172,2,FALSE))))))))</f>
        <v/>
      </c>
      <c r="I39" s="3" t="n"/>
    </row>
    <row r="40" ht="15" customHeight="1">
      <c r="A40" s="85" t="n">
        <v>33</v>
      </c>
      <c r="B40" s="86">
        <f>IF(LEFT(F40,9)="Taken van",1,IF(LEFT(F40,14)="Start vulshift",2,IF(LEFT(F40,8)="Levering",3,0)))</f>
        <v/>
      </c>
      <c r="C40" s="85">
        <f>E40-E39</f>
        <v/>
      </c>
      <c r="D40" s="1049">
        <f>SMALL(OFFSET('Werkschema - Instelling'!$AA$3:$AA$172,0,$H$6*2),A40)</f>
        <v/>
      </c>
      <c r="E40" s="1054">
        <f>IFERROR(IF(D40-D39&lt;0.0001,"",$D40-VLOOKUP($F40,'Werkschema - Instelling'!$A$3:$Z$172,26,FALSE)),1)</f>
        <v/>
      </c>
      <c r="F40" s="1055">
        <f>IF(D40&gt;0.958333333,"",IF($H$6=0, VLOOKUP($D40,'Werkschema - Instelling'!$AA$3:$AO$172,15,FALSE),IF($H$6=1,VLOOKUP($D40,'Werkschema - Instelling'!$AC$3:$AO$172,13,FALSE),IF($H$6=2,VLOOKUP($D40,'Werkschema - Instelling'!$AE$3:$AO$172,11,FALSE),IF($H$6=3,VLOOKUP($D40,'Werkschema - Instelling'!$AG$3:$AO$172,9,FALSE),IF($H$6=4,VLOOKUP($D40,'Werkschema - Instelling'!$AI$3:$AO$172,7,FALSE),IF($H$6=5,VLOOKUP($D40,'Werkschema - Instelling'!$AK$3:$AO$172,5,FALSE),VLOOKUP($D40,'Werkschema - Instelling'!$AM$3:$AO$172,3,FALSE))))))))</f>
        <v/>
      </c>
      <c r="G40" s="1056">
        <f>IF(D40&gt;0.958333333,"", IF($H$6=0, VLOOKUP($D40,'Werkschema - Instelling'!$AA$3:$AP$172,16,FALSE),IF($H$6=1,VLOOKUP($D40,'Werkschema - Instelling'!$AC$3:$AP$172,14,FALSE),IF($H$6=2,VLOOKUP($D40,'Werkschema - Instelling'!$AE$3:$AP$172,12,FALSE),IF($H$6=3,VLOOKUP($D40,'Werkschema - Instelling'!$AG$3:$AP$172,10,FALSE),IF($H$6=4,VLOOKUP($D40,'Werkschema - Instelling'!$AI$3:$AP$172,8,FALSE),IF($H$6=5,VLOOKUP($D40,'Werkschema - Instelling'!$AK$3:$AP$172,6,FALSE),VLOOKUP($D40,'Werkschema - Instelling'!$AM$3:$AP$172,4,FALSE))))))))</f>
        <v/>
      </c>
      <c r="H40" s="1057">
        <f>IF($D40&gt;0.985333333,"", IF($H$6=0, VLOOKUP($D40,'Werkschema - Instelling'!$AA$3:$AB$172,2,FALSE),IF($H$6=1,VLOOKUP($D40,'Werkschema - Instelling'!$AC$3:$AD$172,2,FALSE),IF($H$6=2,VLOOKUP($D40,'Werkschema - Instelling'!$AE$3:$AF$172,2,FALSE),IF($H$6=3,VLOOKUP($D40,'Werkschema - Instelling'!$AG$3:$AH$172,2,FALSE),IF($H$6=4,VLOOKUP($D40,'Werkschema - Instelling'!$AI$3:$AJ$172,2,FALSE),IF($H$6=5,VLOOKUP($D40,'Werkschema - Instelling'!$AK$3:$AL$172,2,FALSE),VLOOKUP($D40,'Werkschema - Instelling'!$AM$3:$AN$172,2,FALSE))))))))</f>
        <v/>
      </c>
      <c r="I40" s="3" t="n"/>
    </row>
    <row r="41" ht="15" customHeight="1">
      <c r="A41" s="85" t="n">
        <v>34</v>
      </c>
      <c r="B41" s="86">
        <f>IF(LEFT(F41,9)="Taken van",1,IF(LEFT(F41,14)="Start vulshift",2,IF(LEFT(F41,8)="Levering",3,0)))</f>
        <v/>
      </c>
      <c r="C41" s="85">
        <f>E41-E40</f>
        <v/>
      </c>
      <c r="D41" s="1049">
        <f>SMALL(OFFSET('Werkschema - Instelling'!$AA$3:$AA$172,0,$H$6*2),A41)</f>
        <v/>
      </c>
      <c r="E41" s="1054">
        <f>IFERROR(IF(D41-D40&lt;0.0001,"",$D41-VLOOKUP($F41,'Werkschema - Instelling'!$A$3:$Z$172,26,FALSE)),1)</f>
        <v/>
      </c>
      <c r="F41" s="1055">
        <f>IF(D41&gt;0.958333333,"",IF($H$6=0, VLOOKUP($D41,'Werkschema - Instelling'!$AA$3:$AO$172,15,FALSE),IF($H$6=1,VLOOKUP($D41,'Werkschema - Instelling'!$AC$3:$AO$172,13,FALSE),IF($H$6=2,VLOOKUP($D41,'Werkschema - Instelling'!$AE$3:$AO$172,11,FALSE),IF($H$6=3,VLOOKUP($D41,'Werkschema - Instelling'!$AG$3:$AO$172,9,FALSE),IF($H$6=4,VLOOKUP($D41,'Werkschema - Instelling'!$AI$3:$AO$172,7,FALSE),IF($H$6=5,VLOOKUP($D41,'Werkschema - Instelling'!$AK$3:$AO$172,5,FALSE),VLOOKUP($D41,'Werkschema - Instelling'!$AM$3:$AO$172,3,FALSE))))))))</f>
        <v/>
      </c>
      <c r="G41" s="1056">
        <f>IF(D41&gt;0.958333333,"", IF($H$6=0, VLOOKUP($D41,'Werkschema - Instelling'!$AA$3:$AP$172,16,FALSE),IF($H$6=1,VLOOKUP($D41,'Werkschema - Instelling'!$AC$3:$AP$172,14,FALSE),IF($H$6=2,VLOOKUP($D41,'Werkschema - Instelling'!$AE$3:$AP$172,12,FALSE),IF($H$6=3,VLOOKUP($D41,'Werkschema - Instelling'!$AG$3:$AP$172,10,FALSE),IF($H$6=4,VLOOKUP($D41,'Werkschema - Instelling'!$AI$3:$AP$172,8,FALSE),IF($H$6=5,VLOOKUP($D41,'Werkschema - Instelling'!$AK$3:$AP$172,6,FALSE),VLOOKUP($D41,'Werkschema - Instelling'!$AM$3:$AP$172,4,FALSE))))))))</f>
        <v/>
      </c>
      <c r="H41" s="1057">
        <f>IF($D41&gt;0.985333333,"", IF($H$6=0, VLOOKUP($D41,'Werkschema - Instelling'!$AA$3:$AB$172,2,FALSE),IF($H$6=1,VLOOKUP($D41,'Werkschema - Instelling'!$AC$3:$AD$172,2,FALSE),IF($H$6=2,VLOOKUP($D41,'Werkschema - Instelling'!$AE$3:$AF$172,2,FALSE),IF($H$6=3,VLOOKUP($D41,'Werkschema - Instelling'!$AG$3:$AH$172,2,FALSE),IF($H$6=4,VLOOKUP($D41,'Werkschema - Instelling'!$AI$3:$AJ$172,2,FALSE),IF($H$6=5,VLOOKUP($D41,'Werkschema - Instelling'!$AK$3:$AL$172,2,FALSE),VLOOKUP($D41,'Werkschema - Instelling'!$AM$3:$AN$172,2,FALSE))))))))</f>
        <v/>
      </c>
      <c r="I41" s="3" t="n"/>
    </row>
    <row r="42" ht="15" customHeight="1">
      <c r="A42" s="85" t="n">
        <v>35</v>
      </c>
      <c r="B42" s="86">
        <f>IF(LEFT(F42,9)="Taken van",1,IF(LEFT(F42,14)="Start vulshift",2,IF(LEFT(F42,8)="Levering",3,0)))</f>
        <v/>
      </c>
      <c r="C42" s="85">
        <f>E42-E41</f>
        <v/>
      </c>
      <c r="D42" s="1049">
        <f>SMALL(OFFSET('Werkschema - Instelling'!$AA$3:$AA$172,0,$H$6*2),A42)</f>
        <v/>
      </c>
      <c r="E42" s="1054">
        <f>IFERROR(IF(D42-D41&lt;0.0001,"",$D42-VLOOKUP($F42,'Werkschema - Instelling'!$A$3:$Z$172,26,FALSE)),1)</f>
        <v/>
      </c>
      <c r="F42" s="1055">
        <f>IF(D42&gt;0.958333333,"",IF($H$6=0, VLOOKUP($D42,'Werkschema - Instelling'!$AA$3:$AO$172,15,FALSE),IF($H$6=1,VLOOKUP($D42,'Werkschema - Instelling'!$AC$3:$AO$172,13,FALSE),IF($H$6=2,VLOOKUP($D42,'Werkschema - Instelling'!$AE$3:$AO$172,11,FALSE),IF($H$6=3,VLOOKUP($D42,'Werkschema - Instelling'!$AG$3:$AO$172,9,FALSE),IF($H$6=4,VLOOKUP($D42,'Werkschema - Instelling'!$AI$3:$AO$172,7,FALSE),IF($H$6=5,VLOOKUP($D42,'Werkschema - Instelling'!$AK$3:$AO$172,5,FALSE),VLOOKUP($D42,'Werkschema - Instelling'!$AM$3:$AO$172,3,FALSE))))))))</f>
        <v/>
      </c>
      <c r="G42" s="1056">
        <f>IF(D42&gt;0.958333333,"", IF($H$6=0, VLOOKUP($D42,'Werkschema - Instelling'!$AA$3:$AP$172,16,FALSE),IF($H$6=1,VLOOKUP($D42,'Werkschema - Instelling'!$AC$3:$AP$172,14,FALSE),IF($H$6=2,VLOOKUP($D42,'Werkschema - Instelling'!$AE$3:$AP$172,12,FALSE),IF($H$6=3,VLOOKUP($D42,'Werkschema - Instelling'!$AG$3:$AP$172,10,FALSE),IF($H$6=4,VLOOKUP($D42,'Werkschema - Instelling'!$AI$3:$AP$172,8,FALSE),IF($H$6=5,VLOOKUP($D42,'Werkschema - Instelling'!$AK$3:$AP$172,6,FALSE),VLOOKUP($D42,'Werkschema - Instelling'!$AM$3:$AP$172,4,FALSE))))))))</f>
        <v/>
      </c>
      <c r="H42" s="1057">
        <f>IF($D42&gt;0.985333333,"", IF($H$6=0, VLOOKUP($D42,'Werkschema - Instelling'!$AA$3:$AB$172,2,FALSE),IF($H$6=1,VLOOKUP($D42,'Werkschema - Instelling'!$AC$3:$AD$172,2,FALSE),IF($H$6=2,VLOOKUP($D42,'Werkschema - Instelling'!$AE$3:$AF$172,2,FALSE),IF($H$6=3,VLOOKUP($D42,'Werkschema - Instelling'!$AG$3:$AH$172,2,FALSE),IF($H$6=4,VLOOKUP($D42,'Werkschema - Instelling'!$AI$3:$AJ$172,2,FALSE),IF($H$6=5,VLOOKUP($D42,'Werkschema - Instelling'!$AK$3:$AL$172,2,FALSE),VLOOKUP($D42,'Werkschema - Instelling'!$AM$3:$AN$172,2,FALSE))))))))</f>
        <v/>
      </c>
      <c r="I42" s="3" t="n"/>
    </row>
    <row r="43" ht="15" customHeight="1">
      <c r="A43" s="85" t="n">
        <v>36</v>
      </c>
      <c r="B43" s="86">
        <f>IF(LEFT(F43,9)="Taken van",1,IF(LEFT(F43,14)="Start vulshift",2,IF(LEFT(F43,8)="Levering",3,0)))</f>
        <v/>
      </c>
      <c r="C43" s="85">
        <f>E43-E42</f>
        <v/>
      </c>
      <c r="D43" s="1049">
        <f>SMALL(OFFSET('Werkschema - Instelling'!$AA$3:$AA$172,0,$H$6*2),A43)</f>
        <v/>
      </c>
      <c r="E43" s="1054">
        <f>IFERROR(IF(D43-D42&lt;0.0001,"",$D43-VLOOKUP($F43,'Werkschema - Instelling'!$A$3:$Z$172,26,FALSE)),1)</f>
        <v/>
      </c>
      <c r="F43" s="1055">
        <f>IF(D43&gt;0.958333333,"",IF($H$6=0, VLOOKUP($D43,'Werkschema - Instelling'!$AA$3:$AO$172,15,FALSE),IF($H$6=1,VLOOKUP($D43,'Werkschema - Instelling'!$AC$3:$AO$172,13,FALSE),IF($H$6=2,VLOOKUP($D43,'Werkschema - Instelling'!$AE$3:$AO$172,11,FALSE),IF($H$6=3,VLOOKUP($D43,'Werkschema - Instelling'!$AG$3:$AO$172,9,FALSE),IF($H$6=4,VLOOKUP($D43,'Werkschema - Instelling'!$AI$3:$AO$172,7,FALSE),IF($H$6=5,VLOOKUP($D43,'Werkschema - Instelling'!$AK$3:$AO$172,5,FALSE),VLOOKUP($D43,'Werkschema - Instelling'!$AM$3:$AO$172,3,FALSE))))))))</f>
        <v/>
      </c>
      <c r="G43" s="1056">
        <f>IF(D43&gt;0.958333333,"", IF($H$6=0, VLOOKUP($D43,'Werkschema - Instelling'!$AA$3:$AP$172,16,FALSE),IF($H$6=1,VLOOKUP($D43,'Werkschema - Instelling'!$AC$3:$AP$172,14,FALSE),IF($H$6=2,VLOOKUP($D43,'Werkschema - Instelling'!$AE$3:$AP$172,12,FALSE),IF($H$6=3,VLOOKUP($D43,'Werkschema - Instelling'!$AG$3:$AP$172,10,FALSE),IF($H$6=4,VLOOKUP($D43,'Werkschema - Instelling'!$AI$3:$AP$172,8,FALSE),IF($H$6=5,VLOOKUP($D43,'Werkschema - Instelling'!$AK$3:$AP$172,6,FALSE),VLOOKUP($D43,'Werkschema - Instelling'!$AM$3:$AP$172,4,FALSE))))))))</f>
        <v/>
      </c>
      <c r="H43" s="1057">
        <f>IF($D43&gt;0.985333333,"", IF($H$6=0, VLOOKUP($D43,'Werkschema - Instelling'!$AA$3:$AB$172,2,FALSE),IF($H$6=1,VLOOKUP($D43,'Werkschema - Instelling'!$AC$3:$AD$172,2,FALSE),IF($H$6=2,VLOOKUP($D43,'Werkschema - Instelling'!$AE$3:$AF$172,2,FALSE),IF($H$6=3,VLOOKUP($D43,'Werkschema - Instelling'!$AG$3:$AH$172,2,FALSE),IF($H$6=4,VLOOKUP($D43,'Werkschema - Instelling'!$AI$3:$AJ$172,2,FALSE),IF($H$6=5,VLOOKUP($D43,'Werkschema - Instelling'!$AK$3:$AL$172,2,FALSE),VLOOKUP($D43,'Werkschema - Instelling'!$AM$3:$AN$172,2,FALSE))))))))</f>
        <v/>
      </c>
      <c r="I43" s="3" t="n"/>
    </row>
    <row r="44" ht="15" customHeight="1">
      <c r="A44" s="85" t="n">
        <v>37</v>
      </c>
      <c r="B44" s="86">
        <f>IF(LEFT(F44,9)="Taken van",1,IF(LEFT(F44,14)="Start vulshift",2,IF(LEFT(F44,8)="Levering",3,0)))</f>
        <v/>
      </c>
      <c r="C44" s="85">
        <f>E44-E43</f>
        <v/>
      </c>
      <c r="D44" s="1049">
        <f>SMALL(OFFSET('Werkschema - Instelling'!$AA$3:$AA$172,0,$H$6*2),A44)</f>
        <v/>
      </c>
      <c r="E44" s="1054">
        <f>IFERROR(IF(D44-D43&lt;0.0001,"",$D44-VLOOKUP($F44,'Werkschema - Instelling'!$A$3:$Z$172,26,FALSE)),1)</f>
        <v/>
      </c>
      <c r="F44" s="1055">
        <f>IF(D44&gt;0.958333333,"",IF($H$6=0, VLOOKUP($D44,'Werkschema - Instelling'!$AA$3:$AO$172,15,FALSE),IF($H$6=1,VLOOKUP($D44,'Werkschema - Instelling'!$AC$3:$AO$172,13,FALSE),IF($H$6=2,VLOOKUP($D44,'Werkschema - Instelling'!$AE$3:$AO$172,11,FALSE),IF($H$6=3,VLOOKUP($D44,'Werkschema - Instelling'!$AG$3:$AO$172,9,FALSE),IF($H$6=4,VLOOKUP($D44,'Werkschema - Instelling'!$AI$3:$AO$172,7,FALSE),IF($H$6=5,VLOOKUP($D44,'Werkschema - Instelling'!$AK$3:$AO$172,5,FALSE),VLOOKUP($D44,'Werkschema - Instelling'!$AM$3:$AO$172,3,FALSE))))))))</f>
        <v/>
      </c>
      <c r="G44" s="1056">
        <f>IF(D44&gt;0.958333333,"", IF($H$6=0, VLOOKUP($D44,'Werkschema - Instelling'!$AA$3:$AP$172,16,FALSE),IF($H$6=1,VLOOKUP($D44,'Werkschema - Instelling'!$AC$3:$AP$172,14,FALSE),IF($H$6=2,VLOOKUP($D44,'Werkschema - Instelling'!$AE$3:$AP$172,12,FALSE),IF($H$6=3,VLOOKUP($D44,'Werkschema - Instelling'!$AG$3:$AP$172,10,FALSE),IF($H$6=4,VLOOKUP($D44,'Werkschema - Instelling'!$AI$3:$AP$172,8,FALSE),IF($H$6=5,VLOOKUP($D44,'Werkschema - Instelling'!$AK$3:$AP$172,6,FALSE),VLOOKUP($D44,'Werkschema - Instelling'!$AM$3:$AP$172,4,FALSE))))))))</f>
        <v/>
      </c>
      <c r="H44" s="1057">
        <f>IF($D44&gt;0.985333333,"", IF($H$6=0, VLOOKUP($D44,'Werkschema - Instelling'!$AA$3:$AB$172,2,FALSE),IF($H$6=1,VLOOKUP($D44,'Werkschema - Instelling'!$AC$3:$AD$172,2,FALSE),IF($H$6=2,VLOOKUP($D44,'Werkschema - Instelling'!$AE$3:$AF$172,2,FALSE),IF($H$6=3,VLOOKUP($D44,'Werkschema - Instelling'!$AG$3:$AH$172,2,FALSE),IF($H$6=4,VLOOKUP($D44,'Werkschema - Instelling'!$AI$3:$AJ$172,2,FALSE),IF($H$6=5,VLOOKUP($D44,'Werkschema - Instelling'!$AK$3:$AL$172,2,FALSE),VLOOKUP($D44,'Werkschema - Instelling'!$AM$3:$AN$172,2,FALSE))))))))</f>
        <v/>
      </c>
      <c r="I44" s="3" t="n"/>
    </row>
    <row r="45" ht="15" customHeight="1">
      <c r="A45" s="85" t="n">
        <v>38</v>
      </c>
      <c r="B45" s="86">
        <f>IF(LEFT(F45,9)="Taken van",1,IF(LEFT(F45,14)="Start vulshift",2,IF(LEFT(F45,8)="Levering",3,0)))</f>
        <v/>
      </c>
      <c r="C45" s="85">
        <f>E45-E44</f>
        <v/>
      </c>
      <c r="D45" s="1049">
        <f>SMALL(OFFSET('Werkschema - Instelling'!$AA$3:$AA$172,0,$H$6*2),A45)</f>
        <v/>
      </c>
      <c r="E45" s="1054">
        <f>IFERROR(IF(D45-D44&lt;0.0001,"",$D45-VLOOKUP($F45,'Werkschema - Instelling'!$A$3:$Z$172,26,FALSE)),1)</f>
        <v/>
      </c>
      <c r="F45" s="1055">
        <f>IF(D45&gt;0.958333333,"",IF($H$6=0, VLOOKUP($D45,'Werkschema - Instelling'!$AA$3:$AO$172,15,FALSE),IF($H$6=1,VLOOKUP($D45,'Werkschema - Instelling'!$AC$3:$AO$172,13,FALSE),IF($H$6=2,VLOOKUP($D45,'Werkschema - Instelling'!$AE$3:$AO$172,11,FALSE),IF($H$6=3,VLOOKUP($D45,'Werkschema - Instelling'!$AG$3:$AO$172,9,FALSE),IF($H$6=4,VLOOKUP($D45,'Werkschema - Instelling'!$AI$3:$AO$172,7,FALSE),IF($H$6=5,VLOOKUP($D45,'Werkschema - Instelling'!$AK$3:$AO$172,5,FALSE),VLOOKUP($D45,'Werkschema - Instelling'!$AM$3:$AO$172,3,FALSE))))))))</f>
        <v/>
      </c>
      <c r="G45" s="1056">
        <f>IF(D45&gt;0.958333333,"", IF($H$6=0, VLOOKUP($D45,'Werkschema - Instelling'!$AA$3:$AP$172,16,FALSE),IF($H$6=1,VLOOKUP($D45,'Werkschema - Instelling'!$AC$3:$AP$172,14,FALSE),IF($H$6=2,VLOOKUP($D45,'Werkschema - Instelling'!$AE$3:$AP$172,12,FALSE),IF($H$6=3,VLOOKUP($D45,'Werkschema - Instelling'!$AG$3:$AP$172,10,FALSE),IF($H$6=4,VLOOKUP($D45,'Werkschema - Instelling'!$AI$3:$AP$172,8,FALSE),IF($H$6=5,VLOOKUP($D45,'Werkschema - Instelling'!$AK$3:$AP$172,6,FALSE),VLOOKUP($D45,'Werkschema - Instelling'!$AM$3:$AP$172,4,FALSE))))))))</f>
        <v/>
      </c>
      <c r="H45" s="1057">
        <f>IF($D45&gt;0.985333333,"", IF($H$6=0, VLOOKUP($D45,'Werkschema - Instelling'!$AA$3:$AB$172,2,FALSE),IF($H$6=1,VLOOKUP($D45,'Werkschema - Instelling'!$AC$3:$AD$172,2,FALSE),IF($H$6=2,VLOOKUP($D45,'Werkschema - Instelling'!$AE$3:$AF$172,2,FALSE),IF($H$6=3,VLOOKUP($D45,'Werkschema - Instelling'!$AG$3:$AH$172,2,FALSE),IF($H$6=4,VLOOKUP($D45,'Werkschema - Instelling'!$AI$3:$AJ$172,2,FALSE),IF($H$6=5,VLOOKUP($D45,'Werkschema - Instelling'!$AK$3:$AL$172,2,FALSE),VLOOKUP($D45,'Werkschema - Instelling'!$AM$3:$AN$172,2,FALSE))))))))</f>
        <v/>
      </c>
      <c r="I45" s="3" t="n"/>
    </row>
    <row r="46" ht="15" customHeight="1">
      <c r="A46" s="85" t="n">
        <v>39</v>
      </c>
      <c r="B46" s="86">
        <f>IF(LEFT(F46,9)="Taken van",1,IF(LEFT(F46,14)="Start vulshift",2,IF(LEFT(F46,8)="Levering",3,0)))</f>
        <v/>
      </c>
      <c r="C46" s="85">
        <f>E46-E45</f>
        <v/>
      </c>
      <c r="D46" s="1049">
        <f>SMALL(OFFSET('Werkschema - Instelling'!$AA$3:$AA$172,0,$H$6*2),A46)</f>
        <v/>
      </c>
      <c r="E46" s="1054">
        <f>IFERROR(IF(D46-D45&lt;0.0001,"",$D46-VLOOKUP($F46,'Werkschema - Instelling'!$A$3:$Z$172,26,FALSE)),1)</f>
        <v/>
      </c>
      <c r="F46" s="1055">
        <f>IF(D46&gt;0.958333333,"",IF($H$6=0, VLOOKUP($D46,'Werkschema - Instelling'!$AA$3:$AO$172,15,FALSE),IF($H$6=1,VLOOKUP($D46,'Werkschema - Instelling'!$AC$3:$AO$172,13,FALSE),IF($H$6=2,VLOOKUP($D46,'Werkschema - Instelling'!$AE$3:$AO$172,11,FALSE),IF($H$6=3,VLOOKUP($D46,'Werkschema - Instelling'!$AG$3:$AO$172,9,FALSE),IF($H$6=4,VLOOKUP($D46,'Werkschema - Instelling'!$AI$3:$AO$172,7,FALSE),IF($H$6=5,VLOOKUP($D46,'Werkschema - Instelling'!$AK$3:$AO$172,5,FALSE),VLOOKUP($D46,'Werkschema - Instelling'!$AM$3:$AO$172,3,FALSE))))))))</f>
        <v/>
      </c>
      <c r="G46" s="1056">
        <f>IF(D46&gt;0.958333333,"", IF($H$6=0, VLOOKUP($D46,'Werkschema - Instelling'!$AA$3:$AP$172,16,FALSE),IF($H$6=1,VLOOKUP($D46,'Werkschema - Instelling'!$AC$3:$AP$172,14,FALSE),IF($H$6=2,VLOOKUP($D46,'Werkschema - Instelling'!$AE$3:$AP$172,12,FALSE),IF($H$6=3,VLOOKUP($D46,'Werkschema - Instelling'!$AG$3:$AP$172,10,FALSE),IF($H$6=4,VLOOKUP($D46,'Werkschema - Instelling'!$AI$3:$AP$172,8,FALSE),IF($H$6=5,VLOOKUP($D46,'Werkschema - Instelling'!$AK$3:$AP$172,6,FALSE),VLOOKUP($D46,'Werkschema - Instelling'!$AM$3:$AP$172,4,FALSE))))))))</f>
        <v/>
      </c>
      <c r="H46" s="1057">
        <f>IF($D46&gt;0.985333333,"", IF($H$6=0, VLOOKUP($D46,'Werkschema - Instelling'!$AA$3:$AB$172,2,FALSE),IF($H$6=1,VLOOKUP($D46,'Werkschema - Instelling'!$AC$3:$AD$172,2,FALSE),IF($H$6=2,VLOOKUP($D46,'Werkschema - Instelling'!$AE$3:$AF$172,2,FALSE),IF($H$6=3,VLOOKUP($D46,'Werkschema - Instelling'!$AG$3:$AH$172,2,FALSE),IF($H$6=4,VLOOKUP($D46,'Werkschema - Instelling'!$AI$3:$AJ$172,2,FALSE),IF($H$6=5,VLOOKUP($D46,'Werkschema - Instelling'!$AK$3:$AL$172,2,FALSE),VLOOKUP($D46,'Werkschema - Instelling'!$AM$3:$AN$172,2,FALSE))))))))</f>
        <v/>
      </c>
      <c r="I46" s="3" t="n"/>
    </row>
    <row r="47" ht="15" customHeight="1">
      <c r="A47" s="85" t="n">
        <v>40</v>
      </c>
      <c r="B47" s="86">
        <f>IF(LEFT(F47,9)="Taken van",1,IF(LEFT(F47,14)="Start vulshift",2,IF(LEFT(F47,8)="Levering",3,0)))</f>
        <v/>
      </c>
      <c r="C47" s="85">
        <f>E47-E46</f>
        <v/>
      </c>
      <c r="D47" s="1049">
        <f>SMALL(OFFSET('Werkschema - Instelling'!$AA$3:$AA$172,0,$H$6*2),A47)</f>
        <v/>
      </c>
      <c r="E47" s="1054">
        <f>IFERROR(IF(D47-D46&lt;0.0001,"",$D47-VLOOKUP($F47,'Werkschema - Instelling'!$A$3:$Z$172,26,FALSE)),1)</f>
        <v/>
      </c>
      <c r="F47" s="1055">
        <f>IF(D47&gt;0.958333333,"",IF($H$6=0, VLOOKUP($D47,'Werkschema - Instelling'!$AA$3:$AO$172,15,FALSE),IF($H$6=1,VLOOKUP($D47,'Werkschema - Instelling'!$AC$3:$AO$172,13,FALSE),IF($H$6=2,VLOOKUP($D47,'Werkschema - Instelling'!$AE$3:$AO$172,11,FALSE),IF($H$6=3,VLOOKUP($D47,'Werkschema - Instelling'!$AG$3:$AO$172,9,FALSE),IF($H$6=4,VLOOKUP($D47,'Werkschema - Instelling'!$AI$3:$AO$172,7,FALSE),IF($H$6=5,VLOOKUP($D47,'Werkschema - Instelling'!$AK$3:$AO$172,5,FALSE),VLOOKUP($D47,'Werkschema - Instelling'!$AM$3:$AO$172,3,FALSE))))))))</f>
        <v/>
      </c>
      <c r="G47" s="1056">
        <f>IF(D47&gt;0.958333333,"", IF($H$6=0, VLOOKUP($D47,'Werkschema - Instelling'!$AA$3:$AP$172,16,FALSE),IF($H$6=1,VLOOKUP($D47,'Werkschema - Instelling'!$AC$3:$AP$172,14,FALSE),IF($H$6=2,VLOOKUP($D47,'Werkschema - Instelling'!$AE$3:$AP$172,12,FALSE),IF($H$6=3,VLOOKUP($D47,'Werkschema - Instelling'!$AG$3:$AP$172,10,FALSE),IF($H$6=4,VLOOKUP($D47,'Werkschema - Instelling'!$AI$3:$AP$172,8,FALSE),IF($H$6=5,VLOOKUP($D47,'Werkschema - Instelling'!$AK$3:$AP$172,6,FALSE),VLOOKUP($D47,'Werkschema - Instelling'!$AM$3:$AP$172,4,FALSE))))))))</f>
        <v/>
      </c>
      <c r="H47" s="1057">
        <f>IF($D47&gt;0.985333333,"", IF($H$6=0, VLOOKUP($D47,'Werkschema - Instelling'!$AA$3:$AB$172,2,FALSE),IF($H$6=1,VLOOKUP($D47,'Werkschema - Instelling'!$AC$3:$AD$172,2,FALSE),IF($H$6=2,VLOOKUP($D47,'Werkschema - Instelling'!$AE$3:$AF$172,2,FALSE),IF($H$6=3,VLOOKUP($D47,'Werkschema - Instelling'!$AG$3:$AH$172,2,FALSE),IF($H$6=4,VLOOKUP($D47,'Werkschema - Instelling'!$AI$3:$AJ$172,2,FALSE),IF($H$6=5,VLOOKUP($D47,'Werkschema - Instelling'!$AK$3:$AL$172,2,FALSE),VLOOKUP($D47,'Werkschema - Instelling'!$AM$3:$AN$172,2,FALSE))))))))</f>
        <v/>
      </c>
      <c r="I47" s="3" t="n"/>
    </row>
    <row r="48" ht="15" customHeight="1">
      <c r="A48" s="85" t="n">
        <v>41</v>
      </c>
      <c r="B48" s="86">
        <f>IF(LEFT(F48,9)="Taken van",1,IF(LEFT(F48,14)="Start vulshift",2,IF(LEFT(F48,8)="Levering",3,0)))</f>
        <v/>
      </c>
      <c r="C48" s="85">
        <f>E48-E47</f>
        <v/>
      </c>
      <c r="D48" s="1049">
        <f>SMALL(OFFSET('Werkschema - Instelling'!$AA$3:$AA$172,0,$H$6*2),A48)</f>
        <v/>
      </c>
      <c r="E48" s="1054">
        <f>IFERROR(IF(D48-D47&lt;0.0001,"",$D48-VLOOKUP($F48,'Werkschema - Instelling'!$A$3:$Z$172,26,FALSE)),1)</f>
        <v/>
      </c>
      <c r="F48" s="1055">
        <f>IF(D48&gt;0.958333333,"",IF($H$6=0, VLOOKUP($D48,'Werkschema - Instelling'!$AA$3:$AO$172,15,FALSE),IF($H$6=1,VLOOKUP($D48,'Werkschema - Instelling'!$AC$3:$AO$172,13,FALSE),IF($H$6=2,VLOOKUP($D48,'Werkschema - Instelling'!$AE$3:$AO$172,11,FALSE),IF($H$6=3,VLOOKUP($D48,'Werkschema - Instelling'!$AG$3:$AO$172,9,FALSE),IF($H$6=4,VLOOKUP($D48,'Werkschema - Instelling'!$AI$3:$AO$172,7,FALSE),IF($H$6=5,VLOOKUP($D48,'Werkschema - Instelling'!$AK$3:$AO$172,5,FALSE),VLOOKUP($D48,'Werkschema - Instelling'!$AM$3:$AO$172,3,FALSE))))))))</f>
        <v/>
      </c>
      <c r="G48" s="1056">
        <f>IF(D48&gt;0.958333333,"", IF($H$6=0, VLOOKUP($D48,'Werkschema - Instelling'!$AA$3:$AP$172,16,FALSE),IF($H$6=1,VLOOKUP($D48,'Werkschema - Instelling'!$AC$3:$AP$172,14,FALSE),IF($H$6=2,VLOOKUP($D48,'Werkschema - Instelling'!$AE$3:$AP$172,12,FALSE),IF($H$6=3,VLOOKUP($D48,'Werkschema - Instelling'!$AG$3:$AP$172,10,FALSE),IF($H$6=4,VLOOKUP($D48,'Werkschema - Instelling'!$AI$3:$AP$172,8,FALSE),IF($H$6=5,VLOOKUP($D48,'Werkschema - Instelling'!$AK$3:$AP$172,6,FALSE),VLOOKUP($D48,'Werkschema - Instelling'!$AM$3:$AP$172,4,FALSE))))))))</f>
        <v/>
      </c>
      <c r="H48" s="1057">
        <f>IF($D48&gt;0.985333333,"", IF($H$6=0, VLOOKUP($D48,'Werkschema - Instelling'!$AA$3:$AB$172,2,FALSE),IF($H$6=1,VLOOKUP($D48,'Werkschema - Instelling'!$AC$3:$AD$172,2,FALSE),IF($H$6=2,VLOOKUP($D48,'Werkschema - Instelling'!$AE$3:$AF$172,2,FALSE),IF($H$6=3,VLOOKUP($D48,'Werkschema - Instelling'!$AG$3:$AH$172,2,FALSE),IF($H$6=4,VLOOKUP($D48,'Werkschema - Instelling'!$AI$3:$AJ$172,2,FALSE),IF($H$6=5,VLOOKUP($D48,'Werkschema - Instelling'!$AK$3:$AL$172,2,FALSE),VLOOKUP($D48,'Werkschema - Instelling'!$AM$3:$AN$172,2,FALSE))))))))</f>
        <v/>
      </c>
      <c r="I48" s="3" t="n"/>
    </row>
    <row r="49" ht="15" customHeight="1">
      <c r="A49" s="85" t="n">
        <v>42</v>
      </c>
      <c r="B49" s="86">
        <f>IF(LEFT(F49,9)="Taken van",1,IF(LEFT(F49,14)="Start vulshift",2,IF(LEFT(F49,8)="Levering",3,0)))</f>
        <v/>
      </c>
      <c r="C49" s="85">
        <f>E49-E48</f>
        <v/>
      </c>
      <c r="D49" s="1049">
        <f>SMALL(OFFSET('Werkschema - Instelling'!$AA$3:$AA$172,0,$H$6*2),A49)</f>
        <v/>
      </c>
      <c r="E49" s="1054">
        <f>IFERROR(IF(D49-D48&lt;0.0001,"",$D49-VLOOKUP($F49,'Werkschema - Instelling'!$A$3:$Z$172,26,FALSE)),1)</f>
        <v/>
      </c>
      <c r="F49" s="1055">
        <f>IF(D49&gt;0.958333333,"",IF($H$6=0, VLOOKUP($D49,'Werkschema - Instelling'!$AA$3:$AO$172,15,FALSE),IF($H$6=1,VLOOKUP($D49,'Werkschema - Instelling'!$AC$3:$AO$172,13,FALSE),IF($H$6=2,VLOOKUP($D49,'Werkschema - Instelling'!$AE$3:$AO$172,11,FALSE),IF($H$6=3,VLOOKUP($D49,'Werkschema - Instelling'!$AG$3:$AO$172,9,FALSE),IF($H$6=4,VLOOKUP($D49,'Werkschema - Instelling'!$AI$3:$AO$172,7,FALSE),IF($H$6=5,VLOOKUP($D49,'Werkschema - Instelling'!$AK$3:$AO$172,5,FALSE),VLOOKUP($D49,'Werkschema - Instelling'!$AM$3:$AO$172,3,FALSE))))))))</f>
        <v/>
      </c>
      <c r="G49" s="1056">
        <f>IF(D49&gt;0.958333333,"", IF($H$6=0, VLOOKUP($D49,'Werkschema - Instelling'!$AA$3:$AP$172,16,FALSE),IF($H$6=1,VLOOKUP($D49,'Werkschema - Instelling'!$AC$3:$AP$172,14,FALSE),IF($H$6=2,VLOOKUP($D49,'Werkschema - Instelling'!$AE$3:$AP$172,12,FALSE),IF($H$6=3,VLOOKUP($D49,'Werkschema - Instelling'!$AG$3:$AP$172,10,FALSE),IF($H$6=4,VLOOKUP($D49,'Werkschema - Instelling'!$AI$3:$AP$172,8,FALSE),IF($H$6=5,VLOOKUP($D49,'Werkschema - Instelling'!$AK$3:$AP$172,6,FALSE),VLOOKUP($D49,'Werkschema - Instelling'!$AM$3:$AP$172,4,FALSE))))))))</f>
        <v/>
      </c>
      <c r="H49" s="1057">
        <f>IF($D49&gt;0.985333333,"", IF($H$6=0, VLOOKUP($D49,'Werkschema - Instelling'!$AA$3:$AB$172,2,FALSE),IF($H$6=1,VLOOKUP($D49,'Werkschema - Instelling'!$AC$3:$AD$172,2,FALSE),IF($H$6=2,VLOOKUP($D49,'Werkschema - Instelling'!$AE$3:$AF$172,2,FALSE),IF($H$6=3,VLOOKUP($D49,'Werkschema - Instelling'!$AG$3:$AH$172,2,FALSE),IF($H$6=4,VLOOKUP($D49,'Werkschema - Instelling'!$AI$3:$AJ$172,2,FALSE),IF($H$6=5,VLOOKUP($D49,'Werkschema - Instelling'!$AK$3:$AL$172,2,FALSE),VLOOKUP($D49,'Werkschema - Instelling'!$AM$3:$AN$172,2,FALSE))))))))</f>
        <v/>
      </c>
      <c r="I49" s="3" t="n"/>
    </row>
    <row r="50" ht="15" customHeight="1">
      <c r="A50" s="85" t="n">
        <v>43</v>
      </c>
      <c r="B50" s="86">
        <f>IF(LEFT(F50,9)="Taken van",1,IF(LEFT(F50,14)="Start vulshift",2,IF(LEFT(F50,8)="Levering",3,0)))</f>
        <v/>
      </c>
      <c r="C50" s="85">
        <f>E50-E49</f>
        <v/>
      </c>
      <c r="D50" s="1049">
        <f>SMALL(OFFSET('Werkschema - Instelling'!$AA$3:$AA$172,0,$H$6*2),A50)</f>
        <v/>
      </c>
      <c r="E50" s="1054">
        <f>IFERROR(IF(D50-D49&lt;0.0001,"",$D50-VLOOKUP($F50,'Werkschema - Instelling'!$A$3:$Z$172,26,FALSE)),1)</f>
        <v/>
      </c>
      <c r="F50" s="1055">
        <f>IF(D50&gt;0.958333333,"",IF($H$6=0, VLOOKUP($D50,'Werkschema - Instelling'!$AA$3:$AO$172,15,FALSE),IF($H$6=1,VLOOKUP($D50,'Werkschema - Instelling'!$AC$3:$AO$172,13,FALSE),IF($H$6=2,VLOOKUP($D50,'Werkschema - Instelling'!$AE$3:$AO$172,11,FALSE),IF($H$6=3,VLOOKUP($D50,'Werkschema - Instelling'!$AG$3:$AO$172,9,FALSE),IF($H$6=4,VLOOKUP($D50,'Werkschema - Instelling'!$AI$3:$AO$172,7,FALSE),IF($H$6=5,VLOOKUP($D50,'Werkschema - Instelling'!$AK$3:$AO$172,5,FALSE),VLOOKUP($D50,'Werkschema - Instelling'!$AM$3:$AO$172,3,FALSE))))))))</f>
        <v/>
      </c>
      <c r="G50" s="1056">
        <f>IF(D50&gt;0.958333333,"", IF($H$6=0, VLOOKUP($D50,'Werkschema - Instelling'!$AA$3:$AP$172,16,FALSE),IF($H$6=1,VLOOKUP($D50,'Werkschema - Instelling'!$AC$3:$AP$172,14,FALSE),IF($H$6=2,VLOOKUP($D50,'Werkschema - Instelling'!$AE$3:$AP$172,12,FALSE),IF($H$6=3,VLOOKUP($D50,'Werkschema - Instelling'!$AG$3:$AP$172,10,FALSE),IF($H$6=4,VLOOKUP($D50,'Werkschema - Instelling'!$AI$3:$AP$172,8,FALSE),IF($H$6=5,VLOOKUP($D50,'Werkschema - Instelling'!$AK$3:$AP$172,6,FALSE),VLOOKUP($D50,'Werkschema - Instelling'!$AM$3:$AP$172,4,FALSE))))))))</f>
        <v/>
      </c>
      <c r="H50" s="1057">
        <f>IF($D50&gt;0.985333333,"", IF($H$6=0, VLOOKUP($D50,'Werkschema - Instelling'!$AA$3:$AB$172,2,FALSE),IF($H$6=1,VLOOKUP($D50,'Werkschema - Instelling'!$AC$3:$AD$172,2,FALSE),IF($H$6=2,VLOOKUP($D50,'Werkschema - Instelling'!$AE$3:$AF$172,2,FALSE),IF($H$6=3,VLOOKUP($D50,'Werkschema - Instelling'!$AG$3:$AH$172,2,FALSE),IF($H$6=4,VLOOKUP($D50,'Werkschema - Instelling'!$AI$3:$AJ$172,2,FALSE),IF($H$6=5,VLOOKUP($D50,'Werkschema - Instelling'!$AK$3:$AL$172,2,FALSE),VLOOKUP($D50,'Werkschema - Instelling'!$AM$3:$AN$172,2,FALSE))))))))</f>
        <v/>
      </c>
      <c r="I50" s="3" t="n"/>
    </row>
    <row r="51" ht="15" customHeight="1">
      <c r="A51" s="85" t="n">
        <v>44</v>
      </c>
      <c r="B51" s="86">
        <f>IF(LEFT(F51,9)="Taken van",1,IF(LEFT(F51,14)="Start vulshift",2,IF(LEFT(F51,8)="Levering",3,0)))</f>
        <v/>
      </c>
      <c r="C51" s="85">
        <f>E51-E50</f>
        <v/>
      </c>
      <c r="D51" s="1049">
        <f>SMALL(OFFSET('Werkschema - Instelling'!$AA$3:$AA$172,0,$H$6*2),A51)</f>
        <v/>
      </c>
      <c r="E51" s="1054">
        <f>IFERROR(IF(D51-D50&lt;0.0001,"",$D51-VLOOKUP($F51,'Werkschema - Instelling'!$A$3:$Z$172,26,FALSE)),1)</f>
        <v/>
      </c>
      <c r="F51" s="1055">
        <f>IF(D51&gt;0.958333333,"",IF($H$6=0, VLOOKUP($D51,'Werkschema - Instelling'!$AA$3:$AO$172,15,FALSE),IF($H$6=1,VLOOKUP($D51,'Werkschema - Instelling'!$AC$3:$AO$172,13,FALSE),IF($H$6=2,VLOOKUP($D51,'Werkschema - Instelling'!$AE$3:$AO$172,11,FALSE),IF($H$6=3,VLOOKUP($D51,'Werkschema - Instelling'!$AG$3:$AO$172,9,FALSE),IF($H$6=4,VLOOKUP($D51,'Werkschema - Instelling'!$AI$3:$AO$172,7,FALSE),IF($H$6=5,VLOOKUP($D51,'Werkschema - Instelling'!$AK$3:$AO$172,5,FALSE),VLOOKUP($D51,'Werkschema - Instelling'!$AM$3:$AO$172,3,FALSE))))))))</f>
        <v/>
      </c>
      <c r="G51" s="1056">
        <f>IF(D51&gt;0.958333333,"", IF($H$6=0, VLOOKUP($D51,'Werkschema - Instelling'!$AA$3:$AP$172,16,FALSE),IF($H$6=1,VLOOKUP($D51,'Werkschema - Instelling'!$AC$3:$AP$172,14,FALSE),IF($H$6=2,VLOOKUP($D51,'Werkschema - Instelling'!$AE$3:$AP$172,12,FALSE),IF($H$6=3,VLOOKUP($D51,'Werkschema - Instelling'!$AG$3:$AP$172,10,FALSE),IF($H$6=4,VLOOKUP($D51,'Werkschema - Instelling'!$AI$3:$AP$172,8,FALSE),IF($H$6=5,VLOOKUP($D51,'Werkschema - Instelling'!$AK$3:$AP$172,6,FALSE),VLOOKUP($D51,'Werkschema - Instelling'!$AM$3:$AP$172,4,FALSE))))))))</f>
        <v/>
      </c>
      <c r="H51" s="1057">
        <f>IF($D51&gt;0.985333333,"", IF($H$6=0, VLOOKUP($D51,'Werkschema - Instelling'!$AA$3:$AB$172,2,FALSE),IF($H$6=1,VLOOKUP($D51,'Werkschema - Instelling'!$AC$3:$AD$172,2,FALSE),IF($H$6=2,VLOOKUP($D51,'Werkschema - Instelling'!$AE$3:$AF$172,2,FALSE),IF($H$6=3,VLOOKUP($D51,'Werkschema - Instelling'!$AG$3:$AH$172,2,FALSE),IF($H$6=4,VLOOKUP($D51,'Werkschema - Instelling'!$AI$3:$AJ$172,2,FALSE),IF($H$6=5,VLOOKUP($D51,'Werkschema - Instelling'!$AK$3:$AL$172,2,FALSE),VLOOKUP($D51,'Werkschema - Instelling'!$AM$3:$AN$172,2,FALSE))))))))</f>
        <v/>
      </c>
      <c r="I51" s="3" t="n"/>
    </row>
    <row r="52" ht="15" customHeight="1">
      <c r="A52" s="85" t="n">
        <v>45</v>
      </c>
      <c r="B52" s="86">
        <f>IF(LEFT(F52,9)="Taken van",1,IF(LEFT(F52,14)="Start vulshift",2,IF(LEFT(F52,8)="Levering",3,0)))</f>
        <v/>
      </c>
      <c r="C52" s="85">
        <f>E52-E51</f>
        <v/>
      </c>
      <c r="D52" s="1049">
        <f>SMALL(OFFSET('Werkschema - Instelling'!$AA$3:$AA$172,0,$H$6*2),A52)</f>
        <v/>
      </c>
      <c r="E52" s="1054">
        <f>IFERROR(IF(D52-D51&lt;0.0001,"",$D52-VLOOKUP($F52,'Werkschema - Instelling'!$A$3:$Z$172,26,FALSE)),1)</f>
        <v/>
      </c>
      <c r="F52" s="1055">
        <f>IF(D52&gt;0.958333333,"",IF($H$6=0, VLOOKUP($D52,'Werkschema - Instelling'!$AA$3:$AO$172,15,FALSE),IF($H$6=1,VLOOKUP($D52,'Werkschema - Instelling'!$AC$3:$AO$172,13,FALSE),IF($H$6=2,VLOOKUP($D52,'Werkschema - Instelling'!$AE$3:$AO$172,11,FALSE),IF($H$6=3,VLOOKUP($D52,'Werkschema - Instelling'!$AG$3:$AO$172,9,FALSE),IF($H$6=4,VLOOKUP($D52,'Werkschema - Instelling'!$AI$3:$AO$172,7,FALSE),IF($H$6=5,VLOOKUP($D52,'Werkschema - Instelling'!$AK$3:$AO$172,5,FALSE),VLOOKUP($D52,'Werkschema - Instelling'!$AM$3:$AO$172,3,FALSE))))))))</f>
        <v/>
      </c>
      <c r="G52" s="1056">
        <f>IF(D52&gt;0.958333333,"", IF($H$6=0, VLOOKUP($D52,'Werkschema - Instelling'!$AA$3:$AP$172,16,FALSE),IF($H$6=1,VLOOKUP($D52,'Werkschema - Instelling'!$AC$3:$AP$172,14,FALSE),IF($H$6=2,VLOOKUP($D52,'Werkschema - Instelling'!$AE$3:$AP$172,12,FALSE),IF($H$6=3,VLOOKUP($D52,'Werkschema - Instelling'!$AG$3:$AP$172,10,FALSE),IF($H$6=4,VLOOKUP($D52,'Werkschema - Instelling'!$AI$3:$AP$172,8,FALSE),IF($H$6=5,VLOOKUP($D52,'Werkschema - Instelling'!$AK$3:$AP$172,6,FALSE),VLOOKUP($D52,'Werkschema - Instelling'!$AM$3:$AP$172,4,FALSE))))))))</f>
        <v/>
      </c>
      <c r="H52" s="1057">
        <f>IF($D52&gt;0.985333333,"", IF($H$6=0, VLOOKUP($D52,'Werkschema - Instelling'!$AA$3:$AB$172,2,FALSE),IF($H$6=1,VLOOKUP($D52,'Werkschema - Instelling'!$AC$3:$AD$172,2,FALSE),IF($H$6=2,VLOOKUP($D52,'Werkschema - Instelling'!$AE$3:$AF$172,2,FALSE),IF($H$6=3,VLOOKUP($D52,'Werkschema - Instelling'!$AG$3:$AH$172,2,FALSE),IF($H$6=4,VLOOKUP($D52,'Werkschema - Instelling'!$AI$3:$AJ$172,2,FALSE),IF($H$6=5,VLOOKUP($D52,'Werkschema - Instelling'!$AK$3:$AL$172,2,FALSE),VLOOKUP($D52,'Werkschema - Instelling'!$AM$3:$AN$172,2,FALSE))))))))</f>
        <v/>
      </c>
      <c r="I52" s="3" t="n"/>
    </row>
    <row r="53" ht="15" customHeight="1">
      <c r="A53" s="85" t="n">
        <v>46</v>
      </c>
      <c r="B53" s="86">
        <f>IF(LEFT(F53,9)="Taken van",1,IF(LEFT(F53,14)="Start vulshift",2,IF(LEFT(F53,8)="Levering",3,0)))</f>
        <v/>
      </c>
      <c r="C53" s="85">
        <f>E53-E52</f>
        <v/>
      </c>
      <c r="D53" s="1049">
        <f>SMALL(OFFSET('Werkschema - Instelling'!$AA$3:$AA$172,0,$H$6*2),A53)</f>
        <v/>
      </c>
      <c r="E53" s="1054">
        <f>IFERROR(IF(D53-D52&lt;0.0001,"",$D53-VLOOKUP($F53,'Werkschema - Instelling'!$A$3:$Z$172,26,FALSE)),1)</f>
        <v/>
      </c>
      <c r="F53" s="1055">
        <f>IF(D53&gt;0.958333333,"",IF($H$6=0, VLOOKUP($D53,'Werkschema - Instelling'!$AA$3:$AO$172,15,FALSE),IF($H$6=1,VLOOKUP($D53,'Werkschema - Instelling'!$AC$3:$AO$172,13,FALSE),IF($H$6=2,VLOOKUP($D53,'Werkschema - Instelling'!$AE$3:$AO$172,11,FALSE),IF($H$6=3,VLOOKUP($D53,'Werkschema - Instelling'!$AG$3:$AO$172,9,FALSE),IF($H$6=4,VLOOKUP($D53,'Werkschema - Instelling'!$AI$3:$AO$172,7,FALSE),IF($H$6=5,VLOOKUP($D53,'Werkschema - Instelling'!$AK$3:$AO$172,5,FALSE),VLOOKUP($D53,'Werkschema - Instelling'!$AM$3:$AO$172,3,FALSE))))))))</f>
        <v/>
      </c>
      <c r="G53" s="1056">
        <f>IF(D53&gt;0.958333333,"", IF($H$6=0, VLOOKUP($D53,'Werkschema - Instelling'!$AA$3:$AP$172,16,FALSE),IF($H$6=1,VLOOKUP($D53,'Werkschema - Instelling'!$AC$3:$AP$172,14,FALSE),IF($H$6=2,VLOOKUP($D53,'Werkschema - Instelling'!$AE$3:$AP$172,12,FALSE),IF($H$6=3,VLOOKUP($D53,'Werkschema - Instelling'!$AG$3:$AP$172,10,FALSE),IF($H$6=4,VLOOKUP($D53,'Werkschema - Instelling'!$AI$3:$AP$172,8,FALSE),IF($H$6=5,VLOOKUP($D53,'Werkschema - Instelling'!$AK$3:$AP$172,6,FALSE),VLOOKUP($D53,'Werkschema - Instelling'!$AM$3:$AP$172,4,FALSE))))))))</f>
        <v/>
      </c>
      <c r="H53" s="1057">
        <f>IF($D53&gt;0.985333333,"", IF($H$6=0, VLOOKUP($D53,'Werkschema - Instelling'!$AA$3:$AB$172,2,FALSE),IF($H$6=1,VLOOKUP($D53,'Werkschema - Instelling'!$AC$3:$AD$172,2,FALSE),IF($H$6=2,VLOOKUP($D53,'Werkschema - Instelling'!$AE$3:$AF$172,2,FALSE),IF($H$6=3,VLOOKUP($D53,'Werkschema - Instelling'!$AG$3:$AH$172,2,FALSE),IF($H$6=4,VLOOKUP($D53,'Werkschema - Instelling'!$AI$3:$AJ$172,2,FALSE),IF($H$6=5,VLOOKUP($D53,'Werkschema - Instelling'!$AK$3:$AL$172,2,FALSE),VLOOKUP($D53,'Werkschema - Instelling'!$AM$3:$AN$172,2,FALSE))))))))</f>
        <v/>
      </c>
      <c r="I53" s="3" t="n"/>
    </row>
    <row r="54" ht="15" customHeight="1">
      <c r="A54" s="85" t="n">
        <v>47</v>
      </c>
      <c r="B54" s="86">
        <f>IF(LEFT(F54,9)="Taken van",1,IF(LEFT(F54,14)="Start vulshift",2,IF(LEFT(F54,8)="Levering",3,0)))</f>
        <v/>
      </c>
      <c r="C54" s="85">
        <f>E54-E53</f>
        <v/>
      </c>
      <c r="D54" s="1049">
        <f>SMALL(OFFSET('Werkschema - Instelling'!$AA$3:$AA$172,0,$H$6*2),A54)</f>
        <v/>
      </c>
      <c r="E54" s="1054">
        <f>IFERROR(IF(D54-D53&lt;0.0001,"",$D54-VLOOKUP($F54,'Werkschema - Instelling'!$A$3:$Z$172,26,FALSE)),1)</f>
        <v/>
      </c>
      <c r="F54" s="1055">
        <f>IF(D54&gt;0.958333333,"",IF($H$6=0, VLOOKUP($D54,'Werkschema - Instelling'!$AA$3:$AO$172,15,FALSE),IF($H$6=1,VLOOKUP($D54,'Werkschema - Instelling'!$AC$3:$AO$172,13,FALSE),IF($H$6=2,VLOOKUP($D54,'Werkschema - Instelling'!$AE$3:$AO$172,11,FALSE),IF($H$6=3,VLOOKUP($D54,'Werkschema - Instelling'!$AG$3:$AO$172,9,FALSE),IF($H$6=4,VLOOKUP($D54,'Werkschema - Instelling'!$AI$3:$AO$172,7,FALSE),IF($H$6=5,VLOOKUP($D54,'Werkschema - Instelling'!$AK$3:$AO$172,5,FALSE),VLOOKUP($D54,'Werkschema - Instelling'!$AM$3:$AO$172,3,FALSE))))))))</f>
        <v/>
      </c>
      <c r="G54" s="1056">
        <f>IF(D54&gt;0.958333333,"", IF($H$6=0, VLOOKUP($D54,'Werkschema - Instelling'!$AA$3:$AP$172,16,FALSE),IF($H$6=1,VLOOKUP($D54,'Werkschema - Instelling'!$AC$3:$AP$172,14,FALSE),IF($H$6=2,VLOOKUP($D54,'Werkschema - Instelling'!$AE$3:$AP$172,12,FALSE),IF($H$6=3,VLOOKUP($D54,'Werkschema - Instelling'!$AG$3:$AP$172,10,FALSE),IF($H$6=4,VLOOKUP($D54,'Werkschema - Instelling'!$AI$3:$AP$172,8,FALSE),IF($H$6=5,VLOOKUP($D54,'Werkschema - Instelling'!$AK$3:$AP$172,6,FALSE),VLOOKUP($D54,'Werkschema - Instelling'!$AM$3:$AP$172,4,FALSE))))))))</f>
        <v/>
      </c>
      <c r="H54" s="1057">
        <f>IF($D54&gt;0.985333333,"", IF($H$6=0, VLOOKUP($D54,'Werkschema - Instelling'!$AA$3:$AB$172,2,FALSE),IF($H$6=1,VLOOKUP($D54,'Werkschema - Instelling'!$AC$3:$AD$172,2,FALSE),IF($H$6=2,VLOOKUP($D54,'Werkschema - Instelling'!$AE$3:$AF$172,2,FALSE),IF($H$6=3,VLOOKUP($D54,'Werkschema - Instelling'!$AG$3:$AH$172,2,FALSE),IF($H$6=4,VLOOKUP($D54,'Werkschema - Instelling'!$AI$3:$AJ$172,2,FALSE),IF($H$6=5,VLOOKUP($D54,'Werkschema - Instelling'!$AK$3:$AL$172,2,FALSE),VLOOKUP($D54,'Werkschema - Instelling'!$AM$3:$AN$172,2,FALSE))))))))</f>
        <v/>
      </c>
      <c r="I54" s="3" t="n"/>
    </row>
    <row r="55" ht="15" customHeight="1">
      <c r="A55" s="85" t="n">
        <v>48</v>
      </c>
      <c r="B55" s="86">
        <f>IF(LEFT(F55,9)="Taken van",1,IF(LEFT(F55,14)="Start vulshift",2,IF(LEFT(F55,8)="Levering",3,0)))</f>
        <v/>
      </c>
      <c r="C55" s="85">
        <f>E55-E54</f>
        <v/>
      </c>
      <c r="D55" s="1049">
        <f>SMALL(OFFSET('Werkschema - Instelling'!$AA$3:$AA$172,0,$H$6*2),A55)</f>
        <v/>
      </c>
      <c r="E55" s="1054">
        <f>IFERROR(IF(D55-D54&lt;0.0001,"",$D55-VLOOKUP($F55,'Werkschema - Instelling'!$A$3:$Z$172,26,FALSE)),1)</f>
        <v/>
      </c>
      <c r="F55" s="1055">
        <f>IF(D55&gt;0.958333333,"",IF($H$6=0, VLOOKUP($D55,'Werkschema - Instelling'!$AA$3:$AO$172,15,FALSE),IF($H$6=1,VLOOKUP($D55,'Werkschema - Instelling'!$AC$3:$AO$172,13,FALSE),IF($H$6=2,VLOOKUP($D55,'Werkschema - Instelling'!$AE$3:$AO$172,11,FALSE),IF($H$6=3,VLOOKUP($D55,'Werkschema - Instelling'!$AG$3:$AO$172,9,FALSE),IF($H$6=4,VLOOKUP($D55,'Werkschema - Instelling'!$AI$3:$AO$172,7,FALSE),IF($H$6=5,VLOOKUP($D55,'Werkschema - Instelling'!$AK$3:$AO$172,5,FALSE),VLOOKUP($D55,'Werkschema - Instelling'!$AM$3:$AO$172,3,FALSE))))))))</f>
        <v/>
      </c>
      <c r="G55" s="1056">
        <f>IF(D55&gt;0.958333333,"", IF($H$6=0, VLOOKUP($D55,'Werkschema - Instelling'!$AA$3:$AP$172,16,FALSE),IF($H$6=1,VLOOKUP($D55,'Werkschema - Instelling'!$AC$3:$AP$172,14,FALSE),IF($H$6=2,VLOOKUP($D55,'Werkschema - Instelling'!$AE$3:$AP$172,12,FALSE),IF($H$6=3,VLOOKUP($D55,'Werkschema - Instelling'!$AG$3:$AP$172,10,FALSE),IF($H$6=4,VLOOKUP($D55,'Werkschema - Instelling'!$AI$3:$AP$172,8,FALSE),IF($H$6=5,VLOOKUP($D55,'Werkschema - Instelling'!$AK$3:$AP$172,6,FALSE),VLOOKUP($D55,'Werkschema - Instelling'!$AM$3:$AP$172,4,FALSE))))))))</f>
        <v/>
      </c>
      <c r="H55" s="1057">
        <f>IF($D55&gt;0.985333333,"", IF($H$6=0, VLOOKUP($D55,'Werkschema - Instelling'!$AA$3:$AB$172,2,FALSE),IF($H$6=1,VLOOKUP($D55,'Werkschema - Instelling'!$AC$3:$AD$172,2,FALSE),IF($H$6=2,VLOOKUP($D55,'Werkschema - Instelling'!$AE$3:$AF$172,2,FALSE),IF($H$6=3,VLOOKUP($D55,'Werkschema - Instelling'!$AG$3:$AH$172,2,FALSE),IF($H$6=4,VLOOKUP($D55,'Werkschema - Instelling'!$AI$3:$AJ$172,2,FALSE),IF($H$6=5,VLOOKUP($D55,'Werkschema - Instelling'!$AK$3:$AL$172,2,FALSE),VLOOKUP($D55,'Werkschema - Instelling'!$AM$3:$AN$172,2,FALSE))))))))</f>
        <v/>
      </c>
      <c r="I55" s="3" t="n"/>
    </row>
    <row r="56" ht="15" customHeight="1">
      <c r="A56" s="85" t="n">
        <v>49</v>
      </c>
      <c r="B56" s="86">
        <f>IF(LEFT(F56,9)="Taken van",1,IF(LEFT(F56,14)="Start vulshift",2,IF(LEFT(F56,8)="Levering",3,0)))</f>
        <v/>
      </c>
      <c r="C56" s="85">
        <f>E56-E55</f>
        <v/>
      </c>
      <c r="D56" s="1049">
        <f>SMALL(OFFSET('Werkschema - Instelling'!$AA$3:$AA$172,0,$H$6*2),A56)</f>
        <v/>
      </c>
      <c r="E56" s="1054">
        <f>IFERROR(IF(D56-D55&lt;0.0001,"",$D56-VLOOKUP($F56,'Werkschema - Instelling'!$A$3:$Z$172,26,FALSE)),1)</f>
        <v/>
      </c>
      <c r="F56" s="1055">
        <f>IF(D56&gt;0.958333333,"",IF($H$6=0, VLOOKUP($D56,'Werkschema - Instelling'!$AA$3:$AO$172,15,FALSE),IF($H$6=1,VLOOKUP($D56,'Werkschema - Instelling'!$AC$3:$AO$172,13,FALSE),IF($H$6=2,VLOOKUP($D56,'Werkschema - Instelling'!$AE$3:$AO$172,11,FALSE),IF($H$6=3,VLOOKUP($D56,'Werkschema - Instelling'!$AG$3:$AO$172,9,FALSE),IF($H$6=4,VLOOKUP($D56,'Werkschema - Instelling'!$AI$3:$AO$172,7,FALSE),IF($H$6=5,VLOOKUP($D56,'Werkschema - Instelling'!$AK$3:$AO$172,5,FALSE),VLOOKUP($D56,'Werkschema - Instelling'!$AM$3:$AO$172,3,FALSE))))))))</f>
        <v/>
      </c>
      <c r="G56" s="1056">
        <f>IF(D56&gt;0.958333333,"", IF($H$6=0, VLOOKUP($D56,'Werkschema - Instelling'!$AA$3:$AP$172,16,FALSE),IF($H$6=1,VLOOKUP($D56,'Werkschema - Instelling'!$AC$3:$AP$172,14,FALSE),IF($H$6=2,VLOOKUP($D56,'Werkschema - Instelling'!$AE$3:$AP$172,12,FALSE),IF($H$6=3,VLOOKUP($D56,'Werkschema - Instelling'!$AG$3:$AP$172,10,FALSE),IF($H$6=4,VLOOKUP($D56,'Werkschema - Instelling'!$AI$3:$AP$172,8,FALSE),IF($H$6=5,VLOOKUP($D56,'Werkschema - Instelling'!$AK$3:$AP$172,6,FALSE),VLOOKUP($D56,'Werkschema - Instelling'!$AM$3:$AP$172,4,FALSE))))))))</f>
        <v/>
      </c>
      <c r="H56" s="1057">
        <f>IF($D56&gt;0.985333333,"", IF($H$6=0, VLOOKUP($D56,'Werkschema - Instelling'!$AA$3:$AB$172,2,FALSE),IF($H$6=1,VLOOKUP($D56,'Werkschema - Instelling'!$AC$3:$AD$172,2,FALSE),IF($H$6=2,VLOOKUP($D56,'Werkschema - Instelling'!$AE$3:$AF$172,2,FALSE),IF($H$6=3,VLOOKUP($D56,'Werkschema - Instelling'!$AG$3:$AH$172,2,FALSE),IF($H$6=4,VLOOKUP($D56,'Werkschema - Instelling'!$AI$3:$AJ$172,2,FALSE),IF($H$6=5,VLOOKUP($D56,'Werkschema - Instelling'!$AK$3:$AL$172,2,FALSE),VLOOKUP($D56,'Werkschema - Instelling'!$AM$3:$AN$172,2,FALSE))))))))</f>
        <v/>
      </c>
      <c r="I56" s="3" t="n"/>
    </row>
    <row r="57" ht="15" customHeight="1">
      <c r="A57" s="85" t="n">
        <v>50</v>
      </c>
      <c r="B57" s="86">
        <f>IF(LEFT(F57,9)="Taken van",1,IF(LEFT(F57,14)="Start vulshift",2,IF(LEFT(F57,8)="Levering",3,0)))</f>
        <v/>
      </c>
      <c r="C57" s="85">
        <f>E57-E56</f>
        <v/>
      </c>
      <c r="D57" s="1049">
        <f>SMALL(OFFSET('Werkschema - Instelling'!$AA$3:$AA$172,0,$H$6*2),A57)</f>
        <v/>
      </c>
      <c r="E57" s="1054">
        <f>IFERROR(IF(D57-D56&lt;0.0001,"",$D57-VLOOKUP($F57,'Werkschema - Instelling'!$A$3:$Z$172,26,FALSE)),1)</f>
        <v/>
      </c>
      <c r="F57" s="1055">
        <f>IF(D57&gt;0.958333333,"",IF($H$6=0, VLOOKUP($D57,'Werkschema - Instelling'!$AA$3:$AO$172,15,FALSE),IF($H$6=1,VLOOKUP($D57,'Werkschema - Instelling'!$AC$3:$AO$172,13,FALSE),IF($H$6=2,VLOOKUP($D57,'Werkschema - Instelling'!$AE$3:$AO$172,11,FALSE),IF($H$6=3,VLOOKUP($D57,'Werkschema - Instelling'!$AG$3:$AO$172,9,FALSE),IF($H$6=4,VLOOKUP($D57,'Werkschema - Instelling'!$AI$3:$AO$172,7,FALSE),IF($H$6=5,VLOOKUP($D57,'Werkschema - Instelling'!$AK$3:$AO$172,5,FALSE),VLOOKUP($D57,'Werkschema - Instelling'!$AM$3:$AO$172,3,FALSE))))))))</f>
        <v/>
      </c>
      <c r="G57" s="1056">
        <f>IF(D57&gt;0.958333333,"", IF($H$6=0, VLOOKUP($D57,'Werkschema - Instelling'!$AA$3:$AP$172,16,FALSE),IF($H$6=1,VLOOKUP($D57,'Werkschema - Instelling'!$AC$3:$AP$172,14,FALSE),IF($H$6=2,VLOOKUP($D57,'Werkschema - Instelling'!$AE$3:$AP$172,12,FALSE),IF($H$6=3,VLOOKUP($D57,'Werkschema - Instelling'!$AG$3:$AP$172,10,FALSE),IF($H$6=4,VLOOKUP($D57,'Werkschema - Instelling'!$AI$3:$AP$172,8,FALSE),IF($H$6=5,VLOOKUP($D57,'Werkschema - Instelling'!$AK$3:$AP$172,6,FALSE),VLOOKUP($D57,'Werkschema - Instelling'!$AM$3:$AP$172,4,FALSE))))))))</f>
        <v/>
      </c>
      <c r="H57" s="1057">
        <f>IF($D57&gt;0.985333333,"", IF($H$6=0, VLOOKUP($D57,'Werkschema - Instelling'!$AA$3:$AB$172,2,FALSE),IF($H$6=1,VLOOKUP($D57,'Werkschema - Instelling'!$AC$3:$AD$172,2,FALSE),IF($H$6=2,VLOOKUP($D57,'Werkschema - Instelling'!$AE$3:$AF$172,2,FALSE),IF($H$6=3,VLOOKUP($D57,'Werkschema - Instelling'!$AG$3:$AH$172,2,FALSE),IF($H$6=4,VLOOKUP($D57,'Werkschema - Instelling'!$AI$3:$AJ$172,2,FALSE),IF($H$6=5,VLOOKUP($D57,'Werkschema - Instelling'!$AK$3:$AL$172,2,FALSE),VLOOKUP($D57,'Werkschema - Instelling'!$AM$3:$AN$172,2,FALSE))))))))</f>
        <v/>
      </c>
      <c r="I57" s="3" t="n"/>
    </row>
    <row r="58" ht="15" customHeight="1">
      <c r="A58" s="85" t="n">
        <v>51</v>
      </c>
      <c r="B58" s="86">
        <f>IF(LEFT(F58,9)="Taken van",1,IF(LEFT(F58,14)="Start vulshift",2,IF(LEFT(F58,8)="Levering",3,0)))</f>
        <v/>
      </c>
      <c r="C58" s="85">
        <f>E58-E57</f>
        <v/>
      </c>
      <c r="D58" s="1049">
        <f>SMALL(OFFSET('Werkschema - Instelling'!$AA$3:$AA$172,0,$H$6*2),A58)</f>
        <v/>
      </c>
      <c r="E58" s="1054">
        <f>IFERROR(IF(D58-D57&lt;0.0001,"",$D58-VLOOKUP($F58,'Werkschema - Instelling'!$A$3:$Z$172,26,FALSE)),1)</f>
        <v/>
      </c>
      <c r="F58" s="15">
        <f>IF(D58&gt;0.958333333,"",IF($H$6=0, VLOOKUP($D58,'Werkschema - Instelling'!$AA$3:$AO$172,15,FALSE),IF($H$6=1,VLOOKUP($D58,'Werkschema - Instelling'!$AC$3:$AO$172,13,FALSE),IF($H$6=2,VLOOKUP($D58,'Werkschema - Instelling'!$AE$3:$AO$172,11,FALSE),IF($H$6=3,VLOOKUP($D58,'Werkschema - Instelling'!$AG$3:$AO$172,9,FALSE),IF($H$6=4,VLOOKUP($D58,'Werkschema - Instelling'!$AI$3:$AO$172,7,FALSE),IF($H$6=5,VLOOKUP($D58,'Werkschema - Instelling'!$AK$3:$AO$172,5,FALSE),VLOOKUP($D58,'Werkschema - Instelling'!$AM$3:$AO$172,3,FALSE))))))))</f>
        <v/>
      </c>
      <c r="G58" s="16">
        <f>IF(D58&gt;0.958333333,"", IF($H$6=0, VLOOKUP($D58,'Werkschema - Instelling'!$AA$3:$AP$172,16,FALSE),IF($H$6=1,VLOOKUP($D58,'Werkschema - Instelling'!$AC$3:$AP$172,14,FALSE),IF($H$6=2,VLOOKUP($D58,'Werkschema - Instelling'!$AE$3:$AP$172,12,FALSE),IF($H$6=3,VLOOKUP($D58,'Werkschema - Instelling'!$AG$3:$AP$172,10,FALSE),IF($H$6=4,VLOOKUP($D58,'Werkschema - Instelling'!$AI$3:$AP$172,8,FALSE),IF($H$6=5,VLOOKUP($D58,'Werkschema - Instelling'!$AK$3:$AP$172,6,FALSE),VLOOKUP($D58,'Werkschema - Instelling'!$AM$3:$AP$172,4,FALSE))))))))</f>
        <v/>
      </c>
      <c r="H58" s="62">
        <f>IF($D58&gt;0.985333333,"", IF($H$6=0, VLOOKUP($D58,'Werkschema - Instelling'!$AA$3:$AB$172,2,FALSE),IF($H$6=1,VLOOKUP($D58,'Werkschema - Instelling'!$AC$3:$AD$172,2,FALSE),IF($H$6=2,VLOOKUP($D58,'Werkschema - Instelling'!$AE$3:$AF$172,2,FALSE),IF($H$6=3,VLOOKUP($D58,'Werkschema - Instelling'!$AG$3:$AH$172,2,FALSE),IF($H$6=4,VLOOKUP($D58,'Werkschema - Instelling'!$AI$3:$AJ$172,2,FALSE),IF($H$6=5,VLOOKUP($D58,'Werkschema - Instelling'!$AK$3:$AL$172,2,FALSE),VLOOKUP($D58,'Werkschema - Instelling'!$AM$3:$AN$172,2,FALSE))))))))</f>
        <v/>
      </c>
      <c r="I58" s="3" t="n"/>
    </row>
    <row r="59" ht="15" customHeight="1">
      <c r="A59" s="85" t="n">
        <v>52</v>
      </c>
      <c r="B59" s="86">
        <f>IF(LEFT(F59,9)="Taken van",1,IF(LEFT(F59,14)="Start vulshift",2,IF(LEFT(F59,8)="Levering",3,0)))</f>
        <v/>
      </c>
      <c r="C59" s="85">
        <f>E59-E58</f>
        <v/>
      </c>
      <c r="D59" s="1049">
        <f>SMALL(OFFSET('Werkschema - Instelling'!$AA$3:$AA$172,0,$H$6*2),A59)</f>
        <v/>
      </c>
      <c r="E59" s="1054">
        <f>IFERROR(IF(D59-D58&lt;0.0001,"",$D59-VLOOKUP($F59,'Werkschema - Instelling'!$A$3:$Z$172,26,FALSE)),1)</f>
        <v/>
      </c>
      <c r="F59" s="15">
        <f>IF(D59&gt;0.958333333,"",IF($H$6=0, VLOOKUP($D59,'Werkschema - Instelling'!$AA$3:$AO$172,15,FALSE),IF($H$6=1,VLOOKUP($D59,'Werkschema - Instelling'!$AC$3:$AO$172,13,FALSE),IF($H$6=2,VLOOKUP($D59,'Werkschema - Instelling'!$AE$3:$AO$172,11,FALSE),IF($H$6=3,VLOOKUP($D59,'Werkschema - Instelling'!$AG$3:$AO$172,9,FALSE),IF($H$6=4,VLOOKUP($D59,'Werkschema - Instelling'!$AI$3:$AO$172,7,FALSE),IF($H$6=5,VLOOKUP($D59,'Werkschema - Instelling'!$AK$3:$AO$172,5,FALSE),VLOOKUP($D59,'Werkschema - Instelling'!$AM$3:$AO$172,3,FALSE))))))))</f>
        <v/>
      </c>
      <c r="G59" s="16">
        <f>IF(D59&gt;0.958333333,"", IF($H$6=0, VLOOKUP($D59,'Werkschema - Instelling'!$AA$3:$AP$172,16,FALSE),IF($H$6=1,VLOOKUP($D59,'Werkschema - Instelling'!$AC$3:$AP$172,14,FALSE),IF($H$6=2,VLOOKUP($D59,'Werkschema - Instelling'!$AE$3:$AP$172,12,FALSE),IF($H$6=3,VLOOKUP($D59,'Werkschema - Instelling'!$AG$3:$AP$172,10,FALSE),IF($H$6=4,VLOOKUP($D59,'Werkschema - Instelling'!$AI$3:$AP$172,8,FALSE),IF($H$6=5,VLOOKUP($D59,'Werkschema - Instelling'!$AK$3:$AP$172,6,FALSE),VLOOKUP($D59,'Werkschema - Instelling'!$AM$3:$AP$172,4,FALSE))))))))</f>
        <v/>
      </c>
      <c r="H59" s="62">
        <f>IF($D59&gt;0.985333333,"", IF($H$6=0, VLOOKUP($D59,'Werkschema - Instelling'!$AA$3:$AB$172,2,FALSE),IF($H$6=1,VLOOKUP($D59,'Werkschema - Instelling'!$AC$3:$AD$172,2,FALSE),IF($H$6=2,VLOOKUP($D59,'Werkschema - Instelling'!$AE$3:$AF$172,2,FALSE),IF($H$6=3,VLOOKUP($D59,'Werkschema - Instelling'!$AG$3:$AH$172,2,FALSE),IF($H$6=4,VLOOKUP($D59,'Werkschema - Instelling'!$AI$3:$AJ$172,2,FALSE),IF($H$6=5,VLOOKUP($D59,'Werkschema - Instelling'!$AK$3:$AL$172,2,FALSE),VLOOKUP($D59,'Werkschema - Instelling'!$AM$3:$AN$172,2,FALSE))))))))</f>
        <v/>
      </c>
      <c r="I59" s="3" t="n"/>
    </row>
    <row r="60" ht="15" customHeight="1">
      <c r="A60" s="85" t="n">
        <v>53</v>
      </c>
      <c r="B60" s="86">
        <f>IF(LEFT(F60,9)="Taken van",1,IF(LEFT(F60,14)="Start vulshift",2,IF(LEFT(F60,8)="Levering",3,0)))</f>
        <v/>
      </c>
      <c r="C60" s="85">
        <f>E60-E59</f>
        <v/>
      </c>
      <c r="D60" s="1049">
        <f>SMALL(OFFSET('Werkschema - Instelling'!$AA$3:$AA$172,0,$H$6*2),A60)</f>
        <v/>
      </c>
      <c r="E60" s="1054">
        <f>IFERROR(IF(D60-D59&lt;0.0001,"",$D60-VLOOKUP($F60,'Werkschema - Instelling'!$A$3:$Z$172,26,FALSE)),1)</f>
        <v/>
      </c>
      <c r="F60" s="15">
        <f>IF(D60&gt;0.958333333,"",IF($H$6=0, VLOOKUP($D60,'Werkschema - Instelling'!$AA$3:$AO$172,15,FALSE),IF($H$6=1,VLOOKUP($D60,'Werkschema - Instelling'!$AC$3:$AO$172,13,FALSE),IF($H$6=2,VLOOKUP($D60,'Werkschema - Instelling'!$AE$3:$AO$172,11,FALSE),IF($H$6=3,VLOOKUP($D60,'Werkschema - Instelling'!$AG$3:$AO$172,9,FALSE),IF($H$6=4,VLOOKUP($D60,'Werkschema - Instelling'!$AI$3:$AO$172,7,FALSE),IF($H$6=5,VLOOKUP($D60,'Werkschema - Instelling'!$AK$3:$AO$172,5,FALSE),VLOOKUP($D60,'Werkschema - Instelling'!$AM$3:$AO$172,3,FALSE))))))))</f>
        <v/>
      </c>
      <c r="G60" s="16">
        <f>IF(D60&gt;0.958333333,"", IF($H$6=0, VLOOKUP($D60,'Werkschema - Instelling'!$AA$3:$AP$172,16,FALSE),IF($H$6=1,VLOOKUP($D60,'Werkschema - Instelling'!$AC$3:$AP$172,14,FALSE),IF($H$6=2,VLOOKUP($D60,'Werkschema - Instelling'!$AE$3:$AP$172,12,FALSE),IF($H$6=3,VLOOKUP($D60,'Werkschema - Instelling'!$AG$3:$AP$172,10,FALSE),IF($H$6=4,VLOOKUP($D60,'Werkschema - Instelling'!$AI$3:$AP$172,8,FALSE),IF($H$6=5,VLOOKUP($D60,'Werkschema - Instelling'!$AK$3:$AP$172,6,FALSE),VLOOKUP($D60,'Werkschema - Instelling'!$AM$3:$AP$172,4,FALSE))))))))</f>
        <v/>
      </c>
      <c r="H60" s="62">
        <f>IF($D60&gt;0.985333333,"", IF($H$6=0, VLOOKUP($D60,'Werkschema - Instelling'!$AA$3:$AB$172,2,FALSE),IF($H$6=1,VLOOKUP($D60,'Werkschema - Instelling'!$AC$3:$AD$172,2,FALSE),IF($H$6=2,VLOOKUP($D60,'Werkschema - Instelling'!$AE$3:$AF$172,2,FALSE),IF($H$6=3,VLOOKUP($D60,'Werkschema - Instelling'!$AG$3:$AH$172,2,FALSE),IF($H$6=4,VLOOKUP($D60,'Werkschema - Instelling'!$AI$3:$AJ$172,2,FALSE),IF($H$6=5,VLOOKUP($D60,'Werkschema - Instelling'!$AK$3:$AL$172,2,FALSE),VLOOKUP($D60,'Werkschema - Instelling'!$AM$3:$AN$172,2,FALSE))))))))</f>
        <v/>
      </c>
      <c r="I60" s="3" t="n"/>
    </row>
    <row r="61" ht="15" customHeight="1">
      <c r="A61" s="85" t="n">
        <v>54</v>
      </c>
      <c r="B61" s="86">
        <f>IF(LEFT(F61,9)="Taken van",1,IF(LEFT(F61,14)="Start vulshift",2,IF(LEFT(F61,8)="Levering",3,0)))</f>
        <v/>
      </c>
      <c r="C61" s="85">
        <f>E61-E60</f>
        <v/>
      </c>
      <c r="D61" s="1049">
        <f>SMALL(OFFSET('Werkschema - Instelling'!$AA$3:$AA$172,0,$H$6*2),A61)</f>
        <v/>
      </c>
      <c r="E61" s="1054">
        <f>IFERROR(IF(D61-D60&lt;0.0001,"",$D61-VLOOKUP($F61,'Werkschema - Instelling'!$A$3:$Z$172,26,FALSE)),1)</f>
        <v/>
      </c>
      <c r="F61" s="15">
        <f>IF(D61&gt;0.958333333,"",IF($H$6=0, VLOOKUP($D61,'Werkschema - Instelling'!$AA$3:$AO$172,15,FALSE),IF($H$6=1,VLOOKUP($D61,'Werkschema - Instelling'!$AC$3:$AO$172,13,FALSE),IF($H$6=2,VLOOKUP($D61,'Werkschema - Instelling'!$AE$3:$AO$172,11,FALSE),IF($H$6=3,VLOOKUP($D61,'Werkschema - Instelling'!$AG$3:$AO$172,9,FALSE),IF($H$6=4,VLOOKUP($D61,'Werkschema - Instelling'!$AI$3:$AO$172,7,FALSE),IF($H$6=5,VLOOKUP($D61,'Werkschema - Instelling'!$AK$3:$AO$172,5,FALSE),VLOOKUP($D61,'Werkschema - Instelling'!$AM$3:$AO$172,3,FALSE))))))))</f>
        <v/>
      </c>
      <c r="G61" s="16">
        <f>IF(D61&gt;0.958333333,"", IF($H$6=0, VLOOKUP($D61,'Werkschema - Instelling'!$AA$3:$AP$172,16,FALSE),IF($H$6=1,VLOOKUP($D61,'Werkschema - Instelling'!$AC$3:$AP$172,14,FALSE),IF($H$6=2,VLOOKUP($D61,'Werkschema - Instelling'!$AE$3:$AP$172,12,FALSE),IF($H$6=3,VLOOKUP($D61,'Werkschema - Instelling'!$AG$3:$AP$172,10,FALSE),IF($H$6=4,VLOOKUP($D61,'Werkschema - Instelling'!$AI$3:$AP$172,8,FALSE),IF($H$6=5,VLOOKUP($D61,'Werkschema - Instelling'!$AK$3:$AP$172,6,FALSE),VLOOKUP($D61,'Werkschema - Instelling'!$AM$3:$AP$172,4,FALSE))))))))</f>
        <v/>
      </c>
      <c r="H61" s="62">
        <f>IF($D61&gt;0.985333333,"", IF($H$6=0, VLOOKUP($D61,'Werkschema - Instelling'!$AA$3:$AB$172,2,FALSE),IF($H$6=1,VLOOKUP($D61,'Werkschema - Instelling'!$AC$3:$AD$172,2,FALSE),IF($H$6=2,VLOOKUP($D61,'Werkschema - Instelling'!$AE$3:$AF$172,2,FALSE),IF($H$6=3,VLOOKUP($D61,'Werkschema - Instelling'!$AG$3:$AH$172,2,FALSE),IF($H$6=4,VLOOKUP($D61,'Werkschema - Instelling'!$AI$3:$AJ$172,2,FALSE),IF($H$6=5,VLOOKUP($D61,'Werkschema - Instelling'!$AK$3:$AL$172,2,FALSE),VLOOKUP($D61,'Werkschema - Instelling'!$AM$3:$AN$172,2,FALSE))))))))</f>
        <v/>
      </c>
      <c r="I61" s="3" t="n"/>
    </row>
    <row r="62" ht="15" customHeight="1">
      <c r="A62" s="85" t="n">
        <v>55</v>
      </c>
      <c r="B62" s="86">
        <f>IF(LEFT(F62,9)="Taken van",1,IF(LEFT(F62,14)="Start vulshift",2,IF(LEFT(F62,8)="Levering",3,0)))</f>
        <v/>
      </c>
      <c r="C62" s="85">
        <f>E62-E61</f>
        <v/>
      </c>
      <c r="D62" s="1049">
        <f>SMALL(OFFSET('Werkschema - Instelling'!$AA$3:$AA$172,0,$H$6*2),A62)</f>
        <v/>
      </c>
      <c r="E62" s="1054">
        <f>IFERROR(IF(D62-D61&lt;0.0001,"",$D62-VLOOKUP($F62,'Werkschema - Instelling'!$A$3:$Z$172,26,FALSE)),1)</f>
        <v/>
      </c>
      <c r="F62" s="15">
        <f>IF(D62&gt;0.958333333,"",IF($H$6=0, VLOOKUP($D62,'Werkschema - Instelling'!$AA$3:$AO$172,15,FALSE),IF($H$6=1,VLOOKUP($D62,'Werkschema - Instelling'!$AC$3:$AO$172,13,FALSE),IF($H$6=2,VLOOKUP($D62,'Werkschema - Instelling'!$AE$3:$AO$172,11,FALSE),IF($H$6=3,VLOOKUP($D62,'Werkschema - Instelling'!$AG$3:$AO$172,9,FALSE),IF($H$6=4,VLOOKUP($D62,'Werkschema - Instelling'!$AI$3:$AO$172,7,FALSE),IF($H$6=5,VLOOKUP($D62,'Werkschema - Instelling'!$AK$3:$AO$172,5,FALSE),VLOOKUP($D62,'Werkschema - Instelling'!$AM$3:$AO$172,3,FALSE))))))))</f>
        <v/>
      </c>
      <c r="G62" s="16">
        <f>IF(D62&gt;0.958333333,"", IF($H$6=0, VLOOKUP($D62,'Werkschema - Instelling'!$AA$3:$AP$172,16,FALSE),IF($H$6=1,VLOOKUP($D62,'Werkschema - Instelling'!$AC$3:$AP$172,14,FALSE),IF($H$6=2,VLOOKUP($D62,'Werkschema - Instelling'!$AE$3:$AP$172,12,FALSE),IF($H$6=3,VLOOKUP($D62,'Werkschema - Instelling'!$AG$3:$AP$172,10,FALSE),IF($H$6=4,VLOOKUP($D62,'Werkschema - Instelling'!$AI$3:$AP$172,8,FALSE),IF($H$6=5,VLOOKUP($D62,'Werkschema - Instelling'!$AK$3:$AP$172,6,FALSE),VLOOKUP($D62,'Werkschema - Instelling'!$AM$3:$AP$172,4,FALSE))))))))</f>
        <v/>
      </c>
      <c r="H62" s="62">
        <f>IF($D62&gt;0.985333333,"", IF($H$6=0, VLOOKUP($D62,'Werkschema - Instelling'!$AA$3:$AB$172,2,FALSE),IF($H$6=1,VLOOKUP($D62,'Werkschema - Instelling'!$AC$3:$AD$172,2,FALSE),IF($H$6=2,VLOOKUP($D62,'Werkschema - Instelling'!$AE$3:$AF$172,2,FALSE),IF($H$6=3,VLOOKUP($D62,'Werkschema - Instelling'!$AG$3:$AH$172,2,FALSE),IF($H$6=4,VLOOKUP($D62,'Werkschema - Instelling'!$AI$3:$AJ$172,2,FALSE),IF($H$6=5,VLOOKUP($D62,'Werkschema - Instelling'!$AK$3:$AL$172,2,FALSE),VLOOKUP($D62,'Werkschema - Instelling'!$AM$3:$AN$172,2,FALSE))))))))</f>
        <v/>
      </c>
      <c r="I62" s="3" t="n"/>
    </row>
    <row r="63" ht="15" customHeight="1">
      <c r="A63" s="85" t="n">
        <v>56</v>
      </c>
      <c r="B63" s="86">
        <f>IF(LEFT(F63,9)="Taken van",1,IF(LEFT(F63,14)="Start vulshift",2,IF(LEFT(F63,8)="Levering",3,0)))</f>
        <v/>
      </c>
      <c r="C63" s="85">
        <f>E63-E62</f>
        <v/>
      </c>
      <c r="D63" s="1049">
        <f>SMALL(OFFSET('Werkschema - Instelling'!$AA$3:$AA$172,0,$H$6*2),A63)</f>
        <v/>
      </c>
      <c r="E63" s="1054">
        <f>IFERROR(IF(D63-D62&lt;0.0001,"",$D63-VLOOKUP($F63,'Werkschema - Instelling'!$A$3:$Z$172,26,FALSE)),1)</f>
        <v/>
      </c>
      <c r="F63" s="15">
        <f>IF(D63&gt;0.958333333,"",IF($H$6=0, VLOOKUP($D63,'Werkschema - Instelling'!$AA$3:$AO$172,15,FALSE),IF($H$6=1,VLOOKUP($D63,'Werkschema - Instelling'!$AC$3:$AO$172,13,FALSE),IF($H$6=2,VLOOKUP($D63,'Werkschema - Instelling'!$AE$3:$AO$172,11,FALSE),IF($H$6=3,VLOOKUP($D63,'Werkschema - Instelling'!$AG$3:$AO$172,9,FALSE),IF($H$6=4,VLOOKUP($D63,'Werkschema - Instelling'!$AI$3:$AO$172,7,FALSE),IF($H$6=5,VLOOKUP($D63,'Werkschema - Instelling'!$AK$3:$AO$172,5,FALSE),VLOOKUP($D63,'Werkschema - Instelling'!$AM$3:$AO$172,3,FALSE))))))))</f>
        <v/>
      </c>
      <c r="G63" s="16">
        <f>IF(D63&gt;0.958333333,"", IF($H$6=0, VLOOKUP($D63,'Werkschema - Instelling'!$AA$3:$AP$172,16,FALSE),IF($H$6=1,VLOOKUP($D63,'Werkschema - Instelling'!$AC$3:$AP$172,14,FALSE),IF($H$6=2,VLOOKUP($D63,'Werkschema - Instelling'!$AE$3:$AP$172,12,FALSE),IF($H$6=3,VLOOKUP($D63,'Werkschema - Instelling'!$AG$3:$AP$172,10,FALSE),IF($H$6=4,VLOOKUP($D63,'Werkschema - Instelling'!$AI$3:$AP$172,8,FALSE),IF($H$6=5,VLOOKUP($D63,'Werkschema - Instelling'!$AK$3:$AP$172,6,FALSE),VLOOKUP($D63,'Werkschema - Instelling'!$AM$3:$AP$172,4,FALSE))))))))</f>
        <v/>
      </c>
      <c r="H63" s="62">
        <f>IF($D63&gt;0.985333333,"", IF($H$6=0, VLOOKUP($D63,'Werkschema - Instelling'!$AA$3:$AB$172,2,FALSE),IF($H$6=1,VLOOKUP($D63,'Werkschema - Instelling'!$AC$3:$AD$172,2,FALSE),IF($H$6=2,VLOOKUP($D63,'Werkschema - Instelling'!$AE$3:$AF$172,2,FALSE),IF($H$6=3,VLOOKUP($D63,'Werkschema - Instelling'!$AG$3:$AH$172,2,FALSE),IF($H$6=4,VLOOKUP($D63,'Werkschema - Instelling'!$AI$3:$AJ$172,2,FALSE),IF($H$6=5,VLOOKUP($D63,'Werkschema - Instelling'!$AK$3:$AL$172,2,FALSE),VLOOKUP($D63,'Werkschema - Instelling'!$AM$3:$AN$172,2,FALSE))))))))</f>
        <v/>
      </c>
      <c r="I63" s="3" t="n"/>
    </row>
    <row r="64" ht="15" customHeight="1">
      <c r="A64" s="85" t="n">
        <v>57</v>
      </c>
      <c r="B64" s="86">
        <f>IF(LEFT(F64,9)="Taken van",1,IF(LEFT(F64,14)="Start vulshift",2,IF(LEFT(F64,8)="Levering",3,0)))</f>
        <v/>
      </c>
      <c r="C64" s="85">
        <f>E64-E63</f>
        <v/>
      </c>
      <c r="D64" s="1049">
        <f>SMALL(OFFSET('Werkschema - Instelling'!$AA$3:$AA$172,0,$H$6*2),A64)</f>
        <v/>
      </c>
      <c r="E64" s="1054">
        <f>IFERROR(IF(D64-D63&lt;0.0001,"",$D64-VLOOKUP($F64,'Werkschema - Instelling'!$A$3:$Z$172,26,FALSE)),1)</f>
        <v/>
      </c>
      <c r="F64" s="15">
        <f>IF(D64&gt;0.958333333,"",IF($H$6=0, VLOOKUP($D64,'Werkschema - Instelling'!$AA$3:$AO$172,15,FALSE),IF($H$6=1,VLOOKUP($D64,'Werkschema - Instelling'!$AC$3:$AO$172,13,FALSE),IF($H$6=2,VLOOKUP($D64,'Werkschema - Instelling'!$AE$3:$AO$172,11,FALSE),IF($H$6=3,VLOOKUP($D64,'Werkschema - Instelling'!$AG$3:$AO$172,9,FALSE),IF($H$6=4,VLOOKUP($D64,'Werkschema - Instelling'!$AI$3:$AO$172,7,FALSE),IF($H$6=5,VLOOKUP($D64,'Werkschema - Instelling'!$AK$3:$AO$172,5,FALSE),VLOOKUP($D64,'Werkschema - Instelling'!$AM$3:$AO$172,3,FALSE))))))))</f>
        <v/>
      </c>
      <c r="G64" s="16">
        <f>IF(D64&gt;0.958333333,"", IF($H$6=0, VLOOKUP($D64,'Werkschema - Instelling'!$AA$3:$AP$172,16,FALSE),IF($H$6=1,VLOOKUP($D64,'Werkschema - Instelling'!$AC$3:$AP$172,14,FALSE),IF($H$6=2,VLOOKUP($D64,'Werkschema - Instelling'!$AE$3:$AP$172,12,FALSE),IF($H$6=3,VLOOKUP($D64,'Werkschema - Instelling'!$AG$3:$AP$172,10,FALSE),IF($H$6=4,VLOOKUP($D64,'Werkschema - Instelling'!$AI$3:$AP$172,8,FALSE),IF($H$6=5,VLOOKUP($D64,'Werkschema - Instelling'!$AK$3:$AP$172,6,FALSE),VLOOKUP($D64,'Werkschema - Instelling'!$AM$3:$AP$172,4,FALSE))))))))</f>
        <v/>
      </c>
      <c r="H64" s="62">
        <f>IF($D64&gt;0.985333333,"", IF($H$6=0, VLOOKUP($D64,'Werkschema - Instelling'!$AA$3:$AB$172,2,FALSE),IF($H$6=1,VLOOKUP($D64,'Werkschema - Instelling'!$AC$3:$AD$172,2,FALSE),IF($H$6=2,VLOOKUP($D64,'Werkschema - Instelling'!$AE$3:$AF$172,2,FALSE),IF($H$6=3,VLOOKUP($D64,'Werkschema - Instelling'!$AG$3:$AH$172,2,FALSE),IF($H$6=4,VLOOKUP($D64,'Werkschema - Instelling'!$AI$3:$AJ$172,2,FALSE),IF($H$6=5,VLOOKUP($D64,'Werkschema - Instelling'!$AK$3:$AL$172,2,FALSE),VLOOKUP($D64,'Werkschema - Instelling'!$AM$3:$AN$172,2,FALSE))))))))</f>
        <v/>
      </c>
      <c r="I64" s="3" t="n"/>
    </row>
    <row r="65" ht="15" customHeight="1">
      <c r="A65" s="85" t="n">
        <v>58</v>
      </c>
      <c r="B65" s="86">
        <f>IF(LEFT(F65,9)="Taken van",1,IF(LEFT(F65,14)="Start vulshift",2,IF(LEFT(F65,8)="Levering",3,0)))</f>
        <v/>
      </c>
      <c r="C65" s="85">
        <f>E65-E64</f>
        <v/>
      </c>
      <c r="D65" s="1049">
        <f>SMALL(OFFSET('Werkschema - Instelling'!$AA$3:$AA$172,0,$H$6*2),A65)</f>
        <v/>
      </c>
      <c r="E65" s="1054">
        <f>IFERROR(IF(D65-D64&lt;0.0001,"",$D65-VLOOKUP($F65,'Werkschema - Instelling'!$A$3:$Z$172,26,FALSE)),1)</f>
        <v/>
      </c>
      <c r="F65" s="15">
        <f>IF(D65&gt;0.958333333,"",IF($H$6=0, VLOOKUP($D65,'Werkschema - Instelling'!$AA$3:$AO$172,15,FALSE),IF($H$6=1,VLOOKUP($D65,'Werkschema - Instelling'!$AC$3:$AO$172,13,FALSE),IF($H$6=2,VLOOKUP($D65,'Werkschema - Instelling'!$AE$3:$AO$172,11,FALSE),IF($H$6=3,VLOOKUP($D65,'Werkschema - Instelling'!$AG$3:$AO$172,9,FALSE),IF($H$6=4,VLOOKUP($D65,'Werkschema - Instelling'!$AI$3:$AO$172,7,FALSE),IF($H$6=5,VLOOKUP($D65,'Werkschema - Instelling'!$AK$3:$AO$172,5,FALSE),VLOOKUP($D65,'Werkschema - Instelling'!$AM$3:$AO$172,3,FALSE))))))))</f>
        <v/>
      </c>
      <c r="G65" s="16">
        <f>IF(D65&gt;0.958333333,"", IF($H$6=0, VLOOKUP($D65,'Werkschema - Instelling'!$AA$3:$AP$172,16,FALSE),IF($H$6=1,VLOOKUP($D65,'Werkschema - Instelling'!$AC$3:$AP$172,14,FALSE),IF($H$6=2,VLOOKUP($D65,'Werkschema - Instelling'!$AE$3:$AP$172,12,FALSE),IF($H$6=3,VLOOKUP($D65,'Werkschema - Instelling'!$AG$3:$AP$172,10,FALSE),IF($H$6=4,VLOOKUP($D65,'Werkschema - Instelling'!$AI$3:$AP$172,8,FALSE),IF($H$6=5,VLOOKUP($D65,'Werkschema - Instelling'!$AK$3:$AP$172,6,FALSE),VLOOKUP($D65,'Werkschema - Instelling'!$AM$3:$AP$172,4,FALSE))))))))</f>
        <v/>
      </c>
      <c r="H65" s="62">
        <f>IF($D65&gt;0.985333333,"", IF($H$6=0, VLOOKUP($D65,'Werkschema - Instelling'!$AA$3:$AB$172,2,FALSE),IF($H$6=1,VLOOKUP($D65,'Werkschema - Instelling'!$AC$3:$AD$172,2,FALSE),IF($H$6=2,VLOOKUP($D65,'Werkschema - Instelling'!$AE$3:$AF$172,2,FALSE),IF($H$6=3,VLOOKUP($D65,'Werkschema - Instelling'!$AG$3:$AH$172,2,FALSE),IF($H$6=4,VLOOKUP($D65,'Werkschema - Instelling'!$AI$3:$AJ$172,2,FALSE),IF($H$6=5,VLOOKUP($D65,'Werkschema - Instelling'!$AK$3:$AL$172,2,FALSE),VLOOKUP($D65,'Werkschema - Instelling'!$AM$3:$AN$172,2,FALSE))))))))</f>
        <v/>
      </c>
      <c r="I65" s="3" t="n"/>
    </row>
    <row r="66" ht="15" customHeight="1">
      <c r="A66" s="85" t="n">
        <v>59</v>
      </c>
      <c r="B66" s="86">
        <f>IF(LEFT(F66,9)="Taken van",1,IF(LEFT(F66,14)="Start vulshift",2,IF(LEFT(F66,8)="Levering",3,0)))</f>
        <v/>
      </c>
      <c r="C66" s="85">
        <f>E66-E65</f>
        <v/>
      </c>
      <c r="D66" s="1049">
        <f>SMALL(OFFSET('Werkschema - Instelling'!$AA$3:$AA$172,0,$H$6*2),A66)</f>
        <v/>
      </c>
      <c r="E66" s="1054">
        <f>IFERROR(IF(D66-D65&lt;0.0001,"",$D66-VLOOKUP($F66,'Werkschema - Instelling'!$A$3:$Z$172,26,FALSE)),1)</f>
        <v/>
      </c>
      <c r="F66" s="15">
        <f>IF(D66&gt;0.958333333,"",IF($H$6=0, VLOOKUP($D66,'Werkschema - Instelling'!$AA$3:$AO$172,15,FALSE),IF($H$6=1,VLOOKUP($D66,'Werkschema - Instelling'!$AC$3:$AO$172,13,FALSE),IF($H$6=2,VLOOKUP($D66,'Werkschema - Instelling'!$AE$3:$AO$172,11,FALSE),IF($H$6=3,VLOOKUP($D66,'Werkschema - Instelling'!$AG$3:$AO$172,9,FALSE),IF($H$6=4,VLOOKUP($D66,'Werkschema - Instelling'!$AI$3:$AO$172,7,FALSE),IF($H$6=5,VLOOKUP($D66,'Werkschema - Instelling'!$AK$3:$AO$172,5,FALSE),VLOOKUP($D66,'Werkschema - Instelling'!$AM$3:$AO$172,3,FALSE))))))))</f>
        <v/>
      </c>
      <c r="G66" s="16">
        <f>IF(D66&gt;0.958333333,"", IF($H$6=0, VLOOKUP($D66,'Werkschema - Instelling'!$AA$3:$AP$172,16,FALSE),IF($H$6=1,VLOOKUP($D66,'Werkschema - Instelling'!$AC$3:$AP$172,14,FALSE),IF($H$6=2,VLOOKUP($D66,'Werkschema - Instelling'!$AE$3:$AP$172,12,FALSE),IF($H$6=3,VLOOKUP($D66,'Werkschema - Instelling'!$AG$3:$AP$172,10,FALSE),IF($H$6=4,VLOOKUP($D66,'Werkschema - Instelling'!$AI$3:$AP$172,8,FALSE),IF($H$6=5,VLOOKUP($D66,'Werkschema - Instelling'!$AK$3:$AP$172,6,FALSE),VLOOKUP($D66,'Werkschema - Instelling'!$AM$3:$AP$172,4,FALSE))))))))</f>
        <v/>
      </c>
      <c r="H66" s="62">
        <f>IF($D66&gt;0.985333333,"", IF($H$6=0, VLOOKUP($D66,'Werkschema - Instelling'!$AA$3:$AB$172,2,FALSE),IF($H$6=1,VLOOKUP($D66,'Werkschema - Instelling'!$AC$3:$AD$172,2,FALSE),IF($H$6=2,VLOOKUP($D66,'Werkschema - Instelling'!$AE$3:$AF$172,2,FALSE),IF($H$6=3,VLOOKUP($D66,'Werkschema - Instelling'!$AG$3:$AH$172,2,FALSE),IF($H$6=4,VLOOKUP($D66,'Werkschema - Instelling'!$AI$3:$AJ$172,2,FALSE),IF($H$6=5,VLOOKUP($D66,'Werkschema - Instelling'!$AK$3:$AL$172,2,FALSE),VLOOKUP($D66,'Werkschema - Instelling'!$AM$3:$AN$172,2,FALSE))))))))</f>
        <v/>
      </c>
      <c r="I66" s="3" t="n"/>
    </row>
    <row r="67" ht="15" customHeight="1">
      <c r="A67" s="85" t="n">
        <v>60</v>
      </c>
      <c r="B67" s="86">
        <f>IF(LEFT(F67,9)="Taken van",1,IF(LEFT(F67,14)="Start vulshift",2,IF(LEFT(F67,8)="Levering",3,0)))</f>
        <v/>
      </c>
      <c r="C67" s="85">
        <f>E67-E66</f>
        <v/>
      </c>
      <c r="D67" s="1049">
        <f>SMALL(OFFSET('Werkschema - Instelling'!$AA$3:$AA$172,0,$H$6*2),A67)</f>
        <v/>
      </c>
      <c r="E67" s="1054">
        <f>IFERROR(IF(D67-D66&lt;0.0001,"",$D67-VLOOKUP($F67,'Werkschema - Instelling'!$A$3:$Z$172,26,FALSE)),1)</f>
        <v/>
      </c>
      <c r="F67" s="15">
        <f>IF(D67&gt;0.958333333,"",IF($H$6=0, VLOOKUP($D67,'Werkschema - Instelling'!$AA$3:$AO$172,15,FALSE),IF($H$6=1,VLOOKUP($D67,'Werkschema - Instelling'!$AC$3:$AO$172,13,FALSE),IF($H$6=2,VLOOKUP($D67,'Werkschema - Instelling'!$AE$3:$AO$172,11,FALSE),IF($H$6=3,VLOOKUP($D67,'Werkschema - Instelling'!$AG$3:$AO$172,9,FALSE),IF($H$6=4,VLOOKUP($D67,'Werkschema - Instelling'!$AI$3:$AO$172,7,FALSE),IF($H$6=5,VLOOKUP($D67,'Werkschema - Instelling'!$AK$3:$AO$172,5,FALSE),VLOOKUP($D67,'Werkschema - Instelling'!$AM$3:$AO$172,3,FALSE))))))))</f>
        <v/>
      </c>
      <c r="G67" s="16">
        <f>IF(D67&gt;0.958333333,"", IF($H$6=0, VLOOKUP($D67,'Werkschema - Instelling'!$AA$3:$AP$172,16,FALSE),IF($H$6=1,VLOOKUP($D67,'Werkschema - Instelling'!$AC$3:$AP$172,14,FALSE),IF($H$6=2,VLOOKUP($D67,'Werkschema - Instelling'!$AE$3:$AP$172,12,FALSE),IF($H$6=3,VLOOKUP($D67,'Werkschema - Instelling'!$AG$3:$AP$172,10,FALSE),IF($H$6=4,VLOOKUP($D67,'Werkschema - Instelling'!$AI$3:$AP$172,8,FALSE),IF($H$6=5,VLOOKUP($D67,'Werkschema - Instelling'!$AK$3:$AP$172,6,FALSE),VLOOKUP($D67,'Werkschema - Instelling'!$AM$3:$AP$172,4,FALSE))))))))</f>
        <v/>
      </c>
      <c r="H67" s="62">
        <f>IF($D67&gt;0.985333333,"", IF($H$6=0, VLOOKUP($D67,'Werkschema - Instelling'!$AA$3:$AB$172,2,FALSE),IF($H$6=1,VLOOKUP($D67,'Werkschema - Instelling'!$AC$3:$AD$172,2,FALSE),IF($H$6=2,VLOOKUP($D67,'Werkschema - Instelling'!$AE$3:$AF$172,2,FALSE),IF($H$6=3,VLOOKUP($D67,'Werkschema - Instelling'!$AG$3:$AH$172,2,FALSE),IF($H$6=4,VLOOKUP($D67,'Werkschema - Instelling'!$AI$3:$AJ$172,2,FALSE),IF($H$6=5,VLOOKUP($D67,'Werkschema - Instelling'!$AK$3:$AL$172,2,FALSE),VLOOKUP($D67,'Werkschema - Instelling'!$AM$3:$AN$172,2,FALSE))))))))</f>
        <v/>
      </c>
      <c r="I67" s="3" t="n"/>
    </row>
    <row r="68" ht="15" customHeight="1">
      <c r="A68" s="85" t="n">
        <v>61</v>
      </c>
      <c r="B68" s="86">
        <f>IF(LEFT(F68,9)="Taken van",1,IF(LEFT(F68,14)="Start vulshift",2,IF(LEFT(F68,8)="Levering",3,0)))</f>
        <v/>
      </c>
      <c r="C68" s="85">
        <f>E68-E67</f>
        <v/>
      </c>
      <c r="D68" s="1049">
        <f>SMALL(OFFSET('Werkschema - Instelling'!$AA$3:$AA$172,0,$H$6*2),A68)</f>
        <v/>
      </c>
      <c r="E68" s="1054">
        <f>IFERROR(IF(D68-D67&lt;0.0001,"",$D68-VLOOKUP($F68,'Werkschema - Instelling'!$A$3:$Z$172,26,FALSE)),1)</f>
        <v/>
      </c>
      <c r="F68" s="15">
        <f>IF(D68&gt;0.958333333,"",IF($H$6=0, VLOOKUP($D68,'Werkschema - Instelling'!$AA$3:$AO$172,15,FALSE),IF($H$6=1,VLOOKUP($D68,'Werkschema - Instelling'!$AC$3:$AO$172,13,FALSE),IF($H$6=2,VLOOKUP($D68,'Werkschema - Instelling'!$AE$3:$AO$172,11,FALSE),IF($H$6=3,VLOOKUP($D68,'Werkschema - Instelling'!$AG$3:$AO$172,9,FALSE),IF($H$6=4,VLOOKUP($D68,'Werkschema - Instelling'!$AI$3:$AO$172,7,FALSE),IF($H$6=5,VLOOKUP($D68,'Werkschema - Instelling'!$AK$3:$AO$172,5,FALSE),VLOOKUP($D68,'Werkschema - Instelling'!$AM$3:$AO$172,3,FALSE))))))))</f>
        <v/>
      </c>
      <c r="G68" s="16">
        <f>IF(D68&gt;0.958333333,"", IF($H$6=0, VLOOKUP($D68,'Werkschema - Instelling'!$AA$3:$AP$172,16,FALSE),IF($H$6=1,VLOOKUP($D68,'Werkschema - Instelling'!$AC$3:$AP$172,14,FALSE),IF($H$6=2,VLOOKUP($D68,'Werkschema - Instelling'!$AE$3:$AP$172,12,FALSE),IF($H$6=3,VLOOKUP($D68,'Werkschema - Instelling'!$AG$3:$AP$172,10,FALSE),IF($H$6=4,VLOOKUP($D68,'Werkschema - Instelling'!$AI$3:$AP$172,8,FALSE),IF($H$6=5,VLOOKUP($D68,'Werkschema - Instelling'!$AK$3:$AP$172,6,FALSE),VLOOKUP($D68,'Werkschema - Instelling'!$AM$3:$AP$172,4,FALSE))))))))</f>
        <v/>
      </c>
      <c r="H68" s="62">
        <f>IF($D68&gt;0.985333333,"", IF($H$6=0, VLOOKUP($D68,'Werkschema - Instelling'!$AA$3:$AB$172,2,FALSE),IF($H$6=1,VLOOKUP($D68,'Werkschema - Instelling'!$AC$3:$AD$172,2,FALSE),IF($H$6=2,VLOOKUP($D68,'Werkschema - Instelling'!$AE$3:$AF$172,2,FALSE),IF($H$6=3,VLOOKUP($D68,'Werkschema - Instelling'!$AG$3:$AH$172,2,FALSE),IF($H$6=4,VLOOKUP($D68,'Werkschema - Instelling'!$AI$3:$AJ$172,2,FALSE),IF($H$6=5,VLOOKUP($D68,'Werkschema - Instelling'!$AK$3:$AL$172,2,FALSE),VLOOKUP($D68,'Werkschema - Instelling'!$AM$3:$AN$172,2,FALSE))))))))</f>
        <v/>
      </c>
      <c r="I68" s="3" t="n"/>
    </row>
    <row r="69" ht="15" customHeight="1">
      <c r="A69" s="85" t="n">
        <v>62</v>
      </c>
      <c r="B69" s="86">
        <f>IF(LEFT(F69,9)="Taken van",1,IF(LEFT(F69,14)="Start vulshift",2,IF(LEFT(F69,8)="Levering",3,0)))</f>
        <v/>
      </c>
      <c r="C69" s="85">
        <f>E69-E68</f>
        <v/>
      </c>
      <c r="D69" s="1049">
        <f>SMALL(OFFSET('Werkschema - Instelling'!$AA$3:$AA$172,0,$H$6*2),A69)</f>
        <v/>
      </c>
      <c r="E69" s="1054">
        <f>IFERROR(IF(D69-D68&lt;0.0001,"",$D69-VLOOKUP($F69,'Werkschema - Instelling'!$A$3:$Z$172,26,FALSE)),1)</f>
        <v/>
      </c>
      <c r="F69" s="15">
        <f>IF(D69&gt;0.958333333,"",IF($H$6=0, VLOOKUP($D69,'Werkschema - Instelling'!$AA$3:$AO$172,15,FALSE),IF($H$6=1,VLOOKUP($D69,'Werkschema - Instelling'!$AC$3:$AO$172,13,FALSE),IF($H$6=2,VLOOKUP($D69,'Werkschema - Instelling'!$AE$3:$AO$172,11,FALSE),IF($H$6=3,VLOOKUP($D69,'Werkschema - Instelling'!$AG$3:$AO$172,9,FALSE),IF($H$6=4,VLOOKUP($D69,'Werkschema - Instelling'!$AI$3:$AO$172,7,FALSE),IF($H$6=5,VLOOKUP($D69,'Werkschema - Instelling'!$AK$3:$AO$172,5,FALSE),VLOOKUP($D69,'Werkschema - Instelling'!$AM$3:$AO$172,3,FALSE))))))))</f>
        <v/>
      </c>
      <c r="G69" s="16">
        <f>IF(D69&gt;0.958333333,"", IF($H$6=0, VLOOKUP($D69,'Werkschema - Instelling'!$AA$3:$AP$172,16,FALSE),IF($H$6=1,VLOOKUP($D69,'Werkschema - Instelling'!$AC$3:$AP$172,14,FALSE),IF($H$6=2,VLOOKUP($D69,'Werkschema - Instelling'!$AE$3:$AP$172,12,FALSE),IF($H$6=3,VLOOKUP($D69,'Werkschema - Instelling'!$AG$3:$AP$172,10,FALSE),IF($H$6=4,VLOOKUP($D69,'Werkschema - Instelling'!$AI$3:$AP$172,8,FALSE),IF($H$6=5,VLOOKUP($D69,'Werkschema - Instelling'!$AK$3:$AP$172,6,FALSE),VLOOKUP($D69,'Werkschema - Instelling'!$AM$3:$AP$172,4,FALSE))))))))</f>
        <v/>
      </c>
      <c r="H69" s="62">
        <f>IF($D69&gt;0.985333333,"", IF($H$6=0, VLOOKUP($D69,'Werkschema - Instelling'!$AA$3:$AB$172,2,FALSE),IF($H$6=1,VLOOKUP($D69,'Werkschema - Instelling'!$AC$3:$AD$172,2,FALSE),IF($H$6=2,VLOOKUP($D69,'Werkschema - Instelling'!$AE$3:$AF$172,2,FALSE),IF($H$6=3,VLOOKUP($D69,'Werkschema - Instelling'!$AG$3:$AH$172,2,FALSE),IF($H$6=4,VLOOKUP($D69,'Werkschema - Instelling'!$AI$3:$AJ$172,2,FALSE),IF($H$6=5,VLOOKUP($D69,'Werkschema - Instelling'!$AK$3:$AL$172,2,FALSE),VLOOKUP($D69,'Werkschema - Instelling'!$AM$3:$AN$172,2,FALSE))))))))</f>
        <v/>
      </c>
      <c r="I69" s="3" t="n"/>
    </row>
    <row r="70" ht="15" customHeight="1">
      <c r="A70" s="85" t="n">
        <v>63</v>
      </c>
      <c r="B70" s="86">
        <f>IF(LEFT(F70,9)="Taken van",1,IF(LEFT(F70,14)="Start vulshift",2,IF(LEFT(F70,8)="Levering",3,0)))</f>
        <v/>
      </c>
      <c r="C70" s="85">
        <f>E70-E69</f>
        <v/>
      </c>
      <c r="D70" s="1049">
        <f>SMALL(OFFSET('Werkschema - Instelling'!$AA$3:$AA$172,0,$H$6*2),A70)</f>
        <v/>
      </c>
      <c r="E70" s="1054">
        <f>IFERROR(IF(D70-D69&lt;0.0001,"",$D70-VLOOKUP($F70,'Werkschema - Instelling'!$A$3:$Z$172,26,FALSE)),1)</f>
        <v/>
      </c>
      <c r="F70" s="15">
        <f>IF(D70&gt;0.958333333,"",IF($H$6=0, VLOOKUP($D70,'Werkschema - Instelling'!$AA$3:$AO$172,15,FALSE),IF($H$6=1,VLOOKUP($D70,'Werkschema - Instelling'!$AC$3:$AO$172,13,FALSE),IF($H$6=2,VLOOKUP($D70,'Werkschema - Instelling'!$AE$3:$AO$172,11,FALSE),IF($H$6=3,VLOOKUP($D70,'Werkschema - Instelling'!$AG$3:$AO$172,9,FALSE),IF($H$6=4,VLOOKUP($D70,'Werkschema - Instelling'!$AI$3:$AO$172,7,FALSE),IF($H$6=5,VLOOKUP($D70,'Werkschema - Instelling'!$AK$3:$AO$172,5,FALSE),VLOOKUP($D70,'Werkschema - Instelling'!$AM$3:$AO$172,3,FALSE))))))))</f>
        <v/>
      </c>
      <c r="G70" s="16">
        <f>IF(D70&gt;0.958333333,"", IF($H$6=0, VLOOKUP($D70,'Werkschema - Instelling'!$AA$3:$AP$172,16,FALSE),IF($H$6=1,VLOOKUP($D70,'Werkschema - Instelling'!$AC$3:$AP$172,14,FALSE),IF($H$6=2,VLOOKUP($D70,'Werkschema - Instelling'!$AE$3:$AP$172,12,FALSE),IF($H$6=3,VLOOKUP($D70,'Werkschema - Instelling'!$AG$3:$AP$172,10,FALSE),IF($H$6=4,VLOOKUP($D70,'Werkschema - Instelling'!$AI$3:$AP$172,8,FALSE),IF($H$6=5,VLOOKUP($D70,'Werkschema - Instelling'!$AK$3:$AP$172,6,FALSE),VLOOKUP($D70,'Werkschema - Instelling'!$AM$3:$AP$172,4,FALSE))))))))</f>
        <v/>
      </c>
      <c r="H70" s="62">
        <f>IF($D70&gt;0.985333333,"", IF($H$6=0, VLOOKUP($D70,'Werkschema - Instelling'!$AA$3:$AB$172,2,FALSE),IF($H$6=1,VLOOKUP($D70,'Werkschema - Instelling'!$AC$3:$AD$172,2,FALSE),IF($H$6=2,VLOOKUP($D70,'Werkschema - Instelling'!$AE$3:$AF$172,2,FALSE),IF($H$6=3,VLOOKUP($D70,'Werkschema - Instelling'!$AG$3:$AH$172,2,FALSE),IF($H$6=4,VLOOKUP($D70,'Werkschema - Instelling'!$AI$3:$AJ$172,2,FALSE),IF($H$6=5,VLOOKUP($D70,'Werkschema - Instelling'!$AK$3:$AL$172,2,FALSE),VLOOKUP($D70,'Werkschema - Instelling'!$AM$3:$AN$172,2,FALSE))))))))</f>
        <v/>
      </c>
      <c r="I70" s="3" t="n"/>
    </row>
    <row r="71" ht="15" customHeight="1">
      <c r="A71" s="85" t="n">
        <v>64</v>
      </c>
      <c r="B71" s="86">
        <f>IF(LEFT(F71,9)="Taken van",1,IF(LEFT(F71,14)="Start vulshift",2,IF(LEFT(F71,8)="Levering",3,0)))</f>
        <v/>
      </c>
      <c r="C71" s="85">
        <f>E71-E70</f>
        <v/>
      </c>
      <c r="D71" s="1049">
        <f>SMALL(OFFSET('Werkschema - Instelling'!$AA$3:$AA$172,0,$H$6*2),A71)</f>
        <v/>
      </c>
      <c r="E71" s="1054">
        <f>IFERROR(IF(D71-D70&lt;0.0001,"",$D71-VLOOKUP($F71,'Werkschema - Instelling'!$A$3:$Z$172,26,FALSE)),1)</f>
        <v/>
      </c>
      <c r="F71" s="15">
        <f>IF(D71&gt;0.958333333,"",IF($H$6=0, VLOOKUP($D71,'Werkschema - Instelling'!$AA$3:$AO$172,15,FALSE),IF($H$6=1,VLOOKUP($D71,'Werkschema - Instelling'!$AC$3:$AO$172,13,FALSE),IF($H$6=2,VLOOKUP($D71,'Werkschema - Instelling'!$AE$3:$AO$172,11,FALSE),IF($H$6=3,VLOOKUP($D71,'Werkschema - Instelling'!$AG$3:$AO$172,9,FALSE),IF($H$6=4,VLOOKUP($D71,'Werkschema - Instelling'!$AI$3:$AO$172,7,FALSE),IF($H$6=5,VLOOKUP($D71,'Werkschema - Instelling'!$AK$3:$AO$172,5,FALSE),VLOOKUP($D71,'Werkschema - Instelling'!$AM$3:$AO$172,3,FALSE))))))))</f>
        <v/>
      </c>
      <c r="G71" s="16">
        <f>IF(D71&gt;0.958333333,"", IF($H$6=0, VLOOKUP($D71,'Werkschema - Instelling'!$AA$3:$AP$172,16,FALSE),IF($H$6=1,VLOOKUP($D71,'Werkschema - Instelling'!$AC$3:$AP$172,14,FALSE),IF($H$6=2,VLOOKUP($D71,'Werkschema - Instelling'!$AE$3:$AP$172,12,FALSE),IF($H$6=3,VLOOKUP($D71,'Werkschema - Instelling'!$AG$3:$AP$172,10,FALSE),IF($H$6=4,VLOOKUP($D71,'Werkschema - Instelling'!$AI$3:$AP$172,8,FALSE),IF($H$6=5,VLOOKUP($D71,'Werkschema - Instelling'!$AK$3:$AP$172,6,FALSE),VLOOKUP($D71,'Werkschema - Instelling'!$AM$3:$AP$172,4,FALSE))))))))</f>
        <v/>
      </c>
      <c r="H71" s="62">
        <f>IF($D71&gt;0.985333333,"", IF($H$6=0, VLOOKUP($D71,'Werkschema - Instelling'!$AA$3:$AB$172,2,FALSE),IF($H$6=1,VLOOKUP($D71,'Werkschema - Instelling'!$AC$3:$AD$172,2,FALSE),IF($H$6=2,VLOOKUP($D71,'Werkschema - Instelling'!$AE$3:$AF$172,2,FALSE),IF($H$6=3,VLOOKUP($D71,'Werkschema - Instelling'!$AG$3:$AH$172,2,FALSE),IF($H$6=4,VLOOKUP($D71,'Werkschema - Instelling'!$AI$3:$AJ$172,2,FALSE),IF($H$6=5,VLOOKUP($D71,'Werkschema - Instelling'!$AK$3:$AL$172,2,FALSE),VLOOKUP($D71,'Werkschema - Instelling'!$AM$3:$AN$172,2,FALSE))))))))</f>
        <v/>
      </c>
      <c r="I71" s="3" t="n"/>
    </row>
    <row r="72" ht="15" customHeight="1">
      <c r="A72" s="85" t="n">
        <v>65</v>
      </c>
      <c r="B72" s="86">
        <f>IF(LEFT(F72,9)="Taken van",1,IF(LEFT(F72,14)="Start vulshift",2,IF(LEFT(F72,8)="Levering",3,0)))</f>
        <v/>
      </c>
      <c r="C72" s="85">
        <f>E72-E71</f>
        <v/>
      </c>
      <c r="D72" s="1049">
        <f>SMALL(OFFSET('Werkschema - Instelling'!$AA$3:$AA$172,0,$H$6*2),A72)</f>
        <v/>
      </c>
      <c r="E72" s="1054">
        <f>IFERROR(IF(D72-D71&lt;0.0001,"",$D72-VLOOKUP($F72,'Werkschema - Instelling'!$A$3:$Z$172,26,FALSE)),1)</f>
        <v/>
      </c>
      <c r="F72" s="15">
        <f>IF(D72&gt;0.958333333,"",IF($H$6=0, VLOOKUP($D72,'Werkschema - Instelling'!$AA$3:$AO$172,15,FALSE),IF($H$6=1,VLOOKUP($D72,'Werkschema - Instelling'!$AC$3:$AO$172,13,FALSE),IF($H$6=2,VLOOKUP($D72,'Werkschema - Instelling'!$AE$3:$AO$172,11,FALSE),IF($H$6=3,VLOOKUP($D72,'Werkschema - Instelling'!$AG$3:$AO$172,9,FALSE),IF($H$6=4,VLOOKUP($D72,'Werkschema - Instelling'!$AI$3:$AO$172,7,FALSE),IF($H$6=5,VLOOKUP($D72,'Werkschema - Instelling'!$AK$3:$AO$172,5,FALSE),VLOOKUP($D72,'Werkschema - Instelling'!$AM$3:$AO$172,3,FALSE))))))))</f>
        <v/>
      </c>
      <c r="G72" s="16">
        <f>IF(D72&gt;0.958333333,"", IF($H$6=0, VLOOKUP($D72,'Werkschema - Instelling'!$AA$3:$AP$172,16,FALSE),IF($H$6=1,VLOOKUP($D72,'Werkschema - Instelling'!$AC$3:$AP$172,14,FALSE),IF($H$6=2,VLOOKUP($D72,'Werkschema - Instelling'!$AE$3:$AP$172,12,FALSE),IF($H$6=3,VLOOKUP($D72,'Werkschema - Instelling'!$AG$3:$AP$172,10,FALSE),IF($H$6=4,VLOOKUP($D72,'Werkschema - Instelling'!$AI$3:$AP$172,8,FALSE),IF($H$6=5,VLOOKUP($D72,'Werkschema - Instelling'!$AK$3:$AP$172,6,FALSE),VLOOKUP($D72,'Werkschema - Instelling'!$AM$3:$AP$172,4,FALSE))))))))</f>
        <v/>
      </c>
      <c r="H72" s="62">
        <f>IF($D72&gt;0.985333333,"", IF($H$6=0, VLOOKUP($D72,'Werkschema - Instelling'!$AA$3:$AB$172,2,FALSE),IF($H$6=1,VLOOKUP($D72,'Werkschema - Instelling'!$AC$3:$AD$172,2,FALSE),IF($H$6=2,VLOOKUP($D72,'Werkschema - Instelling'!$AE$3:$AF$172,2,FALSE),IF($H$6=3,VLOOKUP($D72,'Werkschema - Instelling'!$AG$3:$AH$172,2,FALSE),IF($H$6=4,VLOOKUP($D72,'Werkschema - Instelling'!$AI$3:$AJ$172,2,FALSE),IF($H$6=5,VLOOKUP($D72,'Werkschema - Instelling'!$AK$3:$AL$172,2,FALSE),VLOOKUP($D72,'Werkschema - Instelling'!$AM$3:$AN$172,2,FALSE))))))))</f>
        <v/>
      </c>
      <c r="I72" s="3" t="n"/>
    </row>
    <row r="73" ht="15" customHeight="1">
      <c r="A73" s="85" t="n">
        <v>66</v>
      </c>
      <c r="B73" s="86">
        <f>IF(LEFT(F73,9)="Taken van",1,IF(LEFT(F73,14)="Start vulshift",2,IF(LEFT(F73,8)="Levering",3,0)))</f>
        <v/>
      </c>
      <c r="C73" s="85">
        <f>E73-E72</f>
        <v/>
      </c>
      <c r="D73" s="1049">
        <f>SMALL(OFFSET('Werkschema - Instelling'!$AA$3:$AA$172,0,$H$6*2),A73)</f>
        <v/>
      </c>
      <c r="E73" s="1054">
        <f>IFERROR(IF(D73-D72&lt;0.0001,"",$D73-VLOOKUP($F73,'Werkschema - Instelling'!$A$3:$Z$172,26,FALSE)),1)</f>
        <v/>
      </c>
      <c r="F73" s="15">
        <f>IF(D73&gt;0.958333333,"",IF($H$6=0, VLOOKUP($D73,'Werkschema - Instelling'!$AA$3:$AO$172,15,FALSE),IF($H$6=1,VLOOKUP($D73,'Werkschema - Instelling'!$AC$3:$AO$172,13,FALSE),IF($H$6=2,VLOOKUP($D73,'Werkschema - Instelling'!$AE$3:$AO$172,11,FALSE),IF($H$6=3,VLOOKUP($D73,'Werkschema - Instelling'!$AG$3:$AO$172,9,FALSE),IF($H$6=4,VLOOKUP($D73,'Werkschema - Instelling'!$AI$3:$AO$172,7,FALSE),IF($H$6=5,VLOOKUP($D73,'Werkschema - Instelling'!$AK$3:$AO$172,5,FALSE),VLOOKUP($D73,'Werkschema - Instelling'!$AM$3:$AO$172,3,FALSE))))))))</f>
        <v/>
      </c>
      <c r="G73" s="16">
        <f>IF(D73&gt;0.958333333,"", IF($H$6=0, VLOOKUP($D73,'Werkschema - Instelling'!$AA$3:$AP$172,16,FALSE),IF($H$6=1,VLOOKUP($D73,'Werkschema - Instelling'!$AC$3:$AP$172,14,FALSE),IF($H$6=2,VLOOKUP($D73,'Werkschema - Instelling'!$AE$3:$AP$172,12,FALSE),IF($H$6=3,VLOOKUP($D73,'Werkschema - Instelling'!$AG$3:$AP$172,10,FALSE),IF($H$6=4,VLOOKUP($D73,'Werkschema - Instelling'!$AI$3:$AP$172,8,FALSE),IF($H$6=5,VLOOKUP($D73,'Werkschema - Instelling'!$AK$3:$AP$172,6,FALSE),VLOOKUP($D73,'Werkschema - Instelling'!$AM$3:$AP$172,4,FALSE))))))))</f>
        <v/>
      </c>
      <c r="H73" s="62">
        <f>IF($D73&gt;0.985333333,"", IF($H$6=0, VLOOKUP($D73,'Werkschema - Instelling'!$AA$3:$AB$172,2,FALSE),IF($H$6=1,VLOOKUP($D73,'Werkschema - Instelling'!$AC$3:$AD$172,2,FALSE),IF($H$6=2,VLOOKUP($D73,'Werkschema - Instelling'!$AE$3:$AF$172,2,FALSE),IF($H$6=3,VLOOKUP($D73,'Werkschema - Instelling'!$AG$3:$AH$172,2,FALSE),IF($H$6=4,VLOOKUP($D73,'Werkschema - Instelling'!$AI$3:$AJ$172,2,FALSE),IF($H$6=5,VLOOKUP($D73,'Werkschema - Instelling'!$AK$3:$AL$172,2,FALSE),VLOOKUP($D73,'Werkschema - Instelling'!$AM$3:$AN$172,2,FALSE))))))))</f>
        <v/>
      </c>
      <c r="I73" s="3" t="n"/>
    </row>
    <row r="74" ht="15" customHeight="1">
      <c r="A74" s="85" t="n">
        <v>67</v>
      </c>
      <c r="B74" s="86">
        <f>IF(LEFT(F74,9)="Taken van",1,IF(LEFT(F74,14)="Start vulshift",2,IF(LEFT(F74,8)="Levering",3,0)))</f>
        <v/>
      </c>
      <c r="C74" s="85">
        <f>E74-E73</f>
        <v/>
      </c>
      <c r="D74" s="1049">
        <f>SMALL(OFFSET('Werkschema - Instelling'!$AA$3:$AA$172,0,$H$6*2),A74)</f>
        <v/>
      </c>
      <c r="E74" s="1054">
        <f>IFERROR(IF(D74-D73&lt;0.0001,"",$D74-VLOOKUP($F74,'Werkschema - Instelling'!$A$3:$Z$172,26,FALSE)),1)</f>
        <v/>
      </c>
      <c r="F74" s="15">
        <f>IF(D74&gt;0.958333333,"",IF($H$6=0, VLOOKUP($D74,'Werkschema - Instelling'!$AA$3:$AO$172,15,FALSE),IF($H$6=1,VLOOKUP($D74,'Werkschema - Instelling'!$AC$3:$AO$172,13,FALSE),IF($H$6=2,VLOOKUP($D74,'Werkschema - Instelling'!$AE$3:$AO$172,11,FALSE),IF($H$6=3,VLOOKUP($D74,'Werkschema - Instelling'!$AG$3:$AO$172,9,FALSE),IF($H$6=4,VLOOKUP($D74,'Werkschema - Instelling'!$AI$3:$AO$172,7,FALSE),IF($H$6=5,VLOOKUP($D74,'Werkschema - Instelling'!$AK$3:$AO$172,5,FALSE),VLOOKUP($D74,'Werkschema - Instelling'!$AM$3:$AO$172,3,FALSE))))))))</f>
        <v/>
      </c>
      <c r="G74" s="16">
        <f>IF(D74&gt;0.958333333,"", IF($H$6=0, VLOOKUP($D74,'Werkschema - Instelling'!$AA$3:$AP$172,16,FALSE),IF($H$6=1,VLOOKUP($D74,'Werkschema - Instelling'!$AC$3:$AP$172,14,FALSE),IF($H$6=2,VLOOKUP($D74,'Werkschema - Instelling'!$AE$3:$AP$172,12,FALSE),IF($H$6=3,VLOOKUP($D74,'Werkschema - Instelling'!$AG$3:$AP$172,10,FALSE),IF($H$6=4,VLOOKUP($D74,'Werkschema - Instelling'!$AI$3:$AP$172,8,FALSE),IF($H$6=5,VLOOKUP($D74,'Werkschema - Instelling'!$AK$3:$AP$172,6,FALSE),VLOOKUP($D74,'Werkschema - Instelling'!$AM$3:$AP$172,4,FALSE))))))))</f>
        <v/>
      </c>
      <c r="H74" s="62">
        <f>IF($D74&gt;0.985333333,"", IF($H$6=0, VLOOKUP($D74,'Werkschema - Instelling'!$AA$3:$AB$172,2,FALSE),IF($H$6=1,VLOOKUP($D74,'Werkschema - Instelling'!$AC$3:$AD$172,2,FALSE),IF($H$6=2,VLOOKUP($D74,'Werkschema - Instelling'!$AE$3:$AF$172,2,FALSE),IF($H$6=3,VLOOKUP($D74,'Werkschema - Instelling'!$AG$3:$AH$172,2,FALSE),IF($H$6=4,VLOOKUP($D74,'Werkschema - Instelling'!$AI$3:$AJ$172,2,FALSE),IF($H$6=5,VLOOKUP($D74,'Werkschema - Instelling'!$AK$3:$AL$172,2,FALSE),VLOOKUP($D74,'Werkschema - Instelling'!$AM$3:$AN$172,2,FALSE))))))))</f>
        <v/>
      </c>
      <c r="I74" s="3" t="n"/>
    </row>
    <row r="75" ht="15" customHeight="1">
      <c r="A75" s="85" t="n">
        <v>68</v>
      </c>
      <c r="B75" s="86">
        <f>IF(LEFT(F75,9)="Taken van",1,IF(LEFT(F75,14)="Start vulshift",2,IF(LEFT(F75,8)="Levering",3,0)))</f>
        <v/>
      </c>
      <c r="C75" s="85">
        <f>E75-E74</f>
        <v/>
      </c>
      <c r="D75" s="1049">
        <f>SMALL(OFFSET('Werkschema - Instelling'!$AA$3:$AA$172,0,$H$6*2),A75)</f>
        <v/>
      </c>
      <c r="E75" s="1054">
        <f>IFERROR(IF(D75-D74&lt;0.0001,"",$D75-VLOOKUP($F75,'Werkschema - Instelling'!$A$3:$Z$172,26,FALSE)),1)</f>
        <v/>
      </c>
      <c r="F75" s="15">
        <f>IF(D75&gt;0.958333333,"",IF($H$6=0, VLOOKUP($D75,'Werkschema - Instelling'!$AA$3:$AO$172,15,FALSE),IF($H$6=1,VLOOKUP($D75,'Werkschema - Instelling'!$AC$3:$AO$172,13,FALSE),IF($H$6=2,VLOOKUP($D75,'Werkschema - Instelling'!$AE$3:$AO$172,11,FALSE),IF($H$6=3,VLOOKUP($D75,'Werkschema - Instelling'!$AG$3:$AO$172,9,FALSE),IF($H$6=4,VLOOKUP($D75,'Werkschema - Instelling'!$AI$3:$AO$172,7,FALSE),IF($H$6=5,VLOOKUP($D75,'Werkschema - Instelling'!$AK$3:$AO$172,5,FALSE),VLOOKUP($D75,'Werkschema - Instelling'!$AM$3:$AO$172,3,FALSE))))))))</f>
        <v/>
      </c>
      <c r="G75" s="16">
        <f>IF(D75&gt;0.958333333,"", IF($H$6=0, VLOOKUP($D75,'Werkschema - Instelling'!$AA$3:$AP$172,16,FALSE),IF($H$6=1,VLOOKUP($D75,'Werkschema - Instelling'!$AC$3:$AP$172,14,FALSE),IF($H$6=2,VLOOKUP($D75,'Werkschema - Instelling'!$AE$3:$AP$172,12,FALSE),IF($H$6=3,VLOOKUP($D75,'Werkschema - Instelling'!$AG$3:$AP$172,10,FALSE),IF($H$6=4,VLOOKUP($D75,'Werkschema - Instelling'!$AI$3:$AP$172,8,FALSE),IF($H$6=5,VLOOKUP($D75,'Werkschema - Instelling'!$AK$3:$AP$172,6,FALSE),VLOOKUP($D75,'Werkschema - Instelling'!$AM$3:$AP$172,4,FALSE))))))))</f>
        <v/>
      </c>
      <c r="H75" s="62">
        <f>IF($D75&gt;0.985333333,"", IF($H$6=0, VLOOKUP($D75,'Werkschema - Instelling'!$AA$3:$AB$172,2,FALSE),IF($H$6=1,VLOOKUP($D75,'Werkschema - Instelling'!$AC$3:$AD$172,2,FALSE),IF($H$6=2,VLOOKUP($D75,'Werkschema - Instelling'!$AE$3:$AF$172,2,FALSE),IF($H$6=3,VLOOKUP($D75,'Werkschema - Instelling'!$AG$3:$AH$172,2,FALSE),IF($H$6=4,VLOOKUP($D75,'Werkschema - Instelling'!$AI$3:$AJ$172,2,FALSE),IF($H$6=5,VLOOKUP($D75,'Werkschema - Instelling'!$AK$3:$AL$172,2,FALSE),VLOOKUP($D75,'Werkschema - Instelling'!$AM$3:$AN$172,2,FALSE))))))))</f>
        <v/>
      </c>
      <c r="I75" s="3" t="n"/>
    </row>
    <row r="76" ht="15" customHeight="1">
      <c r="A76" s="85" t="n">
        <v>69</v>
      </c>
      <c r="B76" s="86">
        <f>IF(LEFT(F76,9)="Taken van",1,IF(LEFT(F76,14)="Start vulshift",2,IF(LEFT(F76,8)="Levering",3,0)))</f>
        <v/>
      </c>
      <c r="C76" s="85">
        <f>E76-E75</f>
        <v/>
      </c>
      <c r="D76" s="1049">
        <f>SMALL(OFFSET('Werkschema - Instelling'!$AA$3:$AA$172,0,$H$6*2),A76)</f>
        <v/>
      </c>
      <c r="E76" s="1054">
        <f>IFERROR(IF(D76-D75&lt;0.0001,"",$D76-VLOOKUP($F76,'Werkschema - Instelling'!$A$3:$Z$172,26,FALSE)),1)</f>
        <v/>
      </c>
      <c r="F76" s="15">
        <f>IF(D76&gt;0.958333333,"",IF($H$6=0, VLOOKUP($D76,'Werkschema - Instelling'!$AA$3:$AO$172,15,FALSE),IF($H$6=1,VLOOKUP($D76,'Werkschema - Instelling'!$AC$3:$AO$172,13,FALSE),IF($H$6=2,VLOOKUP($D76,'Werkschema - Instelling'!$AE$3:$AO$172,11,FALSE),IF($H$6=3,VLOOKUP($D76,'Werkschema - Instelling'!$AG$3:$AO$172,9,FALSE),IF($H$6=4,VLOOKUP($D76,'Werkschema - Instelling'!$AI$3:$AO$172,7,FALSE),IF($H$6=5,VLOOKUP($D76,'Werkschema - Instelling'!$AK$3:$AO$172,5,FALSE),VLOOKUP($D76,'Werkschema - Instelling'!$AM$3:$AO$172,3,FALSE))))))))</f>
        <v/>
      </c>
      <c r="G76" s="16">
        <f>IF(D76&gt;0.958333333,"", IF($H$6=0, VLOOKUP($D76,'Werkschema - Instelling'!$AA$3:$AP$172,16,FALSE),IF($H$6=1,VLOOKUP($D76,'Werkschema - Instelling'!$AC$3:$AP$172,14,FALSE),IF($H$6=2,VLOOKUP($D76,'Werkschema - Instelling'!$AE$3:$AP$172,12,FALSE),IF($H$6=3,VLOOKUP($D76,'Werkschema - Instelling'!$AG$3:$AP$172,10,FALSE),IF($H$6=4,VLOOKUP($D76,'Werkschema - Instelling'!$AI$3:$AP$172,8,FALSE),IF($H$6=5,VLOOKUP($D76,'Werkschema - Instelling'!$AK$3:$AP$172,6,FALSE),VLOOKUP($D76,'Werkschema - Instelling'!$AM$3:$AP$172,4,FALSE))))))))</f>
        <v/>
      </c>
      <c r="H76" s="62">
        <f>IF($D76&gt;0.985333333,"", IF($H$6=0, VLOOKUP($D76,'Werkschema - Instelling'!$AA$3:$AB$172,2,FALSE),IF($H$6=1,VLOOKUP($D76,'Werkschema - Instelling'!$AC$3:$AD$172,2,FALSE),IF($H$6=2,VLOOKUP($D76,'Werkschema - Instelling'!$AE$3:$AF$172,2,FALSE),IF($H$6=3,VLOOKUP($D76,'Werkschema - Instelling'!$AG$3:$AH$172,2,FALSE),IF($H$6=4,VLOOKUP($D76,'Werkschema - Instelling'!$AI$3:$AJ$172,2,FALSE),IF($H$6=5,VLOOKUP($D76,'Werkschema - Instelling'!$AK$3:$AL$172,2,FALSE),VLOOKUP($D76,'Werkschema - Instelling'!$AM$3:$AN$172,2,FALSE))))))))</f>
        <v/>
      </c>
      <c r="I76" s="3" t="n"/>
    </row>
    <row r="77" ht="15" customHeight="1">
      <c r="A77" s="85" t="n">
        <v>70</v>
      </c>
      <c r="B77" s="86">
        <f>IF(LEFT(F77,9)="Taken van",1,IF(LEFT(F77,14)="Start vulshift",2,IF(LEFT(F77,8)="Levering",3,0)))</f>
        <v/>
      </c>
      <c r="C77" s="85">
        <f>E77-E76</f>
        <v/>
      </c>
      <c r="D77" s="1049">
        <f>SMALL(OFFSET('Werkschema - Instelling'!$AA$3:$AA$172,0,$H$6*2),A77)</f>
        <v/>
      </c>
      <c r="E77" s="1054">
        <f>IFERROR(IF(D77-D76&lt;0.0001,"",$D77-VLOOKUP($F77,'Werkschema - Instelling'!$A$3:$Z$172,26,FALSE)),1)</f>
        <v/>
      </c>
      <c r="F77" s="15">
        <f>IF(D77&gt;0.958333333,"",IF($H$6=0, VLOOKUP($D77,'Werkschema - Instelling'!$AA$3:$AO$172,15,FALSE),IF($H$6=1,VLOOKUP($D77,'Werkschema - Instelling'!$AC$3:$AO$172,13,FALSE),IF($H$6=2,VLOOKUP($D77,'Werkschema - Instelling'!$AE$3:$AO$172,11,FALSE),IF($H$6=3,VLOOKUP($D77,'Werkschema - Instelling'!$AG$3:$AO$172,9,FALSE),IF($H$6=4,VLOOKUP($D77,'Werkschema - Instelling'!$AI$3:$AO$172,7,FALSE),IF($H$6=5,VLOOKUP($D77,'Werkschema - Instelling'!$AK$3:$AO$172,5,FALSE),VLOOKUP($D77,'Werkschema - Instelling'!$AM$3:$AO$172,3,FALSE))))))))</f>
        <v/>
      </c>
      <c r="G77" s="16">
        <f>IF(D77&gt;0.958333333,"", IF($H$6=0, VLOOKUP($D77,'Werkschema - Instelling'!$AA$3:$AP$172,16,FALSE),IF($H$6=1,VLOOKUP($D77,'Werkschema - Instelling'!$AC$3:$AP$172,14,FALSE),IF($H$6=2,VLOOKUP($D77,'Werkschema - Instelling'!$AE$3:$AP$172,12,FALSE),IF($H$6=3,VLOOKUP($D77,'Werkschema - Instelling'!$AG$3:$AP$172,10,FALSE),IF($H$6=4,VLOOKUP($D77,'Werkschema - Instelling'!$AI$3:$AP$172,8,FALSE),IF($H$6=5,VLOOKUP($D77,'Werkschema - Instelling'!$AK$3:$AP$172,6,FALSE),VLOOKUP($D77,'Werkschema - Instelling'!$AM$3:$AP$172,4,FALSE))))))))</f>
        <v/>
      </c>
      <c r="H77" s="62">
        <f>IF($D77&gt;0.985333333,"", IF($H$6=0, VLOOKUP($D77,'Werkschema - Instelling'!$AA$3:$AB$172,2,FALSE),IF($H$6=1,VLOOKUP($D77,'Werkschema - Instelling'!$AC$3:$AD$172,2,FALSE),IF($H$6=2,VLOOKUP($D77,'Werkschema - Instelling'!$AE$3:$AF$172,2,FALSE),IF($H$6=3,VLOOKUP($D77,'Werkschema - Instelling'!$AG$3:$AH$172,2,FALSE),IF($H$6=4,VLOOKUP($D77,'Werkschema - Instelling'!$AI$3:$AJ$172,2,FALSE),IF($H$6=5,VLOOKUP($D77,'Werkschema - Instelling'!$AK$3:$AL$172,2,FALSE),VLOOKUP($D77,'Werkschema - Instelling'!$AM$3:$AN$172,2,FALSE))))))))</f>
        <v/>
      </c>
      <c r="I77" s="3" t="n"/>
    </row>
    <row r="78" ht="15" customHeight="1">
      <c r="A78" s="85" t="n">
        <v>71</v>
      </c>
      <c r="B78" s="86">
        <f>IF(LEFT(F78,9)="Taken van",1,IF(LEFT(F78,14)="Start vulshift",2,IF(LEFT(F78,8)="Levering",3,0)))</f>
        <v/>
      </c>
      <c r="C78" s="85">
        <f>E78-E77</f>
        <v/>
      </c>
      <c r="D78" s="1049">
        <f>SMALL(OFFSET('Werkschema - Instelling'!$AA$3:$AA$172,0,$H$6*2),A78)</f>
        <v/>
      </c>
      <c r="E78" s="1054">
        <f>IFERROR(IF(D78-D77&lt;0.0001,"",$D78-VLOOKUP($F78,'Werkschema - Instelling'!$A$3:$Z$172,26,FALSE)),1)</f>
        <v/>
      </c>
      <c r="F78" s="15">
        <f>IF(D78&gt;0.958333333,"",IF($H$6=0, VLOOKUP($D78,'Werkschema - Instelling'!$AA$3:$AO$172,15,FALSE),IF($H$6=1,VLOOKUP($D78,'Werkschema - Instelling'!$AC$3:$AO$172,13,FALSE),IF($H$6=2,VLOOKUP($D78,'Werkschema - Instelling'!$AE$3:$AO$172,11,FALSE),IF($H$6=3,VLOOKUP($D78,'Werkschema - Instelling'!$AG$3:$AO$172,9,FALSE),IF($H$6=4,VLOOKUP($D78,'Werkschema - Instelling'!$AI$3:$AO$172,7,FALSE),IF($H$6=5,VLOOKUP($D78,'Werkschema - Instelling'!$AK$3:$AO$172,5,FALSE),VLOOKUP($D78,'Werkschema - Instelling'!$AM$3:$AO$172,3,FALSE))))))))</f>
        <v/>
      </c>
      <c r="G78" s="16">
        <f>IF(D78&gt;0.958333333,"", IF($H$6=0, VLOOKUP($D78,'Werkschema - Instelling'!$AA$3:$AP$172,16,FALSE),IF($H$6=1,VLOOKUP($D78,'Werkschema - Instelling'!$AC$3:$AP$172,14,FALSE),IF($H$6=2,VLOOKUP($D78,'Werkschema - Instelling'!$AE$3:$AP$172,12,FALSE),IF($H$6=3,VLOOKUP($D78,'Werkschema - Instelling'!$AG$3:$AP$172,10,FALSE),IF($H$6=4,VLOOKUP($D78,'Werkschema - Instelling'!$AI$3:$AP$172,8,FALSE),IF($H$6=5,VLOOKUP($D78,'Werkschema - Instelling'!$AK$3:$AP$172,6,FALSE),VLOOKUP($D78,'Werkschema - Instelling'!$AM$3:$AP$172,4,FALSE))))))))</f>
        <v/>
      </c>
      <c r="H78" s="62">
        <f>IF($D78&gt;0.985333333,"", IF($H$6=0, VLOOKUP($D78,'Werkschema - Instelling'!$AA$3:$AB$172,2,FALSE),IF($H$6=1,VLOOKUP($D78,'Werkschema - Instelling'!$AC$3:$AD$172,2,FALSE),IF($H$6=2,VLOOKUP($D78,'Werkschema - Instelling'!$AE$3:$AF$172,2,FALSE),IF($H$6=3,VLOOKUP($D78,'Werkschema - Instelling'!$AG$3:$AH$172,2,FALSE),IF($H$6=4,VLOOKUP($D78,'Werkschema - Instelling'!$AI$3:$AJ$172,2,FALSE),IF($H$6=5,VLOOKUP($D78,'Werkschema - Instelling'!$AK$3:$AL$172,2,FALSE),VLOOKUP($D78,'Werkschema - Instelling'!$AM$3:$AN$172,2,FALSE))))))))</f>
        <v/>
      </c>
      <c r="I78" s="3" t="n"/>
    </row>
    <row r="79" ht="15" customHeight="1">
      <c r="A79" s="85" t="n">
        <v>72</v>
      </c>
      <c r="B79" s="86">
        <f>IF(LEFT(F79,9)="Taken van",1,IF(LEFT(F79,14)="Start vulshift",2,IF(LEFT(F79,8)="Levering",3,0)))</f>
        <v/>
      </c>
      <c r="C79" s="85">
        <f>E79-E78</f>
        <v/>
      </c>
      <c r="D79" s="1049">
        <f>SMALL(OFFSET('Werkschema - Instelling'!$AA$3:$AA$172,0,$H$6*2),A79)</f>
        <v/>
      </c>
      <c r="E79" s="1054">
        <f>IFERROR(IF(D79-D78&lt;0.0001,"",$D79-VLOOKUP($F79,'Werkschema - Instelling'!$A$3:$Z$172,26,FALSE)),1)</f>
        <v/>
      </c>
      <c r="F79" s="15">
        <f>IF(D79&gt;0.958333333,"",IF($H$6=0, VLOOKUP($D79,'Werkschema - Instelling'!$AA$3:$AO$172,15,FALSE),IF($H$6=1,VLOOKUP($D79,'Werkschema - Instelling'!$AC$3:$AO$172,13,FALSE),IF($H$6=2,VLOOKUP($D79,'Werkschema - Instelling'!$AE$3:$AO$172,11,FALSE),IF($H$6=3,VLOOKUP($D79,'Werkschema - Instelling'!$AG$3:$AO$172,9,FALSE),IF($H$6=4,VLOOKUP($D79,'Werkschema - Instelling'!$AI$3:$AO$172,7,FALSE),IF($H$6=5,VLOOKUP($D79,'Werkschema - Instelling'!$AK$3:$AO$172,5,FALSE),VLOOKUP($D79,'Werkschema - Instelling'!$AM$3:$AO$172,3,FALSE))))))))</f>
        <v/>
      </c>
      <c r="G79" s="16">
        <f>IF(D79&gt;0.958333333,"", IF($H$6=0, VLOOKUP($D79,'Werkschema - Instelling'!$AA$3:$AP$172,16,FALSE),IF($H$6=1,VLOOKUP($D79,'Werkschema - Instelling'!$AC$3:$AP$172,14,FALSE),IF($H$6=2,VLOOKUP($D79,'Werkschema - Instelling'!$AE$3:$AP$172,12,FALSE),IF($H$6=3,VLOOKUP($D79,'Werkschema - Instelling'!$AG$3:$AP$172,10,FALSE),IF($H$6=4,VLOOKUP($D79,'Werkschema - Instelling'!$AI$3:$AP$172,8,FALSE),IF($H$6=5,VLOOKUP($D79,'Werkschema - Instelling'!$AK$3:$AP$172,6,FALSE),VLOOKUP($D79,'Werkschema - Instelling'!$AM$3:$AP$172,4,FALSE))))))))</f>
        <v/>
      </c>
      <c r="H79" s="62">
        <f>IF($D79&gt;0.985333333,"", IF($H$6=0, VLOOKUP($D79,'Werkschema - Instelling'!$AA$3:$AB$172,2,FALSE),IF($H$6=1,VLOOKUP($D79,'Werkschema - Instelling'!$AC$3:$AD$172,2,FALSE),IF($H$6=2,VLOOKUP($D79,'Werkschema - Instelling'!$AE$3:$AF$172,2,FALSE),IF($H$6=3,VLOOKUP($D79,'Werkschema - Instelling'!$AG$3:$AH$172,2,FALSE),IF($H$6=4,VLOOKUP($D79,'Werkschema - Instelling'!$AI$3:$AJ$172,2,FALSE),IF($H$6=5,VLOOKUP($D79,'Werkschema - Instelling'!$AK$3:$AL$172,2,FALSE),VLOOKUP($D79,'Werkschema - Instelling'!$AM$3:$AN$172,2,FALSE))))))))</f>
        <v/>
      </c>
      <c r="I79" s="3" t="n"/>
    </row>
    <row r="80" ht="15" customHeight="1">
      <c r="A80" s="85" t="n">
        <v>73</v>
      </c>
      <c r="B80" s="86">
        <f>IF(LEFT(F80,9)="Taken van",1,IF(LEFT(F80,14)="Start vulshift",2,IF(LEFT(F80,8)="Levering",3,0)))</f>
        <v/>
      </c>
      <c r="C80" s="85">
        <f>E80-E79</f>
        <v/>
      </c>
      <c r="D80" s="1049">
        <f>SMALL(OFFSET('Werkschema - Instelling'!$AA$3:$AA$172,0,$H$6*2),A80)</f>
        <v/>
      </c>
      <c r="E80" s="1054">
        <f>IFERROR(IF(D80-D79&lt;0.0001,"",$D80-VLOOKUP($F80,'Werkschema - Instelling'!$A$3:$Z$172,26,FALSE)),1)</f>
        <v/>
      </c>
      <c r="F80" s="15">
        <f>IF(D80&gt;0.958333333,"",IF($H$6=0, VLOOKUP($D80,'Werkschema - Instelling'!$AA$3:$AO$172,15,FALSE),IF($H$6=1,VLOOKUP($D80,'Werkschema - Instelling'!$AC$3:$AO$172,13,FALSE),IF($H$6=2,VLOOKUP($D80,'Werkschema - Instelling'!$AE$3:$AO$172,11,FALSE),IF($H$6=3,VLOOKUP($D80,'Werkschema - Instelling'!$AG$3:$AO$172,9,FALSE),IF($H$6=4,VLOOKUP($D80,'Werkschema - Instelling'!$AI$3:$AO$172,7,FALSE),IF($H$6=5,VLOOKUP($D80,'Werkschema - Instelling'!$AK$3:$AO$172,5,FALSE),VLOOKUP($D80,'Werkschema - Instelling'!$AM$3:$AO$172,3,FALSE))))))))</f>
        <v/>
      </c>
      <c r="G80" s="16">
        <f>IF(D80&gt;0.958333333,"", IF($H$6=0, VLOOKUP($D80,'Werkschema - Instelling'!$AA$3:$AP$172,16,FALSE),IF($H$6=1,VLOOKUP($D80,'Werkschema - Instelling'!$AC$3:$AP$172,14,FALSE),IF($H$6=2,VLOOKUP($D80,'Werkschema - Instelling'!$AE$3:$AP$172,12,FALSE),IF($H$6=3,VLOOKUP($D80,'Werkschema - Instelling'!$AG$3:$AP$172,10,FALSE),IF($H$6=4,VLOOKUP($D80,'Werkschema - Instelling'!$AI$3:$AP$172,8,FALSE),IF($H$6=5,VLOOKUP($D80,'Werkschema - Instelling'!$AK$3:$AP$172,6,FALSE),VLOOKUP($D80,'Werkschema - Instelling'!$AM$3:$AP$172,4,FALSE))))))))</f>
        <v/>
      </c>
      <c r="H80" s="62">
        <f>IF($D80&gt;0.985333333,"", IF($H$6=0, VLOOKUP($D80,'Werkschema - Instelling'!$AA$3:$AB$172,2,FALSE),IF($H$6=1,VLOOKUP($D80,'Werkschema - Instelling'!$AC$3:$AD$172,2,FALSE),IF($H$6=2,VLOOKUP($D80,'Werkschema - Instelling'!$AE$3:$AF$172,2,FALSE),IF($H$6=3,VLOOKUP($D80,'Werkschema - Instelling'!$AG$3:$AH$172,2,FALSE),IF($H$6=4,VLOOKUP($D80,'Werkschema - Instelling'!$AI$3:$AJ$172,2,FALSE),IF($H$6=5,VLOOKUP($D80,'Werkschema - Instelling'!$AK$3:$AL$172,2,FALSE),VLOOKUP($D80,'Werkschema - Instelling'!$AM$3:$AN$172,2,FALSE))))))))</f>
        <v/>
      </c>
      <c r="I80" s="3" t="n"/>
    </row>
    <row r="81" ht="15" customHeight="1">
      <c r="A81" s="85" t="n">
        <v>74</v>
      </c>
      <c r="B81" s="86">
        <f>IF(LEFT(F81,9)="Taken van",1,IF(LEFT(F81,14)="Start vulshift",2,IF(LEFT(F81,8)="Levering",3,0)))</f>
        <v/>
      </c>
      <c r="C81" s="85">
        <f>E81-E80</f>
        <v/>
      </c>
      <c r="D81" s="1049">
        <f>SMALL(OFFSET('Werkschema - Instelling'!$AA$3:$AA$172,0,$H$6*2),A81)</f>
        <v/>
      </c>
      <c r="E81" s="1054">
        <f>IFERROR(IF(D81-D80&lt;0.0001,"",$D81-VLOOKUP($F81,'Werkschema - Instelling'!$A$3:$Z$172,26,FALSE)),1)</f>
        <v/>
      </c>
      <c r="F81" s="15">
        <f>IF(D81&gt;0.958333333,"",IF($H$6=0, VLOOKUP($D81,'Werkschema - Instelling'!$AA$3:$AO$172,15,FALSE),IF($H$6=1,VLOOKUP($D81,'Werkschema - Instelling'!$AC$3:$AO$172,13,FALSE),IF($H$6=2,VLOOKUP($D81,'Werkschema - Instelling'!$AE$3:$AO$172,11,FALSE),IF($H$6=3,VLOOKUP($D81,'Werkschema - Instelling'!$AG$3:$AO$172,9,FALSE),IF($H$6=4,VLOOKUP($D81,'Werkschema - Instelling'!$AI$3:$AO$172,7,FALSE),IF($H$6=5,VLOOKUP($D81,'Werkschema - Instelling'!$AK$3:$AO$172,5,FALSE),VLOOKUP($D81,'Werkschema - Instelling'!$AM$3:$AO$172,3,FALSE))))))))</f>
        <v/>
      </c>
      <c r="G81" s="16">
        <f>IF(D81&gt;0.958333333,"", IF($H$6=0, VLOOKUP($D81,'Werkschema - Instelling'!$AA$3:$AP$172,16,FALSE),IF($H$6=1,VLOOKUP($D81,'Werkschema - Instelling'!$AC$3:$AP$172,14,FALSE),IF($H$6=2,VLOOKUP($D81,'Werkschema - Instelling'!$AE$3:$AP$172,12,FALSE),IF($H$6=3,VLOOKUP($D81,'Werkschema - Instelling'!$AG$3:$AP$172,10,FALSE),IF($H$6=4,VLOOKUP($D81,'Werkschema - Instelling'!$AI$3:$AP$172,8,FALSE),IF($H$6=5,VLOOKUP($D81,'Werkschema - Instelling'!$AK$3:$AP$172,6,FALSE),VLOOKUP($D81,'Werkschema - Instelling'!$AM$3:$AP$172,4,FALSE))))))))</f>
        <v/>
      </c>
      <c r="H81" s="62">
        <f>IF($D81&gt;0.985333333,"", IF($H$6=0, VLOOKUP($D81,'Werkschema - Instelling'!$AA$3:$AB$172,2,FALSE),IF($H$6=1,VLOOKUP($D81,'Werkschema - Instelling'!$AC$3:$AD$172,2,FALSE),IF($H$6=2,VLOOKUP($D81,'Werkschema - Instelling'!$AE$3:$AF$172,2,FALSE),IF($H$6=3,VLOOKUP($D81,'Werkschema - Instelling'!$AG$3:$AH$172,2,FALSE),IF($H$6=4,VLOOKUP($D81,'Werkschema - Instelling'!$AI$3:$AJ$172,2,FALSE),IF($H$6=5,VLOOKUP($D81,'Werkschema - Instelling'!$AK$3:$AL$172,2,FALSE),VLOOKUP($D81,'Werkschema - Instelling'!$AM$3:$AN$172,2,FALSE))))))))</f>
        <v/>
      </c>
      <c r="I81" s="3" t="n"/>
    </row>
    <row r="82" ht="15" customHeight="1">
      <c r="A82" s="85" t="n">
        <v>75</v>
      </c>
      <c r="B82" s="86">
        <f>IF(LEFT(F82,9)="Taken van",1,IF(LEFT(F82,14)="Start vulshift",2,IF(LEFT(F82,8)="Levering",3,0)))</f>
        <v/>
      </c>
      <c r="C82" s="85">
        <f>E82-E81</f>
        <v/>
      </c>
      <c r="D82" s="1049">
        <f>SMALL(OFFSET('Werkschema - Instelling'!$AA$3:$AA$172,0,$H$6*2),A82)</f>
        <v/>
      </c>
      <c r="E82" s="1054">
        <f>IFERROR(IF(D82-D81&lt;0.0001,"",$D82-VLOOKUP($F82,'Werkschema - Instelling'!$A$3:$Z$172,26,FALSE)),1)</f>
        <v/>
      </c>
      <c r="F82" s="15">
        <f>IF(D82&gt;0.958333333,"",IF($H$6=0, VLOOKUP($D82,'Werkschema - Instelling'!$AA$3:$AO$172,15,FALSE),IF($H$6=1,VLOOKUP($D82,'Werkschema - Instelling'!$AC$3:$AO$172,13,FALSE),IF($H$6=2,VLOOKUP($D82,'Werkschema - Instelling'!$AE$3:$AO$172,11,FALSE),IF($H$6=3,VLOOKUP($D82,'Werkschema - Instelling'!$AG$3:$AO$172,9,FALSE),IF($H$6=4,VLOOKUP($D82,'Werkschema - Instelling'!$AI$3:$AO$172,7,FALSE),IF($H$6=5,VLOOKUP($D82,'Werkschema - Instelling'!$AK$3:$AO$172,5,FALSE),VLOOKUP($D82,'Werkschema - Instelling'!$AM$3:$AO$172,3,FALSE))))))))</f>
        <v/>
      </c>
      <c r="G82" s="16">
        <f>IF(D82&gt;0.958333333,"", IF($H$6=0, VLOOKUP($D82,'Werkschema - Instelling'!$AA$3:$AP$172,16,FALSE),IF($H$6=1,VLOOKUP($D82,'Werkschema - Instelling'!$AC$3:$AP$172,14,FALSE),IF($H$6=2,VLOOKUP($D82,'Werkschema - Instelling'!$AE$3:$AP$172,12,FALSE),IF($H$6=3,VLOOKUP($D82,'Werkschema - Instelling'!$AG$3:$AP$172,10,FALSE),IF($H$6=4,VLOOKUP($D82,'Werkschema - Instelling'!$AI$3:$AP$172,8,FALSE),IF($H$6=5,VLOOKUP($D82,'Werkschema - Instelling'!$AK$3:$AP$172,6,FALSE),VLOOKUP($D82,'Werkschema - Instelling'!$AM$3:$AP$172,4,FALSE))))))))</f>
        <v/>
      </c>
      <c r="H82" s="62">
        <f>IF($D82&gt;0.985333333,"", IF($H$6=0, VLOOKUP($D82,'Werkschema - Instelling'!$AA$3:$AB$172,2,FALSE),IF($H$6=1,VLOOKUP($D82,'Werkschema - Instelling'!$AC$3:$AD$172,2,FALSE),IF($H$6=2,VLOOKUP($D82,'Werkschema - Instelling'!$AE$3:$AF$172,2,FALSE),IF($H$6=3,VLOOKUP($D82,'Werkschema - Instelling'!$AG$3:$AH$172,2,FALSE),IF($H$6=4,VLOOKUP($D82,'Werkschema - Instelling'!$AI$3:$AJ$172,2,FALSE),IF($H$6=5,VLOOKUP($D82,'Werkschema - Instelling'!$AK$3:$AL$172,2,FALSE),VLOOKUP($D82,'Werkschema - Instelling'!$AM$3:$AN$172,2,FALSE))))))))</f>
        <v/>
      </c>
      <c r="I82" s="3" t="n"/>
    </row>
    <row r="83" ht="15" customHeight="1">
      <c r="A83" s="85" t="n">
        <v>76</v>
      </c>
      <c r="B83" s="86">
        <f>IF(LEFT(F83,9)="Taken van",1,IF(LEFT(F83,14)="Start vulshift",2,IF(LEFT(F83,8)="Levering",3,0)))</f>
        <v/>
      </c>
      <c r="C83" s="85">
        <f>E83-E82</f>
        <v/>
      </c>
      <c r="D83" s="1049">
        <f>SMALL(OFFSET('Werkschema - Instelling'!$AA$3:$AA$172,0,$H$6*2),A83)</f>
        <v/>
      </c>
      <c r="E83" s="1054">
        <f>IFERROR(IF(D83-D82&lt;0.0001,"",$D83-VLOOKUP($F83,'Werkschema - Instelling'!$A$3:$Z$172,26,FALSE)),1)</f>
        <v/>
      </c>
      <c r="F83" s="15">
        <f>IF(D83&gt;0.958333333,"",IF($H$6=0, VLOOKUP($D83,'Werkschema - Instelling'!$AA$3:$AO$172,15,FALSE),IF($H$6=1,VLOOKUP($D83,'Werkschema - Instelling'!$AC$3:$AO$172,13,FALSE),IF($H$6=2,VLOOKUP($D83,'Werkschema - Instelling'!$AE$3:$AO$172,11,FALSE),IF($H$6=3,VLOOKUP($D83,'Werkschema - Instelling'!$AG$3:$AO$172,9,FALSE),IF($H$6=4,VLOOKUP($D83,'Werkschema - Instelling'!$AI$3:$AO$172,7,FALSE),IF($H$6=5,VLOOKUP($D83,'Werkschema - Instelling'!$AK$3:$AO$172,5,FALSE),VLOOKUP($D83,'Werkschema - Instelling'!$AM$3:$AO$172,3,FALSE))))))))</f>
        <v/>
      </c>
      <c r="G83" s="16">
        <f>IF(D83&gt;0.958333333,"", IF($H$6=0, VLOOKUP($D83,'Werkschema - Instelling'!$AA$3:$AP$172,16,FALSE),IF($H$6=1,VLOOKUP($D83,'Werkschema - Instelling'!$AC$3:$AP$172,14,FALSE),IF($H$6=2,VLOOKUP($D83,'Werkschema - Instelling'!$AE$3:$AP$172,12,FALSE),IF($H$6=3,VLOOKUP($D83,'Werkschema - Instelling'!$AG$3:$AP$172,10,FALSE),IF($H$6=4,VLOOKUP($D83,'Werkschema - Instelling'!$AI$3:$AP$172,8,FALSE),IF($H$6=5,VLOOKUP($D83,'Werkschema - Instelling'!$AK$3:$AP$172,6,FALSE),VLOOKUP($D83,'Werkschema - Instelling'!$AM$3:$AP$172,4,FALSE))))))))</f>
        <v/>
      </c>
      <c r="H83" s="62">
        <f>IF($D83&gt;0.985333333,"", IF($H$6=0, VLOOKUP($D83,'Werkschema - Instelling'!$AA$3:$AB$172,2,FALSE),IF($H$6=1,VLOOKUP($D83,'Werkschema - Instelling'!$AC$3:$AD$172,2,FALSE),IF($H$6=2,VLOOKUP($D83,'Werkschema - Instelling'!$AE$3:$AF$172,2,FALSE),IF($H$6=3,VLOOKUP($D83,'Werkschema - Instelling'!$AG$3:$AH$172,2,FALSE),IF($H$6=4,VLOOKUP($D83,'Werkschema - Instelling'!$AI$3:$AJ$172,2,FALSE),IF($H$6=5,VLOOKUP($D83,'Werkschema - Instelling'!$AK$3:$AL$172,2,FALSE),VLOOKUP($D83,'Werkschema - Instelling'!$AM$3:$AN$172,2,FALSE))))))))</f>
        <v/>
      </c>
      <c r="I83" s="3" t="n"/>
    </row>
    <row r="84" ht="15" customHeight="1">
      <c r="A84" s="85" t="n">
        <v>77</v>
      </c>
      <c r="B84" s="86">
        <f>IF(LEFT(F84,9)="Taken van",1,IF(LEFT(F84,14)="Start vulshift",2,IF(LEFT(F84,8)="Levering",3,0)))</f>
        <v/>
      </c>
      <c r="C84" s="85">
        <f>E84-E83</f>
        <v/>
      </c>
      <c r="D84" s="1049">
        <f>SMALL(OFFSET('Werkschema - Instelling'!$AA$3:$AA$172,0,$H$6*2),A84)</f>
        <v/>
      </c>
      <c r="E84" s="1054">
        <f>IFERROR(IF(D84-D83&lt;0.0001,"",$D84-VLOOKUP($F84,'Werkschema - Instelling'!$A$3:$Z$172,26,FALSE)),1)</f>
        <v/>
      </c>
      <c r="F84" s="15">
        <f>IF(D84&gt;0.958333333,"",IF($H$6=0, VLOOKUP($D84,'Werkschema - Instelling'!$AA$3:$AO$172,15,FALSE),IF($H$6=1,VLOOKUP($D84,'Werkschema - Instelling'!$AC$3:$AO$172,13,FALSE),IF($H$6=2,VLOOKUP($D84,'Werkschema - Instelling'!$AE$3:$AO$172,11,FALSE),IF($H$6=3,VLOOKUP($D84,'Werkschema - Instelling'!$AG$3:$AO$172,9,FALSE),IF($H$6=4,VLOOKUP($D84,'Werkschema - Instelling'!$AI$3:$AO$172,7,FALSE),IF($H$6=5,VLOOKUP($D84,'Werkschema - Instelling'!$AK$3:$AO$172,5,FALSE),VLOOKUP($D84,'Werkschema - Instelling'!$AM$3:$AO$172,3,FALSE))))))))</f>
        <v/>
      </c>
      <c r="G84" s="16">
        <f>IF(D84&gt;0.958333333,"", IF($H$6=0, VLOOKUP($D84,'Werkschema - Instelling'!$AA$3:$AP$172,16,FALSE),IF($H$6=1,VLOOKUP($D84,'Werkschema - Instelling'!$AC$3:$AP$172,14,FALSE),IF($H$6=2,VLOOKUP($D84,'Werkschema - Instelling'!$AE$3:$AP$172,12,FALSE),IF($H$6=3,VLOOKUP($D84,'Werkschema - Instelling'!$AG$3:$AP$172,10,FALSE),IF($H$6=4,VLOOKUP($D84,'Werkschema - Instelling'!$AI$3:$AP$172,8,FALSE),IF($H$6=5,VLOOKUP($D84,'Werkschema - Instelling'!$AK$3:$AP$172,6,FALSE),VLOOKUP($D84,'Werkschema - Instelling'!$AM$3:$AP$172,4,FALSE))))))))</f>
        <v/>
      </c>
      <c r="H84" s="62">
        <f>IF($D84&gt;0.985333333,"", IF($H$6=0, VLOOKUP($D84,'Werkschema - Instelling'!$AA$3:$AB$172,2,FALSE),IF($H$6=1,VLOOKUP($D84,'Werkschema - Instelling'!$AC$3:$AD$172,2,FALSE),IF($H$6=2,VLOOKUP($D84,'Werkschema - Instelling'!$AE$3:$AF$172,2,FALSE),IF($H$6=3,VLOOKUP($D84,'Werkschema - Instelling'!$AG$3:$AH$172,2,FALSE),IF($H$6=4,VLOOKUP($D84,'Werkschema - Instelling'!$AI$3:$AJ$172,2,FALSE),IF($H$6=5,VLOOKUP($D84,'Werkschema - Instelling'!$AK$3:$AL$172,2,FALSE),VLOOKUP($D84,'Werkschema - Instelling'!$AM$3:$AN$172,2,FALSE))))))))</f>
        <v/>
      </c>
      <c r="I84" s="3" t="n"/>
    </row>
    <row r="85" ht="15" customHeight="1">
      <c r="A85" s="85" t="n">
        <v>78</v>
      </c>
      <c r="B85" s="86">
        <f>IF(LEFT(F85,9)="Taken van",1,IF(LEFT(F85,14)="Start vulshift",2,IF(LEFT(F85,8)="Levering",3,0)))</f>
        <v/>
      </c>
      <c r="C85" s="85">
        <f>E85-E84</f>
        <v/>
      </c>
      <c r="D85" s="1049">
        <f>SMALL(OFFSET('Werkschema - Instelling'!$AA$3:$AA$172,0,$H$6*2),A85)</f>
        <v/>
      </c>
      <c r="E85" s="1054">
        <f>IFERROR(IF(D85-D84&lt;0.0001,"",$D85-VLOOKUP($F85,'Werkschema - Instelling'!$A$3:$Z$172,26,FALSE)),1)</f>
        <v/>
      </c>
      <c r="F85" s="15">
        <f>IF(D85&gt;0.958333333,"",IF($H$6=0, VLOOKUP($D85,'Werkschema - Instelling'!$AA$3:$AO$172,15,FALSE),IF($H$6=1,VLOOKUP($D85,'Werkschema - Instelling'!$AC$3:$AO$172,13,FALSE),IF($H$6=2,VLOOKUP($D85,'Werkschema - Instelling'!$AE$3:$AO$172,11,FALSE),IF($H$6=3,VLOOKUP($D85,'Werkschema - Instelling'!$AG$3:$AO$172,9,FALSE),IF($H$6=4,VLOOKUP($D85,'Werkschema - Instelling'!$AI$3:$AO$172,7,FALSE),IF($H$6=5,VLOOKUP($D85,'Werkschema - Instelling'!$AK$3:$AO$172,5,FALSE),VLOOKUP($D85,'Werkschema - Instelling'!$AM$3:$AO$172,3,FALSE))))))))</f>
        <v/>
      </c>
      <c r="G85" s="16">
        <f>IF(D85&gt;0.958333333,"", IF($H$6=0, VLOOKUP($D85,'Werkschema - Instelling'!$AA$3:$AP$172,16,FALSE),IF($H$6=1,VLOOKUP($D85,'Werkschema - Instelling'!$AC$3:$AP$172,14,FALSE),IF($H$6=2,VLOOKUP($D85,'Werkschema - Instelling'!$AE$3:$AP$172,12,FALSE),IF($H$6=3,VLOOKUP($D85,'Werkschema - Instelling'!$AG$3:$AP$172,10,FALSE),IF($H$6=4,VLOOKUP($D85,'Werkschema - Instelling'!$AI$3:$AP$172,8,FALSE),IF($H$6=5,VLOOKUP($D85,'Werkschema - Instelling'!$AK$3:$AP$172,6,FALSE),VLOOKUP($D85,'Werkschema - Instelling'!$AM$3:$AP$172,4,FALSE))))))))</f>
        <v/>
      </c>
      <c r="H85" s="62">
        <f>IF($D85&gt;0.985333333,"", IF($H$6=0, VLOOKUP($D85,'Werkschema - Instelling'!$AA$3:$AB$172,2,FALSE),IF($H$6=1,VLOOKUP($D85,'Werkschema - Instelling'!$AC$3:$AD$172,2,FALSE),IF($H$6=2,VLOOKUP($D85,'Werkschema - Instelling'!$AE$3:$AF$172,2,FALSE),IF($H$6=3,VLOOKUP($D85,'Werkschema - Instelling'!$AG$3:$AH$172,2,FALSE),IF($H$6=4,VLOOKUP($D85,'Werkschema - Instelling'!$AI$3:$AJ$172,2,FALSE),IF($H$6=5,VLOOKUP($D85,'Werkschema - Instelling'!$AK$3:$AL$172,2,FALSE),VLOOKUP($D85,'Werkschema - Instelling'!$AM$3:$AN$172,2,FALSE))))))))</f>
        <v/>
      </c>
      <c r="I85" s="3" t="n"/>
    </row>
    <row r="86" ht="15" customHeight="1">
      <c r="A86" s="85" t="n">
        <v>79</v>
      </c>
      <c r="B86" s="86">
        <f>IF(LEFT(F86,9)="Taken van",1,IF(LEFT(F86,14)="Start vulshift",2,IF(LEFT(F86,8)="Levering",3,0)))</f>
        <v/>
      </c>
      <c r="C86" s="85">
        <f>E86-E85</f>
        <v/>
      </c>
      <c r="D86" s="1049">
        <f>SMALL(OFFSET('Werkschema - Instelling'!$AA$3:$AA$172,0,$H$6*2),A86)</f>
        <v/>
      </c>
      <c r="E86" s="1054">
        <f>IFERROR(IF(D86-D85&lt;0.0001,"",$D86-VLOOKUP($F86,'Werkschema - Instelling'!$A$3:$Z$172,26,FALSE)),1)</f>
        <v/>
      </c>
      <c r="F86" s="15">
        <f>IF(D86&gt;0.958333333,"",IF($H$6=0, VLOOKUP($D86,'Werkschema - Instelling'!$AA$3:$AO$172,15,FALSE),IF($H$6=1,VLOOKUP($D86,'Werkschema - Instelling'!$AC$3:$AO$172,13,FALSE),IF($H$6=2,VLOOKUP($D86,'Werkschema - Instelling'!$AE$3:$AO$172,11,FALSE),IF($H$6=3,VLOOKUP($D86,'Werkschema - Instelling'!$AG$3:$AO$172,9,FALSE),IF($H$6=4,VLOOKUP($D86,'Werkschema - Instelling'!$AI$3:$AO$172,7,FALSE),IF($H$6=5,VLOOKUP($D86,'Werkschema - Instelling'!$AK$3:$AO$172,5,FALSE),VLOOKUP($D86,'Werkschema - Instelling'!$AM$3:$AO$172,3,FALSE))))))))</f>
        <v/>
      </c>
      <c r="G86" s="16">
        <f>IF(D86&gt;0.958333333,"", IF($H$6=0, VLOOKUP($D86,'Werkschema - Instelling'!$AA$3:$AP$172,16,FALSE),IF($H$6=1,VLOOKUP($D86,'Werkschema - Instelling'!$AC$3:$AP$172,14,FALSE),IF($H$6=2,VLOOKUP($D86,'Werkschema - Instelling'!$AE$3:$AP$172,12,FALSE),IF($H$6=3,VLOOKUP($D86,'Werkschema - Instelling'!$AG$3:$AP$172,10,FALSE),IF($H$6=4,VLOOKUP($D86,'Werkschema - Instelling'!$AI$3:$AP$172,8,FALSE),IF($H$6=5,VLOOKUP($D86,'Werkschema - Instelling'!$AK$3:$AP$172,6,FALSE),VLOOKUP($D86,'Werkschema - Instelling'!$AM$3:$AP$172,4,FALSE))))))))</f>
        <v/>
      </c>
      <c r="H86" s="62">
        <f>IF($D86&gt;0.985333333,"", IF($H$6=0, VLOOKUP($D86,'Werkschema - Instelling'!$AA$3:$AB$172,2,FALSE),IF($H$6=1,VLOOKUP($D86,'Werkschema - Instelling'!$AC$3:$AD$172,2,FALSE),IF($H$6=2,VLOOKUP($D86,'Werkschema - Instelling'!$AE$3:$AF$172,2,FALSE),IF($H$6=3,VLOOKUP($D86,'Werkschema - Instelling'!$AG$3:$AH$172,2,FALSE),IF($H$6=4,VLOOKUP($D86,'Werkschema - Instelling'!$AI$3:$AJ$172,2,FALSE),IF($H$6=5,VLOOKUP($D86,'Werkschema - Instelling'!$AK$3:$AL$172,2,FALSE),VLOOKUP($D86,'Werkschema - Instelling'!$AM$3:$AN$172,2,FALSE))))))))</f>
        <v/>
      </c>
      <c r="I86" s="3" t="n"/>
    </row>
    <row r="87" ht="15" customHeight="1">
      <c r="A87" s="85" t="n">
        <v>80</v>
      </c>
      <c r="B87" s="86">
        <f>IF(LEFT(F87,9)="Taken van",1,IF(LEFT(F87,14)="Start vulshift",2,IF(LEFT(F87,8)="Levering",3,0)))</f>
        <v/>
      </c>
      <c r="C87" s="85">
        <f>E87-E86</f>
        <v/>
      </c>
      <c r="D87" s="1049">
        <f>SMALL(OFFSET('Werkschema - Instelling'!$AA$3:$AA$172,0,$H$6*2),A87)</f>
        <v/>
      </c>
      <c r="E87" s="1054">
        <f>IFERROR(IF(D87-D86&lt;0.0001,"",$D87-VLOOKUP($F87,'Werkschema - Instelling'!$A$3:$Z$172,26,FALSE)),1)</f>
        <v/>
      </c>
      <c r="F87" s="15">
        <f>IF(D87&gt;0.958333333,"",IF($H$6=0, VLOOKUP($D87,'Werkschema - Instelling'!$AA$3:$AO$172,15,FALSE),IF($H$6=1,VLOOKUP($D87,'Werkschema - Instelling'!$AC$3:$AO$172,13,FALSE),IF($H$6=2,VLOOKUP($D87,'Werkschema - Instelling'!$AE$3:$AO$172,11,FALSE),IF($H$6=3,VLOOKUP($D87,'Werkschema - Instelling'!$AG$3:$AO$172,9,FALSE),IF($H$6=4,VLOOKUP($D87,'Werkschema - Instelling'!$AI$3:$AO$172,7,FALSE),IF($H$6=5,VLOOKUP($D87,'Werkschema - Instelling'!$AK$3:$AO$172,5,FALSE),VLOOKUP($D87,'Werkschema - Instelling'!$AM$3:$AO$172,3,FALSE))))))))</f>
        <v/>
      </c>
      <c r="G87" s="16">
        <f>IF(D87&gt;0.958333333,"", IF($H$6=0, VLOOKUP($D87,'Werkschema - Instelling'!$AA$3:$AP$172,16,FALSE),IF($H$6=1,VLOOKUP($D87,'Werkschema - Instelling'!$AC$3:$AP$172,14,FALSE),IF($H$6=2,VLOOKUP($D87,'Werkschema - Instelling'!$AE$3:$AP$172,12,FALSE),IF($H$6=3,VLOOKUP($D87,'Werkschema - Instelling'!$AG$3:$AP$172,10,FALSE),IF($H$6=4,VLOOKUP($D87,'Werkschema - Instelling'!$AI$3:$AP$172,8,FALSE),IF($H$6=5,VLOOKUP($D87,'Werkschema - Instelling'!$AK$3:$AP$172,6,FALSE),VLOOKUP($D87,'Werkschema - Instelling'!$AM$3:$AP$172,4,FALSE))))))))</f>
        <v/>
      </c>
      <c r="H87" s="62">
        <f>IF($D87&gt;0.985333333,"", IF($H$6=0, VLOOKUP($D87,'Werkschema - Instelling'!$AA$3:$AB$172,2,FALSE),IF($H$6=1,VLOOKUP($D87,'Werkschema - Instelling'!$AC$3:$AD$172,2,FALSE),IF($H$6=2,VLOOKUP($D87,'Werkschema - Instelling'!$AE$3:$AF$172,2,FALSE),IF($H$6=3,VLOOKUP($D87,'Werkschema - Instelling'!$AG$3:$AH$172,2,FALSE),IF($H$6=4,VLOOKUP($D87,'Werkschema - Instelling'!$AI$3:$AJ$172,2,FALSE),IF($H$6=5,VLOOKUP($D87,'Werkschema - Instelling'!$AK$3:$AL$172,2,FALSE),VLOOKUP($D87,'Werkschema - Instelling'!$AM$3:$AN$172,2,FALSE))))))))</f>
        <v/>
      </c>
      <c r="I87" s="3" t="n"/>
    </row>
    <row r="88" ht="15" customHeight="1">
      <c r="A88" s="85" t="n">
        <v>81</v>
      </c>
      <c r="B88" s="86">
        <f>IF(LEFT(F88,9)="Taken van",1,IF(LEFT(F88,14)="Start vulshift",2,IF(LEFT(F88,8)="Levering",3,0)))</f>
        <v/>
      </c>
      <c r="C88" s="85">
        <f>E88-E87</f>
        <v/>
      </c>
      <c r="D88" s="1049">
        <f>SMALL(OFFSET('Werkschema - Instelling'!$AA$3:$AA$172,0,$H$6*2),A88)</f>
        <v/>
      </c>
      <c r="E88" s="1054">
        <f>IFERROR(IF(D88-D87&lt;0.0001,"",$D88-VLOOKUP($F88,'Werkschema - Instelling'!$A$3:$Z$172,26,FALSE)),1)</f>
        <v/>
      </c>
      <c r="F88" s="15">
        <f>IF(D88&gt;0.958333333,"",IF($H$6=0, VLOOKUP($D88,'Werkschema - Instelling'!$AA$3:$AO$172,15,FALSE),IF($H$6=1,VLOOKUP($D88,'Werkschema - Instelling'!$AC$3:$AO$172,13,FALSE),IF($H$6=2,VLOOKUP($D88,'Werkschema - Instelling'!$AE$3:$AO$172,11,FALSE),IF($H$6=3,VLOOKUP($D88,'Werkschema - Instelling'!$AG$3:$AO$172,9,FALSE),IF($H$6=4,VLOOKUP($D88,'Werkschema - Instelling'!$AI$3:$AO$172,7,FALSE),IF($H$6=5,VLOOKUP($D88,'Werkschema - Instelling'!$AK$3:$AO$172,5,FALSE),VLOOKUP($D88,'Werkschema - Instelling'!$AM$3:$AO$172,3,FALSE))))))))</f>
        <v/>
      </c>
      <c r="G88" s="16">
        <f>IF(D88&gt;0.958333333,"", IF($H$6=0, VLOOKUP($D88,'Werkschema - Instelling'!$AA$3:$AP$172,16,FALSE),IF($H$6=1,VLOOKUP($D88,'Werkschema - Instelling'!$AC$3:$AP$172,14,FALSE),IF($H$6=2,VLOOKUP($D88,'Werkschema - Instelling'!$AE$3:$AP$172,12,FALSE),IF($H$6=3,VLOOKUP($D88,'Werkschema - Instelling'!$AG$3:$AP$172,10,FALSE),IF($H$6=4,VLOOKUP($D88,'Werkschema - Instelling'!$AI$3:$AP$172,8,FALSE),IF($H$6=5,VLOOKUP($D88,'Werkschema - Instelling'!$AK$3:$AP$172,6,FALSE),VLOOKUP($D88,'Werkschema - Instelling'!$AM$3:$AP$172,4,FALSE))))))))</f>
        <v/>
      </c>
      <c r="H88" s="62">
        <f>IF($D88&gt;0.985333333,"", IF($H$6=0, VLOOKUP($D88,'Werkschema - Instelling'!$AA$3:$AB$172,2,FALSE),IF($H$6=1,VLOOKUP($D88,'Werkschema - Instelling'!$AC$3:$AD$172,2,FALSE),IF($H$6=2,VLOOKUP($D88,'Werkschema - Instelling'!$AE$3:$AF$172,2,FALSE),IF($H$6=3,VLOOKUP($D88,'Werkschema - Instelling'!$AG$3:$AH$172,2,FALSE),IF($H$6=4,VLOOKUP($D88,'Werkschema - Instelling'!$AI$3:$AJ$172,2,FALSE),IF($H$6=5,VLOOKUP($D88,'Werkschema - Instelling'!$AK$3:$AL$172,2,FALSE),VLOOKUP($D88,'Werkschema - Instelling'!$AM$3:$AN$172,2,FALSE))))))))</f>
        <v/>
      </c>
      <c r="I88" s="3" t="n"/>
    </row>
    <row r="89" ht="15" customHeight="1">
      <c r="A89" s="85" t="n">
        <v>82</v>
      </c>
      <c r="B89" s="86">
        <f>IF(LEFT(F89,9)="Taken van",1,IF(LEFT(F89,14)="Start vulshift",2,IF(LEFT(F89,8)="Levering",3,0)))</f>
        <v/>
      </c>
      <c r="C89" s="85">
        <f>E89-E88</f>
        <v/>
      </c>
      <c r="D89" s="1049">
        <f>SMALL(OFFSET('Werkschema - Instelling'!$AA$3:$AA$172,0,$H$6*2),A89)</f>
        <v/>
      </c>
      <c r="E89" s="1054">
        <f>IFERROR(IF(D89-D88&lt;0.0001,"",$D89-VLOOKUP($F89,'Werkschema - Instelling'!$A$3:$Z$172,26,FALSE)),1)</f>
        <v/>
      </c>
      <c r="F89" s="15">
        <f>IF(D89&gt;0.958333333,"",IF($H$6=0, VLOOKUP($D89,'Werkschema - Instelling'!$AA$3:$AO$172,15,FALSE),IF($H$6=1,VLOOKUP($D89,'Werkschema - Instelling'!$AC$3:$AO$172,13,FALSE),IF($H$6=2,VLOOKUP($D89,'Werkschema - Instelling'!$AE$3:$AO$172,11,FALSE),IF($H$6=3,VLOOKUP($D89,'Werkschema - Instelling'!$AG$3:$AO$172,9,FALSE),IF($H$6=4,VLOOKUP($D89,'Werkschema - Instelling'!$AI$3:$AO$172,7,FALSE),IF($H$6=5,VLOOKUP($D89,'Werkschema - Instelling'!$AK$3:$AO$172,5,FALSE),VLOOKUP($D89,'Werkschema - Instelling'!$AM$3:$AO$172,3,FALSE))))))))</f>
        <v/>
      </c>
      <c r="G89" s="16">
        <f>IF(D89&gt;0.958333333,"", IF($H$6=0, VLOOKUP($D89,'Werkschema - Instelling'!$AA$3:$AP$172,16,FALSE),IF($H$6=1,VLOOKUP($D89,'Werkschema - Instelling'!$AC$3:$AP$172,14,FALSE),IF($H$6=2,VLOOKUP($D89,'Werkschema - Instelling'!$AE$3:$AP$172,12,FALSE),IF($H$6=3,VLOOKUP($D89,'Werkschema - Instelling'!$AG$3:$AP$172,10,FALSE),IF($H$6=4,VLOOKUP($D89,'Werkschema - Instelling'!$AI$3:$AP$172,8,FALSE),IF($H$6=5,VLOOKUP($D89,'Werkschema - Instelling'!$AK$3:$AP$172,6,FALSE),VLOOKUP($D89,'Werkschema - Instelling'!$AM$3:$AP$172,4,FALSE))))))))</f>
        <v/>
      </c>
      <c r="H89" s="62">
        <f>IF($D89&gt;0.985333333,"", IF($H$6=0, VLOOKUP($D89,'Werkschema - Instelling'!$AA$3:$AB$172,2,FALSE),IF($H$6=1,VLOOKUP($D89,'Werkschema - Instelling'!$AC$3:$AD$172,2,FALSE),IF($H$6=2,VLOOKUP($D89,'Werkschema - Instelling'!$AE$3:$AF$172,2,FALSE),IF($H$6=3,VLOOKUP($D89,'Werkschema - Instelling'!$AG$3:$AH$172,2,FALSE),IF($H$6=4,VLOOKUP($D89,'Werkschema - Instelling'!$AI$3:$AJ$172,2,FALSE),IF($H$6=5,VLOOKUP($D89,'Werkschema - Instelling'!$AK$3:$AL$172,2,FALSE),VLOOKUP($D89,'Werkschema - Instelling'!$AM$3:$AN$172,2,FALSE))))))))</f>
        <v/>
      </c>
      <c r="I89" s="3" t="n"/>
    </row>
    <row r="90" ht="15" customHeight="1">
      <c r="A90" s="85" t="n">
        <v>83</v>
      </c>
      <c r="B90" s="86">
        <f>IF(LEFT(F90,9)="Taken van",1,IF(LEFT(F90,14)="Start vulshift",2,IF(LEFT(F90,8)="Levering",3,0)))</f>
        <v/>
      </c>
      <c r="C90" s="85">
        <f>E90-E89</f>
        <v/>
      </c>
      <c r="D90" s="1049">
        <f>SMALL(OFFSET('Werkschema - Instelling'!$AA$3:$AA$172,0,$H$6*2),A90)</f>
        <v/>
      </c>
      <c r="E90" s="1054">
        <f>IFERROR(IF(D90-D89&lt;0.0001,"",$D90-VLOOKUP($F90,'Werkschema - Instelling'!$A$3:$Z$172,26,FALSE)),1)</f>
        <v/>
      </c>
      <c r="F90" s="15">
        <f>IF(D90&gt;0.958333333,"",IF($H$6=0, VLOOKUP($D90,'Werkschema - Instelling'!$AA$3:$AO$172,15,FALSE),IF($H$6=1,VLOOKUP($D90,'Werkschema - Instelling'!$AC$3:$AO$172,13,FALSE),IF($H$6=2,VLOOKUP($D90,'Werkschema - Instelling'!$AE$3:$AO$172,11,FALSE),IF($H$6=3,VLOOKUP($D90,'Werkschema - Instelling'!$AG$3:$AO$172,9,FALSE),IF($H$6=4,VLOOKUP($D90,'Werkschema - Instelling'!$AI$3:$AO$172,7,FALSE),IF($H$6=5,VLOOKUP($D90,'Werkschema - Instelling'!$AK$3:$AO$172,5,FALSE),VLOOKUP($D90,'Werkschema - Instelling'!$AM$3:$AO$172,3,FALSE))))))))</f>
        <v/>
      </c>
      <c r="G90" s="16">
        <f>IF(D90&gt;0.958333333,"", IF($H$6=0, VLOOKUP($D90,'Werkschema - Instelling'!$AA$3:$AP$172,16,FALSE),IF($H$6=1,VLOOKUP($D90,'Werkschema - Instelling'!$AC$3:$AP$172,14,FALSE),IF($H$6=2,VLOOKUP($D90,'Werkschema - Instelling'!$AE$3:$AP$172,12,FALSE),IF($H$6=3,VLOOKUP($D90,'Werkschema - Instelling'!$AG$3:$AP$172,10,FALSE),IF($H$6=4,VLOOKUP($D90,'Werkschema - Instelling'!$AI$3:$AP$172,8,FALSE),IF($H$6=5,VLOOKUP($D90,'Werkschema - Instelling'!$AK$3:$AP$172,6,FALSE),VLOOKUP($D90,'Werkschema - Instelling'!$AM$3:$AP$172,4,FALSE))))))))</f>
        <v/>
      </c>
      <c r="H90" s="62">
        <f>IF($D90&gt;0.985333333,"", IF($H$6=0, VLOOKUP($D90,'Werkschema - Instelling'!$AA$3:$AB$172,2,FALSE),IF($H$6=1,VLOOKUP($D90,'Werkschema - Instelling'!$AC$3:$AD$172,2,FALSE),IF($H$6=2,VLOOKUP($D90,'Werkschema - Instelling'!$AE$3:$AF$172,2,FALSE),IF($H$6=3,VLOOKUP($D90,'Werkschema - Instelling'!$AG$3:$AH$172,2,FALSE),IF($H$6=4,VLOOKUP($D90,'Werkschema - Instelling'!$AI$3:$AJ$172,2,FALSE),IF($H$6=5,VLOOKUP($D90,'Werkschema - Instelling'!$AK$3:$AL$172,2,FALSE),VLOOKUP($D90,'Werkschema - Instelling'!$AM$3:$AN$172,2,FALSE))))))))</f>
        <v/>
      </c>
      <c r="I90" s="3" t="n"/>
    </row>
    <row r="91" ht="15" customHeight="1">
      <c r="A91" s="85" t="n">
        <v>84</v>
      </c>
      <c r="B91" s="86">
        <f>IF(LEFT(F91,9)="Taken van",1,IF(LEFT(F91,14)="Start vulshift",2,IF(LEFT(F91,8)="Levering",3,0)))</f>
        <v/>
      </c>
      <c r="C91" s="85">
        <f>E91-E90</f>
        <v/>
      </c>
      <c r="D91" s="1049">
        <f>SMALL(OFFSET('Werkschema - Instelling'!$AA$3:$AA$172,0,$H$6*2),A91)</f>
        <v/>
      </c>
      <c r="E91" s="1054">
        <f>IFERROR(IF(D91-D90&lt;0.0001,"",$D91-VLOOKUP($F91,'Werkschema - Instelling'!$A$3:$Z$172,26,FALSE)),1)</f>
        <v/>
      </c>
      <c r="F91" s="15">
        <f>IF(D91&gt;0.958333333,"",IF($H$6=0, VLOOKUP($D91,'Werkschema - Instelling'!$AA$3:$AO$172,15,FALSE),IF($H$6=1,VLOOKUP($D91,'Werkschema - Instelling'!$AC$3:$AO$172,13,FALSE),IF($H$6=2,VLOOKUP($D91,'Werkschema - Instelling'!$AE$3:$AO$172,11,FALSE),IF($H$6=3,VLOOKUP($D91,'Werkschema - Instelling'!$AG$3:$AO$172,9,FALSE),IF($H$6=4,VLOOKUP($D91,'Werkschema - Instelling'!$AI$3:$AO$172,7,FALSE),IF($H$6=5,VLOOKUP($D91,'Werkschema - Instelling'!$AK$3:$AO$172,5,FALSE),VLOOKUP($D91,'Werkschema - Instelling'!$AM$3:$AO$172,3,FALSE))))))))</f>
        <v/>
      </c>
      <c r="G91" s="16">
        <f>IF(D91&gt;0.958333333,"", IF($H$6=0, VLOOKUP($D91,'Werkschema - Instelling'!$AA$3:$AP$172,16,FALSE),IF($H$6=1,VLOOKUP($D91,'Werkschema - Instelling'!$AC$3:$AP$172,14,FALSE),IF($H$6=2,VLOOKUP($D91,'Werkschema - Instelling'!$AE$3:$AP$172,12,FALSE),IF($H$6=3,VLOOKUP($D91,'Werkschema - Instelling'!$AG$3:$AP$172,10,FALSE),IF($H$6=4,VLOOKUP($D91,'Werkschema - Instelling'!$AI$3:$AP$172,8,FALSE),IF($H$6=5,VLOOKUP($D91,'Werkschema - Instelling'!$AK$3:$AP$172,6,FALSE),VLOOKUP($D91,'Werkschema - Instelling'!$AM$3:$AP$172,4,FALSE))))))))</f>
        <v/>
      </c>
      <c r="H91" s="62">
        <f>IF($D91&gt;0.985333333,"", IF($H$6=0, VLOOKUP($D91,'Werkschema - Instelling'!$AA$3:$AB$172,2,FALSE),IF($H$6=1,VLOOKUP($D91,'Werkschema - Instelling'!$AC$3:$AD$172,2,FALSE),IF($H$6=2,VLOOKUP($D91,'Werkschema - Instelling'!$AE$3:$AF$172,2,FALSE),IF($H$6=3,VLOOKUP($D91,'Werkschema - Instelling'!$AG$3:$AH$172,2,FALSE),IF($H$6=4,VLOOKUP($D91,'Werkschema - Instelling'!$AI$3:$AJ$172,2,FALSE),IF($H$6=5,VLOOKUP($D91,'Werkschema - Instelling'!$AK$3:$AL$172,2,FALSE),VLOOKUP($D91,'Werkschema - Instelling'!$AM$3:$AN$172,2,FALSE))))))))</f>
        <v/>
      </c>
      <c r="I91" s="3" t="n"/>
    </row>
    <row r="92" ht="15" customHeight="1">
      <c r="A92" s="85" t="n">
        <v>85</v>
      </c>
      <c r="B92" s="86">
        <f>IF(LEFT(F92,9)="Taken van",1,IF(LEFT(F92,14)="Start vulshift",2,IF(LEFT(F92,8)="Levering",3,0)))</f>
        <v/>
      </c>
      <c r="C92" s="85">
        <f>E92-E91</f>
        <v/>
      </c>
      <c r="D92" s="1049">
        <f>SMALL(OFFSET('Werkschema - Instelling'!$AA$3:$AA$172,0,$H$6*2),A92)</f>
        <v/>
      </c>
      <c r="E92" s="1054">
        <f>IFERROR(IF(D92-D91&lt;0.0001,"",$D92-VLOOKUP($F92,'Werkschema - Instelling'!$A$3:$Z$172,26,FALSE)),1)</f>
        <v/>
      </c>
      <c r="F92" s="15">
        <f>IF(D92&gt;0.958333333,"",IF($H$6=0, VLOOKUP($D92,'Werkschema - Instelling'!$AA$3:$AO$172,15,FALSE),IF($H$6=1,VLOOKUP($D92,'Werkschema - Instelling'!$AC$3:$AO$172,13,FALSE),IF($H$6=2,VLOOKUP($D92,'Werkschema - Instelling'!$AE$3:$AO$172,11,FALSE),IF($H$6=3,VLOOKUP($D92,'Werkschema - Instelling'!$AG$3:$AO$172,9,FALSE),IF($H$6=4,VLOOKUP($D92,'Werkschema - Instelling'!$AI$3:$AO$172,7,FALSE),IF($H$6=5,VLOOKUP($D92,'Werkschema - Instelling'!$AK$3:$AO$172,5,FALSE),VLOOKUP($D92,'Werkschema - Instelling'!$AM$3:$AO$172,3,FALSE))))))))</f>
        <v/>
      </c>
      <c r="G92" s="16">
        <f>IF(D92&gt;0.958333333,"", IF($H$6=0, VLOOKUP($D92,'Werkschema - Instelling'!$AA$3:$AP$172,16,FALSE),IF($H$6=1,VLOOKUP($D92,'Werkschema - Instelling'!$AC$3:$AP$172,14,FALSE),IF($H$6=2,VLOOKUP($D92,'Werkschema - Instelling'!$AE$3:$AP$172,12,FALSE),IF($H$6=3,VLOOKUP($D92,'Werkschema - Instelling'!$AG$3:$AP$172,10,FALSE),IF($H$6=4,VLOOKUP($D92,'Werkschema - Instelling'!$AI$3:$AP$172,8,FALSE),IF($H$6=5,VLOOKUP($D92,'Werkschema - Instelling'!$AK$3:$AP$172,6,FALSE),VLOOKUP($D92,'Werkschema - Instelling'!$AM$3:$AP$172,4,FALSE))))))))</f>
        <v/>
      </c>
      <c r="H92" s="62">
        <f>IF($D92&gt;0.985333333,"", IF($H$6=0, VLOOKUP($D92,'Werkschema - Instelling'!$AA$3:$AB$172,2,FALSE),IF($H$6=1,VLOOKUP($D92,'Werkschema - Instelling'!$AC$3:$AD$172,2,FALSE),IF($H$6=2,VLOOKUP($D92,'Werkschema - Instelling'!$AE$3:$AF$172,2,FALSE),IF($H$6=3,VLOOKUP($D92,'Werkschema - Instelling'!$AG$3:$AH$172,2,FALSE),IF($H$6=4,VLOOKUP($D92,'Werkschema - Instelling'!$AI$3:$AJ$172,2,FALSE),IF($H$6=5,VLOOKUP($D92,'Werkschema - Instelling'!$AK$3:$AL$172,2,FALSE),VLOOKUP($D92,'Werkschema - Instelling'!$AM$3:$AN$172,2,FALSE))))))))</f>
        <v/>
      </c>
      <c r="I92" s="3" t="n"/>
    </row>
    <row r="93" ht="15" customHeight="1">
      <c r="A93" s="85" t="n">
        <v>86</v>
      </c>
      <c r="B93" s="86">
        <f>IF(LEFT(F93,9)="Taken van",1,IF(LEFT(F93,14)="Start vulshift",2,IF(LEFT(F93,8)="Levering",3,0)))</f>
        <v/>
      </c>
      <c r="C93" s="85">
        <f>E93-E92</f>
        <v/>
      </c>
      <c r="D93" s="1049">
        <f>SMALL(OFFSET('Werkschema - Instelling'!$AA$3:$AA$172,0,$H$6*2),A93)</f>
        <v/>
      </c>
      <c r="E93" s="1054">
        <f>IFERROR(IF(D93-D92&lt;0.0001,"",$D93-VLOOKUP($F93,'Werkschema - Instelling'!$A$3:$Z$172,26,FALSE)),1)</f>
        <v/>
      </c>
      <c r="F93" s="15">
        <f>IF(D93&gt;0.958333333,"",IF($H$6=0, VLOOKUP($D93,'Werkschema - Instelling'!$AA$3:$AO$172,15,FALSE),IF($H$6=1,VLOOKUP($D93,'Werkschema - Instelling'!$AC$3:$AO$172,13,FALSE),IF($H$6=2,VLOOKUP($D93,'Werkschema - Instelling'!$AE$3:$AO$172,11,FALSE),IF($H$6=3,VLOOKUP($D93,'Werkschema - Instelling'!$AG$3:$AO$172,9,FALSE),IF($H$6=4,VLOOKUP($D93,'Werkschema - Instelling'!$AI$3:$AO$172,7,FALSE),IF($H$6=5,VLOOKUP($D93,'Werkschema - Instelling'!$AK$3:$AO$172,5,FALSE),VLOOKUP($D93,'Werkschema - Instelling'!$AM$3:$AO$172,3,FALSE))))))))</f>
        <v/>
      </c>
      <c r="G93" s="16">
        <f>IF(D93&gt;0.958333333,"", IF($H$6=0, VLOOKUP($D93,'Werkschema - Instelling'!$AA$3:$AP$172,16,FALSE),IF($H$6=1,VLOOKUP($D93,'Werkschema - Instelling'!$AC$3:$AP$172,14,FALSE),IF($H$6=2,VLOOKUP($D93,'Werkschema - Instelling'!$AE$3:$AP$172,12,FALSE),IF($H$6=3,VLOOKUP($D93,'Werkschema - Instelling'!$AG$3:$AP$172,10,FALSE),IF($H$6=4,VLOOKUP($D93,'Werkschema - Instelling'!$AI$3:$AP$172,8,FALSE),IF($H$6=5,VLOOKUP($D93,'Werkschema - Instelling'!$AK$3:$AP$172,6,FALSE),VLOOKUP($D93,'Werkschema - Instelling'!$AM$3:$AP$172,4,FALSE))))))))</f>
        <v/>
      </c>
      <c r="H93" s="62">
        <f>IF($D93&gt;0.985333333,"", IF($H$6=0, VLOOKUP($D93,'Werkschema - Instelling'!$AA$3:$AB$172,2,FALSE),IF($H$6=1,VLOOKUP($D93,'Werkschema - Instelling'!$AC$3:$AD$172,2,FALSE),IF($H$6=2,VLOOKUP($D93,'Werkschema - Instelling'!$AE$3:$AF$172,2,FALSE),IF($H$6=3,VLOOKUP($D93,'Werkschema - Instelling'!$AG$3:$AH$172,2,FALSE),IF($H$6=4,VLOOKUP($D93,'Werkschema - Instelling'!$AI$3:$AJ$172,2,FALSE),IF($H$6=5,VLOOKUP($D93,'Werkschema - Instelling'!$AK$3:$AL$172,2,FALSE),VLOOKUP($D93,'Werkschema - Instelling'!$AM$3:$AN$172,2,FALSE))))))))</f>
        <v/>
      </c>
      <c r="I93" s="3" t="n"/>
    </row>
    <row r="94" ht="15" customHeight="1">
      <c r="A94" s="85" t="n">
        <v>87</v>
      </c>
      <c r="B94" s="86">
        <f>IF(LEFT(F94,9)="Taken van",1,IF(LEFT(F94,14)="Start vulshift",2,IF(LEFT(F94,8)="Levering",3,0)))</f>
        <v/>
      </c>
      <c r="C94" s="85">
        <f>E94-E93</f>
        <v/>
      </c>
      <c r="D94" s="1049">
        <f>SMALL(OFFSET('Werkschema - Instelling'!$AA$3:$AA$172,0,$H$6*2),A94)</f>
        <v/>
      </c>
      <c r="E94" s="1054">
        <f>IFERROR(IF(D94-D93&lt;0.0001,"",$D94-VLOOKUP($F94,'Werkschema - Instelling'!$A$3:$Z$172,26,FALSE)),1)</f>
        <v/>
      </c>
      <c r="F94" s="15">
        <f>IF(D94&gt;0.958333333,"",IF($H$6=0, VLOOKUP($D94,'Werkschema - Instelling'!$AA$3:$AO$172,15,FALSE),IF($H$6=1,VLOOKUP($D94,'Werkschema - Instelling'!$AC$3:$AO$172,13,FALSE),IF($H$6=2,VLOOKUP($D94,'Werkschema - Instelling'!$AE$3:$AO$172,11,FALSE),IF($H$6=3,VLOOKUP($D94,'Werkschema - Instelling'!$AG$3:$AO$172,9,FALSE),IF($H$6=4,VLOOKUP($D94,'Werkschema - Instelling'!$AI$3:$AO$172,7,FALSE),IF($H$6=5,VLOOKUP($D94,'Werkschema - Instelling'!$AK$3:$AO$172,5,FALSE),VLOOKUP($D94,'Werkschema - Instelling'!$AM$3:$AO$172,3,FALSE))))))))</f>
        <v/>
      </c>
      <c r="G94" s="16">
        <f>IF(D94&gt;0.958333333,"", IF($H$6=0, VLOOKUP($D94,'Werkschema - Instelling'!$AA$3:$AP$172,16,FALSE),IF($H$6=1,VLOOKUP($D94,'Werkschema - Instelling'!$AC$3:$AP$172,14,FALSE),IF($H$6=2,VLOOKUP($D94,'Werkschema - Instelling'!$AE$3:$AP$172,12,FALSE),IF($H$6=3,VLOOKUP($D94,'Werkschema - Instelling'!$AG$3:$AP$172,10,FALSE),IF($H$6=4,VLOOKUP($D94,'Werkschema - Instelling'!$AI$3:$AP$172,8,FALSE),IF($H$6=5,VLOOKUP($D94,'Werkschema - Instelling'!$AK$3:$AP$172,6,FALSE),VLOOKUP($D94,'Werkschema - Instelling'!$AM$3:$AP$172,4,FALSE))))))))</f>
        <v/>
      </c>
      <c r="H94" s="62">
        <f>IF($D94&gt;0.985333333,"", IF($H$6=0, VLOOKUP($D94,'Werkschema - Instelling'!$AA$3:$AB$172,2,FALSE),IF($H$6=1,VLOOKUP($D94,'Werkschema - Instelling'!$AC$3:$AD$172,2,FALSE),IF($H$6=2,VLOOKUP($D94,'Werkschema - Instelling'!$AE$3:$AF$172,2,FALSE),IF($H$6=3,VLOOKUP($D94,'Werkschema - Instelling'!$AG$3:$AH$172,2,FALSE),IF($H$6=4,VLOOKUP($D94,'Werkschema - Instelling'!$AI$3:$AJ$172,2,FALSE),IF($H$6=5,VLOOKUP($D94,'Werkschema - Instelling'!$AK$3:$AL$172,2,FALSE),VLOOKUP($D94,'Werkschema - Instelling'!$AM$3:$AN$172,2,FALSE))))))))</f>
        <v/>
      </c>
      <c r="I94" s="3" t="n"/>
    </row>
    <row r="95" ht="15" customHeight="1">
      <c r="A95" s="85" t="n">
        <v>88</v>
      </c>
      <c r="B95" s="86">
        <f>IF(LEFT(F95,9)="Taken van",1,IF(LEFT(F95,14)="Start vulshift",2,IF(LEFT(F95,8)="Levering",3,0)))</f>
        <v/>
      </c>
      <c r="C95" s="85">
        <f>E95-E94</f>
        <v/>
      </c>
      <c r="D95" s="1049">
        <f>SMALL(OFFSET('Werkschema - Instelling'!$AA$3:$AA$172,0,$H$6*2),A95)</f>
        <v/>
      </c>
      <c r="E95" s="1054">
        <f>IFERROR(IF(D95-D94&lt;0.0001,"",$D95-VLOOKUP($F95,'Werkschema - Instelling'!$A$3:$Z$172,26,FALSE)),1)</f>
        <v/>
      </c>
      <c r="F95" s="15">
        <f>IF(D95&gt;0.958333333,"",IF($H$6=0, VLOOKUP($D95,'Werkschema - Instelling'!$AA$3:$AO$172,15,FALSE),IF($H$6=1,VLOOKUP($D95,'Werkschema - Instelling'!$AC$3:$AO$172,13,FALSE),IF($H$6=2,VLOOKUP($D95,'Werkschema - Instelling'!$AE$3:$AO$172,11,FALSE),IF($H$6=3,VLOOKUP($D95,'Werkschema - Instelling'!$AG$3:$AO$172,9,FALSE),IF($H$6=4,VLOOKUP($D95,'Werkschema - Instelling'!$AI$3:$AO$172,7,FALSE),IF($H$6=5,VLOOKUP($D95,'Werkschema - Instelling'!$AK$3:$AO$172,5,FALSE),VLOOKUP($D95,'Werkschema - Instelling'!$AM$3:$AO$172,3,FALSE))))))))</f>
        <v/>
      </c>
      <c r="G95" s="16">
        <f>IF(D95&gt;0.958333333,"", IF($H$6=0, VLOOKUP($D95,'Werkschema - Instelling'!$AA$3:$AP$172,16,FALSE),IF($H$6=1,VLOOKUP($D95,'Werkschema - Instelling'!$AC$3:$AP$172,14,FALSE),IF($H$6=2,VLOOKUP($D95,'Werkschema - Instelling'!$AE$3:$AP$172,12,FALSE),IF($H$6=3,VLOOKUP($D95,'Werkschema - Instelling'!$AG$3:$AP$172,10,FALSE),IF($H$6=4,VLOOKUP($D95,'Werkschema - Instelling'!$AI$3:$AP$172,8,FALSE),IF($H$6=5,VLOOKUP($D95,'Werkschema - Instelling'!$AK$3:$AP$172,6,FALSE),VLOOKUP($D95,'Werkschema - Instelling'!$AM$3:$AP$172,4,FALSE))))))))</f>
        <v/>
      </c>
      <c r="H95" s="62">
        <f>IF($D95&gt;0.985333333,"", IF($H$6=0, VLOOKUP($D95,'Werkschema - Instelling'!$AA$3:$AB$172,2,FALSE),IF($H$6=1,VLOOKUP($D95,'Werkschema - Instelling'!$AC$3:$AD$172,2,FALSE),IF($H$6=2,VLOOKUP($D95,'Werkschema - Instelling'!$AE$3:$AF$172,2,FALSE),IF($H$6=3,VLOOKUP($D95,'Werkschema - Instelling'!$AG$3:$AH$172,2,FALSE),IF($H$6=4,VLOOKUP($D95,'Werkschema - Instelling'!$AI$3:$AJ$172,2,FALSE),IF($H$6=5,VLOOKUP($D95,'Werkschema - Instelling'!$AK$3:$AL$172,2,FALSE),VLOOKUP($D95,'Werkschema - Instelling'!$AM$3:$AN$172,2,FALSE))))))))</f>
        <v/>
      </c>
      <c r="I95" s="3" t="n"/>
    </row>
    <row r="96" ht="15" customHeight="1">
      <c r="A96" s="85" t="n">
        <v>89</v>
      </c>
      <c r="B96" s="86">
        <f>IF(LEFT(F96,9)="Taken van",1,IF(LEFT(F96,14)="Start vulshift",2,IF(LEFT(F96,8)="Levering",3,0)))</f>
        <v/>
      </c>
      <c r="C96" s="85">
        <f>E96-E95</f>
        <v/>
      </c>
      <c r="D96" s="1049">
        <f>SMALL(OFFSET('Werkschema - Instelling'!$AA$3:$AA$172,0,$H$6*2),A96)</f>
        <v/>
      </c>
      <c r="E96" s="1054">
        <f>IFERROR(IF(D96-D95&lt;0.0001,"",$D96-VLOOKUP($F96,'Werkschema - Instelling'!$A$3:$Z$172,26,FALSE)),1)</f>
        <v/>
      </c>
      <c r="F96" s="15">
        <f>IF(D96&gt;0.958333333,"",IF($H$6=0, VLOOKUP($D96,'Werkschema - Instelling'!$AA$3:$AO$172,15,FALSE),IF($H$6=1,VLOOKUP($D96,'Werkschema - Instelling'!$AC$3:$AO$172,13,FALSE),IF($H$6=2,VLOOKUP($D96,'Werkschema - Instelling'!$AE$3:$AO$172,11,FALSE),IF($H$6=3,VLOOKUP($D96,'Werkschema - Instelling'!$AG$3:$AO$172,9,FALSE),IF($H$6=4,VLOOKUP($D96,'Werkschema - Instelling'!$AI$3:$AO$172,7,FALSE),IF($H$6=5,VLOOKUP($D96,'Werkschema - Instelling'!$AK$3:$AO$172,5,FALSE),VLOOKUP($D96,'Werkschema - Instelling'!$AM$3:$AO$172,3,FALSE))))))))</f>
        <v/>
      </c>
      <c r="G96" s="16">
        <f>IF(D96&gt;0.958333333,"", IF($H$6=0, VLOOKUP($D96,'Werkschema - Instelling'!$AA$3:$AP$172,16,FALSE),IF($H$6=1,VLOOKUP($D96,'Werkschema - Instelling'!$AC$3:$AP$172,14,FALSE),IF($H$6=2,VLOOKUP($D96,'Werkschema - Instelling'!$AE$3:$AP$172,12,FALSE),IF($H$6=3,VLOOKUP($D96,'Werkschema - Instelling'!$AG$3:$AP$172,10,FALSE),IF($H$6=4,VLOOKUP($D96,'Werkschema - Instelling'!$AI$3:$AP$172,8,FALSE),IF($H$6=5,VLOOKUP($D96,'Werkschema - Instelling'!$AK$3:$AP$172,6,FALSE),VLOOKUP($D96,'Werkschema - Instelling'!$AM$3:$AP$172,4,FALSE))))))))</f>
        <v/>
      </c>
      <c r="H96" s="62">
        <f>IF($D96&gt;0.985333333,"", IF($H$6=0, VLOOKUP($D96,'Werkschema - Instelling'!$AA$3:$AB$172,2,FALSE),IF($H$6=1,VLOOKUP($D96,'Werkschema - Instelling'!$AC$3:$AD$172,2,FALSE),IF($H$6=2,VLOOKUP($D96,'Werkschema - Instelling'!$AE$3:$AF$172,2,FALSE),IF($H$6=3,VLOOKUP($D96,'Werkschema - Instelling'!$AG$3:$AH$172,2,FALSE),IF($H$6=4,VLOOKUP($D96,'Werkschema - Instelling'!$AI$3:$AJ$172,2,FALSE),IF($H$6=5,VLOOKUP($D96,'Werkschema - Instelling'!$AK$3:$AL$172,2,FALSE),VLOOKUP($D96,'Werkschema - Instelling'!$AM$3:$AN$172,2,FALSE))))))))</f>
        <v/>
      </c>
      <c r="I96" s="3" t="n"/>
    </row>
    <row r="97" ht="15" customHeight="1">
      <c r="A97" s="85" t="n">
        <v>90</v>
      </c>
      <c r="B97" s="86">
        <f>IF(LEFT(F97,9)="Taken van",1,IF(LEFT(F97,14)="Start vulshift",2,IF(LEFT(F97,8)="Levering",3,0)))</f>
        <v/>
      </c>
      <c r="C97" s="85">
        <f>E97-E96</f>
        <v/>
      </c>
      <c r="D97" s="1049">
        <f>SMALL(OFFSET('Werkschema - Instelling'!$AA$3:$AA$172,0,$H$6*2),A97)</f>
        <v/>
      </c>
      <c r="E97" s="1054">
        <f>IFERROR(IF(D97-D96&lt;0.0001,"",$D97-VLOOKUP($F97,'Werkschema - Instelling'!$A$3:$Z$172,26,FALSE)),1)</f>
        <v/>
      </c>
      <c r="F97" s="15">
        <f>IF(D97&gt;0.958333333,"",IF($H$6=0, VLOOKUP($D97,'Werkschema - Instelling'!$AA$3:$AO$172,15,FALSE),IF($H$6=1,VLOOKUP($D97,'Werkschema - Instelling'!$AC$3:$AO$172,13,FALSE),IF($H$6=2,VLOOKUP($D97,'Werkschema - Instelling'!$AE$3:$AO$172,11,FALSE),IF($H$6=3,VLOOKUP($D97,'Werkschema - Instelling'!$AG$3:$AO$172,9,FALSE),IF($H$6=4,VLOOKUP($D97,'Werkschema - Instelling'!$AI$3:$AO$172,7,FALSE),IF($H$6=5,VLOOKUP($D97,'Werkschema - Instelling'!$AK$3:$AO$172,5,FALSE),VLOOKUP($D97,'Werkschema - Instelling'!$AM$3:$AO$172,3,FALSE))))))))</f>
        <v/>
      </c>
      <c r="G97" s="16">
        <f>IF(D97&gt;0.958333333,"", IF($H$6=0, VLOOKUP($D97,'Werkschema - Instelling'!$AA$3:$AP$172,16,FALSE),IF($H$6=1,VLOOKUP($D97,'Werkschema - Instelling'!$AC$3:$AP$172,14,FALSE),IF($H$6=2,VLOOKUP($D97,'Werkschema - Instelling'!$AE$3:$AP$172,12,FALSE),IF($H$6=3,VLOOKUP($D97,'Werkschema - Instelling'!$AG$3:$AP$172,10,FALSE),IF($H$6=4,VLOOKUP($D97,'Werkschema - Instelling'!$AI$3:$AP$172,8,FALSE),IF($H$6=5,VLOOKUP($D97,'Werkschema - Instelling'!$AK$3:$AP$172,6,FALSE),VLOOKUP($D97,'Werkschema - Instelling'!$AM$3:$AP$172,4,FALSE))))))))</f>
        <v/>
      </c>
      <c r="H97" s="62">
        <f>IF($D97&gt;0.985333333,"", IF($H$6=0, VLOOKUP($D97,'Werkschema - Instelling'!$AA$3:$AB$172,2,FALSE),IF($H$6=1,VLOOKUP($D97,'Werkschema - Instelling'!$AC$3:$AD$172,2,FALSE),IF($H$6=2,VLOOKUP($D97,'Werkschema - Instelling'!$AE$3:$AF$172,2,FALSE),IF($H$6=3,VLOOKUP($D97,'Werkschema - Instelling'!$AG$3:$AH$172,2,FALSE),IF($H$6=4,VLOOKUP($D97,'Werkschema - Instelling'!$AI$3:$AJ$172,2,FALSE),IF($H$6=5,VLOOKUP($D97,'Werkschema - Instelling'!$AK$3:$AL$172,2,FALSE),VLOOKUP($D97,'Werkschema - Instelling'!$AM$3:$AN$172,2,FALSE))))))))</f>
        <v/>
      </c>
      <c r="I97" s="3" t="n"/>
    </row>
    <row r="98" ht="15" customHeight="1">
      <c r="A98" s="85" t="n">
        <v>91</v>
      </c>
      <c r="B98" s="86">
        <f>IF(LEFT(F98,9)="Taken van",1,IF(LEFT(F98,14)="Start vulshift",2,IF(LEFT(F98,8)="Levering",3,0)))</f>
        <v/>
      </c>
      <c r="C98" s="85">
        <f>E98-E97</f>
        <v/>
      </c>
      <c r="D98" s="1049">
        <f>SMALL(OFFSET('Werkschema - Instelling'!$AA$3:$AA$172,0,$H$6*2),A98)</f>
        <v/>
      </c>
      <c r="E98" s="1054">
        <f>IFERROR(IF(D98-D97&lt;0.0001,"",$D98-VLOOKUP($F98,'Werkschema - Instelling'!$A$3:$Z$172,26,FALSE)),1)</f>
        <v/>
      </c>
      <c r="F98" s="15">
        <f>IF(D98&gt;0.958333333,"",IF($H$6=0, VLOOKUP($D98,'Werkschema - Instelling'!$AA$3:$AO$172,15,FALSE),IF($H$6=1,VLOOKUP($D98,'Werkschema - Instelling'!$AC$3:$AO$172,13,FALSE),IF($H$6=2,VLOOKUP($D98,'Werkschema - Instelling'!$AE$3:$AO$172,11,FALSE),IF($H$6=3,VLOOKUP($D98,'Werkschema - Instelling'!$AG$3:$AO$172,9,FALSE),IF($H$6=4,VLOOKUP($D98,'Werkschema - Instelling'!$AI$3:$AO$172,7,FALSE),IF($H$6=5,VLOOKUP($D98,'Werkschema - Instelling'!$AK$3:$AO$172,5,FALSE),VLOOKUP($D98,'Werkschema - Instelling'!$AM$3:$AO$172,3,FALSE))))))))</f>
        <v/>
      </c>
      <c r="G98" s="16">
        <f>IF(D98&gt;0.958333333,"", IF($H$6=0, VLOOKUP($D98,'Werkschema - Instelling'!$AA$3:$AP$172,16,FALSE),IF($H$6=1,VLOOKUP($D98,'Werkschema - Instelling'!$AC$3:$AP$172,14,FALSE),IF($H$6=2,VLOOKUP($D98,'Werkschema - Instelling'!$AE$3:$AP$172,12,FALSE),IF($H$6=3,VLOOKUP($D98,'Werkschema - Instelling'!$AG$3:$AP$172,10,FALSE),IF($H$6=4,VLOOKUP($D98,'Werkschema - Instelling'!$AI$3:$AP$172,8,FALSE),IF($H$6=5,VLOOKUP($D98,'Werkschema - Instelling'!$AK$3:$AP$172,6,FALSE),VLOOKUP($D98,'Werkschema - Instelling'!$AM$3:$AP$172,4,FALSE))))))))</f>
        <v/>
      </c>
      <c r="H98" s="62">
        <f>IF($D98&gt;0.985333333,"", IF($H$6=0, VLOOKUP($D98,'Werkschema - Instelling'!$AA$3:$AB$172,2,FALSE),IF($H$6=1,VLOOKUP($D98,'Werkschema - Instelling'!$AC$3:$AD$172,2,FALSE),IF($H$6=2,VLOOKUP($D98,'Werkschema - Instelling'!$AE$3:$AF$172,2,FALSE),IF($H$6=3,VLOOKUP($D98,'Werkschema - Instelling'!$AG$3:$AH$172,2,FALSE),IF($H$6=4,VLOOKUP($D98,'Werkschema - Instelling'!$AI$3:$AJ$172,2,FALSE),IF($H$6=5,VLOOKUP($D98,'Werkschema - Instelling'!$AK$3:$AL$172,2,FALSE),VLOOKUP($D98,'Werkschema - Instelling'!$AM$3:$AN$172,2,FALSE))))))))</f>
        <v/>
      </c>
      <c r="I98" s="3" t="n"/>
    </row>
    <row r="99" ht="15" customHeight="1">
      <c r="A99" s="85" t="n">
        <v>92</v>
      </c>
      <c r="B99" s="86">
        <f>IF(LEFT(F99,9)="Taken van",1,IF(LEFT(F99,14)="Start vulshift",2,IF(LEFT(F99,8)="Levering",3,0)))</f>
        <v/>
      </c>
      <c r="C99" s="85">
        <f>E99-E98</f>
        <v/>
      </c>
      <c r="D99" s="1049">
        <f>SMALL(OFFSET('Werkschema - Instelling'!$AA$3:$AA$172,0,$H$6*2),A99)</f>
        <v/>
      </c>
      <c r="E99" s="1054">
        <f>IFERROR(IF(D99-D98&lt;0.0001,"",$D99-VLOOKUP($F99,'Werkschema - Instelling'!$A$3:$Z$172,26,FALSE)),1)</f>
        <v/>
      </c>
      <c r="F99" s="15">
        <f>IF(D99&gt;0.958333333,"",IF($H$6=0, VLOOKUP($D99,'Werkschema - Instelling'!$AA$3:$AO$172,15,FALSE),IF($H$6=1,VLOOKUP($D99,'Werkschema - Instelling'!$AC$3:$AO$172,13,FALSE),IF($H$6=2,VLOOKUP($D99,'Werkschema - Instelling'!$AE$3:$AO$172,11,FALSE),IF($H$6=3,VLOOKUP($D99,'Werkschema - Instelling'!$AG$3:$AO$172,9,FALSE),IF($H$6=4,VLOOKUP($D99,'Werkschema - Instelling'!$AI$3:$AO$172,7,FALSE),IF($H$6=5,VLOOKUP($D99,'Werkschema - Instelling'!$AK$3:$AO$172,5,FALSE),VLOOKUP($D99,'Werkschema - Instelling'!$AM$3:$AO$172,3,FALSE))))))))</f>
        <v/>
      </c>
      <c r="G99" s="16">
        <f>IF(D99&gt;0.958333333,"", IF($H$6=0, VLOOKUP($D99,'Werkschema - Instelling'!$AA$3:$AP$172,16,FALSE),IF($H$6=1,VLOOKUP($D99,'Werkschema - Instelling'!$AC$3:$AP$172,14,FALSE),IF($H$6=2,VLOOKUP($D99,'Werkschema - Instelling'!$AE$3:$AP$172,12,FALSE),IF($H$6=3,VLOOKUP($D99,'Werkschema - Instelling'!$AG$3:$AP$172,10,FALSE),IF($H$6=4,VLOOKUP($D99,'Werkschema - Instelling'!$AI$3:$AP$172,8,FALSE),IF($H$6=5,VLOOKUP($D99,'Werkschema - Instelling'!$AK$3:$AP$172,6,FALSE),VLOOKUP($D99,'Werkschema - Instelling'!$AM$3:$AP$172,4,FALSE))))))))</f>
        <v/>
      </c>
      <c r="H99" s="62">
        <f>IF($D99&gt;0.985333333,"", IF($H$6=0, VLOOKUP($D99,'Werkschema - Instelling'!$AA$3:$AB$172,2,FALSE),IF($H$6=1,VLOOKUP($D99,'Werkschema - Instelling'!$AC$3:$AD$172,2,FALSE),IF($H$6=2,VLOOKUP($D99,'Werkschema - Instelling'!$AE$3:$AF$172,2,FALSE),IF($H$6=3,VLOOKUP($D99,'Werkschema - Instelling'!$AG$3:$AH$172,2,FALSE),IF($H$6=4,VLOOKUP($D99,'Werkschema - Instelling'!$AI$3:$AJ$172,2,FALSE),IF($H$6=5,VLOOKUP($D99,'Werkschema - Instelling'!$AK$3:$AL$172,2,FALSE),VLOOKUP($D99,'Werkschema - Instelling'!$AM$3:$AN$172,2,FALSE))))))))</f>
        <v/>
      </c>
      <c r="I99" s="3" t="n"/>
    </row>
    <row r="100" ht="15" customHeight="1">
      <c r="A100" s="85" t="n">
        <v>93</v>
      </c>
      <c r="B100" s="86">
        <f>IF(LEFT(F100,9)="Taken van",1,IF(LEFT(F100,14)="Start vulshift",2,IF(LEFT(F100,8)="Levering",3,0)))</f>
        <v/>
      </c>
      <c r="C100" s="85">
        <f>E100-E99</f>
        <v/>
      </c>
      <c r="D100" s="1049">
        <f>SMALL(OFFSET('Werkschema - Instelling'!$AA$3:$AA$172,0,$H$6*2),A100)</f>
        <v/>
      </c>
      <c r="E100" s="1054">
        <f>IFERROR(IF(D100-D99&lt;0.0001,"",$D100-VLOOKUP($F100,'Werkschema - Instelling'!$A$3:$Z$172,26,FALSE)),1)</f>
        <v/>
      </c>
      <c r="F100" s="15">
        <f>IF(D100&gt;0.958333333,"",IF($H$6=0, VLOOKUP($D100,'Werkschema - Instelling'!$AA$3:$AO$172,15,FALSE),IF($H$6=1,VLOOKUP($D100,'Werkschema - Instelling'!$AC$3:$AO$172,13,FALSE),IF($H$6=2,VLOOKUP($D100,'Werkschema - Instelling'!$AE$3:$AO$172,11,FALSE),IF($H$6=3,VLOOKUP($D100,'Werkschema - Instelling'!$AG$3:$AO$172,9,FALSE),IF($H$6=4,VLOOKUP($D100,'Werkschema - Instelling'!$AI$3:$AO$172,7,FALSE),IF($H$6=5,VLOOKUP($D100,'Werkschema - Instelling'!$AK$3:$AO$172,5,FALSE),VLOOKUP($D100,'Werkschema - Instelling'!$AM$3:$AO$172,3,FALSE))))))))</f>
        <v/>
      </c>
      <c r="G100" s="16">
        <f>IF(D100&gt;0.958333333,"", IF($H$6=0, VLOOKUP($D100,'Werkschema - Instelling'!$AA$3:$AP$172,16,FALSE),IF($H$6=1,VLOOKUP($D100,'Werkschema - Instelling'!$AC$3:$AP$172,14,FALSE),IF($H$6=2,VLOOKUP($D100,'Werkschema - Instelling'!$AE$3:$AP$172,12,FALSE),IF($H$6=3,VLOOKUP($D100,'Werkschema - Instelling'!$AG$3:$AP$172,10,FALSE),IF($H$6=4,VLOOKUP($D100,'Werkschema - Instelling'!$AI$3:$AP$172,8,FALSE),IF($H$6=5,VLOOKUP($D100,'Werkschema - Instelling'!$AK$3:$AP$172,6,FALSE),VLOOKUP($D100,'Werkschema - Instelling'!$AM$3:$AP$172,4,FALSE))))))))</f>
        <v/>
      </c>
      <c r="H100" s="62">
        <f>IF($D100&gt;0.985333333,"", IF($H$6=0, VLOOKUP($D100,'Werkschema - Instelling'!$AA$3:$AB$172,2,FALSE),IF($H$6=1,VLOOKUP($D100,'Werkschema - Instelling'!$AC$3:$AD$172,2,FALSE),IF($H$6=2,VLOOKUP($D100,'Werkschema - Instelling'!$AE$3:$AF$172,2,FALSE),IF($H$6=3,VLOOKUP($D100,'Werkschema - Instelling'!$AG$3:$AH$172,2,FALSE),IF($H$6=4,VLOOKUP($D100,'Werkschema - Instelling'!$AI$3:$AJ$172,2,FALSE),IF($H$6=5,VLOOKUP($D100,'Werkschema - Instelling'!$AK$3:$AL$172,2,FALSE),VLOOKUP($D100,'Werkschema - Instelling'!$AM$3:$AN$172,2,FALSE))))))))</f>
        <v/>
      </c>
      <c r="I100" s="3" t="n"/>
    </row>
    <row r="101" ht="15" customHeight="1">
      <c r="A101" s="85" t="n">
        <v>94</v>
      </c>
      <c r="B101" s="86">
        <f>IF(LEFT(F101,9)="Taken van",1,IF(LEFT(F101,14)="Start vulshift",2,IF(LEFT(F101,8)="Levering",3,0)))</f>
        <v/>
      </c>
      <c r="C101" s="85">
        <f>E101-E100</f>
        <v/>
      </c>
      <c r="D101" s="1049">
        <f>SMALL(OFFSET('Werkschema - Instelling'!$AA$3:$AA$172,0,$H$6*2),A101)</f>
        <v/>
      </c>
      <c r="E101" s="1054">
        <f>IFERROR(IF(D101-D100&lt;0.0001,"",$D101-VLOOKUP($F101,'Werkschema - Instelling'!$A$3:$Z$172,26,FALSE)),1)</f>
        <v/>
      </c>
      <c r="F101" s="15">
        <f>IF(D101&gt;0.958333333,"",IF($H$6=0, VLOOKUP($D101,'Werkschema - Instelling'!$AA$3:$AO$172,15,FALSE),IF($H$6=1,VLOOKUP($D101,'Werkschema - Instelling'!$AC$3:$AO$172,13,FALSE),IF($H$6=2,VLOOKUP($D101,'Werkschema - Instelling'!$AE$3:$AO$172,11,FALSE),IF($H$6=3,VLOOKUP($D101,'Werkschema - Instelling'!$AG$3:$AO$172,9,FALSE),IF($H$6=4,VLOOKUP($D101,'Werkschema - Instelling'!$AI$3:$AO$172,7,FALSE),IF($H$6=5,VLOOKUP($D101,'Werkschema - Instelling'!$AK$3:$AO$172,5,FALSE),VLOOKUP($D101,'Werkschema - Instelling'!$AM$3:$AO$172,3,FALSE))))))))</f>
        <v/>
      </c>
      <c r="G101" s="16">
        <f>IF(D101&gt;0.958333333,"", IF($H$6=0, VLOOKUP($D101,'Werkschema - Instelling'!$AA$3:$AP$172,16,FALSE),IF($H$6=1,VLOOKUP($D101,'Werkschema - Instelling'!$AC$3:$AP$172,14,FALSE),IF($H$6=2,VLOOKUP($D101,'Werkschema - Instelling'!$AE$3:$AP$172,12,FALSE),IF($H$6=3,VLOOKUP($D101,'Werkschema - Instelling'!$AG$3:$AP$172,10,FALSE),IF($H$6=4,VLOOKUP($D101,'Werkschema - Instelling'!$AI$3:$AP$172,8,FALSE),IF($H$6=5,VLOOKUP($D101,'Werkschema - Instelling'!$AK$3:$AP$172,6,FALSE),VLOOKUP($D101,'Werkschema - Instelling'!$AM$3:$AP$172,4,FALSE))))))))</f>
        <v/>
      </c>
      <c r="H101" s="62">
        <f>IF($D101&gt;0.985333333,"", IF($H$6=0, VLOOKUP($D101,'Werkschema - Instelling'!$AA$3:$AB$172,2,FALSE),IF($H$6=1,VLOOKUP($D101,'Werkschema - Instelling'!$AC$3:$AD$172,2,FALSE),IF($H$6=2,VLOOKUP($D101,'Werkschema - Instelling'!$AE$3:$AF$172,2,FALSE),IF($H$6=3,VLOOKUP($D101,'Werkschema - Instelling'!$AG$3:$AH$172,2,FALSE),IF($H$6=4,VLOOKUP($D101,'Werkschema - Instelling'!$AI$3:$AJ$172,2,FALSE),IF($H$6=5,VLOOKUP($D101,'Werkschema - Instelling'!$AK$3:$AL$172,2,FALSE),VLOOKUP($D101,'Werkschema - Instelling'!$AM$3:$AN$172,2,FALSE))))))))</f>
        <v/>
      </c>
      <c r="I101" s="3" t="n"/>
    </row>
    <row r="102" ht="15" customHeight="1">
      <c r="A102" s="85" t="n">
        <v>95</v>
      </c>
      <c r="B102" s="86">
        <f>IF(LEFT(F102,9)="Taken van",1,IF(LEFT(F102,14)="Start vulshift",2,IF(LEFT(F102,8)="Levering",3,0)))</f>
        <v/>
      </c>
      <c r="C102" s="85">
        <f>E102-E101</f>
        <v/>
      </c>
      <c r="D102" s="1049">
        <f>SMALL(OFFSET('Werkschema - Instelling'!$AA$3:$AA$172,0,$H$6*2),A102)</f>
        <v/>
      </c>
      <c r="E102" s="1054">
        <f>IFERROR(IF(D102-D101&lt;0.0001,"",$D102-VLOOKUP($F102,'Werkschema - Instelling'!$A$3:$Z$172,26,FALSE)),1)</f>
        <v/>
      </c>
      <c r="F102" s="15">
        <f>IF(D102&gt;0.958333333,"",IF($H$6=0, VLOOKUP($D102,'Werkschema - Instelling'!$AA$3:$AO$172,15,FALSE),IF($H$6=1,VLOOKUP($D102,'Werkschema - Instelling'!$AC$3:$AO$172,13,FALSE),IF($H$6=2,VLOOKUP($D102,'Werkschema - Instelling'!$AE$3:$AO$172,11,FALSE),IF($H$6=3,VLOOKUP($D102,'Werkschema - Instelling'!$AG$3:$AO$172,9,FALSE),IF($H$6=4,VLOOKUP($D102,'Werkschema - Instelling'!$AI$3:$AO$172,7,FALSE),IF($H$6=5,VLOOKUP($D102,'Werkschema - Instelling'!$AK$3:$AO$172,5,FALSE),VLOOKUP($D102,'Werkschema - Instelling'!$AM$3:$AO$172,3,FALSE))))))))</f>
        <v/>
      </c>
      <c r="G102" s="16">
        <f>IF(D102&gt;0.958333333,"", IF($H$6=0, VLOOKUP($D102,'Werkschema - Instelling'!$AA$3:$AP$172,16,FALSE),IF($H$6=1,VLOOKUP($D102,'Werkschema - Instelling'!$AC$3:$AP$172,14,FALSE),IF($H$6=2,VLOOKUP($D102,'Werkschema - Instelling'!$AE$3:$AP$172,12,FALSE),IF($H$6=3,VLOOKUP($D102,'Werkschema - Instelling'!$AG$3:$AP$172,10,FALSE),IF($H$6=4,VLOOKUP($D102,'Werkschema - Instelling'!$AI$3:$AP$172,8,FALSE),IF($H$6=5,VLOOKUP($D102,'Werkschema - Instelling'!$AK$3:$AP$172,6,FALSE),VLOOKUP($D102,'Werkschema - Instelling'!$AM$3:$AP$172,4,FALSE))))))))</f>
        <v/>
      </c>
      <c r="H102" s="62">
        <f>IF($D102&gt;0.985333333,"", IF($H$6=0, VLOOKUP($D102,'Werkschema - Instelling'!$AA$3:$AB$172,2,FALSE),IF($H$6=1,VLOOKUP($D102,'Werkschema - Instelling'!$AC$3:$AD$172,2,FALSE),IF($H$6=2,VLOOKUP($D102,'Werkschema - Instelling'!$AE$3:$AF$172,2,FALSE),IF($H$6=3,VLOOKUP($D102,'Werkschema - Instelling'!$AG$3:$AH$172,2,FALSE),IF($H$6=4,VLOOKUP($D102,'Werkschema - Instelling'!$AI$3:$AJ$172,2,FALSE),IF($H$6=5,VLOOKUP($D102,'Werkschema - Instelling'!$AK$3:$AL$172,2,FALSE),VLOOKUP($D102,'Werkschema - Instelling'!$AM$3:$AN$172,2,FALSE))))))))</f>
        <v/>
      </c>
      <c r="I102" s="3" t="n"/>
    </row>
    <row r="103" ht="15" customHeight="1">
      <c r="A103" s="85" t="n">
        <v>96</v>
      </c>
      <c r="B103" s="86">
        <f>IF(LEFT(F103,9)="Taken van",1,IF(LEFT(F103,14)="Start vulshift",2,IF(LEFT(F103,8)="Levering",3,0)))</f>
        <v/>
      </c>
      <c r="C103" s="85">
        <f>E103-E102</f>
        <v/>
      </c>
      <c r="D103" s="1049">
        <f>SMALL(OFFSET('Werkschema - Instelling'!$AA$3:$AA$172,0,$H$6*2),A103)</f>
        <v/>
      </c>
      <c r="E103" s="1054">
        <f>IFERROR(IF(D103-D102&lt;0.0001,"",$D103-VLOOKUP($F103,'Werkschema - Instelling'!$A$3:$Z$172,26,FALSE)),1)</f>
        <v/>
      </c>
      <c r="F103" s="15">
        <f>IF(D103&gt;0.958333333,"",IF($H$6=0, VLOOKUP($D103,'Werkschema - Instelling'!$AA$3:$AO$172,15,FALSE),IF($H$6=1,VLOOKUP($D103,'Werkschema - Instelling'!$AC$3:$AO$172,13,FALSE),IF($H$6=2,VLOOKUP($D103,'Werkschema - Instelling'!$AE$3:$AO$172,11,FALSE),IF($H$6=3,VLOOKUP($D103,'Werkschema - Instelling'!$AG$3:$AO$172,9,FALSE),IF($H$6=4,VLOOKUP($D103,'Werkschema - Instelling'!$AI$3:$AO$172,7,FALSE),IF($H$6=5,VLOOKUP($D103,'Werkschema - Instelling'!$AK$3:$AO$172,5,FALSE),VLOOKUP($D103,'Werkschema - Instelling'!$AM$3:$AO$172,3,FALSE))))))))</f>
        <v/>
      </c>
      <c r="G103" s="16">
        <f>IF(D103&gt;0.958333333,"", IF($H$6=0, VLOOKUP($D103,'Werkschema - Instelling'!$AA$3:$AP$172,16,FALSE),IF($H$6=1,VLOOKUP($D103,'Werkschema - Instelling'!$AC$3:$AP$172,14,FALSE),IF($H$6=2,VLOOKUP($D103,'Werkschema - Instelling'!$AE$3:$AP$172,12,FALSE),IF($H$6=3,VLOOKUP($D103,'Werkschema - Instelling'!$AG$3:$AP$172,10,FALSE),IF($H$6=4,VLOOKUP($D103,'Werkschema - Instelling'!$AI$3:$AP$172,8,FALSE),IF($H$6=5,VLOOKUP($D103,'Werkschema - Instelling'!$AK$3:$AP$172,6,FALSE),VLOOKUP($D103,'Werkschema - Instelling'!$AM$3:$AP$172,4,FALSE))))))))</f>
        <v/>
      </c>
      <c r="H103" s="62">
        <f>IF($D103&gt;0.985333333,"", IF($H$6=0, VLOOKUP($D103,'Werkschema - Instelling'!$AA$3:$AB$172,2,FALSE),IF($H$6=1,VLOOKUP($D103,'Werkschema - Instelling'!$AC$3:$AD$172,2,FALSE),IF($H$6=2,VLOOKUP($D103,'Werkschema - Instelling'!$AE$3:$AF$172,2,FALSE),IF($H$6=3,VLOOKUP($D103,'Werkschema - Instelling'!$AG$3:$AH$172,2,FALSE),IF($H$6=4,VLOOKUP($D103,'Werkschema - Instelling'!$AI$3:$AJ$172,2,FALSE),IF($H$6=5,VLOOKUP($D103,'Werkschema - Instelling'!$AK$3:$AL$172,2,FALSE),VLOOKUP($D103,'Werkschema - Instelling'!$AM$3:$AN$172,2,FALSE))))))))</f>
        <v/>
      </c>
      <c r="I103" s="3" t="n"/>
    </row>
    <row r="104" ht="15" customHeight="1">
      <c r="A104" s="85" t="n">
        <v>97</v>
      </c>
      <c r="B104" s="86">
        <f>IF(LEFT(F104,9)="Taken van",1,IF(LEFT(F104,14)="Start vulshift",2,IF(LEFT(F104,8)="Levering",3,0)))</f>
        <v/>
      </c>
      <c r="C104" s="85">
        <f>E104-E103</f>
        <v/>
      </c>
      <c r="D104" s="1049">
        <f>SMALL(OFFSET('Werkschema - Instelling'!$AA$3:$AA$172,0,$H$6*2),A104)</f>
        <v/>
      </c>
      <c r="E104" s="1054">
        <f>IFERROR(IF(D104-D103&lt;0.0001,"",$D104-VLOOKUP($F104,'Werkschema - Instelling'!$A$3:$Z$172,26,FALSE)),1)</f>
        <v/>
      </c>
      <c r="F104" s="15">
        <f>IF(D104&gt;0.958333333,"",IF($H$6=0, VLOOKUP($D104,'Werkschema - Instelling'!$AA$3:$AO$172,15,FALSE),IF($H$6=1,VLOOKUP($D104,'Werkschema - Instelling'!$AC$3:$AO$172,13,FALSE),IF($H$6=2,VLOOKUP($D104,'Werkschema - Instelling'!$AE$3:$AO$172,11,FALSE),IF($H$6=3,VLOOKUP($D104,'Werkschema - Instelling'!$AG$3:$AO$172,9,FALSE),IF($H$6=4,VLOOKUP($D104,'Werkschema - Instelling'!$AI$3:$AO$172,7,FALSE),IF($H$6=5,VLOOKUP($D104,'Werkschema - Instelling'!$AK$3:$AO$172,5,FALSE),VLOOKUP($D104,'Werkschema - Instelling'!$AM$3:$AO$172,3,FALSE))))))))</f>
        <v/>
      </c>
      <c r="G104" s="16">
        <f>IF(D104&gt;0.958333333,"", IF($H$6=0, VLOOKUP($D104,'Werkschema - Instelling'!$AA$3:$AP$172,16,FALSE),IF($H$6=1,VLOOKUP($D104,'Werkschema - Instelling'!$AC$3:$AP$172,14,FALSE),IF($H$6=2,VLOOKUP($D104,'Werkschema - Instelling'!$AE$3:$AP$172,12,FALSE),IF($H$6=3,VLOOKUP($D104,'Werkschema - Instelling'!$AG$3:$AP$172,10,FALSE),IF($H$6=4,VLOOKUP($D104,'Werkschema - Instelling'!$AI$3:$AP$172,8,FALSE),IF($H$6=5,VLOOKUP($D104,'Werkschema - Instelling'!$AK$3:$AP$172,6,FALSE),VLOOKUP($D104,'Werkschema - Instelling'!$AM$3:$AP$172,4,FALSE))))))))</f>
        <v/>
      </c>
      <c r="H104" s="62">
        <f>IF($D104&gt;0.985333333,"", IF($H$6=0, VLOOKUP($D104,'Werkschema - Instelling'!$AA$3:$AB$172,2,FALSE),IF($H$6=1,VLOOKUP($D104,'Werkschema - Instelling'!$AC$3:$AD$172,2,FALSE),IF($H$6=2,VLOOKUP($D104,'Werkschema - Instelling'!$AE$3:$AF$172,2,FALSE),IF($H$6=3,VLOOKUP($D104,'Werkschema - Instelling'!$AG$3:$AH$172,2,FALSE),IF($H$6=4,VLOOKUP($D104,'Werkschema - Instelling'!$AI$3:$AJ$172,2,FALSE),IF($H$6=5,VLOOKUP($D104,'Werkschema - Instelling'!$AK$3:$AL$172,2,FALSE),VLOOKUP($D104,'Werkschema - Instelling'!$AM$3:$AN$172,2,FALSE))))))))</f>
        <v/>
      </c>
      <c r="I104" s="3" t="n"/>
    </row>
    <row r="105" ht="15" customHeight="1">
      <c r="A105" s="85" t="n">
        <v>98</v>
      </c>
      <c r="B105" s="86">
        <f>IF(LEFT(F105,9)="Taken van",1,IF(LEFT(F105,14)="Start vulshift",2,IF(LEFT(F105,8)="Levering",3,0)))</f>
        <v/>
      </c>
      <c r="C105" s="85">
        <f>E105-E104</f>
        <v/>
      </c>
      <c r="D105" s="1049">
        <f>SMALL(OFFSET('Werkschema - Instelling'!$AA$3:$AA$172,0,$H$6*2),A105)</f>
        <v/>
      </c>
      <c r="E105" s="1054">
        <f>IFERROR(IF(D105-D104&lt;0.0001,"",$D105-VLOOKUP($F105,'Werkschema - Instelling'!$A$3:$Z$172,26,FALSE)),1)</f>
        <v/>
      </c>
      <c r="F105" s="15">
        <f>IF(D105&gt;0.958333333,"",IF($H$6=0, VLOOKUP($D105,'Werkschema - Instelling'!$AA$3:$AO$172,15,FALSE),IF($H$6=1,VLOOKUP($D105,'Werkschema - Instelling'!$AC$3:$AO$172,13,FALSE),IF($H$6=2,VLOOKUP($D105,'Werkschema - Instelling'!$AE$3:$AO$172,11,FALSE),IF($H$6=3,VLOOKUP($D105,'Werkschema - Instelling'!$AG$3:$AO$172,9,FALSE),IF($H$6=4,VLOOKUP($D105,'Werkschema - Instelling'!$AI$3:$AO$172,7,FALSE),IF($H$6=5,VLOOKUP($D105,'Werkschema - Instelling'!$AK$3:$AO$172,5,FALSE),VLOOKUP($D105,'Werkschema - Instelling'!$AM$3:$AO$172,3,FALSE))))))))</f>
        <v/>
      </c>
      <c r="G105" s="16">
        <f>IF(D105&gt;0.958333333,"", IF($H$6=0, VLOOKUP($D105,'Werkschema - Instelling'!$AA$3:$AP$172,16,FALSE),IF($H$6=1,VLOOKUP($D105,'Werkschema - Instelling'!$AC$3:$AP$172,14,FALSE),IF($H$6=2,VLOOKUP($D105,'Werkschema - Instelling'!$AE$3:$AP$172,12,FALSE),IF($H$6=3,VLOOKUP($D105,'Werkschema - Instelling'!$AG$3:$AP$172,10,FALSE),IF($H$6=4,VLOOKUP($D105,'Werkschema - Instelling'!$AI$3:$AP$172,8,FALSE),IF($H$6=5,VLOOKUP($D105,'Werkschema - Instelling'!$AK$3:$AP$172,6,FALSE),VLOOKUP($D105,'Werkschema - Instelling'!$AM$3:$AP$172,4,FALSE))))))))</f>
        <v/>
      </c>
      <c r="H105" s="62">
        <f>IF($D105&gt;0.985333333,"", IF($H$6=0, VLOOKUP($D105,'Werkschema - Instelling'!$AA$3:$AB$172,2,FALSE),IF($H$6=1,VLOOKUP($D105,'Werkschema - Instelling'!$AC$3:$AD$172,2,FALSE),IF($H$6=2,VLOOKUP($D105,'Werkschema - Instelling'!$AE$3:$AF$172,2,FALSE),IF($H$6=3,VLOOKUP($D105,'Werkschema - Instelling'!$AG$3:$AH$172,2,FALSE),IF($H$6=4,VLOOKUP($D105,'Werkschema - Instelling'!$AI$3:$AJ$172,2,FALSE),IF($H$6=5,VLOOKUP($D105,'Werkschema - Instelling'!$AK$3:$AL$172,2,FALSE),VLOOKUP($D105,'Werkschema - Instelling'!$AM$3:$AN$172,2,FALSE))))))))</f>
        <v/>
      </c>
      <c r="I105" s="3" t="n"/>
    </row>
    <row r="106" ht="15" customHeight="1">
      <c r="A106" s="85" t="n">
        <v>99</v>
      </c>
      <c r="B106" s="86">
        <f>IF(LEFT(F106,9)="Taken van",1,IF(LEFT(F106,14)="Start vulshift",2,IF(LEFT(F106,8)="Levering",3,0)))</f>
        <v/>
      </c>
      <c r="C106" s="85">
        <f>E106-E105</f>
        <v/>
      </c>
      <c r="D106" s="1049">
        <f>SMALL(OFFSET('Werkschema - Instelling'!$AA$3:$AA$172,0,$H$6*2),A106)</f>
        <v/>
      </c>
      <c r="E106" s="1054">
        <f>IFERROR(IF(D106-D105&lt;0.0001,"",$D106-VLOOKUP($F106,'Werkschema - Instelling'!$A$3:$Z$172,26,FALSE)),1)</f>
        <v/>
      </c>
      <c r="F106" s="15">
        <f>IF(D106&gt;0.958333333,"",IF($H$6=0, VLOOKUP($D106,'Werkschema - Instelling'!$AA$3:$AO$172,15,FALSE),IF($H$6=1,VLOOKUP($D106,'Werkschema - Instelling'!$AC$3:$AO$172,13,FALSE),IF($H$6=2,VLOOKUP($D106,'Werkschema - Instelling'!$AE$3:$AO$172,11,FALSE),IF($H$6=3,VLOOKUP($D106,'Werkschema - Instelling'!$AG$3:$AO$172,9,FALSE),IF($H$6=4,VLOOKUP($D106,'Werkschema - Instelling'!$AI$3:$AO$172,7,FALSE),IF($H$6=5,VLOOKUP($D106,'Werkschema - Instelling'!$AK$3:$AO$172,5,FALSE),VLOOKUP($D106,'Werkschema - Instelling'!$AM$3:$AO$172,3,FALSE))))))))</f>
        <v/>
      </c>
      <c r="G106" s="16">
        <f>IF(D106&gt;0.958333333,"", IF($H$6=0, VLOOKUP($D106,'Werkschema - Instelling'!$AA$3:$AP$172,16,FALSE),IF($H$6=1,VLOOKUP($D106,'Werkschema - Instelling'!$AC$3:$AP$172,14,FALSE),IF($H$6=2,VLOOKUP($D106,'Werkschema - Instelling'!$AE$3:$AP$172,12,FALSE),IF($H$6=3,VLOOKUP($D106,'Werkschema - Instelling'!$AG$3:$AP$172,10,FALSE),IF($H$6=4,VLOOKUP($D106,'Werkschema - Instelling'!$AI$3:$AP$172,8,FALSE),IF($H$6=5,VLOOKUP($D106,'Werkschema - Instelling'!$AK$3:$AP$172,6,FALSE),VLOOKUP($D106,'Werkschema - Instelling'!$AM$3:$AP$172,4,FALSE))))))))</f>
        <v/>
      </c>
      <c r="H106" s="62">
        <f>IF($D106&gt;0.985333333,"", IF($H$6=0, VLOOKUP($D106,'Werkschema - Instelling'!$AA$3:$AB$172,2,FALSE),IF($H$6=1,VLOOKUP($D106,'Werkschema - Instelling'!$AC$3:$AD$172,2,FALSE),IF($H$6=2,VLOOKUP($D106,'Werkschema - Instelling'!$AE$3:$AF$172,2,FALSE),IF($H$6=3,VLOOKUP($D106,'Werkschema - Instelling'!$AG$3:$AH$172,2,FALSE),IF($H$6=4,VLOOKUP($D106,'Werkschema - Instelling'!$AI$3:$AJ$172,2,FALSE),IF($H$6=5,VLOOKUP($D106,'Werkschema - Instelling'!$AK$3:$AL$172,2,FALSE),VLOOKUP($D106,'Werkschema - Instelling'!$AM$3:$AN$172,2,FALSE))))))))</f>
        <v/>
      </c>
      <c r="I106" s="3" t="n"/>
    </row>
    <row r="107" ht="15" customHeight="1">
      <c r="A107" s="85" t="n">
        <v>100</v>
      </c>
      <c r="B107" s="86">
        <f>IF(LEFT(F107,9)="Taken van",1,IF(LEFT(F107,14)="Start vulshift",2,IF(LEFT(F107,8)="Levering",3,0)))</f>
        <v/>
      </c>
      <c r="C107" s="85">
        <f>E107-E106</f>
        <v/>
      </c>
      <c r="D107" s="1049">
        <f>SMALL(OFFSET('Werkschema - Instelling'!$AA$3:$AA$172,0,$H$6*2),A107)</f>
        <v/>
      </c>
      <c r="E107" s="1054">
        <f>IFERROR(IF(D107-D106&lt;0.0001,"",$D107-VLOOKUP($F107,'Werkschema - Instelling'!$A$3:$Z$172,26,FALSE)),1)</f>
        <v/>
      </c>
      <c r="F107" s="15">
        <f>IF(D107&gt;0.958333333,"",IF($H$6=0, VLOOKUP($D107,'Werkschema - Instelling'!$AA$3:$AO$172,15,FALSE),IF($H$6=1,VLOOKUP($D107,'Werkschema - Instelling'!$AC$3:$AO$172,13,FALSE),IF($H$6=2,VLOOKUP($D107,'Werkschema - Instelling'!$AE$3:$AO$172,11,FALSE),IF($H$6=3,VLOOKUP($D107,'Werkschema - Instelling'!$AG$3:$AO$172,9,FALSE),IF($H$6=4,VLOOKUP($D107,'Werkschema - Instelling'!$AI$3:$AO$172,7,FALSE),IF($H$6=5,VLOOKUP($D107,'Werkschema - Instelling'!$AK$3:$AO$172,5,FALSE),VLOOKUP($D107,'Werkschema - Instelling'!$AM$3:$AO$172,3,FALSE))))))))</f>
        <v/>
      </c>
      <c r="G107" s="16">
        <f>IF(D107&gt;0.958333333,"", IF($H$6=0, VLOOKUP($D107,'Werkschema - Instelling'!$AA$3:$AP$172,16,FALSE),IF($H$6=1,VLOOKUP($D107,'Werkschema - Instelling'!$AC$3:$AP$172,14,FALSE),IF($H$6=2,VLOOKUP($D107,'Werkschema - Instelling'!$AE$3:$AP$172,12,FALSE),IF($H$6=3,VLOOKUP($D107,'Werkschema - Instelling'!$AG$3:$AP$172,10,FALSE),IF($H$6=4,VLOOKUP($D107,'Werkschema - Instelling'!$AI$3:$AP$172,8,FALSE),IF($H$6=5,VLOOKUP($D107,'Werkschema - Instelling'!$AK$3:$AP$172,6,FALSE),VLOOKUP($D107,'Werkschema - Instelling'!$AM$3:$AP$172,4,FALSE))))))))</f>
        <v/>
      </c>
      <c r="H107" s="62">
        <f>IF($D107&gt;0.985333333,"", IF($H$6=0, VLOOKUP($D107,'Werkschema - Instelling'!$AA$3:$AB$172,2,FALSE),IF($H$6=1,VLOOKUP($D107,'Werkschema - Instelling'!$AC$3:$AD$172,2,FALSE),IF($H$6=2,VLOOKUP($D107,'Werkschema - Instelling'!$AE$3:$AF$172,2,FALSE),IF($H$6=3,VLOOKUP($D107,'Werkschema - Instelling'!$AG$3:$AH$172,2,FALSE),IF($H$6=4,VLOOKUP($D107,'Werkschema - Instelling'!$AI$3:$AJ$172,2,FALSE),IF($H$6=5,VLOOKUP($D107,'Werkschema - Instelling'!$AK$3:$AL$172,2,FALSE),VLOOKUP($D107,'Werkschema - Instelling'!$AM$3:$AN$172,2,FALSE))))))))</f>
        <v/>
      </c>
      <c r="I107" s="3" t="n"/>
    </row>
    <row r="108" ht="15" customHeight="1">
      <c r="A108" s="85" t="n">
        <v>101</v>
      </c>
      <c r="B108" s="86">
        <f>IF(LEFT(F108,9)="Taken van",1,IF(LEFT(F108,14)="Start vulshift",2,IF(LEFT(F108,8)="Levering",3,0)))</f>
        <v/>
      </c>
      <c r="C108" s="85">
        <f>E108-E107</f>
        <v/>
      </c>
      <c r="D108" s="1049">
        <f>SMALL(OFFSET('Werkschema - Instelling'!$AA$3:$AA$172,0,$H$6*2),A108)</f>
        <v/>
      </c>
      <c r="E108" s="1054">
        <f>IFERROR(IF(D108-D107&lt;0.0001,"",$D108-VLOOKUP($F108,'Werkschema - Instelling'!$A$3:$Z$172,26,FALSE)),1)</f>
        <v/>
      </c>
      <c r="F108" s="15">
        <f>IF(D108&gt;0.958333333,"",IF($H$6=0, VLOOKUP($D108,'Werkschema - Instelling'!$AA$3:$AO$172,15,FALSE),IF($H$6=1,VLOOKUP($D108,'Werkschema - Instelling'!$AC$3:$AO$172,13,FALSE),IF($H$6=2,VLOOKUP($D108,'Werkschema - Instelling'!$AE$3:$AO$172,11,FALSE),IF($H$6=3,VLOOKUP($D108,'Werkschema - Instelling'!$AG$3:$AO$172,9,FALSE),IF($H$6=4,VLOOKUP($D108,'Werkschema - Instelling'!$AI$3:$AO$172,7,FALSE),IF($H$6=5,VLOOKUP($D108,'Werkschema - Instelling'!$AK$3:$AO$172,5,FALSE),VLOOKUP($D108,'Werkschema - Instelling'!$AM$3:$AO$172,3,FALSE))))))))</f>
        <v/>
      </c>
      <c r="G108" s="16">
        <f>IF(D108&gt;0.958333333,"", IF($H$6=0, VLOOKUP($D108,'Werkschema - Instelling'!$AA$3:$AP$172,16,FALSE),IF($H$6=1,VLOOKUP($D108,'Werkschema - Instelling'!$AC$3:$AP$172,14,FALSE),IF($H$6=2,VLOOKUP($D108,'Werkschema - Instelling'!$AE$3:$AP$172,12,FALSE),IF($H$6=3,VLOOKUP($D108,'Werkschema - Instelling'!$AG$3:$AP$172,10,FALSE),IF($H$6=4,VLOOKUP($D108,'Werkschema - Instelling'!$AI$3:$AP$172,8,FALSE),IF($H$6=5,VLOOKUP($D108,'Werkschema - Instelling'!$AK$3:$AP$172,6,FALSE),VLOOKUP($D108,'Werkschema - Instelling'!$AM$3:$AP$172,4,FALSE))))))))</f>
        <v/>
      </c>
      <c r="H108" s="62">
        <f>IF($D108&gt;0.985333333,"", IF($H$6=0, VLOOKUP($D108,'Werkschema - Instelling'!$AA$3:$AB$172,2,FALSE),IF($H$6=1,VLOOKUP($D108,'Werkschema - Instelling'!$AC$3:$AD$172,2,FALSE),IF($H$6=2,VLOOKUP($D108,'Werkschema - Instelling'!$AE$3:$AF$172,2,FALSE),IF($H$6=3,VLOOKUP($D108,'Werkschema - Instelling'!$AG$3:$AH$172,2,FALSE),IF($H$6=4,VLOOKUP($D108,'Werkschema - Instelling'!$AI$3:$AJ$172,2,FALSE),IF($H$6=5,VLOOKUP($D108,'Werkschema - Instelling'!$AK$3:$AL$172,2,FALSE),VLOOKUP($D108,'Werkschema - Instelling'!$AM$3:$AN$172,2,FALSE))))))))</f>
        <v/>
      </c>
      <c r="I108" s="3" t="n"/>
    </row>
    <row r="109" ht="15" customHeight="1">
      <c r="A109" s="85" t="n">
        <v>102</v>
      </c>
      <c r="B109" s="86">
        <f>IF(LEFT(F109,9)="Taken van",1,IF(LEFT(F109,14)="Start vulshift",2,IF(LEFT(F109,8)="Levering",3,0)))</f>
        <v/>
      </c>
      <c r="C109" s="85">
        <f>E109-E108</f>
        <v/>
      </c>
      <c r="D109" s="1049">
        <f>SMALL(OFFSET('Werkschema - Instelling'!$AA$3:$AA$172,0,$H$6*2),A109)</f>
        <v/>
      </c>
      <c r="E109" s="1054">
        <f>IFERROR(IF(D109-D108&lt;0.0001,"",$D109-VLOOKUP($F109,'Werkschema - Instelling'!$A$3:$Z$172,26,FALSE)),1)</f>
        <v/>
      </c>
      <c r="F109" s="15">
        <f>IF(D109&gt;0.958333333,"",IF($H$6=0, VLOOKUP($D109,'Werkschema - Instelling'!$AA$3:$AO$172,15,FALSE),IF($H$6=1,VLOOKUP($D109,'Werkschema - Instelling'!$AC$3:$AO$172,13,FALSE),IF($H$6=2,VLOOKUP($D109,'Werkschema - Instelling'!$AE$3:$AO$172,11,FALSE),IF($H$6=3,VLOOKUP($D109,'Werkschema - Instelling'!$AG$3:$AO$172,9,FALSE),IF($H$6=4,VLOOKUP($D109,'Werkschema - Instelling'!$AI$3:$AO$172,7,FALSE),IF($H$6=5,VLOOKUP($D109,'Werkschema - Instelling'!$AK$3:$AO$172,5,FALSE),VLOOKUP($D109,'Werkschema - Instelling'!$AM$3:$AO$172,3,FALSE))))))))</f>
        <v/>
      </c>
      <c r="G109" s="16">
        <f>IF(D109&gt;0.958333333,"", IF($H$6=0, VLOOKUP($D109,'Werkschema - Instelling'!$AA$3:$AP$172,16,FALSE),IF($H$6=1,VLOOKUP($D109,'Werkschema - Instelling'!$AC$3:$AP$172,14,FALSE),IF($H$6=2,VLOOKUP($D109,'Werkschema - Instelling'!$AE$3:$AP$172,12,FALSE),IF($H$6=3,VLOOKUP($D109,'Werkschema - Instelling'!$AG$3:$AP$172,10,FALSE),IF($H$6=4,VLOOKUP($D109,'Werkschema - Instelling'!$AI$3:$AP$172,8,FALSE),IF($H$6=5,VLOOKUP($D109,'Werkschema - Instelling'!$AK$3:$AP$172,6,FALSE),VLOOKUP($D109,'Werkschema - Instelling'!$AM$3:$AP$172,4,FALSE))))))))</f>
        <v/>
      </c>
      <c r="H109" s="62">
        <f>IF($D109&gt;0.985333333,"", IF($H$6=0, VLOOKUP($D109,'Werkschema - Instelling'!$AA$3:$AB$172,2,FALSE),IF($H$6=1,VLOOKUP($D109,'Werkschema - Instelling'!$AC$3:$AD$172,2,FALSE),IF($H$6=2,VLOOKUP($D109,'Werkschema - Instelling'!$AE$3:$AF$172,2,FALSE),IF($H$6=3,VLOOKUP($D109,'Werkschema - Instelling'!$AG$3:$AH$172,2,FALSE),IF($H$6=4,VLOOKUP($D109,'Werkschema - Instelling'!$AI$3:$AJ$172,2,FALSE),IF($H$6=5,VLOOKUP($D109,'Werkschema - Instelling'!$AK$3:$AL$172,2,FALSE),VLOOKUP($D109,'Werkschema - Instelling'!$AM$3:$AN$172,2,FALSE))))))))</f>
        <v/>
      </c>
      <c r="I109" s="3" t="n"/>
    </row>
    <row r="110" ht="15" customHeight="1">
      <c r="A110" s="85" t="n">
        <v>103</v>
      </c>
      <c r="B110" s="86">
        <f>IF(LEFT(F110,9)="Taken van",1,IF(LEFT(F110,14)="Start vulshift",2,IF(LEFT(F110,8)="Levering",3,0)))</f>
        <v/>
      </c>
      <c r="C110" s="85">
        <f>E110-E109</f>
        <v/>
      </c>
      <c r="D110" s="1049">
        <f>SMALL(OFFSET('Werkschema - Instelling'!$AA$3:$AA$172,0,$H$6*2),A110)</f>
        <v/>
      </c>
      <c r="E110" s="1054">
        <f>IFERROR(IF(D110-D109&lt;0.0001,"",$D110-VLOOKUP($F110,'Werkschema - Instelling'!$A$3:$Z$172,26,FALSE)),1)</f>
        <v/>
      </c>
      <c r="F110" s="15">
        <f>IF(D110&gt;0.958333333,"",IF($H$6=0, VLOOKUP($D110,'Werkschema - Instelling'!$AA$3:$AO$172,15,FALSE),IF($H$6=1,VLOOKUP($D110,'Werkschema - Instelling'!$AC$3:$AO$172,13,FALSE),IF($H$6=2,VLOOKUP($D110,'Werkschema - Instelling'!$AE$3:$AO$172,11,FALSE),IF($H$6=3,VLOOKUP($D110,'Werkschema - Instelling'!$AG$3:$AO$172,9,FALSE),IF($H$6=4,VLOOKUP($D110,'Werkschema - Instelling'!$AI$3:$AO$172,7,FALSE),IF($H$6=5,VLOOKUP($D110,'Werkschema - Instelling'!$AK$3:$AO$172,5,FALSE),VLOOKUP($D110,'Werkschema - Instelling'!$AM$3:$AO$172,3,FALSE))))))))</f>
        <v/>
      </c>
      <c r="G110" s="16">
        <f>IF(D110&gt;0.958333333,"", IF($H$6=0, VLOOKUP($D110,'Werkschema - Instelling'!$AA$3:$AP$172,16,FALSE),IF($H$6=1,VLOOKUP($D110,'Werkschema - Instelling'!$AC$3:$AP$172,14,FALSE),IF($H$6=2,VLOOKUP($D110,'Werkschema - Instelling'!$AE$3:$AP$172,12,FALSE),IF($H$6=3,VLOOKUP($D110,'Werkschema - Instelling'!$AG$3:$AP$172,10,FALSE),IF($H$6=4,VLOOKUP($D110,'Werkschema - Instelling'!$AI$3:$AP$172,8,FALSE),IF($H$6=5,VLOOKUP($D110,'Werkschema - Instelling'!$AK$3:$AP$172,6,FALSE),VLOOKUP($D110,'Werkschema - Instelling'!$AM$3:$AP$172,4,FALSE))))))))</f>
        <v/>
      </c>
      <c r="H110" s="62">
        <f>IF($D110&gt;0.985333333,"", IF($H$6=0, VLOOKUP($D110,'Werkschema - Instelling'!$AA$3:$AB$172,2,FALSE),IF($H$6=1,VLOOKUP($D110,'Werkschema - Instelling'!$AC$3:$AD$172,2,FALSE),IF($H$6=2,VLOOKUP($D110,'Werkschema - Instelling'!$AE$3:$AF$172,2,FALSE),IF($H$6=3,VLOOKUP($D110,'Werkschema - Instelling'!$AG$3:$AH$172,2,FALSE),IF($H$6=4,VLOOKUP($D110,'Werkschema - Instelling'!$AI$3:$AJ$172,2,FALSE),IF($H$6=5,VLOOKUP($D110,'Werkschema - Instelling'!$AK$3:$AL$172,2,FALSE),VLOOKUP($D110,'Werkschema - Instelling'!$AM$3:$AN$172,2,FALSE))))))))</f>
        <v/>
      </c>
      <c r="I110" s="3" t="n"/>
    </row>
    <row r="111" ht="15" customHeight="1">
      <c r="A111" s="85" t="n">
        <v>104</v>
      </c>
      <c r="B111" s="86">
        <f>IF(LEFT(F111,9)="Taken van",1,IF(LEFT(F111,14)="Start vulshift",2,IF(LEFT(F111,8)="Levering",3,0)))</f>
        <v/>
      </c>
      <c r="C111" s="85">
        <f>E111-E110</f>
        <v/>
      </c>
      <c r="D111" s="1049">
        <f>SMALL(OFFSET('Werkschema - Instelling'!$AA$3:$AA$172,0,$H$6*2),A111)</f>
        <v/>
      </c>
      <c r="E111" s="1054">
        <f>IFERROR(IF(D111-D110&lt;0.0001,"",$D111-VLOOKUP($F111,'Werkschema - Instelling'!$A$3:$Z$172,26,FALSE)),1)</f>
        <v/>
      </c>
      <c r="F111" s="15">
        <f>IF(D111&gt;0.958333333,"",IF($H$6=0, VLOOKUP($D111,'Werkschema - Instelling'!$AA$3:$AO$172,15,FALSE),IF($H$6=1,VLOOKUP($D111,'Werkschema - Instelling'!$AC$3:$AO$172,13,FALSE),IF($H$6=2,VLOOKUP($D111,'Werkschema - Instelling'!$AE$3:$AO$172,11,FALSE),IF($H$6=3,VLOOKUP($D111,'Werkschema - Instelling'!$AG$3:$AO$172,9,FALSE),IF($H$6=4,VLOOKUP($D111,'Werkschema - Instelling'!$AI$3:$AO$172,7,FALSE),IF($H$6=5,VLOOKUP($D111,'Werkschema - Instelling'!$AK$3:$AO$172,5,FALSE),VLOOKUP($D111,'Werkschema - Instelling'!$AM$3:$AO$172,3,FALSE))))))))</f>
        <v/>
      </c>
      <c r="G111" s="16">
        <f>IF(D111&gt;0.958333333,"", IF($H$6=0, VLOOKUP($D111,'Werkschema - Instelling'!$AA$3:$AP$172,16,FALSE),IF($H$6=1,VLOOKUP($D111,'Werkschema - Instelling'!$AC$3:$AP$172,14,FALSE),IF($H$6=2,VLOOKUP($D111,'Werkschema - Instelling'!$AE$3:$AP$172,12,FALSE),IF($H$6=3,VLOOKUP($D111,'Werkschema - Instelling'!$AG$3:$AP$172,10,FALSE),IF($H$6=4,VLOOKUP($D111,'Werkschema - Instelling'!$AI$3:$AP$172,8,FALSE),IF($H$6=5,VLOOKUP($D111,'Werkschema - Instelling'!$AK$3:$AP$172,6,FALSE),VLOOKUP($D111,'Werkschema - Instelling'!$AM$3:$AP$172,4,FALSE))))))))</f>
        <v/>
      </c>
      <c r="H111" s="62">
        <f>IF($D111&gt;0.985333333,"", IF($H$6=0, VLOOKUP($D111,'Werkschema - Instelling'!$AA$3:$AB$172,2,FALSE),IF($H$6=1,VLOOKUP($D111,'Werkschema - Instelling'!$AC$3:$AD$172,2,FALSE),IF($H$6=2,VLOOKUP($D111,'Werkschema - Instelling'!$AE$3:$AF$172,2,FALSE),IF($H$6=3,VLOOKUP($D111,'Werkschema - Instelling'!$AG$3:$AH$172,2,FALSE),IF($H$6=4,VLOOKUP($D111,'Werkschema - Instelling'!$AI$3:$AJ$172,2,FALSE),IF($H$6=5,VLOOKUP($D111,'Werkschema - Instelling'!$AK$3:$AL$172,2,FALSE),VLOOKUP($D111,'Werkschema - Instelling'!$AM$3:$AN$172,2,FALSE))))))))</f>
        <v/>
      </c>
      <c r="I111" s="3" t="n"/>
    </row>
    <row r="112" ht="15" customHeight="1">
      <c r="A112" s="85" t="n">
        <v>105</v>
      </c>
      <c r="B112" s="86">
        <f>IF(LEFT(F112,9)="Taken van",1,IF(LEFT(F112,14)="Start vulshift",2,IF(LEFT(F112,8)="Levering",3,0)))</f>
        <v/>
      </c>
      <c r="C112" s="85">
        <f>E112-E111</f>
        <v/>
      </c>
      <c r="D112" s="1049">
        <f>SMALL(OFFSET('Werkschema - Instelling'!$AA$3:$AA$172,0,$H$6*2),A112)</f>
        <v/>
      </c>
      <c r="E112" s="1054">
        <f>IFERROR(IF(D112-D111&lt;0.0001,"",$D112-VLOOKUP($F112,'Werkschema - Instelling'!$A$3:$Z$172,26,FALSE)),1)</f>
        <v/>
      </c>
      <c r="F112" s="15">
        <f>IF(D112&gt;0.958333333,"",IF($H$6=0, VLOOKUP($D112,'Werkschema - Instelling'!$AA$3:$AO$172,15,FALSE),IF($H$6=1,VLOOKUP($D112,'Werkschema - Instelling'!$AC$3:$AO$172,13,FALSE),IF($H$6=2,VLOOKUP($D112,'Werkschema - Instelling'!$AE$3:$AO$172,11,FALSE),IF($H$6=3,VLOOKUP($D112,'Werkschema - Instelling'!$AG$3:$AO$172,9,FALSE),IF($H$6=4,VLOOKUP($D112,'Werkschema - Instelling'!$AI$3:$AO$172,7,FALSE),IF($H$6=5,VLOOKUP($D112,'Werkschema - Instelling'!$AK$3:$AO$172,5,FALSE),VLOOKUP($D112,'Werkschema - Instelling'!$AM$3:$AO$172,3,FALSE))))))))</f>
        <v/>
      </c>
      <c r="G112" s="16">
        <f>IF(D112&gt;0.958333333,"", IF($H$6=0, VLOOKUP($D112,'Werkschema - Instelling'!$AA$3:$AP$172,16,FALSE),IF($H$6=1,VLOOKUP($D112,'Werkschema - Instelling'!$AC$3:$AP$172,14,FALSE),IF($H$6=2,VLOOKUP($D112,'Werkschema - Instelling'!$AE$3:$AP$172,12,FALSE),IF($H$6=3,VLOOKUP($D112,'Werkschema - Instelling'!$AG$3:$AP$172,10,FALSE),IF($H$6=4,VLOOKUP($D112,'Werkschema - Instelling'!$AI$3:$AP$172,8,FALSE),IF($H$6=5,VLOOKUP($D112,'Werkschema - Instelling'!$AK$3:$AP$172,6,FALSE),VLOOKUP($D112,'Werkschema - Instelling'!$AM$3:$AP$172,4,FALSE))))))))</f>
        <v/>
      </c>
      <c r="H112" s="62">
        <f>IF($D112&gt;0.985333333,"", IF($H$6=0, VLOOKUP($D112,'Werkschema - Instelling'!$AA$3:$AB$172,2,FALSE),IF($H$6=1,VLOOKUP($D112,'Werkschema - Instelling'!$AC$3:$AD$172,2,FALSE),IF($H$6=2,VLOOKUP($D112,'Werkschema - Instelling'!$AE$3:$AF$172,2,FALSE),IF($H$6=3,VLOOKUP($D112,'Werkschema - Instelling'!$AG$3:$AH$172,2,FALSE),IF($H$6=4,VLOOKUP($D112,'Werkschema - Instelling'!$AI$3:$AJ$172,2,FALSE),IF($H$6=5,VLOOKUP($D112,'Werkschema - Instelling'!$AK$3:$AL$172,2,FALSE),VLOOKUP($D112,'Werkschema - Instelling'!$AM$3:$AN$172,2,FALSE))))))))</f>
        <v/>
      </c>
      <c r="I112" s="3" t="n"/>
    </row>
    <row r="113" ht="15" customHeight="1">
      <c r="A113" s="85" t="n">
        <v>106</v>
      </c>
      <c r="B113" s="86">
        <f>IF(LEFT(F113,9)="Taken van",1,IF(LEFT(F113,14)="Start vulshift",2,IF(LEFT(F113,8)="Levering",3,0)))</f>
        <v/>
      </c>
      <c r="C113" s="85">
        <f>E113-E112</f>
        <v/>
      </c>
      <c r="D113" s="1049">
        <f>SMALL(OFFSET('Werkschema - Instelling'!$AA$3:$AA$172,0,$H$6*2),A113)</f>
        <v/>
      </c>
      <c r="E113" s="1054">
        <f>IFERROR(IF(D113-D112&lt;0.0001,"",$D113-VLOOKUP($F113,'Werkschema - Instelling'!$A$3:$Z$172,26,FALSE)),1)</f>
        <v/>
      </c>
      <c r="F113" s="15">
        <f>IF(D113&gt;0.958333333,"",IF($H$6=0, VLOOKUP($D113,'Werkschema - Instelling'!$AA$3:$AO$172,15,FALSE),IF($H$6=1,VLOOKUP($D113,'Werkschema - Instelling'!$AC$3:$AO$172,13,FALSE),IF($H$6=2,VLOOKUP($D113,'Werkschema - Instelling'!$AE$3:$AO$172,11,FALSE),IF($H$6=3,VLOOKUP($D113,'Werkschema - Instelling'!$AG$3:$AO$172,9,FALSE),IF($H$6=4,VLOOKUP($D113,'Werkschema - Instelling'!$AI$3:$AO$172,7,FALSE),IF($H$6=5,VLOOKUP($D113,'Werkschema - Instelling'!$AK$3:$AO$172,5,FALSE),VLOOKUP($D113,'Werkschema - Instelling'!$AM$3:$AO$172,3,FALSE))))))))</f>
        <v/>
      </c>
      <c r="G113" s="16">
        <f>IF(D113&gt;0.958333333,"", IF($H$6=0, VLOOKUP($D113,'Werkschema - Instelling'!$AA$3:$AP$172,16,FALSE),IF($H$6=1,VLOOKUP($D113,'Werkschema - Instelling'!$AC$3:$AP$172,14,FALSE),IF($H$6=2,VLOOKUP($D113,'Werkschema - Instelling'!$AE$3:$AP$172,12,FALSE),IF($H$6=3,VLOOKUP($D113,'Werkschema - Instelling'!$AG$3:$AP$172,10,FALSE),IF($H$6=4,VLOOKUP($D113,'Werkschema - Instelling'!$AI$3:$AP$172,8,FALSE),IF($H$6=5,VLOOKUP($D113,'Werkschema - Instelling'!$AK$3:$AP$172,6,FALSE),VLOOKUP($D113,'Werkschema - Instelling'!$AM$3:$AP$172,4,FALSE))))))))</f>
        <v/>
      </c>
      <c r="H113" s="62">
        <f>IF($D113&gt;0.985333333,"", IF($H$6=0, VLOOKUP($D113,'Werkschema - Instelling'!$AA$3:$AB$172,2,FALSE),IF($H$6=1,VLOOKUP($D113,'Werkschema - Instelling'!$AC$3:$AD$172,2,FALSE),IF($H$6=2,VLOOKUP($D113,'Werkschema - Instelling'!$AE$3:$AF$172,2,FALSE),IF($H$6=3,VLOOKUP($D113,'Werkschema - Instelling'!$AG$3:$AH$172,2,FALSE),IF($H$6=4,VLOOKUP($D113,'Werkschema - Instelling'!$AI$3:$AJ$172,2,FALSE),IF($H$6=5,VLOOKUP($D113,'Werkschema - Instelling'!$AK$3:$AL$172,2,FALSE),VLOOKUP($D113,'Werkschema - Instelling'!$AM$3:$AN$172,2,FALSE))))))))</f>
        <v/>
      </c>
      <c r="I113" s="3" t="n"/>
    </row>
    <row r="114" ht="15" customHeight="1">
      <c r="A114" s="85" t="n">
        <v>107</v>
      </c>
      <c r="B114" s="86">
        <f>IF(LEFT(F114,9)="Taken van",1,IF(LEFT(F114,14)="Start vulshift",2,IF(LEFT(F114,8)="Levering",3,0)))</f>
        <v/>
      </c>
      <c r="C114" s="85">
        <f>E114-E113</f>
        <v/>
      </c>
      <c r="D114" s="1049">
        <f>SMALL(OFFSET('Werkschema - Instelling'!$AA$3:$AA$172,0,$H$6*2),A114)</f>
        <v/>
      </c>
      <c r="E114" s="1054">
        <f>IFERROR(IF(D114-D113&lt;0.0001,"",$D114-VLOOKUP($F114,'Werkschema - Instelling'!$A$3:$Z$172,26,FALSE)),1)</f>
        <v/>
      </c>
      <c r="F114" s="15">
        <f>IF(D114&gt;0.958333333,"",IF($H$6=0, VLOOKUP($D114,'Werkschema - Instelling'!$AA$3:$AO$172,15,FALSE),IF($H$6=1,VLOOKUP($D114,'Werkschema - Instelling'!$AC$3:$AO$172,13,FALSE),IF($H$6=2,VLOOKUP($D114,'Werkschema - Instelling'!$AE$3:$AO$172,11,FALSE),IF($H$6=3,VLOOKUP($D114,'Werkschema - Instelling'!$AG$3:$AO$172,9,FALSE),IF($H$6=4,VLOOKUP($D114,'Werkschema - Instelling'!$AI$3:$AO$172,7,FALSE),IF($H$6=5,VLOOKUP($D114,'Werkschema - Instelling'!$AK$3:$AO$172,5,FALSE),VLOOKUP($D114,'Werkschema - Instelling'!$AM$3:$AO$172,3,FALSE))))))))</f>
        <v/>
      </c>
      <c r="G114" s="16">
        <f>IF(D114&gt;0.958333333,"", IF($H$6=0, VLOOKUP($D114,'Werkschema - Instelling'!$AA$3:$AP$172,16,FALSE),IF($H$6=1,VLOOKUP($D114,'Werkschema - Instelling'!$AC$3:$AP$172,14,FALSE),IF($H$6=2,VLOOKUP($D114,'Werkschema - Instelling'!$AE$3:$AP$172,12,FALSE),IF($H$6=3,VLOOKUP($D114,'Werkschema - Instelling'!$AG$3:$AP$172,10,FALSE),IF($H$6=4,VLOOKUP($D114,'Werkschema - Instelling'!$AI$3:$AP$172,8,FALSE),IF($H$6=5,VLOOKUP($D114,'Werkschema - Instelling'!$AK$3:$AP$172,6,FALSE),VLOOKUP($D114,'Werkschema - Instelling'!$AM$3:$AP$172,4,FALSE))))))))</f>
        <v/>
      </c>
      <c r="H114" s="62">
        <f>IF($D114&gt;0.985333333,"", IF($H$6=0, VLOOKUP($D114,'Werkschema - Instelling'!$AA$3:$AB$172,2,FALSE),IF($H$6=1,VLOOKUP($D114,'Werkschema - Instelling'!$AC$3:$AD$172,2,FALSE),IF($H$6=2,VLOOKUP($D114,'Werkschema - Instelling'!$AE$3:$AF$172,2,FALSE),IF($H$6=3,VLOOKUP($D114,'Werkschema - Instelling'!$AG$3:$AH$172,2,FALSE),IF($H$6=4,VLOOKUP($D114,'Werkschema - Instelling'!$AI$3:$AJ$172,2,FALSE),IF($H$6=5,VLOOKUP($D114,'Werkschema - Instelling'!$AK$3:$AL$172,2,FALSE),VLOOKUP($D114,'Werkschema - Instelling'!$AM$3:$AN$172,2,FALSE))))))))</f>
        <v/>
      </c>
      <c r="I114" s="3" t="n"/>
    </row>
    <row r="115" ht="15" customHeight="1">
      <c r="A115" s="85" t="n">
        <v>108</v>
      </c>
      <c r="B115" s="86">
        <f>IF(LEFT(F115,9)="Taken van",1,IF(LEFT(F115,14)="Start vulshift",2,IF(LEFT(F115,8)="Levering",3,0)))</f>
        <v/>
      </c>
      <c r="C115" s="85">
        <f>E115-E114</f>
        <v/>
      </c>
      <c r="D115" s="1049">
        <f>SMALL(OFFSET('Werkschema - Instelling'!$AA$3:$AA$172,0,$H$6*2),A115)</f>
        <v/>
      </c>
      <c r="E115" s="1054">
        <f>IFERROR(IF(D115-D114&lt;0.0001,"",$D115-VLOOKUP($F115,'Werkschema - Instelling'!$A$3:$Z$172,26,FALSE)),1)</f>
        <v/>
      </c>
      <c r="F115" s="15">
        <f>IF(D115&gt;0.958333333,"",IF($H$6=0, VLOOKUP($D115,'Werkschema - Instelling'!$AA$3:$AO$172,15,FALSE),IF($H$6=1,VLOOKUP($D115,'Werkschema - Instelling'!$AC$3:$AO$172,13,FALSE),IF($H$6=2,VLOOKUP($D115,'Werkschema - Instelling'!$AE$3:$AO$172,11,FALSE),IF($H$6=3,VLOOKUP($D115,'Werkschema - Instelling'!$AG$3:$AO$172,9,FALSE),IF($H$6=4,VLOOKUP($D115,'Werkschema - Instelling'!$AI$3:$AO$172,7,FALSE),IF($H$6=5,VLOOKUP($D115,'Werkschema - Instelling'!$AK$3:$AO$172,5,FALSE),VLOOKUP($D115,'Werkschema - Instelling'!$AM$3:$AO$172,3,FALSE))))))))</f>
        <v/>
      </c>
      <c r="G115" s="16">
        <f>IF(D115&gt;0.958333333,"", IF($H$6=0, VLOOKUP($D115,'Werkschema - Instelling'!$AA$3:$AP$172,16,FALSE),IF($H$6=1,VLOOKUP($D115,'Werkschema - Instelling'!$AC$3:$AP$172,14,FALSE),IF($H$6=2,VLOOKUP($D115,'Werkschema - Instelling'!$AE$3:$AP$172,12,FALSE),IF($H$6=3,VLOOKUP($D115,'Werkschema - Instelling'!$AG$3:$AP$172,10,FALSE),IF($H$6=4,VLOOKUP($D115,'Werkschema - Instelling'!$AI$3:$AP$172,8,FALSE),IF($H$6=5,VLOOKUP($D115,'Werkschema - Instelling'!$AK$3:$AP$172,6,FALSE),VLOOKUP($D115,'Werkschema - Instelling'!$AM$3:$AP$172,4,FALSE))))))))</f>
        <v/>
      </c>
      <c r="H115" s="62">
        <f>IF($D115&gt;0.985333333,"", IF($H$6=0, VLOOKUP($D115,'Werkschema - Instelling'!$AA$3:$AB$172,2,FALSE),IF($H$6=1,VLOOKUP($D115,'Werkschema - Instelling'!$AC$3:$AD$172,2,FALSE),IF($H$6=2,VLOOKUP($D115,'Werkschema - Instelling'!$AE$3:$AF$172,2,FALSE),IF($H$6=3,VLOOKUP($D115,'Werkschema - Instelling'!$AG$3:$AH$172,2,FALSE),IF($H$6=4,VLOOKUP($D115,'Werkschema - Instelling'!$AI$3:$AJ$172,2,FALSE),IF($H$6=5,VLOOKUP($D115,'Werkschema - Instelling'!$AK$3:$AL$172,2,FALSE),VLOOKUP($D115,'Werkschema - Instelling'!$AM$3:$AN$172,2,FALSE))))))))</f>
        <v/>
      </c>
      <c r="I115" s="3" t="n"/>
    </row>
    <row r="116" ht="15" customHeight="1">
      <c r="A116" s="85" t="n">
        <v>109</v>
      </c>
      <c r="B116" s="86">
        <f>IF(LEFT(F116,9)="Taken van",1,IF(LEFT(F116,14)="Start vulshift",2,IF(LEFT(F116,8)="Levering",3,0)))</f>
        <v/>
      </c>
      <c r="C116" s="85">
        <f>E116-E115</f>
        <v/>
      </c>
      <c r="D116" s="1049">
        <f>SMALL(OFFSET('Werkschema - Instelling'!$AA$3:$AA$172,0,$H$6*2),A116)</f>
        <v/>
      </c>
      <c r="E116" s="1054">
        <f>IFERROR(IF(D116-D115&lt;0.0001,"",$D116-VLOOKUP($F116,'Werkschema - Instelling'!$A$3:$Z$172,26,FALSE)),1)</f>
        <v/>
      </c>
      <c r="F116" s="15">
        <f>IF(D116&gt;0.958333333,"",IF($H$6=0, VLOOKUP($D116,'Werkschema - Instelling'!$AA$3:$AO$172,15,FALSE),IF($H$6=1,VLOOKUP($D116,'Werkschema - Instelling'!$AC$3:$AO$172,13,FALSE),IF($H$6=2,VLOOKUP($D116,'Werkschema - Instelling'!$AE$3:$AO$172,11,FALSE),IF($H$6=3,VLOOKUP($D116,'Werkschema - Instelling'!$AG$3:$AO$172,9,FALSE),IF($H$6=4,VLOOKUP($D116,'Werkschema - Instelling'!$AI$3:$AO$172,7,FALSE),IF($H$6=5,VLOOKUP($D116,'Werkschema - Instelling'!$AK$3:$AO$172,5,FALSE),VLOOKUP($D116,'Werkschema - Instelling'!$AM$3:$AO$172,3,FALSE))))))))</f>
        <v/>
      </c>
      <c r="G116" s="16">
        <f>IF(D116&gt;0.958333333,"", IF($H$6=0, VLOOKUP($D116,'Werkschema - Instelling'!$AA$3:$AP$172,16,FALSE),IF($H$6=1,VLOOKUP($D116,'Werkschema - Instelling'!$AC$3:$AP$172,14,FALSE),IF($H$6=2,VLOOKUP($D116,'Werkschema - Instelling'!$AE$3:$AP$172,12,FALSE),IF($H$6=3,VLOOKUP($D116,'Werkschema - Instelling'!$AG$3:$AP$172,10,FALSE),IF($H$6=4,VLOOKUP($D116,'Werkschema - Instelling'!$AI$3:$AP$172,8,FALSE),IF($H$6=5,VLOOKUP($D116,'Werkschema - Instelling'!$AK$3:$AP$172,6,FALSE),VLOOKUP($D116,'Werkschema - Instelling'!$AM$3:$AP$172,4,FALSE))))))))</f>
        <v/>
      </c>
      <c r="H116" s="62">
        <f>IF($D116&gt;0.985333333,"", IF($H$6=0, VLOOKUP($D116,'Werkschema - Instelling'!$AA$3:$AB$172,2,FALSE),IF($H$6=1,VLOOKUP($D116,'Werkschema - Instelling'!$AC$3:$AD$172,2,FALSE),IF($H$6=2,VLOOKUP($D116,'Werkschema - Instelling'!$AE$3:$AF$172,2,FALSE),IF($H$6=3,VLOOKUP($D116,'Werkschema - Instelling'!$AG$3:$AH$172,2,FALSE),IF($H$6=4,VLOOKUP($D116,'Werkschema - Instelling'!$AI$3:$AJ$172,2,FALSE),IF($H$6=5,VLOOKUP($D116,'Werkschema - Instelling'!$AK$3:$AL$172,2,FALSE),VLOOKUP($D116,'Werkschema - Instelling'!$AM$3:$AN$172,2,FALSE))))))))</f>
        <v/>
      </c>
      <c r="I116" s="3" t="n"/>
    </row>
    <row r="117" ht="15" customHeight="1">
      <c r="A117" s="85" t="n">
        <v>110</v>
      </c>
      <c r="B117" s="86">
        <f>IF(LEFT(F117,9)="Taken van",1,IF(LEFT(F117,14)="Start vulshift",2,IF(LEFT(F117,8)="Levering",3,0)))</f>
        <v/>
      </c>
      <c r="C117" s="85">
        <f>E117-E116</f>
        <v/>
      </c>
      <c r="D117" s="1049">
        <f>SMALL(OFFSET('Werkschema - Instelling'!$AA$3:$AA$172,0,$H$6*2),A117)</f>
        <v/>
      </c>
      <c r="E117" s="1054">
        <f>IFERROR(IF(D117-D116&lt;0.0001,"",$D117-VLOOKUP($F117,'Werkschema - Instelling'!$A$3:$Z$172,26,FALSE)),1)</f>
        <v/>
      </c>
      <c r="F117" s="15">
        <f>IF(D117&gt;0.958333333,"",IF($H$6=0, VLOOKUP($D117,'Werkschema - Instelling'!$AA$3:$AO$172,15,FALSE),IF($H$6=1,VLOOKUP($D117,'Werkschema - Instelling'!$AC$3:$AO$172,13,FALSE),IF($H$6=2,VLOOKUP($D117,'Werkschema - Instelling'!$AE$3:$AO$172,11,FALSE),IF($H$6=3,VLOOKUP($D117,'Werkschema - Instelling'!$AG$3:$AO$172,9,FALSE),IF($H$6=4,VLOOKUP($D117,'Werkschema - Instelling'!$AI$3:$AO$172,7,FALSE),IF($H$6=5,VLOOKUP($D117,'Werkschema - Instelling'!$AK$3:$AO$172,5,FALSE),VLOOKUP($D117,'Werkschema - Instelling'!$AM$3:$AO$172,3,FALSE))))))))</f>
        <v/>
      </c>
      <c r="G117" s="16">
        <f>IF(D117&gt;0.958333333,"", IF($H$6=0, VLOOKUP($D117,'Werkschema - Instelling'!$AA$3:$AP$172,16,FALSE),IF($H$6=1,VLOOKUP($D117,'Werkschema - Instelling'!$AC$3:$AP$172,14,FALSE),IF($H$6=2,VLOOKUP($D117,'Werkschema - Instelling'!$AE$3:$AP$172,12,FALSE),IF($H$6=3,VLOOKUP($D117,'Werkschema - Instelling'!$AG$3:$AP$172,10,FALSE),IF($H$6=4,VLOOKUP($D117,'Werkschema - Instelling'!$AI$3:$AP$172,8,FALSE),IF($H$6=5,VLOOKUP($D117,'Werkschema - Instelling'!$AK$3:$AP$172,6,FALSE),VLOOKUP($D117,'Werkschema - Instelling'!$AM$3:$AP$172,4,FALSE))))))))</f>
        <v/>
      </c>
      <c r="H117" s="62">
        <f>IF($D117&gt;0.985333333,"", IF($H$6=0, VLOOKUP($D117,'Werkschema - Instelling'!$AA$3:$AB$172,2,FALSE),IF($H$6=1,VLOOKUP($D117,'Werkschema - Instelling'!$AC$3:$AD$172,2,FALSE),IF($H$6=2,VLOOKUP($D117,'Werkschema - Instelling'!$AE$3:$AF$172,2,FALSE),IF($H$6=3,VLOOKUP($D117,'Werkschema - Instelling'!$AG$3:$AH$172,2,FALSE),IF($H$6=4,VLOOKUP($D117,'Werkschema - Instelling'!$AI$3:$AJ$172,2,FALSE),IF($H$6=5,VLOOKUP($D117,'Werkschema - Instelling'!$AK$3:$AL$172,2,FALSE),VLOOKUP($D117,'Werkschema - Instelling'!$AM$3:$AN$172,2,FALSE))))))))</f>
        <v/>
      </c>
      <c r="I117" s="3" t="n"/>
    </row>
    <row r="118" ht="15" customHeight="1">
      <c r="A118" s="85" t="n">
        <v>111</v>
      </c>
      <c r="B118" s="86">
        <f>IF(LEFT(F118,9)="Taken van",1,IF(LEFT(F118,14)="Start vulshift",2,IF(LEFT(F118,8)="Levering",3,0)))</f>
        <v/>
      </c>
      <c r="C118" s="85">
        <f>E118-E117</f>
        <v/>
      </c>
      <c r="D118" s="1049">
        <f>SMALL(OFFSET('Werkschema - Instelling'!$AA$3:$AA$172,0,$H$6*2),A118)</f>
        <v/>
      </c>
      <c r="E118" s="1054">
        <f>IFERROR(IF(D118-D117&lt;0.0001,"",$D118-VLOOKUP($F118,'Werkschema - Instelling'!$A$3:$Z$172,26,FALSE)),1)</f>
        <v/>
      </c>
      <c r="F118" s="15">
        <f>IF(D118&gt;0.958333333,"",IF($H$6=0, VLOOKUP($D118,'Werkschema - Instelling'!$AA$3:$AO$172,15,FALSE),IF($H$6=1,VLOOKUP($D118,'Werkschema - Instelling'!$AC$3:$AO$172,13,FALSE),IF($H$6=2,VLOOKUP($D118,'Werkschema - Instelling'!$AE$3:$AO$172,11,FALSE),IF($H$6=3,VLOOKUP($D118,'Werkschema - Instelling'!$AG$3:$AO$172,9,FALSE),IF($H$6=4,VLOOKUP($D118,'Werkschema - Instelling'!$AI$3:$AO$172,7,FALSE),IF($H$6=5,VLOOKUP($D118,'Werkschema - Instelling'!$AK$3:$AO$172,5,FALSE),VLOOKUP($D118,'Werkschema - Instelling'!$AM$3:$AO$172,3,FALSE))))))))</f>
        <v/>
      </c>
      <c r="G118" s="16">
        <f>IF(D118&gt;0.958333333,"", IF($H$6=0, VLOOKUP($D118,'Werkschema - Instelling'!$AA$3:$AP$172,16,FALSE),IF($H$6=1,VLOOKUP($D118,'Werkschema - Instelling'!$AC$3:$AP$172,14,FALSE),IF($H$6=2,VLOOKUP($D118,'Werkschema - Instelling'!$AE$3:$AP$172,12,FALSE),IF($H$6=3,VLOOKUP($D118,'Werkschema - Instelling'!$AG$3:$AP$172,10,FALSE),IF($H$6=4,VLOOKUP($D118,'Werkschema - Instelling'!$AI$3:$AP$172,8,FALSE),IF($H$6=5,VLOOKUP($D118,'Werkschema - Instelling'!$AK$3:$AP$172,6,FALSE),VLOOKUP($D118,'Werkschema - Instelling'!$AM$3:$AP$172,4,FALSE))))))))</f>
        <v/>
      </c>
      <c r="H118" s="62">
        <f>IF($D118&gt;0.985333333,"", IF($H$6=0, VLOOKUP($D118,'Werkschema - Instelling'!$AA$3:$AB$172,2,FALSE),IF($H$6=1,VLOOKUP($D118,'Werkschema - Instelling'!$AC$3:$AD$172,2,FALSE),IF($H$6=2,VLOOKUP($D118,'Werkschema - Instelling'!$AE$3:$AF$172,2,FALSE),IF($H$6=3,VLOOKUP($D118,'Werkschema - Instelling'!$AG$3:$AH$172,2,FALSE),IF($H$6=4,VLOOKUP($D118,'Werkschema - Instelling'!$AI$3:$AJ$172,2,FALSE),IF($H$6=5,VLOOKUP($D118,'Werkschema - Instelling'!$AK$3:$AL$172,2,FALSE),VLOOKUP($D118,'Werkschema - Instelling'!$AM$3:$AN$172,2,FALSE))))))))</f>
        <v/>
      </c>
      <c r="I118" s="3" t="n"/>
    </row>
    <row r="119" ht="15" customHeight="1">
      <c r="A119" s="85" t="n">
        <v>112</v>
      </c>
      <c r="B119" s="86">
        <f>IF(LEFT(F119,9)="Taken van",1,IF(LEFT(F119,14)="Start vulshift",2,IF(LEFT(F119,8)="Levering",3,0)))</f>
        <v/>
      </c>
      <c r="C119" s="85">
        <f>E119-E118</f>
        <v/>
      </c>
      <c r="D119" s="1049">
        <f>SMALL(OFFSET('Werkschema - Instelling'!$AA$3:$AA$172,0,$H$6*2),A119)</f>
        <v/>
      </c>
      <c r="E119" s="1054">
        <f>IFERROR(IF(D119-D118&lt;0.0001,"",$D119-VLOOKUP($F119,'Werkschema - Instelling'!$A$3:$Z$172,26,FALSE)),1)</f>
        <v/>
      </c>
      <c r="F119" s="15">
        <f>IF(D119&gt;0.958333333,"",IF($H$6=0, VLOOKUP($D119,'Werkschema - Instelling'!$AA$3:$AO$172,15,FALSE),IF($H$6=1,VLOOKUP($D119,'Werkschema - Instelling'!$AC$3:$AO$172,13,FALSE),IF($H$6=2,VLOOKUP($D119,'Werkschema - Instelling'!$AE$3:$AO$172,11,FALSE),IF($H$6=3,VLOOKUP($D119,'Werkschema - Instelling'!$AG$3:$AO$172,9,FALSE),IF($H$6=4,VLOOKUP($D119,'Werkschema - Instelling'!$AI$3:$AO$172,7,FALSE),IF($H$6=5,VLOOKUP($D119,'Werkschema - Instelling'!$AK$3:$AO$172,5,FALSE),VLOOKUP($D119,'Werkschema - Instelling'!$AM$3:$AO$172,3,FALSE))))))))</f>
        <v/>
      </c>
      <c r="G119" s="16">
        <f>IF(D119&gt;0.958333333,"", IF($H$6=0, VLOOKUP($D119,'Werkschema - Instelling'!$AA$3:$AP$172,16,FALSE),IF($H$6=1,VLOOKUP($D119,'Werkschema - Instelling'!$AC$3:$AP$172,14,FALSE),IF($H$6=2,VLOOKUP($D119,'Werkschema - Instelling'!$AE$3:$AP$172,12,FALSE),IF($H$6=3,VLOOKUP($D119,'Werkschema - Instelling'!$AG$3:$AP$172,10,FALSE),IF($H$6=4,VLOOKUP($D119,'Werkschema - Instelling'!$AI$3:$AP$172,8,FALSE),IF($H$6=5,VLOOKUP($D119,'Werkschema - Instelling'!$AK$3:$AP$172,6,FALSE),VLOOKUP($D119,'Werkschema - Instelling'!$AM$3:$AP$172,4,FALSE))))))))</f>
        <v/>
      </c>
      <c r="H119" s="62">
        <f>IF($D119&gt;0.985333333,"", IF($H$6=0, VLOOKUP($D119,'Werkschema - Instelling'!$AA$3:$AB$172,2,FALSE),IF($H$6=1,VLOOKUP($D119,'Werkschema - Instelling'!$AC$3:$AD$172,2,FALSE),IF($H$6=2,VLOOKUP($D119,'Werkschema - Instelling'!$AE$3:$AF$172,2,FALSE),IF($H$6=3,VLOOKUP($D119,'Werkschema - Instelling'!$AG$3:$AH$172,2,FALSE),IF($H$6=4,VLOOKUP($D119,'Werkschema - Instelling'!$AI$3:$AJ$172,2,FALSE),IF($H$6=5,VLOOKUP($D119,'Werkschema - Instelling'!$AK$3:$AL$172,2,FALSE),VLOOKUP($D119,'Werkschema - Instelling'!$AM$3:$AN$172,2,FALSE))))))))</f>
        <v/>
      </c>
      <c r="I119" s="3" t="n"/>
    </row>
    <row r="120" ht="15" customHeight="1">
      <c r="A120" s="85" t="n">
        <v>113</v>
      </c>
      <c r="B120" s="86">
        <f>IF(LEFT(F120,9)="Taken van",1,IF(LEFT(F120,14)="Start vulshift",2,IF(LEFT(F120,8)="Levering",3,0)))</f>
        <v/>
      </c>
      <c r="C120" s="85">
        <f>E120-E119</f>
        <v/>
      </c>
      <c r="D120" s="1049">
        <f>SMALL(OFFSET('Werkschema - Instelling'!$AA$3:$AA$172,0,$H$6*2),A120)</f>
        <v/>
      </c>
      <c r="E120" s="1054">
        <f>IFERROR(IF(D120-D119&lt;0.0001,"",$D120-VLOOKUP($F120,'Werkschema - Instelling'!$A$3:$Z$172,26,FALSE)),1)</f>
        <v/>
      </c>
      <c r="F120" s="15">
        <f>IF(D120&gt;0.958333333,"",IF($H$6=0, VLOOKUP($D120,'Werkschema - Instelling'!$AA$3:$AO$172,15,FALSE),IF($H$6=1,VLOOKUP($D120,'Werkschema - Instelling'!$AC$3:$AO$172,13,FALSE),IF($H$6=2,VLOOKUP($D120,'Werkschema - Instelling'!$AE$3:$AO$172,11,FALSE),IF($H$6=3,VLOOKUP($D120,'Werkschema - Instelling'!$AG$3:$AO$172,9,FALSE),IF($H$6=4,VLOOKUP($D120,'Werkschema - Instelling'!$AI$3:$AO$172,7,FALSE),IF($H$6=5,VLOOKUP($D120,'Werkschema - Instelling'!$AK$3:$AO$172,5,FALSE),VLOOKUP($D120,'Werkschema - Instelling'!$AM$3:$AO$172,3,FALSE))))))))</f>
        <v/>
      </c>
      <c r="G120" s="16">
        <f>IF(D120&gt;0.958333333,"", IF($H$6=0, VLOOKUP($D120,'Werkschema - Instelling'!$AA$3:$AP$172,16,FALSE),IF($H$6=1,VLOOKUP($D120,'Werkschema - Instelling'!$AC$3:$AP$172,14,FALSE),IF($H$6=2,VLOOKUP($D120,'Werkschema - Instelling'!$AE$3:$AP$172,12,FALSE),IF($H$6=3,VLOOKUP($D120,'Werkschema - Instelling'!$AG$3:$AP$172,10,FALSE),IF($H$6=4,VLOOKUP($D120,'Werkschema - Instelling'!$AI$3:$AP$172,8,FALSE),IF($H$6=5,VLOOKUP($D120,'Werkschema - Instelling'!$AK$3:$AP$172,6,FALSE),VLOOKUP($D120,'Werkschema - Instelling'!$AM$3:$AP$172,4,FALSE))))))))</f>
        <v/>
      </c>
      <c r="H120" s="62">
        <f>IF($D120&gt;0.985333333,"", IF($H$6=0, VLOOKUP($D120,'Werkschema - Instelling'!$AA$3:$AB$172,2,FALSE),IF($H$6=1,VLOOKUP($D120,'Werkschema - Instelling'!$AC$3:$AD$172,2,FALSE),IF($H$6=2,VLOOKUP($D120,'Werkschema - Instelling'!$AE$3:$AF$172,2,FALSE),IF($H$6=3,VLOOKUP($D120,'Werkschema - Instelling'!$AG$3:$AH$172,2,FALSE),IF($H$6=4,VLOOKUP($D120,'Werkschema - Instelling'!$AI$3:$AJ$172,2,FALSE),IF($H$6=5,VLOOKUP($D120,'Werkschema - Instelling'!$AK$3:$AL$172,2,FALSE),VLOOKUP($D120,'Werkschema - Instelling'!$AM$3:$AN$172,2,FALSE))))))))</f>
        <v/>
      </c>
      <c r="I120" s="3" t="n"/>
    </row>
    <row r="121" ht="15" customHeight="1">
      <c r="A121" s="85" t="n">
        <v>114</v>
      </c>
      <c r="B121" s="86">
        <f>IF(LEFT(F121,9)="Taken van",1,IF(LEFT(F121,14)="Start vulshift",2,IF(LEFT(F121,8)="Levering",3,0)))</f>
        <v/>
      </c>
      <c r="C121" s="85">
        <f>E121-E120</f>
        <v/>
      </c>
      <c r="D121" s="1049">
        <f>SMALL(OFFSET('Werkschema - Instelling'!$AA$3:$AA$172,0,$H$6*2),A121)</f>
        <v/>
      </c>
      <c r="E121" s="1054">
        <f>IFERROR(IF(D121-D120&lt;0.0001,"",$D121-VLOOKUP($F121,'Werkschema - Instelling'!$A$3:$Z$172,26,FALSE)),1)</f>
        <v/>
      </c>
      <c r="F121" s="15">
        <f>IF(D121&gt;0.958333333,"",IF($H$6=0, VLOOKUP($D121,'Werkschema - Instelling'!$AA$3:$AO$172,15,FALSE),IF($H$6=1,VLOOKUP($D121,'Werkschema - Instelling'!$AC$3:$AO$172,13,FALSE),IF($H$6=2,VLOOKUP($D121,'Werkschema - Instelling'!$AE$3:$AO$172,11,FALSE),IF($H$6=3,VLOOKUP($D121,'Werkschema - Instelling'!$AG$3:$AO$172,9,FALSE),IF($H$6=4,VLOOKUP($D121,'Werkschema - Instelling'!$AI$3:$AO$172,7,FALSE),IF($H$6=5,VLOOKUP($D121,'Werkschema - Instelling'!$AK$3:$AO$172,5,FALSE),VLOOKUP($D121,'Werkschema - Instelling'!$AM$3:$AO$172,3,FALSE))))))))</f>
        <v/>
      </c>
      <c r="G121" s="16">
        <f>IF(D121&gt;0.958333333,"", IF($H$6=0, VLOOKUP($D121,'Werkschema - Instelling'!$AA$3:$AP$172,16,FALSE),IF($H$6=1,VLOOKUP($D121,'Werkschema - Instelling'!$AC$3:$AP$172,14,FALSE),IF($H$6=2,VLOOKUP($D121,'Werkschema - Instelling'!$AE$3:$AP$172,12,FALSE),IF($H$6=3,VLOOKUP($D121,'Werkschema - Instelling'!$AG$3:$AP$172,10,FALSE),IF($H$6=4,VLOOKUP($D121,'Werkschema - Instelling'!$AI$3:$AP$172,8,FALSE),IF($H$6=5,VLOOKUP($D121,'Werkschema - Instelling'!$AK$3:$AP$172,6,FALSE),VLOOKUP($D121,'Werkschema - Instelling'!$AM$3:$AP$172,4,FALSE))))))))</f>
        <v/>
      </c>
      <c r="H121" s="62">
        <f>IF($D121&gt;0.985333333,"", IF($H$6=0, VLOOKUP($D121,'Werkschema - Instelling'!$AA$3:$AB$172,2,FALSE),IF($H$6=1,VLOOKUP($D121,'Werkschema - Instelling'!$AC$3:$AD$172,2,FALSE),IF($H$6=2,VLOOKUP($D121,'Werkschema - Instelling'!$AE$3:$AF$172,2,FALSE),IF($H$6=3,VLOOKUP($D121,'Werkschema - Instelling'!$AG$3:$AH$172,2,FALSE),IF($H$6=4,VLOOKUP($D121,'Werkschema - Instelling'!$AI$3:$AJ$172,2,FALSE),IF($H$6=5,VLOOKUP($D121,'Werkschema - Instelling'!$AK$3:$AL$172,2,FALSE),VLOOKUP($D121,'Werkschema - Instelling'!$AM$3:$AN$172,2,FALSE))))))))</f>
        <v/>
      </c>
      <c r="I121" s="3" t="n"/>
    </row>
    <row r="122" ht="15" customHeight="1">
      <c r="A122" s="85" t="n">
        <v>115</v>
      </c>
      <c r="B122" s="86">
        <f>IF(LEFT(F122,9)="Taken van",1,IF(LEFT(F122,14)="Start vulshift",2,IF(LEFT(F122,8)="Levering",3,0)))</f>
        <v/>
      </c>
      <c r="C122" s="85">
        <f>E122-E121</f>
        <v/>
      </c>
      <c r="D122" s="1049">
        <f>SMALL(OFFSET('Werkschema - Instelling'!$AA$3:$AA$172,0,$H$6*2),A122)</f>
        <v/>
      </c>
      <c r="E122" s="1054">
        <f>IFERROR(IF(D122-D121&lt;0.0001,"",$D122-VLOOKUP($F122,'Werkschema - Instelling'!$A$3:$Z$172,26,FALSE)),1)</f>
        <v/>
      </c>
      <c r="F122" s="15">
        <f>IF(D122&gt;0.958333333,"",IF($H$6=0, VLOOKUP($D122,'Werkschema - Instelling'!$AA$3:$AO$172,15,FALSE),IF($H$6=1,VLOOKUP($D122,'Werkschema - Instelling'!$AC$3:$AO$172,13,FALSE),IF($H$6=2,VLOOKUP($D122,'Werkschema - Instelling'!$AE$3:$AO$172,11,FALSE),IF($H$6=3,VLOOKUP($D122,'Werkschema - Instelling'!$AG$3:$AO$172,9,FALSE),IF($H$6=4,VLOOKUP($D122,'Werkschema - Instelling'!$AI$3:$AO$172,7,FALSE),IF($H$6=5,VLOOKUP($D122,'Werkschema - Instelling'!$AK$3:$AO$172,5,FALSE),VLOOKUP($D122,'Werkschema - Instelling'!$AM$3:$AO$172,3,FALSE))))))))</f>
        <v/>
      </c>
      <c r="G122" s="16">
        <f>IF(D122&gt;0.958333333,"", IF($H$6=0, VLOOKUP($D122,'Werkschema - Instelling'!$AA$3:$AP$172,16,FALSE),IF($H$6=1,VLOOKUP($D122,'Werkschema - Instelling'!$AC$3:$AP$172,14,FALSE),IF($H$6=2,VLOOKUP($D122,'Werkschema - Instelling'!$AE$3:$AP$172,12,FALSE),IF($H$6=3,VLOOKUP($D122,'Werkschema - Instelling'!$AG$3:$AP$172,10,FALSE),IF($H$6=4,VLOOKUP($D122,'Werkschema - Instelling'!$AI$3:$AP$172,8,FALSE),IF($H$6=5,VLOOKUP($D122,'Werkschema - Instelling'!$AK$3:$AP$172,6,FALSE),VLOOKUP($D122,'Werkschema - Instelling'!$AM$3:$AP$172,4,FALSE))))))))</f>
        <v/>
      </c>
      <c r="H122" s="62">
        <f>IF($D122&gt;0.985333333,"", IF($H$6=0, VLOOKUP($D122,'Werkschema - Instelling'!$AA$3:$AB$172,2,FALSE),IF($H$6=1,VLOOKUP($D122,'Werkschema - Instelling'!$AC$3:$AD$172,2,FALSE),IF($H$6=2,VLOOKUP($D122,'Werkschema - Instelling'!$AE$3:$AF$172,2,FALSE),IF($H$6=3,VLOOKUP($D122,'Werkschema - Instelling'!$AG$3:$AH$172,2,FALSE),IF($H$6=4,VLOOKUP($D122,'Werkschema - Instelling'!$AI$3:$AJ$172,2,FALSE),IF($H$6=5,VLOOKUP($D122,'Werkschema - Instelling'!$AK$3:$AL$172,2,FALSE),VLOOKUP($D122,'Werkschema - Instelling'!$AM$3:$AN$172,2,FALSE))))))))</f>
        <v/>
      </c>
      <c r="I122" s="3" t="n"/>
    </row>
    <row r="123" ht="15" customHeight="1">
      <c r="A123" s="85" t="n">
        <v>116</v>
      </c>
      <c r="B123" s="86">
        <f>IF(LEFT(F123,9)="Taken van",1,IF(LEFT(F123,14)="Start vulshift",2,IF(LEFT(F123,8)="Levering",3,0)))</f>
        <v/>
      </c>
      <c r="C123" s="85">
        <f>E123-E122</f>
        <v/>
      </c>
      <c r="D123" s="1049">
        <f>SMALL(OFFSET('Werkschema - Instelling'!$AA$3:$AA$172,0,$H$6*2),A123)</f>
        <v/>
      </c>
      <c r="E123" s="1054">
        <f>IFERROR(IF(D123-D122&lt;0.0001,"",$D123-VLOOKUP($F123,'Werkschema - Instelling'!$A$3:$Z$172,26,FALSE)),1)</f>
        <v/>
      </c>
      <c r="F123" s="15">
        <f>IF(D123&gt;0.958333333,"",IF($H$6=0, VLOOKUP($D123,'Werkschema - Instelling'!$AA$3:$AO$172,15,FALSE),IF($H$6=1,VLOOKUP($D123,'Werkschema - Instelling'!$AC$3:$AO$172,13,FALSE),IF($H$6=2,VLOOKUP($D123,'Werkschema - Instelling'!$AE$3:$AO$172,11,FALSE),IF($H$6=3,VLOOKUP($D123,'Werkschema - Instelling'!$AG$3:$AO$172,9,FALSE),IF($H$6=4,VLOOKUP($D123,'Werkschema - Instelling'!$AI$3:$AO$172,7,FALSE),IF($H$6=5,VLOOKUP($D123,'Werkschema - Instelling'!$AK$3:$AO$172,5,FALSE),VLOOKUP($D123,'Werkschema - Instelling'!$AM$3:$AO$172,3,FALSE))))))))</f>
        <v/>
      </c>
      <c r="G123" s="16">
        <f>IF(D123&gt;0.958333333,"", IF($H$6=0, VLOOKUP($D123,'Werkschema - Instelling'!$AA$3:$AP$172,16,FALSE),IF($H$6=1,VLOOKUP($D123,'Werkschema - Instelling'!$AC$3:$AP$172,14,FALSE),IF($H$6=2,VLOOKUP($D123,'Werkschema - Instelling'!$AE$3:$AP$172,12,FALSE),IF($H$6=3,VLOOKUP($D123,'Werkschema - Instelling'!$AG$3:$AP$172,10,FALSE),IF($H$6=4,VLOOKUP($D123,'Werkschema - Instelling'!$AI$3:$AP$172,8,FALSE),IF($H$6=5,VLOOKUP($D123,'Werkschema - Instelling'!$AK$3:$AP$172,6,FALSE),VLOOKUP($D123,'Werkschema - Instelling'!$AM$3:$AP$172,4,FALSE))))))))</f>
        <v/>
      </c>
      <c r="H123" s="62">
        <f>IF($D123&gt;0.985333333,"", IF($H$6=0, VLOOKUP($D123,'Werkschema - Instelling'!$AA$3:$AB$172,2,FALSE),IF($H$6=1,VLOOKUP($D123,'Werkschema - Instelling'!$AC$3:$AD$172,2,FALSE),IF($H$6=2,VLOOKUP($D123,'Werkschema - Instelling'!$AE$3:$AF$172,2,FALSE),IF($H$6=3,VLOOKUP($D123,'Werkschema - Instelling'!$AG$3:$AH$172,2,FALSE),IF($H$6=4,VLOOKUP($D123,'Werkschema - Instelling'!$AI$3:$AJ$172,2,FALSE),IF($H$6=5,VLOOKUP($D123,'Werkschema - Instelling'!$AK$3:$AL$172,2,FALSE),VLOOKUP($D123,'Werkschema - Instelling'!$AM$3:$AN$172,2,FALSE))))))))</f>
        <v/>
      </c>
      <c r="I123" s="3" t="n"/>
    </row>
    <row r="124" ht="15" customHeight="1">
      <c r="A124" s="85" t="n">
        <v>117</v>
      </c>
      <c r="B124" s="86">
        <f>IF(LEFT(F124,9)="Taken van",1,IF(LEFT(F124,14)="Start vulshift",2,IF(LEFT(F124,8)="Levering",3,0)))</f>
        <v/>
      </c>
      <c r="C124" s="85">
        <f>E124-E123</f>
        <v/>
      </c>
      <c r="D124" s="1049">
        <f>SMALL(OFFSET('Werkschema - Instelling'!$AA$3:$AA$172,0,$H$6*2),A124)</f>
        <v/>
      </c>
      <c r="E124" s="1054">
        <f>IFERROR(IF(D124-D123&lt;0.0001,"",$D124-VLOOKUP($F124,'Werkschema - Instelling'!$A$3:$Z$172,26,FALSE)),1)</f>
        <v/>
      </c>
      <c r="F124" s="15">
        <f>IF(D124&gt;0.958333333,"",IF($H$6=0, VLOOKUP($D124,'Werkschema - Instelling'!$AA$3:$AO$172,15,FALSE),IF($H$6=1,VLOOKUP($D124,'Werkschema - Instelling'!$AC$3:$AO$172,13,FALSE),IF($H$6=2,VLOOKUP($D124,'Werkschema - Instelling'!$AE$3:$AO$172,11,FALSE),IF($H$6=3,VLOOKUP($D124,'Werkschema - Instelling'!$AG$3:$AO$172,9,FALSE),IF($H$6=4,VLOOKUP($D124,'Werkschema - Instelling'!$AI$3:$AO$172,7,FALSE),IF($H$6=5,VLOOKUP($D124,'Werkschema - Instelling'!$AK$3:$AO$172,5,FALSE),VLOOKUP($D124,'Werkschema - Instelling'!$AM$3:$AO$172,3,FALSE))))))))</f>
        <v/>
      </c>
      <c r="G124" s="16">
        <f>IF(D124&gt;0.958333333,"", IF($H$6=0, VLOOKUP($D124,'Werkschema - Instelling'!$AA$3:$AP$172,16,FALSE),IF($H$6=1,VLOOKUP($D124,'Werkschema - Instelling'!$AC$3:$AP$172,14,FALSE),IF($H$6=2,VLOOKUP($D124,'Werkschema - Instelling'!$AE$3:$AP$172,12,FALSE),IF($H$6=3,VLOOKUP($D124,'Werkschema - Instelling'!$AG$3:$AP$172,10,FALSE),IF($H$6=4,VLOOKUP($D124,'Werkschema - Instelling'!$AI$3:$AP$172,8,FALSE),IF($H$6=5,VLOOKUP($D124,'Werkschema - Instelling'!$AK$3:$AP$172,6,FALSE),VLOOKUP($D124,'Werkschema - Instelling'!$AM$3:$AP$172,4,FALSE))))))))</f>
        <v/>
      </c>
      <c r="H124" s="62">
        <f>IF($D124&gt;0.985333333,"", IF($H$6=0, VLOOKUP($D124,'Werkschema - Instelling'!$AA$3:$AB$172,2,FALSE),IF($H$6=1,VLOOKUP($D124,'Werkschema - Instelling'!$AC$3:$AD$172,2,FALSE),IF($H$6=2,VLOOKUP($D124,'Werkschema - Instelling'!$AE$3:$AF$172,2,FALSE),IF($H$6=3,VLOOKUP($D124,'Werkschema - Instelling'!$AG$3:$AH$172,2,FALSE),IF($H$6=4,VLOOKUP($D124,'Werkschema - Instelling'!$AI$3:$AJ$172,2,FALSE),IF($H$6=5,VLOOKUP($D124,'Werkschema - Instelling'!$AK$3:$AL$172,2,FALSE),VLOOKUP($D124,'Werkschema - Instelling'!$AM$3:$AN$172,2,FALSE))))))))</f>
        <v/>
      </c>
      <c r="I124" s="3" t="n"/>
    </row>
    <row r="125" ht="15" customHeight="1">
      <c r="A125" s="85" t="n">
        <v>118</v>
      </c>
      <c r="B125" s="86">
        <f>IF(LEFT(F125,9)="Taken van",1,IF(LEFT(F125,14)="Start vulshift",2,IF(LEFT(F125,8)="Levering",3,0)))</f>
        <v/>
      </c>
      <c r="C125" s="85">
        <f>E125-E124</f>
        <v/>
      </c>
      <c r="D125" s="1049">
        <f>SMALL(OFFSET('Werkschema - Instelling'!$AA$3:$AA$172,0,$H$6*2),A125)</f>
        <v/>
      </c>
      <c r="E125" s="1054">
        <f>IFERROR(IF(D125-D124&lt;0.0001,"",$D125-VLOOKUP($F125,'Werkschema - Instelling'!$A$3:$Z$172,26,FALSE)),1)</f>
        <v/>
      </c>
      <c r="F125" s="15">
        <f>IF(D125&gt;0.958333333,"",IF($H$6=0, VLOOKUP($D125,'Werkschema - Instelling'!$AA$3:$AO$172,15,FALSE),IF($H$6=1,VLOOKUP($D125,'Werkschema - Instelling'!$AC$3:$AO$172,13,FALSE),IF($H$6=2,VLOOKUP($D125,'Werkschema - Instelling'!$AE$3:$AO$172,11,FALSE),IF($H$6=3,VLOOKUP($D125,'Werkschema - Instelling'!$AG$3:$AO$172,9,FALSE),IF($H$6=4,VLOOKUP($D125,'Werkschema - Instelling'!$AI$3:$AO$172,7,FALSE),IF($H$6=5,VLOOKUP($D125,'Werkschema - Instelling'!$AK$3:$AO$172,5,FALSE),VLOOKUP($D125,'Werkschema - Instelling'!$AM$3:$AO$172,3,FALSE))))))))</f>
        <v/>
      </c>
      <c r="G125" s="16">
        <f>IF(D125&gt;0.958333333,"", IF($H$6=0, VLOOKUP($D125,'Werkschema - Instelling'!$AA$3:$AP$172,16,FALSE),IF($H$6=1,VLOOKUP($D125,'Werkschema - Instelling'!$AC$3:$AP$172,14,FALSE),IF($H$6=2,VLOOKUP($D125,'Werkschema - Instelling'!$AE$3:$AP$172,12,FALSE),IF($H$6=3,VLOOKUP($D125,'Werkschema - Instelling'!$AG$3:$AP$172,10,FALSE),IF($H$6=4,VLOOKUP($D125,'Werkschema - Instelling'!$AI$3:$AP$172,8,FALSE),IF($H$6=5,VLOOKUP($D125,'Werkschema - Instelling'!$AK$3:$AP$172,6,FALSE),VLOOKUP($D125,'Werkschema - Instelling'!$AM$3:$AP$172,4,FALSE))))))))</f>
        <v/>
      </c>
      <c r="H125" s="62">
        <f>IF($D125&gt;0.985333333,"", IF($H$6=0, VLOOKUP($D125,'Werkschema - Instelling'!$AA$3:$AB$172,2,FALSE),IF($H$6=1,VLOOKUP($D125,'Werkschema - Instelling'!$AC$3:$AD$172,2,FALSE),IF($H$6=2,VLOOKUP($D125,'Werkschema - Instelling'!$AE$3:$AF$172,2,FALSE),IF($H$6=3,VLOOKUP($D125,'Werkschema - Instelling'!$AG$3:$AH$172,2,FALSE),IF($H$6=4,VLOOKUP($D125,'Werkschema - Instelling'!$AI$3:$AJ$172,2,FALSE),IF($H$6=5,VLOOKUP($D125,'Werkschema - Instelling'!$AK$3:$AL$172,2,FALSE),VLOOKUP($D125,'Werkschema - Instelling'!$AM$3:$AN$172,2,FALSE))))))))</f>
        <v/>
      </c>
      <c r="I125" s="3" t="n"/>
    </row>
    <row r="126" ht="15" customHeight="1">
      <c r="A126" s="85" t="n">
        <v>119</v>
      </c>
      <c r="B126" s="86">
        <f>IF(LEFT(F126,9)="Taken van",1,IF(LEFT(F126,14)="Start vulshift",2,IF(LEFT(F126,8)="Levering",3,0)))</f>
        <v/>
      </c>
      <c r="C126" s="85">
        <f>E126-E125</f>
        <v/>
      </c>
      <c r="D126" s="1049">
        <f>SMALL(OFFSET('Werkschema - Instelling'!$AA$3:$AA$172,0,$H$6*2),A126)</f>
        <v/>
      </c>
      <c r="E126" s="1054">
        <f>IFERROR(IF(D126-D125&lt;0.0001,"",$D126-VLOOKUP($F126,'Werkschema - Instelling'!$A$3:$Z$172,26,FALSE)),1)</f>
        <v/>
      </c>
      <c r="F126" s="15">
        <f>IF(D126&gt;0.958333333,"",IF($H$6=0, VLOOKUP($D126,'Werkschema - Instelling'!$AA$3:$AO$172,15,FALSE),IF($H$6=1,VLOOKUP($D126,'Werkschema - Instelling'!$AC$3:$AO$172,13,FALSE),IF($H$6=2,VLOOKUP($D126,'Werkschema - Instelling'!$AE$3:$AO$172,11,FALSE),IF($H$6=3,VLOOKUP($D126,'Werkschema - Instelling'!$AG$3:$AO$172,9,FALSE),IF($H$6=4,VLOOKUP($D126,'Werkschema - Instelling'!$AI$3:$AO$172,7,FALSE),IF($H$6=5,VLOOKUP($D126,'Werkschema - Instelling'!$AK$3:$AO$172,5,FALSE),VLOOKUP($D126,'Werkschema - Instelling'!$AM$3:$AO$172,3,FALSE))))))))</f>
        <v/>
      </c>
      <c r="G126" s="16">
        <f>IF(D126&gt;0.958333333,"", IF($H$6=0, VLOOKUP($D126,'Werkschema - Instelling'!$AA$3:$AP$172,16,FALSE),IF($H$6=1,VLOOKUP($D126,'Werkschema - Instelling'!$AC$3:$AP$172,14,FALSE),IF($H$6=2,VLOOKUP($D126,'Werkschema - Instelling'!$AE$3:$AP$172,12,FALSE),IF($H$6=3,VLOOKUP($D126,'Werkschema - Instelling'!$AG$3:$AP$172,10,FALSE),IF($H$6=4,VLOOKUP($D126,'Werkschema - Instelling'!$AI$3:$AP$172,8,FALSE),IF($H$6=5,VLOOKUP($D126,'Werkschema - Instelling'!$AK$3:$AP$172,6,FALSE),VLOOKUP($D126,'Werkschema - Instelling'!$AM$3:$AP$172,4,FALSE))))))))</f>
        <v/>
      </c>
      <c r="H126" s="62">
        <f>IF($D126&gt;0.985333333,"", IF($H$6=0, VLOOKUP($D126,'Werkschema - Instelling'!$AA$3:$AB$172,2,FALSE),IF($H$6=1,VLOOKUP($D126,'Werkschema - Instelling'!$AC$3:$AD$172,2,FALSE),IF($H$6=2,VLOOKUP($D126,'Werkschema - Instelling'!$AE$3:$AF$172,2,FALSE),IF($H$6=3,VLOOKUP($D126,'Werkschema - Instelling'!$AG$3:$AH$172,2,FALSE),IF($H$6=4,VLOOKUP($D126,'Werkschema - Instelling'!$AI$3:$AJ$172,2,FALSE),IF($H$6=5,VLOOKUP($D126,'Werkschema - Instelling'!$AK$3:$AL$172,2,FALSE),VLOOKUP($D126,'Werkschema - Instelling'!$AM$3:$AN$172,2,FALSE))))))))</f>
        <v/>
      </c>
      <c r="I126" s="3" t="n"/>
    </row>
    <row r="127" ht="15" customHeight="1">
      <c r="A127" s="85" t="n">
        <v>120</v>
      </c>
      <c r="B127" s="86">
        <f>IF(LEFT(F127,9)="Taken van",1,IF(LEFT(F127,14)="Start vulshift",2,IF(LEFT(F127,8)="Levering",3,0)))</f>
        <v/>
      </c>
      <c r="C127" s="85">
        <f>E127-E126</f>
        <v/>
      </c>
      <c r="D127" s="1049">
        <f>SMALL(OFFSET('Werkschema - Instelling'!$AA$3:$AA$172,0,$H$6*2),A127)</f>
        <v/>
      </c>
      <c r="E127" s="1054">
        <f>IFERROR(IF(D127-D126&lt;0.0001,"",$D127-VLOOKUP($F127,'Werkschema - Instelling'!$A$3:$Z$172,26,FALSE)),1)</f>
        <v/>
      </c>
      <c r="F127" s="15">
        <f>IF(D127&gt;0.958333333,"",IF($H$6=0, VLOOKUP($D127,'Werkschema - Instelling'!$AA$3:$AO$172,15,FALSE),IF($H$6=1,VLOOKUP($D127,'Werkschema - Instelling'!$AC$3:$AO$172,13,FALSE),IF($H$6=2,VLOOKUP($D127,'Werkschema - Instelling'!$AE$3:$AO$172,11,FALSE),IF($H$6=3,VLOOKUP($D127,'Werkschema - Instelling'!$AG$3:$AO$172,9,FALSE),IF($H$6=4,VLOOKUP($D127,'Werkschema - Instelling'!$AI$3:$AO$172,7,FALSE),IF($H$6=5,VLOOKUP($D127,'Werkschema - Instelling'!$AK$3:$AO$172,5,FALSE),VLOOKUP($D127,'Werkschema - Instelling'!$AM$3:$AO$172,3,FALSE))))))))</f>
        <v/>
      </c>
      <c r="G127" s="16">
        <f>IF(D127&gt;0.958333333,"", IF($H$6=0, VLOOKUP($D127,'Werkschema - Instelling'!$AA$3:$AP$172,16,FALSE),IF($H$6=1,VLOOKUP($D127,'Werkschema - Instelling'!$AC$3:$AP$172,14,FALSE),IF($H$6=2,VLOOKUP($D127,'Werkschema - Instelling'!$AE$3:$AP$172,12,FALSE),IF($H$6=3,VLOOKUP($D127,'Werkschema - Instelling'!$AG$3:$AP$172,10,FALSE),IF($H$6=4,VLOOKUP($D127,'Werkschema - Instelling'!$AI$3:$AP$172,8,FALSE),IF($H$6=5,VLOOKUP($D127,'Werkschema - Instelling'!$AK$3:$AP$172,6,FALSE),VLOOKUP($D127,'Werkschema - Instelling'!$AM$3:$AP$172,4,FALSE))))))))</f>
        <v/>
      </c>
      <c r="H127" s="62">
        <f>IF($D127&gt;0.985333333,"", IF($H$6=0, VLOOKUP($D127,'Werkschema - Instelling'!$AA$3:$AB$172,2,FALSE),IF($H$6=1,VLOOKUP($D127,'Werkschema - Instelling'!$AC$3:$AD$172,2,FALSE),IF($H$6=2,VLOOKUP($D127,'Werkschema - Instelling'!$AE$3:$AF$172,2,FALSE),IF($H$6=3,VLOOKUP($D127,'Werkschema - Instelling'!$AG$3:$AH$172,2,FALSE),IF($H$6=4,VLOOKUP($D127,'Werkschema - Instelling'!$AI$3:$AJ$172,2,FALSE),IF($H$6=5,VLOOKUP($D127,'Werkschema - Instelling'!$AK$3:$AL$172,2,FALSE),VLOOKUP($D127,'Werkschema - Instelling'!$AM$3:$AN$172,2,FALSE))))))))</f>
        <v/>
      </c>
      <c r="I127" s="3" t="n"/>
    </row>
    <row r="128" ht="15" customHeight="1">
      <c r="A128" s="85" t="n">
        <v>121</v>
      </c>
      <c r="B128" s="86">
        <f>IF(LEFT(F128,9)="Taken van",1,IF(LEFT(F128,14)="Start vulshift",2,IF(LEFT(F128,8)="Levering",3,0)))</f>
        <v/>
      </c>
      <c r="C128" s="85">
        <f>E128-E127</f>
        <v/>
      </c>
      <c r="D128" s="1049">
        <f>SMALL(OFFSET('Werkschema - Instelling'!$AA$3:$AA$172,0,$H$6*2),A128)</f>
        <v/>
      </c>
      <c r="E128" s="1054">
        <f>IFERROR(IF(D128-D127&lt;0.0001,"",$D128-VLOOKUP($F128,'Werkschema - Instelling'!$A$3:$Z$172,26,FALSE)),1)</f>
        <v/>
      </c>
      <c r="F128" s="15">
        <f>IF(D128&gt;0.958333333,"",IF($H$6=0, VLOOKUP($D128,'Werkschema - Instelling'!$AA$3:$AO$172,15,FALSE),IF($H$6=1,VLOOKUP($D128,'Werkschema - Instelling'!$AC$3:$AO$172,13,FALSE),IF($H$6=2,VLOOKUP($D128,'Werkschema - Instelling'!$AE$3:$AO$172,11,FALSE),IF($H$6=3,VLOOKUP($D128,'Werkschema - Instelling'!$AG$3:$AO$172,9,FALSE),IF($H$6=4,VLOOKUP($D128,'Werkschema - Instelling'!$AI$3:$AO$172,7,FALSE),IF($H$6=5,VLOOKUP($D128,'Werkschema - Instelling'!$AK$3:$AO$172,5,FALSE),VLOOKUP($D128,'Werkschema - Instelling'!$AM$3:$AO$172,3,FALSE))))))))</f>
        <v/>
      </c>
      <c r="G128" s="16">
        <f>IF(D128&gt;0.958333333,"", IF($H$6=0, VLOOKUP($D128,'Werkschema - Instelling'!$AA$3:$AP$172,16,FALSE),IF($H$6=1,VLOOKUP($D128,'Werkschema - Instelling'!$AC$3:$AP$172,14,FALSE),IF($H$6=2,VLOOKUP($D128,'Werkschema - Instelling'!$AE$3:$AP$172,12,FALSE),IF($H$6=3,VLOOKUP($D128,'Werkschema - Instelling'!$AG$3:$AP$172,10,FALSE),IF($H$6=4,VLOOKUP($D128,'Werkschema - Instelling'!$AI$3:$AP$172,8,FALSE),IF($H$6=5,VLOOKUP($D128,'Werkschema - Instelling'!$AK$3:$AP$172,6,FALSE),VLOOKUP($D128,'Werkschema - Instelling'!$AM$3:$AP$172,4,FALSE))))))))</f>
        <v/>
      </c>
      <c r="H128" s="62">
        <f>IF($D128&gt;0.985333333,"", IF($H$6=0, VLOOKUP($D128,'Werkschema - Instelling'!$AA$3:$AB$172,2,FALSE),IF($H$6=1,VLOOKUP($D128,'Werkschema - Instelling'!$AC$3:$AD$172,2,FALSE),IF($H$6=2,VLOOKUP($D128,'Werkschema - Instelling'!$AE$3:$AF$172,2,FALSE),IF($H$6=3,VLOOKUP($D128,'Werkschema - Instelling'!$AG$3:$AH$172,2,FALSE),IF($H$6=4,VLOOKUP($D128,'Werkschema - Instelling'!$AI$3:$AJ$172,2,FALSE),IF($H$6=5,VLOOKUP($D128,'Werkschema - Instelling'!$AK$3:$AL$172,2,FALSE),VLOOKUP($D128,'Werkschema - Instelling'!$AM$3:$AN$172,2,FALSE))))))))</f>
        <v/>
      </c>
      <c r="I128" s="3" t="n"/>
    </row>
    <row r="129" ht="15" customHeight="1">
      <c r="A129" s="85" t="n">
        <v>122</v>
      </c>
      <c r="B129" s="86">
        <f>IF(LEFT(F129,9)="Taken van",1,IF(LEFT(F129,14)="Start vulshift",2,IF(LEFT(F129,8)="Levering",3,0)))</f>
        <v/>
      </c>
      <c r="C129" s="85">
        <f>E129-E128</f>
        <v/>
      </c>
      <c r="D129" s="1049">
        <f>SMALL(OFFSET('Werkschema - Instelling'!$AA$3:$AA$172,0,$H$6*2),A129)</f>
        <v/>
      </c>
      <c r="E129" s="1054">
        <f>IFERROR(IF(D129-D128&lt;0.0001,"",$D129-VLOOKUP($F129,'Werkschema - Instelling'!$A$3:$Z$172,26,FALSE)),1)</f>
        <v/>
      </c>
      <c r="F129" s="15">
        <f>IF(D129&gt;0.958333333,"",IF($H$6=0, VLOOKUP($D129,'Werkschema - Instelling'!$AA$3:$AO$172,15,FALSE),IF($H$6=1,VLOOKUP($D129,'Werkschema - Instelling'!$AC$3:$AO$172,13,FALSE),IF($H$6=2,VLOOKUP($D129,'Werkschema - Instelling'!$AE$3:$AO$172,11,FALSE),IF($H$6=3,VLOOKUP($D129,'Werkschema - Instelling'!$AG$3:$AO$172,9,FALSE),IF($H$6=4,VLOOKUP($D129,'Werkschema - Instelling'!$AI$3:$AO$172,7,FALSE),IF($H$6=5,VLOOKUP($D129,'Werkschema - Instelling'!$AK$3:$AO$172,5,FALSE),VLOOKUP($D129,'Werkschema - Instelling'!$AM$3:$AO$172,3,FALSE))))))))</f>
        <v/>
      </c>
      <c r="G129" s="16">
        <f>IF(D129&gt;0.958333333,"", IF($H$6=0, VLOOKUP($D129,'Werkschema - Instelling'!$AA$3:$AP$172,16,FALSE),IF($H$6=1,VLOOKUP($D129,'Werkschema - Instelling'!$AC$3:$AP$172,14,FALSE),IF($H$6=2,VLOOKUP($D129,'Werkschema - Instelling'!$AE$3:$AP$172,12,FALSE),IF($H$6=3,VLOOKUP($D129,'Werkschema - Instelling'!$AG$3:$AP$172,10,FALSE),IF($H$6=4,VLOOKUP($D129,'Werkschema - Instelling'!$AI$3:$AP$172,8,FALSE),IF($H$6=5,VLOOKUP($D129,'Werkschema - Instelling'!$AK$3:$AP$172,6,FALSE),VLOOKUP($D129,'Werkschema - Instelling'!$AM$3:$AP$172,4,FALSE))))))))</f>
        <v/>
      </c>
      <c r="H129" s="62">
        <f>IF($D129&gt;0.985333333,"", IF($H$6=0, VLOOKUP($D129,'Werkschema - Instelling'!$AA$3:$AB$172,2,FALSE),IF($H$6=1,VLOOKUP($D129,'Werkschema - Instelling'!$AC$3:$AD$172,2,FALSE),IF($H$6=2,VLOOKUP($D129,'Werkschema - Instelling'!$AE$3:$AF$172,2,FALSE),IF($H$6=3,VLOOKUP($D129,'Werkschema - Instelling'!$AG$3:$AH$172,2,FALSE),IF($H$6=4,VLOOKUP($D129,'Werkschema - Instelling'!$AI$3:$AJ$172,2,FALSE),IF($H$6=5,VLOOKUP($D129,'Werkschema - Instelling'!$AK$3:$AL$172,2,FALSE),VLOOKUP($D129,'Werkschema - Instelling'!$AM$3:$AN$172,2,FALSE))))))))</f>
        <v/>
      </c>
      <c r="I129" s="3" t="n"/>
    </row>
    <row r="130" ht="15" customHeight="1">
      <c r="A130" s="85" t="n">
        <v>123</v>
      </c>
      <c r="B130" s="86">
        <f>IF(LEFT(F130,9)="Taken van",1,IF(LEFT(F130,14)="Start vulshift",2,IF(LEFT(F130,8)="Levering",3,0)))</f>
        <v/>
      </c>
      <c r="C130" s="85">
        <f>E130-E129</f>
        <v/>
      </c>
      <c r="D130" s="1049">
        <f>SMALL(OFFSET('Werkschema - Instelling'!$AA$3:$AA$172,0,$H$6*2),A130)</f>
        <v/>
      </c>
      <c r="E130" s="1054">
        <f>IFERROR(IF(D130-D129&lt;0.0001,"",$D130-VLOOKUP($F130,'Werkschema - Instelling'!$A$3:$Z$172,26,FALSE)),1)</f>
        <v/>
      </c>
      <c r="F130" s="15">
        <f>IF(D130&gt;0.958333333,"",IF($H$6=0, VLOOKUP($D130,'Werkschema - Instelling'!$AA$3:$AO$172,15,FALSE),IF($H$6=1,VLOOKUP($D130,'Werkschema - Instelling'!$AC$3:$AO$172,13,FALSE),IF($H$6=2,VLOOKUP($D130,'Werkschema - Instelling'!$AE$3:$AO$172,11,FALSE),IF($H$6=3,VLOOKUP($D130,'Werkschema - Instelling'!$AG$3:$AO$172,9,FALSE),IF($H$6=4,VLOOKUP($D130,'Werkschema - Instelling'!$AI$3:$AO$172,7,FALSE),IF($H$6=5,VLOOKUP($D130,'Werkschema - Instelling'!$AK$3:$AO$172,5,FALSE),VLOOKUP($D130,'Werkschema - Instelling'!$AM$3:$AO$172,3,FALSE))))))))</f>
        <v/>
      </c>
      <c r="G130" s="16">
        <f>IF(D130&gt;0.958333333,"", IF($H$6=0, VLOOKUP($D130,'Werkschema - Instelling'!$AA$3:$AP$172,16,FALSE),IF($H$6=1,VLOOKUP($D130,'Werkschema - Instelling'!$AC$3:$AP$172,14,FALSE),IF($H$6=2,VLOOKUP($D130,'Werkschema - Instelling'!$AE$3:$AP$172,12,FALSE),IF($H$6=3,VLOOKUP($D130,'Werkschema - Instelling'!$AG$3:$AP$172,10,FALSE),IF($H$6=4,VLOOKUP($D130,'Werkschema - Instelling'!$AI$3:$AP$172,8,FALSE),IF($H$6=5,VLOOKUP($D130,'Werkschema - Instelling'!$AK$3:$AP$172,6,FALSE),VLOOKUP($D130,'Werkschema - Instelling'!$AM$3:$AP$172,4,FALSE))))))))</f>
        <v/>
      </c>
      <c r="H130" s="62">
        <f>IF($D130&gt;0.985333333,"", IF($H$6=0, VLOOKUP($D130,'Werkschema - Instelling'!$AA$3:$AB$172,2,FALSE),IF($H$6=1,VLOOKUP($D130,'Werkschema - Instelling'!$AC$3:$AD$172,2,FALSE),IF($H$6=2,VLOOKUP($D130,'Werkschema - Instelling'!$AE$3:$AF$172,2,FALSE),IF($H$6=3,VLOOKUP($D130,'Werkschema - Instelling'!$AG$3:$AH$172,2,FALSE),IF($H$6=4,VLOOKUP($D130,'Werkschema - Instelling'!$AI$3:$AJ$172,2,FALSE),IF($H$6=5,VLOOKUP($D130,'Werkschema - Instelling'!$AK$3:$AL$172,2,FALSE),VLOOKUP($D130,'Werkschema - Instelling'!$AM$3:$AN$172,2,FALSE))))))))</f>
        <v/>
      </c>
      <c r="I130" s="3" t="n"/>
    </row>
    <row r="131" ht="15" customHeight="1">
      <c r="A131" s="85" t="n">
        <v>124</v>
      </c>
      <c r="B131" s="86">
        <f>IF(LEFT(F131,9)="Taken van",1,IF(LEFT(F131,14)="Start vulshift",2,IF(LEFT(F131,8)="Levering",3,0)))</f>
        <v/>
      </c>
      <c r="C131" s="85">
        <f>E131-E130</f>
        <v/>
      </c>
      <c r="D131" s="1049">
        <f>SMALL(OFFSET('Werkschema - Instelling'!$AA$3:$AA$172,0,$H$6*2),A131)</f>
        <v/>
      </c>
      <c r="E131" s="1054">
        <f>IFERROR(IF(D131-D130&lt;0.0001,"",$D131-VLOOKUP($F131,'Werkschema - Instelling'!$A$3:$Z$172,26,FALSE)),1)</f>
        <v/>
      </c>
      <c r="F131" s="15">
        <f>IF(D131&gt;0.958333333,"",IF($H$6=0, VLOOKUP($D131,'Werkschema - Instelling'!$AA$3:$AO$172,15,FALSE),IF($H$6=1,VLOOKUP($D131,'Werkschema - Instelling'!$AC$3:$AO$172,13,FALSE),IF($H$6=2,VLOOKUP($D131,'Werkschema - Instelling'!$AE$3:$AO$172,11,FALSE),IF($H$6=3,VLOOKUP($D131,'Werkschema - Instelling'!$AG$3:$AO$172,9,FALSE),IF($H$6=4,VLOOKUP($D131,'Werkschema - Instelling'!$AI$3:$AO$172,7,FALSE),IF($H$6=5,VLOOKUP($D131,'Werkschema - Instelling'!$AK$3:$AO$172,5,FALSE),VLOOKUP($D131,'Werkschema - Instelling'!$AM$3:$AO$172,3,FALSE))))))))</f>
        <v/>
      </c>
      <c r="G131" s="16">
        <f>IF(D131&gt;0.958333333,"", IF($H$6=0, VLOOKUP($D131,'Werkschema - Instelling'!$AA$3:$AP$172,16,FALSE),IF($H$6=1,VLOOKUP($D131,'Werkschema - Instelling'!$AC$3:$AP$172,14,FALSE),IF($H$6=2,VLOOKUP($D131,'Werkschema - Instelling'!$AE$3:$AP$172,12,FALSE),IF($H$6=3,VLOOKUP($D131,'Werkschema - Instelling'!$AG$3:$AP$172,10,FALSE),IF($H$6=4,VLOOKUP($D131,'Werkschema - Instelling'!$AI$3:$AP$172,8,FALSE),IF($H$6=5,VLOOKUP($D131,'Werkschema - Instelling'!$AK$3:$AP$172,6,FALSE),VLOOKUP($D131,'Werkschema - Instelling'!$AM$3:$AP$172,4,FALSE))))))))</f>
        <v/>
      </c>
      <c r="H131" s="62">
        <f>IF($D131&gt;0.985333333,"", IF($H$6=0, VLOOKUP($D131,'Werkschema - Instelling'!$AA$3:$AB$172,2,FALSE),IF($H$6=1,VLOOKUP($D131,'Werkschema - Instelling'!$AC$3:$AD$172,2,FALSE),IF($H$6=2,VLOOKUP($D131,'Werkschema - Instelling'!$AE$3:$AF$172,2,FALSE),IF($H$6=3,VLOOKUP($D131,'Werkschema - Instelling'!$AG$3:$AH$172,2,FALSE),IF($H$6=4,VLOOKUP($D131,'Werkschema - Instelling'!$AI$3:$AJ$172,2,FALSE),IF($H$6=5,VLOOKUP($D131,'Werkschema - Instelling'!$AK$3:$AL$172,2,FALSE),VLOOKUP($D131,'Werkschema - Instelling'!$AM$3:$AN$172,2,FALSE))))))))</f>
        <v/>
      </c>
      <c r="I131" s="3" t="n"/>
    </row>
    <row r="132" ht="15" customHeight="1">
      <c r="A132" s="85" t="n">
        <v>125</v>
      </c>
      <c r="B132" s="86">
        <f>IF(LEFT(F132,9)="Taken van",1,IF(LEFT(F132,14)="Start vulshift",2,IF(LEFT(F132,8)="Levering",3,0)))</f>
        <v/>
      </c>
      <c r="C132" s="85">
        <f>E132-E131</f>
        <v/>
      </c>
      <c r="D132" s="1049">
        <f>SMALL(OFFSET('Werkschema - Instelling'!$AA$3:$AA$172,0,$H$6*2),A132)</f>
        <v/>
      </c>
      <c r="E132" s="1054">
        <f>IFERROR(IF(D132-D131&lt;0.0001,"",$D132-VLOOKUP($F132,'Werkschema - Instelling'!$A$3:$Z$172,26,FALSE)),1)</f>
        <v/>
      </c>
      <c r="F132" s="15">
        <f>IF(D132&gt;0.958333333,"",IF($H$6=0, VLOOKUP($D132,'Werkschema - Instelling'!$AA$3:$AO$172,15,FALSE),IF($H$6=1,VLOOKUP($D132,'Werkschema - Instelling'!$AC$3:$AO$172,13,FALSE),IF($H$6=2,VLOOKUP($D132,'Werkschema - Instelling'!$AE$3:$AO$172,11,FALSE),IF($H$6=3,VLOOKUP($D132,'Werkschema - Instelling'!$AG$3:$AO$172,9,FALSE),IF($H$6=4,VLOOKUP($D132,'Werkschema - Instelling'!$AI$3:$AO$172,7,FALSE),IF($H$6=5,VLOOKUP($D132,'Werkschema - Instelling'!$AK$3:$AO$172,5,FALSE),VLOOKUP($D132,'Werkschema - Instelling'!$AM$3:$AO$172,3,FALSE))))))))</f>
        <v/>
      </c>
      <c r="G132" s="16">
        <f>IF(D132&gt;0.958333333,"", IF($H$6=0, VLOOKUP($D132,'Werkschema - Instelling'!$AA$3:$AP$172,16,FALSE),IF($H$6=1,VLOOKUP($D132,'Werkschema - Instelling'!$AC$3:$AP$172,14,FALSE),IF($H$6=2,VLOOKUP($D132,'Werkschema - Instelling'!$AE$3:$AP$172,12,FALSE),IF($H$6=3,VLOOKUP($D132,'Werkschema - Instelling'!$AG$3:$AP$172,10,FALSE),IF($H$6=4,VLOOKUP($D132,'Werkschema - Instelling'!$AI$3:$AP$172,8,FALSE),IF($H$6=5,VLOOKUP($D132,'Werkschema - Instelling'!$AK$3:$AP$172,6,FALSE),VLOOKUP($D132,'Werkschema - Instelling'!$AM$3:$AP$172,4,FALSE))))))))</f>
        <v/>
      </c>
      <c r="H132" s="62">
        <f>IF($D132&gt;0.985333333,"", IF($H$6=0, VLOOKUP($D132,'Werkschema - Instelling'!$AA$3:$AB$172,2,FALSE),IF($H$6=1,VLOOKUP($D132,'Werkschema - Instelling'!$AC$3:$AD$172,2,FALSE),IF($H$6=2,VLOOKUP($D132,'Werkschema - Instelling'!$AE$3:$AF$172,2,FALSE),IF($H$6=3,VLOOKUP($D132,'Werkschema - Instelling'!$AG$3:$AH$172,2,FALSE),IF($H$6=4,VLOOKUP($D132,'Werkschema - Instelling'!$AI$3:$AJ$172,2,FALSE),IF($H$6=5,VLOOKUP($D132,'Werkschema - Instelling'!$AK$3:$AL$172,2,FALSE),VLOOKUP($D132,'Werkschema - Instelling'!$AM$3:$AN$172,2,FALSE))))))))</f>
        <v/>
      </c>
      <c r="I132" s="3" t="n"/>
    </row>
    <row r="133" ht="15" customHeight="1">
      <c r="A133" s="85" t="n">
        <v>126</v>
      </c>
      <c r="B133" s="86">
        <f>IF(LEFT(F133,9)="Taken van",1,IF(LEFT(F133,14)="Start vulshift",2,IF(LEFT(F133,8)="Levering",3,0)))</f>
        <v/>
      </c>
      <c r="C133" s="85">
        <f>E133-E132</f>
        <v/>
      </c>
      <c r="D133" s="1049">
        <f>SMALL(OFFSET('Werkschema - Instelling'!$AA$3:$AA$172,0,$H$6*2),A133)</f>
        <v/>
      </c>
      <c r="E133" s="1054">
        <f>IFERROR(IF(D133-D132&lt;0.0001,"",$D133-VLOOKUP($F133,'Werkschema - Instelling'!$A$3:$Z$172,26,FALSE)),1)</f>
        <v/>
      </c>
      <c r="F133" s="15">
        <f>IF(D133&gt;0.958333333,"",IF($H$6=0, VLOOKUP($D133,'Werkschema - Instelling'!$AA$3:$AO$172,15,FALSE),IF($H$6=1,VLOOKUP($D133,'Werkschema - Instelling'!$AC$3:$AO$172,13,FALSE),IF($H$6=2,VLOOKUP($D133,'Werkschema - Instelling'!$AE$3:$AO$172,11,FALSE),IF($H$6=3,VLOOKUP($D133,'Werkschema - Instelling'!$AG$3:$AO$172,9,FALSE),IF($H$6=4,VLOOKUP($D133,'Werkschema - Instelling'!$AI$3:$AO$172,7,FALSE),IF($H$6=5,VLOOKUP($D133,'Werkschema - Instelling'!$AK$3:$AO$172,5,FALSE),VLOOKUP($D133,'Werkschema - Instelling'!$AM$3:$AO$172,3,FALSE))))))))</f>
        <v/>
      </c>
      <c r="G133" s="16">
        <f>IF(D133&gt;0.958333333,"", IF($H$6=0, VLOOKUP($D133,'Werkschema - Instelling'!$AA$3:$AP$172,16,FALSE),IF($H$6=1,VLOOKUP($D133,'Werkschema - Instelling'!$AC$3:$AP$172,14,FALSE),IF($H$6=2,VLOOKUP($D133,'Werkschema - Instelling'!$AE$3:$AP$172,12,FALSE),IF($H$6=3,VLOOKUP($D133,'Werkschema - Instelling'!$AG$3:$AP$172,10,FALSE),IF($H$6=4,VLOOKUP($D133,'Werkschema - Instelling'!$AI$3:$AP$172,8,FALSE),IF($H$6=5,VLOOKUP($D133,'Werkschema - Instelling'!$AK$3:$AP$172,6,FALSE),VLOOKUP($D133,'Werkschema - Instelling'!$AM$3:$AP$172,4,FALSE))))))))</f>
        <v/>
      </c>
      <c r="H133" s="62">
        <f>IF($D133&gt;0.985333333,"", IF($H$6=0, VLOOKUP($D133,'Werkschema - Instelling'!$AA$3:$AB$172,2,FALSE),IF($H$6=1,VLOOKUP($D133,'Werkschema - Instelling'!$AC$3:$AD$172,2,FALSE),IF($H$6=2,VLOOKUP($D133,'Werkschema - Instelling'!$AE$3:$AF$172,2,FALSE),IF($H$6=3,VLOOKUP($D133,'Werkschema - Instelling'!$AG$3:$AH$172,2,FALSE),IF($H$6=4,VLOOKUP($D133,'Werkschema - Instelling'!$AI$3:$AJ$172,2,FALSE),IF($H$6=5,VLOOKUP($D133,'Werkschema - Instelling'!$AK$3:$AL$172,2,FALSE),VLOOKUP($D133,'Werkschema - Instelling'!$AM$3:$AN$172,2,FALSE))))))))</f>
        <v/>
      </c>
      <c r="I133" s="3" t="n"/>
    </row>
    <row r="134" ht="15" customHeight="1">
      <c r="A134" s="85" t="n">
        <v>127</v>
      </c>
      <c r="B134" s="86">
        <f>IF(LEFT(F134,9)="Taken van",1,IF(LEFT(F134,14)="Start vulshift",2,IF(LEFT(F134,8)="Levering",3,0)))</f>
        <v/>
      </c>
      <c r="C134" s="85">
        <f>E134-E133</f>
        <v/>
      </c>
      <c r="D134" s="1049">
        <f>SMALL(OFFSET('Werkschema - Instelling'!$AA$3:$AA$172,0,$H$6*2),A134)</f>
        <v/>
      </c>
      <c r="E134" s="1054">
        <f>IFERROR(IF(D134-D133&lt;0.0001,"",$D134-VLOOKUP($F134,'Werkschema - Instelling'!$A$3:$Z$172,26,FALSE)),1)</f>
        <v/>
      </c>
      <c r="F134" s="15">
        <f>IF(D134&gt;0.958333333,"",IF($H$6=0, VLOOKUP($D134,'Werkschema - Instelling'!$AA$3:$AO$172,15,FALSE),IF($H$6=1,VLOOKUP($D134,'Werkschema - Instelling'!$AC$3:$AO$172,13,FALSE),IF($H$6=2,VLOOKUP($D134,'Werkschema - Instelling'!$AE$3:$AO$172,11,FALSE),IF($H$6=3,VLOOKUP($D134,'Werkschema - Instelling'!$AG$3:$AO$172,9,FALSE),IF($H$6=4,VLOOKUP($D134,'Werkschema - Instelling'!$AI$3:$AO$172,7,FALSE),IF($H$6=5,VLOOKUP($D134,'Werkschema - Instelling'!$AK$3:$AO$172,5,FALSE),VLOOKUP($D134,'Werkschema - Instelling'!$AM$3:$AO$172,3,FALSE))))))))</f>
        <v/>
      </c>
      <c r="G134" s="16">
        <f>IF(D134&gt;0.958333333,"", IF($H$6=0, VLOOKUP($D134,'Werkschema - Instelling'!$AA$3:$AP$172,16,FALSE),IF($H$6=1,VLOOKUP($D134,'Werkschema - Instelling'!$AC$3:$AP$172,14,FALSE),IF($H$6=2,VLOOKUP($D134,'Werkschema - Instelling'!$AE$3:$AP$172,12,FALSE),IF($H$6=3,VLOOKUP($D134,'Werkschema - Instelling'!$AG$3:$AP$172,10,FALSE),IF($H$6=4,VLOOKUP($D134,'Werkschema - Instelling'!$AI$3:$AP$172,8,FALSE),IF($H$6=5,VLOOKUP($D134,'Werkschema - Instelling'!$AK$3:$AP$172,6,FALSE),VLOOKUP($D134,'Werkschema - Instelling'!$AM$3:$AP$172,4,FALSE))))))))</f>
        <v/>
      </c>
      <c r="H134" s="62">
        <f>IF($D134&gt;0.985333333,"", IF($H$6=0, VLOOKUP($D134,'Werkschema - Instelling'!$AA$3:$AB$172,2,FALSE),IF($H$6=1,VLOOKUP($D134,'Werkschema - Instelling'!$AC$3:$AD$172,2,FALSE),IF($H$6=2,VLOOKUP($D134,'Werkschema - Instelling'!$AE$3:$AF$172,2,FALSE),IF($H$6=3,VLOOKUP($D134,'Werkschema - Instelling'!$AG$3:$AH$172,2,FALSE),IF($H$6=4,VLOOKUP($D134,'Werkschema - Instelling'!$AI$3:$AJ$172,2,FALSE),IF($H$6=5,VLOOKUP($D134,'Werkschema - Instelling'!$AK$3:$AL$172,2,FALSE),VLOOKUP($D134,'Werkschema - Instelling'!$AM$3:$AN$172,2,FALSE))))))))</f>
        <v/>
      </c>
      <c r="I134" s="3" t="n"/>
    </row>
    <row r="135" ht="15" customHeight="1">
      <c r="A135" s="85" t="n">
        <v>128</v>
      </c>
      <c r="B135" s="86">
        <f>IF(LEFT(F135,9)="Taken van",1,IF(LEFT(F135,14)="Start vulshift",2,IF(LEFT(F135,8)="Levering",3,0)))</f>
        <v/>
      </c>
      <c r="C135" s="85">
        <f>E135-E134</f>
        <v/>
      </c>
      <c r="D135" s="1049">
        <f>SMALL(OFFSET('Werkschema - Instelling'!$AA$3:$AA$172,0,$H$6*2),A135)</f>
        <v/>
      </c>
      <c r="E135" s="1054">
        <f>IFERROR(IF(D135-D134&lt;0.0001,"",$D135-VLOOKUP($F135,'Werkschema - Instelling'!$A$3:$Z$172,26,FALSE)),1)</f>
        <v/>
      </c>
      <c r="F135" s="15">
        <f>IF(D135&gt;0.958333333,"",IF($H$6=0, VLOOKUP($D135,'Werkschema - Instelling'!$AA$3:$AO$172,15,FALSE),IF($H$6=1,VLOOKUP($D135,'Werkschema - Instelling'!$AC$3:$AO$172,13,FALSE),IF($H$6=2,VLOOKUP($D135,'Werkschema - Instelling'!$AE$3:$AO$172,11,FALSE),IF($H$6=3,VLOOKUP($D135,'Werkschema - Instelling'!$AG$3:$AO$172,9,FALSE),IF($H$6=4,VLOOKUP($D135,'Werkschema - Instelling'!$AI$3:$AO$172,7,FALSE),IF($H$6=5,VLOOKUP($D135,'Werkschema - Instelling'!$AK$3:$AO$172,5,FALSE),VLOOKUP($D135,'Werkschema - Instelling'!$AM$3:$AO$172,3,FALSE))))))))</f>
        <v/>
      </c>
      <c r="G135" s="16">
        <f>IF(D135&gt;0.958333333,"", IF($H$6=0, VLOOKUP($D135,'Werkschema - Instelling'!$AA$3:$AP$172,16,FALSE),IF($H$6=1,VLOOKUP($D135,'Werkschema - Instelling'!$AC$3:$AP$172,14,FALSE),IF($H$6=2,VLOOKUP($D135,'Werkschema - Instelling'!$AE$3:$AP$172,12,FALSE),IF($H$6=3,VLOOKUP($D135,'Werkschema - Instelling'!$AG$3:$AP$172,10,FALSE),IF($H$6=4,VLOOKUP($D135,'Werkschema - Instelling'!$AI$3:$AP$172,8,FALSE),IF($H$6=5,VLOOKUP($D135,'Werkschema - Instelling'!$AK$3:$AP$172,6,FALSE),VLOOKUP($D135,'Werkschema - Instelling'!$AM$3:$AP$172,4,FALSE))))))))</f>
        <v/>
      </c>
      <c r="H135" s="62">
        <f>IF($D135&gt;0.985333333,"", IF($H$6=0, VLOOKUP($D135,'Werkschema - Instelling'!$AA$3:$AB$172,2,FALSE),IF($H$6=1,VLOOKUP($D135,'Werkschema - Instelling'!$AC$3:$AD$172,2,FALSE),IF($H$6=2,VLOOKUP($D135,'Werkschema - Instelling'!$AE$3:$AF$172,2,FALSE),IF($H$6=3,VLOOKUP($D135,'Werkschema - Instelling'!$AG$3:$AH$172,2,FALSE),IF($H$6=4,VLOOKUP($D135,'Werkschema - Instelling'!$AI$3:$AJ$172,2,FALSE),IF($H$6=5,VLOOKUP($D135,'Werkschema - Instelling'!$AK$3:$AL$172,2,FALSE),VLOOKUP($D135,'Werkschema - Instelling'!$AM$3:$AN$172,2,FALSE))))))))</f>
        <v/>
      </c>
      <c r="I135" s="3" t="n"/>
    </row>
    <row r="136" ht="15" customHeight="1">
      <c r="A136" s="85" t="n">
        <v>129</v>
      </c>
      <c r="B136" s="86">
        <f>IF(LEFT(F136,9)="Taken van",1,IF(LEFT(F136,14)="Start vulshift",2,IF(LEFT(F136,8)="Levering",3,0)))</f>
        <v/>
      </c>
      <c r="C136" s="85">
        <f>E136-E135</f>
        <v/>
      </c>
      <c r="D136" s="1049">
        <f>SMALL(OFFSET('Werkschema - Instelling'!$AA$3:$AA$172,0,$H$6*2),A136)</f>
        <v/>
      </c>
      <c r="E136" s="1054">
        <f>IFERROR(IF(D136-D135&lt;0.0001,"",$D136-VLOOKUP($F136,'Werkschema - Instelling'!$A$3:$Z$172,26,FALSE)),1)</f>
        <v/>
      </c>
      <c r="F136" s="15">
        <f>IF(D136&gt;0.958333333,"",IF($H$6=0, VLOOKUP($D136,'Werkschema - Instelling'!$AA$3:$AO$172,15,FALSE),IF($H$6=1,VLOOKUP($D136,'Werkschema - Instelling'!$AC$3:$AO$172,13,FALSE),IF($H$6=2,VLOOKUP($D136,'Werkschema - Instelling'!$AE$3:$AO$172,11,FALSE),IF($H$6=3,VLOOKUP($D136,'Werkschema - Instelling'!$AG$3:$AO$172,9,FALSE),IF($H$6=4,VLOOKUP($D136,'Werkschema - Instelling'!$AI$3:$AO$172,7,FALSE),IF($H$6=5,VLOOKUP($D136,'Werkschema - Instelling'!$AK$3:$AO$172,5,FALSE),VLOOKUP($D136,'Werkschema - Instelling'!$AM$3:$AO$172,3,FALSE))))))))</f>
        <v/>
      </c>
      <c r="G136" s="16">
        <f>IF(D136&gt;0.958333333,"", IF($H$6=0, VLOOKUP($D136,'Werkschema - Instelling'!$AA$3:$AP$172,16,FALSE),IF($H$6=1,VLOOKUP($D136,'Werkschema - Instelling'!$AC$3:$AP$172,14,FALSE),IF($H$6=2,VLOOKUP($D136,'Werkschema - Instelling'!$AE$3:$AP$172,12,FALSE),IF($H$6=3,VLOOKUP($D136,'Werkschema - Instelling'!$AG$3:$AP$172,10,FALSE),IF($H$6=4,VLOOKUP($D136,'Werkschema - Instelling'!$AI$3:$AP$172,8,FALSE),IF($H$6=5,VLOOKUP($D136,'Werkschema - Instelling'!$AK$3:$AP$172,6,FALSE),VLOOKUP($D136,'Werkschema - Instelling'!$AM$3:$AP$172,4,FALSE))))))))</f>
        <v/>
      </c>
      <c r="H136" s="62">
        <f>IF($D136&gt;0.985333333,"", IF($H$6=0, VLOOKUP($D136,'Werkschema - Instelling'!$AA$3:$AB$172,2,FALSE),IF($H$6=1,VLOOKUP($D136,'Werkschema - Instelling'!$AC$3:$AD$172,2,FALSE),IF($H$6=2,VLOOKUP($D136,'Werkschema - Instelling'!$AE$3:$AF$172,2,FALSE),IF($H$6=3,VLOOKUP($D136,'Werkschema - Instelling'!$AG$3:$AH$172,2,FALSE),IF($H$6=4,VLOOKUP($D136,'Werkschema - Instelling'!$AI$3:$AJ$172,2,FALSE),IF($H$6=5,VLOOKUP($D136,'Werkschema - Instelling'!$AK$3:$AL$172,2,FALSE),VLOOKUP($D136,'Werkschema - Instelling'!$AM$3:$AN$172,2,FALSE))))))))</f>
        <v/>
      </c>
      <c r="I136" s="3" t="n"/>
    </row>
    <row r="137" ht="15" customHeight="1">
      <c r="A137" s="85" t="n">
        <v>130</v>
      </c>
      <c r="B137" s="86">
        <f>IF(LEFT(F137,9)="Taken van",1,IF(LEFT(F137,14)="Start vulshift",2,IF(LEFT(F137,8)="Levering",3,0)))</f>
        <v/>
      </c>
      <c r="C137" s="85">
        <f>E137-E136</f>
        <v/>
      </c>
      <c r="D137" s="1049">
        <f>SMALL(OFFSET('Werkschema - Instelling'!$AA$3:$AA$172,0,$H$6*2),A137)</f>
        <v/>
      </c>
      <c r="E137" s="1054">
        <f>IFERROR(IF(D137-D136&lt;0.0001,"",$D137-VLOOKUP($F137,'Werkschema - Instelling'!$A$3:$Z$172,26,FALSE)),1)</f>
        <v/>
      </c>
      <c r="F137" s="15">
        <f>IF(D137&gt;0.958333333,"",IF($H$6=0, VLOOKUP($D137,'Werkschema - Instelling'!$AA$3:$AO$172,15,FALSE),IF($H$6=1,VLOOKUP($D137,'Werkschema - Instelling'!$AC$3:$AO$172,13,FALSE),IF($H$6=2,VLOOKUP($D137,'Werkschema - Instelling'!$AE$3:$AO$172,11,FALSE),IF($H$6=3,VLOOKUP($D137,'Werkschema - Instelling'!$AG$3:$AO$172,9,FALSE),IF($H$6=4,VLOOKUP($D137,'Werkschema - Instelling'!$AI$3:$AO$172,7,FALSE),IF($H$6=5,VLOOKUP($D137,'Werkschema - Instelling'!$AK$3:$AO$172,5,FALSE),VLOOKUP($D137,'Werkschema - Instelling'!$AM$3:$AO$172,3,FALSE))))))))</f>
        <v/>
      </c>
      <c r="G137" s="16">
        <f>IF(D137&gt;0.958333333,"", IF($H$6=0, VLOOKUP($D137,'Werkschema - Instelling'!$AA$3:$AP$172,16,FALSE),IF($H$6=1,VLOOKUP($D137,'Werkschema - Instelling'!$AC$3:$AP$172,14,FALSE),IF($H$6=2,VLOOKUP($D137,'Werkschema - Instelling'!$AE$3:$AP$172,12,FALSE),IF($H$6=3,VLOOKUP($D137,'Werkschema - Instelling'!$AG$3:$AP$172,10,FALSE),IF($H$6=4,VLOOKUP($D137,'Werkschema - Instelling'!$AI$3:$AP$172,8,FALSE),IF($H$6=5,VLOOKUP($D137,'Werkschema - Instelling'!$AK$3:$AP$172,6,FALSE),VLOOKUP($D137,'Werkschema - Instelling'!$AM$3:$AP$172,4,FALSE))))))))</f>
        <v/>
      </c>
      <c r="H137" s="62">
        <f>IF($D137&gt;0.985333333,"", IF($H$6=0, VLOOKUP($D137,'Werkschema - Instelling'!$AA$3:$AB$172,2,FALSE),IF($H$6=1,VLOOKUP($D137,'Werkschema - Instelling'!$AC$3:$AD$172,2,FALSE),IF($H$6=2,VLOOKUP($D137,'Werkschema - Instelling'!$AE$3:$AF$172,2,FALSE),IF($H$6=3,VLOOKUP($D137,'Werkschema - Instelling'!$AG$3:$AH$172,2,FALSE),IF($H$6=4,VLOOKUP($D137,'Werkschema - Instelling'!$AI$3:$AJ$172,2,FALSE),IF($H$6=5,VLOOKUP($D137,'Werkschema - Instelling'!$AK$3:$AL$172,2,FALSE),VLOOKUP($D137,'Werkschema - Instelling'!$AM$3:$AN$172,2,FALSE))))))))</f>
        <v/>
      </c>
      <c r="I137" s="3" t="n"/>
    </row>
    <row r="138" ht="15" customHeight="1">
      <c r="A138" s="85" t="n">
        <v>131</v>
      </c>
      <c r="B138" s="86">
        <f>IF(LEFT(F138,9)="Taken van",1,IF(LEFT(F138,14)="Start vulshift",2,IF(LEFT(F138,8)="Levering",3,0)))</f>
        <v/>
      </c>
      <c r="C138" s="85">
        <f>E138-E137</f>
        <v/>
      </c>
      <c r="D138" s="1049">
        <f>SMALL(OFFSET('Werkschema - Instelling'!$AA$3:$AA$172,0,$H$6*2),A138)</f>
        <v/>
      </c>
      <c r="E138" s="1054">
        <f>IFERROR(IF(D138-D137&lt;0.0001,"",$D138-VLOOKUP($F138,'Werkschema - Instelling'!$A$3:$Z$172,26,FALSE)),1)</f>
        <v/>
      </c>
      <c r="F138" s="15">
        <f>IF(D138&gt;0.958333333,"",IF($H$6=0, VLOOKUP($D138,'Werkschema - Instelling'!$AA$3:$AO$172,15,FALSE),IF($H$6=1,VLOOKUP($D138,'Werkschema - Instelling'!$AC$3:$AO$172,13,FALSE),IF($H$6=2,VLOOKUP($D138,'Werkschema - Instelling'!$AE$3:$AO$172,11,FALSE),IF($H$6=3,VLOOKUP($D138,'Werkschema - Instelling'!$AG$3:$AO$172,9,FALSE),IF($H$6=4,VLOOKUP($D138,'Werkschema - Instelling'!$AI$3:$AO$172,7,FALSE),IF($H$6=5,VLOOKUP($D138,'Werkschema - Instelling'!$AK$3:$AO$172,5,FALSE),VLOOKUP($D138,'Werkschema - Instelling'!$AM$3:$AO$172,3,FALSE))))))))</f>
        <v/>
      </c>
      <c r="G138" s="16">
        <f>IF(D138&gt;0.958333333,"", IF($H$6=0, VLOOKUP($D138,'Werkschema - Instelling'!$AA$3:$AP$172,16,FALSE),IF($H$6=1,VLOOKUP($D138,'Werkschema - Instelling'!$AC$3:$AP$172,14,FALSE),IF($H$6=2,VLOOKUP($D138,'Werkschema - Instelling'!$AE$3:$AP$172,12,FALSE),IF($H$6=3,VLOOKUP($D138,'Werkschema - Instelling'!$AG$3:$AP$172,10,FALSE),IF($H$6=4,VLOOKUP($D138,'Werkschema - Instelling'!$AI$3:$AP$172,8,FALSE),IF($H$6=5,VLOOKUP($D138,'Werkschema - Instelling'!$AK$3:$AP$172,6,FALSE),VLOOKUP($D138,'Werkschema - Instelling'!$AM$3:$AP$172,4,FALSE))))))))</f>
        <v/>
      </c>
      <c r="H138" s="62">
        <f>IF($D138&gt;0.985333333,"", IF($H$6=0, VLOOKUP($D138,'Werkschema - Instelling'!$AA$3:$AB$172,2,FALSE),IF($H$6=1,VLOOKUP($D138,'Werkschema - Instelling'!$AC$3:$AD$172,2,FALSE),IF($H$6=2,VLOOKUP($D138,'Werkschema - Instelling'!$AE$3:$AF$172,2,FALSE),IF($H$6=3,VLOOKUP($D138,'Werkschema - Instelling'!$AG$3:$AH$172,2,FALSE),IF($H$6=4,VLOOKUP($D138,'Werkschema - Instelling'!$AI$3:$AJ$172,2,FALSE),IF($H$6=5,VLOOKUP($D138,'Werkschema - Instelling'!$AK$3:$AL$172,2,FALSE),VLOOKUP($D138,'Werkschema - Instelling'!$AM$3:$AN$172,2,FALSE))))))))</f>
        <v/>
      </c>
      <c r="I138" s="3" t="n"/>
    </row>
    <row r="139" ht="15" customHeight="1">
      <c r="A139" s="85" t="n">
        <v>132</v>
      </c>
      <c r="B139" s="86">
        <f>IF(LEFT(F139,9)="Taken van",1,IF(LEFT(F139,14)="Start vulshift",2,IF(LEFT(F139,8)="Levering",3,0)))</f>
        <v/>
      </c>
      <c r="C139" s="85">
        <f>E139-E138</f>
        <v/>
      </c>
      <c r="D139" s="1049">
        <f>SMALL(OFFSET('Werkschema - Instelling'!$AA$3:$AA$172,0,$H$6*2),A139)</f>
        <v/>
      </c>
      <c r="E139" s="1054">
        <f>IFERROR(IF(D139-D138&lt;0.0001,"",$D139-VLOOKUP($F139,'Werkschema - Instelling'!$A$3:$Z$172,26,FALSE)),1)</f>
        <v/>
      </c>
      <c r="F139" s="15">
        <f>IF(D139&gt;0.958333333,"",IF($H$6=0, VLOOKUP($D139,'Werkschema - Instelling'!$AA$3:$AO$172,15,FALSE),IF($H$6=1,VLOOKUP($D139,'Werkschema - Instelling'!$AC$3:$AO$172,13,FALSE),IF($H$6=2,VLOOKUP($D139,'Werkschema - Instelling'!$AE$3:$AO$172,11,FALSE),IF($H$6=3,VLOOKUP($D139,'Werkschema - Instelling'!$AG$3:$AO$172,9,FALSE),IF($H$6=4,VLOOKUP($D139,'Werkschema - Instelling'!$AI$3:$AO$172,7,FALSE),IF($H$6=5,VLOOKUP($D139,'Werkschema - Instelling'!$AK$3:$AO$172,5,FALSE),VLOOKUP($D139,'Werkschema - Instelling'!$AM$3:$AO$172,3,FALSE))))))))</f>
        <v/>
      </c>
      <c r="G139" s="16">
        <f>IF(D139&gt;0.958333333,"", IF($H$6=0, VLOOKUP($D139,'Werkschema - Instelling'!$AA$3:$AP$172,16,FALSE),IF($H$6=1,VLOOKUP($D139,'Werkschema - Instelling'!$AC$3:$AP$172,14,FALSE),IF($H$6=2,VLOOKUP($D139,'Werkschema - Instelling'!$AE$3:$AP$172,12,FALSE),IF($H$6=3,VLOOKUP($D139,'Werkschema - Instelling'!$AG$3:$AP$172,10,FALSE),IF($H$6=4,VLOOKUP($D139,'Werkschema - Instelling'!$AI$3:$AP$172,8,FALSE),IF($H$6=5,VLOOKUP($D139,'Werkschema - Instelling'!$AK$3:$AP$172,6,FALSE),VLOOKUP($D139,'Werkschema - Instelling'!$AM$3:$AP$172,4,FALSE))))))))</f>
        <v/>
      </c>
      <c r="H139" s="62">
        <f>IF($D139&gt;0.985333333,"", IF($H$6=0, VLOOKUP($D139,'Werkschema - Instelling'!$AA$3:$AB$172,2,FALSE),IF($H$6=1,VLOOKUP($D139,'Werkschema - Instelling'!$AC$3:$AD$172,2,FALSE),IF($H$6=2,VLOOKUP($D139,'Werkschema - Instelling'!$AE$3:$AF$172,2,FALSE),IF($H$6=3,VLOOKUP($D139,'Werkschema - Instelling'!$AG$3:$AH$172,2,FALSE),IF($H$6=4,VLOOKUP($D139,'Werkschema - Instelling'!$AI$3:$AJ$172,2,FALSE),IF($H$6=5,VLOOKUP($D139,'Werkschema - Instelling'!$AK$3:$AL$172,2,FALSE),VLOOKUP($D139,'Werkschema - Instelling'!$AM$3:$AN$172,2,FALSE))))))))</f>
        <v/>
      </c>
      <c r="I139" s="3" t="n"/>
    </row>
    <row r="140" ht="15" customHeight="1">
      <c r="A140" s="85" t="n">
        <v>133</v>
      </c>
      <c r="B140" s="86">
        <f>IF(LEFT(F140,9)="Taken van",1,IF(LEFT(F140,14)="Start vulshift",2,IF(LEFT(F140,8)="Levering",3,0)))</f>
        <v/>
      </c>
      <c r="C140" s="85">
        <f>E140-E139</f>
        <v/>
      </c>
      <c r="D140" s="1049">
        <f>SMALL(OFFSET('Werkschema - Instelling'!$AA$3:$AA$172,0,$H$6*2),A140)</f>
        <v/>
      </c>
      <c r="E140" s="1054">
        <f>IFERROR(IF(D140-D139&lt;0.0001,"",$D140-VLOOKUP($F140,'Werkschema - Instelling'!$A$3:$Z$172,26,FALSE)),1)</f>
        <v/>
      </c>
      <c r="F140" s="15">
        <f>IF(D140&gt;0.958333333,"",IF($H$6=0, VLOOKUP($D140,'Werkschema - Instelling'!$AA$3:$AO$172,15,FALSE),IF($H$6=1,VLOOKUP($D140,'Werkschema - Instelling'!$AC$3:$AO$172,13,FALSE),IF($H$6=2,VLOOKUP($D140,'Werkschema - Instelling'!$AE$3:$AO$172,11,FALSE),IF($H$6=3,VLOOKUP($D140,'Werkschema - Instelling'!$AG$3:$AO$172,9,FALSE),IF($H$6=4,VLOOKUP($D140,'Werkschema - Instelling'!$AI$3:$AO$172,7,FALSE),IF($H$6=5,VLOOKUP($D140,'Werkschema - Instelling'!$AK$3:$AO$172,5,FALSE),VLOOKUP($D140,'Werkschema - Instelling'!$AM$3:$AO$172,3,FALSE))))))))</f>
        <v/>
      </c>
      <c r="G140" s="16">
        <f>IF(D140&gt;0.958333333,"", IF($H$6=0, VLOOKUP($D140,'Werkschema - Instelling'!$AA$3:$AP$172,16,FALSE),IF($H$6=1,VLOOKUP($D140,'Werkschema - Instelling'!$AC$3:$AP$172,14,FALSE),IF($H$6=2,VLOOKUP($D140,'Werkschema - Instelling'!$AE$3:$AP$172,12,FALSE),IF($H$6=3,VLOOKUP($D140,'Werkschema - Instelling'!$AG$3:$AP$172,10,FALSE),IF($H$6=4,VLOOKUP($D140,'Werkschema - Instelling'!$AI$3:$AP$172,8,FALSE),IF($H$6=5,VLOOKUP($D140,'Werkschema - Instelling'!$AK$3:$AP$172,6,FALSE),VLOOKUP($D140,'Werkschema - Instelling'!$AM$3:$AP$172,4,FALSE))))))))</f>
        <v/>
      </c>
      <c r="H140" s="62">
        <f>IF($D140&gt;0.985333333,"", IF($H$6=0, VLOOKUP($D140,'Werkschema - Instelling'!$AA$3:$AB$172,2,FALSE),IF($H$6=1,VLOOKUP($D140,'Werkschema - Instelling'!$AC$3:$AD$172,2,FALSE),IF($H$6=2,VLOOKUP($D140,'Werkschema - Instelling'!$AE$3:$AF$172,2,FALSE),IF($H$6=3,VLOOKUP($D140,'Werkschema - Instelling'!$AG$3:$AH$172,2,FALSE),IF($H$6=4,VLOOKUP($D140,'Werkschema - Instelling'!$AI$3:$AJ$172,2,FALSE),IF($H$6=5,VLOOKUP($D140,'Werkschema - Instelling'!$AK$3:$AL$172,2,FALSE),VLOOKUP($D140,'Werkschema - Instelling'!$AM$3:$AN$172,2,FALSE))))))))</f>
        <v/>
      </c>
      <c r="I140" s="3" t="n"/>
    </row>
    <row r="141" ht="15" customHeight="1">
      <c r="A141" s="85" t="n">
        <v>134</v>
      </c>
      <c r="B141" s="86">
        <f>IF(LEFT(F141,9)="Taken van",1,IF(LEFT(F141,14)="Start vulshift",2,IF(LEFT(F141,8)="Levering",3,0)))</f>
        <v/>
      </c>
      <c r="C141" s="85">
        <f>E141-E140</f>
        <v/>
      </c>
      <c r="D141" s="1049">
        <f>SMALL(OFFSET('Werkschema - Instelling'!$AA$3:$AA$172,0,$H$6*2),A141)</f>
        <v/>
      </c>
      <c r="E141" s="1054">
        <f>IFERROR(IF(D141-D140&lt;0.0001,"",$D141-VLOOKUP($F141,'Werkschema - Instelling'!$A$3:$Z$172,26,FALSE)),1)</f>
        <v/>
      </c>
      <c r="F141" s="15">
        <f>IF(D141&gt;0.958333333,"",IF($H$6=0, VLOOKUP($D141,'Werkschema - Instelling'!$AA$3:$AO$172,15,FALSE),IF($H$6=1,VLOOKUP($D141,'Werkschema - Instelling'!$AC$3:$AO$172,13,FALSE),IF($H$6=2,VLOOKUP($D141,'Werkschema - Instelling'!$AE$3:$AO$172,11,FALSE),IF($H$6=3,VLOOKUP($D141,'Werkschema - Instelling'!$AG$3:$AO$172,9,FALSE),IF($H$6=4,VLOOKUP($D141,'Werkschema - Instelling'!$AI$3:$AO$172,7,FALSE),IF($H$6=5,VLOOKUP($D141,'Werkschema - Instelling'!$AK$3:$AO$172,5,FALSE),VLOOKUP($D141,'Werkschema - Instelling'!$AM$3:$AO$172,3,FALSE))))))))</f>
        <v/>
      </c>
      <c r="G141" s="16">
        <f>IF(D141&gt;0.958333333,"", IF($H$6=0, VLOOKUP($D141,'Werkschema - Instelling'!$AA$3:$AP$172,16,FALSE),IF($H$6=1,VLOOKUP($D141,'Werkschema - Instelling'!$AC$3:$AP$172,14,FALSE),IF($H$6=2,VLOOKUP($D141,'Werkschema - Instelling'!$AE$3:$AP$172,12,FALSE),IF($H$6=3,VLOOKUP($D141,'Werkschema - Instelling'!$AG$3:$AP$172,10,FALSE),IF($H$6=4,VLOOKUP($D141,'Werkschema - Instelling'!$AI$3:$AP$172,8,FALSE),IF($H$6=5,VLOOKUP($D141,'Werkschema - Instelling'!$AK$3:$AP$172,6,FALSE),VLOOKUP($D141,'Werkschema - Instelling'!$AM$3:$AP$172,4,FALSE))))))))</f>
        <v/>
      </c>
      <c r="H141" s="62">
        <f>IF($D141&gt;0.985333333,"", IF($H$6=0, VLOOKUP($D141,'Werkschema - Instelling'!$AA$3:$AB$172,2,FALSE),IF($H$6=1,VLOOKUP($D141,'Werkschema - Instelling'!$AC$3:$AD$172,2,FALSE),IF($H$6=2,VLOOKUP($D141,'Werkschema - Instelling'!$AE$3:$AF$172,2,FALSE),IF($H$6=3,VLOOKUP($D141,'Werkschema - Instelling'!$AG$3:$AH$172,2,FALSE),IF($H$6=4,VLOOKUP($D141,'Werkschema - Instelling'!$AI$3:$AJ$172,2,FALSE),IF($H$6=5,VLOOKUP($D141,'Werkschema - Instelling'!$AK$3:$AL$172,2,FALSE),VLOOKUP($D141,'Werkschema - Instelling'!$AM$3:$AN$172,2,FALSE))))))))</f>
        <v/>
      </c>
      <c r="I141" s="3" t="n"/>
    </row>
    <row r="142" ht="15" customHeight="1">
      <c r="A142" s="85" t="n">
        <v>135</v>
      </c>
      <c r="B142" s="86">
        <f>IF(LEFT(F142,9)="Taken van",1,IF(LEFT(F142,14)="Start vulshift",2,IF(LEFT(F142,8)="Levering",3,0)))</f>
        <v/>
      </c>
      <c r="C142" s="85">
        <f>E142-E141</f>
        <v/>
      </c>
      <c r="D142" s="1049">
        <f>SMALL(OFFSET('Werkschema - Instelling'!$AA$3:$AA$172,0,$H$6*2),A142)</f>
        <v/>
      </c>
      <c r="E142" s="1054">
        <f>IFERROR(IF(D142-D141&lt;0.0001,"",$D142-VLOOKUP($F142,'Werkschema - Instelling'!$A$3:$Z$172,26,FALSE)),1)</f>
        <v/>
      </c>
      <c r="F142" s="15">
        <f>IF(D142&gt;0.958333333,"",IF($H$6=0, VLOOKUP($D142,'Werkschema - Instelling'!$AA$3:$AO$172,15,FALSE),IF($H$6=1,VLOOKUP($D142,'Werkschema - Instelling'!$AC$3:$AO$172,13,FALSE),IF($H$6=2,VLOOKUP($D142,'Werkschema - Instelling'!$AE$3:$AO$172,11,FALSE),IF($H$6=3,VLOOKUP($D142,'Werkschema - Instelling'!$AG$3:$AO$172,9,FALSE),IF($H$6=4,VLOOKUP($D142,'Werkschema - Instelling'!$AI$3:$AO$172,7,FALSE),IF($H$6=5,VLOOKUP($D142,'Werkschema - Instelling'!$AK$3:$AO$172,5,FALSE),VLOOKUP($D142,'Werkschema - Instelling'!$AM$3:$AO$172,3,FALSE))))))))</f>
        <v/>
      </c>
      <c r="G142" s="16">
        <f>IF(D142&gt;0.958333333,"", IF($H$6=0, VLOOKUP($D142,'Werkschema - Instelling'!$AA$3:$AP$172,16,FALSE),IF($H$6=1,VLOOKUP($D142,'Werkschema - Instelling'!$AC$3:$AP$172,14,FALSE),IF($H$6=2,VLOOKUP($D142,'Werkschema - Instelling'!$AE$3:$AP$172,12,FALSE),IF($H$6=3,VLOOKUP($D142,'Werkschema - Instelling'!$AG$3:$AP$172,10,FALSE),IF($H$6=4,VLOOKUP($D142,'Werkschema - Instelling'!$AI$3:$AP$172,8,FALSE),IF($H$6=5,VLOOKUP($D142,'Werkschema - Instelling'!$AK$3:$AP$172,6,FALSE),VLOOKUP($D142,'Werkschema - Instelling'!$AM$3:$AP$172,4,FALSE))))))))</f>
        <v/>
      </c>
      <c r="H142" s="62">
        <f>IF($D142&gt;0.985333333,"", IF($H$6=0, VLOOKUP($D142,'Werkschema - Instelling'!$AA$3:$AB$172,2,FALSE),IF($H$6=1,VLOOKUP($D142,'Werkschema - Instelling'!$AC$3:$AD$172,2,FALSE),IF($H$6=2,VLOOKUP($D142,'Werkschema - Instelling'!$AE$3:$AF$172,2,FALSE),IF($H$6=3,VLOOKUP($D142,'Werkschema - Instelling'!$AG$3:$AH$172,2,FALSE),IF($H$6=4,VLOOKUP($D142,'Werkschema - Instelling'!$AI$3:$AJ$172,2,FALSE),IF($H$6=5,VLOOKUP($D142,'Werkschema - Instelling'!$AK$3:$AL$172,2,FALSE),VLOOKUP($D142,'Werkschema - Instelling'!$AM$3:$AN$172,2,FALSE))))))))</f>
        <v/>
      </c>
      <c r="I142" s="3" t="n"/>
    </row>
    <row r="143" ht="15" customHeight="1">
      <c r="A143" s="85" t="n">
        <v>136</v>
      </c>
      <c r="B143" s="86">
        <f>IF(LEFT(F143,9)="Taken van",1,IF(LEFT(F143,14)="Start vulshift",2,IF(LEFT(F143,8)="Levering",3,0)))</f>
        <v/>
      </c>
      <c r="C143" s="85">
        <f>E143-E142</f>
        <v/>
      </c>
      <c r="D143" s="1049">
        <f>SMALL(OFFSET('Werkschema - Instelling'!$AA$3:$AA$172,0,$H$6*2),A143)</f>
        <v/>
      </c>
      <c r="E143" s="1054">
        <f>IFERROR(IF(D143-D142&lt;0.0001,"",$D143-VLOOKUP($F143,'Werkschema - Instelling'!$A$3:$Z$172,26,FALSE)),1)</f>
        <v/>
      </c>
      <c r="F143" s="15">
        <f>IF(D143&gt;0.958333333,"",IF($H$6=0, VLOOKUP($D143,'Werkschema - Instelling'!$AA$3:$AO$172,15,FALSE),IF($H$6=1,VLOOKUP($D143,'Werkschema - Instelling'!$AC$3:$AO$172,13,FALSE),IF($H$6=2,VLOOKUP($D143,'Werkschema - Instelling'!$AE$3:$AO$172,11,FALSE),IF($H$6=3,VLOOKUP($D143,'Werkschema - Instelling'!$AG$3:$AO$172,9,FALSE),IF($H$6=4,VLOOKUP($D143,'Werkschema - Instelling'!$AI$3:$AO$172,7,FALSE),IF($H$6=5,VLOOKUP($D143,'Werkschema - Instelling'!$AK$3:$AO$172,5,FALSE),VLOOKUP($D143,'Werkschema - Instelling'!$AM$3:$AO$172,3,FALSE))))))))</f>
        <v/>
      </c>
      <c r="G143" s="16">
        <f>IF(D143&gt;0.958333333,"", IF($H$6=0, VLOOKUP($D143,'Werkschema - Instelling'!$AA$3:$AP$172,16,FALSE),IF($H$6=1,VLOOKUP($D143,'Werkschema - Instelling'!$AC$3:$AP$172,14,FALSE),IF($H$6=2,VLOOKUP($D143,'Werkschema - Instelling'!$AE$3:$AP$172,12,FALSE),IF($H$6=3,VLOOKUP($D143,'Werkschema - Instelling'!$AG$3:$AP$172,10,FALSE),IF($H$6=4,VLOOKUP($D143,'Werkschema - Instelling'!$AI$3:$AP$172,8,FALSE),IF($H$6=5,VLOOKUP($D143,'Werkschema - Instelling'!$AK$3:$AP$172,6,FALSE),VLOOKUP($D143,'Werkschema - Instelling'!$AM$3:$AP$172,4,FALSE))))))))</f>
        <v/>
      </c>
      <c r="H143" s="62">
        <f>IF($D143&gt;0.985333333,"", IF($H$6=0, VLOOKUP($D143,'Werkschema - Instelling'!$AA$3:$AB$172,2,FALSE),IF($H$6=1,VLOOKUP($D143,'Werkschema - Instelling'!$AC$3:$AD$172,2,FALSE),IF($H$6=2,VLOOKUP($D143,'Werkschema - Instelling'!$AE$3:$AF$172,2,FALSE),IF($H$6=3,VLOOKUP($D143,'Werkschema - Instelling'!$AG$3:$AH$172,2,FALSE),IF($H$6=4,VLOOKUP($D143,'Werkschema - Instelling'!$AI$3:$AJ$172,2,FALSE),IF($H$6=5,VLOOKUP($D143,'Werkschema - Instelling'!$AK$3:$AL$172,2,FALSE),VLOOKUP($D143,'Werkschema - Instelling'!$AM$3:$AN$172,2,FALSE))))))))</f>
        <v/>
      </c>
      <c r="I143" s="3" t="n"/>
    </row>
    <row r="144" ht="15" customHeight="1">
      <c r="A144" s="85" t="n">
        <v>137</v>
      </c>
      <c r="B144" s="86">
        <f>IF(LEFT(F144,9)="Taken van",1,IF(LEFT(F144,14)="Start vulshift",2,IF(LEFT(F144,8)="Levering",3,0)))</f>
        <v/>
      </c>
      <c r="C144" s="85">
        <f>E144-E143</f>
        <v/>
      </c>
      <c r="D144" s="1049">
        <f>SMALL(OFFSET('Werkschema - Instelling'!$AA$3:$AA$172,0,$H$6*2),A144)</f>
        <v/>
      </c>
      <c r="E144" s="1054">
        <f>IFERROR(IF(D144-D143&lt;0.0001,"",$D144-VLOOKUP($F144,'Werkschema - Instelling'!$A$3:$Z$172,26,FALSE)),1)</f>
        <v/>
      </c>
      <c r="F144" s="15">
        <f>IF(D144&gt;0.958333333,"",IF($H$6=0, VLOOKUP($D144,'Werkschema - Instelling'!$AA$3:$AO$172,15,FALSE),IF($H$6=1,VLOOKUP($D144,'Werkschema - Instelling'!$AC$3:$AO$172,13,FALSE),IF($H$6=2,VLOOKUP($D144,'Werkschema - Instelling'!$AE$3:$AO$172,11,FALSE),IF($H$6=3,VLOOKUP($D144,'Werkschema - Instelling'!$AG$3:$AO$172,9,FALSE),IF($H$6=4,VLOOKUP($D144,'Werkschema - Instelling'!$AI$3:$AO$172,7,FALSE),IF($H$6=5,VLOOKUP($D144,'Werkschema - Instelling'!$AK$3:$AO$172,5,FALSE),VLOOKUP($D144,'Werkschema - Instelling'!$AM$3:$AO$172,3,FALSE))))))))</f>
        <v/>
      </c>
      <c r="G144" s="16">
        <f>IF(D144&gt;0.958333333,"", IF($H$6=0, VLOOKUP($D144,'Werkschema - Instelling'!$AA$3:$AP$172,16,FALSE),IF($H$6=1,VLOOKUP($D144,'Werkschema - Instelling'!$AC$3:$AP$172,14,FALSE),IF($H$6=2,VLOOKUP($D144,'Werkschema - Instelling'!$AE$3:$AP$172,12,FALSE),IF($H$6=3,VLOOKUP($D144,'Werkschema - Instelling'!$AG$3:$AP$172,10,FALSE),IF($H$6=4,VLOOKUP($D144,'Werkschema - Instelling'!$AI$3:$AP$172,8,FALSE),IF($H$6=5,VLOOKUP($D144,'Werkschema - Instelling'!$AK$3:$AP$172,6,FALSE),VLOOKUP($D144,'Werkschema - Instelling'!$AM$3:$AP$172,4,FALSE))))))))</f>
        <v/>
      </c>
      <c r="H144" s="62">
        <f>IF($D144&gt;0.985333333,"", IF($H$6=0, VLOOKUP($D144,'Werkschema - Instelling'!$AA$3:$AB$172,2,FALSE),IF($H$6=1,VLOOKUP($D144,'Werkschema - Instelling'!$AC$3:$AD$172,2,FALSE),IF($H$6=2,VLOOKUP($D144,'Werkschema - Instelling'!$AE$3:$AF$172,2,FALSE),IF($H$6=3,VLOOKUP($D144,'Werkschema - Instelling'!$AG$3:$AH$172,2,FALSE),IF($H$6=4,VLOOKUP($D144,'Werkschema - Instelling'!$AI$3:$AJ$172,2,FALSE),IF($H$6=5,VLOOKUP($D144,'Werkschema - Instelling'!$AK$3:$AL$172,2,FALSE),VLOOKUP($D144,'Werkschema - Instelling'!$AM$3:$AN$172,2,FALSE))))))))</f>
        <v/>
      </c>
      <c r="I144" s="3" t="n"/>
    </row>
    <row r="145" ht="15" customHeight="1">
      <c r="A145" s="85" t="n">
        <v>138</v>
      </c>
      <c r="B145" s="86">
        <f>IF(LEFT(F145,9)="Taken van",1,IF(LEFT(F145,14)="Start vulshift",2,IF(LEFT(F145,8)="Levering",3,0)))</f>
        <v/>
      </c>
      <c r="C145" s="85">
        <f>E145-E144</f>
        <v/>
      </c>
      <c r="D145" s="1049">
        <f>SMALL(OFFSET('Werkschema - Instelling'!$AA$3:$AA$172,0,$H$6*2),A145)</f>
        <v/>
      </c>
      <c r="E145" s="1054">
        <f>IFERROR(IF(D145-D144&lt;0.0001,"",$D145-VLOOKUP($F145,'Werkschema - Instelling'!$A$3:$Z$172,26,FALSE)),1)</f>
        <v/>
      </c>
      <c r="F145" s="15">
        <f>IF(D145&gt;0.958333333,"",IF($H$6=0, VLOOKUP($D145,'Werkschema - Instelling'!$AA$3:$AO$172,15,FALSE),IF($H$6=1,VLOOKUP($D145,'Werkschema - Instelling'!$AC$3:$AO$172,13,FALSE),IF($H$6=2,VLOOKUP($D145,'Werkschema - Instelling'!$AE$3:$AO$172,11,FALSE),IF($H$6=3,VLOOKUP($D145,'Werkschema - Instelling'!$AG$3:$AO$172,9,FALSE),IF($H$6=4,VLOOKUP($D145,'Werkschema - Instelling'!$AI$3:$AO$172,7,FALSE),IF($H$6=5,VLOOKUP($D145,'Werkschema - Instelling'!$AK$3:$AO$172,5,FALSE),VLOOKUP($D145,'Werkschema - Instelling'!$AM$3:$AO$172,3,FALSE))))))))</f>
        <v/>
      </c>
      <c r="G145" s="16">
        <f>IF(D145&gt;0.958333333,"", IF($H$6=0, VLOOKUP($D145,'Werkschema - Instelling'!$AA$3:$AP$172,16,FALSE),IF($H$6=1,VLOOKUP($D145,'Werkschema - Instelling'!$AC$3:$AP$172,14,FALSE),IF($H$6=2,VLOOKUP($D145,'Werkschema - Instelling'!$AE$3:$AP$172,12,FALSE),IF($H$6=3,VLOOKUP($D145,'Werkschema - Instelling'!$AG$3:$AP$172,10,FALSE),IF($H$6=4,VLOOKUP($D145,'Werkschema - Instelling'!$AI$3:$AP$172,8,FALSE),IF($H$6=5,VLOOKUP($D145,'Werkschema - Instelling'!$AK$3:$AP$172,6,FALSE),VLOOKUP($D145,'Werkschema - Instelling'!$AM$3:$AP$172,4,FALSE))))))))</f>
        <v/>
      </c>
      <c r="H145" s="62">
        <f>IF($D145&gt;0.985333333,"", IF($H$6=0, VLOOKUP($D145,'Werkschema - Instelling'!$AA$3:$AB$172,2,FALSE),IF($H$6=1,VLOOKUP($D145,'Werkschema - Instelling'!$AC$3:$AD$172,2,FALSE),IF($H$6=2,VLOOKUP($D145,'Werkschema - Instelling'!$AE$3:$AF$172,2,FALSE),IF($H$6=3,VLOOKUP($D145,'Werkschema - Instelling'!$AG$3:$AH$172,2,FALSE),IF($H$6=4,VLOOKUP($D145,'Werkschema - Instelling'!$AI$3:$AJ$172,2,FALSE),IF($H$6=5,VLOOKUP($D145,'Werkschema - Instelling'!$AK$3:$AL$172,2,FALSE),VLOOKUP($D145,'Werkschema - Instelling'!$AM$3:$AN$172,2,FALSE))))))))</f>
        <v/>
      </c>
      <c r="I145" s="3" t="n"/>
    </row>
    <row r="146" ht="15" customHeight="1">
      <c r="A146" s="85" t="n">
        <v>139</v>
      </c>
      <c r="B146" s="86">
        <f>IF(LEFT(F146,9)="Taken van",1,IF(LEFT(F146,14)="Start vulshift",2,IF(LEFT(F146,8)="Levering",3,0)))</f>
        <v/>
      </c>
      <c r="C146" s="85">
        <f>E146-E145</f>
        <v/>
      </c>
      <c r="D146" s="1049">
        <f>SMALL(OFFSET('Werkschema - Instelling'!$AA$3:$AA$172,0,$H$6*2),A146)</f>
        <v/>
      </c>
      <c r="E146" s="1054">
        <f>IFERROR(IF(D146-D145&lt;0.0001,"",$D146-VLOOKUP($F146,'Werkschema - Instelling'!$A$3:$Z$172,26,FALSE)),1)</f>
        <v/>
      </c>
      <c r="F146" s="15">
        <f>IF(D146&gt;0.958333333,"",IF($H$6=0, VLOOKUP($D146,'Werkschema - Instelling'!$AA$3:$AO$172,15,FALSE),IF($H$6=1,VLOOKUP($D146,'Werkschema - Instelling'!$AC$3:$AO$172,13,FALSE),IF($H$6=2,VLOOKUP($D146,'Werkschema - Instelling'!$AE$3:$AO$172,11,FALSE),IF($H$6=3,VLOOKUP($D146,'Werkschema - Instelling'!$AG$3:$AO$172,9,FALSE),IF($H$6=4,VLOOKUP($D146,'Werkschema - Instelling'!$AI$3:$AO$172,7,FALSE),IF($H$6=5,VLOOKUP($D146,'Werkschema - Instelling'!$AK$3:$AO$172,5,FALSE),VLOOKUP($D146,'Werkschema - Instelling'!$AM$3:$AO$172,3,FALSE))))))))</f>
        <v/>
      </c>
      <c r="G146" s="16">
        <f>IF(D146&gt;0.958333333,"", IF($H$6=0, VLOOKUP($D146,'Werkschema - Instelling'!$AA$3:$AP$172,16,FALSE),IF($H$6=1,VLOOKUP($D146,'Werkschema - Instelling'!$AC$3:$AP$172,14,FALSE),IF($H$6=2,VLOOKUP($D146,'Werkschema - Instelling'!$AE$3:$AP$172,12,FALSE),IF($H$6=3,VLOOKUP($D146,'Werkschema - Instelling'!$AG$3:$AP$172,10,FALSE),IF($H$6=4,VLOOKUP($D146,'Werkschema - Instelling'!$AI$3:$AP$172,8,FALSE),IF($H$6=5,VLOOKUP($D146,'Werkschema - Instelling'!$AK$3:$AP$172,6,FALSE),VLOOKUP($D146,'Werkschema - Instelling'!$AM$3:$AP$172,4,FALSE))))))))</f>
        <v/>
      </c>
      <c r="H146" s="62">
        <f>IF($D146&gt;0.985333333,"", IF($H$6=0, VLOOKUP($D146,'Werkschema - Instelling'!$AA$3:$AB$172,2,FALSE),IF($H$6=1,VLOOKUP($D146,'Werkschema - Instelling'!$AC$3:$AD$172,2,FALSE),IF($H$6=2,VLOOKUP($D146,'Werkschema - Instelling'!$AE$3:$AF$172,2,FALSE),IF($H$6=3,VLOOKUP($D146,'Werkschema - Instelling'!$AG$3:$AH$172,2,FALSE),IF($H$6=4,VLOOKUP($D146,'Werkschema - Instelling'!$AI$3:$AJ$172,2,FALSE),IF($H$6=5,VLOOKUP($D146,'Werkschema - Instelling'!$AK$3:$AL$172,2,FALSE),VLOOKUP($D146,'Werkschema - Instelling'!$AM$3:$AN$172,2,FALSE))))))))</f>
        <v/>
      </c>
      <c r="I146" s="3" t="n"/>
    </row>
    <row r="147" ht="15" customHeight="1">
      <c r="A147" s="85" t="n">
        <v>140</v>
      </c>
      <c r="B147" s="86">
        <f>IF(LEFT(F147,9)="Taken van",1,IF(LEFT(F147,14)="Start vulshift",2,IF(LEFT(F147,8)="Levering",3,0)))</f>
        <v/>
      </c>
      <c r="C147" s="85">
        <f>E147-E146</f>
        <v/>
      </c>
      <c r="D147" s="1049">
        <f>SMALL(OFFSET('Werkschema - Instelling'!$AA$3:$AA$172,0,$H$6*2),A147)</f>
        <v/>
      </c>
      <c r="E147" s="1054">
        <f>IFERROR(IF(D147-D146&lt;0.0001,"",$D147-VLOOKUP($F147,'Werkschema - Instelling'!$A$3:$Z$172,26,FALSE)),1)</f>
        <v/>
      </c>
      <c r="F147" s="15">
        <f>IF(D147&gt;0.958333333,"",IF($H$6=0, VLOOKUP($D147,'Werkschema - Instelling'!$AA$3:$AO$172,15,FALSE),IF($H$6=1,VLOOKUP($D147,'Werkschema - Instelling'!$AC$3:$AO$172,13,FALSE),IF($H$6=2,VLOOKUP($D147,'Werkschema - Instelling'!$AE$3:$AO$172,11,FALSE),IF($H$6=3,VLOOKUP($D147,'Werkschema - Instelling'!$AG$3:$AO$172,9,FALSE),IF($H$6=4,VLOOKUP($D147,'Werkschema - Instelling'!$AI$3:$AO$172,7,FALSE),IF($H$6=5,VLOOKUP($D147,'Werkschema - Instelling'!$AK$3:$AO$172,5,FALSE),VLOOKUP($D147,'Werkschema - Instelling'!$AM$3:$AO$172,3,FALSE))))))))</f>
        <v/>
      </c>
      <c r="G147" s="16">
        <f>IF(D147&gt;0.958333333,"", IF($H$6=0, VLOOKUP($D147,'Werkschema - Instelling'!$AA$3:$AP$172,16,FALSE),IF($H$6=1,VLOOKUP($D147,'Werkschema - Instelling'!$AC$3:$AP$172,14,FALSE),IF($H$6=2,VLOOKUP($D147,'Werkschema - Instelling'!$AE$3:$AP$172,12,FALSE),IF($H$6=3,VLOOKUP($D147,'Werkschema - Instelling'!$AG$3:$AP$172,10,FALSE),IF($H$6=4,VLOOKUP($D147,'Werkschema - Instelling'!$AI$3:$AP$172,8,FALSE),IF($H$6=5,VLOOKUP($D147,'Werkschema - Instelling'!$AK$3:$AP$172,6,FALSE),VLOOKUP($D147,'Werkschema - Instelling'!$AM$3:$AP$172,4,FALSE))))))))</f>
        <v/>
      </c>
      <c r="H147" s="62">
        <f>IF($D147&gt;0.985333333,"", IF($H$6=0, VLOOKUP($D147,'Werkschema - Instelling'!$AA$3:$AB$172,2,FALSE),IF($H$6=1,VLOOKUP($D147,'Werkschema - Instelling'!$AC$3:$AD$172,2,FALSE),IF($H$6=2,VLOOKUP($D147,'Werkschema - Instelling'!$AE$3:$AF$172,2,FALSE),IF($H$6=3,VLOOKUP($D147,'Werkschema - Instelling'!$AG$3:$AH$172,2,FALSE),IF($H$6=4,VLOOKUP($D147,'Werkschema - Instelling'!$AI$3:$AJ$172,2,FALSE),IF($H$6=5,VLOOKUP($D147,'Werkschema - Instelling'!$AK$3:$AL$172,2,FALSE),VLOOKUP($D147,'Werkschema - Instelling'!$AM$3:$AN$172,2,FALSE))))))))</f>
        <v/>
      </c>
      <c r="I147" s="3" t="n"/>
    </row>
    <row r="148" ht="15" customHeight="1">
      <c r="A148" s="85" t="n">
        <v>141</v>
      </c>
      <c r="B148" s="86">
        <f>IF(LEFT(F148,9)="Taken van",1,IF(LEFT(F148,14)="Start vulshift",2,IF(LEFT(F148,8)="Levering",3,0)))</f>
        <v/>
      </c>
      <c r="C148" s="85">
        <f>E148-E147</f>
        <v/>
      </c>
      <c r="D148" s="1049">
        <f>SMALL(OFFSET('Werkschema - Instelling'!$AA$3:$AA$172,0,$H$6*2),A148)</f>
        <v/>
      </c>
      <c r="E148" s="1054">
        <f>IFERROR(IF(D148-D147&lt;0.0001,"",$D148-VLOOKUP($F148,'Werkschema - Instelling'!$A$3:$Z$172,26,FALSE)),1)</f>
        <v/>
      </c>
      <c r="F148" s="15">
        <f>IF(D148&gt;0.958333333,"",IF($H$6=0, VLOOKUP($D148,'Werkschema - Instelling'!$AA$3:$AO$172,15,FALSE),IF($H$6=1,VLOOKUP($D148,'Werkschema - Instelling'!$AC$3:$AO$172,13,FALSE),IF($H$6=2,VLOOKUP($D148,'Werkschema - Instelling'!$AE$3:$AO$172,11,FALSE),IF($H$6=3,VLOOKUP($D148,'Werkschema - Instelling'!$AG$3:$AO$172,9,FALSE),IF($H$6=4,VLOOKUP($D148,'Werkschema - Instelling'!$AI$3:$AO$172,7,FALSE),IF($H$6=5,VLOOKUP($D148,'Werkschema - Instelling'!$AK$3:$AO$172,5,FALSE),VLOOKUP($D148,'Werkschema - Instelling'!$AM$3:$AO$172,3,FALSE))))))))</f>
        <v/>
      </c>
      <c r="G148" s="16">
        <f>IF(D148&gt;0.958333333,"", IF($H$6=0, VLOOKUP($D148,'Werkschema - Instelling'!$AA$3:$AP$172,16,FALSE),IF($H$6=1,VLOOKUP($D148,'Werkschema - Instelling'!$AC$3:$AP$172,14,FALSE),IF($H$6=2,VLOOKUP($D148,'Werkschema - Instelling'!$AE$3:$AP$172,12,FALSE),IF($H$6=3,VLOOKUP($D148,'Werkschema - Instelling'!$AG$3:$AP$172,10,FALSE),IF($H$6=4,VLOOKUP($D148,'Werkschema - Instelling'!$AI$3:$AP$172,8,FALSE),IF($H$6=5,VLOOKUP($D148,'Werkschema - Instelling'!$AK$3:$AP$172,6,FALSE),VLOOKUP($D148,'Werkschema - Instelling'!$AM$3:$AP$172,4,FALSE))))))))</f>
        <v/>
      </c>
      <c r="H148" s="62">
        <f>IF($D148&gt;0.985333333,"", IF($H$6=0, VLOOKUP($D148,'Werkschema - Instelling'!$AA$3:$AB$172,2,FALSE),IF($H$6=1,VLOOKUP($D148,'Werkschema - Instelling'!$AC$3:$AD$172,2,FALSE),IF($H$6=2,VLOOKUP($D148,'Werkschema - Instelling'!$AE$3:$AF$172,2,FALSE),IF($H$6=3,VLOOKUP($D148,'Werkschema - Instelling'!$AG$3:$AH$172,2,FALSE),IF($H$6=4,VLOOKUP($D148,'Werkschema - Instelling'!$AI$3:$AJ$172,2,FALSE),IF($H$6=5,VLOOKUP($D148,'Werkschema - Instelling'!$AK$3:$AL$172,2,FALSE),VLOOKUP($D148,'Werkschema - Instelling'!$AM$3:$AN$172,2,FALSE))))))))</f>
        <v/>
      </c>
      <c r="I148" s="3" t="n"/>
    </row>
    <row r="149" ht="15" customHeight="1">
      <c r="A149" s="85" t="n">
        <v>142</v>
      </c>
      <c r="B149" s="86">
        <f>IF(LEFT(F149,9)="Taken van",1,IF(LEFT(F149,14)="Start vulshift",2,IF(LEFT(F149,8)="Levering",3,0)))</f>
        <v/>
      </c>
      <c r="C149" s="85">
        <f>E149-E148</f>
        <v/>
      </c>
      <c r="D149" s="1049">
        <f>SMALL(OFFSET('Werkschema - Instelling'!$AA$3:$AA$172,0,$H$6*2),A149)</f>
        <v/>
      </c>
      <c r="E149" s="1054">
        <f>IFERROR(IF(D149-D148&lt;0.0001,"",$D149-VLOOKUP($F149,'Werkschema - Instelling'!$A$3:$Z$172,26,FALSE)),1)</f>
        <v/>
      </c>
      <c r="F149" s="15">
        <f>IF(D149&gt;0.958333333,"",IF($H$6=0, VLOOKUP($D149,'Werkschema - Instelling'!$AA$3:$AO$172,15,FALSE),IF($H$6=1,VLOOKUP($D149,'Werkschema - Instelling'!$AC$3:$AO$172,13,FALSE),IF($H$6=2,VLOOKUP($D149,'Werkschema - Instelling'!$AE$3:$AO$172,11,FALSE),IF($H$6=3,VLOOKUP($D149,'Werkschema - Instelling'!$AG$3:$AO$172,9,FALSE),IF($H$6=4,VLOOKUP($D149,'Werkschema - Instelling'!$AI$3:$AO$172,7,FALSE),IF($H$6=5,VLOOKUP($D149,'Werkschema - Instelling'!$AK$3:$AO$172,5,FALSE),VLOOKUP($D149,'Werkschema - Instelling'!$AM$3:$AO$172,3,FALSE))))))))</f>
        <v/>
      </c>
      <c r="G149" s="16">
        <f>IF(D149&gt;0.958333333,"", IF($H$6=0, VLOOKUP($D149,'Werkschema - Instelling'!$AA$3:$AP$172,16,FALSE),IF($H$6=1,VLOOKUP($D149,'Werkschema - Instelling'!$AC$3:$AP$172,14,FALSE),IF($H$6=2,VLOOKUP($D149,'Werkschema - Instelling'!$AE$3:$AP$172,12,FALSE),IF($H$6=3,VLOOKUP($D149,'Werkschema - Instelling'!$AG$3:$AP$172,10,FALSE),IF($H$6=4,VLOOKUP($D149,'Werkschema - Instelling'!$AI$3:$AP$172,8,FALSE),IF($H$6=5,VLOOKUP($D149,'Werkschema - Instelling'!$AK$3:$AP$172,6,FALSE),VLOOKUP($D149,'Werkschema - Instelling'!$AM$3:$AP$172,4,FALSE))))))))</f>
        <v/>
      </c>
      <c r="H149" s="62">
        <f>IF($D149&gt;0.985333333,"", IF($H$6=0, VLOOKUP($D149,'Werkschema - Instelling'!$AA$3:$AB$172,2,FALSE),IF($H$6=1,VLOOKUP($D149,'Werkschema - Instelling'!$AC$3:$AD$172,2,FALSE),IF($H$6=2,VLOOKUP($D149,'Werkschema - Instelling'!$AE$3:$AF$172,2,FALSE),IF($H$6=3,VLOOKUP($D149,'Werkschema - Instelling'!$AG$3:$AH$172,2,FALSE),IF($H$6=4,VLOOKUP($D149,'Werkschema - Instelling'!$AI$3:$AJ$172,2,FALSE),IF($H$6=5,VLOOKUP($D149,'Werkschema - Instelling'!$AK$3:$AL$172,2,FALSE),VLOOKUP($D149,'Werkschema - Instelling'!$AM$3:$AN$172,2,FALSE))))))))</f>
        <v/>
      </c>
      <c r="I149" s="3" t="n"/>
    </row>
    <row r="150" ht="15" customHeight="1">
      <c r="A150" s="85" t="n">
        <v>143</v>
      </c>
      <c r="B150" s="86">
        <f>IF(LEFT(F150,9)="Taken van",1,IF(LEFT(F150,14)="Start vulshift",2,IF(LEFT(F150,8)="Levering",3,0)))</f>
        <v/>
      </c>
      <c r="C150" s="85">
        <f>E150-E149</f>
        <v/>
      </c>
      <c r="D150" s="1049">
        <f>SMALL(OFFSET('Werkschema - Instelling'!$AA$3:$AA$172,0,$H$6*2),A150)</f>
        <v/>
      </c>
      <c r="E150" s="1054">
        <f>IFERROR(IF(D150-D149&lt;0.0001,"",$D150-VLOOKUP($F150,'Werkschema - Instelling'!$A$3:$Z$172,26,FALSE)),1)</f>
        <v/>
      </c>
      <c r="F150" s="15">
        <f>IF(D150&gt;0.958333333,"",IF($H$6=0, VLOOKUP($D150,'Werkschema - Instelling'!$AA$3:$AO$172,15,FALSE),IF($H$6=1,VLOOKUP($D150,'Werkschema - Instelling'!$AC$3:$AO$172,13,FALSE),IF($H$6=2,VLOOKUP($D150,'Werkschema - Instelling'!$AE$3:$AO$172,11,FALSE),IF($H$6=3,VLOOKUP($D150,'Werkschema - Instelling'!$AG$3:$AO$172,9,FALSE),IF($H$6=4,VLOOKUP($D150,'Werkschema - Instelling'!$AI$3:$AO$172,7,FALSE),IF($H$6=5,VLOOKUP($D150,'Werkschema - Instelling'!$AK$3:$AO$172,5,FALSE),VLOOKUP($D150,'Werkschema - Instelling'!$AM$3:$AO$172,3,FALSE))))))))</f>
        <v/>
      </c>
      <c r="G150" s="16">
        <f>IF(D150&gt;0.958333333,"", IF($H$6=0, VLOOKUP($D150,'Werkschema - Instelling'!$AA$3:$AP$172,16,FALSE),IF($H$6=1,VLOOKUP($D150,'Werkschema - Instelling'!$AC$3:$AP$172,14,FALSE),IF($H$6=2,VLOOKUP($D150,'Werkschema - Instelling'!$AE$3:$AP$172,12,FALSE),IF($H$6=3,VLOOKUP($D150,'Werkschema - Instelling'!$AG$3:$AP$172,10,FALSE),IF($H$6=4,VLOOKUP($D150,'Werkschema - Instelling'!$AI$3:$AP$172,8,FALSE),IF($H$6=5,VLOOKUP($D150,'Werkschema - Instelling'!$AK$3:$AP$172,6,FALSE),VLOOKUP($D150,'Werkschema - Instelling'!$AM$3:$AP$172,4,FALSE))))))))</f>
        <v/>
      </c>
      <c r="H150" s="62">
        <f>IF($D150&gt;0.985333333,"", IF($H$6=0, VLOOKUP($D150,'Werkschema - Instelling'!$AA$3:$AB$172,2,FALSE),IF($H$6=1,VLOOKUP($D150,'Werkschema - Instelling'!$AC$3:$AD$172,2,FALSE),IF($H$6=2,VLOOKUP($D150,'Werkschema - Instelling'!$AE$3:$AF$172,2,FALSE),IF($H$6=3,VLOOKUP($D150,'Werkschema - Instelling'!$AG$3:$AH$172,2,FALSE),IF($H$6=4,VLOOKUP($D150,'Werkschema - Instelling'!$AI$3:$AJ$172,2,FALSE),IF($H$6=5,VLOOKUP($D150,'Werkschema - Instelling'!$AK$3:$AL$172,2,FALSE),VLOOKUP($D150,'Werkschema - Instelling'!$AM$3:$AN$172,2,FALSE))))))))</f>
        <v/>
      </c>
      <c r="I150" s="3" t="n"/>
    </row>
    <row r="151" ht="15" customHeight="1">
      <c r="A151" s="85" t="n">
        <v>144</v>
      </c>
      <c r="B151" s="86">
        <f>IF(LEFT(F151,9)="Taken van",1,IF(LEFT(F151,14)="Start vulshift",2,IF(LEFT(F151,8)="Levering",3,0)))</f>
        <v/>
      </c>
      <c r="C151" s="85">
        <f>E151-E150</f>
        <v/>
      </c>
      <c r="D151" s="1049">
        <f>SMALL(OFFSET('Werkschema - Instelling'!$AA$3:$AA$172,0,$H$6*2),A151)</f>
        <v/>
      </c>
      <c r="E151" s="1054">
        <f>IFERROR(IF(D151-D150&lt;0.0001,"",$D151-VLOOKUP($F151,'Werkschema - Instelling'!$A$3:$Z$172,26,FALSE)),1)</f>
        <v/>
      </c>
      <c r="F151" s="15">
        <f>IF(D151&gt;0.958333333,"",IF($H$6=0, VLOOKUP($D151,'Werkschema - Instelling'!$AA$3:$AO$172,15,FALSE),IF($H$6=1,VLOOKUP($D151,'Werkschema - Instelling'!$AC$3:$AO$172,13,FALSE),IF($H$6=2,VLOOKUP($D151,'Werkschema - Instelling'!$AE$3:$AO$172,11,FALSE),IF($H$6=3,VLOOKUP($D151,'Werkschema - Instelling'!$AG$3:$AO$172,9,FALSE),IF($H$6=4,VLOOKUP($D151,'Werkschema - Instelling'!$AI$3:$AO$172,7,FALSE),IF($H$6=5,VLOOKUP($D151,'Werkschema - Instelling'!$AK$3:$AO$172,5,FALSE),VLOOKUP($D151,'Werkschema - Instelling'!$AM$3:$AO$172,3,FALSE))))))))</f>
        <v/>
      </c>
      <c r="G151" s="16">
        <f>IF(D151&gt;0.958333333,"", IF($H$6=0, VLOOKUP($D151,'Werkschema - Instelling'!$AA$3:$AP$172,16,FALSE),IF($H$6=1,VLOOKUP($D151,'Werkschema - Instelling'!$AC$3:$AP$172,14,FALSE),IF($H$6=2,VLOOKUP($D151,'Werkschema - Instelling'!$AE$3:$AP$172,12,FALSE),IF($H$6=3,VLOOKUP($D151,'Werkschema - Instelling'!$AG$3:$AP$172,10,FALSE),IF($H$6=4,VLOOKUP($D151,'Werkschema - Instelling'!$AI$3:$AP$172,8,FALSE),IF($H$6=5,VLOOKUP($D151,'Werkschema - Instelling'!$AK$3:$AP$172,6,FALSE),VLOOKUP($D151,'Werkschema - Instelling'!$AM$3:$AP$172,4,FALSE))))))))</f>
        <v/>
      </c>
      <c r="H151" s="62">
        <f>IF($D151&gt;0.985333333,"", IF($H$6=0, VLOOKUP($D151,'Werkschema - Instelling'!$AA$3:$AB$172,2,FALSE),IF($H$6=1,VLOOKUP($D151,'Werkschema - Instelling'!$AC$3:$AD$172,2,FALSE),IF($H$6=2,VLOOKUP($D151,'Werkschema - Instelling'!$AE$3:$AF$172,2,FALSE),IF($H$6=3,VLOOKUP($D151,'Werkschema - Instelling'!$AG$3:$AH$172,2,FALSE),IF($H$6=4,VLOOKUP($D151,'Werkschema - Instelling'!$AI$3:$AJ$172,2,FALSE),IF($H$6=5,VLOOKUP($D151,'Werkschema - Instelling'!$AK$3:$AL$172,2,FALSE),VLOOKUP($D151,'Werkschema - Instelling'!$AM$3:$AN$172,2,FALSE))))))))</f>
        <v/>
      </c>
      <c r="I151" s="3" t="n"/>
    </row>
    <row r="152" ht="15" customHeight="1">
      <c r="A152" s="85" t="n">
        <v>145</v>
      </c>
      <c r="B152" s="86">
        <f>IF(LEFT(F152,9)="Taken van",1,IF(LEFT(F152,14)="Start vulshift",2,IF(LEFT(F152,8)="Levering",3,0)))</f>
        <v/>
      </c>
      <c r="C152" s="85">
        <f>E152-E151</f>
        <v/>
      </c>
      <c r="D152" s="1049">
        <f>SMALL(OFFSET('Werkschema - Instelling'!$AA$3:$AA$172,0,$H$6*2),A152)</f>
        <v/>
      </c>
      <c r="E152" s="1054">
        <f>IFERROR(IF(D152-D151&lt;0.0001,"",$D152-VLOOKUP($F152,'Werkschema - Instelling'!$A$3:$Z$172,26,FALSE)),1)</f>
        <v/>
      </c>
      <c r="F152" s="15">
        <f>IF(D152&gt;0.958333333,"",IF($H$6=0, VLOOKUP($D152,'Werkschema - Instelling'!$AA$3:$AO$172,15,FALSE),IF($H$6=1,VLOOKUP($D152,'Werkschema - Instelling'!$AC$3:$AO$172,13,FALSE),IF($H$6=2,VLOOKUP($D152,'Werkschema - Instelling'!$AE$3:$AO$172,11,FALSE),IF($H$6=3,VLOOKUP($D152,'Werkschema - Instelling'!$AG$3:$AO$172,9,FALSE),IF($H$6=4,VLOOKUP($D152,'Werkschema - Instelling'!$AI$3:$AO$172,7,FALSE),IF($H$6=5,VLOOKUP($D152,'Werkschema - Instelling'!$AK$3:$AO$172,5,FALSE),VLOOKUP($D152,'Werkschema - Instelling'!$AM$3:$AO$172,3,FALSE))))))))</f>
        <v/>
      </c>
      <c r="G152" s="16">
        <f>IF(D152&gt;0.958333333,"", IF($H$6=0, VLOOKUP($D152,'Werkschema - Instelling'!$AA$3:$AP$172,16,FALSE),IF($H$6=1,VLOOKUP($D152,'Werkschema - Instelling'!$AC$3:$AP$172,14,FALSE),IF($H$6=2,VLOOKUP($D152,'Werkschema - Instelling'!$AE$3:$AP$172,12,FALSE),IF($H$6=3,VLOOKUP($D152,'Werkschema - Instelling'!$AG$3:$AP$172,10,FALSE),IF($H$6=4,VLOOKUP($D152,'Werkschema - Instelling'!$AI$3:$AP$172,8,FALSE),IF($H$6=5,VLOOKUP($D152,'Werkschema - Instelling'!$AK$3:$AP$172,6,FALSE),VLOOKUP($D152,'Werkschema - Instelling'!$AM$3:$AP$172,4,FALSE))))))))</f>
        <v/>
      </c>
      <c r="H152" s="62">
        <f>IF($D152&gt;0.985333333,"", IF($H$6=0, VLOOKUP($D152,'Werkschema - Instelling'!$AA$3:$AB$172,2,FALSE),IF($H$6=1,VLOOKUP($D152,'Werkschema - Instelling'!$AC$3:$AD$172,2,FALSE),IF($H$6=2,VLOOKUP($D152,'Werkschema - Instelling'!$AE$3:$AF$172,2,FALSE),IF($H$6=3,VLOOKUP($D152,'Werkschema - Instelling'!$AG$3:$AH$172,2,FALSE),IF($H$6=4,VLOOKUP($D152,'Werkschema - Instelling'!$AI$3:$AJ$172,2,FALSE),IF($H$6=5,VLOOKUP($D152,'Werkschema - Instelling'!$AK$3:$AL$172,2,FALSE),VLOOKUP($D152,'Werkschema - Instelling'!$AM$3:$AN$172,2,FALSE))))))))</f>
        <v/>
      </c>
      <c r="I152" s="3" t="n"/>
    </row>
    <row r="153" ht="15" customHeight="1">
      <c r="A153" s="85" t="n">
        <v>146</v>
      </c>
      <c r="B153" s="86">
        <f>IF(LEFT(F153,9)="Taken van",1,IF(LEFT(F153,14)="Start vulshift",2,IF(LEFT(F153,8)="Levering",3,0)))</f>
        <v/>
      </c>
      <c r="C153" s="85">
        <f>E153-E152</f>
        <v/>
      </c>
      <c r="D153" s="1049">
        <f>SMALL(OFFSET('Werkschema - Instelling'!$AA$3:$AA$172,0,$H$6*2),A153)</f>
        <v/>
      </c>
      <c r="E153" s="1054">
        <f>IFERROR(IF(D153-D152&lt;0.0001,"",$D153-VLOOKUP($F153,'Werkschema - Instelling'!$A$3:$Z$172,26,FALSE)),1)</f>
        <v/>
      </c>
      <c r="F153" s="15">
        <f>IF(D153&gt;0.958333333,"",IF($H$6=0, VLOOKUP($D153,'Werkschema - Instelling'!$AA$3:$AO$172,15,FALSE),IF($H$6=1,VLOOKUP($D153,'Werkschema - Instelling'!$AC$3:$AO$172,13,FALSE),IF($H$6=2,VLOOKUP($D153,'Werkschema - Instelling'!$AE$3:$AO$172,11,FALSE),IF($H$6=3,VLOOKUP($D153,'Werkschema - Instelling'!$AG$3:$AO$172,9,FALSE),IF($H$6=4,VLOOKUP($D153,'Werkschema - Instelling'!$AI$3:$AO$172,7,FALSE),IF($H$6=5,VLOOKUP($D153,'Werkschema - Instelling'!$AK$3:$AO$172,5,FALSE),VLOOKUP($D153,'Werkschema - Instelling'!$AM$3:$AO$172,3,FALSE))))))))</f>
        <v/>
      </c>
      <c r="G153" s="16">
        <f>IF(D153&gt;0.958333333,"", IF($H$6=0, VLOOKUP($D153,'Werkschema - Instelling'!$AA$3:$AP$172,16,FALSE),IF($H$6=1,VLOOKUP($D153,'Werkschema - Instelling'!$AC$3:$AP$172,14,FALSE),IF($H$6=2,VLOOKUP($D153,'Werkschema - Instelling'!$AE$3:$AP$172,12,FALSE),IF($H$6=3,VLOOKUP($D153,'Werkschema - Instelling'!$AG$3:$AP$172,10,FALSE),IF($H$6=4,VLOOKUP($D153,'Werkschema - Instelling'!$AI$3:$AP$172,8,FALSE),IF($H$6=5,VLOOKUP($D153,'Werkschema - Instelling'!$AK$3:$AP$172,6,FALSE),VLOOKUP($D153,'Werkschema - Instelling'!$AM$3:$AP$172,4,FALSE))))))))</f>
        <v/>
      </c>
      <c r="H153" s="62">
        <f>IF($D153&gt;0.985333333,"", IF($H$6=0, VLOOKUP($D153,'Werkschema - Instelling'!$AA$3:$AB$172,2,FALSE),IF($H$6=1,VLOOKUP($D153,'Werkschema - Instelling'!$AC$3:$AD$172,2,FALSE),IF($H$6=2,VLOOKUP($D153,'Werkschema - Instelling'!$AE$3:$AF$172,2,FALSE),IF($H$6=3,VLOOKUP($D153,'Werkschema - Instelling'!$AG$3:$AH$172,2,FALSE),IF($H$6=4,VLOOKUP($D153,'Werkschema - Instelling'!$AI$3:$AJ$172,2,FALSE),IF($H$6=5,VLOOKUP($D153,'Werkschema - Instelling'!$AK$3:$AL$172,2,FALSE),VLOOKUP($D153,'Werkschema - Instelling'!$AM$3:$AN$172,2,FALSE))))))))</f>
        <v/>
      </c>
      <c r="I153" s="3" t="n"/>
    </row>
    <row r="154" ht="15" customHeight="1">
      <c r="A154" s="85" t="n">
        <v>147</v>
      </c>
      <c r="B154" s="86">
        <f>IF(LEFT(F154,9)="Taken van",1,IF(LEFT(F154,14)="Start vulshift",2,IF(LEFT(F154,8)="Levering",3,0)))</f>
        <v/>
      </c>
      <c r="C154" s="85">
        <f>E154-E153</f>
        <v/>
      </c>
      <c r="D154" s="1049">
        <f>SMALL(OFFSET('Werkschema - Instelling'!$AA$3:$AA$172,0,$H$6*2),A154)</f>
        <v/>
      </c>
      <c r="E154" s="1054">
        <f>IFERROR(IF(D154-D153&lt;0.0001,"",$D154-VLOOKUP($F154,'Werkschema - Instelling'!$A$3:$Z$172,26,FALSE)),1)</f>
        <v/>
      </c>
      <c r="F154" s="15">
        <f>IF(D154&gt;0.958333333,"",IF($H$6=0, VLOOKUP($D154,'Werkschema - Instelling'!$AA$3:$AO$172,15,FALSE),IF($H$6=1,VLOOKUP($D154,'Werkschema - Instelling'!$AC$3:$AO$172,13,FALSE),IF($H$6=2,VLOOKUP($D154,'Werkschema - Instelling'!$AE$3:$AO$172,11,FALSE),IF($H$6=3,VLOOKUP($D154,'Werkschema - Instelling'!$AG$3:$AO$172,9,FALSE),IF($H$6=4,VLOOKUP($D154,'Werkschema - Instelling'!$AI$3:$AO$172,7,FALSE),IF($H$6=5,VLOOKUP($D154,'Werkschema - Instelling'!$AK$3:$AO$172,5,FALSE),VLOOKUP($D154,'Werkschema - Instelling'!$AM$3:$AO$172,3,FALSE))))))))</f>
        <v/>
      </c>
      <c r="G154" s="16">
        <f>IF(D154&gt;0.958333333,"", IF($H$6=0, VLOOKUP($D154,'Werkschema - Instelling'!$AA$3:$AP$172,16,FALSE),IF($H$6=1,VLOOKUP($D154,'Werkschema - Instelling'!$AC$3:$AP$172,14,FALSE),IF($H$6=2,VLOOKUP($D154,'Werkschema - Instelling'!$AE$3:$AP$172,12,FALSE),IF($H$6=3,VLOOKUP($D154,'Werkschema - Instelling'!$AG$3:$AP$172,10,FALSE),IF($H$6=4,VLOOKUP($D154,'Werkschema - Instelling'!$AI$3:$AP$172,8,FALSE),IF($H$6=5,VLOOKUP($D154,'Werkschema - Instelling'!$AK$3:$AP$172,6,FALSE),VLOOKUP($D154,'Werkschema - Instelling'!$AM$3:$AP$172,4,FALSE))))))))</f>
        <v/>
      </c>
      <c r="H154" s="62">
        <f>IF($D154&gt;0.985333333,"", IF($H$6=0, VLOOKUP($D154,'Werkschema - Instelling'!$AA$3:$AB$172,2,FALSE),IF($H$6=1,VLOOKUP($D154,'Werkschema - Instelling'!$AC$3:$AD$172,2,FALSE),IF($H$6=2,VLOOKUP($D154,'Werkschema - Instelling'!$AE$3:$AF$172,2,FALSE),IF($H$6=3,VLOOKUP($D154,'Werkschema - Instelling'!$AG$3:$AH$172,2,FALSE),IF($H$6=4,VLOOKUP($D154,'Werkschema - Instelling'!$AI$3:$AJ$172,2,FALSE),IF($H$6=5,VLOOKUP($D154,'Werkschema - Instelling'!$AK$3:$AL$172,2,FALSE),VLOOKUP($D154,'Werkschema - Instelling'!$AM$3:$AN$172,2,FALSE))))))))</f>
        <v/>
      </c>
      <c r="I154" s="3" t="n"/>
    </row>
    <row r="155" ht="15" customHeight="1">
      <c r="A155" s="85" t="n">
        <v>148</v>
      </c>
      <c r="B155" s="86">
        <f>IF(LEFT(F155,9)="Taken van",1,IF(LEFT(F155,14)="Start vulshift",2,IF(LEFT(F155,8)="Levering",3,0)))</f>
        <v/>
      </c>
      <c r="C155" s="85">
        <f>E155-E154</f>
        <v/>
      </c>
      <c r="D155" s="1049">
        <f>SMALL(OFFSET('Werkschema - Instelling'!$AA$3:$AA$172,0,$H$6*2),A155)</f>
        <v/>
      </c>
      <c r="E155" s="1054">
        <f>IFERROR(IF(D155-D154&lt;0.0001,"",$D155-VLOOKUP($F155,'Werkschema - Instelling'!$A$3:$Z$172,26,FALSE)),1)</f>
        <v/>
      </c>
      <c r="F155" s="15">
        <f>IF(D155&gt;0.958333333,"",IF($H$6=0, VLOOKUP($D155,'Werkschema - Instelling'!$AA$3:$AO$172,15,FALSE),IF($H$6=1,VLOOKUP($D155,'Werkschema - Instelling'!$AC$3:$AO$172,13,FALSE),IF($H$6=2,VLOOKUP($D155,'Werkschema - Instelling'!$AE$3:$AO$172,11,FALSE),IF($H$6=3,VLOOKUP($D155,'Werkschema - Instelling'!$AG$3:$AO$172,9,FALSE),IF($H$6=4,VLOOKUP($D155,'Werkschema - Instelling'!$AI$3:$AO$172,7,FALSE),IF($H$6=5,VLOOKUP($D155,'Werkschema - Instelling'!$AK$3:$AO$172,5,FALSE),VLOOKUP($D155,'Werkschema - Instelling'!$AM$3:$AO$172,3,FALSE))))))))</f>
        <v/>
      </c>
      <c r="G155" s="16">
        <f>IF(D155&gt;0.958333333,"", IF($H$6=0, VLOOKUP($D155,'Werkschema - Instelling'!$AA$3:$AP$172,16,FALSE),IF($H$6=1,VLOOKUP($D155,'Werkschema - Instelling'!$AC$3:$AP$172,14,FALSE),IF($H$6=2,VLOOKUP($D155,'Werkschema - Instelling'!$AE$3:$AP$172,12,FALSE),IF($H$6=3,VLOOKUP($D155,'Werkschema - Instelling'!$AG$3:$AP$172,10,FALSE),IF($H$6=4,VLOOKUP($D155,'Werkschema - Instelling'!$AI$3:$AP$172,8,FALSE),IF($H$6=5,VLOOKUP($D155,'Werkschema - Instelling'!$AK$3:$AP$172,6,FALSE),VLOOKUP($D155,'Werkschema - Instelling'!$AM$3:$AP$172,4,FALSE))))))))</f>
        <v/>
      </c>
      <c r="H155" s="62">
        <f>IF($D155&gt;0.985333333,"", IF($H$6=0, VLOOKUP($D155,'Werkschema - Instelling'!$AA$3:$AB$172,2,FALSE),IF($H$6=1,VLOOKUP($D155,'Werkschema - Instelling'!$AC$3:$AD$172,2,FALSE),IF($H$6=2,VLOOKUP($D155,'Werkschema - Instelling'!$AE$3:$AF$172,2,FALSE),IF($H$6=3,VLOOKUP($D155,'Werkschema - Instelling'!$AG$3:$AH$172,2,FALSE),IF($H$6=4,VLOOKUP($D155,'Werkschema - Instelling'!$AI$3:$AJ$172,2,FALSE),IF($H$6=5,VLOOKUP($D155,'Werkschema - Instelling'!$AK$3:$AL$172,2,FALSE),VLOOKUP($D155,'Werkschema - Instelling'!$AM$3:$AN$172,2,FALSE))))))))</f>
        <v/>
      </c>
      <c r="I155" s="3" t="n"/>
    </row>
    <row r="156" ht="15" customHeight="1">
      <c r="A156" s="85" t="n">
        <v>149</v>
      </c>
      <c r="B156" s="86">
        <f>IF(LEFT(F156,9)="Taken van",1,IF(LEFT(F156,14)="Start vulshift",2,IF(LEFT(F156,8)="Levering",3,0)))</f>
        <v/>
      </c>
      <c r="C156" s="85">
        <f>E156-E155</f>
        <v/>
      </c>
      <c r="D156" s="1049">
        <f>SMALL(OFFSET('Werkschema - Instelling'!$AA$3:$AA$172,0,$H$6*2),A156)</f>
        <v/>
      </c>
      <c r="E156" s="1054">
        <f>IFERROR(IF(D156-D155&lt;0.0001,"",$D156-VLOOKUP($F156,'Werkschema - Instelling'!$A$3:$Z$172,26,FALSE)),1)</f>
        <v/>
      </c>
      <c r="F156" s="15">
        <f>IF(D156&gt;0.958333333,"",IF($H$6=0, VLOOKUP($D156,'Werkschema - Instelling'!$AA$3:$AO$172,15,FALSE),IF($H$6=1,VLOOKUP($D156,'Werkschema - Instelling'!$AC$3:$AO$172,13,FALSE),IF($H$6=2,VLOOKUP($D156,'Werkschema - Instelling'!$AE$3:$AO$172,11,FALSE),IF($H$6=3,VLOOKUP($D156,'Werkschema - Instelling'!$AG$3:$AO$172,9,FALSE),IF($H$6=4,VLOOKUP($D156,'Werkschema - Instelling'!$AI$3:$AO$172,7,FALSE),IF($H$6=5,VLOOKUP($D156,'Werkschema - Instelling'!$AK$3:$AO$172,5,FALSE),VLOOKUP($D156,'Werkschema - Instelling'!$AM$3:$AO$172,3,FALSE))))))))</f>
        <v/>
      </c>
      <c r="G156" s="16">
        <f>IF(D156&gt;0.958333333,"", IF($H$6=0, VLOOKUP($D156,'Werkschema - Instelling'!$AA$3:$AP$172,16,FALSE),IF($H$6=1,VLOOKUP($D156,'Werkschema - Instelling'!$AC$3:$AP$172,14,FALSE),IF($H$6=2,VLOOKUP($D156,'Werkschema - Instelling'!$AE$3:$AP$172,12,FALSE),IF($H$6=3,VLOOKUP($D156,'Werkschema - Instelling'!$AG$3:$AP$172,10,FALSE),IF($H$6=4,VLOOKUP($D156,'Werkschema - Instelling'!$AI$3:$AP$172,8,FALSE),IF($H$6=5,VLOOKUP($D156,'Werkschema - Instelling'!$AK$3:$AP$172,6,FALSE),VLOOKUP($D156,'Werkschema - Instelling'!$AM$3:$AP$172,4,FALSE))))))))</f>
        <v/>
      </c>
      <c r="H156" s="62">
        <f>IF($D156&gt;0.985333333,"", IF($H$6=0, VLOOKUP($D156,'Werkschema - Instelling'!$AA$3:$AB$172,2,FALSE),IF($H$6=1,VLOOKUP($D156,'Werkschema - Instelling'!$AC$3:$AD$172,2,FALSE),IF($H$6=2,VLOOKUP($D156,'Werkschema - Instelling'!$AE$3:$AF$172,2,FALSE),IF($H$6=3,VLOOKUP($D156,'Werkschema - Instelling'!$AG$3:$AH$172,2,FALSE),IF($H$6=4,VLOOKUP($D156,'Werkschema - Instelling'!$AI$3:$AJ$172,2,FALSE),IF($H$6=5,VLOOKUP($D156,'Werkschema - Instelling'!$AK$3:$AL$172,2,FALSE),VLOOKUP($D156,'Werkschema - Instelling'!$AM$3:$AN$172,2,FALSE))))))))</f>
        <v/>
      </c>
      <c r="I156" s="3" t="n"/>
    </row>
    <row r="157" ht="15" customHeight="1">
      <c r="A157" s="85" t="n">
        <v>150</v>
      </c>
      <c r="B157" s="86">
        <f>IF(LEFT(F157,9)="Taken van",1,IF(LEFT(F157,14)="Start vulshift",2,IF(LEFT(F157,8)="Levering",3,0)))</f>
        <v/>
      </c>
      <c r="C157" s="85">
        <f>E157-E156</f>
        <v/>
      </c>
      <c r="D157" s="1049">
        <f>SMALL(OFFSET('Werkschema - Instelling'!$AA$3:$AA$172,0,$H$6*2),A157)</f>
        <v/>
      </c>
      <c r="E157" s="1058">
        <f>IFERROR(IF(D157-D156&lt;0.0001,"",$D157-VLOOKUP($F157,'Werkschema - Instelling'!$A$3:$Z$172,26,FALSE)),1)</f>
        <v/>
      </c>
      <c r="F157" s="1059">
        <f>IF(D157&gt;0.958333333,"",IF($H$6=0, VLOOKUP($D157,'Werkschema - Instelling'!$AA$3:$AO$172,15,FALSE),IF($H$6=1,VLOOKUP($D157,'Werkschema - Instelling'!$AC$3:$AO$172,13,FALSE),IF($H$6=2,VLOOKUP($D157,'Werkschema - Instelling'!$AE$3:$AO$172,11,FALSE),IF($H$6=3,VLOOKUP($D157,'Werkschema - Instelling'!$AG$3:$AO$172,9,FALSE),IF($H$6=4,VLOOKUP($D157,'Werkschema - Instelling'!$AI$3:$AO$172,7,FALSE),IF($H$6=5,VLOOKUP($D157,'Werkschema - Instelling'!$AK$3:$AO$172,5,FALSE),VLOOKUP($D157,'Werkschema - Instelling'!$AM$3:$AO$172,3,FALSE))))))))</f>
        <v/>
      </c>
      <c r="G157" s="1060">
        <f>IF(D157&gt;0.958333333,"", IF($H$6=0, VLOOKUP($D157,'Werkschema - Instelling'!$AA$3:$AP$172,16,FALSE),IF($H$6=1,VLOOKUP($D157,'Werkschema - Instelling'!$AC$3:$AP$172,14,FALSE),IF($H$6=2,VLOOKUP($D157,'Werkschema - Instelling'!$AE$3:$AP$172,12,FALSE),IF($H$6=3,VLOOKUP($D157,'Werkschema - Instelling'!$AG$3:$AP$172,10,FALSE),IF($H$6=4,VLOOKUP($D157,'Werkschema - Instelling'!$AI$3:$AP$172,8,FALSE),IF($H$6=5,VLOOKUP($D157,'Werkschema - Instelling'!$AK$3:$AP$172,6,FALSE),VLOOKUP($D157,'Werkschema - Instelling'!$AM$3:$AP$172,4,FALSE))))))))</f>
        <v/>
      </c>
      <c r="H157" s="1061">
        <f>IF($D157&gt;0.985333333,"", IF($H$6=0, VLOOKUP($D157,'Werkschema - Instelling'!$AA$3:$AB$172,2,FALSE),IF($H$6=1,VLOOKUP($D157,'Werkschema - Instelling'!$AC$3:$AD$172,2,FALSE),IF($H$6=2,VLOOKUP($D157,'Werkschema - Instelling'!$AE$3:$AF$172,2,FALSE),IF($H$6=3,VLOOKUP($D157,'Werkschema - Instelling'!$AG$3:$AH$172,2,FALSE),IF($H$6=4,VLOOKUP($D157,'Werkschema - Instelling'!$AI$3:$AJ$172,2,FALSE),IF($H$6=5,VLOOKUP($D157,'Werkschema - Instelling'!$AK$3:$AL$172,2,FALSE),VLOOKUP($D157,'Werkschema - Instelling'!$AM$3:$AN$172,2,FALSE))))))))</f>
        <v/>
      </c>
      <c r="I157" s="92" t="n"/>
    </row>
    <row r="158" ht="15" customHeight="1">
      <c r="A158" s="85" t="n">
        <v>151</v>
      </c>
      <c r="B158" s="86">
        <f>IF(LEFT(F158,9)="Taken van",1,IF(LEFT(F158,14)="Start vulshift",2,IF(LEFT(F158,8)="Levering",3,0)))</f>
        <v/>
      </c>
      <c r="C158" s="85">
        <f>E158-E157</f>
        <v/>
      </c>
      <c r="D158" s="1049">
        <f>SMALL(OFFSET('Werkschema - Instelling'!$AA$3:$AA$172,0,$H$6*2),A158)</f>
        <v/>
      </c>
      <c r="E158" s="1058">
        <f>IFERROR(IF(D158-D157&lt;0.0001,"",$D158-VLOOKUP($F158,'Werkschema - Instelling'!$A$3:$Z$172,26,FALSE)),1)</f>
        <v/>
      </c>
      <c r="F158" s="1059">
        <f>IF(D158&gt;0.958333333,"",IF($H$6=0, VLOOKUP($D158,'Werkschema - Instelling'!$AA$3:$AO$172,15,FALSE),IF($H$6=1,VLOOKUP($D158,'Werkschema - Instelling'!$AC$3:$AO$172,13,FALSE),IF($H$6=2,VLOOKUP($D158,'Werkschema - Instelling'!$AE$3:$AO$172,11,FALSE),IF($H$6=3,VLOOKUP($D158,'Werkschema - Instelling'!$AG$3:$AO$172,9,FALSE),IF($H$6=4,VLOOKUP($D158,'Werkschema - Instelling'!$AI$3:$AO$172,7,FALSE),IF($H$6=5,VLOOKUP($D158,'Werkschema - Instelling'!$AK$3:$AO$172,5,FALSE),VLOOKUP($D158,'Werkschema - Instelling'!$AM$3:$AO$172,3,FALSE))))))))</f>
        <v/>
      </c>
      <c r="G158" s="1060">
        <f>IF(D158&gt;0.958333333,"", IF($H$6=0, VLOOKUP($D158,'Werkschema - Instelling'!$AA$3:$AP$172,16,FALSE),IF($H$6=1,VLOOKUP($D158,'Werkschema - Instelling'!$AC$3:$AP$172,14,FALSE),IF($H$6=2,VLOOKUP($D158,'Werkschema - Instelling'!$AE$3:$AP$172,12,FALSE),IF($H$6=3,VLOOKUP($D158,'Werkschema - Instelling'!$AG$3:$AP$172,10,FALSE),IF($H$6=4,VLOOKUP($D158,'Werkschema - Instelling'!$AI$3:$AP$172,8,FALSE),IF($H$6=5,VLOOKUP($D158,'Werkschema - Instelling'!$AK$3:$AP$172,6,FALSE),VLOOKUP($D158,'Werkschema - Instelling'!$AM$3:$AP$172,4,FALSE))))))))</f>
        <v/>
      </c>
      <c r="H158" s="1061">
        <f>IF($D158&gt;0.985333333,"", IF($H$6=0, VLOOKUP($D158,'Werkschema - Instelling'!$AA$3:$AB$172,2,FALSE),IF($H$6=1,VLOOKUP($D158,'Werkschema - Instelling'!$AC$3:$AD$172,2,FALSE),IF($H$6=2,VLOOKUP($D158,'Werkschema - Instelling'!$AE$3:$AF$172,2,FALSE),IF($H$6=3,VLOOKUP($D158,'Werkschema - Instelling'!$AG$3:$AH$172,2,FALSE),IF($H$6=4,VLOOKUP($D158,'Werkschema - Instelling'!$AI$3:$AJ$172,2,FALSE),IF($H$6=5,VLOOKUP($D158,'Werkschema - Instelling'!$AK$3:$AL$172,2,FALSE),VLOOKUP($D158,'Werkschema - Instelling'!$AM$3:$AN$172,2,FALSE))))))))</f>
        <v/>
      </c>
      <c r="I158" s="92" t="n"/>
    </row>
    <row r="159" ht="15" customHeight="1">
      <c r="A159" s="85">
        <f>A158+1</f>
        <v/>
      </c>
      <c r="B159" s="86">
        <f>IF(LEFT(F159,9)="Taken van",1,IF(LEFT(F159,14)="Start vulshift",2,IF(LEFT(F159,8)="Levering",3,0)))</f>
        <v/>
      </c>
      <c r="C159" s="85">
        <f>E159-E158</f>
        <v/>
      </c>
      <c r="D159" s="1049">
        <f>SMALL(OFFSET('Werkschema - Instelling'!$AA$3:$AA$172,0,$H$6*2),A159)</f>
        <v/>
      </c>
      <c r="E159" s="1058">
        <f>IFERROR(IF(D159-D158&lt;0.0001,"",$D159-VLOOKUP($F159,'Werkschema - Instelling'!$A$3:$Z$172,26,FALSE)),1)</f>
        <v/>
      </c>
      <c r="F159" s="1059">
        <f>IF(D159&gt;0.958333333,"",IF($H$6=0, VLOOKUP($D159,'Werkschema - Instelling'!$AA$3:$AO$172,15,FALSE),IF($H$6=1,VLOOKUP($D159,'Werkschema - Instelling'!$AC$3:$AO$172,13,FALSE),IF($H$6=2,VLOOKUP($D159,'Werkschema - Instelling'!$AE$3:$AO$172,11,FALSE),IF($H$6=3,VLOOKUP($D159,'Werkschema - Instelling'!$AG$3:$AO$172,9,FALSE),IF($H$6=4,VLOOKUP($D159,'Werkschema - Instelling'!$AI$3:$AO$172,7,FALSE),IF($H$6=5,VLOOKUP($D159,'Werkschema - Instelling'!$AK$3:$AO$172,5,FALSE),VLOOKUP($D159,'Werkschema - Instelling'!$AM$3:$AO$172,3,FALSE))))))))</f>
        <v/>
      </c>
      <c r="G159" s="1060">
        <f>IF(D159&gt;0.958333333,"", IF($H$6=0, VLOOKUP($D159,'Werkschema - Instelling'!$AA$3:$AP$172,16,FALSE),IF($H$6=1,VLOOKUP($D159,'Werkschema - Instelling'!$AC$3:$AP$172,14,FALSE),IF($H$6=2,VLOOKUP($D159,'Werkschema - Instelling'!$AE$3:$AP$172,12,FALSE),IF($H$6=3,VLOOKUP($D159,'Werkschema - Instelling'!$AG$3:$AP$172,10,FALSE),IF($H$6=4,VLOOKUP($D159,'Werkschema - Instelling'!$AI$3:$AP$172,8,FALSE),IF($H$6=5,VLOOKUP($D159,'Werkschema - Instelling'!$AK$3:$AP$172,6,FALSE),VLOOKUP($D159,'Werkschema - Instelling'!$AM$3:$AP$172,4,FALSE))))))))</f>
        <v/>
      </c>
      <c r="H159" s="1061">
        <f>IF($D159&gt;0.985333333,"", IF($H$6=0, VLOOKUP($D159,'Werkschema - Instelling'!$AA$3:$AB$172,2,FALSE),IF($H$6=1,VLOOKUP($D159,'Werkschema - Instelling'!$AC$3:$AD$172,2,FALSE),IF($H$6=2,VLOOKUP($D159,'Werkschema - Instelling'!$AE$3:$AF$172,2,FALSE),IF($H$6=3,VLOOKUP($D159,'Werkschema - Instelling'!$AG$3:$AH$172,2,FALSE),IF($H$6=4,VLOOKUP($D159,'Werkschema - Instelling'!$AI$3:$AJ$172,2,FALSE),IF($H$6=5,VLOOKUP($D159,'Werkschema - Instelling'!$AK$3:$AL$172,2,FALSE),VLOOKUP($D159,'Werkschema - Instelling'!$AM$3:$AN$172,2,FALSE))))))))</f>
        <v/>
      </c>
      <c r="I159" s="92" t="n"/>
    </row>
    <row r="160" ht="15" customHeight="1">
      <c r="A160" s="85">
        <f>A159+1</f>
        <v/>
      </c>
      <c r="B160" s="86">
        <f>IF(LEFT(F160,9)="Taken van",1,IF(LEFT(F160,14)="Start vulshift",2,IF(LEFT(F160,8)="Levering",3,0)))</f>
        <v/>
      </c>
      <c r="C160" s="85">
        <f>E160-E159</f>
        <v/>
      </c>
      <c r="D160" s="1049">
        <f>SMALL(OFFSET('Werkschema - Instelling'!$AA$3:$AA$172,0,$H$6*2),A160)</f>
        <v/>
      </c>
      <c r="E160" s="1058">
        <f>IFERROR(IF(D160-D159&lt;0.0001,"",$D160-VLOOKUP($F160,'Werkschema - Instelling'!$A$3:$Z$172,26,FALSE)),1)</f>
        <v/>
      </c>
      <c r="F160" s="1059">
        <f>IF(D160&gt;0.958333333,"",IF($H$6=0, VLOOKUP($D160,'Werkschema - Instelling'!$AA$3:$AO$172,15,FALSE),IF($H$6=1,VLOOKUP($D160,'Werkschema - Instelling'!$AC$3:$AO$172,13,FALSE),IF($H$6=2,VLOOKUP($D160,'Werkschema - Instelling'!$AE$3:$AO$172,11,FALSE),IF($H$6=3,VLOOKUP($D160,'Werkschema - Instelling'!$AG$3:$AO$172,9,FALSE),IF($H$6=4,VLOOKUP($D160,'Werkschema - Instelling'!$AI$3:$AO$172,7,FALSE),IF($H$6=5,VLOOKUP($D160,'Werkschema - Instelling'!$AK$3:$AO$172,5,FALSE),VLOOKUP($D160,'Werkschema - Instelling'!$AM$3:$AO$172,3,FALSE))))))))</f>
        <v/>
      </c>
      <c r="G160" s="1060">
        <f>IF(D160&gt;0.958333333,"", IF($H$6=0, VLOOKUP($D160,'Werkschema - Instelling'!$AA$3:$AP$172,16,FALSE),IF($H$6=1,VLOOKUP($D160,'Werkschema - Instelling'!$AC$3:$AP$172,14,FALSE),IF($H$6=2,VLOOKUP($D160,'Werkschema - Instelling'!$AE$3:$AP$172,12,FALSE),IF($H$6=3,VLOOKUP($D160,'Werkschema - Instelling'!$AG$3:$AP$172,10,FALSE),IF($H$6=4,VLOOKUP($D160,'Werkschema - Instelling'!$AI$3:$AP$172,8,FALSE),IF($H$6=5,VLOOKUP($D160,'Werkschema - Instelling'!$AK$3:$AP$172,6,FALSE),VLOOKUP($D160,'Werkschema - Instelling'!$AM$3:$AP$172,4,FALSE))))))))</f>
        <v/>
      </c>
      <c r="H160" s="1061">
        <f>IF($D160&gt;0.985333333,"", IF($H$6=0, VLOOKUP($D160,'Werkschema - Instelling'!$AA$3:$AB$172,2,FALSE),IF($H$6=1,VLOOKUP($D160,'Werkschema - Instelling'!$AC$3:$AD$172,2,FALSE),IF($H$6=2,VLOOKUP($D160,'Werkschema - Instelling'!$AE$3:$AF$172,2,FALSE),IF($H$6=3,VLOOKUP($D160,'Werkschema - Instelling'!$AG$3:$AH$172,2,FALSE),IF($H$6=4,VLOOKUP($D160,'Werkschema - Instelling'!$AI$3:$AJ$172,2,FALSE),IF($H$6=5,VLOOKUP($D160,'Werkschema - Instelling'!$AK$3:$AL$172,2,FALSE),VLOOKUP($D160,'Werkschema - Instelling'!$AM$3:$AN$172,2,FALSE))))))))</f>
        <v/>
      </c>
      <c r="I160" s="92" t="n"/>
    </row>
    <row r="161" ht="15" customHeight="1">
      <c r="A161" s="85">
        <f>A160+1</f>
        <v/>
      </c>
      <c r="B161" s="86">
        <f>IF(LEFT(F161,9)="Taken van",1,IF(LEFT(F161,14)="Start vulshift",2,IF(LEFT(F161,8)="Levering",3,0)))</f>
        <v/>
      </c>
      <c r="C161" s="85">
        <f>E161-E160</f>
        <v/>
      </c>
      <c r="D161" s="1049">
        <f>SMALL(OFFSET('Werkschema - Instelling'!$AA$3:$AA$172,0,$H$6*2),A161)</f>
        <v/>
      </c>
      <c r="E161" s="1058">
        <f>IFERROR(IF(D161-D160&lt;0.0001,"",$D161-VLOOKUP($F161,'Werkschema - Instelling'!$A$3:$Z$172,26,FALSE)),1)</f>
        <v/>
      </c>
      <c r="F161" s="1059">
        <f>IF(D161&gt;0.958333333,"",IF($H$6=0, VLOOKUP($D161,'Werkschema - Instelling'!$AA$3:$AO$172,15,FALSE),IF($H$6=1,VLOOKUP($D161,'Werkschema - Instelling'!$AC$3:$AO$172,13,FALSE),IF($H$6=2,VLOOKUP($D161,'Werkschema - Instelling'!$AE$3:$AO$172,11,FALSE),IF($H$6=3,VLOOKUP($D161,'Werkschema - Instelling'!$AG$3:$AO$172,9,FALSE),IF($H$6=4,VLOOKUP($D161,'Werkschema - Instelling'!$AI$3:$AO$172,7,FALSE),IF($H$6=5,VLOOKUP($D161,'Werkschema - Instelling'!$AK$3:$AO$172,5,FALSE),VLOOKUP($D161,'Werkschema - Instelling'!$AM$3:$AO$172,3,FALSE))))))))</f>
        <v/>
      </c>
      <c r="G161" s="1060">
        <f>IF(D161&gt;0.958333333,"", IF($H$6=0, VLOOKUP($D161,'Werkschema - Instelling'!$AA$3:$AP$172,16,FALSE),IF($H$6=1,VLOOKUP($D161,'Werkschema - Instelling'!$AC$3:$AP$172,14,FALSE),IF($H$6=2,VLOOKUP($D161,'Werkschema - Instelling'!$AE$3:$AP$172,12,FALSE),IF($H$6=3,VLOOKUP($D161,'Werkschema - Instelling'!$AG$3:$AP$172,10,FALSE),IF($H$6=4,VLOOKUP($D161,'Werkschema - Instelling'!$AI$3:$AP$172,8,FALSE),IF($H$6=5,VLOOKUP($D161,'Werkschema - Instelling'!$AK$3:$AP$172,6,FALSE),VLOOKUP($D161,'Werkschema - Instelling'!$AM$3:$AP$172,4,FALSE))))))))</f>
        <v/>
      </c>
      <c r="H161" s="1061">
        <f>IF($D161&gt;0.985333333,"", IF($H$6=0, VLOOKUP($D161,'Werkschema - Instelling'!$AA$3:$AB$172,2,FALSE),IF($H$6=1,VLOOKUP($D161,'Werkschema - Instelling'!$AC$3:$AD$172,2,FALSE),IF($H$6=2,VLOOKUP($D161,'Werkschema - Instelling'!$AE$3:$AF$172,2,FALSE),IF($H$6=3,VLOOKUP($D161,'Werkschema - Instelling'!$AG$3:$AH$172,2,FALSE),IF($H$6=4,VLOOKUP($D161,'Werkschema - Instelling'!$AI$3:$AJ$172,2,FALSE),IF($H$6=5,VLOOKUP($D161,'Werkschema - Instelling'!$AK$3:$AL$172,2,FALSE),VLOOKUP($D161,'Werkschema - Instelling'!$AM$3:$AN$172,2,FALSE))))))))</f>
        <v/>
      </c>
      <c r="I161" s="92" t="n"/>
    </row>
    <row r="162" ht="15" customHeight="1">
      <c r="A162" s="85">
        <f>A161+1</f>
        <v/>
      </c>
      <c r="B162" s="86">
        <f>IF(LEFT(F162,9)="Taken van",1,IF(LEFT(F162,14)="Start vulshift",2,IF(LEFT(F162,8)="Levering",3,0)))</f>
        <v/>
      </c>
      <c r="C162" s="85">
        <f>E162-E161</f>
        <v/>
      </c>
      <c r="D162" s="1049">
        <f>SMALL(OFFSET('Werkschema - Instelling'!$AA$3:$AA$172,0,$H$6*2),A162)</f>
        <v/>
      </c>
      <c r="E162" s="1058">
        <f>IFERROR(IF(D162-D161&lt;0.0001,"",$D162-VLOOKUP($F162,'Werkschema - Instelling'!$A$3:$Z$172,26,FALSE)),1)</f>
        <v/>
      </c>
      <c r="F162" s="1059">
        <f>IF(D162&gt;0.958333333,"",IF($H$6=0, VLOOKUP($D162,'Werkschema - Instelling'!$AA$3:$AO$172,15,FALSE),IF($H$6=1,VLOOKUP($D162,'Werkschema - Instelling'!$AC$3:$AO$172,13,FALSE),IF($H$6=2,VLOOKUP($D162,'Werkschema - Instelling'!$AE$3:$AO$172,11,FALSE),IF($H$6=3,VLOOKUP($D162,'Werkschema - Instelling'!$AG$3:$AO$172,9,FALSE),IF($H$6=4,VLOOKUP($D162,'Werkschema - Instelling'!$AI$3:$AO$172,7,FALSE),IF($H$6=5,VLOOKUP($D162,'Werkschema - Instelling'!$AK$3:$AO$172,5,FALSE),VLOOKUP($D162,'Werkschema - Instelling'!$AM$3:$AO$172,3,FALSE))))))))</f>
        <v/>
      </c>
      <c r="G162" s="1060">
        <f>IF(D162&gt;0.958333333,"", IF($H$6=0, VLOOKUP($D162,'Werkschema - Instelling'!$AA$3:$AP$172,16,FALSE),IF($H$6=1,VLOOKUP($D162,'Werkschema - Instelling'!$AC$3:$AP$172,14,FALSE),IF($H$6=2,VLOOKUP($D162,'Werkschema - Instelling'!$AE$3:$AP$172,12,FALSE),IF($H$6=3,VLOOKUP($D162,'Werkschema - Instelling'!$AG$3:$AP$172,10,FALSE),IF($H$6=4,VLOOKUP($D162,'Werkschema - Instelling'!$AI$3:$AP$172,8,FALSE),IF($H$6=5,VLOOKUP($D162,'Werkschema - Instelling'!$AK$3:$AP$172,6,FALSE),VLOOKUP($D162,'Werkschema - Instelling'!$AM$3:$AP$172,4,FALSE))))))))</f>
        <v/>
      </c>
      <c r="H162" s="1061">
        <f>IF($D162&gt;0.985333333,"", IF($H$6=0, VLOOKUP($D162,'Werkschema - Instelling'!$AA$3:$AB$172,2,FALSE),IF($H$6=1,VLOOKUP($D162,'Werkschema - Instelling'!$AC$3:$AD$172,2,FALSE),IF($H$6=2,VLOOKUP($D162,'Werkschema - Instelling'!$AE$3:$AF$172,2,FALSE),IF($H$6=3,VLOOKUP($D162,'Werkschema - Instelling'!$AG$3:$AH$172,2,FALSE),IF($H$6=4,VLOOKUP($D162,'Werkschema - Instelling'!$AI$3:$AJ$172,2,FALSE),IF($H$6=5,VLOOKUP($D162,'Werkschema - Instelling'!$AK$3:$AL$172,2,FALSE),VLOOKUP($D162,'Werkschema - Instelling'!$AM$3:$AN$172,2,FALSE))))))))</f>
        <v/>
      </c>
      <c r="I162" s="92" t="n"/>
    </row>
    <row r="163" ht="15" customHeight="1">
      <c r="A163" s="85">
        <f>A162+1</f>
        <v/>
      </c>
      <c r="B163" s="86">
        <f>IF(LEFT(F163,9)="Taken van",1,IF(LEFT(F163,14)="Start vulshift",2,IF(LEFT(F163,8)="Levering",3,0)))</f>
        <v/>
      </c>
      <c r="C163" s="85">
        <f>E163-E162</f>
        <v/>
      </c>
      <c r="D163" s="1049">
        <f>SMALL(OFFSET('Werkschema - Instelling'!$AA$3:$AA$172,0,$H$6*2),A163)</f>
        <v/>
      </c>
      <c r="E163" s="1058">
        <f>IFERROR(IF(D163-D162&lt;0.0001,"",$D163-VLOOKUP($F163,'Werkschema - Instelling'!$A$3:$Z$172,26,FALSE)),1)</f>
        <v/>
      </c>
      <c r="F163" s="1059">
        <f>IF(D163&gt;0.958333333,"",IF($H$6=0, VLOOKUP($D163,'Werkschema - Instelling'!$AA$3:$AO$172,15,FALSE),IF($H$6=1,VLOOKUP($D163,'Werkschema - Instelling'!$AC$3:$AO$172,13,FALSE),IF($H$6=2,VLOOKUP($D163,'Werkschema - Instelling'!$AE$3:$AO$172,11,FALSE),IF($H$6=3,VLOOKUP($D163,'Werkschema - Instelling'!$AG$3:$AO$172,9,FALSE),IF($H$6=4,VLOOKUP($D163,'Werkschema - Instelling'!$AI$3:$AO$172,7,FALSE),IF($H$6=5,VLOOKUP($D163,'Werkschema - Instelling'!$AK$3:$AO$172,5,FALSE),VLOOKUP($D163,'Werkschema - Instelling'!$AM$3:$AO$172,3,FALSE))))))))</f>
        <v/>
      </c>
      <c r="G163" s="1060">
        <f>IF(D163&gt;0.958333333,"", IF($H$6=0, VLOOKUP($D163,'Werkschema - Instelling'!$AA$3:$AP$172,16,FALSE),IF($H$6=1,VLOOKUP($D163,'Werkschema - Instelling'!$AC$3:$AP$172,14,FALSE),IF($H$6=2,VLOOKUP($D163,'Werkschema - Instelling'!$AE$3:$AP$172,12,FALSE),IF($H$6=3,VLOOKUP($D163,'Werkschema - Instelling'!$AG$3:$AP$172,10,FALSE),IF($H$6=4,VLOOKUP($D163,'Werkschema - Instelling'!$AI$3:$AP$172,8,FALSE),IF($H$6=5,VLOOKUP($D163,'Werkschema - Instelling'!$AK$3:$AP$172,6,FALSE),VLOOKUP($D163,'Werkschema - Instelling'!$AM$3:$AP$172,4,FALSE))))))))</f>
        <v/>
      </c>
      <c r="H163" s="1061">
        <f>IF($D163&gt;0.985333333,"", IF($H$6=0, VLOOKUP($D163,'Werkschema - Instelling'!$AA$3:$AB$172,2,FALSE),IF($H$6=1,VLOOKUP($D163,'Werkschema - Instelling'!$AC$3:$AD$172,2,FALSE),IF($H$6=2,VLOOKUP($D163,'Werkschema - Instelling'!$AE$3:$AF$172,2,FALSE),IF($H$6=3,VLOOKUP($D163,'Werkschema - Instelling'!$AG$3:$AH$172,2,FALSE),IF($H$6=4,VLOOKUP($D163,'Werkschema - Instelling'!$AI$3:$AJ$172,2,FALSE),IF($H$6=5,VLOOKUP($D163,'Werkschema - Instelling'!$AK$3:$AL$172,2,FALSE),VLOOKUP($D163,'Werkschema - Instelling'!$AM$3:$AN$172,2,FALSE))))))))</f>
        <v/>
      </c>
      <c r="I163" s="92" t="n"/>
    </row>
    <row r="164" ht="15" customHeight="1">
      <c r="A164" s="85">
        <f>A163+1</f>
        <v/>
      </c>
      <c r="B164" s="86">
        <f>IF(LEFT(F164,9)="Taken van",1,IF(LEFT(F164,14)="Start vulshift",2,IF(LEFT(F164,8)="Levering",3,0)))</f>
        <v/>
      </c>
      <c r="C164" s="85">
        <f>E164-E163</f>
        <v/>
      </c>
      <c r="D164" s="1049">
        <f>SMALL(OFFSET('Werkschema - Instelling'!$AA$3:$AA$172,0,$H$6*2),A164)</f>
        <v/>
      </c>
      <c r="E164" s="1058">
        <f>IFERROR(IF(D164-D163&lt;0.0001,"",$D164-VLOOKUP($F164,'Werkschema - Instelling'!$A$3:$Z$172,26,FALSE)),1)</f>
        <v/>
      </c>
      <c r="F164" s="1059">
        <f>IF(D164&gt;0.958333333,"",IF($H$6=0, VLOOKUP($D164,'Werkschema - Instelling'!$AA$3:$AO$172,15,FALSE),IF($H$6=1,VLOOKUP($D164,'Werkschema - Instelling'!$AC$3:$AO$172,13,FALSE),IF($H$6=2,VLOOKUP($D164,'Werkschema - Instelling'!$AE$3:$AO$172,11,FALSE),IF($H$6=3,VLOOKUP($D164,'Werkschema - Instelling'!$AG$3:$AO$172,9,FALSE),IF($H$6=4,VLOOKUP($D164,'Werkschema - Instelling'!$AI$3:$AO$172,7,FALSE),IF($H$6=5,VLOOKUP($D164,'Werkschema - Instelling'!$AK$3:$AO$172,5,FALSE),VLOOKUP($D164,'Werkschema - Instelling'!$AM$3:$AO$172,3,FALSE))))))))</f>
        <v/>
      </c>
      <c r="G164" s="1060">
        <f>IF(D164&gt;0.958333333,"", IF($H$6=0, VLOOKUP($D164,'Werkschema - Instelling'!$AA$3:$AP$172,16,FALSE),IF($H$6=1,VLOOKUP($D164,'Werkschema - Instelling'!$AC$3:$AP$172,14,FALSE),IF($H$6=2,VLOOKUP($D164,'Werkschema - Instelling'!$AE$3:$AP$172,12,FALSE),IF($H$6=3,VLOOKUP($D164,'Werkschema - Instelling'!$AG$3:$AP$172,10,FALSE),IF($H$6=4,VLOOKUP($D164,'Werkschema - Instelling'!$AI$3:$AP$172,8,FALSE),IF($H$6=5,VLOOKUP($D164,'Werkschema - Instelling'!$AK$3:$AP$172,6,FALSE),VLOOKUP($D164,'Werkschema - Instelling'!$AM$3:$AP$172,4,FALSE))))))))</f>
        <v/>
      </c>
      <c r="H164" s="1061">
        <f>IF($D164&gt;0.985333333,"", IF($H$6=0, VLOOKUP($D164,'Werkschema - Instelling'!$AA$3:$AB$172,2,FALSE),IF($H$6=1,VLOOKUP($D164,'Werkschema - Instelling'!$AC$3:$AD$172,2,FALSE),IF($H$6=2,VLOOKUP($D164,'Werkschema - Instelling'!$AE$3:$AF$172,2,FALSE),IF($H$6=3,VLOOKUP($D164,'Werkschema - Instelling'!$AG$3:$AH$172,2,FALSE),IF($H$6=4,VLOOKUP($D164,'Werkschema - Instelling'!$AI$3:$AJ$172,2,FALSE),IF($H$6=5,VLOOKUP($D164,'Werkschema - Instelling'!$AK$3:$AL$172,2,FALSE),VLOOKUP($D164,'Werkschema - Instelling'!$AM$3:$AN$172,2,FALSE))))))))</f>
        <v/>
      </c>
      <c r="I164" s="92" t="n"/>
    </row>
    <row r="165" ht="15" customHeight="1">
      <c r="A165" s="85">
        <f>A164+1</f>
        <v/>
      </c>
      <c r="B165" s="86">
        <f>IF(LEFT(F165,9)="Taken van",1,IF(LEFT(F165,14)="Start vulshift",2,IF(LEFT(F165,8)="Levering",3,0)))</f>
        <v/>
      </c>
      <c r="C165" s="85">
        <f>E165-E164</f>
        <v/>
      </c>
      <c r="D165" s="1049">
        <f>SMALL(OFFSET('Werkschema - Instelling'!$AA$3:$AA$172,0,$H$6*2),A165)</f>
        <v/>
      </c>
      <c r="E165" s="1058">
        <f>IFERROR(IF(D165-D164&lt;0.0001,"",$D165-VLOOKUP($F165,'Werkschema - Instelling'!$A$3:$Z$172,26,FALSE)),1)</f>
        <v/>
      </c>
      <c r="F165" s="1059">
        <f>IF(D165&gt;0.958333333,"",IF($H$6=0, VLOOKUP($D165,'Werkschema - Instelling'!$AA$3:$AO$172,15,FALSE),IF($H$6=1,VLOOKUP($D165,'Werkschema - Instelling'!$AC$3:$AO$172,13,FALSE),IF($H$6=2,VLOOKUP($D165,'Werkschema - Instelling'!$AE$3:$AO$172,11,FALSE),IF($H$6=3,VLOOKUP($D165,'Werkschema - Instelling'!$AG$3:$AO$172,9,FALSE),IF($H$6=4,VLOOKUP($D165,'Werkschema - Instelling'!$AI$3:$AO$172,7,FALSE),IF($H$6=5,VLOOKUP($D165,'Werkschema - Instelling'!$AK$3:$AO$172,5,FALSE),VLOOKUP($D165,'Werkschema - Instelling'!$AM$3:$AO$172,3,FALSE))))))))</f>
        <v/>
      </c>
      <c r="G165" s="1060">
        <f>IF(D165&gt;0.958333333,"", IF($H$6=0, VLOOKUP($D165,'Werkschema - Instelling'!$AA$3:$AP$172,16,FALSE),IF($H$6=1,VLOOKUP($D165,'Werkschema - Instelling'!$AC$3:$AP$172,14,FALSE),IF($H$6=2,VLOOKUP($D165,'Werkschema - Instelling'!$AE$3:$AP$172,12,FALSE),IF($H$6=3,VLOOKUP($D165,'Werkschema - Instelling'!$AG$3:$AP$172,10,FALSE),IF($H$6=4,VLOOKUP($D165,'Werkschema - Instelling'!$AI$3:$AP$172,8,FALSE),IF($H$6=5,VLOOKUP($D165,'Werkschema - Instelling'!$AK$3:$AP$172,6,FALSE),VLOOKUP($D165,'Werkschema - Instelling'!$AM$3:$AP$172,4,FALSE))))))))</f>
        <v/>
      </c>
      <c r="H165" s="1061">
        <f>IF($D165&gt;0.985333333,"", IF($H$6=0, VLOOKUP($D165,'Werkschema - Instelling'!$AA$3:$AB$172,2,FALSE),IF($H$6=1,VLOOKUP($D165,'Werkschema - Instelling'!$AC$3:$AD$172,2,FALSE),IF($H$6=2,VLOOKUP($D165,'Werkschema - Instelling'!$AE$3:$AF$172,2,FALSE),IF($H$6=3,VLOOKUP($D165,'Werkschema - Instelling'!$AG$3:$AH$172,2,FALSE),IF($H$6=4,VLOOKUP($D165,'Werkschema - Instelling'!$AI$3:$AJ$172,2,FALSE),IF($H$6=5,VLOOKUP($D165,'Werkschema - Instelling'!$AK$3:$AL$172,2,FALSE),VLOOKUP($D165,'Werkschema - Instelling'!$AM$3:$AN$172,2,FALSE))))))))</f>
        <v/>
      </c>
      <c r="I165" s="92" t="n"/>
    </row>
    <row r="166" ht="15" customHeight="1">
      <c r="A166" s="85">
        <f>A165+1</f>
        <v/>
      </c>
      <c r="B166" s="86">
        <f>IF(LEFT(F166,9)="Taken van",1,IF(LEFT(F166,14)="Start vulshift",2,IF(LEFT(F166,8)="Levering",3,0)))</f>
        <v/>
      </c>
      <c r="C166" s="85">
        <f>E166-E165</f>
        <v/>
      </c>
      <c r="D166" s="1049">
        <f>SMALL(OFFSET('Werkschema - Instelling'!$AA$3:$AA$172,0,$H$6*2),A166)</f>
        <v/>
      </c>
      <c r="E166" s="1058">
        <f>IFERROR(IF(D166-D165&lt;0.0001,"",$D166-VLOOKUP($F166,'Werkschema - Instelling'!$A$3:$Z$172,26,FALSE)),1)</f>
        <v/>
      </c>
      <c r="F166" s="1059">
        <f>IF(D166&gt;0.958333333,"",IF($H$6=0, VLOOKUP($D166,'Werkschema - Instelling'!$AA$3:$AO$172,15,FALSE),IF($H$6=1,VLOOKUP($D166,'Werkschema - Instelling'!$AC$3:$AO$172,13,FALSE),IF($H$6=2,VLOOKUP($D166,'Werkschema - Instelling'!$AE$3:$AO$172,11,FALSE),IF($H$6=3,VLOOKUP($D166,'Werkschema - Instelling'!$AG$3:$AO$172,9,FALSE),IF($H$6=4,VLOOKUP($D166,'Werkschema - Instelling'!$AI$3:$AO$172,7,FALSE),IF($H$6=5,VLOOKUP($D166,'Werkschema - Instelling'!$AK$3:$AO$172,5,FALSE),VLOOKUP($D166,'Werkschema - Instelling'!$AM$3:$AO$172,3,FALSE))))))))</f>
        <v/>
      </c>
      <c r="G166" s="1060">
        <f>IF(D166&gt;0.958333333,"", IF($H$6=0, VLOOKUP($D166,'Werkschema - Instelling'!$AA$3:$AP$172,16,FALSE),IF($H$6=1,VLOOKUP($D166,'Werkschema - Instelling'!$AC$3:$AP$172,14,FALSE),IF($H$6=2,VLOOKUP($D166,'Werkschema - Instelling'!$AE$3:$AP$172,12,FALSE),IF($H$6=3,VLOOKUP($D166,'Werkschema - Instelling'!$AG$3:$AP$172,10,FALSE),IF($H$6=4,VLOOKUP($D166,'Werkschema - Instelling'!$AI$3:$AP$172,8,FALSE),IF($H$6=5,VLOOKUP($D166,'Werkschema - Instelling'!$AK$3:$AP$172,6,FALSE),VLOOKUP($D166,'Werkschema - Instelling'!$AM$3:$AP$172,4,FALSE))))))))</f>
        <v/>
      </c>
      <c r="H166" s="1061">
        <f>IF($D166&gt;0.985333333,"", IF($H$6=0, VLOOKUP($D166,'Werkschema - Instelling'!$AA$3:$AB$172,2,FALSE),IF($H$6=1,VLOOKUP($D166,'Werkschema - Instelling'!$AC$3:$AD$172,2,FALSE),IF($H$6=2,VLOOKUP($D166,'Werkschema - Instelling'!$AE$3:$AF$172,2,FALSE),IF($H$6=3,VLOOKUP($D166,'Werkschema - Instelling'!$AG$3:$AH$172,2,FALSE),IF($H$6=4,VLOOKUP($D166,'Werkschema - Instelling'!$AI$3:$AJ$172,2,FALSE),IF($H$6=5,VLOOKUP($D166,'Werkschema - Instelling'!$AK$3:$AL$172,2,FALSE),VLOOKUP($D166,'Werkschema - Instelling'!$AM$3:$AN$172,2,FALSE))))))))</f>
        <v/>
      </c>
      <c r="I166" s="92" t="n"/>
    </row>
    <row r="167" ht="15" customHeight="1">
      <c r="A167" s="85">
        <f>A166+1</f>
        <v/>
      </c>
      <c r="B167" s="86">
        <f>IF(LEFT(F167,9)="Taken van",1,IF(LEFT(F167,14)="Start vulshift",2,IF(LEFT(F167,8)="Levering",3,0)))</f>
        <v/>
      </c>
      <c r="C167" s="85">
        <f>E167-E166</f>
        <v/>
      </c>
      <c r="D167" s="1049">
        <f>SMALL(OFFSET('Werkschema - Instelling'!$AA$3:$AA$172,0,$H$6*2),A167)</f>
        <v/>
      </c>
      <c r="E167" s="1058">
        <f>IFERROR(IF(D167-D166&lt;0.0001,"",$D167-VLOOKUP($F167,'Werkschema - Instelling'!$A$3:$Z$172,26,FALSE)),1)</f>
        <v/>
      </c>
      <c r="F167" s="1059">
        <f>IF(D167&gt;0.958333333,"",IF($H$6=0, VLOOKUP($D167,'Werkschema - Instelling'!$AA$3:$AO$172,15,FALSE),IF($H$6=1,VLOOKUP($D167,'Werkschema - Instelling'!$AC$3:$AO$172,13,FALSE),IF($H$6=2,VLOOKUP($D167,'Werkschema - Instelling'!$AE$3:$AO$172,11,FALSE),IF($H$6=3,VLOOKUP($D167,'Werkschema - Instelling'!$AG$3:$AO$172,9,FALSE),IF($H$6=4,VLOOKUP($D167,'Werkschema - Instelling'!$AI$3:$AO$172,7,FALSE),IF($H$6=5,VLOOKUP($D167,'Werkschema - Instelling'!$AK$3:$AO$172,5,FALSE),VLOOKUP($D167,'Werkschema - Instelling'!$AM$3:$AO$172,3,FALSE))))))))</f>
        <v/>
      </c>
      <c r="G167" s="1060">
        <f>IF(D167&gt;0.958333333,"", IF($H$6=0, VLOOKUP($D167,'Werkschema - Instelling'!$AA$3:$AP$172,16,FALSE),IF($H$6=1,VLOOKUP($D167,'Werkschema - Instelling'!$AC$3:$AP$172,14,FALSE),IF($H$6=2,VLOOKUP($D167,'Werkschema - Instelling'!$AE$3:$AP$172,12,FALSE),IF($H$6=3,VLOOKUP($D167,'Werkschema - Instelling'!$AG$3:$AP$172,10,FALSE),IF($H$6=4,VLOOKUP($D167,'Werkschema - Instelling'!$AI$3:$AP$172,8,FALSE),IF($H$6=5,VLOOKUP($D167,'Werkschema - Instelling'!$AK$3:$AP$172,6,FALSE),VLOOKUP($D167,'Werkschema - Instelling'!$AM$3:$AP$172,4,FALSE))))))))</f>
        <v/>
      </c>
      <c r="H167" s="1061">
        <f>IF($D167&gt;0.985333333,"", IF($H$6=0, VLOOKUP($D167,'Werkschema - Instelling'!$AA$3:$AB$172,2,FALSE),IF($H$6=1,VLOOKUP($D167,'Werkschema - Instelling'!$AC$3:$AD$172,2,FALSE),IF($H$6=2,VLOOKUP($D167,'Werkschema - Instelling'!$AE$3:$AF$172,2,FALSE),IF($H$6=3,VLOOKUP($D167,'Werkschema - Instelling'!$AG$3:$AH$172,2,FALSE),IF($H$6=4,VLOOKUP($D167,'Werkschema - Instelling'!$AI$3:$AJ$172,2,FALSE),IF($H$6=5,VLOOKUP($D167,'Werkschema - Instelling'!$AK$3:$AL$172,2,FALSE),VLOOKUP($D167,'Werkschema - Instelling'!$AM$3:$AN$172,2,FALSE))))))))</f>
        <v/>
      </c>
      <c r="I167" s="92" t="n"/>
    </row>
    <row r="168" ht="15" customHeight="1">
      <c r="A168" s="85">
        <f>A167+1</f>
        <v/>
      </c>
      <c r="B168" s="86">
        <f>IF(LEFT(F168,9)="Taken van",1,IF(LEFT(F168,14)="Start vulshift",2,IF(LEFT(F168,8)="Levering",3,0)))</f>
        <v/>
      </c>
      <c r="C168" s="85">
        <f>E168-E167</f>
        <v/>
      </c>
      <c r="D168" s="1049">
        <f>SMALL(OFFSET('Werkschema - Instelling'!$AA$3:$AA$172,0,$H$6*2),A168)</f>
        <v/>
      </c>
      <c r="E168" s="1058">
        <f>IFERROR(IF(D168-D167&lt;0.0001,"",$D168-VLOOKUP($F168,'Werkschema - Instelling'!$A$3:$Z$172,26,FALSE)),1)</f>
        <v/>
      </c>
      <c r="F168" s="1059">
        <f>IF(D168&gt;0.958333333,"",IF($H$6=0, VLOOKUP($D168,'Werkschema - Instelling'!$AA$3:$AO$172,15,FALSE),IF($H$6=1,VLOOKUP($D168,'Werkschema - Instelling'!$AC$3:$AO$172,13,FALSE),IF($H$6=2,VLOOKUP($D168,'Werkschema - Instelling'!$AE$3:$AO$172,11,FALSE),IF($H$6=3,VLOOKUP($D168,'Werkschema - Instelling'!$AG$3:$AO$172,9,FALSE),IF($H$6=4,VLOOKUP($D168,'Werkschema - Instelling'!$AI$3:$AO$172,7,FALSE),IF($H$6=5,VLOOKUP($D168,'Werkschema - Instelling'!$AK$3:$AO$172,5,FALSE),VLOOKUP($D168,'Werkschema - Instelling'!$AM$3:$AO$172,3,FALSE))))))))</f>
        <v/>
      </c>
      <c r="G168" s="1060">
        <f>IF(D168&gt;0.958333333,"", IF($H$6=0, VLOOKUP($D168,'Werkschema - Instelling'!$AA$3:$AP$172,16,FALSE),IF($H$6=1,VLOOKUP($D168,'Werkschema - Instelling'!$AC$3:$AP$172,14,FALSE),IF($H$6=2,VLOOKUP($D168,'Werkschema - Instelling'!$AE$3:$AP$172,12,FALSE),IF($H$6=3,VLOOKUP($D168,'Werkschema - Instelling'!$AG$3:$AP$172,10,FALSE),IF($H$6=4,VLOOKUP($D168,'Werkschema - Instelling'!$AI$3:$AP$172,8,FALSE),IF($H$6=5,VLOOKUP($D168,'Werkschema - Instelling'!$AK$3:$AP$172,6,FALSE),VLOOKUP($D168,'Werkschema - Instelling'!$AM$3:$AP$172,4,FALSE))))))))</f>
        <v/>
      </c>
      <c r="H168" s="1061">
        <f>IF($D168&gt;0.985333333,"", IF($H$6=0, VLOOKUP($D168,'Werkschema - Instelling'!$AA$3:$AB$172,2,FALSE),IF($H$6=1,VLOOKUP($D168,'Werkschema - Instelling'!$AC$3:$AD$172,2,FALSE),IF($H$6=2,VLOOKUP($D168,'Werkschema - Instelling'!$AE$3:$AF$172,2,FALSE),IF($H$6=3,VLOOKUP($D168,'Werkschema - Instelling'!$AG$3:$AH$172,2,FALSE),IF($H$6=4,VLOOKUP($D168,'Werkschema - Instelling'!$AI$3:$AJ$172,2,FALSE),IF($H$6=5,VLOOKUP($D168,'Werkschema - Instelling'!$AK$3:$AL$172,2,FALSE),VLOOKUP($D168,'Werkschema - Instelling'!$AM$3:$AN$172,2,FALSE))))))))</f>
        <v/>
      </c>
      <c r="I168" s="92" t="n"/>
    </row>
    <row r="169" ht="15" customHeight="1">
      <c r="A169" s="85">
        <f>A168+1</f>
        <v/>
      </c>
      <c r="B169" s="86">
        <f>IF(LEFT(F169,9)="Taken van",1,IF(LEFT(F169,14)="Start vulshift",2,IF(LEFT(F169,8)="Levering",3,0)))</f>
        <v/>
      </c>
      <c r="C169" s="85">
        <f>E169-E168</f>
        <v/>
      </c>
      <c r="D169" s="1049">
        <f>SMALL(OFFSET('Werkschema - Instelling'!$AA$3:$AA$172,0,$H$6*2),A169)</f>
        <v/>
      </c>
      <c r="E169" s="1058">
        <f>IFERROR(IF(D169-D168&lt;0.0001,"",$D169-VLOOKUP($F169,'Werkschema - Instelling'!$A$3:$Z$172,26,FALSE)),1)</f>
        <v/>
      </c>
      <c r="F169" s="1059">
        <f>IF(D169&gt;0.958333333,"",IF($H$6=0, VLOOKUP($D169,'Werkschema - Instelling'!$AA$3:$AO$172,15,FALSE),IF($H$6=1,VLOOKUP($D169,'Werkschema - Instelling'!$AC$3:$AO$172,13,FALSE),IF($H$6=2,VLOOKUP($D169,'Werkschema - Instelling'!$AE$3:$AO$172,11,FALSE),IF($H$6=3,VLOOKUP($D169,'Werkschema - Instelling'!$AG$3:$AO$172,9,FALSE),IF($H$6=4,VLOOKUP($D169,'Werkschema - Instelling'!$AI$3:$AO$172,7,FALSE),IF($H$6=5,VLOOKUP($D169,'Werkschema - Instelling'!$AK$3:$AO$172,5,FALSE),VLOOKUP($D169,'Werkschema - Instelling'!$AM$3:$AO$172,3,FALSE))))))))</f>
        <v/>
      </c>
      <c r="G169" s="1060">
        <f>IF(D169&gt;0.958333333,"", IF($H$6=0, VLOOKUP($D169,'Werkschema - Instelling'!$AA$3:$AP$172,16,FALSE),IF($H$6=1,VLOOKUP($D169,'Werkschema - Instelling'!$AC$3:$AP$172,14,FALSE),IF($H$6=2,VLOOKUP($D169,'Werkschema - Instelling'!$AE$3:$AP$172,12,FALSE),IF($H$6=3,VLOOKUP($D169,'Werkschema - Instelling'!$AG$3:$AP$172,10,FALSE),IF($H$6=4,VLOOKUP($D169,'Werkschema - Instelling'!$AI$3:$AP$172,8,FALSE),IF($H$6=5,VLOOKUP($D169,'Werkschema - Instelling'!$AK$3:$AP$172,6,FALSE),VLOOKUP($D169,'Werkschema - Instelling'!$AM$3:$AP$172,4,FALSE))))))))</f>
        <v/>
      </c>
      <c r="H169" s="1061">
        <f>IF($D169&gt;0.985333333,"", IF($H$6=0, VLOOKUP($D169,'Werkschema - Instelling'!$AA$3:$AB$172,2,FALSE),IF($H$6=1,VLOOKUP($D169,'Werkschema - Instelling'!$AC$3:$AD$172,2,FALSE),IF($H$6=2,VLOOKUP($D169,'Werkschema - Instelling'!$AE$3:$AF$172,2,FALSE),IF($H$6=3,VLOOKUP($D169,'Werkschema - Instelling'!$AG$3:$AH$172,2,FALSE),IF($H$6=4,VLOOKUP($D169,'Werkschema - Instelling'!$AI$3:$AJ$172,2,FALSE),IF($H$6=5,VLOOKUP($D169,'Werkschema - Instelling'!$AK$3:$AL$172,2,FALSE),VLOOKUP($D169,'Werkschema - Instelling'!$AM$3:$AN$172,2,FALSE))))))))</f>
        <v/>
      </c>
      <c r="I169" s="92" t="n"/>
    </row>
    <row r="170" ht="15" customHeight="1">
      <c r="A170" s="85">
        <f>A169+1</f>
        <v/>
      </c>
      <c r="B170" s="86">
        <f>IF(LEFT(F170,9)="Taken van",1,IF(LEFT(F170,14)="Start vulshift",2,IF(LEFT(F170,8)="Levering",3,0)))</f>
        <v/>
      </c>
      <c r="C170" s="85">
        <f>E170-E169</f>
        <v/>
      </c>
      <c r="D170" s="1049">
        <f>SMALL(OFFSET('Werkschema - Instelling'!$AA$3:$AA$172,0,$H$6*2),A170)</f>
        <v/>
      </c>
      <c r="E170" s="1058">
        <f>IFERROR(IF(D170-D169&lt;0.0001,"",$D170-VLOOKUP($F170,'Werkschema - Instelling'!$A$3:$Z$172,26,FALSE)),1)</f>
        <v/>
      </c>
      <c r="F170" s="1059">
        <f>IF(D170&gt;0.958333333,"",IF($H$6=0, VLOOKUP($D170,'Werkschema - Instelling'!$AA$3:$AO$172,15,FALSE),IF($H$6=1,VLOOKUP($D170,'Werkschema - Instelling'!$AC$3:$AO$172,13,FALSE),IF($H$6=2,VLOOKUP($D170,'Werkschema - Instelling'!$AE$3:$AO$172,11,FALSE),IF($H$6=3,VLOOKUP($D170,'Werkschema - Instelling'!$AG$3:$AO$172,9,FALSE),IF($H$6=4,VLOOKUP($D170,'Werkschema - Instelling'!$AI$3:$AO$172,7,FALSE),IF($H$6=5,VLOOKUP($D170,'Werkschema - Instelling'!$AK$3:$AO$172,5,FALSE),VLOOKUP($D170,'Werkschema - Instelling'!$AM$3:$AO$172,3,FALSE))))))))</f>
        <v/>
      </c>
      <c r="G170" s="1060">
        <f>IF(D170&gt;0.958333333,"", IF($H$6=0, VLOOKUP($D170,'Werkschema - Instelling'!$AA$3:$AP$172,16,FALSE),IF($H$6=1,VLOOKUP($D170,'Werkschema - Instelling'!$AC$3:$AP$172,14,FALSE),IF($H$6=2,VLOOKUP($D170,'Werkschema - Instelling'!$AE$3:$AP$172,12,FALSE),IF($H$6=3,VLOOKUP($D170,'Werkschema - Instelling'!$AG$3:$AP$172,10,FALSE),IF($H$6=4,VLOOKUP($D170,'Werkschema - Instelling'!$AI$3:$AP$172,8,FALSE),IF($H$6=5,VLOOKUP($D170,'Werkschema - Instelling'!$AK$3:$AP$172,6,FALSE),VLOOKUP($D170,'Werkschema - Instelling'!$AM$3:$AP$172,4,FALSE))))))))</f>
        <v/>
      </c>
      <c r="H170" s="1061">
        <f>IF($D170&gt;0.985333333,"", IF($H$6=0, VLOOKUP($D170,'Werkschema - Instelling'!$AA$3:$AB$172,2,FALSE),IF($H$6=1,VLOOKUP($D170,'Werkschema - Instelling'!$AC$3:$AD$172,2,FALSE),IF($H$6=2,VLOOKUP($D170,'Werkschema - Instelling'!$AE$3:$AF$172,2,FALSE),IF($H$6=3,VLOOKUP($D170,'Werkschema - Instelling'!$AG$3:$AH$172,2,FALSE),IF($H$6=4,VLOOKUP($D170,'Werkschema - Instelling'!$AI$3:$AJ$172,2,FALSE),IF($H$6=5,VLOOKUP($D170,'Werkschema - Instelling'!$AK$3:$AL$172,2,FALSE),VLOOKUP($D170,'Werkschema - Instelling'!$AM$3:$AN$172,2,FALSE))))))))</f>
        <v/>
      </c>
      <c r="I170" s="92" t="n"/>
    </row>
    <row r="171" ht="15" customHeight="1">
      <c r="A171" s="85">
        <f>A170+1</f>
        <v/>
      </c>
      <c r="B171" s="86">
        <f>IF(LEFT(F171,9)="Taken van",1,IF(LEFT(F171,14)="Start vulshift",2,IF(LEFT(F171,8)="Levering",3,0)))</f>
        <v/>
      </c>
      <c r="C171" s="85">
        <f>E171-E170</f>
        <v/>
      </c>
      <c r="D171" s="1049">
        <f>SMALL(OFFSET('Werkschema - Instelling'!$AA$3:$AA$172,0,$H$6*2),A171)</f>
        <v/>
      </c>
      <c r="E171" s="1058">
        <f>IFERROR(IF(D171-D170&lt;0.0001,"",$D171-VLOOKUP($F171,'Werkschema - Instelling'!$A$3:$Z$172,26,FALSE)),1)</f>
        <v/>
      </c>
      <c r="F171" s="1059">
        <f>IF(D171&gt;0.958333333,"",IF($H$6=0, VLOOKUP($D171,'Werkschema - Instelling'!$AA$3:$AO$172,15,FALSE),IF($H$6=1,VLOOKUP($D171,'Werkschema - Instelling'!$AC$3:$AO$172,13,FALSE),IF($H$6=2,VLOOKUP($D171,'Werkschema - Instelling'!$AE$3:$AO$172,11,FALSE),IF($H$6=3,VLOOKUP($D171,'Werkschema - Instelling'!$AG$3:$AO$172,9,FALSE),IF($H$6=4,VLOOKUP($D171,'Werkschema - Instelling'!$AI$3:$AO$172,7,FALSE),IF($H$6=5,VLOOKUP($D171,'Werkschema - Instelling'!$AK$3:$AO$172,5,FALSE),VLOOKUP($D171,'Werkschema - Instelling'!$AM$3:$AO$172,3,FALSE))))))))</f>
        <v/>
      </c>
      <c r="G171" s="1060">
        <f>IF(D171&gt;0.958333333,"", IF($H$6=0, VLOOKUP($D171,'Werkschema - Instelling'!$AA$3:$AP$172,16,FALSE),IF($H$6=1,VLOOKUP($D171,'Werkschema - Instelling'!$AC$3:$AP$172,14,FALSE),IF($H$6=2,VLOOKUP($D171,'Werkschema - Instelling'!$AE$3:$AP$172,12,FALSE),IF($H$6=3,VLOOKUP($D171,'Werkschema - Instelling'!$AG$3:$AP$172,10,FALSE),IF($H$6=4,VLOOKUP($D171,'Werkschema - Instelling'!$AI$3:$AP$172,8,FALSE),IF($H$6=5,VLOOKUP($D171,'Werkschema - Instelling'!$AK$3:$AP$172,6,FALSE),VLOOKUP($D171,'Werkschema - Instelling'!$AM$3:$AP$172,4,FALSE))))))))</f>
        <v/>
      </c>
      <c r="H171" s="1061">
        <f>IF($D171&gt;0.985333333,"", IF($H$6=0, VLOOKUP($D171,'Werkschema - Instelling'!$AA$3:$AB$172,2,FALSE),IF($H$6=1,VLOOKUP($D171,'Werkschema - Instelling'!$AC$3:$AD$172,2,FALSE),IF($H$6=2,VLOOKUP($D171,'Werkschema - Instelling'!$AE$3:$AF$172,2,FALSE),IF($H$6=3,VLOOKUP($D171,'Werkschema - Instelling'!$AG$3:$AH$172,2,FALSE),IF($H$6=4,VLOOKUP($D171,'Werkschema - Instelling'!$AI$3:$AJ$172,2,FALSE),IF($H$6=5,VLOOKUP($D171,'Werkschema - Instelling'!$AK$3:$AL$172,2,FALSE),VLOOKUP($D171,'Werkschema - Instelling'!$AM$3:$AN$172,2,FALSE))))))))</f>
        <v/>
      </c>
      <c r="I171" s="92" t="n"/>
    </row>
    <row r="172" ht="15" customHeight="1">
      <c r="A172" s="85">
        <f>A171+1</f>
        <v/>
      </c>
      <c r="B172" s="86">
        <f>IF(LEFT(F172,9)="Taken van",1,IF(LEFT(F172,14)="Start vulshift",2,IF(LEFT(F172,8)="Levering",3,0)))</f>
        <v/>
      </c>
      <c r="C172" s="85">
        <f>E172-E171</f>
        <v/>
      </c>
      <c r="D172" s="1049">
        <f>SMALL(OFFSET('Werkschema - Instelling'!$AA$3:$AA$172,0,$H$6*2),A172)</f>
        <v/>
      </c>
      <c r="E172" s="1058">
        <f>IFERROR(IF(D172-D171&lt;0.0001,"",$D172-VLOOKUP($F172,'Werkschema - Instelling'!$A$3:$Z$172,26,FALSE)),1)</f>
        <v/>
      </c>
      <c r="F172" s="1059">
        <f>IF(D172&gt;0.958333333,"",IF($H$6=0, VLOOKUP($D172,'Werkschema - Instelling'!$AA$3:$AO$172,15,FALSE),IF($H$6=1,VLOOKUP($D172,'Werkschema - Instelling'!$AC$3:$AO$172,13,FALSE),IF($H$6=2,VLOOKUP($D172,'Werkschema - Instelling'!$AE$3:$AO$172,11,FALSE),IF($H$6=3,VLOOKUP($D172,'Werkschema - Instelling'!$AG$3:$AO$172,9,FALSE),IF($H$6=4,VLOOKUP($D172,'Werkschema - Instelling'!$AI$3:$AO$172,7,FALSE),IF($H$6=5,VLOOKUP($D172,'Werkschema - Instelling'!$AK$3:$AO$172,5,FALSE),VLOOKUP($D172,'Werkschema - Instelling'!$AM$3:$AO$172,3,FALSE))))))))</f>
        <v/>
      </c>
      <c r="G172" s="1060">
        <f>IF(D172&gt;0.958333333,"", IF($H$6=0, VLOOKUP($D172,'Werkschema - Instelling'!$AA$3:$AP$172,16,FALSE),IF($H$6=1,VLOOKUP($D172,'Werkschema - Instelling'!$AC$3:$AP$172,14,FALSE),IF($H$6=2,VLOOKUP($D172,'Werkschema - Instelling'!$AE$3:$AP$172,12,FALSE),IF($H$6=3,VLOOKUP($D172,'Werkschema - Instelling'!$AG$3:$AP$172,10,FALSE),IF($H$6=4,VLOOKUP($D172,'Werkschema - Instelling'!$AI$3:$AP$172,8,FALSE),IF($H$6=5,VLOOKUP($D172,'Werkschema - Instelling'!$AK$3:$AP$172,6,FALSE),VLOOKUP($D172,'Werkschema - Instelling'!$AM$3:$AP$172,4,FALSE))))))))</f>
        <v/>
      </c>
      <c r="H172" s="1061">
        <f>IF($D172&gt;0.985333333,"", IF($H$6=0, VLOOKUP($D172,'Werkschema - Instelling'!$AA$3:$AB$172,2,FALSE),IF($H$6=1,VLOOKUP($D172,'Werkschema - Instelling'!$AC$3:$AD$172,2,FALSE),IF($H$6=2,VLOOKUP($D172,'Werkschema - Instelling'!$AE$3:$AF$172,2,FALSE),IF($H$6=3,VLOOKUP($D172,'Werkschema - Instelling'!$AG$3:$AH$172,2,FALSE),IF($H$6=4,VLOOKUP($D172,'Werkschema - Instelling'!$AI$3:$AJ$172,2,FALSE),IF($H$6=5,VLOOKUP($D172,'Werkschema - Instelling'!$AK$3:$AL$172,2,FALSE),VLOOKUP($D172,'Werkschema - Instelling'!$AM$3:$AN$172,2,FALSE))))))))</f>
        <v/>
      </c>
      <c r="I172" s="92" t="n"/>
    </row>
    <row r="173" ht="15" customHeight="1">
      <c r="A173" s="85">
        <f>A172+1</f>
        <v/>
      </c>
      <c r="B173" s="86">
        <f>IF(LEFT(F173,9)="Taken van",1,IF(LEFT(F173,14)="Start vulshift",2,IF(LEFT(F173,8)="Levering",3,0)))</f>
        <v/>
      </c>
      <c r="C173" s="85">
        <f>E173-E172</f>
        <v/>
      </c>
      <c r="D173" s="1049">
        <f>SMALL(OFFSET('Werkschema - Instelling'!$AA$3:$AA$172,0,$H$6*2),A173)</f>
        <v/>
      </c>
      <c r="E173" s="1058">
        <f>IFERROR(IF(D173-D172&lt;0.0001,"",$D173-VLOOKUP($F173,'Werkschema - Instelling'!$A$3:$Z$172,26,FALSE)),1)</f>
        <v/>
      </c>
      <c r="F173" s="1059">
        <f>IF(D173&gt;0.958333333,"",IF($H$6=0, VLOOKUP($D173,'Werkschema - Instelling'!$AA$3:$AO$172,15,FALSE),IF($H$6=1,VLOOKUP($D173,'Werkschema - Instelling'!$AC$3:$AO$172,13,FALSE),IF($H$6=2,VLOOKUP($D173,'Werkschema - Instelling'!$AE$3:$AO$172,11,FALSE),IF($H$6=3,VLOOKUP($D173,'Werkschema - Instelling'!$AG$3:$AO$172,9,FALSE),IF($H$6=4,VLOOKUP($D173,'Werkschema - Instelling'!$AI$3:$AO$172,7,FALSE),IF($H$6=5,VLOOKUP($D173,'Werkschema - Instelling'!$AK$3:$AO$172,5,FALSE),VLOOKUP($D173,'Werkschema - Instelling'!$AM$3:$AO$172,3,FALSE))))))))</f>
        <v/>
      </c>
      <c r="G173" s="1060">
        <f>IF(D173&gt;0.958333333,"", IF($H$6=0, VLOOKUP($D173,'Werkschema - Instelling'!$AA$3:$AP$172,16,FALSE),IF($H$6=1,VLOOKUP($D173,'Werkschema - Instelling'!$AC$3:$AP$172,14,FALSE),IF($H$6=2,VLOOKUP($D173,'Werkschema - Instelling'!$AE$3:$AP$172,12,FALSE),IF($H$6=3,VLOOKUP($D173,'Werkschema - Instelling'!$AG$3:$AP$172,10,FALSE),IF($H$6=4,VLOOKUP($D173,'Werkschema - Instelling'!$AI$3:$AP$172,8,FALSE),IF($H$6=5,VLOOKUP($D173,'Werkschema - Instelling'!$AK$3:$AP$172,6,FALSE),VLOOKUP($D173,'Werkschema - Instelling'!$AM$3:$AP$172,4,FALSE))))))))</f>
        <v/>
      </c>
      <c r="H173" s="1061">
        <f>IF($D173&gt;0.985333333,"", IF($H$6=0, VLOOKUP($D173,'Werkschema - Instelling'!$AA$3:$AB$172,2,FALSE),IF($H$6=1,VLOOKUP($D173,'Werkschema - Instelling'!$AC$3:$AD$172,2,FALSE),IF($H$6=2,VLOOKUP($D173,'Werkschema - Instelling'!$AE$3:$AF$172,2,FALSE),IF($H$6=3,VLOOKUP($D173,'Werkschema - Instelling'!$AG$3:$AH$172,2,FALSE),IF($H$6=4,VLOOKUP($D173,'Werkschema - Instelling'!$AI$3:$AJ$172,2,FALSE),IF($H$6=5,VLOOKUP($D173,'Werkschema - Instelling'!$AK$3:$AL$172,2,FALSE),VLOOKUP($D173,'Werkschema - Instelling'!$AM$3:$AN$172,2,FALSE))))))))</f>
        <v/>
      </c>
      <c r="I173" s="92" t="n"/>
    </row>
    <row r="174" ht="15" customHeight="1">
      <c r="A174" s="85">
        <f>A173+1</f>
        <v/>
      </c>
      <c r="B174" s="86">
        <f>IF(LEFT(F174,9)="Taken van",1,IF(LEFT(F174,14)="Start vulshift",2,IF(LEFT(F174,8)="Levering",3,0)))</f>
        <v/>
      </c>
      <c r="C174" s="85">
        <f>E174-E173</f>
        <v/>
      </c>
      <c r="D174" s="1049">
        <f>SMALL(OFFSET('Werkschema - Instelling'!$AA$3:$AA$172,0,$H$6*2),A174)</f>
        <v/>
      </c>
      <c r="E174" s="1058">
        <f>IFERROR(IF(D174-D173&lt;0.0001,"",$D174-VLOOKUP($F174,'Werkschema - Instelling'!$A$3:$Z$172,26,FALSE)),1)</f>
        <v/>
      </c>
      <c r="F174" s="1059">
        <f>IF(D174&gt;0.958333333,"",IF($H$6=0, VLOOKUP($D174,'Werkschema - Instelling'!$AA$3:$AO$172,15,FALSE),IF($H$6=1,VLOOKUP($D174,'Werkschema - Instelling'!$AC$3:$AO$172,13,FALSE),IF($H$6=2,VLOOKUP($D174,'Werkschema - Instelling'!$AE$3:$AO$172,11,FALSE),IF($H$6=3,VLOOKUP($D174,'Werkschema - Instelling'!$AG$3:$AO$172,9,FALSE),IF($H$6=4,VLOOKUP($D174,'Werkschema - Instelling'!$AI$3:$AO$172,7,FALSE),IF($H$6=5,VLOOKUP($D174,'Werkschema - Instelling'!$AK$3:$AO$172,5,FALSE),VLOOKUP($D174,'Werkschema - Instelling'!$AM$3:$AO$172,3,FALSE))))))))</f>
        <v/>
      </c>
      <c r="G174" s="1060">
        <f>IF(D174&gt;0.958333333,"", IF($H$6=0, VLOOKUP($D174,'Werkschema - Instelling'!$AA$3:$AP$172,16,FALSE),IF($H$6=1,VLOOKUP($D174,'Werkschema - Instelling'!$AC$3:$AP$172,14,FALSE),IF($H$6=2,VLOOKUP($D174,'Werkschema - Instelling'!$AE$3:$AP$172,12,FALSE),IF($H$6=3,VLOOKUP($D174,'Werkschema - Instelling'!$AG$3:$AP$172,10,FALSE),IF($H$6=4,VLOOKUP($D174,'Werkschema - Instelling'!$AI$3:$AP$172,8,FALSE),IF($H$6=5,VLOOKUP($D174,'Werkschema - Instelling'!$AK$3:$AP$172,6,FALSE),VLOOKUP($D174,'Werkschema - Instelling'!$AM$3:$AP$172,4,FALSE))))))))</f>
        <v/>
      </c>
      <c r="H174" s="1061">
        <f>IF($D174&gt;0.985333333,"", IF($H$6=0, VLOOKUP($D174,'Werkschema - Instelling'!$AA$3:$AB$172,2,FALSE),IF($H$6=1,VLOOKUP($D174,'Werkschema - Instelling'!$AC$3:$AD$172,2,FALSE),IF($H$6=2,VLOOKUP($D174,'Werkschema - Instelling'!$AE$3:$AF$172,2,FALSE),IF($H$6=3,VLOOKUP($D174,'Werkschema - Instelling'!$AG$3:$AH$172,2,FALSE),IF($H$6=4,VLOOKUP($D174,'Werkschema - Instelling'!$AI$3:$AJ$172,2,FALSE),IF($H$6=5,VLOOKUP($D174,'Werkschema - Instelling'!$AK$3:$AL$172,2,FALSE),VLOOKUP($D174,'Werkschema - Instelling'!$AM$3:$AN$172,2,FALSE))))))))</f>
        <v/>
      </c>
      <c r="I174" s="92" t="n"/>
    </row>
    <row r="175" ht="15" customHeight="1">
      <c r="A175" s="85">
        <f>A174+1</f>
        <v/>
      </c>
      <c r="B175" s="86">
        <f>IF(LEFT(F175,9)="Taken van",1,IF(LEFT(F175,14)="Start vulshift",2,IF(LEFT(F175,8)="Levering",3,0)))</f>
        <v/>
      </c>
      <c r="C175" s="85">
        <f>E175-E174</f>
        <v/>
      </c>
      <c r="D175" s="1049">
        <f>SMALL(OFFSET('Werkschema - Instelling'!$AA$3:$AA$172,0,$H$6*2),A175)</f>
        <v/>
      </c>
      <c r="E175" s="1058">
        <f>IFERROR(IF(D175-D174&lt;0.0001,"",$D175-VLOOKUP($F175,'Werkschema - Instelling'!$A$3:$Z$172,26,FALSE)),1)</f>
        <v/>
      </c>
      <c r="F175" s="1059">
        <f>IF(D175&gt;0.958333333,"",IF($H$6=0, VLOOKUP($D175,'Werkschema - Instelling'!$AA$3:$AO$172,15,FALSE),IF($H$6=1,VLOOKUP($D175,'Werkschema - Instelling'!$AC$3:$AO$172,13,FALSE),IF($H$6=2,VLOOKUP($D175,'Werkschema - Instelling'!$AE$3:$AO$172,11,FALSE),IF($H$6=3,VLOOKUP($D175,'Werkschema - Instelling'!$AG$3:$AO$172,9,FALSE),IF($H$6=4,VLOOKUP($D175,'Werkschema - Instelling'!$AI$3:$AO$172,7,FALSE),IF($H$6=5,VLOOKUP($D175,'Werkschema - Instelling'!$AK$3:$AO$172,5,FALSE),VLOOKUP($D175,'Werkschema - Instelling'!$AM$3:$AO$172,3,FALSE))))))))</f>
        <v/>
      </c>
      <c r="G175" s="1060">
        <f>IF(D175&gt;0.958333333,"", IF($H$6=0, VLOOKUP($D175,'Werkschema - Instelling'!$AA$3:$AP$172,16,FALSE),IF($H$6=1,VLOOKUP($D175,'Werkschema - Instelling'!$AC$3:$AP$172,14,FALSE),IF($H$6=2,VLOOKUP($D175,'Werkschema - Instelling'!$AE$3:$AP$172,12,FALSE),IF($H$6=3,VLOOKUP($D175,'Werkschema - Instelling'!$AG$3:$AP$172,10,FALSE),IF($H$6=4,VLOOKUP($D175,'Werkschema - Instelling'!$AI$3:$AP$172,8,FALSE),IF($H$6=5,VLOOKUP($D175,'Werkschema - Instelling'!$AK$3:$AP$172,6,FALSE),VLOOKUP($D175,'Werkschema - Instelling'!$AM$3:$AP$172,4,FALSE))))))))</f>
        <v/>
      </c>
      <c r="H175" s="1061">
        <f>IF($D175&gt;0.985333333,"", IF($H$6=0, VLOOKUP($D175,'Werkschema - Instelling'!$AA$3:$AB$172,2,FALSE),IF($H$6=1,VLOOKUP($D175,'Werkschema - Instelling'!$AC$3:$AD$172,2,FALSE),IF($H$6=2,VLOOKUP($D175,'Werkschema - Instelling'!$AE$3:$AF$172,2,FALSE),IF($H$6=3,VLOOKUP($D175,'Werkschema - Instelling'!$AG$3:$AH$172,2,FALSE),IF($H$6=4,VLOOKUP($D175,'Werkschema - Instelling'!$AI$3:$AJ$172,2,FALSE),IF($H$6=5,VLOOKUP($D175,'Werkschema - Instelling'!$AK$3:$AL$172,2,FALSE),VLOOKUP($D175,'Werkschema - Instelling'!$AM$3:$AN$172,2,FALSE))))))))</f>
        <v/>
      </c>
      <c r="I175" s="92" t="n"/>
    </row>
    <row r="176" ht="15" customHeight="1">
      <c r="A176" s="85">
        <f>A175+1</f>
        <v/>
      </c>
      <c r="B176" s="86">
        <f>IF(LEFT(F176,9)="Taken van",1,IF(LEFT(F176,14)="Start vulshift",2,IF(LEFT(F176,8)="Levering",3,0)))</f>
        <v/>
      </c>
      <c r="C176" s="85">
        <f>E176-E175</f>
        <v/>
      </c>
      <c r="D176" s="1049">
        <f>SMALL(OFFSET('Werkschema - Instelling'!$AA$3:$AA$172,0,$H$6*2),A176)</f>
        <v/>
      </c>
      <c r="E176" s="1058">
        <f>IFERROR(IF(D176-D175&lt;0.0001,"",$D176-VLOOKUP($F176,'Werkschema - Instelling'!$A$3:$Z$172,26,FALSE)),1)</f>
        <v/>
      </c>
      <c r="F176" s="1059">
        <f>IF(D176&gt;0.958333333,"",IF($H$6=0, VLOOKUP($D176,'Werkschema - Instelling'!$AA$3:$AO$172,15,FALSE),IF($H$6=1,VLOOKUP($D176,'Werkschema - Instelling'!$AC$3:$AO$172,13,FALSE),IF($H$6=2,VLOOKUP($D176,'Werkschema - Instelling'!$AE$3:$AO$172,11,FALSE),IF($H$6=3,VLOOKUP($D176,'Werkschema - Instelling'!$AG$3:$AO$172,9,FALSE),IF($H$6=4,VLOOKUP($D176,'Werkschema - Instelling'!$AI$3:$AO$172,7,FALSE),IF($H$6=5,VLOOKUP($D176,'Werkschema - Instelling'!$AK$3:$AO$172,5,FALSE),VLOOKUP($D176,'Werkschema - Instelling'!$AM$3:$AO$172,3,FALSE))))))))</f>
        <v/>
      </c>
      <c r="G176" s="1060">
        <f>IF(D176&gt;0.958333333,"", IF($H$6=0, VLOOKUP($D176,'Werkschema - Instelling'!$AA$3:$AP$172,16,FALSE),IF($H$6=1,VLOOKUP($D176,'Werkschema - Instelling'!$AC$3:$AP$172,14,FALSE),IF($H$6=2,VLOOKUP($D176,'Werkschema - Instelling'!$AE$3:$AP$172,12,FALSE),IF($H$6=3,VLOOKUP($D176,'Werkschema - Instelling'!$AG$3:$AP$172,10,FALSE),IF($H$6=4,VLOOKUP($D176,'Werkschema - Instelling'!$AI$3:$AP$172,8,FALSE),IF($H$6=5,VLOOKUP($D176,'Werkschema - Instelling'!$AK$3:$AP$172,6,FALSE),VLOOKUP($D176,'Werkschema - Instelling'!$AM$3:$AP$172,4,FALSE))))))))</f>
        <v/>
      </c>
      <c r="H176" s="1061">
        <f>IF($D176&gt;0.985333333,"", IF($H$6=0, VLOOKUP($D176,'Werkschema - Instelling'!$AA$3:$AB$172,2,FALSE),IF($H$6=1,VLOOKUP($D176,'Werkschema - Instelling'!$AC$3:$AD$172,2,FALSE),IF($H$6=2,VLOOKUP($D176,'Werkschema - Instelling'!$AE$3:$AF$172,2,FALSE),IF($H$6=3,VLOOKUP($D176,'Werkschema - Instelling'!$AG$3:$AH$172,2,FALSE),IF($H$6=4,VLOOKUP($D176,'Werkschema - Instelling'!$AI$3:$AJ$172,2,FALSE),IF($H$6=5,VLOOKUP($D176,'Werkschema - Instelling'!$AK$3:$AL$172,2,FALSE),VLOOKUP($D176,'Werkschema - Instelling'!$AM$3:$AN$172,2,FALSE))))))))</f>
        <v/>
      </c>
      <c r="I176" s="92" t="n"/>
    </row>
    <row r="177" ht="15" customHeight="1">
      <c r="A177" s="85">
        <f>A176+1</f>
        <v/>
      </c>
      <c r="B177" s="86">
        <f>IF(LEFT(F177,9)="Taken van",1,IF(LEFT(F177,14)="Start vulshift",2,IF(LEFT(F177,8)="Levering",3,0)))</f>
        <v/>
      </c>
      <c r="C177" s="85">
        <f>E177-E176</f>
        <v/>
      </c>
      <c r="D177" s="1049">
        <f>SMALL(OFFSET('Werkschema - Instelling'!$AA$3:$AA$172,0,$H$6*2),A177)</f>
        <v/>
      </c>
      <c r="E177" s="1058">
        <f>IFERROR(IF(D177-D176&lt;0.0001,"",$D177-VLOOKUP($F177,'Werkschema - Instelling'!$A$3:$Z$172,26,FALSE)),1)</f>
        <v/>
      </c>
      <c r="F177" s="1059">
        <f>IF(D177&gt;0.958333333,"",IF($H$6=0, VLOOKUP($D177,'Werkschema - Instelling'!$AA$3:$AO$172,15,FALSE),IF($H$6=1,VLOOKUP($D177,'Werkschema - Instelling'!$AC$3:$AO$172,13,FALSE),IF($H$6=2,VLOOKUP($D177,'Werkschema - Instelling'!$AE$3:$AO$172,11,FALSE),IF($H$6=3,VLOOKUP($D177,'Werkschema - Instelling'!$AG$3:$AO$172,9,FALSE),IF($H$6=4,VLOOKUP($D177,'Werkschema - Instelling'!$AI$3:$AO$172,7,FALSE),IF($H$6=5,VLOOKUP($D177,'Werkschema - Instelling'!$AK$3:$AO$172,5,FALSE),VLOOKUP($D177,'Werkschema - Instelling'!$AM$3:$AO$172,3,FALSE))))))))</f>
        <v/>
      </c>
      <c r="G177" s="1060">
        <f>IF(D177&gt;0.958333333,"", IF($H$6=0, VLOOKUP($D177,'Werkschema - Instelling'!$AA$3:$AP$172,16,FALSE),IF($H$6=1,VLOOKUP($D177,'Werkschema - Instelling'!$AC$3:$AP$172,14,FALSE),IF($H$6=2,VLOOKUP($D177,'Werkschema - Instelling'!$AE$3:$AP$172,12,FALSE),IF($H$6=3,VLOOKUP($D177,'Werkschema - Instelling'!$AG$3:$AP$172,10,FALSE),IF($H$6=4,VLOOKUP($D177,'Werkschema - Instelling'!$AI$3:$AP$172,8,FALSE),IF($H$6=5,VLOOKUP($D177,'Werkschema - Instelling'!$AK$3:$AP$172,6,FALSE),VLOOKUP($D177,'Werkschema - Instelling'!$AM$3:$AP$172,4,FALSE))))))))</f>
        <v/>
      </c>
      <c r="H177" s="1061">
        <f>IF($D177&gt;0.985333333,"", IF($H$6=0, VLOOKUP($D177,'Werkschema - Instelling'!$AA$3:$AB$172,2,FALSE),IF($H$6=1,VLOOKUP($D177,'Werkschema - Instelling'!$AC$3:$AD$172,2,FALSE),IF($H$6=2,VLOOKUP($D177,'Werkschema - Instelling'!$AE$3:$AF$172,2,FALSE),IF($H$6=3,VLOOKUP($D177,'Werkschema - Instelling'!$AG$3:$AH$172,2,FALSE),IF($H$6=4,VLOOKUP($D177,'Werkschema - Instelling'!$AI$3:$AJ$172,2,FALSE),IF($H$6=5,VLOOKUP($D177,'Werkschema - Instelling'!$AK$3:$AL$172,2,FALSE),VLOOKUP($D177,'Werkschema - Instelling'!$AM$3:$AN$172,2,FALSE))))))))</f>
        <v/>
      </c>
      <c r="I177" s="92" t="n"/>
    </row>
  </sheetData>
  <mergeCells count="1">
    <mergeCell ref="E2:F2"/>
  </mergeCells>
  <conditionalFormatting sqref="E8:E177">
    <cfRule type="expression" priority="9" dxfId="0">
      <formula>IF((B8:B177)=1,TRUE,FALSE)</formula>
    </cfRule>
    <cfRule type="expression" priority="10" dxfId="11">
      <formula>IF((B8:B177)=2,TRUE,FALSE)</formula>
    </cfRule>
    <cfRule type="expression" priority="13" dxfId="12">
      <formula>IF((B8:B177)=3,TRUE,FALSE)</formula>
    </cfRule>
    <cfRule type="cellIs" priority="19" operator="greaterThan" dxfId="13">
      <formula>0.958333333</formula>
    </cfRule>
  </conditionalFormatting>
  <conditionalFormatting sqref="E9:E177">
    <cfRule type="expression" priority="18" dxfId="13">
      <formula>IF(C9:C177&lt;0.0001,TRUE,FALSE)</formula>
    </cfRule>
  </conditionalFormatting>
  <conditionalFormatting sqref="F8:F177">
    <cfRule type="expression" priority="7" dxfId="12">
      <formula>IF((B8:B177)=3,TRUE,FALSE)</formula>
    </cfRule>
    <cfRule type="expression" priority="8" dxfId="11">
      <formula>IF((B8:B177)=2,TRUE,FALSE)</formula>
    </cfRule>
    <cfRule type="expression" priority="14" dxfId="0">
      <formula>IF((B8:B177)=1,TRUE,FALSE)</formula>
    </cfRule>
  </conditionalFormatting>
  <conditionalFormatting sqref="G8:G177">
    <cfRule type="expression" priority="5" dxfId="9">
      <formula>IF((B8:B177)=3,TRUE,FALSE)</formula>
    </cfRule>
    <cfRule type="expression" priority="6" dxfId="8">
      <formula>IF((B8:B177)=2,TRUE,FALSE)</formula>
    </cfRule>
    <cfRule type="expression" priority="15" dxfId="0">
      <formula>IF((B8:B177)=1,TRUE,FALSE)</formula>
    </cfRule>
  </conditionalFormatting>
  <conditionalFormatting sqref="G8:H177">
    <cfRule type="cellIs" priority="11" operator="equal" dxfId="6">
      <formula>0</formula>
    </cfRule>
  </conditionalFormatting>
  <conditionalFormatting sqref="H8:H177">
    <cfRule type="expression" priority="3" dxfId="2">
      <formula>IF((B8:B177)=3,TRUE,FALSE)</formula>
    </cfRule>
    <cfRule type="expression" priority="4" dxfId="1">
      <formula>IF((B8:B177)=2,TRUE,FALSE)</formula>
    </cfRule>
    <cfRule type="expression" priority="16" dxfId="0">
      <formula>IF((B8:B177)=1,TRUE,FALSE)</formula>
    </cfRule>
  </conditionalFormatting>
  <conditionalFormatting sqref="I8:I177">
    <cfRule type="expression" priority="1" dxfId="2">
      <formula>IF((B8:B177)=3,TRUE,FALSE)</formula>
    </cfRule>
    <cfRule type="expression" priority="2" dxfId="1">
      <formula>IF((B8:B177)=2,TRUE,FALSE)</formula>
    </cfRule>
    <cfRule type="expression" priority="17" dxfId="0">
      <formula>IF((B8:B177)=1,TRUE,FALSE)</formula>
    </cfRule>
  </conditionalFormatting>
  <dataValidations count="1">
    <dataValidation sqref="H2 H4:H5" showDropDown="0" showInputMessage="0" showErrorMessage="1" allowBlank="1" type="list">
      <formula1>"Maandag,Dinsdag,Woensdag,Donderdag,Vrijdag,Zaterdag,Zondag"</formula1>
    </dataValidation>
  </dataValidations>
  <pageMargins left="0.7" right="0.7" top="0.75" bottom="0.75" header="0.3" footer="0.3"/>
  <pageSetup orientation="portrait" paperSize="9" scale="71" fitToHeight="0"/>
</worksheet>
</file>

<file path=xl/worksheets/sheet16.xml><?xml version="1.0" encoding="utf-8"?>
<worksheet xmlns="http://schemas.openxmlformats.org/spreadsheetml/2006/main">
  <sheetPr codeName="Sheet17">
    <tabColor rgb="FF7030A0"/>
    <outlinePr summaryBelow="0" summaryRight="0"/>
    <pageSetUpPr/>
  </sheetPr>
  <dimension ref="A1:AC182"/>
  <sheetViews>
    <sheetView showGridLines="0" showRowColHeaders="0" topLeftCell="B95" workbookViewId="0">
      <selection activeCell="B95" sqref="B95"/>
    </sheetView>
  </sheetViews>
  <sheetFormatPr baseColWidth="8" defaultColWidth="17.28515625" defaultRowHeight="15" customHeight="1"/>
  <cols>
    <col width="3.5703125" bestFit="1" customWidth="1" style="380" min="1" max="1"/>
    <col width="55.28515625" customWidth="1" style="1" min="2" max="2"/>
    <col width="9.140625" customWidth="1" style="1" min="3" max="3"/>
    <col width="14.42578125" customWidth="1" style="1" min="4" max="4"/>
    <col width="8.28515625" bestFit="1" customWidth="1" style="1" min="5" max="5"/>
    <col width="7.5703125" customWidth="1" style="1" min="6" max="26"/>
    <col width="17.28515625" customWidth="1" style="1" min="27" max="16384"/>
  </cols>
  <sheetData>
    <row r="1" ht="42.95" customHeight="1">
      <c r="B1" s="181" t="inlineStr">
        <is>
          <t>Aanpassen Werkschema</t>
        </is>
      </c>
      <c r="C1" s="182" t="n"/>
      <c r="D1" s="182" t="n"/>
      <c r="E1" s="182" t="n"/>
      <c r="F1" s="182" t="n"/>
      <c r="G1" s="182" t="n"/>
      <c r="H1" s="182" t="n"/>
      <c r="I1" s="182" t="n"/>
      <c r="J1" s="182" t="n"/>
      <c r="K1" s="183" t="n"/>
      <c r="L1" s="183" t="n"/>
      <c r="M1" s="183" t="n"/>
      <c r="N1" s="183" t="n"/>
      <c r="O1" s="183" t="n"/>
      <c r="P1" s="183" t="n"/>
      <c r="Q1" s="183" t="n"/>
      <c r="R1" s="183" t="n"/>
      <c r="S1" s="183" t="n"/>
      <c r="T1" s="183" t="n"/>
      <c r="U1" s="183" t="n"/>
      <c r="V1" s="183" t="n"/>
      <c r="W1" s="183" t="n"/>
      <c r="X1" s="183" t="n"/>
      <c r="Y1" s="183" t="n"/>
      <c r="Z1" s="183" t="n"/>
      <c r="AA1" s="183" t="n"/>
      <c r="AB1" s="183" t="n"/>
      <c r="AC1" s="183" t="n"/>
    </row>
    <row r="2" ht="3" customHeight="1">
      <c r="B2" s="608" t="n"/>
      <c r="C2" s="608" t="n"/>
      <c r="D2" s="608" t="n"/>
      <c r="E2" s="608" t="n"/>
      <c r="F2" s="608" t="n"/>
      <c r="G2" s="608" t="n"/>
      <c r="H2" s="608" t="n"/>
      <c r="I2" s="608" t="n"/>
      <c r="J2" s="608" t="n"/>
      <c r="K2" s="610" t="n"/>
      <c r="L2" s="610" t="n"/>
      <c r="M2" s="610" t="n"/>
      <c r="N2" s="610" t="n"/>
      <c r="O2" s="610" t="n"/>
      <c r="P2" s="610" t="n"/>
      <c r="Q2" s="610" t="n"/>
      <c r="R2" s="610" t="n"/>
      <c r="S2" s="610" t="n"/>
      <c r="T2" s="610" t="n"/>
      <c r="U2" s="610" t="n"/>
      <c r="V2" s="610" t="n"/>
      <c r="W2" s="610" t="n"/>
      <c r="X2" s="610" t="n"/>
      <c r="Y2" s="610" t="n"/>
      <c r="Z2" s="610" t="n"/>
      <c r="AA2" s="183" t="n"/>
      <c r="AB2" s="183" t="n"/>
      <c r="AC2" s="183" t="n"/>
    </row>
    <row r="3" ht="3" customHeight="1">
      <c r="B3" s="141" t="n"/>
      <c r="C3" s="141" t="n"/>
      <c r="D3" s="141" t="n"/>
      <c r="E3" s="141" t="n"/>
      <c r="F3" s="141" t="n"/>
      <c r="G3" s="141" t="n"/>
      <c r="H3" s="141" t="n"/>
      <c r="I3" s="141" t="n"/>
      <c r="J3" s="141" t="n"/>
      <c r="K3" s="142" t="n"/>
      <c r="L3" s="142" t="n"/>
      <c r="M3" s="142" t="n"/>
      <c r="N3" s="142" t="n"/>
      <c r="O3" s="142" t="n"/>
      <c r="P3" s="142" t="n"/>
      <c r="Q3" s="142" t="n"/>
      <c r="R3" s="142" t="n"/>
      <c r="S3" s="142" t="n"/>
      <c r="T3" s="142" t="n"/>
      <c r="U3" s="142" t="n"/>
      <c r="V3" s="142" t="n"/>
      <c r="W3" s="142" t="n"/>
      <c r="X3" s="142" t="n"/>
      <c r="Y3" s="142" t="n"/>
      <c r="Z3" s="142" t="n"/>
      <c r="AA3" s="183" t="n"/>
      <c r="AB3" s="183" t="n"/>
      <c r="AC3" s="183" t="n"/>
    </row>
    <row r="4" ht="12.75" customHeight="1">
      <c r="B4" s="183" t="n"/>
      <c r="C4" s="183" t="n"/>
      <c r="D4" s="183" t="n"/>
      <c r="E4" s="183" t="n"/>
      <c r="F4" s="183" t="n"/>
      <c r="G4" s="183" t="n"/>
      <c r="H4" s="183" t="n"/>
      <c r="I4" s="183" t="n"/>
      <c r="J4" s="183" t="n"/>
      <c r="K4" s="183" t="n"/>
      <c r="L4" s="183" t="n"/>
      <c r="M4" s="183" t="n"/>
      <c r="N4" s="183" t="n"/>
      <c r="O4" s="183" t="n"/>
      <c r="P4" s="183" t="n"/>
      <c r="Q4" s="183" t="n"/>
      <c r="R4" s="183" t="n"/>
      <c r="S4" s="183" t="n"/>
      <c r="T4" s="183" t="n"/>
      <c r="U4" s="183" t="n"/>
      <c r="V4" s="183" t="n"/>
      <c r="W4" s="183" t="n"/>
      <c r="X4" s="183" t="n"/>
      <c r="Y4" s="183" t="n"/>
      <c r="Z4" s="183" t="n"/>
      <c r="AA4" s="183" t="n"/>
      <c r="AB4" s="183" t="n"/>
      <c r="AC4" s="183" t="n"/>
    </row>
    <row r="5" ht="12.75" customHeight="1">
      <c r="B5" s="384" t="inlineStr">
        <is>
          <t>Hieronder kun je het 'Werkschema Counter' aanpassen. Door de grijze cellen in te vullen kun je de bestaande instellingen aanpassen.</t>
        </is>
      </c>
      <c r="C5" s="183" t="n"/>
      <c r="D5" s="183" t="n"/>
      <c r="E5" s="183" t="n"/>
      <c r="F5" s="183" t="n"/>
      <c r="G5" s="183" t="n"/>
      <c r="H5" s="183" t="n"/>
      <c r="I5" s="183" t="n"/>
      <c r="J5" s="183" t="n"/>
      <c r="K5" s="183" t="n"/>
      <c r="L5" s="183" t="n"/>
      <c r="M5" s="183" t="n"/>
      <c r="N5" s="183" t="n"/>
      <c r="O5" s="183" t="n"/>
      <c r="P5" s="183" t="n"/>
      <c r="Q5" s="183" t="n"/>
      <c r="R5" s="183" t="n"/>
      <c r="S5" s="183" t="n"/>
      <c r="T5" s="183" t="n"/>
      <c r="U5" s="183" t="n"/>
      <c r="V5" s="183" t="n"/>
      <c r="W5" s="183" t="n"/>
      <c r="X5" s="183" t="n"/>
      <c r="Y5" s="183" t="n"/>
      <c r="Z5" s="183" t="n"/>
      <c r="AA5" s="183" t="n"/>
      <c r="AB5" s="183" t="n"/>
      <c r="AC5" s="183" t="n"/>
    </row>
    <row r="6" ht="12.75" customHeight="1">
      <c r="B6" s="384" t="inlineStr">
        <is>
          <t>Je kunt tot maximaal 20 taken toevoegen ('Omschrijving taak' - omschrijving van de taak zelf, 'Afkorting' - afkorting van de taak waaraan de taak gekoppeld wordt, 'Koppelen aan' - op basis van welke tijd dient de taak te verschijnen, 'Plustijd' - door hier een tijd in te vullen verschijnt de taak eerder / later dan aangegeven bij 'koppelen aan').</t>
        </is>
      </c>
      <c r="C6" s="183" t="n"/>
      <c r="D6" s="183" t="n"/>
      <c r="E6" s="183" t="n"/>
      <c r="F6" s="183" t="n"/>
      <c r="G6" s="183" t="n"/>
      <c r="H6" s="183" t="n"/>
      <c r="I6" s="183" t="n"/>
      <c r="J6" s="183" t="n"/>
      <c r="K6" s="183" t="n"/>
      <c r="L6" s="183" t="n"/>
      <c r="M6" s="183" t="n"/>
      <c r="N6" s="183" t="n"/>
      <c r="O6" s="183" t="n"/>
      <c r="P6" s="183" t="n"/>
      <c r="Q6" s="183" t="n"/>
      <c r="R6" s="183" t="n"/>
      <c r="S6" s="183" t="n"/>
      <c r="T6" s="183" t="n"/>
      <c r="U6" s="183" t="n"/>
      <c r="V6" s="183" t="n"/>
      <c r="W6" s="183" t="n"/>
      <c r="X6" s="183" t="n"/>
      <c r="Y6" s="183" t="n"/>
      <c r="Z6" s="183" t="n"/>
      <c r="AA6" s="183" t="n"/>
      <c r="AB6" s="183" t="n"/>
      <c r="AC6" s="183" t="n"/>
    </row>
    <row r="7" ht="12.75" customHeight="1">
      <c r="B7" s="384" t="inlineStr">
        <is>
          <t>Je kunt de bestaande taken (m.u.v. de eerste 20) wijzigen door de taak op een bepaalde dag in (door 'v' te zetten) of uit te schakelen (door 'x' te zetten).</t>
        </is>
      </c>
      <c r="C7" s="183" t="n"/>
      <c r="D7" s="183" t="n"/>
      <c r="E7" s="183" t="n"/>
      <c r="F7" s="183" t="n"/>
      <c r="G7" s="183" t="n"/>
      <c r="H7" s="183" t="n"/>
      <c r="I7" s="183" t="n"/>
      <c r="J7" s="183" t="n"/>
      <c r="K7" s="183" t="n"/>
      <c r="L7" s="183" t="n"/>
      <c r="M7" s="183" t="n"/>
      <c r="N7" s="183" t="n"/>
      <c r="O7" s="183" t="n"/>
      <c r="P7" s="183" t="n"/>
      <c r="Q7" s="183" t="n"/>
      <c r="R7" s="183" t="n"/>
      <c r="S7" s="183" t="n"/>
      <c r="T7" s="183" t="n"/>
      <c r="U7" s="183" t="n"/>
      <c r="V7" s="183" t="n"/>
      <c r="W7" s="183" t="n"/>
      <c r="X7" s="183" t="n"/>
      <c r="Y7" s="183" t="n"/>
      <c r="Z7" s="183" t="n"/>
      <c r="AA7" s="183" t="n"/>
      <c r="AB7" s="183" t="n"/>
      <c r="AC7" s="183" t="n"/>
    </row>
    <row r="8" ht="12.75" customHeight="1">
      <c r="B8" s="183" t="n"/>
      <c r="C8" s="183" t="n"/>
      <c r="D8" s="183" t="n"/>
      <c r="E8" s="183" t="n"/>
      <c r="F8" s="183" t="n"/>
      <c r="G8" s="183" t="n"/>
      <c r="H8" s="183" t="n"/>
      <c r="I8" s="183" t="n"/>
      <c r="J8" s="183" t="n"/>
      <c r="K8" s="183" t="n"/>
      <c r="L8" s="183" t="n"/>
      <c r="M8" s="183" t="n"/>
      <c r="N8" s="183" t="n"/>
      <c r="O8" s="183" t="n"/>
      <c r="P8" s="183" t="n"/>
      <c r="Q8" s="183" t="n"/>
      <c r="R8" s="183" t="n"/>
      <c r="S8" s="183" t="n"/>
      <c r="T8" s="183" t="n"/>
      <c r="U8" s="183" t="n"/>
      <c r="V8" s="183" t="n"/>
      <c r="W8" s="183" t="n"/>
      <c r="X8" s="183" t="n"/>
      <c r="Y8" s="183" t="n"/>
      <c r="Z8" s="183" t="n"/>
      <c r="AA8" s="183" t="n"/>
      <c r="AB8" s="183" t="n"/>
      <c r="AC8" s="183" t="n"/>
    </row>
    <row r="9" ht="12.75" customHeight="1">
      <c r="A9" s="316" t="n"/>
      <c r="B9" s="319" t="inlineStr">
        <is>
          <t>Extra taken toevoegen:</t>
        </is>
      </c>
      <c r="C9" s="320" t="n"/>
      <c r="D9" s="320" t="n"/>
      <c r="E9" s="322" t="n"/>
      <c r="F9" s="1062" t="inlineStr">
        <is>
          <t>Dagen waarop taak moet verschijnen (zet 'v'):</t>
        </is>
      </c>
      <c r="G9" s="897" t="n"/>
      <c r="H9" s="897" t="n"/>
      <c r="I9" s="897" t="n"/>
      <c r="J9" s="897" t="n"/>
      <c r="K9" s="897" t="n"/>
      <c r="L9" s="862" t="n"/>
      <c r="M9" s="183" t="n"/>
      <c r="N9" s="183" t="n"/>
      <c r="O9" s="183" t="n"/>
      <c r="P9" s="183" t="n"/>
      <c r="Q9" s="183" t="n"/>
      <c r="R9" s="183" t="n"/>
      <c r="S9" s="183" t="n"/>
      <c r="T9" s="1063" t="inlineStr">
        <is>
          <t>Indien gekoppeld vaste tijd (tijd invoeren afgerond op 5 minuten):</t>
        </is>
      </c>
      <c r="U9" s="954" t="n"/>
      <c r="V9" s="954" t="n"/>
      <c r="W9" s="954" t="n"/>
      <c r="X9" s="954" t="n"/>
      <c r="Y9" s="954" t="n"/>
      <c r="Z9" s="951" t="n"/>
    </row>
    <row r="10" ht="12.75" customHeight="1">
      <c r="A10" s="316" t="n"/>
      <c r="B10" s="321" t="inlineStr">
        <is>
          <t>Omschrijving taak:</t>
        </is>
      </c>
      <c r="C10" s="318" t="inlineStr">
        <is>
          <t>Afkorting:</t>
        </is>
      </c>
      <c r="D10" s="318" t="inlineStr">
        <is>
          <t>Koppelen aan:</t>
        </is>
      </c>
      <c r="E10" s="323" t="inlineStr">
        <is>
          <t>Plustijd:</t>
        </is>
      </c>
      <c r="F10" s="599" t="inlineStr">
        <is>
          <t>Ma</t>
        </is>
      </c>
      <c r="G10" s="600" t="inlineStr">
        <is>
          <t>Di</t>
        </is>
      </c>
      <c r="H10" s="600" t="inlineStr">
        <is>
          <t>Wo</t>
        </is>
      </c>
      <c r="I10" s="600" t="inlineStr">
        <is>
          <t>Do</t>
        </is>
      </c>
      <c r="J10" s="600" t="inlineStr">
        <is>
          <t>Vr</t>
        </is>
      </c>
      <c r="K10" s="600" t="inlineStr">
        <is>
          <t>Za</t>
        </is>
      </c>
      <c r="L10" s="601" t="inlineStr">
        <is>
          <t>Zo</t>
        </is>
      </c>
      <c r="M10" s="315" t="n"/>
      <c r="N10" s="315" t="n"/>
      <c r="O10" s="315" t="n"/>
      <c r="P10" s="315" t="n"/>
      <c r="Q10" s="315" t="n"/>
      <c r="R10" s="315" t="n"/>
      <c r="S10" s="315" t="n"/>
      <c r="T10" s="599" t="inlineStr">
        <is>
          <t>Ma</t>
        </is>
      </c>
      <c r="U10" s="600" t="inlineStr">
        <is>
          <t>Di</t>
        </is>
      </c>
      <c r="V10" s="600" t="inlineStr">
        <is>
          <t>Wo</t>
        </is>
      </c>
      <c r="W10" s="600" t="inlineStr">
        <is>
          <t>Do</t>
        </is>
      </c>
      <c r="X10" s="600" t="inlineStr">
        <is>
          <t>Vr</t>
        </is>
      </c>
      <c r="Y10" s="600" t="inlineStr">
        <is>
          <t>Za</t>
        </is>
      </c>
      <c r="Z10" s="601" t="inlineStr">
        <is>
          <t>Zo</t>
        </is>
      </c>
    </row>
    <row r="11" ht="12.75" customHeight="1">
      <c r="A11" s="316" t="n">
        <v>1</v>
      </c>
      <c r="B11" s="324" t="n"/>
      <c r="C11" s="325" t="n"/>
      <c r="D11" s="325" t="n"/>
      <c r="E11" s="326" t="n"/>
      <c r="F11" s="327" t="n"/>
      <c r="G11" s="328" t="n"/>
      <c r="H11" s="328" t="n"/>
      <c r="I11" s="328" t="n"/>
      <c r="J11" s="328" t="n"/>
      <c r="K11" s="328" t="n"/>
      <c r="L11" s="329" t="n"/>
      <c r="M11" s="315" t="n"/>
      <c r="N11" s="315" t="n"/>
      <c r="O11" s="315" t="n"/>
      <c r="P11" s="315" t="n"/>
      <c r="Q11" s="315" t="n"/>
      <c r="R11" s="315" t="n"/>
      <c r="S11" s="315" t="n"/>
      <c r="T11" s="1064" t="n"/>
      <c r="U11" s="1065" t="n"/>
      <c r="V11" s="1065" t="n"/>
      <c r="W11" s="1065" t="n"/>
      <c r="X11" s="1065" t="n"/>
      <c r="Y11" s="1065" t="n"/>
      <c r="Z11" s="1066" t="n"/>
    </row>
    <row r="12" ht="12.95" customHeight="1">
      <c r="A12" s="317" t="n">
        <v>2</v>
      </c>
      <c r="B12" s="330" t="n"/>
      <c r="C12" s="328" t="n"/>
      <c r="D12" s="328" t="n"/>
      <c r="E12" s="331" t="n"/>
      <c r="F12" s="327" t="n"/>
      <c r="G12" s="328" t="n"/>
      <c r="H12" s="328" t="n"/>
      <c r="I12" s="328" t="n"/>
      <c r="J12" s="328" t="n"/>
      <c r="K12" s="328" t="n"/>
      <c r="L12" s="329" t="n"/>
      <c r="M12" s="315" t="n"/>
      <c r="N12" s="315" t="n"/>
      <c r="O12" s="315" t="n"/>
      <c r="P12" s="315" t="n"/>
      <c r="Q12" s="315" t="n"/>
      <c r="R12" s="315" t="n"/>
      <c r="S12" s="315" t="n"/>
      <c r="T12" s="1064" t="n"/>
      <c r="U12" s="1065" t="n"/>
      <c r="V12" s="1065" t="n"/>
      <c r="W12" s="1065" t="n"/>
      <c r="X12" s="1065" t="n"/>
      <c r="Y12" s="1065" t="n"/>
      <c r="Z12" s="1066" t="n"/>
    </row>
    <row r="13" ht="12.95" customHeight="1">
      <c r="A13" s="317" t="n">
        <v>3</v>
      </c>
      <c r="B13" s="330" t="n"/>
      <c r="C13" s="328" t="n"/>
      <c r="D13" s="328" t="n"/>
      <c r="E13" s="331" t="n"/>
      <c r="F13" s="327" t="n"/>
      <c r="G13" s="328" t="n"/>
      <c r="H13" s="328" t="n"/>
      <c r="I13" s="328" t="n"/>
      <c r="J13" s="328" t="n"/>
      <c r="K13" s="328" t="n"/>
      <c r="L13" s="329" t="n"/>
      <c r="M13" s="315" t="n"/>
      <c r="N13" s="315" t="n"/>
      <c r="O13" s="315" t="n"/>
      <c r="P13" s="315" t="n"/>
      <c r="Q13" s="315" t="n"/>
      <c r="R13" s="315" t="n"/>
      <c r="S13" s="315" t="n"/>
      <c r="T13" s="1064" t="n"/>
      <c r="U13" s="1065" t="n"/>
      <c r="V13" s="1065" t="n"/>
      <c r="W13" s="1065" t="n"/>
      <c r="X13" s="1065" t="n"/>
      <c r="Y13" s="1065" t="n"/>
      <c r="Z13" s="1066" t="n"/>
    </row>
    <row r="14" ht="12.95" customHeight="1">
      <c r="A14" s="317" t="n">
        <v>4</v>
      </c>
      <c r="B14" s="330" t="n"/>
      <c r="C14" s="328" t="n"/>
      <c r="D14" s="328" t="n"/>
      <c r="E14" s="331" t="n"/>
      <c r="F14" s="327" t="n"/>
      <c r="G14" s="328" t="n"/>
      <c r="H14" s="328" t="n"/>
      <c r="I14" s="328" t="n"/>
      <c r="J14" s="328" t="n"/>
      <c r="K14" s="328" t="n"/>
      <c r="L14" s="329" t="n"/>
      <c r="M14" s="315" t="n"/>
      <c r="N14" s="315" t="n"/>
      <c r="O14" s="315" t="n"/>
      <c r="P14" s="315" t="n"/>
      <c r="Q14" s="315" t="n"/>
      <c r="R14" s="315" t="n"/>
      <c r="S14" s="315" t="n"/>
      <c r="T14" s="1064" t="n"/>
      <c r="U14" s="1065" t="n"/>
      <c r="V14" s="1065" t="n"/>
      <c r="W14" s="1065" t="n"/>
      <c r="X14" s="1065" t="n"/>
      <c r="Y14" s="1065" t="n"/>
      <c r="Z14" s="1066" t="n"/>
    </row>
    <row r="15" ht="12.95" customHeight="1">
      <c r="A15" s="317" t="n">
        <v>5</v>
      </c>
      <c r="B15" s="330" t="n"/>
      <c r="C15" s="328" t="n"/>
      <c r="D15" s="328" t="n"/>
      <c r="E15" s="331" t="n"/>
      <c r="F15" s="327" t="n"/>
      <c r="G15" s="328" t="n"/>
      <c r="H15" s="328" t="n"/>
      <c r="I15" s="328" t="n"/>
      <c r="J15" s="328" t="n"/>
      <c r="K15" s="328" t="n"/>
      <c r="L15" s="329" t="n"/>
      <c r="M15" s="315" t="n"/>
      <c r="N15" s="315" t="n"/>
      <c r="O15" s="315" t="n"/>
      <c r="P15" s="315" t="n"/>
      <c r="Q15" s="315" t="n"/>
      <c r="R15" s="315" t="n"/>
      <c r="S15" s="315" t="n"/>
      <c r="T15" s="1064" t="n"/>
      <c r="U15" s="1065" t="n"/>
      <c r="V15" s="1065" t="n"/>
      <c r="W15" s="1065" t="n"/>
      <c r="X15" s="1065" t="n"/>
      <c r="Y15" s="1065" t="n"/>
      <c r="Z15" s="1066" t="n"/>
    </row>
    <row r="16" ht="12.95" customHeight="1">
      <c r="A16" s="317" t="n">
        <v>6</v>
      </c>
      <c r="B16" s="330" t="n"/>
      <c r="C16" s="328" t="n"/>
      <c r="D16" s="328" t="n"/>
      <c r="E16" s="331" t="n"/>
      <c r="F16" s="327" t="n"/>
      <c r="G16" s="328" t="n"/>
      <c r="H16" s="328" t="n"/>
      <c r="I16" s="328" t="n"/>
      <c r="J16" s="328" t="n"/>
      <c r="K16" s="328" t="n"/>
      <c r="L16" s="329" t="n"/>
      <c r="M16" s="315" t="n"/>
      <c r="N16" s="315" t="n"/>
      <c r="O16" s="315" t="n"/>
      <c r="P16" s="315" t="n"/>
      <c r="Q16" s="315" t="n"/>
      <c r="R16" s="315" t="n"/>
      <c r="S16" s="315" t="n"/>
      <c r="T16" s="1064" t="n"/>
      <c r="U16" s="1065" t="n"/>
      <c r="V16" s="1065" t="n"/>
      <c r="W16" s="1065" t="n"/>
      <c r="X16" s="1065" t="n"/>
      <c r="Y16" s="1065" t="n"/>
      <c r="Z16" s="1066" t="n"/>
    </row>
    <row r="17" ht="12.95" customHeight="1">
      <c r="A17" s="317" t="n">
        <v>7</v>
      </c>
      <c r="B17" s="330" t="n"/>
      <c r="C17" s="328" t="n"/>
      <c r="D17" s="328" t="n"/>
      <c r="E17" s="331" t="n"/>
      <c r="F17" s="327" t="n"/>
      <c r="G17" s="328" t="n"/>
      <c r="H17" s="328" t="n"/>
      <c r="I17" s="328" t="n"/>
      <c r="J17" s="328" t="n"/>
      <c r="K17" s="328" t="n"/>
      <c r="L17" s="329" t="n"/>
      <c r="M17" s="315" t="n"/>
      <c r="N17" s="315" t="n"/>
      <c r="O17" s="315" t="n"/>
      <c r="P17" s="315" t="n"/>
      <c r="Q17" s="315" t="n"/>
      <c r="R17" s="315" t="n"/>
      <c r="S17" s="315" t="n"/>
      <c r="T17" s="1064" t="n"/>
      <c r="U17" s="1065" t="n"/>
      <c r="V17" s="1065" t="n"/>
      <c r="W17" s="1065" t="n"/>
      <c r="X17" s="1065" t="n"/>
      <c r="Y17" s="1065" t="n"/>
      <c r="Z17" s="1066" t="n"/>
    </row>
    <row r="18" ht="12.95" customHeight="1">
      <c r="A18" s="317" t="n">
        <v>8</v>
      </c>
      <c r="B18" s="330" t="n"/>
      <c r="C18" s="328" t="n"/>
      <c r="D18" s="328" t="n"/>
      <c r="E18" s="331" t="n"/>
      <c r="F18" s="327" t="n"/>
      <c r="G18" s="328" t="n"/>
      <c r="H18" s="328" t="n"/>
      <c r="I18" s="328" t="n"/>
      <c r="J18" s="328" t="n"/>
      <c r="K18" s="328" t="n"/>
      <c r="L18" s="329" t="n"/>
      <c r="M18" s="315" t="n"/>
      <c r="N18" s="315" t="n"/>
      <c r="O18" s="315" t="n"/>
      <c r="P18" s="315" t="n"/>
      <c r="Q18" s="315" t="n"/>
      <c r="R18" s="315" t="n"/>
      <c r="S18" s="315" t="n"/>
      <c r="T18" s="1064" t="n"/>
      <c r="U18" s="1065" t="n"/>
      <c r="V18" s="1065" t="n"/>
      <c r="W18" s="1065" t="n"/>
      <c r="X18" s="1065" t="n"/>
      <c r="Y18" s="1065" t="n"/>
      <c r="Z18" s="1066" t="n"/>
    </row>
    <row r="19" ht="12.95" customHeight="1">
      <c r="A19" s="317" t="n">
        <v>9</v>
      </c>
      <c r="B19" s="330" t="n"/>
      <c r="C19" s="328" t="n"/>
      <c r="D19" s="328" t="n"/>
      <c r="E19" s="331" t="n"/>
      <c r="F19" s="327" t="n"/>
      <c r="G19" s="328" t="n"/>
      <c r="H19" s="328" t="n"/>
      <c r="I19" s="328" t="n"/>
      <c r="J19" s="328" t="n"/>
      <c r="K19" s="328" t="n"/>
      <c r="L19" s="329" t="n"/>
      <c r="M19" s="315" t="n"/>
      <c r="N19" s="315" t="n"/>
      <c r="O19" s="315" t="n"/>
      <c r="P19" s="315" t="n"/>
      <c r="Q19" s="315" t="n"/>
      <c r="R19" s="315" t="n"/>
      <c r="S19" s="315" t="n"/>
      <c r="T19" s="1064" t="n"/>
      <c r="U19" s="1065" t="n"/>
      <c r="V19" s="1065" t="n"/>
      <c r="W19" s="1065" t="n"/>
      <c r="X19" s="1065" t="n"/>
      <c r="Y19" s="1065" t="n"/>
      <c r="Z19" s="1066" t="n"/>
    </row>
    <row r="20" ht="12.95" customHeight="1">
      <c r="A20" s="317" t="n">
        <v>10</v>
      </c>
      <c r="B20" s="330" t="n"/>
      <c r="C20" s="328" t="n"/>
      <c r="D20" s="328" t="n"/>
      <c r="E20" s="331" t="n"/>
      <c r="F20" s="327" t="n"/>
      <c r="G20" s="328" t="n"/>
      <c r="H20" s="328" t="n"/>
      <c r="I20" s="328" t="n"/>
      <c r="J20" s="328" t="n"/>
      <c r="K20" s="328" t="n"/>
      <c r="L20" s="329" t="n"/>
      <c r="M20" s="315" t="n"/>
      <c r="N20" s="315" t="n"/>
      <c r="O20" s="315" t="n"/>
      <c r="P20" s="315" t="n"/>
      <c r="Q20" s="315" t="n"/>
      <c r="R20" s="315" t="n"/>
      <c r="S20" s="315" t="n"/>
      <c r="T20" s="1064" t="n"/>
      <c r="U20" s="1065" t="n"/>
      <c r="V20" s="1065" t="n"/>
      <c r="W20" s="1065" t="n"/>
      <c r="X20" s="1065" t="n"/>
      <c r="Y20" s="1065" t="n"/>
      <c r="Z20" s="1066" t="n"/>
    </row>
    <row r="21" ht="12.95" customHeight="1">
      <c r="A21" s="317" t="n">
        <v>11</v>
      </c>
      <c r="B21" s="330" t="n"/>
      <c r="C21" s="328" t="n"/>
      <c r="D21" s="328" t="n"/>
      <c r="E21" s="331" t="n"/>
      <c r="F21" s="327" t="n"/>
      <c r="G21" s="328" t="n"/>
      <c r="H21" s="328" t="n"/>
      <c r="I21" s="328" t="n"/>
      <c r="J21" s="328" t="n"/>
      <c r="K21" s="328" t="n"/>
      <c r="L21" s="329" t="n"/>
      <c r="M21" s="315" t="n"/>
      <c r="N21" s="315" t="n"/>
      <c r="O21" s="315" t="n"/>
      <c r="P21" s="315" t="n"/>
      <c r="Q21" s="315" t="n"/>
      <c r="R21" s="315" t="n"/>
      <c r="S21" s="315" t="n"/>
      <c r="T21" s="1064" t="n"/>
      <c r="U21" s="1065" t="n"/>
      <c r="V21" s="1065" t="n"/>
      <c r="W21" s="1065" t="n"/>
      <c r="X21" s="1065" t="n"/>
      <c r="Y21" s="1065" t="n"/>
      <c r="Z21" s="1066" t="n"/>
    </row>
    <row r="22" ht="12.95" customHeight="1">
      <c r="A22" s="317">
        <f>A21+1</f>
        <v/>
      </c>
      <c r="B22" s="330" t="n"/>
      <c r="C22" s="328" t="n"/>
      <c r="D22" s="328" t="n"/>
      <c r="E22" s="331" t="n"/>
      <c r="F22" s="327" t="n"/>
      <c r="G22" s="328" t="n"/>
      <c r="H22" s="328" t="n"/>
      <c r="I22" s="328" t="n"/>
      <c r="J22" s="328" t="n"/>
      <c r="K22" s="328" t="n"/>
      <c r="L22" s="329" t="n"/>
      <c r="M22" s="315" t="n"/>
      <c r="N22" s="315" t="n"/>
      <c r="O22" s="315" t="n"/>
      <c r="P22" s="315" t="n"/>
      <c r="Q22" s="315" t="n"/>
      <c r="R22" s="315" t="n"/>
      <c r="S22" s="315" t="n"/>
      <c r="T22" s="1064" t="n"/>
      <c r="U22" s="1065" t="n"/>
      <c r="V22" s="1065" t="n"/>
      <c r="W22" s="1065" t="n"/>
      <c r="X22" s="1065" t="n"/>
      <c r="Y22" s="1065" t="n"/>
      <c r="Z22" s="1066" t="n"/>
    </row>
    <row r="23" ht="12.95" customHeight="1">
      <c r="A23" s="317">
        <f>A22+1</f>
        <v/>
      </c>
      <c r="B23" s="330" t="n"/>
      <c r="C23" s="328" t="n"/>
      <c r="D23" s="328" t="n"/>
      <c r="E23" s="331" t="n"/>
      <c r="F23" s="327" t="n"/>
      <c r="G23" s="328" t="n"/>
      <c r="H23" s="328" t="n"/>
      <c r="I23" s="328" t="n"/>
      <c r="J23" s="328" t="n"/>
      <c r="K23" s="328" t="n"/>
      <c r="L23" s="329" t="n"/>
      <c r="M23" s="315" t="n"/>
      <c r="N23" s="315" t="n"/>
      <c r="O23" s="315" t="n"/>
      <c r="P23" s="315" t="n"/>
      <c r="Q23" s="315" t="n"/>
      <c r="R23" s="315" t="n"/>
      <c r="S23" s="315" t="n"/>
      <c r="T23" s="1064" t="n"/>
      <c r="U23" s="1065" t="n"/>
      <c r="V23" s="1065" t="n"/>
      <c r="W23" s="1065" t="n"/>
      <c r="X23" s="1065" t="n"/>
      <c r="Y23" s="1065" t="n"/>
      <c r="Z23" s="1066" t="n"/>
    </row>
    <row r="24" ht="12.95" customHeight="1">
      <c r="A24" s="317">
        <f>A23+1</f>
        <v/>
      </c>
      <c r="B24" s="330" t="n"/>
      <c r="C24" s="328" t="n"/>
      <c r="D24" s="328" t="n"/>
      <c r="E24" s="331" t="n"/>
      <c r="F24" s="327" t="n"/>
      <c r="G24" s="328" t="n"/>
      <c r="H24" s="328" t="n"/>
      <c r="I24" s="328" t="n"/>
      <c r="J24" s="328" t="n"/>
      <c r="K24" s="328" t="n"/>
      <c r="L24" s="329" t="n"/>
      <c r="M24" s="315" t="n"/>
      <c r="N24" s="315" t="n"/>
      <c r="O24" s="315" t="n"/>
      <c r="P24" s="315" t="n"/>
      <c r="Q24" s="315" t="n"/>
      <c r="R24" s="315" t="n"/>
      <c r="S24" s="315" t="n"/>
      <c r="T24" s="1064" t="n"/>
      <c r="U24" s="1065" t="n"/>
      <c r="V24" s="1065" t="n"/>
      <c r="W24" s="1065" t="n"/>
      <c r="X24" s="1065" t="n"/>
      <c r="Y24" s="1065" t="n"/>
      <c r="Z24" s="1066" t="n"/>
    </row>
    <row r="25" ht="12.95" customHeight="1">
      <c r="A25" s="317">
        <f>A24+1</f>
        <v/>
      </c>
      <c r="B25" s="330" t="n"/>
      <c r="C25" s="328" t="n"/>
      <c r="D25" s="328" t="n"/>
      <c r="E25" s="331" t="n"/>
      <c r="F25" s="327" t="n"/>
      <c r="G25" s="328" t="n"/>
      <c r="H25" s="328" t="n"/>
      <c r="I25" s="328" t="n"/>
      <c r="J25" s="328" t="n"/>
      <c r="K25" s="328" t="n"/>
      <c r="L25" s="329" t="n"/>
      <c r="M25" s="315" t="n"/>
      <c r="N25" s="315" t="n"/>
      <c r="O25" s="315" t="n"/>
      <c r="P25" s="315" t="n"/>
      <c r="Q25" s="315" t="n"/>
      <c r="R25" s="315" t="n"/>
      <c r="S25" s="315" t="n"/>
      <c r="T25" s="1064" t="n"/>
      <c r="U25" s="1065" t="n"/>
      <c r="V25" s="1065" t="n"/>
      <c r="W25" s="1065" t="n"/>
      <c r="X25" s="1065" t="n"/>
      <c r="Y25" s="1065" t="n"/>
      <c r="Z25" s="1066" t="n"/>
    </row>
    <row r="26" ht="12.95" customHeight="1">
      <c r="A26" s="317">
        <f>A25+1</f>
        <v/>
      </c>
      <c r="B26" s="330" t="n"/>
      <c r="C26" s="328" t="n"/>
      <c r="D26" s="328" t="n"/>
      <c r="E26" s="331" t="n"/>
      <c r="F26" s="327" t="n"/>
      <c r="G26" s="328" t="n"/>
      <c r="H26" s="328" t="n"/>
      <c r="I26" s="328" t="n"/>
      <c r="J26" s="328" t="n"/>
      <c r="K26" s="328" t="n"/>
      <c r="L26" s="329" t="n"/>
      <c r="M26" s="315" t="n"/>
      <c r="N26" s="315" t="n"/>
      <c r="O26" s="315" t="n"/>
      <c r="P26" s="315" t="n"/>
      <c r="Q26" s="315" t="n"/>
      <c r="R26" s="315" t="n"/>
      <c r="S26" s="315" t="n"/>
      <c r="T26" s="1064" t="n"/>
      <c r="U26" s="1065" t="n"/>
      <c r="V26" s="1065" t="n"/>
      <c r="W26" s="1065" t="n"/>
      <c r="X26" s="1065" t="n"/>
      <c r="Y26" s="1065" t="n"/>
      <c r="Z26" s="1066" t="n"/>
    </row>
    <row r="27" ht="12.95" customHeight="1">
      <c r="A27" s="317">
        <f>A26+1</f>
        <v/>
      </c>
      <c r="B27" s="330" t="n"/>
      <c r="C27" s="328" t="n"/>
      <c r="D27" s="328" t="n"/>
      <c r="E27" s="331" t="n"/>
      <c r="F27" s="327" t="n"/>
      <c r="G27" s="328" t="n"/>
      <c r="H27" s="328" t="n"/>
      <c r="I27" s="328" t="n"/>
      <c r="J27" s="328" t="n"/>
      <c r="K27" s="328" t="n"/>
      <c r="L27" s="329" t="n"/>
      <c r="M27" s="315" t="n"/>
      <c r="N27" s="315" t="n"/>
      <c r="O27" s="315" t="n"/>
      <c r="P27" s="315" t="n"/>
      <c r="Q27" s="315" t="n"/>
      <c r="R27" s="315" t="n"/>
      <c r="S27" s="315" t="n"/>
      <c r="T27" s="1064" t="n"/>
      <c r="U27" s="1065" t="n"/>
      <c r="V27" s="1065" t="n"/>
      <c r="W27" s="1065" t="n"/>
      <c r="X27" s="1065" t="n"/>
      <c r="Y27" s="1065" t="n"/>
      <c r="Z27" s="1066" t="n"/>
    </row>
    <row r="28" ht="12.95" customHeight="1">
      <c r="A28" s="317">
        <f>A27+1</f>
        <v/>
      </c>
      <c r="B28" s="330" t="n"/>
      <c r="C28" s="328" t="n"/>
      <c r="D28" s="328" t="n"/>
      <c r="E28" s="331" t="n"/>
      <c r="F28" s="327" t="n"/>
      <c r="G28" s="328" t="n"/>
      <c r="H28" s="328" t="n"/>
      <c r="I28" s="328" t="n"/>
      <c r="J28" s="328" t="n"/>
      <c r="K28" s="328" t="n"/>
      <c r="L28" s="329" t="n"/>
      <c r="M28" s="315" t="n"/>
      <c r="N28" s="315" t="n"/>
      <c r="O28" s="315" t="n"/>
      <c r="P28" s="315" t="n"/>
      <c r="Q28" s="315" t="n"/>
      <c r="R28" s="315" t="n"/>
      <c r="S28" s="315" t="n"/>
      <c r="T28" s="1064" t="n"/>
      <c r="U28" s="1065" t="n"/>
      <c r="V28" s="1065" t="n"/>
      <c r="W28" s="1065" t="n"/>
      <c r="X28" s="1065" t="n"/>
      <c r="Y28" s="1065" t="n"/>
      <c r="Z28" s="1066" t="n"/>
    </row>
    <row r="29" ht="12.95" customHeight="1">
      <c r="A29" s="317">
        <f>A28+1</f>
        <v/>
      </c>
      <c r="B29" s="330" t="n"/>
      <c r="C29" s="328" t="n"/>
      <c r="D29" s="328" t="n"/>
      <c r="E29" s="331" t="n"/>
      <c r="F29" s="327" t="n"/>
      <c r="G29" s="328" t="n"/>
      <c r="H29" s="328" t="n"/>
      <c r="I29" s="328" t="n"/>
      <c r="J29" s="328" t="n"/>
      <c r="K29" s="328" t="n"/>
      <c r="L29" s="329" t="n"/>
      <c r="M29" s="315" t="n"/>
      <c r="N29" s="315" t="n"/>
      <c r="O29" s="315" t="n"/>
      <c r="P29" s="315" t="n"/>
      <c r="Q29" s="315" t="n"/>
      <c r="R29" s="315" t="n"/>
      <c r="S29" s="315" t="n"/>
      <c r="T29" s="1064" t="n"/>
      <c r="U29" s="1065" t="n"/>
      <c r="V29" s="1065" t="n"/>
      <c r="W29" s="1065" t="n"/>
      <c r="X29" s="1065" t="n"/>
      <c r="Y29" s="1065" t="n"/>
      <c r="Z29" s="1066" t="n"/>
    </row>
    <row r="30" ht="12.95" customHeight="1">
      <c r="A30" s="317">
        <f>A29+1</f>
        <v/>
      </c>
      <c r="B30" s="339" t="n"/>
      <c r="C30" s="340" t="n"/>
      <c r="D30" s="340" t="n"/>
      <c r="E30" s="341" t="n"/>
      <c r="F30" s="333" t="n"/>
      <c r="G30" s="332" t="n"/>
      <c r="H30" s="332" t="n"/>
      <c r="I30" s="332" t="n"/>
      <c r="J30" s="332" t="n"/>
      <c r="K30" s="332" t="n"/>
      <c r="L30" s="334" t="n"/>
      <c r="M30" s="315" t="n"/>
      <c r="N30" s="315" t="n"/>
      <c r="O30" s="315" t="n"/>
      <c r="P30" s="315" t="n"/>
      <c r="Q30" s="315" t="n"/>
      <c r="R30" s="315" t="n"/>
      <c r="S30" s="315" t="n"/>
      <c r="T30" s="1067" t="n"/>
      <c r="U30" s="1068" t="n"/>
      <c r="V30" s="1068" t="n"/>
      <c r="W30" s="1068" t="n"/>
      <c r="X30" s="1068" t="n"/>
      <c r="Y30" s="1068" t="n"/>
      <c r="Z30" s="1069" t="n"/>
    </row>
    <row r="31" ht="12.6" customHeight="1">
      <c r="A31" s="316" t="n"/>
      <c r="B31" s="342" t="inlineStr">
        <is>
          <t>Dagen van taken uit vast werkschema wijzigen</t>
        </is>
      </c>
      <c r="C31" s="342" t="n"/>
      <c r="D31" s="342" t="n"/>
      <c r="E31" s="351" t="n"/>
      <c r="F31" s="825" t="inlineStr">
        <is>
          <t>Vast Werkschema</t>
        </is>
      </c>
      <c r="G31" s="883" t="n"/>
      <c r="H31" s="883" t="n"/>
      <c r="I31" s="883" t="n"/>
      <c r="J31" s="883" t="n"/>
      <c r="K31" s="883" t="n"/>
      <c r="L31" s="1070" t="n"/>
      <c r="M31" s="825" t="inlineStr">
        <is>
          <t>Vaste Tijd</t>
        </is>
      </c>
      <c r="N31" s="883" t="n"/>
      <c r="O31" s="883" t="n"/>
      <c r="P31" s="883" t="n"/>
      <c r="Q31" s="883" t="n"/>
      <c r="R31" s="883" t="n"/>
      <c r="S31" s="1070" t="n"/>
      <c r="T31" s="825" t="inlineStr">
        <is>
          <t xml:space="preserve"> Taak op dag in- (=v) of uitschakelen (=x)</t>
        </is>
      </c>
      <c r="U31" s="883" t="n"/>
      <c r="V31" s="883" t="n"/>
      <c r="W31" s="883" t="n"/>
      <c r="X31" s="883" t="n"/>
      <c r="Y31" s="883" t="n"/>
      <c r="Z31" s="1070" t="n"/>
    </row>
    <row r="32" ht="12.6" customHeight="1">
      <c r="A32" s="316" t="n"/>
      <c r="B32" s="342" t="inlineStr">
        <is>
          <t>Omschrijving taak:</t>
        </is>
      </c>
      <c r="C32" s="342" t="inlineStr">
        <is>
          <t>Afkorting:</t>
        </is>
      </c>
      <c r="D32" s="318" t="inlineStr">
        <is>
          <t>Koppelen aan:</t>
        </is>
      </c>
      <c r="E32" s="342" t="inlineStr">
        <is>
          <t>Plustijd:</t>
        </is>
      </c>
      <c r="F32" s="593" t="inlineStr">
        <is>
          <t>Ma</t>
        </is>
      </c>
      <c r="G32" s="594" t="inlineStr">
        <is>
          <t>Di</t>
        </is>
      </c>
      <c r="H32" s="594" t="inlineStr">
        <is>
          <t>Wo</t>
        </is>
      </c>
      <c r="I32" s="594" t="inlineStr">
        <is>
          <t>Do</t>
        </is>
      </c>
      <c r="J32" s="594" t="inlineStr">
        <is>
          <t>Vr</t>
        </is>
      </c>
      <c r="K32" s="594" t="inlineStr">
        <is>
          <t>Za</t>
        </is>
      </c>
      <c r="L32" s="595" t="inlineStr">
        <is>
          <t>Zo</t>
        </is>
      </c>
      <c r="M32" s="593" t="inlineStr">
        <is>
          <t>Ma</t>
        </is>
      </c>
      <c r="N32" s="594" t="inlineStr">
        <is>
          <t>Di</t>
        </is>
      </c>
      <c r="O32" s="594" t="inlineStr">
        <is>
          <t>Wo</t>
        </is>
      </c>
      <c r="P32" s="594" t="inlineStr">
        <is>
          <t>Do</t>
        </is>
      </c>
      <c r="Q32" s="594" t="inlineStr">
        <is>
          <t>Vr</t>
        </is>
      </c>
      <c r="R32" s="594" t="inlineStr">
        <is>
          <t>Za</t>
        </is>
      </c>
      <c r="S32" s="595" t="inlineStr">
        <is>
          <t>Zo</t>
        </is>
      </c>
      <c r="T32" s="596" t="inlineStr">
        <is>
          <t>Ma</t>
        </is>
      </c>
      <c r="U32" s="597" t="inlineStr">
        <is>
          <t>Di</t>
        </is>
      </c>
      <c r="V32" s="597" t="inlineStr">
        <is>
          <t>Wo</t>
        </is>
      </c>
      <c r="W32" s="597" t="inlineStr">
        <is>
          <t>Do</t>
        </is>
      </c>
      <c r="X32" s="597" t="inlineStr">
        <is>
          <t>Vr</t>
        </is>
      </c>
      <c r="Y32" s="597" t="inlineStr">
        <is>
          <t>Za</t>
        </is>
      </c>
      <c r="Z32" s="598" t="inlineStr">
        <is>
          <t>Zo</t>
        </is>
      </c>
    </row>
    <row r="33" ht="12.6" customHeight="1">
      <c r="A33" s="383" t="n">
        <v>1</v>
      </c>
      <c r="B33" s="352" t="inlineStr">
        <is>
          <t>Taken van 6:00-12:00</t>
        </is>
      </c>
      <c r="C33" s="353" t="inlineStr"/>
      <c r="D33" s="354" t="inlineStr">
        <is>
          <t>vaste tijd</t>
        </is>
      </c>
      <c r="E33" s="1071" t="n"/>
      <c r="F33" s="376" t="inlineStr">
        <is>
          <t>v</t>
        </is>
      </c>
      <c r="G33" s="354" t="inlineStr">
        <is>
          <t>v</t>
        </is>
      </c>
      <c r="H33" s="354" t="inlineStr">
        <is>
          <t>v</t>
        </is>
      </c>
      <c r="I33" s="354" t="inlineStr">
        <is>
          <t>v</t>
        </is>
      </c>
      <c r="J33" s="354" t="inlineStr">
        <is>
          <t>v</t>
        </is>
      </c>
      <c r="K33" s="354" t="inlineStr">
        <is>
          <t>v</t>
        </is>
      </c>
      <c r="L33" s="377" t="inlineStr">
        <is>
          <t>v</t>
        </is>
      </c>
      <c r="M33" s="362" t="n">
        <v>0.25</v>
      </c>
      <c r="N33" s="378" t="n">
        <v>0.25</v>
      </c>
      <c r="O33" s="378" t="n">
        <v>0.25</v>
      </c>
      <c r="P33" s="378" t="n">
        <v>0.25</v>
      </c>
      <c r="Q33" s="378" t="n">
        <v>0.25</v>
      </c>
      <c r="R33" s="378" t="n">
        <v>0.25</v>
      </c>
      <c r="S33" s="379" t="n">
        <v>0.25</v>
      </c>
      <c r="T33" s="344" t="n"/>
      <c r="U33" s="345" t="n"/>
      <c r="V33" s="345" t="n"/>
      <c r="W33" s="345" t="n"/>
      <c r="X33" s="345" t="n"/>
      <c r="Y33" s="345" t="n"/>
      <c r="Z33" s="346" t="n"/>
    </row>
    <row r="34" ht="12.6" customHeight="1">
      <c r="A34" s="381" t="n">
        <v>2</v>
      </c>
      <c r="B34" s="356" t="inlineStr">
        <is>
          <t>Taken van 12:00-17:00</t>
        </is>
      </c>
      <c r="C34" s="357" t="inlineStr"/>
      <c r="D34" s="358" t="inlineStr">
        <is>
          <t>vaste tijd</t>
        </is>
      </c>
      <c r="E34" s="1072" t="n"/>
      <c r="F34" s="360" t="inlineStr">
        <is>
          <t>v</t>
        </is>
      </c>
      <c r="G34" s="358" t="inlineStr">
        <is>
          <t>v</t>
        </is>
      </c>
      <c r="H34" s="358" t="inlineStr">
        <is>
          <t>v</t>
        </is>
      </c>
      <c r="I34" s="358" t="inlineStr">
        <is>
          <t>v</t>
        </is>
      </c>
      <c r="J34" s="358" t="inlineStr">
        <is>
          <t>v</t>
        </is>
      </c>
      <c r="K34" s="358" t="inlineStr">
        <is>
          <t>v</t>
        </is>
      </c>
      <c r="L34" s="361" t="inlineStr">
        <is>
          <t>v</t>
        </is>
      </c>
      <c r="M34" s="362" t="n">
        <v>0.5</v>
      </c>
      <c r="N34" s="363" t="n">
        <v>0.5</v>
      </c>
      <c r="O34" s="363" t="n">
        <v>0.5</v>
      </c>
      <c r="P34" s="363" t="n">
        <v>0.5</v>
      </c>
      <c r="Q34" s="363" t="n">
        <v>0.5</v>
      </c>
      <c r="R34" s="363" t="n">
        <v>0.5</v>
      </c>
      <c r="S34" s="364" t="n">
        <v>0.5</v>
      </c>
      <c r="T34" s="347" t="n"/>
      <c r="U34" s="343" t="n"/>
      <c r="V34" s="343" t="n"/>
      <c r="W34" s="343" t="n"/>
      <c r="X34" s="343" t="n"/>
      <c r="Y34" s="343" t="n"/>
      <c r="Z34" s="348" t="n"/>
    </row>
    <row r="35" ht="12.6" customHeight="1">
      <c r="A35" s="381" t="n">
        <v>3</v>
      </c>
      <c r="B35" s="356" t="inlineStr">
        <is>
          <t>Taken van 17:00-20:00</t>
        </is>
      </c>
      <c r="C35" s="357" t="inlineStr"/>
      <c r="D35" s="358" t="inlineStr">
        <is>
          <t>vaste tijd</t>
        </is>
      </c>
      <c r="E35" s="1072" t="n"/>
      <c r="F35" s="360" t="inlineStr">
        <is>
          <t>v</t>
        </is>
      </c>
      <c r="G35" s="358" t="inlineStr">
        <is>
          <t>v</t>
        </is>
      </c>
      <c r="H35" s="358" t="inlineStr">
        <is>
          <t>v</t>
        </is>
      </c>
      <c r="I35" s="358" t="inlineStr">
        <is>
          <t>v</t>
        </is>
      </c>
      <c r="J35" s="358" t="inlineStr">
        <is>
          <t>v</t>
        </is>
      </c>
      <c r="K35" s="358" t="inlineStr">
        <is>
          <t>v</t>
        </is>
      </c>
      <c r="L35" s="361" t="inlineStr">
        <is>
          <t>v</t>
        </is>
      </c>
      <c r="M35" s="362" t="n">
        <v>0.7083333333333334</v>
      </c>
      <c r="N35" s="363" t="n">
        <v>0.7083333333333334</v>
      </c>
      <c r="O35" s="363" t="n">
        <v>0.7083333333333334</v>
      </c>
      <c r="P35" s="363" t="n">
        <v>0.7083333333333334</v>
      </c>
      <c r="Q35" s="363" t="n">
        <v>0.7083333333333334</v>
      </c>
      <c r="R35" s="363" t="n">
        <v>0.7083333333333334</v>
      </c>
      <c r="S35" s="364" t="n">
        <v>0.7083333333333334</v>
      </c>
      <c r="T35" s="347" t="n"/>
      <c r="U35" s="343" t="n"/>
      <c r="V35" s="343" t="n"/>
      <c r="W35" s="343" t="n"/>
      <c r="X35" s="343" t="n"/>
      <c r="Y35" s="343" t="n"/>
      <c r="Z35" s="348" t="n"/>
    </row>
    <row r="36" ht="12.6" customHeight="1">
      <c r="A36" s="381" t="n">
        <v>4</v>
      </c>
      <c r="B36" s="356" t="n"/>
      <c r="C36" s="357" t="n"/>
      <c r="D36" s="358" t="n"/>
      <c r="E36" s="1072" t="n"/>
      <c r="F36" s="360" t="n"/>
      <c r="G36" s="358" t="n"/>
      <c r="H36" s="358" t="n"/>
      <c r="I36" s="358" t="n"/>
      <c r="J36" s="358" t="n"/>
      <c r="K36" s="358" t="n"/>
      <c r="L36" s="361" t="n"/>
      <c r="M36" s="362" t="n"/>
      <c r="N36" s="363" t="n"/>
      <c r="O36" s="363" t="n"/>
      <c r="P36" s="363" t="n"/>
      <c r="Q36" s="363" t="n"/>
      <c r="R36" s="363" t="n"/>
      <c r="S36" s="364" t="n"/>
      <c r="T36" s="347" t="n"/>
      <c r="U36" s="343" t="n"/>
      <c r="V36" s="343" t="n"/>
      <c r="W36" s="343" t="n"/>
      <c r="X36" s="343" t="n"/>
      <c r="Y36" s="343" t="n"/>
      <c r="Z36" s="348" t="n"/>
    </row>
    <row r="37" ht="12.6" customHeight="1">
      <c r="A37" s="381" t="n">
        <v>5</v>
      </c>
      <c r="B37" s="356" t="inlineStr"/>
      <c r="C37" s="357" t="inlineStr"/>
      <c r="D37" s="358" t="n"/>
      <c r="E37" s="1072" t="n"/>
      <c r="F37" s="360" t="inlineStr"/>
      <c r="G37" s="358" t="inlineStr"/>
      <c r="H37" s="358" t="inlineStr"/>
      <c r="I37" s="358" t="inlineStr"/>
      <c r="J37" s="358" t="inlineStr"/>
      <c r="K37" s="358" t="inlineStr"/>
      <c r="L37" s="361" t="inlineStr"/>
      <c r="M37" s="362" t="n"/>
      <c r="N37" s="363" t="n"/>
      <c r="O37" s="363" t="n"/>
      <c r="P37" s="363" t="n"/>
      <c r="Q37" s="363" t="n"/>
      <c r="R37" s="363" t="n"/>
      <c r="S37" s="364" t="n"/>
      <c r="T37" s="347" t="n"/>
      <c r="U37" s="343" t="n"/>
      <c r="V37" s="343" t="n"/>
      <c r="W37" s="343" t="n"/>
      <c r="X37" s="343" t="n"/>
      <c r="Y37" s="343" t="n"/>
      <c r="Z37" s="348" t="n"/>
    </row>
    <row r="38" ht="12.6" customHeight="1">
      <c r="A38" s="381" t="n">
        <v>6</v>
      </c>
      <c r="B38" s="356" t="inlineStr"/>
      <c r="C38" s="357" t="inlineStr"/>
      <c r="D38" s="358" t="n"/>
      <c r="E38" s="1072" t="n"/>
      <c r="F38" s="360" t="inlineStr"/>
      <c r="G38" s="358" t="inlineStr"/>
      <c r="H38" s="358" t="inlineStr"/>
      <c r="I38" s="358" t="inlineStr"/>
      <c r="J38" s="358" t="inlineStr"/>
      <c r="K38" s="358" t="inlineStr"/>
      <c r="L38" s="361" t="inlineStr"/>
      <c r="M38" s="362" t="n"/>
      <c r="N38" s="363" t="n"/>
      <c r="O38" s="363" t="n"/>
      <c r="P38" s="363" t="n"/>
      <c r="Q38" s="363" t="n"/>
      <c r="R38" s="363" t="n"/>
      <c r="S38" s="364" t="n"/>
      <c r="T38" s="347" t="n"/>
      <c r="U38" s="343" t="n"/>
      <c r="V38" s="343" t="n"/>
      <c r="W38" s="343" t="n"/>
      <c r="X38" s="343" t="n"/>
      <c r="Y38" s="343" t="n"/>
      <c r="Z38" s="348" t="n"/>
    </row>
    <row r="39" ht="12.6" customHeight="1">
      <c r="A39" s="381" t="n">
        <v>7</v>
      </c>
      <c r="B39" s="356" t="n"/>
      <c r="C39" s="357" t="n"/>
      <c r="D39" s="358" t="n"/>
      <c r="E39" s="1072" t="n"/>
      <c r="F39" s="360" t="n"/>
      <c r="G39" s="358" t="n"/>
      <c r="H39" s="358" t="n"/>
      <c r="I39" s="358" t="n"/>
      <c r="J39" s="358" t="n"/>
      <c r="K39" s="358" t="n"/>
      <c r="L39" s="361" t="n"/>
      <c r="M39" s="362" t="n"/>
      <c r="N39" s="363" t="n"/>
      <c r="O39" s="363" t="n"/>
      <c r="P39" s="363" t="n"/>
      <c r="Q39" s="363" t="n"/>
      <c r="R39" s="363" t="n"/>
      <c r="S39" s="364" t="n"/>
      <c r="T39" s="347" t="n"/>
      <c r="U39" s="343" t="n"/>
      <c r="V39" s="343" t="n"/>
      <c r="W39" s="343" t="n"/>
      <c r="X39" s="343" t="n"/>
      <c r="Y39" s="343" t="n"/>
      <c r="Z39" s="348" t="n"/>
    </row>
    <row r="40" ht="12.6" customHeight="1">
      <c r="A40" s="381" t="n">
        <v>8</v>
      </c>
      <c r="B40" s="356" t="inlineStr"/>
      <c r="C40" s="357" t="inlineStr"/>
      <c r="D40" s="358" t="n"/>
      <c r="E40" s="1072" t="n"/>
      <c r="F40" s="360" t="inlineStr"/>
      <c r="G40" s="358" t="inlineStr"/>
      <c r="H40" s="358" t="inlineStr"/>
      <c r="I40" s="358" t="inlineStr"/>
      <c r="J40" s="358" t="inlineStr"/>
      <c r="K40" s="358" t="inlineStr"/>
      <c r="L40" s="361" t="inlineStr"/>
      <c r="M40" s="362" t="n"/>
      <c r="N40" s="363" t="n"/>
      <c r="O40" s="363" t="n"/>
      <c r="P40" s="363" t="n"/>
      <c r="Q40" s="363" t="n"/>
      <c r="R40" s="363" t="n"/>
      <c r="S40" s="364" t="n"/>
      <c r="T40" s="347" t="n"/>
      <c r="U40" s="343" t="n"/>
      <c r="V40" s="343" t="n"/>
      <c r="W40" s="343" t="n"/>
      <c r="X40" s="343" t="n"/>
      <c r="Y40" s="343" t="n"/>
      <c r="Z40" s="348" t="n"/>
    </row>
    <row r="41" ht="12.6" customHeight="1">
      <c r="A41" s="381" t="n">
        <v>9</v>
      </c>
      <c r="B41" s="356" t="inlineStr"/>
      <c r="C41" s="357" t="inlineStr"/>
      <c r="D41" s="358" t="n"/>
      <c r="E41" s="1072" t="n"/>
      <c r="F41" s="360" t="inlineStr"/>
      <c r="G41" s="358" t="inlineStr"/>
      <c r="H41" s="358" t="inlineStr"/>
      <c r="I41" s="358" t="inlineStr"/>
      <c r="J41" s="358" t="inlineStr"/>
      <c r="K41" s="358" t="inlineStr"/>
      <c r="L41" s="361" t="inlineStr"/>
      <c r="M41" s="362" t="n"/>
      <c r="N41" s="363" t="n"/>
      <c r="O41" s="363" t="n"/>
      <c r="P41" s="363" t="n"/>
      <c r="Q41" s="363" t="n"/>
      <c r="R41" s="363" t="n"/>
      <c r="S41" s="364" t="n"/>
      <c r="T41" s="347" t="n"/>
      <c r="U41" s="343" t="n"/>
      <c r="V41" s="343" t="n"/>
      <c r="W41" s="343" t="n"/>
      <c r="X41" s="343" t="n"/>
      <c r="Y41" s="343" t="n"/>
      <c r="Z41" s="348" t="n"/>
    </row>
    <row r="42" ht="12.6" customHeight="1">
      <c r="A42" s="381" t="n">
        <v>10</v>
      </c>
      <c r="B42" s="356" t="n"/>
      <c r="C42" s="357" t="n"/>
      <c r="D42" s="358" t="n"/>
      <c r="E42" s="1072" t="n"/>
      <c r="F42" s="360" t="inlineStr"/>
      <c r="G42" s="358" t="inlineStr"/>
      <c r="H42" s="358" t="inlineStr"/>
      <c r="I42" s="358" t="inlineStr"/>
      <c r="J42" s="358" t="inlineStr"/>
      <c r="K42" s="358" t="inlineStr"/>
      <c r="L42" s="361" t="inlineStr"/>
      <c r="M42" s="362" t="n"/>
      <c r="N42" s="363" t="n"/>
      <c r="O42" s="363" t="n"/>
      <c r="P42" s="363" t="n"/>
      <c r="Q42" s="363" t="n"/>
      <c r="R42" s="363" t="n"/>
      <c r="S42" s="364" t="n"/>
      <c r="T42" s="347" t="n"/>
      <c r="U42" s="343" t="n"/>
      <c r="V42" s="343" t="n"/>
      <c r="W42" s="343" t="n"/>
      <c r="X42" s="343" t="n"/>
      <c r="Y42" s="343" t="n"/>
      <c r="Z42" s="348" t="n"/>
    </row>
    <row r="43" ht="12.6" customHeight="1">
      <c r="A43" s="381" t="n">
        <v>11</v>
      </c>
      <c r="B43" s="356" t="n"/>
      <c r="C43" s="357" t="n"/>
      <c r="D43" s="358" t="n"/>
      <c r="E43" s="1072" t="n"/>
      <c r="F43" s="360" t="inlineStr"/>
      <c r="G43" s="358" t="inlineStr"/>
      <c r="H43" s="358" t="inlineStr"/>
      <c r="I43" s="358" t="inlineStr"/>
      <c r="J43" s="358" t="inlineStr"/>
      <c r="K43" s="358" t="inlineStr"/>
      <c r="L43" s="361" t="inlineStr"/>
      <c r="M43" s="362" t="n"/>
      <c r="N43" s="363" t="n"/>
      <c r="O43" s="363" t="n"/>
      <c r="P43" s="363" t="n"/>
      <c r="Q43" s="363" t="n"/>
      <c r="R43" s="363" t="n"/>
      <c r="S43" s="364" t="n"/>
      <c r="T43" s="347" t="n"/>
      <c r="U43" s="343" t="n"/>
      <c r="V43" s="343" t="n"/>
      <c r="W43" s="343" t="n"/>
      <c r="X43" s="343" t="n"/>
      <c r="Y43" s="343" t="n"/>
      <c r="Z43" s="348" t="n"/>
    </row>
    <row r="44" ht="12.6" customHeight="1">
      <c r="A44" s="381" t="n">
        <v>12</v>
      </c>
      <c r="B44" s="356" t="n"/>
      <c r="C44" s="357" t="n"/>
      <c r="D44" s="358" t="n"/>
      <c r="E44" s="1072" t="n"/>
      <c r="F44" s="360" t="inlineStr"/>
      <c r="G44" s="358" t="inlineStr"/>
      <c r="H44" s="358" t="inlineStr"/>
      <c r="I44" s="358" t="inlineStr"/>
      <c r="J44" s="358" t="inlineStr"/>
      <c r="K44" s="358" t="inlineStr"/>
      <c r="L44" s="361" t="inlineStr"/>
      <c r="M44" s="362" t="n"/>
      <c r="N44" s="363" t="n"/>
      <c r="O44" s="363" t="n"/>
      <c r="P44" s="363" t="n"/>
      <c r="Q44" s="363" t="n"/>
      <c r="R44" s="363" t="n"/>
      <c r="S44" s="364" t="n"/>
      <c r="T44" s="347" t="n"/>
      <c r="U44" s="343" t="n"/>
      <c r="V44" s="343" t="n"/>
      <c r="W44" s="343" t="n"/>
      <c r="X44" s="343" t="n"/>
      <c r="Y44" s="343" t="n"/>
      <c r="Z44" s="348" t="n"/>
    </row>
    <row r="45" ht="12.6" customHeight="1">
      <c r="A45" s="381" t="n">
        <v>13</v>
      </c>
      <c r="B45" s="356" t="inlineStr">
        <is>
          <t>Levering (max. aflevermoment): Houdbaar (HA)</t>
        </is>
      </c>
      <c r="C45" s="357" t="n"/>
      <c r="D45" s="358" t="inlineStr">
        <is>
          <t>vaste tijd</t>
        </is>
      </c>
      <c r="E45" s="1072" t="n"/>
      <c r="F45" s="360" t="inlineStr">
        <is>
          <t>v</t>
        </is>
      </c>
      <c r="G45" s="358" t="inlineStr">
        <is>
          <t>v</t>
        </is>
      </c>
      <c r="H45" s="358" t="inlineStr">
        <is>
          <t>v</t>
        </is>
      </c>
      <c r="I45" s="358" t="inlineStr">
        <is>
          <t>v</t>
        </is>
      </c>
      <c r="J45" s="358" t="inlineStr">
        <is>
          <t>v</t>
        </is>
      </c>
      <c r="K45" s="358" t="inlineStr">
        <is>
          <t>v</t>
        </is>
      </c>
      <c r="L45" s="361" t="inlineStr">
        <is>
          <t>v</t>
        </is>
      </c>
      <c r="M45" s="362">
        <f>IF(Instellingen!F30="","",Instellingen!F30)</f>
        <v/>
      </c>
      <c r="N45" s="363">
        <f>IF(Instellingen!G30="","",Instellingen!G30)</f>
        <v/>
      </c>
      <c r="O45" s="363">
        <f>IF(Instellingen!H30="","",Instellingen!H30)</f>
        <v/>
      </c>
      <c r="P45" s="363">
        <f>IF(Instellingen!I30="","",Instellingen!I30)</f>
        <v/>
      </c>
      <c r="Q45" s="363">
        <f>IF(Instellingen!J30="","",Instellingen!J30)</f>
        <v/>
      </c>
      <c r="R45" s="363">
        <f>IF(Instellingen!K30="","",Instellingen!K30)</f>
        <v/>
      </c>
      <c r="S45" s="364">
        <f>IF(Instellingen!L30="","",Instellingen!L30)</f>
        <v/>
      </c>
      <c r="T45" s="347" t="n"/>
      <c r="U45" s="343" t="n"/>
      <c r="V45" s="343" t="n"/>
      <c r="W45" s="343" t="n"/>
      <c r="X45" s="343" t="n"/>
      <c r="Y45" s="343" t="n"/>
      <c r="Z45" s="348" t="n"/>
    </row>
    <row r="46" ht="12.6" customHeight="1">
      <c r="A46" s="381" t="n">
        <v>14</v>
      </c>
      <c r="B46" s="356" t="inlineStr">
        <is>
          <t>Levering (max. aflevermoment): Houdbaar (BA)</t>
        </is>
      </c>
      <c r="C46" s="357" t="n"/>
      <c r="D46" s="358" t="inlineStr">
        <is>
          <t>vaste tijd</t>
        </is>
      </c>
      <c r="E46" s="1072" t="n"/>
      <c r="F46" s="360" t="inlineStr">
        <is>
          <t>v</t>
        </is>
      </c>
      <c r="G46" s="358" t="inlineStr">
        <is>
          <t>v</t>
        </is>
      </c>
      <c r="H46" s="358" t="inlineStr">
        <is>
          <t>v</t>
        </is>
      </c>
      <c r="I46" s="358" t="inlineStr">
        <is>
          <t>v</t>
        </is>
      </c>
      <c r="J46" s="358" t="inlineStr">
        <is>
          <t>v</t>
        </is>
      </c>
      <c r="K46" s="358" t="inlineStr">
        <is>
          <t>v</t>
        </is>
      </c>
      <c r="L46" s="361" t="inlineStr">
        <is>
          <t>v</t>
        </is>
      </c>
      <c r="M46" s="362">
        <f>IF(Instellingen!F31="","",Instellingen!F31)</f>
        <v/>
      </c>
      <c r="N46" s="363">
        <f>IF(Instellingen!G31="","",Instellingen!G31)</f>
        <v/>
      </c>
      <c r="O46" s="363">
        <f>IF(Instellingen!H31="","",Instellingen!H31)</f>
        <v/>
      </c>
      <c r="P46" s="363">
        <f>IF(Instellingen!I31="","",Instellingen!I31)</f>
        <v/>
      </c>
      <c r="Q46" s="363">
        <f>IF(Instellingen!J31="","",Instellingen!J31)</f>
        <v/>
      </c>
      <c r="R46" s="363">
        <f>IF(Instellingen!K31="","",Instellingen!K31)</f>
        <v/>
      </c>
      <c r="S46" s="364">
        <f>IF(Instellingen!L31="","",Instellingen!L31)</f>
        <v/>
      </c>
      <c r="T46" s="347" t="n"/>
      <c r="U46" s="343" t="n"/>
      <c r="V46" s="343" t="n"/>
      <c r="W46" s="343" t="n"/>
      <c r="X46" s="343" t="n"/>
      <c r="Y46" s="343" t="n"/>
      <c r="Z46" s="348" t="n"/>
    </row>
    <row r="47" ht="12.6" customHeight="1">
      <c r="A47" s="381" t="n">
        <v>15</v>
      </c>
      <c r="B47" s="356" t="inlineStr">
        <is>
          <t>Levering (max. aflevermoment): Houdbaar (BA2)</t>
        </is>
      </c>
      <c r="C47" s="357" t="n"/>
      <c r="D47" s="358" t="inlineStr">
        <is>
          <t>vaste tijd</t>
        </is>
      </c>
      <c r="E47" s="1072" t="n"/>
      <c r="F47" s="360" t="inlineStr">
        <is>
          <t>v</t>
        </is>
      </c>
      <c r="G47" s="358" t="inlineStr">
        <is>
          <t>v</t>
        </is>
      </c>
      <c r="H47" s="358" t="inlineStr">
        <is>
          <t>v</t>
        </is>
      </c>
      <c r="I47" s="358" t="inlineStr">
        <is>
          <t>v</t>
        </is>
      </c>
      <c r="J47" s="358" t="inlineStr">
        <is>
          <t>v</t>
        </is>
      </c>
      <c r="K47" s="358" t="inlineStr">
        <is>
          <t>v</t>
        </is>
      </c>
      <c r="L47" s="361" t="inlineStr">
        <is>
          <t>v</t>
        </is>
      </c>
      <c r="M47" s="362">
        <f>IF(Instellingen!F32="","",Instellingen!F32)</f>
        <v/>
      </c>
      <c r="N47" s="363">
        <f>IF(Instellingen!G32="","",Instellingen!G32)</f>
        <v/>
      </c>
      <c r="O47" s="363">
        <f>IF(Instellingen!H32="","",Instellingen!H32)</f>
        <v/>
      </c>
      <c r="P47" s="363">
        <f>IF(Instellingen!I32="","",Instellingen!I32)</f>
        <v/>
      </c>
      <c r="Q47" s="363">
        <f>IF(Instellingen!J32="","",Instellingen!J32)</f>
        <v/>
      </c>
      <c r="R47" s="363">
        <f>IF(Instellingen!K32="","",Instellingen!K32)</f>
        <v/>
      </c>
      <c r="S47" s="364">
        <f>IF(Instellingen!L32="","",Instellingen!L32)</f>
        <v/>
      </c>
      <c r="T47" s="347" t="n"/>
      <c r="U47" s="343" t="n"/>
      <c r="V47" s="343" t="n"/>
      <c r="W47" s="343" t="n"/>
      <c r="X47" s="343" t="n"/>
      <c r="Y47" s="343" t="n"/>
      <c r="Z47" s="348" t="n"/>
    </row>
    <row r="48" ht="12.6" customHeight="1">
      <c r="A48" s="381" t="n">
        <v>16</v>
      </c>
      <c r="B48" s="356" t="inlineStr">
        <is>
          <t>Levering (max. aflevermoment): Vers (HA)</t>
        </is>
      </c>
      <c r="C48" s="357" t="n"/>
      <c r="D48" s="358" t="inlineStr">
        <is>
          <t>vaste tijd</t>
        </is>
      </c>
      <c r="E48" s="1072" t="n"/>
      <c r="F48" s="360" t="inlineStr">
        <is>
          <t>v</t>
        </is>
      </c>
      <c r="G48" s="358" t="inlineStr">
        <is>
          <t>v</t>
        </is>
      </c>
      <c r="H48" s="358" t="inlineStr">
        <is>
          <t>v</t>
        </is>
      </c>
      <c r="I48" s="358" t="inlineStr">
        <is>
          <t>v</t>
        </is>
      </c>
      <c r="J48" s="358" t="inlineStr">
        <is>
          <t>v</t>
        </is>
      </c>
      <c r="K48" s="358" t="inlineStr">
        <is>
          <t>v</t>
        </is>
      </c>
      <c r="L48" s="361" t="inlineStr">
        <is>
          <t>v</t>
        </is>
      </c>
      <c r="M48" s="362">
        <f>IF(Instellingen!F33="","",Instellingen!F33)</f>
        <v/>
      </c>
      <c r="N48" s="363">
        <f>IF(Instellingen!G33="","",Instellingen!G33)</f>
        <v/>
      </c>
      <c r="O48" s="363">
        <f>IF(Instellingen!H33="","",Instellingen!H33)</f>
        <v/>
      </c>
      <c r="P48" s="363">
        <f>IF(Instellingen!I33="","",Instellingen!I33)</f>
        <v/>
      </c>
      <c r="Q48" s="363">
        <f>IF(Instellingen!J33="","",Instellingen!J33)</f>
        <v/>
      </c>
      <c r="R48" s="363">
        <f>IF(Instellingen!K33="","",Instellingen!K33)</f>
        <v/>
      </c>
      <c r="S48" s="364">
        <f>IF(Instellingen!L33="","",Instellingen!L33)</f>
        <v/>
      </c>
      <c r="T48" s="347" t="n"/>
      <c r="U48" s="343" t="n"/>
      <c r="V48" s="343" t="n"/>
      <c r="W48" s="343" t="n"/>
      <c r="X48" s="343" t="n"/>
      <c r="Y48" s="343" t="n"/>
      <c r="Z48" s="348" t="n"/>
    </row>
    <row r="49" ht="12.6" customHeight="1">
      <c r="A49" s="381" t="n">
        <v>17</v>
      </c>
      <c r="B49" s="356" t="inlineStr">
        <is>
          <t>Levering (max. aflevermoment): Vers (BA)</t>
        </is>
      </c>
      <c r="C49" s="357" t="n"/>
      <c r="D49" s="358" t="inlineStr">
        <is>
          <t>vaste tijd</t>
        </is>
      </c>
      <c r="E49" s="1072" t="n"/>
      <c r="F49" s="360" t="inlineStr">
        <is>
          <t>v</t>
        </is>
      </c>
      <c r="G49" s="358" t="inlineStr">
        <is>
          <t>v</t>
        </is>
      </c>
      <c r="H49" s="358" t="inlineStr">
        <is>
          <t>v</t>
        </is>
      </c>
      <c r="I49" s="358" t="inlineStr">
        <is>
          <t>v</t>
        </is>
      </c>
      <c r="J49" s="358" t="inlineStr">
        <is>
          <t>v</t>
        </is>
      </c>
      <c r="K49" s="358" t="inlineStr">
        <is>
          <t>v</t>
        </is>
      </c>
      <c r="L49" s="361" t="inlineStr">
        <is>
          <t>v</t>
        </is>
      </c>
      <c r="M49" s="362">
        <f>IF(Instellingen!F34="","",Instellingen!F34)</f>
        <v/>
      </c>
      <c r="N49" s="363">
        <f>IF(Instellingen!G34="","",Instellingen!G34)</f>
        <v/>
      </c>
      <c r="O49" s="363">
        <f>IF(Instellingen!H34="","",Instellingen!H34)</f>
        <v/>
      </c>
      <c r="P49" s="363">
        <f>IF(Instellingen!I34="","",Instellingen!I34)</f>
        <v/>
      </c>
      <c r="Q49" s="363">
        <f>IF(Instellingen!J34="","",Instellingen!J34)</f>
        <v/>
      </c>
      <c r="R49" s="363">
        <f>IF(Instellingen!K34="","",Instellingen!K34)</f>
        <v/>
      </c>
      <c r="S49" s="364">
        <f>IF(Instellingen!L34="","",Instellingen!L34)</f>
        <v/>
      </c>
      <c r="T49" s="347" t="n"/>
      <c r="U49" s="343" t="n"/>
      <c r="V49" s="343" t="n"/>
      <c r="W49" s="343" t="n"/>
      <c r="X49" s="343" t="n"/>
      <c r="Y49" s="343" t="n"/>
      <c r="Z49" s="348" t="n"/>
    </row>
    <row r="50" ht="12.6" customHeight="1">
      <c r="A50" s="381" t="n">
        <v>18</v>
      </c>
      <c r="B50" s="356" t="inlineStr">
        <is>
          <t>Levering (max. aflevermoment): Vers (BA2)</t>
        </is>
      </c>
      <c r="C50" s="357" t="inlineStr"/>
      <c r="D50" s="358" t="inlineStr">
        <is>
          <t>vaste tijd</t>
        </is>
      </c>
      <c r="E50" s="1072" t="n"/>
      <c r="F50" s="360" t="inlineStr">
        <is>
          <t>v</t>
        </is>
      </c>
      <c r="G50" s="358" t="inlineStr">
        <is>
          <t>v</t>
        </is>
      </c>
      <c r="H50" s="358" t="inlineStr">
        <is>
          <t>v</t>
        </is>
      </c>
      <c r="I50" s="358" t="inlineStr">
        <is>
          <t>v</t>
        </is>
      </c>
      <c r="J50" s="358" t="inlineStr">
        <is>
          <t>v</t>
        </is>
      </c>
      <c r="K50" s="358" t="inlineStr">
        <is>
          <t>v</t>
        </is>
      </c>
      <c r="L50" s="361" t="inlineStr">
        <is>
          <t>v</t>
        </is>
      </c>
      <c r="M50" s="362">
        <f>IF(Instellingen!F35="","",Instellingen!F35)</f>
        <v/>
      </c>
      <c r="N50" s="363">
        <f>IF(Instellingen!G35="","",Instellingen!G35)</f>
        <v/>
      </c>
      <c r="O50" s="363">
        <f>IF(Instellingen!H35="","",Instellingen!H35)</f>
        <v/>
      </c>
      <c r="P50" s="363">
        <f>IF(Instellingen!I35="","",Instellingen!I35)</f>
        <v/>
      </c>
      <c r="Q50" s="363">
        <f>IF(Instellingen!J35="","",Instellingen!J35)</f>
        <v/>
      </c>
      <c r="R50" s="363">
        <f>IF(Instellingen!K35="","",Instellingen!K35)</f>
        <v/>
      </c>
      <c r="S50" s="364">
        <f>IF(Instellingen!L35="","",Instellingen!L35)</f>
        <v/>
      </c>
      <c r="T50" s="347" t="n"/>
      <c r="U50" s="343" t="n"/>
      <c r="V50" s="343" t="n"/>
      <c r="W50" s="343" t="n"/>
      <c r="X50" s="343" t="n"/>
      <c r="Y50" s="343" t="n"/>
      <c r="Z50" s="348" t="n"/>
    </row>
    <row r="51" ht="12.6" customHeight="1">
      <c r="A51" s="381" t="n">
        <v>19</v>
      </c>
      <c r="B51" s="356" t="inlineStr">
        <is>
          <t>Levering (max. aflevermoment): Diepvries (HA)</t>
        </is>
      </c>
      <c r="C51" s="357" t="inlineStr"/>
      <c r="D51" s="358" t="inlineStr">
        <is>
          <t>vaste tijd</t>
        </is>
      </c>
      <c r="E51" s="1072" t="n"/>
      <c r="F51" s="360" t="inlineStr">
        <is>
          <t>v</t>
        </is>
      </c>
      <c r="G51" s="358" t="inlineStr">
        <is>
          <t>v</t>
        </is>
      </c>
      <c r="H51" s="358" t="inlineStr">
        <is>
          <t>v</t>
        </is>
      </c>
      <c r="I51" s="358" t="inlineStr">
        <is>
          <t>v</t>
        </is>
      </c>
      <c r="J51" s="358" t="inlineStr">
        <is>
          <t>v</t>
        </is>
      </c>
      <c r="K51" s="358" t="inlineStr">
        <is>
          <t>v</t>
        </is>
      </c>
      <c r="L51" s="361" t="inlineStr">
        <is>
          <t>v</t>
        </is>
      </c>
      <c r="M51" s="362">
        <f>IF(Instellingen!F36="","",Instellingen!F36)</f>
        <v/>
      </c>
      <c r="N51" s="363">
        <f>IF(Instellingen!G36="","",Instellingen!G36)</f>
        <v/>
      </c>
      <c r="O51" s="363">
        <f>IF(Instellingen!H36="","",Instellingen!H36)</f>
        <v/>
      </c>
      <c r="P51" s="363">
        <f>IF(Instellingen!I36="","",Instellingen!I36)</f>
        <v/>
      </c>
      <c r="Q51" s="363">
        <f>IF(Instellingen!J36="","",Instellingen!J36)</f>
        <v/>
      </c>
      <c r="R51" s="363">
        <f>IF(Instellingen!K36="","",Instellingen!K36)</f>
        <v/>
      </c>
      <c r="S51" s="364">
        <f>IF(Instellingen!L36="","",Instellingen!L36)</f>
        <v/>
      </c>
      <c r="T51" s="347" t="n"/>
      <c r="U51" s="343" t="n"/>
      <c r="V51" s="343" t="n"/>
      <c r="W51" s="343" t="n"/>
      <c r="X51" s="343" t="n"/>
      <c r="Y51" s="343" t="n"/>
      <c r="Z51" s="348" t="n"/>
    </row>
    <row r="52" ht="12.6" customHeight="1">
      <c r="A52" s="381" t="n">
        <v>20</v>
      </c>
      <c r="B52" s="356" t="inlineStr">
        <is>
          <t>Levering (max. aflevermoment): Brood (HA)</t>
        </is>
      </c>
      <c r="C52" s="357" t="inlineStr"/>
      <c r="D52" s="358" t="inlineStr">
        <is>
          <t>vaste tijd</t>
        </is>
      </c>
      <c r="E52" s="1073" t="n"/>
      <c r="F52" s="360" t="inlineStr">
        <is>
          <t>v</t>
        </is>
      </c>
      <c r="G52" s="358" t="inlineStr">
        <is>
          <t>v</t>
        </is>
      </c>
      <c r="H52" s="358" t="inlineStr">
        <is>
          <t>v</t>
        </is>
      </c>
      <c r="I52" s="358" t="inlineStr">
        <is>
          <t>v</t>
        </is>
      </c>
      <c r="J52" s="358" t="inlineStr">
        <is>
          <t>v</t>
        </is>
      </c>
      <c r="K52" s="358" t="inlineStr">
        <is>
          <t>v</t>
        </is>
      </c>
      <c r="L52" s="361" t="inlineStr">
        <is>
          <t>v</t>
        </is>
      </c>
      <c r="M52" s="536">
        <f>IF(Instellingen!F37="","",Instellingen!F37)</f>
        <v/>
      </c>
      <c r="N52" s="537">
        <f>IF(Instellingen!G37="","",Instellingen!G37)</f>
        <v/>
      </c>
      <c r="O52" s="537">
        <f>IF(Instellingen!H37="","",Instellingen!H37)</f>
        <v/>
      </c>
      <c r="P52" s="537">
        <f>IF(Instellingen!I37="","",Instellingen!I37)</f>
        <v/>
      </c>
      <c r="Q52" s="537">
        <f>IF(Instellingen!J37="","",Instellingen!J37)</f>
        <v/>
      </c>
      <c r="R52" s="537">
        <f>IF(Instellingen!K37="","",Instellingen!K37)</f>
        <v/>
      </c>
      <c r="S52" s="538">
        <f>IF(Instellingen!L37="","",Instellingen!L37)</f>
        <v/>
      </c>
      <c r="T52" s="370" t="n"/>
      <c r="U52" s="371" t="n"/>
      <c r="V52" s="371" t="n"/>
      <c r="W52" s="371" t="n"/>
      <c r="X52" s="371" t="n"/>
      <c r="Y52" s="371" t="n"/>
      <c r="Z52" s="372" t="n"/>
    </row>
    <row r="53" ht="12.6" customHeight="1">
      <c r="A53" s="381" t="n">
        <v>21</v>
      </c>
      <c r="B53" s="356" t="inlineStr">
        <is>
          <t>Actieopbouw leiden</t>
        </is>
      </c>
      <c r="C53" s="357" t="inlineStr">
        <is>
          <t>act</t>
        </is>
      </c>
      <c r="D53" s="584" t="inlineStr">
        <is>
          <t>geplande taak</t>
        </is>
      </c>
      <c r="E53" s="1074" t="n"/>
      <c r="F53" s="360" t="inlineStr">
        <is>
          <t>v</t>
        </is>
      </c>
      <c r="G53" s="358" t="n"/>
      <c r="H53" s="358" t="n"/>
      <c r="I53" s="358" t="n"/>
      <c r="J53" s="358" t="n"/>
      <c r="K53" s="358" t="n"/>
      <c r="L53" s="361" t="n"/>
      <c r="M53" s="540" t="n"/>
      <c r="N53" s="541" t="n"/>
      <c r="O53" s="541" t="n"/>
      <c r="P53" s="541" t="n"/>
      <c r="Q53" s="541" t="n"/>
      <c r="R53" s="541" t="n"/>
      <c r="S53" s="542" t="n"/>
      <c r="T53" s="373" t="n"/>
      <c r="U53" s="374" t="n"/>
      <c r="V53" s="374" t="n"/>
      <c r="W53" s="374" t="n"/>
      <c r="X53" s="374" t="n"/>
      <c r="Y53" s="374" t="n"/>
      <c r="Z53" s="375" t="n"/>
    </row>
    <row r="54" ht="12.6" customHeight="1">
      <c r="A54" s="381" t="n">
        <v>22</v>
      </c>
      <c r="B54" s="356" t="inlineStr">
        <is>
          <t>Check uitvoering actieopbouw (beschikbaarheid, beprijzing, volgens WORP)</t>
        </is>
      </c>
      <c r="C54" s="357" t="inlineStr">
        <is>
          <t>act</t>
        </is>
      </c>
      <c r="D54" s="584" t="inlineStr">
        <is>
          <t>geplande taak</t>
        </is>
      </c>
      <c r="E54" s="1075" t="n"/>
      <c r="F54" s="360" t="inlineStr">
        <is>
          <t>v</t>
        </is>
      </c>
      <c r="G54" s="358" t="n"/>
      <c r="H54" s="358" t="n"/>
      <c r="I54" s="358" t="n"/>
      <c r="J54" s="358" t="n"/>
      <c r="K54" s="358" t="n"/>
      <c r="L54" s="361" t="n"/>
      <c r="M54" s="548" t="n"/>
      <c r="N54" s="546" t="n"/>
      <c r="O54" s="546" t="n"/>
      <c r="P54" s="546" t="n"/>
      <c r="Q54" s="546" t="n"/>
      <c r="R54" s="546" t="n"/>
      <c r="S54" s="547" t="n"/>
      <c r="T54" s="349" t="n"/>
      <c r="U54" s="335" t="n"/>
      <c r="V54" s="335" t="n"/>
      <c r="W54" s="335" t="n"/>
      <c r="X54" s="335" t="n"/>
      <c r="Y54" s="335" t="n"/>
      <c r="Z54" s="336" t="n"/>
    </row>
    <row r="55" ht="12.6" customHeight="1">
      <c r="A55" s="381" t="n">
        <v>23</v>
      </c>
      <c r="B55" s="356" t="inlineStr">
        <is>
          <t>Check uitvoering navulling acties</t>
        </is>
      </c>
      <c r="C55" s="357" t="inlineStr">
        <is>
          <t>act</t>
        </is>
      </c>
      <c r="D55" s="584" t="inlineStr">
        <is>
          <t>geplande taak</t>
        </is>
      </c>
      <c r="E55" s="1075" t="n">
        <v>0.02083333333333333</v>
      </c>
      <c r="F55" s="360" t="n"/>
      <c r="G55" s="358" t="inlineStr">
        <is>
          <t>v</t>
        </is>
      </c>
      <c r="H55" s="358" t="inlineStr">
        <is>
          <t>v</t>
        </is>
      </c>
      <c r="I55" s="358" t="inlineStr">
        <is>
          <t>v</t>
        </is>
      </c>
      <c r="J55" s="358" t="inlineStr">
        <is>
          <t>v</t>
        </is>
      </c>
      <c r="K55" s="358" t="inlineStr">
        <is>
          <t>v</t>
        </is>
      </c>
      <c r="L55" s="361" t="inlineStr">
        <is>
          <t>v</t>
        </is>
      </c>
      <c r="M55" s="543" t="n"/>
      <c r="N55" s="544" t="n"/>
      <c r="O55" s="544" t="n"/>
      <c r="P55" s="544" t="n"/>
      <c r="Q55" s="544" t="n"/>
      <c r="R55" s="544" t="n"/>
      <c r="S55" s="545" t="n"/>
      <c r="T55" s="349" t="n"/>
      <c r="U55" s="335" t="n"/>
      <c r="V55" s="335" t="n"/>
      <c r="W55" s="335" t="n"/>
      <c r="X55" s="335" t="n"/>
      <c r="Y55" s="335" t="n"/>
      <c r="Z55" s="336" t="n"/>
    </row>
    <row r="56" ht="12.6" customHeight="1">
      <c r="A56" s="381" t="n">
        <v>24</v>
      </c>
      <c r="B56" s="356" t="inlineStr">
        <is>
          <t>Check uitvoering afprijzen kortcodig Vers</t>
        </is>
      </c>
      <c r="C56" s="357" t="inlineStr">
        <is>
          <t>afp</t>
        </is>
      </c>
      <c r="D56" s="584" t="inlineStr">
        <is>
          <t>geplande taak</t>
        </is>
      </c>
      <c r="E56" s="1075" t="n">
        <v>0.02083333333333333</v>
      </c>
      <c r="F56" s="360" t="inlineStr">
        <is>
          <t>v</t>
        </is>
      </c>
      <c r="G56" s="358" t="inlineStr">
        <is>
          <t>v</t>
        </is>
      </c>
      <c r="H56" s="358" t="inlineStr">
        <is>
          <t>v</t>
        </is>
      </c>
      <c r="I56" s="358" t="inlineStr">
        <is>
          <t>v</t>
        </is>
      </c>
      <c r="J56" s="358" t="inlineStr">
        <is>
          <t>v</t>
        </is>
      </c>
      <c r="K56" s="358" t="inlineStr">
        <is>
          <t>v</t>
        </is>
      </c>
      <c r="L56" s="361" t="inlineStr">
        <is>
          <t>v</t>
        </is>
      </c>
      <c r="M56" s="543" t="n"/>
      <c r="N56" s="544" t="n"/>
      <c r="O56" s="544" t="n"/>
      <c r="P56" s="544" t="n"/>
      <c r="Q56" s="544" t="n"/>
      <c r="R56" s="544" t="n"/>
      <c r="S56" s="545" t="n"/>
      <c r="T56" s="349" t="n"/>
      <c r="U56" s="335" t="n"/>
      <c r="V56" s="335" t="n"/>
      <c r="W56" s="335" t="n"/>
      <c r="X56" s="335" t="n"/>
      <c r="Y56" s="335" t="n"/>
      <c r="Z56" s="336" t="n"/>
    </row>
    <row r="57" ht="12.6" customHeight="1">
      <c r="A57" s="381" t="n">
        <v>25</v>
      </c>
      <c r="B57" s="356" t="inlineStr">
        <is>
          <t>Langrestanten herbepalen en (laten) vullen</t>
        </is>
      </c>
      <c r="C57" s="357" t="inlineStr">
        <is>
          <t>bl</t>
        </is>
      </c>
      <c r="D57" s="584" t="inlineStr">
        <is>
          <t>geplande taak</t>
        </is>
      </c>
      <c r="E57" s="1075" t="n"/>
      <c r="F57" s="360" t="inlineStr">
        <is>
          <t>v</t>
        </is>
      </c>
      <c r="G57" s="358" t="inlineStr">
        <is>
          <t>v</t>
        </is>
      </c>
      <c r="H57" s="358" t="inlineStr">
        <is>
          <t>v</t>
        </is>
      </c>
      <c r="I57" s="358" t="inlineStr">
        <is>
          <t>v</t>
        </is>
      </c>
      <c r="J57" s="358" t="inlineStr">
        <is>
          <t>v</t>
        </is>
      </c>
      <c r="K57" s="358" t="inlineStr">
        <is>
          <t>v</t>
        </is>
      </c>
      <c r="L57" s="361" t="inlineStr">
        <is>
          <t>v</t>
        </is>
      </c>
      <c r="M57" s="543" t="n"/>
      <c r="N57" s="544" t="n"/>
      <c r="O57" s="544" t="n"/>
      <c r="P57" s="544" t="n"/>
      <c r="Q57" s="544" t="n"/>
      <c r="R57" s="544" t="n"/>
      <c r="S57" s="545" t="n"/>
      <c r="T57" s="349" t="n"/>
      <c r="U57" s="335" t="n"/>
      <c r="V57" s="335" t="n"/>
      <c r="W57" s="335" t="n"/>
      <c r="X57" s="335" t="n"/>
      <c r="Y57" s="335" t="n"/>
      <c r="Z57" s="336" t="n"/>
    </row>
    <row r="58" ht="12.6" customHeight="1">
      <c r="A58" s="381" t="n">
        <v>26</v>
      </c>
      <c r="B58" s="356" t="inlineStr">
        <is>
          <t>Check uitvoering codeboek Houdbaar, Vers en Diepvries (Wink)</t>
        </is>
      </c>
      <c r="C58" s="357" t="inlineStr">
        <is>
          <t>cb</t>
        </is>
      </c>
      <c r="D58" s="584" t="inlineStr">
        <is>
          <t>geplande taak</t>
        </is>
      </c>
      <c r="E58" s="1075" t="n">
        <v>0.02083333333333333</v>
      </c>
      <c r="F58" s="360" t="inlineStr">
        <is>
          <t>v</t>
        </is>
      </c>
      <c r="G58" s="358" t="inlineStr">
        <is>
          <t>v</t>
        </is>
      </c>
      <c r="H58" s="358" t="inlineStr">
        <is>
          <t>v</t>
        </is>
      </c>
      <c r="I58" s="358" t="inlineStr">
        <is>
          <t>v</t>
        </is>
      </c>
      <c r="J58" s="358" t="inlineStr">
        <is>
          <t>v</t>
        </is>
      </c>
      <c r="K58" s="358" t="inlineStr">
        <is>
          <t>v</t>
        </is>
      </c>
      <c r="L58" s="361" t="inlineStr">
        <is>
          <t>v</t>
        </is>
      </c>
      <c r="M58" s="543" t="n"/>
      <c r="N58" s="544" t="n"/>
      <c r="O58" s="544" t="n"/>
      <c r="P58" s="544" t="n"/>
      <c r="Q58" s="544" t="n"/>
      <c r="R58" s="544" t="n"/>
      <c r="S58" s="545" t="n"/>
      <c r="T58" s="349" t="n"/>
      <c r="U58" s="335" t="n"/>
      <c r="V58" s="335" t="n"/>
      <c r="W58" s="335" t="n"/>
      <c r="X58" s="335" t="n"/>
      <c r="Y58" s="335" t="n"/>
      <c r="Z58" s="336" t="n"/>
    </row>
    <row r="59" ht="12.6" customHeight="1">
      <c r="A59" s="381" t="n">
        <v>27</v>
      </c>
      <c r="B59" s="356" t="inlineStr">
        <is>
          <t>Check uitvoering uitsorteren communicatiecontainer</t>
        </is>
      </c>
      <c r="C59" s="357" t="inlineStr">
        <is>
          <t>com</t>
        </is>
      </c>
      <c r="D59" s="584" t="inlineStr">
        <is>
          <t>geplande taak</t>
        </is>
      </c>
      <c r="E59" s="1075" t="n">
        <v>0.02083333333333333</v>
      </c>
      <c r="F59" s="360" t="inlineStr">
        <is>
          <t>v</t>
        </is>
      </c>
      <c r="G59" s="358" t="inlineStr">
        <is>
          <t>v</t>
        </is>
      </c>
      <c r="H59" s="358" t="inlineStr">
        <is>
          <t>v</t>
        </is>
      </c>
      <c r="I59" s="358" t="inlineStr">
        <is>
          <t>v</t>
        </is>
      </c>
      <c r="J59" s="358" t="inlineStr">
        <is>
          <t>v</t>
        </is>
      </c>
      <c r="K59" s="358" t="inlineStr">
        <is>
          <t>v</t>
        </is>
      </c>
      <c r="L59" s="361" t="inlineStr">
        <is>
          <t>v</t>
        </is>
      </c>
      <c r="M59" s="543" t="n"/>
      <c r="N59" s="544" t="n"/>
      <c r="O59" s="544" t="n"/>
      <c r="P59" s="544" t="n"/>
      <c r="Q59" s="544" t="n"/>
      <c r="R59" s="544" t="n"/>
      <c r="S59" s="545" t="n"/>
      <c r="T59" s="349" t="n"/>
      <c r="U59" s="335" t="n"/>
      <c r="V59" s="335" t="n"/>
      <c r="W59" s="335" t="n"/>
      <c r="X59" s="335" t="n"/>
      <c r="Y59" s="335" t="n"/>
      <c r="Z59" s="336" t="n"/>
    </row>
    <row r="60" ht="12.6" customHeight="1">
      <c r="A60" s="381" t="n">
        <v>28</v>
      </c>
      <c r="B60" s="356" t="inlineStr">
        <is>
          <t>Start vulshift Diepvries, check 'gewoon goed vullen':</t>
        </is>
      </c>
      <c r="C60" s="357" t="inlineStr">
        <is>
          <t>dv</t>
        </is>
      </c>
      <c r="D60" s="584" t="inlineStr">
        <is>
          <t>geplande taak</t>
        </is>
      </c>
      <c r="E60" s="1075" t="n"/>
      <c r="F60" s="360" t="inlineStr">
        <is>
          <t>v</t>
        </is>
      </c>
      <c r="G60" s="358" t="inlineStr">
        <is>
          <t>v</t>
        </is>
      </c>
      <c r="H60" s="358" t="inlineStr">
        <is>
          <t>v</t>
        </is>
      </c>
      <c r="I60" s="358" t="inlineStr">
        <is>
          <t>v</t>
        </is>
      </c>
      <c r="J60" s="358" t="inlineStr">
        <is>
          <t>v</t>
        </is>
      </c>
      <c r="K60" s="358" t="inlineStr">
        <is>
          <t>v</t>
        </is>
      </c>
      <c r="L60" s="361" t="inlineStr">
        <is>
          <t>v</t>
        </is>
      </c>
      <c r="M60" s="543" t="n"/>
      <c r="N60" s="544" t="n"/>
      <c r="O60" s="544" t="n"/>
      <c r="P60" s="544" t="n"/>
      <c r="Q60" s="544" t="n"/>
      <c r="R60" s="544" t="n"/>
      <c r="S60" s="545" t="n"/>
      <c r="T60" s="349" t="n"/>
      <c r="U60" s="335" t="n"/>
      <c r="V60" s="335" t="n"/>
      <c r="W60" s="335" t="n"/>
      <c r="X60" s="335" t="n"/>
      <c r="Y60" s="335" t="n"/>
      <c r="Z60" s="336" t="n"/>
    </row>
    <row r="61" ht="12.6" customHeight="1">
      <c r="A61" s="381" t="n">
        <v>29</v>
      </c>
      <c r="B61" s="356">
        <f>"   - niet meer (vul)containers op de vloer dan er binnen 30 min. te vullen zijn"</f>
        <v/>
      </c>
      <c r="C61" s="357" t="inlineStr">
        <is>
          <t>dv</t>
        </is>
      </c>
      <c r="D61" s="584" t="inlineStr">
        <is>
          <t>geplande taak</t>
        </is>
      </c>
      <c r="E61" s="1075" t="n"/>
      <c r="F61" s="360" t="inlineStr">
        <is>
          <t>v</t>
        </is>
      </c>
      <c r="G61" s="358" t="inlineStr">
        <is>
          <t>v</t>
        </is>
      </c>
      <c r="H61" s="358" t="inlineStr">
        <is>
          <t>v</t>
        </is>
      </c>
      <c r="I61" s="358" t="inlineStr">
        <is>
          <t>v</t>
        </is>
      </c>
      <c r="J61" s="358" t="inlineStr">
        <is>
          <t>v</t>
        </is>
      </c>
      <c r="K61" s="358" t="inlineStr">
        <is>
          <t>v</t>
        </is>
      </c>
      <c r="L61" s="361" t="inlineStr">
        <is>
          <t>v</t>
        </is>
      </c>
      <c r="M61" s="548" t="n"/>
      <c r="N61" s="546" t="n"/>
      <c r="O61" s="546" t="n"/>
      <c r="P61" s="546" t="n"/>
      <c r="Q61" s="546" t="n"/>
      <c r="R61" s="546" t="n"/>
      <c r="S61" s="547" t="n"/>
      <c r="T61" s="349" t="n"/>
      <c r="U61" s="335" t="n"/>
      <c r="V61" s="335" t="n"/>
      <c r="W61" s="335" t="n"/>
      <c r="X61" s="335" t="n"/>
      <c r="Y61" s="335" t="n"/>
      <c r="Z61" s="336" t="n"/>
    </row>
    <row r="62" ht="12.6" customHeight="1">
      <c r="A62" s="381" t="n">
        <v>30</v>
      </c>
      <c r="B62" s="356">
        <f>"   - slim stapelen op de vuldolly (meerdere colli/fusten)"</f>
        <v/>
      </c>
      <c r="C62" s="357" t="inlineStr">
        <is>
          <t>dv</t>
        </is>
      </c>
      <c r="D62" s="584" t="inlineStr">
        <is>
          <t>geplande taak</t>
        </is>
      </c>
      <c r="E62" s="1075" t="n"/>
      <c r="F62" s="360" t="inlineStr">
        <is>
          <t>v</t>
        </is>
      </c>
      <c r="G62" s="358" t="inlineStr">
        <is>
          <t>v</t>
        </is>
      </c>
      <c r="H62" s="358" t="inlineStr">
        <is>
          <t>v</t>
        </is>
      </c>
      <c r="I62" s="358" t="inlineStr">
        <is>
          <t>v</t>
        </is>
      </c>
      <c r="J62" s="358" t="inlineStr">
        <is>
          <t>v</t>
        </is>
      </c>
      <c r="K62" s="358" t="inlineStr">
        <is>
          <t>v</t>
        </is>
      </c>
      <c r="L62" s="361" t="inlineStr">
        <is>
          <t>v</t>
        </is>
      </c>
      <c r="M62" s="548" t="n"/>
      <c r="N62" s="546" t="n"/>
      <c r="O62" s="546" t="n"/>
      <c r="P62" s="546" t="n"/>
      <c r="Q62" s="546" t="n"/>
      <c r="R62" s="546" t="n"/>
      <c r="S62" s="547" t="n"/>
      <c r="T62" s="349" t="n"/>
      <c r="U62" s="335" t="n"/>
      <c r="V62" s="335" t="n"/>
      <c r="W62" s="335" t="n"/>
      <c r="X62" s="335" t="n"/>
      <c r="Y62" s="335" t="n"/>
      <c r="Z62" s="336" t="n"/>
    </row>
    <row r="63" ht="12.6" customHeight="1">
      <c r="A63" s="381" t="n">
        <v>31</v>
      </c>
      <c r="B63" s="356">
        <f>"   - vullen vanaf de dolly en met 2 handen"</f>
        <v/>
      </c>
      <c r="C63" s="357" t="inlineStr">
        <is>
          <t>dv</t>
        </is>
      </c>
      <c r="D63" s="584" t="inlineStr">
        <is>
          <t>geplande taak</t>
        </is>
      </c>
      <c r="E63" s="1075" t="n"/>
      <c r="F63" s="360" t="inlineStr">
        <is>
          <t>v</t>
        </is>
      </c>
      <c r="G63" s="358" t="inlineStr">
        <is>
          <t>v</t>
        </is>
      </c>
      <c r="H63" s="358" t="inlineStr">
        <is>
          <t>v</t>
        </is>
      </c>
      <c r="I63" s="358" t="inlineStr">
        <is>
          <t>v</t>
        </is>
      </c>
      <c r="J63" s="358" t="inlineStr">
        <is>
          <t>v</t>
        </is>
      </c>
      <c r="K63" s="358" t="inlineStr">
        <is>
          <t>v</t>
        </is>
      </c>
      <c r="L63" s="361" t="inlineStr">
        <is>
          <t>v</t>
        </is>
      </c>
      <c r="M63" s="548" t="n"/>
      <c r="N63" s="546" t="n"/>
      <c r="O63" s="546" t="n"/>
      <c r="P63" s="546" t="n"/>
      <c r="Q63" s="546" t="n"/>
      <c r="R63" s="546" t="n"/>
      <c r="S63" s="547" t="n"/>
      <c r="T63" s="349" t="n"/>
      <c r="U63" s="335" t="n"/>
      <c r="V63" s="335" t="n"/>
      <c r="W63" s="335" t="n"/>
      <c r="X63" s="335" t="n"/>
      <c r="Y63" s="335" t="n"/>
      <c r="Z63" s="336" t="n"/>
    </row>
    <row r="64" ht="12.6" customHeight="1">
      <c r="A64" s="381" t="n">
        <v>32</v>
      </c>
      <c r="B64" s="356">
        <f>"   - efficiënt vullen en in een normaal werktempo"</f>
        <v/>
      </c>
      <c r="C64" s="357" t="inlineStr">
        <is>
          <t>dv</t>
        </is>
      </c>
      <c r="D64" s="584" t="inlineStr">
        <is>
          <t>geplande taak</t>
        </is>
      </c>
      <c r="E64" s="1075" t="n"/>
      <c r="F64" s="360" t="inlineStr">
        <is>
          <t>v</t>
        </is>
      </c>
      <c r="G64" s="358" t="inlineStr">
        <is>
          <t>v</t>
        </is>
      </c>
      <c r="H64" s="358" t="inlineStr">
        <is>
          <t>v</t>
        </is>
      </c>
      <c r="I64" s="358" t="inlineStr">
        <is>
          <t>v</t>
        </is>
      </c>
      <c r="J64" s="358" t="inlineStr">
        <is>
          <t>v</t>
        </is>
      </c>
      <c r="K64" s="358" t="inlineStr">
        <is>
          <t>v</t>
        </is>
      </c>
      <c r="L64" s="361" t="inlineStr">
        <is>
          <t>v</t>
        </is>
      </c>
      <c r="M64" s="548" t="n"/>
      <c r="N64" s="546" t="n"/>
      <c r="O64" s="546" t="n"/>
      <c r="P64" s="546" t="n"/>
      <c r="Q64" s="546" t="n"/>
      <c r="R64" s="546" t="n"/>
      <c r="S64" s="547" t="n"/>
      <c r="T64" s="349" t="n"/>
      <c r="U64" s="335" t="n"/>
      <c r="V64" s="335" t="n"/>
      <c r="W64" s="335" t="n"/>
      <c r="X64" s="335" t="n"/>
      <c r="Y64" s="335" t="n"/>
      <c r="Z64" s="336" t="n"/>
    </row>
    <row r="65" ht="12.6" customHeight="1">
      <c r="A65" s="381" t="n">
        <v>33</v>
      </c>
      <c r="B65" s="356">
        <f>"   - op de juiste plek vullen met het juiste aantal facings"</f>
        <v/>
      </c>
      <c r="C65" s="357" t="inlineStr">
        <is>
          <t>dv</t>
        </is>
      </c>
      <c r="D65" s="584" t="inlineStr">
        <is>
          <t>geplande taak</t>
        </is>
      </c>
      <c r="E65" s="1075" t="n"/>
      <c r="F65" s="360" t="inlineStr">
        <is>
          <t>v</t>
        </is>
      </c>
      <c r="G65" s="358" t="inlineStr">
        <is>
          <t>v</t>
        </is>
      </c>
      <c r="H65" s="358" t="inlineStr">
        <is>
          <t>v</t>
        </is>
      </c>
      <c r="I65" s="358" t="inlineStr">
        <is>
          <t>v</t>
        </is>
      </c>
      <c r="J65" s="358" t="inlineStr">
        <is>
          <t>v</t>
        </is>
      </c>
      <c r="K65" s="358" t="inlineStr">
        <is>
          <t>v</t>
        </is>
      </c>
      <c r="L65" s="361" t="inlineStr">
        <is>
          <t>v</t>
        </is>
      </c>
      <c r="M65" s="548" t="n"/>
      <c r="N65" s="546" t="n"/>
      <c r="O65" s="546" t="n"/>
      <c r="P65" s="546" t="n"/>
      <c r="Q65" s="546" t="n"/>
      <c r="R65" s="546" t="n"/>
      <c r="S65" s="547" t="n"/>
      <c r="T65" s="349" t="n"/>
      <c r="U65" s="335" t="n"/>
      <c r="V65" s="335" t="n"/>
      <c r="W65" s="335" t="n"/>
      <c r="X65" s="335" t="n"/>
      <c r="Y65" s="335" t="n"/>
      <c r="Z65" s="336" t="n"/>
    </row>
    <row r="66" ht="12.6" customHeight="1">
      <c r="A66" s="381" t="n">
        <v>34</v>
      </c>
      <c r="B66" s="356">
        <f>"   - check dat er geen kapotte of beschadigde artikelen achterlaten worden"</f>
        <v/>
      </c>
      <c r="C66" s="357" t="inlineStr">
        <is>
          <t>dv</t>
        </is>
      </c>
      <c r="D66" s="584" t="inlineStr">
        <is>
          <t>geplande taak</t>
        </is>
      </c>
      <c r="E66" s="1075" t="n"/>
      <c r="F66" s="360" t="inlineStr">
        <is>
          <t>v</t>
        </is>
      </c>
      <c r="G66" s="358" t="inlineStr">
        <is>
          <t>v</t>
        </is>
      </c>
      <c r="H66" s="358" t="inlineStr">
        <is>
          <t>v</t>
        </is>
      </c>
      <c r="I66" s="358" t="inlineStr">
        <is>
          <t>v</t>
        </is>
      </c>
      <c r="J66" s="358" t="inlineStr">
        <is>
          <t>v</t>
        </is>
      </c>
      <c r="K66" s="358" t="inlineStr">
        <is>
          <t>v</t>
        </is>
      </c>
      <c r="L66" s="361" t="inlineStr">
        <is>
          <t>v</t>
        </is>
      </c>
      <c r="M66" s="548" t="n"/>
      <c r="N66" s="546" t="n"/>
      <c r="O66" s="546" t="n"/>
      <c r="P66" s="546" t="n"/>
      <c r="Q66" s="546" t="n"/>
      <c r="R66" s="546" t="n"/>
      <c r="S66" s="547" t="n"/>
      <c r="T66" s="349" t="n"/>
      <c r="U66" s="335" t="n"/>
      <c r="V66" s="335" t="n"/>
      <c r="W66" s="335" t="n"/>
      <c r="X66" s="335" t="n"/>
      <c r="Y66" s="335" t="n"/>
      <c r="Z66" s="336" t="n"/>
    </row>
    <row r="67" ht="12.6" customHeight="1">
      <c r="A67" s="381" t="n">
        <v>35</v>
      </c>
      <c r="B67" s="356" t="inlineStr">
        <is>
          <t>Restanten bepalen Diepvries: onderscheid maken tussen navulling en restant</t>
        </is>
      </c>
      <c r="C67" s="357" t="inlineStr">
        <is>
          <t>dv</t>
        </is>
      </c>
      <c r="D67" s="584" t="inlineStr">
        <is>
          <t>geplande taak</t>
        </is>
      </c>
      <c r="E67" s="1075" t="n"/>
      <c r="F67" s="360" t="inlineStr">
        <is>
          <t>v</t>
        </is>
      </c>
      <c r="G67" s="358" t="inlineStr">
        <is>
          <t>v</t>
        </is>
      </c>
      <c r="H67" s="358" t="inlineStr">
        <is>
          <t>v</t>
        </is>
      </c>
      <c r="I67" s="358" t="inlineStr">
        <is>
          <t>v</t>
        </is>
      </c>
      <c r="J67" s="358" t="inlineStr">
        <is>
          <t>v</t>
        </is>
      </c>
      <c r="K67" s="358" t="inlineStr">
        <is>
          <t>v</t>
        </is>
      </c>
      <c r="L67" s="361" t="inlineStr">
        <is>
          <t>v</t>
        </is>
      </c>
      <c r="M67" s="548" t="n"/>
      <c r="N67" s="546" t="n"/>
      <c r="O67" s="546" t="n"/>
      <c r="P67" s="546" t="n"/>
      <c r="Q67" s="546" t="n"/>
      <c r="R67" s="546" t="n"/>
      <c r="S67" s="547" t="n"/>
      <c r="T67" s="349" t="n"/>
      <c r="U67" s="335" t="n"/>
      <c r="V67" s="335" t="n"/>
      <c r="W67" s="335" t="n"/>
      <c r="X67" s="335" t="n"/>
      <c r="Y67" s="335" t="n"/>
      <c r="Z67" s="336" t="n"/>
    </row>
    <row r="68" ht="12.6" customHeight="1">
      <c r="A68" s="381" t="n">
        <v>36</v>
      </c>
      <c r="B68" s="356" t="inlineStr">
        <is>
          <t>Vulshiftpraatje Diepvries</t>
        </is>
      </c>
      <c r="C68" s="357" t="inlineStr">
        <is>
          <t>dv</t>
        </is>
      </c>
      <c r="D68" s="584" t="inlineStr">
        <is>
          <t>geplande taak</t>
        </is>
      </c>
      <c r="E68" s="1076">
        <f>-1*(1/(48*6))</f>
        <v/>
      </c>
      <c r="F68" s="360" t="inlineStr">
        <is>
          <t>v</t>
        </is>
      </c>
      <c r="G68" s="358" t="inlineStr">
        <is>
          <t>v</t>
        </is>
      </c>
      <c r="H68" s="358" t="inlineStr">
        <is>
          <t>v</t>
        </is>
      </c>
      <c r="I68" s="358" t="inlineStr">
        <is>
          <t>v</t>
        </is>
      </c>
      <c r="J68" s="358" t="inlineStr">
        <is>
          <t>v</t>
        </is>
      </c>
      <c r="K68" s="358" t="inlineStr">
        <is>
          <t>v</t>
        </is>
      </c>
      <c r="L68" s="361" t="inlineStr">
        <is>
          <t>v</t>
        </is>
      </c>
      <c r="M68" s="543" t="n"/>
      <c r="N68" s="544" t="n"/>
      <c r="O68" s="544" t="n"/>
      <c r="P68" s="544" t="n"/>
      <c r="Q68" s="544" t="n"/>
      <c r="R68" s="544" t="n"/>
      <c r="S68" s="545" t="n"/>
      <c r="T68" s="349" t="n"/>
      <c r="U68" s="335" t="n"/>
      <c r="V68" s="335" t="n"/>
      <c r="W68" s="335" t="n"/>
      <c r="X68" s="335" t="n"/>
      <c r="Y68" s="335" t="n"/>
      <c r="Z68" s="336" t="n"/>
    </row>
    <row r="69" ht="12.6" customHeight="1">
      <c r="A69" s="381" t="n">
        <v>37</v>
      </c>
      <c r="B69" s="356" t="inlineStr">
        <is>
          <t>Hardlopers bijvullen (Wink)</t>
        </is>
      </c>
      <c r="C69" s="357" t="inlineStr">
        <is>
          <t>hl</t>
        </is>
      </c>
      <c r="D69" s="584" t="inlineStr">
        <is>
          <t>geplande taak</t>
        </is>
      </c>
      <c r="E69" s="1075" t="n"/>
      <c r="F69" s="360" t="inlineStr">
        <is>
          <t>v</t>
        </is>
      </c>
      <c r="G69" s="358" t="inlineStr">
        <is>
          <t>v</t>
        </is>
      </c>
      <c r="H69" s="358" t="inlineStr">
        <is>
          <t>v</t>
        </is>
      </c>
      <c r="I69" s="358" t="inlineStr">
        <is>
          <t>v</t>
        </is>
      </c>
      <c r="J69" s="358" t="inlineStr">
        <is>
          <t>v</t>
        </is>
      </c>
      <c r="K69" s="358" t="inlineStr">
        <is>
          <t>v</t>
        </is>
      </c>
      <c r="L69" s="361" t="inlineStr">
        <is>
          <t>v</t>
        </is>
      </c>
      <c r="M69" s="543" t="n"/>
      <c r="N69" s="544" t="n"/>
      <c r="O69" s="544" t="n"/>
      <c r="P69" s="544" t="n"/>
      <c r="Q69" s="544" t="n"/>
      <c r="R69" s="544" t="n"/>
      <c r="S69" s="545" t="n"/>
      <c r="T69" s="349" t="n"/>
      <c r="U69" s="335" t="n"/>
      <c r="V69" s="335" t="n"/>
      <c r="W69" s="335" t="n"/>
      <c r="X69" s="335" t="n"/>
      <c r="Y69" s="335" t="n"/>
      <c r="Z69" s="336" t="n"/>
    </row>
    <row r="70" ht="12.6" customHeight="1">
      <c r="A70" s="381" t="n">
        <v>38</v>
      </c>
      <c r="B70" s="356" t="inlineStr">
        <is>
          <t>Start vulshift Houdbaar, check 'gewoon goed vullen':</t>
        </is>
      </c>
      <c r="C70" s="357" t="inlineStr">
        <is>
          <t>hv</t>
        </is>
      </c>
      <c r="D70" s="584" t="inlineStr">
        <is>
          <t>geplande taak</t>
        </is>
      </c>
      <c r="E70" s="1075" t="n"/>
      <c r="F70" s="360" t="inlineStr">
        <is>
          <t>v</t>
        </is>
      </c>
      <c r="G70" s="358" t="inlineStr">
        <is>
          <t>v</t>
        </is>
      </c>
      <c r="H70" s="358" t="inlineStr">
        <is>
          <t>v</t>
        </is>
      </c>
      <c r="I70" s="358" t="inlineStr">
        <is>
          <t>v</t>
        </is>
      </c>
      <c r="J70" s="358" t="inlineStr">
        <is>
          <t>v</t>
        </is>
      </c>
      <c r="K70" s="358" t="inlineStr">
        <is>
          <t>v</t>
        </is>
      </c>
      <c r="L70" s="361" t="inlineStr">
        <is>
          <t>v</t>
        </is>
      </c>
      <c r="M70" s="543" t="n"/>
      <c r="N70" s="544" t="n"/>
      <c r="O70" s="544" t="n"/>
      <c r="P70" s="544" t="n"/>
      <c r="Q70" s="544" t="n"/>
      <c r="R70" s="544" t="n"/>
      <c r="S70" s="545" t="n"/>
      <c r="T70" s="349" t="n"/>
      <c r="U70" s="335" t="n"/>
      <c r="V70" s="335" t="n"/>
      <c r="W70" s="335" t="n"/>
      <c r="X70" s="335" t="n"/>
      <c r="Y70" s="335" t="n"/>
      <c r="Z70" s="336" t="n"/>
    </row>
    <row r="71" ht="12.6" customHeight="1">
      <c r="A71" s="381" t="n">
        <v>39</v>
      </c>
      <c r="B71" s="356">
        <f>"   - slim stapelen op de vuldolly (meerdere colli)"</f>
        <v/>
      </c>
      <c r="C71" s="357" t="inlineStr">
        <is>
          <t>hv</t>
        </is>
      </c>
      <c r="D71" s="584" t="inlineStr">
        <is>
          <t>geplande taak</t>
        </is>
      </c>
      <c r="E71" s="1075" t="n"/>
      <c r="F71" s="360" t="inlineStr">
        <is>
          <t>v</t>
        </is>
      </c>
      <c r="G71" s="358" t="inlineStr">
        <is>
          <t>v</t>
        </is>
      </c>
      <c r="H71" s="358" t="inlineStr">
        <is>
          <t>v</t>
        </is>
      </c>
      <c r="I71" s="358" t="inlineStr">
        <is>
          <t>v</t>
        </is>
      </c>
      <c r="J71" s="358" t="inlineStr">
        <is>
          <t>v</t>
        </is>
      </c>
      <c r="K71" s="358" t="inlineStr">
        <is>
          <t>v</t>
        </is>
      </c>
      <c r="L71" s="361" t="inlineStr">
        <is>
          <t>v</t>
        </is>
      </c>
      <c r="M71" s="543" t="n"/>
      <c r="N71" s="546" t="n"/>
      <c r="O71" s="546" t="n"/>
      <c r="P71" s="546" t="n"/>
      <c r="Q71" s="546" t="n"/>
      <c r="R71" s="546" t="n"/>
      <c r="S71" s="547" t="n"/>
      <c r="T71" s="349" t="n"/>
      <c r="U71" s="335" t="n"/>
      <c r="V71" s="335" t="n"/>
      <c r="W71" s="335" t="n"/>
      <c r="X71" s="335" t="n"/>
      <c r="Y71" s="335" t="n"/>
      <c r="Z71" s="336" t="n"/>
    </row>
    <row r="72" ht="12.6" customHeight="1">
      <c r="A72" s="381" t="n">
        <v>40</v>
      </c>
      <c r="B72" s="356">
        <f>"   - vullen vanaf de dolly en met 2 handen"</f>
        <v/>
      </c>
      <c r="C72" s="357" t="inlineStr">
        <is>
          <t>hv</t>
        </is>
      </c>
      <c r="D72" s="584" t="inlineStr">
        <is>
          <t>geplande taak</t>
        </is>
      </c>
      <c r="E72" s="1075" t="n"/>
      <c r="F72" s="360" t="inlineStr">
        <is>
          <t>v</t>
        </is>
      </c>
      <c r="G72" s="358" t="inlineStr">
        <is>
          <t>v</t>
        </is>
      </c>
      <c r="H72" s="358" t="inlineStr">
        <is>
          <t>v</t>
        </is>
      </c>
      <c r="I72" s="358" t="inlineStr">
        <is>
          <t>v</t>
        </is>
      </c>
      <c r="J72" s="358" t="inlineStr">
        <is>
          <t>v</t>
        </is>
      </c>
      <c r="K72" s="358" t="inlineStr">
        <is>
          <t>v</t>
        </is>
      </c>
      <c r="L72" s="361" t="inlineStr">
        <is>
          <t>v</t>
        </is>
      </c>
      <c r="M72" s="543" t="n"/>
      <c r="N72" s="546" t="n"/>
      <c r="O72" s="546" t="n"/>
      <c r="P72" s="546" t="n"/>
      <c r="Q72" s="546" t="n"/>
      <c r="R72" s="546" t="n"/>
      <c r="S72" s="547" t="n"/>
      <c r="T72" s="349" t="n"/>
      <c r="U72" s="335" t="n"/>
      <c r="V72" s="335" t="n"/>
      <c r="W72" s="335" t="n"/>
      <c r="X72" s="335" t="n"/>
      <c r="Y72" s="335" t="n"/>
      <c r="Z72" s="336" t="n"/>
    </row>
    <row r="73" ht="12.6" customHeight="1">
      <c r="A73" s="381" t="n">
        <v>41</v>
      </c>
      <c r="B73" s="356">
        <f>"   - efficiënt vullen en in een normaal werktempo"</f>
        <v/>
      </c>
      <c r="C73" s="357" t="inlineStr">
        <is>
          <t>hv</t>
        </is>
      </c>
      <c r="D73" s="584" t="inlineStr">
        <is>
          <t>geplande taak</t>
        </is>
      </c>
      <c r="E73" s="1075" t="n"/>
      <c r="F73" s="360" t="inlineStr">
        <is>
          <t>v</t>
        </is>
      </c>
      <c r="G73" s="358" t="inlineStr">
        <is>
          <t>v</t>
        </is>
      </c>
      <c r="H73" s="358" t="inlineStr">
        <is>
          <t>v</t>
        </is>
      </c>
      <c r="I73" s="358" t="inlineStr">
        <is>
          <t>v</t>
        </is>
      </c>
      <c r="J73" s="358" t="inlineStr">
        <is>
          <t>v</t>
        </is>
      </c>
      <c r="K73" s="358" t="inlineStr">
        <is>
          <t>v</t>
        </is>
      </c>
      <c r="L73" s="361" t="inlineStr">
        <is>
          <t>v</t>
        </is>
      </c>
      <c r="M73" s="543" t="n"/>
      <c r="N73" s="546" t="n"/>
      <c r="O73" s="546" t="n"/>
      <c r="P73" s="546" t="n"/>
      <c r="Q73" s="546" t="n"/>
      <c r="R73" s="546" t="n"/>
      <c r="S73" s="547" t="n"/>
      <c r="T73" s="349" t="n"/>
      <c r="U73" s="335" t="n"/>
      <c r="V73" s="335" t="n"/>
      <c r="W73" s="335" t="n"/>
      <c r="X73" s="335" t="n"/>
      <c r="Y73" s="335" t="n"/>
      <c r="Z73" s="336" t="n"/>
    </row>
    <row r="74" ht="12.6" customHeight="1">
      <c r="A74" s="381" t="n">
        <v>42</v>
      </c>
      <c r="B74" s="356">
        <f>"   - op de juiste plek vullen met het juiste aantal facings"</f>
        <v/>
      </c>
      <c r="C74" s="357" t="inlineStr">
        <is>
          <t>hv</t>
        </is>
      </c>
      <c r="D74" s="584" t="inlineStr">
        <is>
          <t>geplande taak</t>
        </is>
      </c>
      <c r="E74" s="1075" t="n"/>
      <c r="F74" s="360" t="inlineStr">
        <is>
          <t>v</t>
        </is>
      </c>
      <c r="G74" s="358" t="inlineStr">
        <is>
          <t>v</t>
        </is>
      </c>
      <c r="H74" s="358" t="inlineStr">
        <is>
          <t>v</t>
        </is>
      </c>
      <c r="I74" s="358" t="inlineStr">
        <is>
          <t>v</t>
        </is>
      </c>
      <c r="J74" s="358" t="inlineStr">
        <is>
          <t>v</t>
        </is>
      </c>
      <c r="K74" s="358" t="inlineStr">
        <is>
          <t>v</t>
        </is>
      </c>
      <c r="L74" s="361" t="inlineStr">
        <is>
          <t>v</t>
        </is>
      </c>
      <c r="M74" s="543" t="n"/>
      <c r="N74" s="546" t="n"/>
      <c r="O74" s="546" t="n"/>
      <c r="P74" s="546" t="n"/>
      <c r="Q74" s="546" t="n"/>
      <c r="R74" s="546" t="n"/>
      <c r="S74" s="547" t="n"/>
      <c r="T74" s="349" t="n"/>
      <c r="U74" s="335" t="n"/>
      <c r="V74" s="335" t="n"/>
      <c r="W74" s="335" t="n"/>
      <c r="X74" s="335" t="n"/>
      <c r="Y74" s="335" t="n"/>
      <c r="Z74" s="336" t="n"/>
    </row>
    <row r="75" ht="12.6" customHeight="1">
      <c r="A75" s="381" t="n">
        <v>43</v>
      </c>
      <c r="B75" s="356">
        <f>"   - FIFO vullen waar het moet bij Houdbaar"</f>
        <v/>
      </c>
      <c r="C75" s="357" t="inlineStr">
        <is>
          <t>hv</t>
        </is>
      </c>
      <c r="D75" s="584" t="inlineStr">
        <is>
          <t>geplande taak</t>
        </is>
      </c>
      <c r="E75" s="1075" t="n"/>
      <c r="F75" s="360" t="inlineStr">
        <is>
          <t>v</t>
        </is>
      </c>
      <c r="G75" s="358" t="inlineStr">
        <is>
          <t>v</t>
        </is>
      </c>
      <c r="H75" s="358" t="inlineStr">
        <is>
          <t>v</t>
        </is>
      </c>
      <c r="I75" s="358" t="inlineStr">
        <is>
          <t>v</t>
        </is>
      </c>
      <c r="J75" s="358" t="inlineStr">
        <is>
          <t>v</t>
        </is>
      </c>
      <c r="K75" s="358" t="inlineStr">
        <is>
          <t>v</t>
        </is>
      </c>
      <c r="L75" s="361" t="inlineStr">
        <is>
          <t>v</t>
        </is>
      </c>
      <c r="M75" s="543" t="n"/>
      <c r="N75" s="546" t="n"/>
      <c r="O75" s="546" t="n"/>
      <c r="P75" s="546" t="n"/>
      <c r="Q75" s="546" t="n"/>
      <c r="R75" s="546" t="n"/>
      <c r="S75" s="547" t="n"/>
      <c r="T75" s="349" t="n"/>
      <c r="U75" s="335" t="n"/>
      <c r="V75" s="335" t="n"/>
      <c r="W75" s="335" t="n"/>
      <c r="X75" s="335" t="n"/>
      <c r="Y75" s="335" t="n"/>
      <c r="Z75" s="336" t="n"/>
    </row>
    <row r="76" ht="12.6" customHeight="1">
      <c r="A76" s="381" t="n">
        <v>44</v>
      </c>
      <c r="B76" s="356">
        <f>"   - check dat er geen kapotte of beschadigde artikelen achterlaten worden"</f>
        <v/>
      </c>
      <c r="C76" s="357" t="inlineStr">
        <is>
          <t>hv</t>
        </is>
      </c>
      <c r="D76" s="584" t="inlineStr">
        <is>
          <t>geplande taak</t>
        </is>
      </c>
      <c r="E76" s="1075" t="n"/>
      <c r="F76" s="360" t="inlineStr">
        <is>
          <t>v</t>
        </is>
      </c>
      <c r="G76" s="358" t="inlineStr">
        <is>
          <t>v</t>
        </is>
      </c>
      <c r="H76" s="358" t="inlineStr">
        <is>
          <t>v</t>
        </is>
      </c>
      <c r="I76" s="358" t="inlineStr">
        <is>
          <t>v</t>
        </is>
      </c>
      <c r="J76" s="358" t="inlineStr">
        <is>
          <t>v</t>
        </is>
      </c>
      <c r="K76" s="358" t="inlineStr">
        <is>
          <t>v</t>
        </is>
      </c>
      <c r="L76" s="361" t="inlineStr">
        <is>
          <t>v</t>
        </is>
      </c>
      <c r="M76" s="543" t="n"/>
      <c r="N76" s="546" t="n"/>
      <c r="O76" s="546" t="n"/>
      <c r="P76" s="546" t="n"/>
      <c r="Q76" s="546" t="n"/>
      <c r="R76" s="546" t="n"/>
      <c r="S76" s="547" t="n"/>
      <c r="T76" s="349" t="n"/>
      <c r="U76" s="335" t="n"/>
      <c r="V76" s="335" t="n"/>
      <c r="W76" s="335" t="n"/>
      <c r="X76" s="335" t="n"/>
      <c r="Y76" s="335" t="n"/>
      <c r="Z76" s="336" t="n"/>
    </row>
    <row r="77" ht="12.6" customHeight="1">
      <c r="A77" s="381" t="n">
        <v>45</v>
      </c>
      <c r="B77" s="356" t="inlineStr">
        <is>
          <t>Restanten bepalen Houdbaar: zet deze op de juiste stapel</t>
        </is>
      </c>
      <c r="C77" s="357" t="inlineStr">
        <is>
          <t>hv</t>
        </is>
      </c>
      <c r="D77" s="584" t="inlineStr">
        <is>
          <t>geplande taak</t>
        </is>
      </c>
      <c r="E77" s="1075" t="n"/>
      <c r="F77" s="360" t="inlineStr">
        <is>
          <t>v</t>
        </is>
      </c>
      <c r="G77" s="358" t="inlineStr">
        <is>
          <t>v</t>
        </is>
      </c>
      <c r="H77" s="358" t="inlineStr">
        <is>
          <t>v</t>
        </is>
      </c>
      <c r="I77" s="358" t="inlineStr">
        <is>
          <t>v</t>
        </is>
      </c>
      <c r="J77" s="358" t="inlineStr">
        <is>
          <t>v</t>
        </is>
      </c>
      <c r="K77" s="358" t="inlineStr">
        <is>
          <t>v</t>
        </is>
      </c>
      <c r="L77" s="361" t="inlineStr">
        <is>
          <t>v</t>
        </is>
      </c>
      <c r="M77" s="548" t="n"/>
      <c r="N77" s="546" t="n"/>
      <c r="O77" s="546" t="n"/>
      <c r="P77" s="546" t="n"/>
      <c r="Q77" s="546" t="n"/>
      <c r="R77" s="546" t="n"/>
      <c r="S77" s="547" t="n"/>
      <c r="T77" s="349" t="n"/>
      <c r="U77" s="335" t="n"/>
      <c r="V77" s="335" t="n"/>
      <c r="W77" s="335" t="n"/>
      <c r="X77" s="335" t="n"/>
      <c r="Y77" s="335" t="n"/>
      <c r="Z77" s="336" t="n"/>
    </row>
    <row r="78" ht="12.6" customHeight="1">
      <c r="A78" s="381" t="n">
        <v>46</v>
      </c>
      <c r="B78" s="356" t="inlineStr">
        <is>
          <t>Vulshiftpraatje Houdbaar</t>
        </is>
      </c>
      <c r="C78" s="357" t="inlineStr">
        <is>
          <t>hv</t>
        </is>
      </c>
      <c r="D78" s="584" t="inlineStr">
        <is>
          <t>geplande taak</t>
        </is>
      </c>
      <c r="E78" s="1076">
        <f>-1*(1/(48*6))</f>
        <v/>
      </c>
      <c r="F78" s="360" t="inlineStr">
        <is>
          <t>v</t>
        </is>
      </c>
      <c r="G78" s="358" t="inlineStr">
        <is>
          <t>v</t>
        </is>
      </c>
      <c r="H78" s="358" t="inlineStr">
        <is>
          <t>v</t>
        </is>
      </c>
      <c r="I78" s="358" t="inlineStr">
        <is>
          <t>v</t>
        </is>
      </c>
      <c r="J78" s="358" t="inlineStr">
        <is>
          <t>v</t>
        </is>
      </c>
      <c r="K78" s="358" t="inlineStr">
        <is>
          <t>v</t>
        </is>
      </c>
      <c r="L78" s="361" t="inlineStr">
        <is>
          <t>v</t>
        </is>
      </c>
      <c r="M78" s="543" t="n"/>
      <c r="N78" s="544" t="n"/>
      <c r="O78" s="544" t="n"/>
      <c r="P78" s="544" t="n"/>
      <c r="Q78" s="544" t="n"/>
      <c r="R78" s="544" t="n"/>
      <c r="S78" s="545" t="n"/>
      <c r="T78" s="349" t="n"/>
      <c r="U78" s="335" t="n"/>
      <c r="V78" s="335" t="n"/>
      <c r="W78" s="335" t="n"/>
      <c r="X78" s="335" t="n"/>
      <c r="Y78" s="335" t="n"/>
      <c r="Z78" s="336" t="n"/>
    </row>
    <row r="79" ht="12.6" customHeight="1">
      <c r="A79" s="381" t="n">
        <v>47</v>
      </c>
      <c r="B79" s="356" t="inlineStr">
        <is>
          <t>Check of het werkschema in Schoon kwalitatief juist is ingevoerd</t>
        </is>
      </c>
      <c r="C79" s="357" t="inlineStr">
        <is>
          <t>km</t>
        </is>
      </c>
      <c r="D79" s="584" t="inlineStr">
        <is>
          <t>geplande taak</t>
        </is>
      </c>
      <c r="E79" s="1075" t="n">
        <v>0.02083333333333333</v>
      </c>
      <c r="F79" s="360" t="inlineStr">
        <is>
          <t>v</t>
        </is>
      </c>
      <c r="G79" s="358" t="inlineStr">
        <is>
          <t>v</t>
        </is>
      </c>
      <c r="H79" s="358" t="inlineStr">
        <is>
          <t>v</t>
        </is>
      </c>
      <c r="I79" s="358" t="inlineStr">
        <is>
          <t>v</t>
        </is>
      </c>
      <c r="J79" s="358" t="inlineStr">
        <is>
          <t>v</t>
        </is>
      </c>
      <c r="K79" s="358" t="inlineStr">
        <is>
          <t>v</t>
        </is>
      </c>
      <c r="L79" s="361" t="inlineStr">
        <is>
          <t>v</t>
        </is>
      </c>
      <c r="M79" s="548" t="n"/>
      <c r="N79" s="546" t="n"/>
      <c r="O79" s="546" t="n"/>
      <c r="P79" s="546" t="n"/>
      <c r="Q79" s="546" t="n"/>
      <c r="R79" s="546" t="n"/>
      <c r="S79" s="547" t="n"/>
      <c r="T79" s="349" t="n"/>
      <c r="U79" s="335" t="n"/>
      <c r="V79" s="335" t="n"/>
      <c r="W79" s="335" t="n"/>
      <c r="X79" s="335" t="n"/>
      <c r="Y79" s="335" t="n"/>
      <c r="Z79" s="336" t="n"/>
    </row>
    <row r="80" ht="12.6" customHeight="1">
      <c r="A80" s="381" t="n">
        <v>48</v>
      </c>
      <c r="B80" s="356" t="inlineStr">
        <is>
          <t>Check en coaching van de het ELF retouren proces</t>
        </is>
      </c>
      <c r="C80" s="357" t="inlineStr">
        <is>
          <t>l</t>
        </is>
      </c>
      <c r="D80" s="584" t="inlineStr">
        <is>
          <t>geplande taak</t>
        </is>
      </c>
      <c r="E80" s="1075" t="n">
        <v>0.02083333333333333</v>
      </c>
      <c r="F80" s="360" t="inlineStr">
        <is>
          <t>v</t>
        </is>
      </c>
      <c r="G80" s="358" t="inlineStr">
        <is>
          <t>v</t>
        </is>
      </c>
      <c r="H80" s="358" t="inlineStr">
        <is>
          <t>v</t>
        </is>
      </c>
      <c r="I80" s="358" t="inlineStr">
        <is>
          <t>v</t>
        </is>
      </c>
      <c r="J80" s="358" t="inlineStr">
        <is>
          <t>v</t>
        </is>
      </c>
      <c r="K80" s="358" t="inlineStr">
        <is>
          <t>v</t>
        </is>
      </c>
      <c r="L80" s="361" t="inlineStr">
        <is>
          <t>v</t>
        </is>
      </c>
      <c r="M80" s="543" t="n"/>
      <c r="N80" s="544" t="n"/>
      <c r="O80" s="544" t="n"/>
      <c r="P80" s="544" t="n"/>
      <c r="Q80" s="544" t="n"/>
      <c r="R80" s="544" t="n"/>
      <c r="S80" s="545" t="n"/>
      <c r="T80" s="349" t="n"/>
      <c r="U80" s="335" t="n"/>
      <c r="V80" s="335" t="n"/>
      <c r="W80" s="335" t="n"/>
      <c r="X80" s="335" t="n"/>
      <c r="Y80" s="335" t="n"/>
      <c r="Z80" s="336" t="n"/>
    </row>
    <row r="81" ht="12.6" customHeight="1">
      <c r="A81" s="381" t="n">
        <v>49</v>
      </c>
      <c r="B81" s="356" t="inlineStr">
        <is>
          <t>Nee-verkoop Diepvries lopen (0-1 vakken)</t>
        </is>
      </c>
      <c r="C81" s="357" t="inlineStr">
        <is>
          <t>ldv</t>
        </is>
      </c>
      <c r="D81" s="584" t="inlineStr">
        <is>
          <t>geplande taak</t>
        </is>
      </c>
      <c r="E81" s="1075" t="n"/>
      <c r="F81" s="360" t="inlineStr">
        <is>
          <t>v</t>
        </is>
      </c>
      <c r="G81" s="358" t="inlineStr">
        <is>
          <t>v</t>
        </is>
      </c>
      <c r="H81" s="358" t="inlineStr">
        <is>
          <t>v</t>
        </is>
      </c>
      <c r="I81" s="358" t="inlineStr">
        <is>
          <t>v</t>
        </is>
      </c>
      <c r="J81" s="358" t="inlineStr">
        <is>
          <t>v</t>
        </is>
      </c>
      <c r="K81" s="358" t="inlineStr">
        <is>
          <t>v</t>
        </is>
      </c>
      <c r="L81" s="361" t="inlineStr">
        <is>
          <t>v</t>
        </is>
      </c>
      <c r="M81" s="543" t="n"/>
      <c r="N81" s="544" t="n"/>
      <c r="O81" s="544" t="n"/>
      <c r="P81" s="544" t="n"/>
      <c r="Q81" s="544" t="n"/>
      <c r="R81" s="544" t="n"/>
      <c r="S81" s="545" t="n"/>
      <c r="T81" s="349" t="n"/>
      <c r="U81" s="335" t="n"/>
      <c r="V81" s="335" t="n"/>
      <c r="W81" s="335" t="n"/>
      <c r="X81" s="335" t="n"/>
      <c r="Y81" s="335" t="n"/>
      <c r="Z81" s="336" t="n"/>
    </row>
    <row r="82" ht="12.6" customHeight="1">
      <c r="A82" s="381" t="n">
        <v>50</v>
      </c>
      <c r="B82" s="356" t="inlineStr">
        <is>
          <t>Nee-verkoop Houdbaar lopen (0-1 vakken)</t>
        </is>
      </c>
      <c r="C82" s="357" t="inlineStr">
        <is>
          <t>lhb</t>
        </is>
      </c>
      <c r="D82" s="584" t="inlineStr">
        <is>
          <t>geplande taak</t>
        </is>
      </c>
      <c r="E82" s="1075" t="n"/>
      <c r="F82" s="360" t="inlineStr">
        <is>
          <t>v</t>
        </is>
      </c>
      <c r="G82" s="358" t="inlineStr">
        <is>
          <t>v</t>
        </is>
      </c>
      <c r="H82" s="358" t="inlineStr">
        <is>
          <t>v</t>
        </is>
      </c>
      <c r="I82" s="358" t="inlineStr">
        <is>
          <t>v</t>
        </is>
      </c>
      <c r="J82" s="358" t="inlineStr">
        <is>
          <t>v</t>
        </is>
      </c>
      <c r="K82" s="358" t="inlineStr">
        <is>
          <t>v</t>
        </is>
      </c>
      <c r="L82" s="361" t="inlineStr">
        <is>
          <t>v</t>
        </is>
      </c>
      <c r="M82" s="543" t="n"/>
      <c r="N82" s="544" t="n"/>
      <c r="O82" s="544" t="n"/>
      <c r="P82" s="544" t="n"/>
      <c r="Q82" s="544" t="n"/>
      <c r="R82" s="544" t="n"/>
      <c r="S82" s="545" t="n"/>
      <c r="T82" s="349" t="n"/>
      <c r="U82" s="335" t="n"/>
      <c r="V82" s="335" t="n"/>
      <c r="W82" s="335" t="n"/>
      <c r="X82" s="335" t="n"/>
      <c r="Y82" s="335" t="n"/>
      <c r="Z82" s="336" t="n"/>
    </row>
    <row r="83" ht="12.6" customHeight="1">
      <c r="A83" s="381" t="n">
        <v>51</v>
      </c>
      <c r="B83" s="356" t="inlineStr">
        <is>
          <t>Nee-verkoop kortcodig Vers (enkel 0 vakken)</t>
        </is>
      </c>
      <c r="C83" s="357" t="inlineStr">
        <is>
          <t>lvv</t>
        </is>
      </c>
      <c r="D83" s="584" t="inlineStr">
        <is>
          <t>geplande taak</t>
        </is>
      </c>
      <c r="E83" s="1075" t="n"/>
      <c r="F83" s="360" t="inlineStr">
        <is>
          <t>v</t>
        </is>
      </c>
      <c r="G83" s="358" t="inlineStr">
        <is>
          <t>v</t>
        </is>
      </c>
      <c r="H83" s="358" t="inlineStr">
        <is>
          <t>v</t>
        </is>
      </c>
      <c r="I83" s="358" t="inlineStr">
        <is>
          <t>v</t>
        </is>
      </c>
      <c r="J83" s="358" t="inlineStr">
        <is>
          <t>v</t>
        </is>
      </c>
      <c r="K83" s="358" t="inlineStr">
        <is>
          <t>v</t>
        </is>
      </c>
      <c r="L83" s="361" t="inlineStr">
        <is>
          <t>v</t>
        </is>
      </c>
      <c r="M83" s="543" t="n"/>
      <c r="N83" s="544" t="n"/>
      <c r="O83" s="544" t="n"/>
      <c r="P83" s="544" t="n"/>
      <c r="Q83" s="544" t="n"/>
      <c r="R83" s="544" t="n"/>
      <c r="S83" s="545" t="n"/>
      <c r="T83" s="349" t="n"/>
      <c r="U83" s="335" t="n"/>
      <c r="V83" s="335" t="n"/>
      <c r="W83" s="335" t="n"/>
      <c r="X83" s="335" t="n"/>
      <c r="Y83" s="335" t="n"/>
      <c r="Z83" s="336" t="n"/>
    </row>
    <row r="84" ht="12.6" customHeight="1">
      <c r="A84" s="381" t="n">
        <v>52</v>
      </c>
      <c r="B84" s="356" t="inlineStr">
        <is>
          <t>Nee-verkoop langcodig Vers (enkel 0-1 vakken)</t>
        </is>
      </c>
      <c r="C84" s="357" t="inlineStr">
        <is>
          <t>lvv</t>
        </is>
      </c>
      <c r="D84" s="584" t="inlineStr">
        <is>
          <t>geplande taak</t>
        </is>
      </c>
      <c r="E84" s="1075" t="n"/>
      <c r="F84" s="360" t="inlineStr">
        <is>
          <t>v</t>
        </is>
      </c>
      <c r="G84" s="358" t="inlineStr">
        <is>
          <t>v</t>
        </is>
      </c>
      <c r="H84" s="358" t="inlineStr">
        <is>
          <t>v</t>
        </is>
      </c>
      <c r="I84" s="358" t="inlineStr">
        <is>
          <t>v</t>
        </is>
      </c>
      <c r="J84" s="358" t="inlineStr">
        <is>
          <t>v</t>
        </is>
      </c>
      <c r="K84" s="358" t="inlineStr">
        <is>
          <t>v</t>
        </is>
      </c>
      <c r="L84" s="361" t="inlineStr">
        <is>
          <t>v</t>
        </is>
      </c>
      <c r="M84" s="548" t="n"/>
      <c r="N84" s="546" t="n"/>
      <c r="O84" s="546" t="n"/>
      <c r="P84" s="546" t="n"/>
      <c r="Q84" s="546" t="n"/>
      <c r="R84" s="546" t="n"/>
      <c r="S84" s="547" t="n"/>
      <c r="T84" s="349" t="n"/>
      <c r="U84" s="335" t="n"/>
      <c r="V84" s="335" t="n"/>
      <c r="W84" s="335" t="n"/>
      <c r="X84" s="335" t="n"/>
      <c r="Y84" s="335" t="n"/>
      <c r="Z84" s="336" t="n"/>
    </row>
    <row r="85" ht="12.6" customHeight="1">
      <c r="A85" s="381" t="n">
        <v>53</v>
      </c>
      <c r="B85" s="356" t="inlineStr">
        <is>
          <t>Checken VRO-materialen bestelling met medewerker magazijn</t>
        </is>
      </c>
      <c r="C85" s="357" t="inlineStr">
        <is>
          <t>ma</t>
        </is>
      </c>
      <c r="D85" s="584" t="inlineStr">
        <is>
          <t>geplande taak</t>
        </is>
      </c>
      <c r="E85" s="1075" t="n"/>
      <c r="F85" s="360" t="n"/>
      <c r="G85" s="358" t="n"/>
      <c r="H85" s="358" t="n"/>
      <c r="I85" s="358" t="inlineStr">
        <is>
          <t>v</t>
        </is>
      </c>
      <c r="J85" s="358" t="n"/>
      <c r="K85" s="358" t="n"/>
      <c r="L85" s="361" t="n"/>
      <c r="M85" s="543" t="n"/>
      <c r="N85" s="544" t="n"/>
      <c r="O85" s="544" t="n"/>
      <c r="P85" s="544" t="n"/>
      <c r="Q85" s="544" t="n"/>
      <c r="R85" s="544" t="n"/>
      <c r="S85" s="545" t="n"/>
      <c r="T85" s="349" t="n"/>
      <c r="U85" s="335" t="n"/>
      <c r="V85" s="335" t="n"/>
      <c r="W85" s="335" t="n"/>
      <c r="X85" s="335" t="n"/>
      <c r="Y85" s="335" t="n"/>
      <c r="Z85" s="336" t="n"/>
    </row>
    <row r="86" ht="12.6" customHeight="1">
      <c r="A86" s="381" t="n">
        <v>54</v>
      </c>
      <c r="B86" s="356" t="inlineStr">
        <is>
          <t>MT-overleg</t>
        </is>
      </c>
      <c r="C86" s="357" t="inlineStr">
        <is>
          <t>mt</t>
        </is>
      </c>
      <c r="D86" s="584" t="inlineStr">
        <is>
          <t>geplande taak</t>
        </is>
      </c>
      <c r="E86" s="1075" t="n"/>
      <c r="F86" s="360" t="inlineStr">
        <is>
          <t>v</t>
        </is>
      </c>
      <c r="G86" s="358" t="inlineStr">
        <is>
          <t>v</t>
        </is>
      </c>
      <c r="H86" s="358" t="n"/>
      <c r="I86" s="358" t="n"/>
      <c r="J86" s="358" t="n"/>
      <c r="K86" s="358" t="n"/>
      <c r="L86" s="361" t="n"/>
      <c r="M86" s="543" t="n"/>
      <c r="N86" s="544" t="n"/>
      <c r="O86" s="544" t="n"/>
      <c r="P86" s="544" t="n"/>
      <c r="Q86" s="544" t="n"/>
      <c r="R86" s="544" t="n"/>
      <c r="S86" s="545" t="n"/>
      <c r="T86" s="349" t="n"/>
      <c r="U86" s="335" t="n"/>
      <c r="V86" s="335" t="n"/>
      <c r="W86" s="335" t="n"/>
      <c r="X86" s="335" t="n"/>
      <c r="Y86" s="335" t="n"/>
      <c r="Z86" s="336" t="n"/>
    </row>
    <row r="87" ht="12.6" customHeight="1">
      <c r="A87" s="381" t="n">
        <v>55</v>
      </c>
      <c r="B87" s="356" t="inlineStr">
        <is>
          <t>Check uitvoering navulling Diepvries</t>
        </is>
      </c>
      <c r="C87" s="357" t="inlineStr">
        <is>
          <t>nd</t>
        </is>
      </c>
      <c r="D87" s="584" t="inlineStr">
        <is>
          <t>geplande taak</t>
        </is>
      </c>
      <c r="E87" s="1075" t="n">
        <v>0.02083333333333333</v>
      </c>
      <c r="F87" s="360" t="inlineStr">
        <is>
          <t>v</t>
        </is>
      </c>
      <c r="G87" s="358" t="inlineStr">
        <is>
          <t>v</t>
        </is>
      </c>
      <c r="H87" s="358" t="inlineStr">
        <is>
          <t>v</t>
        </is>
      </c>
      <c r="I87" s="358" t="inlineStr">
        <is>
          <t>v</t>
        </is>
      </c>
      <c r="J87" s="358" t="inlineStr">
        <is>
          <t>v</t>
        </is>
      </c>
      <c r="K87" s="358" t="inlineStr">
        <is>
          <t>v</t>
        </is>
      </c>
      <c r="L87" s="361" t="inlineStr">
        <is>
          <t>v</t>
        </is>
      </c>
      <c r="M87" s="543" t="n"/>
      <c r="N87" s="544" t="n"/>
      <c r="O87" s="544" t="n"/>
      <c r="P87" s="544" t="n"/>
      <c r="Q87" s="544" t="n"/>
      <c r="R87" s="544" t="n"/>
      <c r="S87" s="545" t="n"/>
      <c r="T87" s="349" t="n"/>
      <c r="U87" s="335" t="n"/>
      <c r="V87" s="335" t="n"/>
      <c r="W87" s="335" t="n"/>
      <c r="X87" s="335" t="n"/>
      <c r="Y87" s="335" t="n"/>
      <c r="Z87" s="336" t="n"/>
    </row>
    <row r="88" ht="12.6" customHeight="1">
      <c r="A88" s="381" t="n">
        <v>56</v>
      </c>
      <c r="B88" s="356" t="inlineStr">
        <is>
          <t>CKW-overleg</t>
        </is>
      </c>
      <c r="C88" s="357" t="inlineStr">
        <is>
          <t>nd</t>
        </is>
      </c>
      <c r="D88" s="584" t="inlineStr">
        <is>
          <t>geplande taak</t>
        </is>
      </c>
      <c r="E88" s="1075" t="n"/>
      <c r="F88" s="360" t="n"/>
      <c r="G88" s="358" t="n"/>
      <c r="H88" s="358" t="inlineStr">
        <is>
          <t>v</t>
        </is>
      </c>
      <c r="I88" s="358" t="inlineStr">
        <is>
          <t>v</t>
        </is>
      </c>
      <c r="J88" s="358" t="inlineStr">
        <is>
          <t>v</t>
        </is>
      </c>
      <c r="K88" s="358" t="n"/>
      <c r="L88" s="361" t="n"/>
      <c r="M88" s="543" t="n"/>
      <c r="N88" s="544" t="n"/>
      <c r="O88" s="544" t="n"/>
      <c r="P88" s="544" t="n"/>
      <c r="Q88" s="544" t="n"/>
      <c r="R88" s="544" t="n"/>
      <c r="S88" s="545" t="n"/>
      <c r="T88" s="349" t="n"/>
      <c r="U88" s="335" t="n"/>
      <c r="V88" s="335" t="n"/>
      <c r="W88" s="335" t="n"/>
      <c r="X88" s="335" t="n"/>
      <c r="Y88" s="335" t="n"/>
      <c r="Z88" s="336" t="n"/>
    </row>
    <row r="89" ht="12.6" customHeight="1">
      <c r="A89" s="381" t="n">
        <v>57</v>
      </c>
      <c r="B89" s="356" t="inlineStr">
        <is>
          <t>Check uitvoering navullen Houdbaar</t>
        </is>
      </c>
      <c r="C89" s="357" t="inlineStr">
        <is>
          <t>nh</t>
        </is>
      </c>
      <c r="D89" s="584" t="inlineStr">
        <is>
          <t>geplande taak</t>
        </is>
      </c>
      <c r="E89" s="1075" t="n">
        <v>0.02083333333333333</v>
      </c>
      <c r="F89" s="360" t="inlineStr">
        <is>
          <t>v</t>
        </is>
      </c>
      <c r="G89" s="358" t="inlineStr">
        <is>
          <t>v</t>
        </is>
      </c>
      <c r="H89" s="358" t="inlineStr">
        <is>
          <t>v</t>
        </is>
      </c>
      <c r="I89" s="358" t="inlineStr">
        <is>
          <t>v</t>
        </is>
      </c>
      <c r="J89" s="358" t="inlineStr">
        <is>
          <t>v</t>
        </is>
      </c>
      <c r="K89" s="358" t="inlineStr">
        <is>
          <t>v</t>
        </is>
      </c>
      <c r="L89" s="361" t="inlineStr">
        <is>
          <t>v</t>
        </is>
      </c>
      <c r="M89" s="543" t="n"/>
      <c r="N89" s="544" t="n"/>
      <c r="O89" s="544" t="n"/>
      <c r="P89" s="544" t="n"/>
      <c r="Q89" s="544" t="n"/>
      <c r="R89" s="544" t="n"/>
      <c r="S89" s="545" t="n"/>
      <c r="T89" s="349" t="n"/>
      <c r="U89" s="335" t="n"/>
      <c r="V89" s="335" t="n"/>
      <c r="W89" s="335" t="n"/>
      <c r="X89" s="335" t="n"/>
      <c r="Y89" s="335" t="n"/>
      <c r="Z89" s="336" t="n"/>
    </row>
    <row r="90" ht="12.6" customHeight="1">
      <c r="A90" s="381" t="n">
        <v>58</v>
      </c>
      <c r="B90" s="356" t="inlineStr">
        <is>
          <t>Check uitvoering naloopronde Houdbaar, Vers en Diepvries (Wink)</t>
        </is>
      </c>
      <c r="C90" s="357" t="inlineStr">
        <is>
          <t>nr</t>
        </is>
      </c>
      <c r="D90" s="584" t="inlineStr">
        <is>
          <t>geplande taak</t>
        </is>
      </c>
      <c r="E90" s="1075" t="n">
        <v>0.02083333333333333</v>
      </c>
      <c r="F90" s="360" t="inlineStr">
        <is>
          <t>v</t>
        </is>
      </c>
      <c r="G90" s="358" t="inlineStr">
        <is>
          <t>v</t>
        </is>
      </c>
      <c r="H90" s="358" t="inlineStr">
        <is>
          <t>v</t>
        </is>
      </c>
      <c r="I90" s="358" t="inlineStr">
        <is>
          <t>v</t>
        </is>
      </c>
      <c r="J90" s="358" t="inlineStr">
        <is>
          <t>v</t>
        </is>
      </c>
      <c r="K90" s="358" t="inlineStr">
        <is>
          <t>v</t>
        </is>
      </c>
      <c r="L90" s="361" t="inlineStr">
        <is>
          <t>v</t>
        </is>
      </c>
      <c r="M90" s="543" t="n"/>
      <c r="N90" s="544" t="n"/>
      <c r="O90" s="544" t="n"/>
      <c r="P90" s="544" t="n"/>
      <c r="Q90" s="544" t="n"/>
      <c r="R90" s="544" t="n"/>
      <c r="S90" s="545" t="n"/>
      <c r="T90" s="349" t="n"/>
      <c r="U90" s="335" t="n"/>
      <c r="V90" s="335" t="n"/>
      <c r="W90" s="335" t="n"/>
      <c r="X90" s="335" t="n"/>
      <c r="Y90" s="335" t="n"/>
      <c r="Z90" s="336" t="n"/>
    </row>
    <row r="91" ht="12.6" customHeight="1">
      <c r="A91" s="381" t="n">
        <v>59</v>
      </c>
      <c r="B91" s="356" t="inlineStr">
        <is>
          <t>Check uitvoering navullen Vers</t>
        </is>
      </c>
      <c r="C91" s="357" t="inlineStr">
        <is>
          <t>nv</t>
        </is>
      </c>
      <c r="D91" s="584" t="inlineStr">
        <is>
          <t>geplande taak</t>
        </is>
      </c>
      <c r="E91" s="1075" t="n">
        <v>0.02083333333333333</v>
      </c>
      <c r="F91" s="360" t="inlineStr">
        <is>
          <t>v</t>
        </is>
      </c>
      <c r="G91" s="358" t="inlineStr">
        <is>
          <t>v</t>
        </is>
      </c>
      <c r="H91" s="358" t="inlineStr">
        <is>
          <t>v</t>
        </is>
      </c>
      <c r="I91" s="358" t="inlineStr">
        <is>
          <t>v</t>
        </is>
      </c>
      <c r="J91" s="358" t="inlineStr">
        <is>
          <t>v</t>
        </is>
      </c>
      <c r="K91" s="358" t="inlineStr">
        <is>
          <t>v</t>
        </is>
      </c>
      <c r="L91" s="361" t="inlineStr">
        <is>
          <t>v</t>
        </is>
      </c>
      <c r="M91" s="543" t="n"/>
      <c r="N91" s="544" t="n"/>
      <c r="O91" s="544" t="n"/>
      <c r="P91" s="544" t="n"/>
      <c r="Q91" s="544" t="n"/>
      <c r="R91" s="544" t="n"/>
      <c r="S91" s="545" t="n"/>
      <c r="T91" s="349" t="n"/>
      <c r="U91" s="335" t="n"/>
      <c r="V91" s="335" t="n"/>
      <c r="W91" s="335" t="n"/>
      <c r="X91" s="335" t="n"/>
      <c r="Y91" s="335" t="n"/>
      <c r="Z91" s="336" t="n"/>
    </row>
    <row r="92" ht="12.6" customHeight="1">
      <c r="A92" s="381" t="n">
        <v>60</v>
      </c>
      <c r="B92" s="356" t="inlineStr">
        <is>
          <t>Check uitvoering ophangen promotie (DW Instore en Bonuskaartjes)</t>
        </is>
      </c>
      <c r="C92" s="357" t="inlineStr">
        <is>
          <t>pro</t>
        </is>
      </c>
      <c r="D92" s="584" t="inlineStr">
        <is>
          <t>geplande taak</t>
        </is>
      </c>
      <c r="E92" s="1075" t="n">
        <v>0.02083333333333333</v>
      </c>
      <c r="F92" s="360" t="inlineStr">
        <is>
          <t>v</t>
        </is>
      </c>
      <c r="G92" s="358" t="inlineStr">
        <is>
          <t>v</t>
        </is>
      </c>
      <c r="H92" s="358" t="inlineStr">
        <is>
          <t>v</t>
        </is>
      </c>
      <c r="I92" s="358" t="inlineStr">
        <is>
          <t>v</t>
        </is>
      </c>
      <c r="J92" s="358" t="inlineStr">
        <is>
          <t>v</t>
        </is>
      </c>
      <c r="K92" s="358" t="inlineStr">
        <is>
          <t>v</t>
        </is>
      </c>
      <c r="L92" s="361" t="inlineStr">
        <is>
          <t>v</t>
        </is>
      </c>
      <c r="M92" s="543" t="n"/>
      <c r="N92" s="544" t="n"/>
      <c r="O92" s="544" t="n"/>
      <c r="P92" s="544" t="n"/>
      <c r="Q92" s="544" t="n"/>
      <c r="R92" s="544" t="n"/>
      <c r="S92" s="545" t="n"/>
      <c r="T92" s="349" t="n"/>
      <c r="U92" s="335" t="n"/>
      <c r="V92" s="335" t="n"/>
      <c r="W92" s="335" t="n"/>
      <c r="X92" s="335" t="n"/>
      <c r="Y92" s="335" t="n"/>
      <c r="Z92" s="336" t="n"/>
    </row>
    <row r="93" ht="12.6" customHeight="1">
      <c r="A93" s="381" t="n">
        <v>61</v>
      </c>
      <c r="B93" s="356" t="inlineStr">
        <is>
          <t>Planning invoeren in Protime</t>
        </is>
      </c>
      <c r="C93" s="357" t="inlineStr">
        <is>
          <t>prt</t>
        </is>
      </c>
      <c r="D93" s="584" t="inlineStr">
        <is>
          <t>geplande taak</t>
        </is>
      </c>
      <c r="E93" s="1075" t="n"/>
      <c r="F93" s="360" t="inlineStr">
        <is>
          <t>v</t>
        </is>
      </c>
      <c r="G93" s="358" t="inlineStr">
        <is>
          <t>v</t>
        </is>
      </c>
      <c r="H93" s="358" t="inlineStr">
        <is>
          <t>v</t>
        </is>
      </c>
      <c r="I93" s="358" t="inlineStr">
        <is>
          <t>v</t>
        </is>
      </c>
      <c r="J93" s="358" t="inlineStr">
        <is>
          <t>v</t>
        </is>
      </c>
      <c r="K93" s="358" t="inlineStr">
        <is>
          <t>v</t>
        </is>
      </c>
      <c r="L93" s="361" t="inlineStr">
        <is>
          <t>v</t>
        </is>
      </c>
      <c r="M93" s="543" t="n"/>
      <c r="N93" s="544" t="n"/>
      <c r="O93" s="544" t="n"/>
      <c r="P93" s="544" t="n"/>
      <c r="Q93" s="544" t="n"/>
      <c r="R93" s="544" t="n"/>
      <c r="S93" s="545" t="n"/>
      <c r="T93" s="349" t="n"/>
      <c r="U93" s="335" t="n"/>
      <c r="V93" s="335" t="n"/>
      <c r="W93" s="335" t="n"/>
      <c r="X93" s="335" t="n"/>
      <c r="Y93" s="335" t="n"/>
      <c r="Z93" s="336" t="n"/>
    </row>
    <row r="94" ht="12.6" customHeight="1">
      <c r="A94" s="381" t="n">
        <v>62</v>
      </c>
      <c r="B94" s="356" t="inlineStr">
        <is>
          <t>Ziekmeldingen checken en oplossen</t>
        </is>
      </c>
      <c r="C94" s="357" t="inlineStr">
        <is>
          <t>prt</t>
        </is>
      </c>
      <c r="D94" s="584" t="inlineStr">
        <is>
          <t>geplande taak</t>
        </is>
      </c>
      <c r="E94" s="1075" t="n"/>
      <c r="F94" s="360" t="inlineStr">
        <is>
          <t>v</t>
        </is>
      </c>
      <c r="G94" s="358" t="inlineStr">
        <is>
          <t>v</t>
        </is>
      </c>
      <c r="H94" s="358" t="inlineStr">
        <is>
          <t>v</t>
        </is>
      </c>
      <c r="I94" s="358" t="inlineStr">
        <is>
          <t>v</t>
        </is>
      </c>
      <c r="J94" s="358" t="inlineStr">
        <is>
          <t>v</t>
        </is>
      </c>
      <c r="K94" s="358" t="inlineStr">
        <is>
          <t>v</t>
        </is>
      </c>
      <c r="L94" s="361" t="inlineStr">
        <is>
          <t>v</t>
        </is>
      </c>
      <c r="M94" s="543" t="n"/>
      <c r="N94" s="546" t="n"/>
      <c r="O94" s="546" t="n"/>
      <c r="P94" s="546" t="n"/>
      <c r="Q94" s="546" t="n"/>
      <c r="R94" s="546" t="n"/>
      <c r="S94" s="547" t="n"/>
      <c r="T94" s="349" t="n"/>
      <c r="U94" s="335" t="n"/>
      <c r="V94" s="335" t="n"/>
      <c r="W94" s="335" t="n"/>
      <c r="X94" s="335" t="n"/>
      <c r="Y94" s="335" t="n"/>
      <c r="Z94" s="336" t="n"/>
    </row>
    <row r="95" ht="12.6" customHeight="1">
      <c r="A95" s="381" t="n">
        <v>63</v>
      </c>
      <c r="B95" s="356" t="inlineStr">
        <is>
          <t>Start Pick-Up-Point</t>
        </is>
      </c>
      <c r="C95" s="357" t="inlineStr">
        <is>
          <t>pup</t>
        </is>
      </c>
      <c r="D95" s="584" t="inlineStr">
        <is>
          <t>geplande taak</t>
        </is>
      </c>
      <c r="E95" s="1075" t="n"/>
      <c r="F95" s="360" t="inlineStr">
        <is>
          <t>v</t>
        </is>
      </c>
      <c r="G95" s="358" t="inlineStr">
        <is>
          <t>v</t>
        </is>
      </c>
      <c r="H95" s="358" t="inlineStr">
        <is>
          <t>v</t>
        </is>
      </c>
      <c r="I95" s="358" t="inlineStr">
        <is>
          <t>v</t>
        </is>
      </c>
      <c r="J95" s="358" t="inlineStr">
        <is>
          <t>v</t>
        </is>
      </c>
      <c r="K95" s="358" t="inlineStr">
        <is>
          <t>v</t>
        </is>
      </c>
      <c r="L95" s="361" t="inlineStr">
        <is>
          <t>v</t>
        </is>
      </c>
      <c r="M95" s="543" t="n"/>
      <c r="N95" s="544" t="n"/>
      <c r="O95" s="544" t="n"/>
      <c r="P95" s="544" t="n"/>
      <c r="Q95" s="544" t="n"/>
      <c r="R95" s="544" t="n"/>
      <c r="S95" s="545" t="n"/>
      <c r="T95" s="349" t="n"/>
      <c r="U95" s="335" t="n"/>
      <c r="V95" s="335" t="n"/>
      <c r="W95" s="335" t="n"/>
      <c r="X95" s="335" t="n"/>
      <c r="Y95" s="335" t="n"/>
      <c r="Z95" s="336" t="n"/>
    </row>
    <row r="96" ht="12.6" customHeight="1">
      <c r="A96" s="381" t="n">
        <v>64</v>
      </c>
      <c r="B96" s="356" t="inlineStr">
        <is>
          <t>Check uitvoering ophangen prijswijzigingen</t>
        </is>
      </c>
      <c r="C96" s="357" t="inlineStr">
        <is>
          <t>pw</t>
        </is>
      </c>
      <c r="D96" s="584" t="inlineStr">
        <is>
          <t>geplande taak</t>
        </is>
      </c>
      <c r="E96" s="1075" t="n"/>
      <c r="F96" s="360" t="inlineStr">
        <is>
          <t>v</t>
        </is>
      </c>
      <c r="G96" s="358" t="inlineStr">
        <is>
          <t>v</t>
        </is>
      </c>
      <c r="H96" s="358" t="inlineStr">
        <is>
          <t>v</t>
        </is>
      </c>
      <c r="I96" s="358" t="inlineStr">
        <is>
          <t>v</t>
        </is>
      </c>
      <c r="J96" s="358" t="inlineStr">
        <is>
          <t>v</t>
        </is>
      </c>
      <c r="K96" s="358" t="inlineStr">
        <is>
          <t>v</t>
        </is>
      </c>
      <c r="L96" s="361" t="inlineStr">
        <is>
          <t>v</t>
        </is>
      </c>
      <c r="M96" s="543" t="n"/>
      <c r="N96" s="544" t="n"/>
      <c r="O96" s="544" t="n"/>
      <c r="P96" s="544" t="n"/>
      <c r="Q96" s="544" t="n"/>
      <c r="R96" s="544" t="n"/>
      <c r="S96" s="545" t="n"/>
      <c r="T96" s="349" t="n"/>
      <c r="U96" s="335" t="n"/>
      <c r="V96" s="335" t="n"/>
      <c r="W96" s="335" t="n"/>
      <c r="X96" s="335" t="n"/>
      <c r="Y96" s="335" t="n"/>
      <c r="Z96" s="336" t="n"/>
    </row>
    <row r="97" ht="12.6" customHeight="1">
      <c r="A97" s="381" t="n">
        <v>65</v>
      </c>
      <c r="B97" s="356" t="inlineStr">
        <is>
          <t>Restanten bepalen (Wink):</t>
        </is>
      </c>
      <c r="C97" s="357" t="inlineStr">
        <is>
          <t>rb</t>
        </is>
      </c>
      <c r="D97" s="584" t="inlineStr">
        <is>
          <t>geplande taak</t>
        </is>
      </c>
      <c r="E97" s="1075" t="n"/>
      <c r="F97" s="360" t="inlineStr">
        <is>
          <t>v</t>
        </is>
      </c>
      <c r="G97" s="358" t="inlineStr">
        <is>
          <t>v</t>
        </is>
      </c>
      <c r="H97" s="358" t="inlineStr">
        <is>
          <t>v</t>
        </is>
      </c>
      <c r="I97" s="358" t="inlineStr">
        <is>
          <t>v</t>
        </is>
      </c>
      <c r="J97" s="358" t="inlineStr">
        <is>
          <t>v</t>
        </is>
      </c>
      <c r="K97" s="358" t="inlineStr">
        <is>
          <t>v</t>
        </is>
      </c>
      <c r="L97" s="361" t="inlineStr">
        <is>
          <t>v</t>
        </is>
      </c>
      <c r="M97" s="543" t="n"/>
      <c r="N97" s="544" t="n"/>
      <c r="O97" s="544" t="n"/>
      <c r="P97" s="544" t="n"/>
      <c r="Q97" s="544" t="n"/>
      <c r="R97" s="544" t="n"/>
      <c r="S97" s="545" t="n"/>
      <c r="T97" s="349" t="n"/>
      <c r="U97" s="335" t="n"/>
      <c r="V97" s="335" t="n"/>
      <c r="W97" s="335" t="n"/>
      <c r="X97" s="335" t="n"/>
      <c r="Y97" s="335" t="n"/>
      <c r="Z97" s="336" t="n"/>
    </row>
    <row r="98" ht="12.6" customHeight="1">
      <c r="A98" s="381" t="n">
        <v>66</v>
      </c>
      <c r="B98" s="356" t="inlineStr">
        <is>
          <t xml:space="preserve">   - check gebruik restantenbepaler: juiste labeling van nieuwe restanten</t>
        </is>
      </c>
      <c r="C98" s="357" t="inlineStr">
        <is>
          <t>rb</t>
        </is>
      </c>
      <c r="D98" s="584" t="inlineStr">
        <is>
          <t>geplande taak</t>
        </is>
      </c>
      <c r="E98" s="1075" t="n"/>
      <c r="F98" s="360" t="inlineStr">
        <is>
          <t>v</t>
        </is>
      </c>
      <c r="G98" s="358" t="inlineStr">
        <is>
          <t>v</t>
        </is>
      </c>
      <c r="H98" s="358" t="inlineStr">
        <is>
          <t>v</t>
        </is>
      </c>
      <c r="I98" s="358" t="inlineStr">
        <is>
          <t>v</t>
        </is>
      </c>
      <c r="J98" s="358" t="inlineStr">
        <is>
          <t>v</t>
        </is>
      </c>
      <c r="K98" s="358" t="inlineStr">
        <is>
          <t>v</t>
        </is>
      </c>
      <c r="L98" s="361" t="inlineStr">
        <is>
          <t>v</t>
        </is>
      </c>
      <c r="M98" s="543" t="n"/>
      <c r="N98" s="544" t="n"/>
      <c r="O98" s="544" t="n"/>
      <c r="P98" s="544" t="n"/>
      <c r="Q98" s="544" t="n"/>
      <c r="R98" s="544" t="n"/>
      <c r="S98" s="545" t="n"/>
      <c r="T98" s="349" t="n"/>
      <c r="U98" s="335" t="n"/>
      <c r="V98" s="335" t="n"/>
      <c r="W98" s="335" t="n"/>
      <c r="X98" s="335" t="n"/>
      <c r="Y98" s="335" t="n"/>
      <c r="Z98" s="336" t="n"/>
    </row>
    <row r="99" ht="12.6" customHeight="1">
      <c r="A99" s="381" t="n">
        <v>67</v>
      </c>
      <c r="B99" s="356" t="inlineStr">
        <is>
          <t xml:space="preserve">   - check gebruik restantenbepaler: juiste labeling van lange restanten</t>
        </is>
      </c>
      <c r="C99" s="357" t="inlineStr">
        <is>
          <t>rb</t>
        </is>
      </c>
      <c r="D99" s="584" t="inlineStr">
        <is>
          <t>geplande taak</t>
        </is>
      </c>
      <c r="E99" s="1075" t="n"/>
      <c r="F99" s="360" t="inlineStr">
        <is>
          <t>v</t>
        </is>
      </c>
      <c r="G99" s="358" t="inlineStr">
        <is>
          <t>v</t>
        </is>
      </c>
      <c r="H99" s="358" t="inlineStr">
        <is>
          <t>v</t>
        </is>
      </c>
      <c r="I99" s="358" t="inlineStr">
        <is>
          <t>v</t>
        </is>
      </c>
      <c r="J99" s="358" t="inlineStr">
        <is>
          <t>v</t>
        </is>
      </c>
      <c r="K99" s="358" t="inlineStr">
        <is>
          <t>v</t>
        </is>
      </c>
      <c r="L99" s="361" t="inlineStr">
        <is>
          <t>v</t>
        </is>
      </c>
      <c r="M99" s="543" t="n"/>
      <c r="N99" s="546" t="n"/>
      <c r="O99" s="546" t="n"/>
      <c r="P99" s="546" t="n"/>
      <c r="Q99" s="546" t="n"/>
      <c r="R99" s="546" t="n"/>
      <c r="S99" s="547" t="n"/>
      <c r="T99" s="349" t="n"/>
      <c r="U99" s="335" t="n"/>
      <c r="V99" s="335" t="n"/>
      <c r="W99" s="335" t="n"/>
      <c r="X99" s="335" t="n"/>
      <c r="Y99" s="335" t="n"/>
      <c r="Z99" s="336" t="n"/>
    </row>
    <row r="100" ht="12.6" customHeight="1">
      <c r="A100" s="381" t="n">
        <v>68</v>
      </c>
      <c r="B100" s="356" t="inlineStr">
        <is>
          <t>Check vullen restanten Diepvries en tellen van restanten die overblijven</t>
        </is>
      </c>
      <c r="C100" s="357" t="inlineStr">
        <is>
          <t>rd</t>
        </is>
      </c>
      <c r="D100" s="584" t="inlineStr">
        <is>
          <t>geplande taak</t>
        </is>
      </c>
      <c r="E100" s="1075" t="n">
        <v>0.02083333333333333</v>
      </c>
      <c r="F100" s="360" t="inlineStr">
        <is>
          <t>v</t>
        </is>
      </c>
      <c r="G100" s="358" t="inlineStr">
        <is>
          <t>v</t>
        </is>
      </c>
      <c r="H100" s="358" t="inlineStr">
        <is>
          <t>v</t>
        </is>
      </c>
      <c r="I100" s="358" t="inlineStr">
        <is>
          <t>v</t>
        </is>
      </c>
      <c r="J100" s="358" t="inlineStr">
        <is>
          <t>v</t>
        </is>
      </c>
      <c r="K100" s="358" t="inlineStr">
        <is>
          <t>v</t>
        </is>
      </c>
      <c r="L100" s="361" t="inlineStr">
        <is>
          <t>v</t>
        </is>
      </c>
      <c r="M100" s="543" t="n"/>
      <c r="N100" s="544" t="n"/>
      <c r="O100" s="544" t="n"/>
      <c r="P100" s="544" t="n"/>
      <c r="Q100" s="544" t="n"/>
      <c r="R100" s="544" t="n"/>
      <c r="S100" s="545" t="n"/>
      <c r="T100" s="349" t="n"/>
      <c r="U100" s="335" t="n"/>
      <c r="V100" s="335" t="n"/>
      <c r="W100" s="335" t="n"/>
      <c r="X100" s="335" t="n"/>
      <c r="Y100" s="335" t="n"/>
      <c r="Z100" s="336" t="n"/>
    </row>
    <row r="101" ht="12.6" customHeight="1">
      <c r="A101" s="381" t="n">
        <v>69</v>
      </c>
      <c r="B101" s="356" t="inlineStr">
        <is>
          <t>Check vullen dagrestanten Houdbaar en tellen van restanten die overblijven</t>
        </is>
      </c>
      <c r="C101" s="357" t="inlineStr">
        <is>
          <t>rh</t>
        </is>
      </c>
      <c r="D101" s="584" t="inlineStr">
        <is>
          <t>geplande taak</t>
        </is>
      </c>
      <c r="E101" s="1075" t="n">
        <v>0.02083333333333333</v>
      </c>
      <c r="F101" s="360" t="inlineStr">
        <is>
          <t>v</t>
        </is>
      </c>
      <c r="G101" s="358" t="inlineStr">
        <is>
          <t>v</t>
        </is>
      </c>
      <c r="H101" s="358" t="inlineStr">
        <is>
          <t>v</t>
        </is>
      </c>
      <c r="I101" s="358" t="inlineStr">
        <is>
          <t>v</t>
        </is>
      </c>
      <c r="J101" s="358" t="inlineStr">
        <is>
          <t>v</t>
        </is>
      </c>
      <c r="K101" s="358" t="inlineStr">
        <is>
          <t>v</t>
        </is>
      </c>
      <c r="L101" s="361" t="inlineStr">
        <is>
          <t>v</t>
        </is>
      </c>
      <c r="M101" s="543" t="n"/>
      <c r="N101" s="544" t="n"/>
      <c r="O101" s="544" t="n"/>
      <c r="P101" s="544" t="n"/>
      <c r="Q101" s="544" t="n"/>
      <c r="R101" s="544" t="n"/>
      <c r="S101" s="545" t="n"/>
      <c r="T101" s="349" t="n"/>
      <c r="U101" s="335" t="n"/>
      <c r="V101" s="335" t="n"/>
      <c r="W101" s="335" t="n"/>
      <c r="X101" s="335" t="n"/>
      <c r="Y101" s="335" t="n"/>
      <c r="Z101" s="336" t="n"/>
    </row>
    <row r="102" ht="12.6" customHeight="1">
      <c r="A102" s="381" t="n">
        <v>70</v>
      </c>
      <c r="B102" s="356" t="inlineStr">
        <is>
          <t>Check vullen restanten Vers en tellen van restanten die overblijven</t>
        </is>
      </c>
      <c r="C102" s="357" t="inlineStr">
        <is>
          <t>rv</t>
        </is>
      </c>
      <c r="D102" s="584" t="inlineStr">
        <is>
          <t>geplande taak</t>
        </is>
      </c>
      <c r="E102" s="1075" t="n">
        <v>0.02083333333333333</v>
      </c>
      <c r="F102" s="360" t="inlineStr">
        <is>
          <t>v</t>
        </is>
      </c>
      <c r="G102" s="358" t="inlineStr">
        <is>
          <t>v</t>
        </is>
      </c>
      <c r="H102" s="358" t="inlineStr">
        <is>
          <t>v</t>
        </is>
      </c>
      <c r="I102" s="358" t="inlineStr">
        <is>
          <t>v</t>
        </is>
      </c>
      <c r="J102" s="358" t="inlineStr">
        <is>
          <t>v</t>
        </is>
      </c>
      <c r="K102" s="358" t="inlineStr">
        <is>
          <t>v</t>
        </is>
      </c>
      <c r="L102" s="361" t="inlineStr">
        <is>
          <t>v</t>
        </is>
      </c>
      <c r="M102" s="543" t="n"/>
      <c r="N102" s="544" t="n"/>
      <c r="O102" s="544" t="n"/>
      <c r="P102" s="544" t="n"/>
      <c r="Q102" s="544" t="n"/>
      <c r="R102" s="544" t="n"/>
      <c r="S102" s="545" t="n"/>
      <c r="T102" s="349" t="n"/>
      <c r="U102" s="335" t="n"/>
      <c r="V102" s="335" t="n"/>
      <c r="W102" s="335" t="n"/>
      <c r="X102" s="335" t="n"/>
      <c r="Y102" s="335" t="n"/>
      <c r="Z102" s="336" t="n"/>
    </row>
    <row r="103" ht="12.6" customHeight="1">
      <c r="A103" s="381" t="n">
        <v>71</v>
      </c>
      <c r="B103" s="356" t="inlineStr">
        <is>
          <t>Check en coaching van het splitsproces</t>
        </is>
      </c>
      <c r="C103" s="357" t="inlineStr">
        <is>
          <t>sp</t>
        </is>
      </c>
      <c r="D103" s="584" t="inlineStr">
        <is>
          <t>geplande taak</t>
        </is>
      </c>
      <c r="E103" s="1075" t="n">
        <v>0.02083333333333333</v>
      </c>
      <c r="F103" s="360" t="n"/>
      <c r="G103" s="358" t="n"/>
      <c r="H103" s="358" t="n"/>
      <c r="I103" s="358" t="n"/>
      <c r="J103" s="358" t="n"/>
      <c r="K103" s="358" t="n"/>
      <c r="L103" s="361" t="n"/>
      <c r="M103" s="543" t="n"/>
      <c r="N103" s="544" t="n"/>
      <c r="O103" s="544" t="n"/>
      <c r="P103" s="544" t="n"/>
      <c r="Q103" s="544" t="n"/>
      <c r="R103" s="544" t="n"/>
      <c r="S103" s="545" t="n"/>
      <c r="T103" s="349" t="n"/>
      <c r="U103" s="335" t="n"/>
      <c r="V103" s="335" t="n"/>
      <c r="W103" s="335" t="n"/>
      <c r="X103" s="335" t="n"/>
      <c r="Y103" s="335" t="n"/>
      <c r="Z103" s="336" t="n"/>
    </row>
    <row r="104" ht="12.6" customHeight="1">
      <c r="A104" s="381" t="n">
        <v>72</v>
      </c>
      <c r="B104" s="356" t="inlineStr">
        <is>
          <t>Check teruggemelde retouren (FVOS)</t>
        </is>
      </c>
      <c r="C104" s="357" t="inlineStr">
        <is>
          <t>sl</t>
        </is>
      </c>
      <c r="D104" s="584" t="inlineStr">
        <is>
          <t>geplande taak</t>
        </is>
      </c>
      <c r="E104" s="1075" t="n"/>
      <c r="F104" s="360" t="inlineStr">
        <is>
          <t>v</t>
        </is>
      </c>
      <c r="G104" s="358" t="inlineStr">
        <is>
          <t>v</t>
        </is>
      </c>
      <c r="H104" s="358" t="inlineStr">
        <is>
          <t>v</t>
        </is>
      </c>
      <c r="I104" s="358" t="inlineStr">
        <is>
          <t>v</t>
        </is>
      </c>
      <c r="J104" s="358" t="inlineStr">
        <is>
          <t>v</t>
        </is>
      </c>
      <c r="K104" s="358" t="inlineStr">
        <is>
          <t>v</t>
        </is>
      </c>
      <c r="L104" s="361" t="inlineStr">
        <is>
          <t>v</t>
        </is>
      </c>
      <c r="M104" s="543" t="n"/>
      <c r="N104" s="544" t="n"/>
      <c r="O104" s="544" t="n"/>
      <c r="P104" s="544" t="n"/>
      <c r="Q104" s="544" t="n"/>
      <c r="R104" s="544" t="n"/>
      <c r="S104" s="545" t="n"/>
      <c r="T104" s="349" t="n"/>
      <c r="U104" s="335" t="n"/>
      <c r="V104" s="335" t="n"/>
      <c r="W104" s="335" t="n"/>
      <c r="X104" s="335" t="n"/>
      <c r="Y104" s="335" t="n"/>
      <c r="Z104" s="336" t="n"/>
    </row>
    <row r="105" ht="12.6" customHeight="1">
      <c r="A105" s="381" t="n">
        <v>73</v>
      </c>
      <c r="B105" s="356" t="inlineStr">
        <is>
          <t>Check herbepaling van de lange restanten de dag na uitvoering</t>
        </is>
      </c>
      <c r="C105" s="357" t="inlineStr">
        <is>
          <t>sl</t>
        </is>
      </c>
      <c r="D105" s="584" t="inlineStr">
        <is>
          <t>geplande taak</t>
        </is>
      </c>
      <c r="E105" s="1075" t="n"/>
      <c r="F105" s="360" t="n"/>
      <c r="G105" s="358" t="inlineStr">
        <is>
          <t>v</t>
        </is>
      </c>
      <c r="H105" s="358" t="n"/>
      <c r="I105" s="358" t="n"/>
      <c r="J105" s="358" t="n"/>
      <c r="K105" s="358" t="n"/>
      <c r="L105" s="361" t="n"/>
      <c r="M105" s="543" t="n"/>
      <c r="N105" s="546" t="n"/>
      <c r="O105" s="546" t="n"/>
      <c r="P105" s="546" t="n"/>
      <c r="Q105" s="546" t="n"/>
      <c r="R105" s="546" t="n"/>
      <c r="S105" s="547" t="n"/>
      <c r="T105" s="349" t="n"/>
      <c r="U105" s="335" t="n"/>
      <c r="V105" s="335" t="n"/>
      <c r="W105" s="335" t="n"/>
      <c r="X105" s="335" t="n"/>
      <c r="Y105" s="335" t="n"/>
      <c r="Z105" s="336" t="n"/>
    </row>
    <row r="106" ht="12.6" customHeight="1">
      <c r="A106" s="381" t="n">
        <v>74</v>
      </c>
      <c r="B106" s="356" t="inlineStr">
        <is>
          <t>Check voorraadontwikkeling leeggoedwaarde (FVOS)</t>
        </is>
      </c>
      <c r="C106" s="357" t="inlineStr">
        <is>
          <t>sl</t>
        </is>
      </c>
      <c r="D106" s="584" t="inlineStr">
        <is>
          <t>geplande taak</t>
        </is>
      </c>
      <c r="E106" s="1075" t="n"/>
      <c r="F106" s="360" t="n"/>
      <c r="G106" s="358" t="n"/>
      <c r="H106" s="358" t="n"/>
      <c r="I106" s="358" t="inlineStr">
        <is>
          <t>v</t>
        </is>
      </c>
      <c r="J106" s="358" t="n"/>
      <c r="K106" s="358" t="n"/>
      <c r="L106" s="361" t="n"/>
      <c r="M106" s="543" t="n"/>
      <c r="N106" s="544" t="n"/>
      <c r="O106" s="544" t="n"/>
      <c r="P106" s="544" t="n"/>
      <c r="Q106" s="544" t="n"/>
      <c r="R106" s="544" t="n"/>
      <c r="S106" s="545" t="n"/>
      <c r="T106" s="349" t="n"/>
      <c r="U106" s="335" t="n"/>
      <c r="V106" s="335" t="n"/>
      <c r="W106" s="335" t="n"/>
      <c r="X106" s="335" t="n"/>
      <c r="Y106" s="335" t="n"/>
      <c r="Z106" s="336" t="n"/>
    </row>
    <row r="107" ht="12.6" customHeight="1">
      <c r="A107" s="381" t="n">
        <v>75</v>
      </c>
      <c r="B107" s="356" t="inlineStr">
        <is>
          <t>Vervallen artikelen / Binnenkort uit assortimentslijst lopen (Wink)</t>
        </is>
      </c>
      <c r="C107" s="357" t="inlineStr">
        <is>
          <t>us</t>
        </is>
      </c>
      <c r="D107" s="584" t="inlineStr">
        <is>
          <t>geplande taak</t>
        </is>
      </c>
      <c r="E107" s="1075" t="n"/>
      <c r="F107" s="360" t="inlineStr">
        <is>
          <t>v</t>
        </is>
      </c>
      <c r="G107" s="358" t="inlineStr">
        <is>
          <t>v</t>
        </is>
      </c>
      <c r="H107" s="358" t="inlineStr">
        <is>
          <t>v</t>
        </is>
      </c>
      <c r="I107" s="358" t="inlineStr">
        <is>
          <t>v</t>
        </is>
      </c>
      <c r="J107" s="358" t="inlineStr">
        <is>
          <t>v</t>
        </is>
      </c>
      <c r="K107" s="358" t="inlineStr">
        <is>
          <t>v</t>
        </is>
      </c>
      <c r="L107" s="361" t="inlineStr">
        <is>
          <t>v</t>
        </is>
      </c>
      <c r="M107" s="543" t="n"/>
      <c r="N107" s="544" t="n"/>
      <c r="O107" s="544" t="n"/>
      <c r="P107" s="544" t="n"/>
      <c r="Q107" s="544" t="n"/>
      <c r="R107" s="544" t="n"/>
      <c r="S107" s="545" t="n"/>
      <c r="T107" s="349" t="n"/>
      <c r="U107" s="335" t="n"/>
      <c r="V107" s="335" t="n"/>
      <c r="W107" s="335" t="n"/>
      <c r="X107" s="335" t="n"/>
      <c r="Y107" s="335" t="n"/>
      <c r="Z107" s="336" t="n"/>
    </row>
    <row r="108" ht="12.6" customHeight="1">
      <c r="A108" s="381" t="n">
        <v>76</v>
      </c>
      <c r="B108" s="356" t="inlineStr">
        <is>
          <t>VCR lopen</t>
        </is>
      </c>
      <c r="C108" s="357" t="inlineStr">
        <is>
          <t>vcr</t>
        </is>
      </c>
      <c r="D108" s="584" t="inlineStr">
        <is>
          <t>geplande taak</t>
        </is>
      </c>
      <c r="E108" s="1075" t="n"/>
      <c r="F108" s="360" t="inlineStr">
        <is>
          <t>v</t>
        </is>
      </c>
      <c r="G108" s="358" t="inlineStr">
        <is>
          <t>v</t>
        </is>
      </c>
      <c r="H108" s="358" t="inlineStr">
        <is>
          <t>v</t>
        </is>
      </c>
      <c r="I108" s="358" t="inlineStr">
        <is>
          <t>v</t>
        </is>
      </c>
      <c r="J108" s="358" t="inlineStr">
        <is>
          <t>v</t>
        </is>
      </c>
      <c r="K108" s="358" t="inlineStr">
        <is>
          <t>v</t>
        </is>
      </c>
      <c r="L108" s="361" t="inlineStr">
        <is>
          <t>v</t>
        </is>
      </c>
      <c r="M108" s="548" t="n"/>
      <c r="N108" s="546" t="n"/>
      <c r="O108" s="546" t="n"/>
      <c r="P108" s="546" t="n"/>
      <c r="Q108" s="546" t="n"/>
      <c r="R108" s="546" t="n"/>
      <c r="S108" s="547" t="n"/>
      <c r="T108" s="349" t="n"/>
      <c r="U108" s="335" t="n"/>
      <c r="V108" s="335" t="n"/>
      <c r="W108" s="335" t="n"/>
      <c r="X108" s="335" t="n"/>
      <c r="Y108" s="335" t="n"/>
      <c r="Z108" s="336" t="n"/>
    </row>
    <row r="109" ht="12.6" customHeight="1">
      <c r="A109" s="381" t="n">
        <v>77</v>
      </c>
      <c r="B109" s="356" t="inlineStr">
        <is>
          <t>Analyseer de informatie vanuit de VCR-rapporten (Wink Desktop)</t>
        </is>
      </c>
      <c r="C109" s="357" t="inlineStr">
        <is>
          <t>vcr</t>
        </is>
      </c>
      <c r="D109" s="584" t="inlineStr">
        <is>
          <t>geplande taak</t>
        </is>
      </c>
      <c r="E109" s="1075" t="n"/>
      <c r="F109" s="360" t="inlineStr">
        <is>
          <t>v</t>
        </is>
      </c>
      <c r="G109" s="358" t="inlineStr">
        <is>
          <t>v</t>
        </is>
      </c>
      <c r="H109" s="358" t="inlineStr">
        <is>
          <t>v</t>
        </is>
      </c>
      <c r="I109" s="358" t="inlineStr">
        <is>
          <t>v</t>
        </is>
      </c>
      <c r="J109" s="358" t="inlineStr">
        <is>
          <t>v</t>
        </is>
      </c>
      <c r="K109" s="358" t="inlineStr">
        <is>
          <t>v</t>
        </is>
      </c>
      <c r="L109" s="361" t="inlineStr">
        <is>
          <t>v</t>
        </is>
      </c>
      <c r="M109" s="543" t="n"/>
      <c r="N109" s="544" t="n"/>
      <c r="O109" s="544" t="n"/>
      <c r="P109" s="544" t="n"/>
      <c r="Q109" s="544" t="n"/>
      <c r="R109" s="544" t="n"/>
      <c r="S109" s="545" t="n"/>
      <c r="T109" s="349" t="n"/>
      <c r="U109" s="335" t="n"/>
      <c r="V109" s="335" t="n"/>
      <c r="W109" s="335" t="n"/>
      <c r="X109" s="335" t="n"/>
      <c r="Y109" s="335" t="n"/>
      <c r="Z109" s="336" t="n"/>
    </row>
    <row r="110" ht="12.6" customHeight="1">
      <c r="A110" s="381" t="n">
        <v>78</v>
      </c>
      <c r="B110" s="356" t="inlineStr">
        <is>
          <t>Check vernietigingen (wel/niet afgeprijsd) en mutaties</t>
        </is>
      </c>
      <c r="C110" s="357" t="inlineStr">
        <is>
          <t>ver</t>
        </is>
      </c>
      <c r="D110" s="584" t="inlineStr">
        <is>
          <t>geplande taak</t>
        </is>
      </c>
      <c r="E110" s="1075" t="n"/>
      <c r="F110" s="360" t="inlineStr">
        <is>
          <t>v</t>
        </is>
      </c>
      <c r="G110" s="358" t="inlineStr">
        <is>
          <t>v</t>
        </is>
      </c>
      <c r="H110" s="358" t="inlineStr">
        <is>
          <t>v</t>
        </is>
      </c>
      <c r="I110" s="358" t="inlineStr">
        <is>
          <t>v</t>
        </is>
      </c>
      <c r="J110" s="358" t="inlineStr">
        <is>
          <t>v</t>
        </is>
      </c>
      <c r="K110" s="358" t="inlineStr">
        <is>
          <t>v</t>
        </is>
      </c>
      <c r="L110" s="361" t="inlineStr">
        <is>
          <t>v</t>
        </is>
      </c>
      <c r="M110" s="543" t="n"/>
      <c r="N110" s="544" t="n"/>
      <c r="O110" s="544" t="n"/>
      <c r="P110" s="544" t="n"/>
      <c r="Q110" s="544" t="n"/>
      <c r="R110" s="544" t="n"/>
      <c r="S110" s="545" t="n"/>
      <c r="T110" s="349" t="n"/>
      <c r="U110" s="335" t="n"/>
      <c r="V110" s="335" t="n"/>
      <c r="W110" s="335" t="n"/>
      <c r="X110" s="335" t="n"/>
      <c r="Y110" s="335" t="n"/>
      <c r="Z110" s="336" t="n"/>
    </row>
    <row r="111" ht="12.6" customHeight="1">
      <c r="A111" s="381" t="n">
        <v>79</v>
      </c>
      <c r="B111" s="356" t="inlineStr">
        <is>
          <t>Start vulshift Vers, check 'gewoon goed vullen':</t>
        </is>
      </c>
      <c r="C111" s="357" t="inlineStr">
        <is>
          <t>vv</t>
        </is>
      </c>
      <c r="D111" s="584" t="inlineStr">
        <is>
          <t>geplande taak</t>
        </is>
      </c>
      <c r="E111" s="1075" t="n"/>
      <c r="F111" s="360" t="inlineStr">
        <is>
          <t>v</t>
        </is>
      </c>
      <c r="G111" s="358" t="inlineStr">
        <is>
          <t>v</t>
        </is>
      </c>
      <c r="H111" s="358" t="inlineStr">
        <is>
          <t>v</t>
        </is>
      </c>
      <c r="I111" s="358" t="inlineStr">
        <is>
          <t>v</t>
        </is>
      </c>
      <c r="J111" s="358" t="inlineStr">
        <is>
          <t>v</t>
        </is>
      </c>
      <c r="K111" s="358" t="inlineStr">
        <is>
          <t>v</t>
        </is>
      </c>
      <c r="L111" s="361" t="inlineStr">
        <is>
          <t>v</t>
        </is>
      </c>
      <c r="M111" s="543" t="n"/>
      <c r="N111" s="546" t="n"/>
      <c r="O111" s="546" t="n"/>
      <c r="P111" s="546" t="n"/>
      <c r="Q111" s="546" t="n"/>
      <c r="R111" s="546" t="n"/>
      <c r="S111" s="547" t="n"/>
      <c r="T111" s="349" t="n"/>
      <c r="U111" s="335" t="n"/>
      <c r="V111" s="335" t="n"/>
      <c r="W111" s="335" t="n"/>
      <c r="X111" s="335" t="n"/>
      <c r="Y111" s="335" t="n"/>
      <c r="Z111" s="336" t="n"/>
    </row>
    <row r="112" ht="12.6" customHeight="1">
      <c r="A112" s="381" t="n">
        <v>80</v>
      </c>
      <c r="B112" s="356" t="inlineStr">
        <is>
          <t xml:space="preserve">   - niet meer (vul)containers op de vloer dan er binnen 30 min. te vullen zijn</t>
        </is>
      </c>
      <c r="C112" s="357" t="inlineStr">
        <is>
          <t>vv</t>
        </is>
      </c>
      <c r="D112" s="584" t="inlineStr">
        <is>
          <t>geplande taak</t>
        </is>
      </c>
      <c r="E112" s="1075" t="n"/>
      <c r="F112" s="360" t="inlineStr">
        <is>
          <t>v</t>
        </is>
      </c>
      <c r="G112" s="358" t="inlineStr">
        <is>
          <t>v</t>
        </is>
      </c>
      <c r="H112" s="358" t="inlineStr">
        <is>
          <t>v</t>
        </is>
      </c>
      <c r="I112" s="358" t="inlineStr">
        <is>
          <t>v</t>
        </is>
      </c>
      <c r="J112" s="358" t="inlineStr">
        <is>
          <t>v</t>
        </is>
      </c>
      <c r="K112" s="358" t="inlineStr">
        <is>
          <t>v</t>
        </is>
      </c>
      <c r="L112" s="361" t="inlineStr">
        <is>
          <t>v</t>
        </is>
      </c>
      <c r="M112" s="543" t="n"/>
      <c r="N112" s="546" t="n"/>
      <c r="O112" s="546" t="n"/>
      <c r="P112" s="546" t="n"/>
      <c r="Q112" s="546" t="n"/>
      <c r="R112" s="546" t="n"/>
      <c r="S112" s="547" t="n"/>
      <c r="T112" s="349" t="n"/>
      <c r="U112" s="335" t="n"/>
      <c r="V112" s="335" t="n"/>
      <c r="W112" s="335" t="n"/>
      <c r="X112" s="335" t="n"/>
      <c r="Y112" s="335" t="n"/>
      <c r="Z112" s="336" t="n"/>
    </row>
    <row r="113" ht="12.6" customHeight="1">
      <c r="A113" s="381" t="n">
        <v>81</v>
      </c>
      <c r="B113" s="356" t="inlineStr">
        <is>
          <t xml:space="preserve">   - slim stapelen op de vuldolly (meerdere colli/fusten)</t>
        </is>
      </c>
      <c r="C113" s="357" t="inlineStr">
        <is>
          <t>vv</t>
        </is>
      </c>
      <c r="D113" s="584" t="inlineStr">
        <is>
          <t>geplande taak</t>
        </is>
      </c>
      <c r="E113" s="1075" t="n"/>
      <c r="F113" s="360" t="inlineStr">
        <is>
          <t>v</t>
        </is>
      </c>
      <c r="G113" s="358" t="inlineStr">
        <is>
          <t>v</t>
        </is>
      </c>
      <c r="H113" s="358" t="inlineStr">
        <is>
          <t>v</t>
        </is>
      </c>
      <c r="I113" s="358" t="inlineStr">
        <is>
          <t>v</t>
        </is>
      </c>
      <c r="J113" s="358" t="inlineStr">
        <is>
          <t>v</t>
        </is>
      </c>
      <c r="K113" s="358" t="inlineStr">
        <is>
          <t>v</t>
        </is>
      </c>
      <c r="L113" s="361" t="inlineStr">
        <is>
          <t>v</t>
        </is>
      </c>
      <c r="M113" s="548" t="n"/>
      <c r="N113" s="546" t="n"/>
      <c r="O113" s="546" t="n"/>
      <c r="P113" s="546" t="n"/>
      <c r="Q113" s="546" t="n"/>
      <c r="R113" s="546" t="n"/>
      <c r="S113" s="547" t="n"/>
      <c r="T113" s="349" t="n"/>
      <c r="U113" s="335" t="n"/>
      <c r="V113" s="335" t="n"/>
      <c r="W113" s="335" t="n"/>
      <c r="X113" s="335" t="n"/>
      <c r="Y113" s="335" t="n"/>
      <c r="Z113" s="336" t="n"/>
    </row>
    <row r="114" ht="12.6" customHeight="1">
      <c r="A114" s="381" t="n">
        <v>82</v>
      </c>
      <c r="B114" s="356" t="inlineStr">
        <is>
          <t xml:space="preserve">   - vullen vanaf de dolly en met 2 handen</t>
        </is>
      </c>
      <c r="C114" s="357" t="inlineStr">
        <is>
          <t>vv</t>
        </is>
      </c>
      <c r="D114" s="584" t="inlineStr">
        <is>
          <t>geplande taak</t>
        </is>
      </c>
      <c r="E114" s="1075" t="n"/>
      <c r="F114" s="360" t="inlineStr">
        <is>
          <t>v</t>
        </is>
      </c>
      <c r="G114" s="358" t="inlineStr">
        <is>
          <t>v</t>
        </is>
      </c>
      <c r="H114" s="358" t="inlineStr">
        <is>
          <t>v</t>
        </is>
      </c>
      <c r="I114" s="358" t="inlineStr">
        <is>
          <t>v</t>
        </is>
      </c>
      <c r="J114" s="358" t="inlineStr">
        <is>
          <t>v</t>
        </is>
      </c>
      <c r="K114" s="358" t="inlineStr">
        <is>
          <t>v</t>
        </is>
      </c>
      <c r="L114" s="361" t="inlineStr">
        <is>
          <t>v</t>
        </is>
      </c>
      <c r="M114" s="548" t="n"/>
      <c r="N114" s="546" t="n"/>
      <c r="O114" s="546" t="n"/>
      <c r="P114" s="546" t="n"/>
      <c r="Q114" s="546" t="n"/>
      <c r="R114" s="546" t="n"/>
      <c r="S114" s="547" t="n"/>
      <c r="T114" s="349" t="n"/>
      <c r="U114" s="335" t="n"/>
      <c r="V114" s="335" t="n"/>
      <c r="W114" s="335" t="n"/>
      <c r="X114" s="335" t="n"/>
      <c r="Y114" s="335" t="n"/>
      <c r="Z114" s="336" t="n"/>
    </row>
    <row r="115" ht="12.6" customHeight="1">
      <c r="A115" s="381" t="n">
        <v>83</v>
      </c>
      <c r="B115" s="356" t="inlineStr">
        <is>
          <t xml:space="preserve">   - efficiënt vullen en in een normaal werktempo</t>
        </is>
      </c>
      <c r="C115" s="357" t="inlineStr">
        <is>
          <t>vv</t>
        </is>
      </c>
      <c r="D115" s="584" t="inlineStr">
        <is>
          <t>geplande taak</t>
        </is>
      </c>
      <c r="E115" s="1075" t="n"/>
      <c r="F115" s="360" t="inlineStr">
        <is>
          <t>v</t>
        </is>
      </c>
      <c r="G115" s="358" t="inlineStr">
        <is>
          <t>v</t>
        </is>
      </c>
      <c r="H115" s="358" t="inlineStr">
        <is>
          <t>v</t>
        </is>
      </c>
      <c r="I115" s="358" t="inlineStr">
        <is>
          <t>v</t>
        </is>
      </c>
      <c r="J115" s="358" t="inlineStr">
        <is>
          <t>v</t>
        </is>
      </c>
      <c r="K115" s="358" t="inlineStr">
        <is>
          <t>v</t>
        </is>
      </c>
      <c r="L115" s="361" t="inlineStr">
        <is>
          <t>v</t>
        </is>
      </c>
      <c r="M115" s="548" t="n"/>
      <c r="N115" s="546" t="n"/>
      <c r="O115" s="546" t="n"/>
      <c r="P115" s="546" t="n"/>
      <c r="Q115" s="546" t="n"/>
      <c r="R115" s="546" t="n"/>
      <c r="S115" s="547" t="n"/>
      <c r="T115" s="349" t="n"/>
      <c r="U115" s="335" t="n"/>
      <c r="V115" s="335" t="n"/>
      <c r="W115" s="335" t="n"/>
      <c r="X115" s="335" t="n"/>
      <c r="Y115" s="335" t="n"/>
      <c r="Z115" s="336" t="n"/>
    </row>
    <row r="116" ht="12.6" customHeight="1">
      <c r="A116" s="381" t="n">
        <v>84</v>
      </c>
      <c r="B116" s="356" t="inlineStr">
        <is>
          <t xml:space="preserve">   - op de juiste plek vullen met het juiste aantal facings</t>
        </is>
      </c>
      <c r="C116" s="357" t="inlineStr">
        <is>
          <t>vv</t>
        </is>
      </c>
      <c r="D116" s="584" t="inlineStr">
        <is>
          <t>geplande taak</t>
        </is>
      </c>
      <c r="E116" s="1075" t="n"/>
      <c r="F116" s="360" t="inlineStr">
        <is>
          <t>v</t>
        </is>
      </c>
      <c r="G116" s="358" t="inlineStr">
        <is>
          <t>v</t>
        </is>
      </c>
      <c r="H116" s="358" t="inlineStr">
        <is>
          <t>v</t>
        </is>
      </c>
      <c r="I116" s="358" t="inlineStr">
        <is>
          <t>v</t>
        </is>
      </c>
      <c r="J116" s="358" t="inlineStr">
        <is>
          <t>v</t>
        </is>
      </c>
      <c r="K116" s="358" t="inlineStr">
        <is>
          <t>v</t>
        </is>
      </c>
      <c r="L116" s="361" t="inlineStr">
        <is>
          <t>v</t>
        </is>
      </c>
      <c r="M116" s="548" t="n"/>
      <c r="N116" s="546" t="n"/>
      <c r="O116" s="546" t="n"/>
      <c r="P116" s="546" t="n"/>
      <c r="Q116" s="546" t="n"/>
      <c r="R116" s="546" t="n"/>
      <c r="S116" s="547" t="n"/>
      <c r="T116" s="349" t="n"/>
      <c r="U116" s="335" t="n"/>
      <c r="V116" s="335" t="n"/>
      <c r="W116" s="335" t="n"/>
      <c r="X116" s="335" t="n"/>
      <c r="Y116" s="335" t="n"/>
      <c r="Z116" s="336" t="n"/>
    </row>
    <row r="117" ht="12.6" customHeight="1">
      <c r="A117" s="381" t="n">
        <v>85</v>
      </c>
      <c r="B117" s="356" t="inlineStr">
        <is>
          <t xml:space="preserve">   - altijd FIFO vullen</t>
        </is>
      </c>
      <c r="C117" s="357" t="inlineStr">
        <is>
          <t>vv</t>
        </is>
      </c>
      <c r="D117" s="584" t="inlineStr">
        <is>
          <t>geplande taak</t>
        </is>
      </c>
      <c r="E117" s="1075" t="n"/>
      <c r="F117" s="360" t="inlineStr">
        <is>
          <t>v</t>
        </is>
      </c>
      <c r="G117" s="358" t="inlineStr">
        <is>
          <t>v</t>
        </is>
      </c>
      <c r="H117" s="358" t="inlineStr">
        <is>
          <t>v</t>
        </is>
      </c>
      <c r="I117" s="358" t="inlineStr">
        <is>
          <t>v</t>
        </is>
      </c>
      <c r="J117" s="358" t="inlineStr">
        <is>
          <t>v</t>
        </is>
      </c>
      <c r="K117" s="358" t="inlineStr">
        <is>
          <t>v</t>
        </is>
      </c>
      <c r="L117" s="361" t="inlineStr">
        <is>
          <t>v</t>
        </is>
      </c>
      <c r="M117" s="548" t="n"/>
      <c r="N117" s="546" t="n"/>
      <c r="O117" s="546" t="n"/>
      <c r="P117" s="546" t="n"/>
      <c r="Q117" s="546" t="n"/>
      <c r="R117" s="546" t="n"/>
      <c r="S117" s="547" t="n"/>
      <c r="T117" s="349" t="n"/>
      <c r="U117" s="335" t="n"/>
      <c r="V117" s="335" t="n"/>
      <c r="W117" s="335" t="n"/>
      <c r="X117" s="335" t="n"/>
      <c r="Y117" s="335" t="n"/>
      <c r="Z117" s="336" t="n"/>
    </row>
    <row r="118" ht="12.6" customHeight="1">
      <c r="A118" s="381" t="n">
        <v>86</v>
      </c>
      <c r="B118" s="356" t="inlineStr">
        <is>
          <t xml:space="preserve">   - check dat er geen kapotte of beschadigde artikelen achterlaten worden</t>
        </is>
      </c>
      <c r="C118" s="357" t="inlineStr">
        <is>
          <t>vv</t>
        </is>
      </c>
      <c r="D118" s="584" t="inlineStr">
        <is>
          <t>geplande taak</t>
        </is>
      </c>
      <c r="E118" s="1075" t="n"/>
      <c r="F118" s="360" t="inlineStr">
        <is>
          <t>v</t>
        </is>
      </c>
      <c r="G118" s="358" t="inlineStr">
        <is>
          <t>v</t>
        </is>
      </c>
      <c r="H118" s="358" t="inlineStr">
        <is>
          <t>v</t>
        </is>
      </c>
      <c r="I118" s="358" t="inlineStr">
        <is>
          <t>v</t>
        </is>
      </c>
      <c r="J118" s="358" t="inlineStr">
        <is>
          <t>v</t>
        </is>
      </c>
      <c r="K118" s="358" t="inlineStr">
        <is>
          <t>v</t>
        </is>
      </c>
      <c r="L118" s="361" t="inlineStr">
        <is>
          <t>v</t>
        </is>
      </c>
      <c r="M118" s="548" t="n"/>
      <c r="N118" s="546" t="n"/>
      <c r="O118" s="546" t="n"/>
      <c r="P118" s="546" t="n"/>
      <c r="Q118" s="546" t="n"/>
      <c r="R118" s="546" t="n"/>
      <c r="S118" s="547" t="n"/>
      <c r="T118" s="349" t="n"/>
      <c r="U118" s="335" t="n"/>
      <c r="V118" s="335" t="n"/>
      <c r="W118" s="335" t="n"/>
      <c r="X118" s="335" t="n"/>
      <c r="Y118" s="335" t="n"/>
      <c r="Z118" s="336" t="n"/>
    </row>
    <row r="119" ht="12.6" customHeight="1">
      <c r="A119" s="381" t="n">
        <v>87</v>
      </c>
      <c r="B119" s="356" t="inlineStr">
        <is>
          <t xml:space="preserve">   - nieuwe vulling wordt op tijd naar de winkel gebracht</t>
        </is>
      </c>
      <c r="C119" s="357" t="inlineStr">
        <is>
          <t>vv</t>
        </is>
      </c>
      <c r="D119" s="584" t="inlineStr">
        <is>
          <t>geplande taak</t>
        </is>
      </c>
      <c r="E119" s="1075" t="n"/>
      <c r="F119" s="360" t="inlineStr">
        <is>
          <t>v</t>
        </is>
      </c>
      <c r="G119" s="358" t="inlineStr">
        <is>
          <t>v</t>
        </is>
      </c>
      <c r="H119" s="358" t="inlineStr">
        <is>
          <t>v</t>
        </is>
      </c>
      <c r="I119" s="358" t="inlineStr">
        <is>
          <t>v</t>
        </is>
      </c>
      <c r="J119" s="358" t="inlineStr">
        <is>
          <t>v</t>
        </is>
      </c>
      <c r="K119" s="358" t="inlineStr">
        <is>
          <t>v</t>
        </is>
      </c>
      <c r="L119" s="361" t="inlineStr">
        <is>
          <t>v</t>
        </is>
      </c>
      <c r="M119" s="548" t="n"/>
      <c r="N119" s="546" t="n"/>
      <c r="O119" s="546" t="n"/>
      <c r="P119" s="546" t="n"/>
      <c r="Q119" s="546" t="n"/>
      <c r="R119" s="546" t="n"/>
      <c r="S119" s="547" t="n"/>
      <c r="T119" s="349" t="n"/>
      <c r="U119" s="335" t="n"/>
      <c r="V119" s="335" t="n"/>
      <c r="W119" s="335" t="n"/>
      <c r="X119" s="335" t="n"/>
      <c r="Y119" s="335" t="n"/>
      <c r="Z119" s="336" t="n"/>
    </row>
    <row r="120" ht="12.6" customHeight="1">
      <c r="A120" s="381" t="n">
        <v>88</v>
      </c>
      <c r="B120" s="356" t="inlineStr">
        <is>
          <t>Restanten bepalen Vers: onderscheid maken tussen navulling en restant</t>
        </is>
      </c>
      <c r="C120" s="357" t="inlineStr">
        <is>
          <t>vv</t>
        </is>
      </c>
      <c r="D120" s="584" t="inlineStr">
        <is>
          <t>geplande taak</t>
        </is>
      </c>
      <c r="E120" s="1076" t="n"/>
      <c r="F120" s="360" t="inlineStr">
        <is>
          <t>v</t>
        </is>
      </c>
      <c r="G120" s="358" t="inlineStr">
        <is>
          <t>v</t>
        </is>
      </c>
      <c r="H120" s="358" t="inlineStr">
        <is>
          <t>v</t>
        </is>
      </c>
      <c r="I120" s="358" t="inlineStr">
        <is>
          <t>v</t>
        </is>
      </c>
      <c r="J120" s="358" t="inlineStr">
        <is>
          <t>v</t>
        </is>
      </c>
      <c r="K120" s="358" t="inlineStr">
        <is>
          <t>v</t>
        </is>
      </c>
      <c r="L120" s="361" t="inlineStr">
        <is>
          <t>v</t>
        </is>
      </c>
      <c r="M120" s="543" t="n"/>
      <c r="N120" s="544" t="n"/>
      <c r="O120" s="544" t="n"/>
      <c r="P120" s="544" t="n"/>
      <c r="Q120" s="544" t="n"/>
      <c r="R120" s="544" t="n"/>
      <c r="S120" s="545" t="n"/>
      <c r="T120" s="349" t="n"/>
      <c r="U120" s="335" t="n"/>
      <c r="V120" s="335" t="n"/>
      <c r="W120" s="335" t="n"/>
      <c r="X120" s="335" t="n"/>
      <c r="Y120" s="335" t="n"/>
      <c r="Z120" s="336" t="n"/>
    </row>
    <row r="121" ht="12.6" customHeight="1">
      <c r="A121" s="381" t="n">
        <v>89</v>
      </c>
      <c r="B121" s="356" t="inlineStr">
        <is>
          <t>Vulshiftpraatje Vers</t>
        </is>
      </c>
      <c r="C121" s="357" t="inlineStr">
        <is>
          <t>vv</t>
        </is>
      </c>
      <c r="D121" s="584" t="inlineStr">
        <is>
          <t>geplande taak</t>
        </is>
      </c>
      <c r="E121" s="1075" t="n">
        <v>-0.00347222222222221</v>
      </c>
      <c r="F121" s="360" t="inlineStr">
        <is>
          <t>v</t>
        </is>
      </c>
      <c r="G121" s="358" t="inlineStr">
        <is>
          <t>v</t>
        </is>
      </c>
      <c r="H121" s="358" t="inlineStr">
        <is>
          <t>v</t>
        </is>
      </c>
      <c r="I121" s="358" t="inlineStr">
        <is>
          <t>v</t>
        </is>
      </c>
      <c r="J121" s="358" t="inlineStr">
        <is>
          <t>v</t>
        </is>
      </c>
      <c r="K121" s="358" t="inlineStr">
        <is>
          <t>v</t>
        </is>
      </c>
      <c r="L121" s="361" t="inlineStr">
        <is>
          <t>v</t>
        </is>
      </c>
      <c r="M121" s="543" t="n"/>
      <c r="N121" s="544" t="n"/>
      <c r="O121" s="544" t="n"/>
      <c r="P121" s="544" t="n"/>
      <c r="Q121" s="544" t="n"/>
      <c r="R121" s="544" t="n"/>
      <c r="S121" s="545" t="n"/>
      <c r="T121" s="349" t="n"/>
      <c r="U121" s="335" t="n"/>
      <c r="V121" s="335" t="n"/>
      <c r="W121" s="335" t="n"/>
      <c r="X121" s="335" t="n"/>
      <c r="Y121" s="335" t="n"/>
      <c r="Z121" s="336" t="n"/>
    </row>
    <row r="122" ht="12.6" customHeight="1">
      <c r="A122" s="381" t="n">
        <v>90</v>
      </c>
      <c r="B122" s="356" t="inlineStr">
        <is>
          <t>Check uitvoering worp/mutaties/penwijzigingen (o.a. plankhoogte, stickers)</t>
        </is>
      </c>
      <c r="C122" s="357" t="inlineStr">
        <is>
          <t>wap</t>
        </is>
      </c>
      <c r="D122" s="584" t="inlineStr">
        <is>
          <t>geplande taak</t>
        </is>
      </c>
      <c r="E122" s="1075" t="n"/>
      <c r="F122" s="360" t="inlineStr">
        <is>
          <t>v</t>
        </is>
      </c>
      <c r="G122" s="358" t="inlineStr">
        <is>
          <t>v</t>
        </is>
      </c>
      <c r="H122" s="358" t="inlineStr">
        <is>
          <t>v</t>
        </is>
      </c>
      <c r="I122" s="358" t="inlineStr">
        <is>
          <t>v</t>
        </is>
      </c>
      <c r="J122" s="358" t="inlineStr">
        <is>
          <t>v</t>
        </is>
      </c>
      <c r="K122" s="358" t="inlineStr">
        <is>
          <t>v</t>
        </is>
      </c>
      <c r="L122" s="361" t="inlineStr">
        <is>
          <t>v</t>
        </is>
      </c>
      <c r="M122" s="548" t="n"/>
      <c r="N122" s="546" t="n"/>
      <c r="O122" s="546" t="n"/>
      <c r="P122" s="546" t="n"/>
      <c r="Q122" s="546" t="n"/>
      <c r="R122" s="546" t="n"/>
      <c r="S122" s="547" t="n"/>
      <c r="T122" s="349" t="n"/>
      <c r="U122" s="335" t="n"/>
      <c r="V122" s="335" t="n"/>
      <c r="W122" s="335" t="n"/>
      <c r="X122" s="335" t="n"/>
      <c r="Y122" s="335" t="n"/>
      <c r="Z122" s="336" t="n"/>
    </row>
    <row r="123" ht="12.6" customHeight="1">
      <c r="A123" s="381" t="n">
        <v>91</v>
      </c>
      <c r="B123" s="356" t="inlineStr">
        <is>
          <t>Uit assortimentartikelen lokaal afprijzen en presenteren met ronde prijzensticker</t>
        </is>
      </c>
      <c r="C123" s="357" t="inlineStr">
        <is>
          <t>wap</t>
        </is>
      </c>
      <c r="D123" s="584" t="inlineStr">
        <is>
          <t>geplande taak</t>
        </is>
      </c>
      <c r="E123" s="1075" t="n"/>
      <c r="F123" s="360" t="inlineStr">
        <is>
          <t>v</t>
        </is>
      </c>
      <c r="G123" s="358" t="inlineStr">
        <is>
          <t>v</t>
        </is>
      </c>
      <c r="H123" s="358" t="inlineStr">
        <is>
          <t>v</t>
        </is>
      </c>
      <c r="I123" s="358" t="inlineStr">
        <is>
          <t>v</t>
        </is>
      </c>
      <c r="J123" s="358" t="inlineStr">
        <is>
          <t>v</t>
        </is>
      </c>
      <c r="K123" s="358" t="inlineStr">
        <is>
          <t>v</t>
        </is>
      </c>
      <c r="L123" s="361" t="inlineStr">
        <is>
          <t>v</t>
        </is>
      </c>
      <c r="M123" s="543" t="n"/>
      <c r="N123" s="544" t="n"/>
      <c r="O123" s="544" t="n"/>
      <c r="P123" s="544" t="n"/>
      <c r="Q123" s="544" t="n"/>
      <c r="R123" s="544" t="n"/>
      <c r="S123" s="545" t="n"/>
      <c r="T123" s="349" t="n"/>
      <c r="U123" s="335" t="n"/>
      <c r="V123" s="335" t="n"/>
      <c r="W123" s="335" t="n"/>
      <c r="X123" s="335" t="n"/>
      <c r="Y123" s="335" t="n"/>
      <c r="Z123" s="336" t="n"/>
    </row>
    <row r="124" ht="12.6" customHeight="1">
      <c r="A124" s="381" t="n">
        <v>92</v>
      </c>
      <c r="B124" s="356" t="inlineStr">
        <is>
          <t>Planning maken in DagritmeONLINE</t>
        </is>
      </c>
      <c r="C124" s="357" t="inlineStr">
        <is>
          <t>wp</t>
        </is>
      </c>
      <c r="D124" s="584" t="inlineStr">
        <is>
          <t>geplande taak</t>
        </is>
      </c>
      <c r="E124" s="1075" t="n"/>
      <c r="F124" s="360" t="inlineStr">
        <is>
          <t>v</t>
        </is>
      </c>
      <c r="G124" s="358" t="inlineStr">
        <is>
          <t>v</t>
        </is>
      </c>
      <c r="H124" s="358" t="inlineStr">
        <is>
          <t>v</t>
        </is>
      </c>
      <c r="I124" s="358" t="inlineStr">
        <is>
          <t>v</t>
        </is>
      </c>
      <c r="J124" s="358" t="inlineStr">
        <is>
          <t>v</t>
        </is>
      </c>
      <c r="K124" s="358" t="inlineStr">
        <is>
          <t>v</t>
        </is>
      </c>
      <c r="L124" s="361" t="inlineStr">
        <is>
          <t>v</t>
        </is>
      </c>
      <c r="M124" s="543" t="n"/>
      <c r="N124" s="544" t="n"/>
      <c r="O124" s="544" t="n"/>
      <c r="P124" s="544" t="n"/>
      <c r="Q124" s="544" t="n"/>
      <c r="R124" s="544" t="n"/>
      <c r="S124" s="545" t="n"/>
      <c r="T124" s="349" t="n"/>
      <c r="U124" s="335" t="n"/>
      <c r="V124" s="335" t="n"/>
      <c r="W124" s="335" t="n"/>
      <c r="X124" s="335" t="n"/>
      <c r="Y124" s="335" t="n"/>
      <c r="Z124" s="336" t="n"/>
    </row>
    <row r="125" ht="12.6" customHeight="1">
      <c r="A125" s="381" t="n">
        <v>93</v>
      </c>
      <c r="B125" s="356" t="inlineStr">
        <is>
          <t>Winkelverzorging en spiegelen</t>
        </is>
      </c>
      <c r="C125" s="357" t="inlineStr">
        <is>
          <t>wv</t>
        </is>
      </c>
      <c r="D125" s="584" t="inlineStr">
        <is>
          <t>geplande taak</t>
        </is>
      </c>
      <c r="E125" s="1075" t="n"/>
      <c r="F125" s="360" t="inlineStr">
        <is>
          <t>v</t>
        </is>
      </c>
      <c r="G125" s="358" t="inlineStr">
        <is>
          <t>v</t>
        </is>
      </c>
      <c r="H125" s="358" t="inlineStr">
        <is>
          <t>v</t>
        </is>
      </c>
      <c r="I125" s="358" t="inlineStr">
        <is>
          <t>v</t>
        </is>
      </c>
      <c r="J125" s="358" t="inlineStr">
        <is>
          <t>v</t>
        </is>
      </c>
      <c r="K125" s="358" t="inlineStr">
        <is>
          <t>v</t>
        </is>
      </c>
      <c r="L125" s="361" t="inlineStr">
        <is>
          <t>v</t>
        </is>
      </c>
      <c r="M125" s="543" t="n"/>
      <c r="N125" s="544" t="n"/>
      <c r="O125" s="544" t="n"/>
      <c r="P125" s="544" t="n"/>
      <c r="Q125" s="544" t="n"/>
      <c r="R125" s="544" t="n"/>
      <c r="S125" s="545" t="n"/>
      <c r="T125" s="349" t="n"/>
      <c r="U125" s="335" t="n"/>
      <c r="V125" s="335" t="n"/>
      <c r="W125" s="335" t="n"/>
      <c r="X125" s="335" t="n"/>
      <c r="Y125" s="335" t="n"/>
      <c r="Z125" s="336" t="n"/>
    </row>
    <row r="126" ht="12.6" customHeight="1">
      <c r="A126" s="381" t="n">
        <v>94</v>
      </c>
      <c r="B126" s="356" t="inlineStr">
        <is>
          <t>Taakberichten lezen en uitvoeren</t>
        </is>
      </c>
      <c r="C126" s="357" t="n"/>
      <c r="D126" s="584" t="inlineStr">
        <is>
          <t>vaste tijd</t>
        </is>
      </c>
      <c r="E126" s="1075" t="n">
        <v>1.157407407407407e-05</v>
      </c>
      <c r="F126" s="360" t="inlineStr">
        <is>
          <t>v</t>
        </is>
      </c>
      <c r="G126" s="358" t="inlineStr">
        <is>
          <t>v</t>
        </is>
      </c>
      <c r="H126" s="358" t="inlineStr">
        <is>
          <t>v</t>
        </is>
      </c>
      <c r="I126" s="358" t="inlineStr">
        <is>
          <t>v</t>
        </is>
      </c>
      <c r="J126" s="358" t="inlineStr">
        <is>
          <t>v</t>
        </is>
      </c>
      <c r="K126" s="358" t="inlineStr">
        <is>
          <t>v</t>
        </is>
      </c>
      <c r="L126" s="361" t="inlineStr">
        <is>
          <t>v</t>
        </is>
      </c>
      <c r="M126" s="543" t="n">
        <v>0.25</v>
      </c>
      <c r="N126" s="544" t="n">
        <v>0.25</v>
      </c>
      <c r="O126" s="544" t="n">
        <v>0.25</v>
      </c>
      <c r="P126" s="544" t="n">
        <v>0.25</v>
      </c>
      <c r="Q126" s="544" t="n">
        <v>0.25</v>
      </c>
      <c r="R126" s="544" t="n">
        <v>0.25</v>
      </c>
      <c r="S126" s="545" t="n">
        <v>0.3333333333333333</v>
      </c>
      <c r="T126" s="349" t="n"/>
      <c r="U126" s="335" t="n"/>
      <c r="V126" s="335" t="n"/>
      <c r="W126" s="335" t="n"/>
      <c r="X126" s="335" t="n"/>
      <c r="Y126" s="335" t="n"/>
      <c r="Z126" s="336" t="n"/>
    </row>
    <row r="127" ht="12.6" customHeight="1">
      <c r="A127" s="381" t="n">
        <v>95</v>
      </c>
      <c r="B127" s="356" t="inlineStr">
        <is>
          <t>Questie: checken antwoorden gestelde vragen</t>
        </is>
      </c>
      <c r="C127" s="357" t="n"/>
      <c r="D127" s="584" t="inlineStr">
        <is>
          <t>vaste tijd</t>
        </is>
      </c>
      <c r="E127" s="1075" t="n">
        <v>2.314814814814815e-05</v>
      </c>
      <c r="F127" s="360" t="inlineStr">
        <is>
          <t>v</t>
        </is>
      </c>
      <c r="G127" s="358" t="inlineStr">
        <is>
          <t>v</t>
        </is>
      </c>
      <c r="H127" s="358" t="inlineStr">
        <is>
          <t>v</t>
        </is>
      </c>
      <c r="I127" s="358" t="inlineStr">
        <is>
          <t>v</t>
        </is>
      </c>
      <c r="J127" s="358" t="inlineStr">
        <is>
          <t>v</t>
        </is>
      </c>
      <c r="K127" s="358" t="inlineStr">
        <is>
          <t>v</t>
        </is>
      </c>
      <c r="L127" s="361" t="inlineStr">
        <is>
          <t>v</t>
        </is>
      </c>
      <c r="M127" s="543" t="n">
        <v>0.25</v>
      </c>
      <c r="N127" s="544" t="n">
        <v>0.25</v>
      </c>
      <c r="O127" s="544" t="n">
        <v>0.25</v>
      </c>
      <c r="P127" s="544" t="n">
        <v>0.25</v>
      </c>
      <c r="Q127" s="544" t="n">
        <v>0.25</v>
      </c>
      <c r="R127" s="544" t="n">
        <v>0.25</v>
      </c>
      <c r="S127" s="545" t="n">
        <v>0.3333333333333333</v>
      </c>
      <c r="T127" s="349" t="n"/>
      <c r="U127" s="335" t="n"/>
      <c r="V127" s="335" t="n"/>
      <c r="W127" s="335" t="n"/>
      <c r="X127" s="335" t="n"/>
      <c r="Y127" s="335" t="n"/>
      <c r="Z127" s="336" t="n"/>
    </row>
    <row r="128" ht="12.6" customHeight="1">
      <c r="A128" s="381" t="n">
        <v>96</v>
      </c>
      <c r="B128" s="356" t="inlineStr">
        <is>
          <t>Voorbereiden 2e Houdbaar vulshift (vulshiftplanning)</t>
        </is>
      </c>
      <c r="C128" s="357" t="n"/>
      <c r="D128" s="584" t="inlineStr">
        <is>
          <t>vaste tijd</t>
        </is>
      </c>
      <c r="E128" s="1076">
        <f>-1*(1/48)</f>
        <v/>
      </c>
      <c r="F128" s="360" t="inlineStr">
        <is>
          <t>v</t>
        </is>
      </c>
      <c r="G128" s="358" t="inlineStr">
        <is>
          <t>v</t>
        </is>
      </c>
      <c r="H128" s="358" t="inlineStr">
        <is>
          <t>v</t>
        </is>
      </c>
      <c r="I128" s="358" t="inlineStr">
        <is>
          <t>v</t>
        </is>
      </c>
      <c r="J128" s="358" t="inlineStr">
        <is>
          <t>v</t>
        </is>
      </c>
      <c r="K128" s="358" t="inlineStr">
        <is>
          <t>v</t>
        </is>
      </c>
      <c r="L128" s="361" t="inlineStr">
        <is>
          <t>v</t>
        </is>
      </c>
      <c r="M128" s="543">
        <f>IF(Instellingen!$F$31="","",Instellingen!$F$31)</f>
        <v/>
      </c>
      <c r="N128" s="544">
        <f>IF(Instellingen!$G$31="","",Instellingen!$G$31)</f>
        <v/>
      </c>
      <c r="O128" s="544">
        <f>IF(Instellingen!$H$31="","",Instellingen!$H$31)</f>
        <v/>
      </c>
      <c r="P128" s="544">
        <f>IF(Instellingen!$I$31="","",Instellingen!$I$31)</f>
        <v/>
      </c>
      <c r="Q128" s="544">
        <f>IF(Instellingen!$J$31="","",Instellingen!$J$31)</f>
        <v/>
      </c>
      <c r="R128" s="544">
        <f>IF(Instellingen!$K$31="","",Instellingen!$K$31)</f>
        <v/>
      </c>
      <c r="S128" s="545">
        <f>IF(Instellingen!$L$31="","",Instellingen!$L$31)</f>
        <v/>
      </c>
      <c r="T128" s="349" t="n"/>
      <c r="U128" s="335" t="n"/>
      <c r="V128" s="335" t="n"/>
      <c r="W128" s="335" t="n"/>
      <c r="X128" s="335" t="n"/>
      <c r="Y128" s="335" t="n"/>
      <c r="Z128" s="336" t="n"/>
    </row>
    <row r="129" ht="12.6" customHeight="1">
      <c r="A129" s="381" t="n">
        <v>97</v>
      </c>
      <c r="B129" s="356" t="inlineStr">
        <is>
          <t>Voorbereiden 2e Vers vulshift (vulshiftplanning)</t>
        </is>
      </c>
      <c r="C129" s="357" t="n"/>
      <c r="D129" s="584" t="inlineStr">
        <is>
          <t>vaste tijd</t>
        </is>
      </c>
      <c r="E129" s="1076">
        <f>-1*(1/48)</f>
        <v/>
      </c>
      <c r="F129" s="360" t="inlineStr">
        <is>
          <t>v</t>
        </is>
      </c>
      <c r="G129" s="358" t="inlineStr">
        <is>
          <t>v</t>
        </is>
      </c>
      <c r="H129" s="358" t="inlineStr">
        <is>
          <t>v</t>
        </is>
      </c>
      <c r="I129" s="358" t="inlineStr">
        <is>
          <t>v</t>
        </is>
      </c>
      <c r="J129" s="358" t="inlineStr">
        <is>
          <t>v</t>
        </is>
      </c>
      <c r="K129" s="358" t="inlineStr">
        <is>
          <t>v</t>
        </is>
      </c>
      <c r="L129" s="361" t="inlineStr">
        <is>
          <t>v</t>
        </is>
      </c>
      <c r="M129" s="543">
        <f>IF(Instellingen!$F$34="","",Instellingen!$F$34)</f>
        <v/>
      </c>
      <c r="N129" s="544">
        <f>IF(Instellingen!$G$34="","",Instellingen!$G$34)</f>
        <v/>
      </c>
      <c r="O129" s="544">
        <f>IF(Instellingen!$H$34="","",Instellingen!$H$34)</f>
        <v/>
      </c>
      <c r="P129" s="544">
        <f>IF(Instellingen!$I$34="","",Instellingen!$I$34)</f>
        <v/>
      </c>
      <c r="Q129" s="544">
        <f>IF(Instellingen!$J$34="","",Instellingen!$J$34)</f>
        <v/>
      </c>
      <c r="R129" s="544">
        <f>IF(Instellingen!$K$34="","",Instellingen!$K$34)</f>
        <v/>
      </c>
      <c r="S129" s="545">
        <f>IF(Instellingen!$L$34="","",Instellingen!$L$34)</f>
        <v/>
      </c>
      <c r="T129" s="349" t="n"/>
      <c r="U129" s="335" t="n"/>
      <c r="V129" s="335" t="n"/>
      <c r="W129" s="335" t="n"/>
      <c r="X129" s="335" t="n"/>
      <c r="Y129" s="335" t="n"/>
      <c r="Z129" s="336" t="n"/>
    </row>
    <row r="130" ht="12.6" customHeight="1">
      <c r="A130" s="381" t="n">
        <v>98</v>
      </c>
      <c r="B130" s="356" t="inlineStr">
        <is>
          <t>Voorbereiden Diepvries vulshift (vulshiftplanning)</t>
        </is>
      </c>
      <c r="C130" s="357" t="n"/>
      <c r="D130" s="584" t="inlineStr">
        <is>
          <t>vaste tijd</t>
        </is>
      </c>
      <c r="E130" s="1076">
        <f>-1*(1/48)</f>
        <v/>
      </c>
      <c r="F130" s="360" t="inlineStr">
        <is>
          <t>v</t>
        </is>
      </c>
      <c r="G130" s="358" t="inlineStr">
        <is>
          <t>v</t>
        </is>
      </c>
      <c r="H130" s="358" t="inlineStr">
        <is>
          <t>v</t>
        </is>
      </c>
      <c r="I130" s="358" t="inlineStr">
        <is>
          <t>v</t>
        </is>
      </c>
      <c r="J130" s="358" t="inlineStr">
        <is>
          <t>v</t>
        </is>
      </c>
      <c r="K130" s="358" t="inlineStr">
        <is>
          <t>v</t>
        </is>
      </c>
      <c r="L130" s="361" t="n"/>
      <c r="M130" s="543">
        <f>IF(Instellingen!$F$34="","",Instellingen!$F$34)</f>
        <v/>
      </c>
      <c r="N130" s="544">
        <f>IF(Instellingen!$G$34="","",Instellingen!$G$34)</f>
        <v/>
      </c>
      <c r="O130" s="544">
        <f>IF(Instellingen!$H$34="","",Instellingen!$H$34)</f>
        <v/>
      </c>
      <c r="P130" s="544">
        <f>IF(Instellingen!$I$34="","",Instellingen!$I$34)</f>
        <v/>
      </c>
      <c r="Q130" s="544">
        <f>IF(Instellingen!$J$34="","",Instellingen!$J$34)</f>
        <v/>
      </c>
      <c r="R130" s="544">
        <f>IF(Instellingen!$K$34="","",Instellingen!$K$34)</f>
        <v/>
      </c>
      <c r="S130" s="545">
        <f>IF(Instellingen!$L$34="","",Instellingen!$L$34)</f>
        <v/>
      </c>
      <c r="T130" s="349" t="n"/>
      <c r="U130" s="335" t="n"/>
      <c r="V130" s="335" t="n"/>
      <c r="W130" s="335" t="n"/>
      <c r="X130" s="335" t="n"/>
      <c r="Y130" s="335" t="n"/>
      <c r="Z130" s="336" t="n"/>
    </row>
    <row r="131" ht="12.6" customHeight="1">
      <c r="A131" s="381" t="n">
        <v>99</v>
      </c>
      <c r="B131" s="356" t="inlineStr">
        <is>
          <t>Voorbereiden Houdbaar vulshift (vulshiftplanning)</t>
        </is>
      </c>
      <c r="C131" s="357" t="n"/>
      <c r="D131" s="584" t="inlineStr">
        <is>
          <t>vaste tijd</t>
        </is>
      </c>
      <c r="E131" s="1076">
        <f>-1*(1/48)</f>
        <v/>
      </c>
      <c r="F131" s="360" t="inlineStr">
        <is>
          <t>v</t>
        </is>
      </c>
      <c r="G131" s="358" t="inlineStr">
        <is>
          <t>v</t>
        </is>
      </c>
      <c r="H131" s="358" t="inlineStr">
        <is>
          <t>v</t>
        </is>
      </c>
      <c r="I131" s="358" t="inlineStr">
        <is>
          <t>v</t>
        </is>
      </c>
      <c r="J131" s="358" t="inlineStr">
        <is>
          <t>v</t>
        </is>
      </c>
      <c r="K131" s="358" t="inlineStr">
        <is>
          <t>v</t>
        </is>
      </c>
      <c r="L131" s="361" t="inlineStr">
        <is>
          <t>v</t>
        </is>
      </c>
      <c r="M131" s="543">
        <f>IF(Instellingen!$F$30="","",Instellingen!$F$30)</f>
        <v/>
      </c>
      <c r="N131" s="544">
        <f>IF(Instellingen!$G$30="","",Instellingen!$G$30)</f>
        <v/>
      </c>
      <c r="O131" s="544">
        <f>IF(Instellingen!$H$30="","",Instellingen!$H$30)</f>
        <v/>
      </c>
      <c r="P131" s="544">
        <f>IF(Instellingen!$I$30="","",Instellingen!$I$30)</f>
        <v/>
      </c>
      <c r="Q131" s="544">
        <f>IF(Instellingen!$J$30="","",Instellingen!$J$30)</f>
        <v/>
      </c>
      <c r="R131" s="544">
        <f>IF(Instellingen!$K$30="","",Instellingen!$K$30)</f>
        <v/>
      </c>
      <c r="S131" s="545">
        <f>IF(Instellingen!$L$30="","",Instellingen!$L$30)</f>
        <v/>
      </c>
      <c r="T131" s="349" t="n"/>
      <c r="U131" s="335" t="n"/>
      <c r="V131" s="335" t="n"/>
      <c r="W131" s="335" t="n"/>
      <c r="X131" s="335" t="n"/>
      <c r="Y131" s="335" t="n"/>
      <c r="Z131" s="336" t="n"/>
    </row>
    <row r="132" ht="12.6" customHeight="1">
      <c r="A132" s="381" t="n">
        <v>100</v>
      </c>
      <c r="B132" s="356" t="inlineStr">
        <is>
          <t>Voorbereiden Vers vulshift (vulshiftplanning)</t>
        </is>
      </c>
      <c r="C132" s="357" t="n"/>
      <c r="D132" s="584" t="inlineStr">
        <is>
          <t>vaste tijd</t>
        </is>
      </c>
      <c r="E132" s="1076">
        <f>-1*(1/48)</f>
        <v/>
      </c>
      <c r="F132" s="360" t="inlineStr">
        <is>
          <t>v</t>
        </is>
      </c>
      <c r="G132" s="358" t="inlineStr">
        <is>
          <t>v</t>
        </is>
      </c>
      <c r="H132" s="358" t="inlineStr">
        <is>
          <t>v</t>
        </is>
      </c>
      <c r="I132" s="358" t="inlineStr">
        <is>
          <t>v</t>
        </is>
      </c>
      <c r="J132" s="358" t="inlineStr">
        <is>
          <t>v</t>
        </is>
      </c>
      <c r="K132" s="358" t="inlineStr">
        <is>
          <t>v</t>
        </is>
      </c>
      <c r="L132" s="361" t="inlineStr">
        <is>
          <t>v</t>
        </is>
      </c>
      <c r="M132" s="543">
        <f>IF(Instellingen!$F$33="","",Instellingen!$F$33)</f>
        <v/>
      </c>
      <c r="N132" s="544">
        <f>IF(Instellingen!$G$33="","",Instellingen!$G$33)</f>
        <v/>
      </c>
      <c r="O132" s="544">
        <f>IF(Instellingen!$H$33="","",Instellingen!$H$33)</f>
        <v/>
      </c>
      <c r="P132" s="544">
        <f>IF(Instellingen!$I$33="","",Instellingen!$I$33)</f>
        <v/>
      </c>
      <c r="Q132" s="544">
        <f>IF(Instellingen!$J$33="","",Instellingen!$J$33)</f>
        <v/>
      </c>
      <c r="R132" s="544">
        <f>IF(Instellingen!$K$33="","",Instellingen!$K$33)</f>
        <v/>
      </c>
      <c r="S132" s="545">
        <f>IF(Instellingen!$L$33="","",Instellingen!$L$33)</f>
        <v/>
      </c>
      <c r="T132" s="349" t="n"/>
      <c r="U132" s="335" t="n"/>
      <c r="V132" s="335" t="n"/>
      <c r="W132" s="335" t="n"/>
      <c r="X132" s="335" t="n"/>
      <c r="Y132" s="335" t="n"/>
      <c r="Z132" s="336" t="n"/>
    </row>
    <row r="133" ht="12.6" customHeight="1">
      <c r="A133" s="381" t="n">
        <v>101</v>
      </c>
      <c r="B133" s="356" t="inlineStr">
        <is>
          <t>Anomalieën oplossen in Protime</t>
        </is>
      </c>
      <c r="C133" s="357" t="n"/>
      <c r="D133" s="584" t="inlineStr">
        <is>
          <t>vaste tijd</t>
        </is>
      </c>
      <c r="E133" s="1075" t="n"/>
      <c r="F133" s="360" t="inlineStr">
        <is>
          <t>v</t>
        </is>
      </c>
      <c r="G133" s="358" t="inlineStr">
        <is>
          <t>v</t>
        </is>
      </c>
      <c r="H133" s="358" t="inlineStr">
        <is>
          <t>v</t>
        </is>
      </c>
      <c r="I133" s="358" t="inlineStr">
        <is>
          <t>v</t>
        </is>
      </c>
      <c r="J133" s="358" t="inlineStr">
        <is>
          <t>v</t>
        </is>
      </c>
      <c r="K133" s="358" t="inlineStr">
        <is>
          <t>v</t>
        </is>
      </c>
      <c r="L133" s="361" t="inlineStr">
        <is>
          <t>v</t>
        </is>
      </c>
      <c r="M133" s="543" t="n">
        <v>0.25</v>
      </c>
      <c r="N133" s="544" t="n">
        <v>0.25</v>
      </c>
      <c r="O133" s="544" t="n">
        <v>0.25</v>
      </c>
      <c r="P133" s="544" t="n">
        <v>0.25</v>
      </c>
      <c r="Q133" s="544" t="n">
        <v>0.25</v>
      </c>
      <c r="R133" s="544" t="n">
        <v>0.25</v>
      </c>
      <c r="S133" s="545" t="n">
        <v>0.3333333333333333</v>
      </c>
      <c r="T133" s="349" t="n"/>
      <c r="U133" s="335" t="n"/>
      <c r="V133" s="335" t="n"/>
      <c r="W133" s="335" t="n"/>
      <c r="X133" s="335" t="n"/>
      <c r="Y133" s="335" t="n"/>
      <c r="Z133" s="336" t="n"/>
    </row>
    <row r="134" ht="12.6" customHeight="1">
      <c r="A134" s="381" t="n">
        <v>102</v>
      </c>
      <c r="B134" s="356" t="inlineStr">
        <is>
          <t>Anomalieën oplossen in Protime</t>
        </is>
      </c>
      <c r="C134" s="357" t="n"/>
      <c r="D134" s="584" t="inlineStr">
        <is>
          <t>sluitingstijd</t>
        </is>
      </c>
      <c r="E134" s="1075" t="n"/>
      <c r="F134" s="360" t="inlineStr">
        <is>
          <t>v</t>
        </is>
      </c>
      <c r="G134" s="358" t="inlineStr">
        <is>
          <t>v</t>
        </is>
      </c>
      <c r="H134" s="358" t="inlineStr">
        <is>
          <t>v</t>
        </is>
      </c>
      <c r="I134" s="358" t="inlineStr">
        <is>
          <t>v</t>
        </is>
      </c>
      <c r="J134" s="358" t="inlineStr">
        <is>
          <t>v</t>
        </is>
      </c>
      <c r="K134" s="358" t="inlineStr">
        <is>
          <t>v</t>
        </is>
      </c>
      <c r="L134" s="361" t="inlineStr">
        <is>
          <t>v</t>
        </is>
      </c>
      <c r="M134" s="543" t="n"/>
      <c r="N134" s="544" t="n"/>
      <c r="O134" s="544" t="n"/>
      <c r="P134" s="544" t="n"/>
      <c r="Q134" s="544" t="n"/>
      <c r="R134" s="544" t="n"/>
      <c r="S134" s="545" t="n"/>
      <c r="T134" s="349" t="n"/>
      <c r="U134" s="335" t="n"/>
      <c r="V134" s="335" t="n"/>
      <c r="W134" s="335" t="n"/>
      <c r="X134" s="335" t="n"/>
      <c r="Y134" s="335" t="n"/>
      <c r="Z134" s="336" t="n"/>
    </row>
    <row r="135" ht="12.6" customHeight="1">
      <c r="A135" s="381" t="n">
        <v>103</v>
      </c>
      <c r="B135" s="356" t="inlineStr">
        <is>
          <t>Overdracht output vulshift via shiftrapport of ander communicatiemiddel</t>
        </is>
      </c>
      <c r="C135" s="357" t="n"/>
      <c r="D135" s="584" t="inlineStr">
        <is>
          <t>sluitingstijd</t>
        </is>
      </c>
      <c r="E135" s="1075" t="n"/>
      <c r="F135" s="360" t="inlineStr">
        <is>
          <t>v</t>
        </is>
      </c>
      <c r="G135" s="358" t="inlineStr">
        <is>
          <t>v</t>
        </is>
      </c>
      <c r="H135" s="358" t="inlineStr">
        <is>
          <t>v</t>
        </is>
      </c>
      <c r="I135" s="358" t="inlineStr">
        <is>
          <t>v</t>
        </is>
      </c>
      <c r="J135" s="358" t="inlineStr">
        <is>
          <t>v</t>
        </is>
      </c>
      <c r="K135" s="358" t="inlineStr">
        <is>
          <t>v</t>
        </is>
      </c>
      <c r="L135" s="361" t="inlineStr">
        <is>
          <t>v</t>
        </is>
      </c>
      <c r="M135" s="543" t="n"/>
      <c r="N135" s="544" t="n"/>
      <c r="O135" s="544" t="n"/>
      <c r="P135" s="544" t="n"/>
      <c r="Q135" s="544" t="n"/>
      <c r="R135" s="544" t="n"/>
      <c r="S135" s="545" t="n"/>
      <c r="T135" s="349" t="n"/>
      <c r="U135" s="335" t="n"/>
      <c r="V135" s="335" t="n"/>
      <c r="W135" s="335" t="n"/>
      <c r="X135" s="335" t="n"/>
      <c r="Y135" s="335" t="n"/>
      <c r="Z135" s="336" t="n"/>
    </row>
    <row r="136" ht="12.6" customHeight="1">
      <c r="A136" s="381" t="n">
        <v>104</v>
      </c>
      <c r="B136" s="356" t="inlineStr">
        <is>
          <t>Taakberichten lezen en uitvoeren</t>
        </is>
      </c>
      <c r="C136" s="357" t="n"/>
      <c r="D136" s="584" t="inlineStr">
        <is>
          <t>vaste tijd</t>
        </is>
      </c>
      <c r="E136" s="1075" t="n"/>
      <c r="F136" s="360" t="inlineStr">
        <is>
          <t>v</t>
        </is>
      </c>
      <c r="G136" s="358" t="inlineStr">
        <is>
          <t>v</t>
        </is>
      </c>
      <c r="H136" s="358" t="inlineStr">
        <is>
          <t>v</t>
        </is>
      </c>
      <c r="I136" s="358" t="inlineStr">
        <is>
          <t>v</t>
        </is>
      </c>
      <c r="J136" s="358" t="inlineStr">
        <is>
          <t>v</t>
        </is>
      </c>
      <c r="K136" s="358" t="inlineStr">
        <is>
          <t>v</t>
        </is>
      </c>
      <c r="L136" s="361" t="inlineStr">
        <is>
          <t>v</t>
        </is>
      </c>
      <c r="M136" s="543" t="n">
        <v>0.5208333333333334</v>
      </c>
      <c r="N136" s="544" t="n">
        <v>0.5208333333333334</v>
      </c>
      <c r="O136" s="544" t="n">
        <v>0.5208333333333334</v>
      </c>
      <c r="P136" s="544" t="n">
        <v>0.5208333333333334</v>
      </c>
      <c r="Q136" s="544" t="n">
        <v>0.5208333333333334</v>
      </c>
      <c r="R136" s="544" t="n">
        <v>0.5208333333333334</v>
      </c>
      <c r="S136" s="545" t="n"/>
      <c r="T136" s="349" t="n"/>
      <c r="U136" s="335" t="n"/>
      <c r="V136" s="335" t="n"/>
      <c r="W136" s="335" t="n"/>
      <c r="X136" s="335" t="n"/>
      <c r="Y136" s="335" t="n"/>
      <c r="Z136" s="336" t="n"/>
    </row>
    <row r="137" ht="12.6" customHeight="1">
      <c r="A137" s="381" t="n">
        <v>105</v>
      </c>
      <c r="B137" s="356" t="inlineStr">
        <is>
          <t>Deuren sluiten voor kassaprocedure (opening)</t>
        </is>
      </c>
      <c r="C137" s="357" t="n"/>
      <c r="D137" s="584" t="inlineStr">
        <is>
          <t>openingstijd</t>
        </is>
      </c>
      <c r="E137" s="1075">
        <f>-1*(1/48)</f>
        <v/>
      </c>
      <c r="F137" s="360" t="inlineStr">
        <is>
          <t>v</t>
        </is>
      </c>
      <c r="G137" s="358" t="inlineStr">
        <is>
          <t>v</t>
        </is>
      </c>
      <c r="H137" s="358" t="inlineStr">
        <is>
          <t>v</t>
        </is>
      </c>
      <c r="I137" s="358" t="inlineStr">
        <is>
          <t>v</t>
        </is>
      </c>
      <c r="J137" s="358" t="inlineStr">
        <is>
          <t>v</t>
        </is>
      </c>
      <c r="K137" s="358" t="inlineStr">
        <is>
          <t>v</t>
        </is>
      </c>
      <c r="L137" s="361" t="inlineStr">
        <is>
          <t>v</t>
        </is>
      </c>
      <c r="M137" s="543" t="n"/>
      <c r="N137" s="544" t="n"/>
      <c r="O137" s="544" t="n"/>
      <c r="P137" s="544" t="n"/>
      <c r="Q137" s="544" t="n"/>
      <c r="R137" s="544" t="n"/>
      <c r="S137" s="545" t="n"/>
      <c r="T137" s="349" t="n"/>
      <c r="U137" s="335" t="n"/>
      <c r="V137" s="335" t="n"/>
      <c r="W137" s="335" t="n"/>
      <c r="X137" s="335" t="n"/>
      <c r="Y137" s="335" t="n"/>
      <c r="Z137" s="336" t="n"/>
    </row>
    <row r="138" ht="12.6" customHeight="1">
      <c r="A138" s="381" t="n">
        <v>106</v>
      </c>
      <c r="B138" s="356" t="inlineStr">
        <is>
          <t>Deuren sluiten voor kassaprocedure (sluiting)</t>
        </is>
      </c>
      <c r="C138" s="357" t="inlineStr"/>
      <c r="D138" s="584" t="inlineStr">
        <is>
          <t>sluitingstijd</t>
        </is>
      </c>
      <c r="E138" s="1076" t="n"/>
      <c r="F138" s="360" t="inlineStr">
        <is>
          <t>v</t>
        </is>
      </c>
      <c r="G138" s="358" t="inlineStr">
        <is>
          <t>v</t>
        </is>
      </c>
      <c r="H138" s="358" t="inlineStr">
        <is>
          <t>v</t>
        </is>
      </c>
      <c r="I138" s="358" t="inlineStr">
        <is>
          <t>v</t>
        </is>
      </c>
      <c r="J138" s="358" t="inlineStr">
        <is>
          <t>v</t>
        </is>
      </c>
      <c r="K138" s="358" t="inlineStr">
        <is>
          <t>v</t>
        </is>
      </c>
      <c r="L138" s="361" t="inlineStr">
        <is>
          <t>v</t>
        </is>
      </c>
      <c r="M138" s="548" t="n"/>
      <c r="N138" s="546" t="n"/>
      <c r="O138" s="546" t="n"/>
      <c r="P138" s="546" t="n"/>
      <c r="Q138" s="546" t="n"/>
      <c r="R138" s="546" t="n"/>
      <c r="S138" s="547" t="n"/>
      <c r="T138" s="349" t="n"/>
      <c r="U138" s="335" t="n"/>
      <c r="V138" s="335" t="n"/>
      <c r="W138" s="335" t="n"/>
      <c r="X138" s="335" t="n"/>
      <c r="Y138" s="335" t="n"/>
      <c r="Z138" s="336" t="n"/>
    </row>
    <row r="139" ht="12.6" customHeight="1">
      <c r="A139" s="381" t="n">
        <v>107</v>
      </c>
      <c r="B139" s="356" t="inlineStr">
        <is>
          <t>Onnodige obstakels voor klanten weghalen (vulcontainers, dolly's, restanten)</t>
        </is>
      </c>
      <c r="C139" s="357" t="inlineStr"/>
      <c r="D139" s="584" t="inlineStr">
        <is>
          <t>openingstijd</t>
        </is>
      </c>
      <c r="E139" s="1075" t="n"/>
      <c r="F139" s="360" t="inlineStr">
        <is>
          <t>v</t>
        </is>
      </c>
      <c r="G139" s="358" t="inlineStr">
        <is>
          <t>v</t>
        </is>
      </c>
      <c r="H139" s="358" t="inlineStr">
        <is>
          <t>v</t>
        </is>
      </c>
      <c r="I139" s="358" t="inlineStr">
        <is>
          <t>v</t>
        </is>
      </c>
      <c r="J139" s="358" t="inlineStr">
        <is>
          <t>v</t>
        </is>
      </c>
      <c r="K139" s="358" t="inlineStr">
        <is>
          <t>v</t>
        </is>
      </c>
      <c r="L139" s="361" t="inlineStr">
        <is>
          <t>v</t>
        </is>
      </c>
      <c r="M139" s="548" t="n"/>
      <c r="N139" s="546" t="n"/>
      <c r="O139" s="546" t="n"/>
      <c r="P139" s="546" t="n"/>
      <c r="Q139" s="546" t="n"/>
      <c r="R139" s="546" t="n"/>
      <c r="S139" s="547" t="n"/>
      <c r="T139" s="349" t="n"/>
      <c r="U139" s="335" t="n"/>
      <c r="V139" s="335" t="n"/>
      <c r="W139" s="335" t="n"/>
      <c r="X139" s="335" t="n"/>
      <c r="Y139" s="335" t="n"/>
      <c r="Z139" s="336" t="n"/>
    </row>
    <row r="140" ht="12.6" customHeight="1">
      <c r="A140" s="381" t="n">
        <v>108</v>
      </c>
      <c r="B140" s="356" t="inlineStr"/>
      <c r="C140" s="357" t="inlineStr"/>
      <c r="D140" s="584" t="n"/>
      <c r="E140" s="1075" t="n"/>
      <c r="F140" s="360" t="inlineStr"/>
      <c r="G140" s="358" t="inlineStr"/>
      <c r="H140" s="358" t="inlineStr"/>
      <c r="I140" s="358" t="inlineStr"/>
      <c r="J140" s="358" t="inlineStr"/>
      <c r="K140" s="358" t="inlineStr"/>
      <c r="L140" s="361" t="inlineStr"/>
      <c r="M140" s="548" t="n"/>
      <c r="N140" s="546" t="n"/>
      <c r="O140" s="546" t="n"/>
      <c r="P140" s="546" t="n"/>
      <c r="Q140" s="546" t="n"/>
      <c r="R140" s="546" t="n"/>
      <c r="S140" s="547" t="n"/>
      <c r="T140" s="349" t="n"/>
      <c r="U140" s="335" t="n"/>
      <c r="V140" s="335" t="n"/>
      <c r="W140" s="335" t="n"/>
      <c r="X140" s="335" t="n"/>
      <c r="Y140" s="335" t="n"/>
      <c r="Z140" s="336" t="n"/>
    </row>
    <row r="141" ht="12.6" customHeight="1">
      <c r="A141" s="381" t="n">
        <v>109</v>
      </c>
      <c r="B141" s="356" t="inlineStr"/>
      <c r="C141" s="357" t="inlineStr"/>
      <c r="D141" s="584" t="n"/>
      <c r="E141" s="1075" t="n"/>
      <c r="F141" s="360" t="inlineStr"/>
      <c r="G141" s="358" t="inlineStr"/>
      <c r="H141" s="358" t="inlineStr"/>
      <c r="I141" s="358" t="inlineStr"/>
      <c r="J141" s="358" t="inlineStr"/>
      <c r="K141" s="358" t="inlineStr"/>
      <c r="L141" s="361" t="inlineStr"/>
      <c r="M141" s="548" t="n"/>
      <c r="N141" s="546" t="n"/>
      <c r="O141" s="546" t="n"/>
      <c r="P141" s="546" t="n"/>
      <c r="Q141" s="546" t="n"/>
      <c r="R141" s="546" t="n"/>
      <c r="S141" s="547" t="n"/>
      <c r="T141" s="349" t="n"/>
      <c r="U141" s="335" t="n"/>
      <c r="V141" s="335" t="n"/>
      <c r="W141" s="335" t="n"/>
      <c r="X141" s="335" t="n"/>
      <c r="Y141" s="335" t="n"/>
      <c r="Z141" s="336" t="n"/>
    </row>
    <row r="142" ht="12.6" customHeight="1">
      <c r="A142" s="381" t="n">
        <v>110</v>
      </c>
      <c r="B142" s="356" t="inlineStr"/>
      <c r="C142" s="357" t="inlineStr"/>
      <c r="D142" s="584" t="n"/>
      <c r="E142" s="1075" t="n"/>
      <c r="F142" s="360" t="inlineStr"/>
      <c r="G142" s="358" t="inlineStr"/>
      <c r="H142" s="358" t="inlineStr"/>
      <c r="I142" s="358" t="inlineStr"/>
      <c r="J142" s="358" t="inlineStr"/>
      <c r="K142" s="358" t="inlineStr"/>
      <c r="L142" s="361" t="inlineStr"/>
      <c r="M142" s="548" t="n"/>
      <c r="N142" s="546" t="n"/>
      <c r="O142" s="546" t="n"/>
      <c r="P142" s="546" t="n"/>
      <c r="Q142" s="546" t="n"/>
      <c r="R142" s="546" t="n"/>
      <c r="S142" s="547" t="n"/>
      <c r="T142" s="349" t="n"/>
      <c r="U142" s="335" t="n"/>
      <c r="V142" s="335" t="n"/>
      <c r="W142" s="335" t="n"/>
      <c r="X142" s="335" t="n"/>
      <c r="Y142" s="335" t="n"/>
      <c r="Z142" s="336" t="n"/>
    </row>
    <row r="143" ht="12.6" customHeight="1">
      <c r="A143" s="381" t="n">
        <v>111</v>
      </c>
      <c r="B143" s="356" t="inlineStr"/>
      <c r="C143" s="357" t="inlineStr"/>
      <c r="D143" s="584" t="n"/>
      <c r="E143" s="1075" t="n"/>
      <c r="F143" s="360" t="inlineStr"/>
      <c r="G143" s="358" t="inlineStr"/>
      <c r="H143" s="358" t="inlineStr"/>
      <c r="I143" s="358" t="inlineStr"/>
      <c r="J143" s="358" t="inlineStr"/>
      <c r="K143" s="358" t="inlineStr"/>
      <c r="L143" s="361" t="inlineStr"/>
      <c r="M143" s="548" t="n"/>
      <c r="N143" s="546" t="n"/>
      <c r="O143" s="546" t="n"/>
      <c r="P143" s="546" t="n"/>
      <c r="Q143" s="546" t="n"/>
      <c r="R143" s="546" t="n"/>
      <c r="S143" s="547" t="n"/>
      <c r="T143" s="349" t="n"/>
      <c r="U143" s="335" t="n"/>
      <c r="V143" s="335" t="n"/>
      <c r="W143" s="335" t="n"/>
      <c r="X143" s="335" t="n"/>
      <c r="Y143" s="335" t="n"/>
      <c r="Z143" s="336" t="n"/>
    </row>
    <row r="144" ht="12.6" customHeight="1">
      <c r="A144" s="381" t="n">
        <v>112</v>
      </c>
      <c r="B144" s="356" t="inlineStr"/>
      <c r="C144" s="357" t="inlineStr"/>
      <c r="D144" s="584" t="n"/>
      <c r="E144" s="1075" t="n"/>
      <c r="F144" s="360" t="inlineStr"/>
      <c r="G144" s="358" t="inlineStr"/>
      <c r="H144" s="358" t="inlineStr"/>
      <c r="I144" s="358" t="inlineStr"/>
      <c r="J144" s="358" t="inlineStr"/>
      <c r="K144" s="358" t="inlineStr"/>
      <c r="L144" s="361" t="inlineStr"/>
      <c r="M144" s="548" t="n"/>
      <c r="N144" s="546" t="n"/>
      <c r="O144" s="546" t="n"/>
      <c r="P144" s="546" t="n"/>
      <c r="Q144" s="546" t="n"/>
      <c r="R144" s="546" t="n"/>
      <c r="S144" s="547" t="n"/>
      <c r="T144" s="349" t="n"/>
      <c r="U144" s="335" t="n"/>
      <c r="V144" s="335" t="n"/>
      <c r="W144" s="335" t="n"/>
      <c r="X144" s="335" t="n"/>
      <c r="Y144" s="335" t="n"/>
      <c r="Z144" s="336" t="n"/>
    </row>
    <row r="145" ht="12.6" customHeight="1">
      <c r="A145" s="381" t="n">
        <v>113</v>
      </c>
      <c r="B145" s="356" t="inlineStr"/>
      <c r="C145" s="357" t="inlineStr"/>
      <c r="D145" s="584" t="n"/>
      <c r="E145" s="1075" t="n"/>
      <c r="F145" s="360" t="inlineStr"/>
      <c r="G145" s="358" t="inlineStr"/>
      <c r="H145" s="358" t="inlineStr"/>
      <c r="I145" s="358" t="inlineStr"/>
      <c r="J145" s="358" t="inlineStr"/>
      <c r="K145" s="358" t="inlineStr"/>
      <c r="L145" s="361" t="inlineStr"/>
      <c r="M145" s="548" t="n"/>
      <c r="N145" s="546" t="n"/>
      <c r="O145" s="546" t="n"/>
      <c r="P145" s="546" t="n"/>
      <c r="Q145" s="546" t="n"/>
      <c r="R145" s="546" t="n"/>
      <c r="S145" s="547" t="n"/>
      <c r="T145" s="349" t="n"/>
      <c r="U145" s="335" t="n"/>
      <c r="V145" s="335" t="n"/>
      <c r="W145" s="335" t="n"/>
      <c r="X145" s="335" t="n"/>
      <c r="Y145" s="335" t="n"/>
      <c r="Z145" s="336" t="n"/>
    </row>
    <row r="146" ht="12.6" customHeight="1">
      <c r="A146" s="381" t="n">
        <v>114</v>
      </c>
      <c r="B146" s="356" t="inlineStr"/>
      <c r="C146" s="357" t="inlineStr"/>
      <c r="D146" s="584" t="n"/>
      <c r="E146" s="1075" t="n"/>
      <c r="F146" s="360" t="inlineStr"/>
      <c r="G146" s="358" t="inlineStr"/>
      <c r="H146" s="358" t="inlineStr"/>
      <c r="I146" s="358" t="inlineStr"/>
      <c r="J146" s="358" t="inlineStr"/>
      <c r="K146" s="358" t="inlineStr"/>
      <c r="L146" s="361" t="inlineStr"/>
      <c r="M146" s="548" t="n"/>
      <c r="N146" s="546" t="n"/>
      <c r="O146" s="546" t="n"/>
      <c r="P146" s="546" t="n"/>
      <c r="Q146" s="546" t="n"/>
      <c r="R146" s="546" t="n"/>
      <c r="S146" s="547" t="n"/>
      <c r="T146" s="349" t="n"/>
      <c r="U146" s="335" t="n"/>
      <c r="V146" s="335" t="n"/>
      <c r="W146" s="335" t="n"/>
      <c r="X146" s="335" t="n"/>
      <c r="Y146" s="335" t="n"/>
      <c r="Z146" s="336" t="n"/>
    </row>
    <row r="147" ht="12.6" customHeight="1">
      <c r="A147" s="381" t="n">
        <v>115</v>
      </c>
      <c r="B147" s="356" t="inlineStr"/>
      <c r="C147" s="357" t="inlineStr"/>
      <c r="D147" s="584" t="n"/>
      <c r="E147" s="1075" t="n"/>
      <c r="F147" s="360" t="inlineStr"/>
      <c r="G147" s="358" t="inlineStr"/>
      <c r="H147" s="358" t="inlineStr"/>
      <c r="I147" s="358" t="inlineStr"/>
      <c r="J147" s="358" t="inlineStr"/>
      <c r="K147" s="358" t="inlineStr"/>
      <c r="L147" s="361" t="inlineStr"/>
      <c r="M147" s="548" t="n"/>
      <c r="N147" s="546" t="n"/>
      <c r="O147" s="546" t="n"/>
      <c r="P147" s="546" t="n"/>
      <c r="Q147" s="546" t="n"/>
      <c r="R147" s="546" t="n"/>
      <c r="S147" s="547" t="n"/>
      <c r="T147" s="349" t="n"/>
      <c r="U147" s="335" t="n"/>
      <c r="V147" s="335" t="n"/>
      <c r="W147" s="335" t="n"/>
      <c r="X147" s="335" t="n"/>
      <c r="Y147" s="335" t="n"/>
      <c r="Z147" s="336" t="n"/>
    </row>
    <row r="148" ht="12.6" customHeight="1">
      <c r="A148" s="381" t="n">
        <v>116</v>
      </c>
      <c r="B148" s="356" t="inlineStr"/>
      <c r="C148" s="357" t="inlineStr"/>
      <c r="D148" s="584" t="n"/>
      <c r="E148" s="1075" t="n"/>
      <c r="F148" s="360" t="inlineStr"/>
      <c r="G148" s="358" t="inlineStr"/>
      <c r="H148" s="358" t="inlineStr"/>
      <c r="I148" s="358" t="inlineStr"/>
      <c r="J148" s="358" t="inlineStr"/>
      <c r="K148" s="358" t="inlineStr"/>
      <c r="L148" s="361" t="inlineStr"/>
      <c r="M148" s="548" t="n"/>
      <c r="N148" s="546" t="n"/>
      <c r="O148" s="546" t="n"/>
      <c r="P148" s="546" t="n"/>
      <c r="Q148" s="546" t="n"/>
      <c r="R148" s="546" t="n"/>
      <c r="S148" s="547" t="n"/>
      <c r="T148" s="349" t="n"/>
      <c r="U148" s="335" t="n"/>
      <c r="V148" s="335" t="n"/>
      <c r="W148" s="335" t="n"/>
      <c r="X148" s="335" t="n"/>
      <c r="Y148" s="335" t="n"/>
      <c r="Z148" s="336" t="n"/>
    </row>
    <row r="149" ht="12.6" customHeight="1">
      <c r="A149" s="381" t="n">
        <v>117</v>
      </c>
      <c r="B149" s="356" t="inlineStr"/>
      <c r="C149" s="357" t="inlineStr"/>
      <c r="D149" s="584" t="n"/>
      <c r="E149" s="1075" t="n"/>
      <c r="F149" s="360" t="inlineStr"/>
      <c r="G149" s="358" t="inlineStr"/>
      <c r="H149" s="358" t="inlineStr"/>
      <c r="I149" s="358" t="inlineStr"/>
      <c r="J149" s="358" t="inlineStr"/>
      <c r="K149" s="358" t="inlineStr"/>
      <c r="L149" s="361" t="inlineStr"/>
      <c r="M149" s="548" t="n"/>
      <c r="N149" s="546" t="n"/>
      <c r="O149" s="546" t="n"/>
      <c r="P149" s="546" t="n"/>
      <c r="Q149" s="546" t="n"/>
      <c r="R149" s="546" t="n"/>
      <c r="S149" s="547" t="n"/>
      <c r="T149" s="349" t="n"/>
      <c r="U149" s="335" t="n"/>
      <c r="V149" s="335" t="n"/>
      <c r="W149" s="335" t="n"/>
      <c r="X149" s="335" t="n"/>
      <c r="Y149" s="335" t="n"/>
      <c r="Z149" s="336" t="n"/>
    </row>
    <row r="150" ht="12.6" customHeight="1">
      <c r="A150" s="381" t="n">
        <v>118</v>
      </c>
      <c r="B150" s="356" t="inlineStr"/>
      <c r="C150" s="357" t="inlineStr"/>
      <c r="D150" s="584" t="n"/>
      <c r="E150" s="1075" t="n"/>
      <c r="F150" s="360" t="inlineStr"/>
      <c r="G150" s="358" t="inlineStr"/>
      <c r="H150" s="358" t="inlineStr"/>
      <c r="I150" s="358" t="inlineStr"/>
      <c r="J150" s="358" t="inlineStr"/>
      <c r="K150" s="358" t="inlineStr"/>
      <c r="L150" s="361" t="inlineStr"/>
      <c r="M150" s="548" t="n"/>
      <c r="N150" s="546" t="n"/>
      <c r="O150" s="546" t="n"/>
      <c r="P150" s="546" t="n"/>
      <c r="Q150" s="546" t="n"/>
      <c r="R150" s="546" t="n"/>
      <c r="S150" s="547" t="n"/>
      <c r="T150" s="349" t="n"/>
      <c r="U150" s="335" t="n"/>
      <c r="V150" s="335" t="n"/>
      <c r="W150" s="335" t="n"/>
      <c r="X150" s="335" t="n"/>
      <c r="Y150" s="335" t="n"/>
      <c r="Z150" s="336" t="n"/>
    </row>
    <row r="151" ht="12.6" customHeight="1">
      <c r="A151" s="381" t="n">
        <v>119</v>
      </c>
      <c r="B151" s="356" t="inlineStr"/>
      <c r="C151" s="357" t="inlineStr"/>
      <c r="D151" s="584" t="n"/>
      <c r="E151" s="1075" t="n"/>
      <c r="F151" s="360" t="inlineStr"/>
      <c r="G151" s="358" t="inlineStr"/>
      <c r="H151" s="358" t="inlineStr"/>
      <c r="I151" s="358" t="inlineStr"/>
      <c r="J151" s="358" t="inlineStr"/>
      <c r="K151" s="358" t="inlineStr"/>
      <c r="L151" s="361" t="inlineStr"/>
      <c r="M151" s="548" t="n"/>
      <c r="N151" s="546" t="n"/>
      <c r="O151" s="546" t="n"/>
      <c r="P151" s="546" t="n"/>
      <c r="Q151" s="546" t="n"/>
      <c r="R151" s="546" t="n"/>
      <c r="S151" s="547" t="n"/>
      <c r="T151" s="349" t="n"/>
      <c r="U151" s="335" t="n"/>
      <c r="V151" s="335" t="n"/>
      <c r="W151" s="335" t="n"/>
      <c r="X151" s="335" t="n"/>
      <c r="Y151" s="335" t="n"/>
      <c r="Z151" s="336" t="n"/>
    </row>
    <row r="152" ht="12.6" customHeight="1">
      <c r="A152" s="381" t="n">
        <v>120</v>
      </c>
      <c r="B152" s="356" t="inlineStr"/>
      <c r="C152" s="357" t="inlineStr"/>
      <c r="D152" s="584" t="n"/>
      <c r="E152" s="1075" t="n"/>
      <c r="F152" s="360" t="inlineStr"/>
      <c r="G152" s="358" t="inlineStr"/>
      <c r="H152" s="358" t="inlineStr"/>
      <c r="I152" s="358" t="inlineStr"/>
      <c r="J152" s="358" t="inlineStr"/>
      <c r="K152" s="358" t="inlineStr"/>
      <c r="L152" s="361" t="inlineStr"/>
      <c r="M152" s="548" t="n"/>
      <c r="N152" s="546" t="n"/>
      <c r="O152" s="546" t="n"/>
      <c r="P152" s="546" t="n"/>
      <c r="Q152" s="546" t="n"/>
      <c r="R152" s="546" t="n"/>
      <c r="S152" s="547" t="n"/>
      <c r="T152" s="349" t="n"/>
      <c r="U152" s="335" t="n"/>
      <c r="V152" s="335" t="n"/>
      <c r="W152" s="335" t="n"/>
      <c r="X152" s="539" t="n"/>
      <c r="Y152" s="335" t="n"/>
      <c r="Z152" s="336" t="n"/>
    </row>
    <row r="153" ht="12.6" customHeight="1">
      <c r="A153" s="381" t="n">
        <v>121</v>
      </c>
      <c r="B153" s="356" t="inlineStr"/>
      <c r="C153" s="357" t="inlineStr"/>
      <c r="D153" s="584" t="n"/>
      <c r="E153" s="1075" t="n"/>
      <c r="F153" s="360" t="inlineStr"/>
      <c r="G153" s="358" t="inlineStr"/>
      <c r="H153" s="358" t="inlineStr"/>
      <c r="I153" s="358" t="inlineStr"/>
      <c r="J153" s="358" t="inlineStr"/>
      <c r="K153" s="358" t="inlineStr"/>
      <c r="L153" s="361" t="inlineStr"/>
      <c r="M153" s="548" t="n"/>
      <c r="N153" s="546" t="n"/>
      <c r="O153" s="546" t="n"/>
      <c r="P153" s="546" t="n"/>
      <c r="Q153" s="546" t="n"/>
      <c r="R153" s="546" t="n"/>
      <c r="S153" s="547" t="n"/>
      <c r="T153" s="349" t="n"/>
      <c r="U153" s="335" t="n"/>
      <c r="V153" s="335" t="n"/>
      <c r="W153" s="335" t="n"/>
      <c r="X153" s="335" t="n"/>
      <c r="Y153" s="335" t="n"/>
      <c r="Z153" s="336" t="n"/>
    </row>
    <row r="154" ht="12.6" customHeight="1">
      <c r="A154" s="381" t="n">
        <v>122</v>
      </c>
      <c r="B154" s="356" t="inlineStr"/>
      <c r="C154" s="357" t="inlineStr"/>
      <c r="D154" s="584" t="n"/>
      <c r="E154" s="1075" t="n"/>
      <c r="F154" s="360" t="inlineStr"/>
      <c r="G154" s="358" t="inlineStr"/>
      <c r="H154" s="358" t="inlineStr"/>
      <c r="I154" s="358" t="inlineStr"/>
      <c r="J154" s="358" t="inlineStr"/>
      <c r="K154" s="358" t="inlineStr"/>
      <c r="L154" s="361" t="inlineStr"/>
      <c r="M154" s="548" t="n"/>
      <c r="N154" s="546" t="n"/>
      <c r="O154" s="546" t="n"/>
      <c r="P154" s="546" t="n"/>
      <c r="Q154" s="546" t="n"/>
      <c r="R154" s="546" t="n"/>
      <c r="S154" s="547" t="n"/>
      <c r="T154" s="349" t="n"/>
      <c r="U154" s="335" t="n"/>
      <c r="V154" s="335" t="n"/>
      <c r="W154" s="335" t="n"/>
      <c r="X154" s="335" t="n"/>
      <c r="Y154" s="335" t="n"/>
      <c r="Z154" s="336" t="n"/>
    </row>
    <row r="155" ht="12.6" customHeight="1">
      <c r="A155" s="381" t="n">
        <v>123</v>
      </c>
      <c r="B155" s="356" t="inlineStr"/>
      <c r="C155" s="357" t="inlineStr"/>
      <c r="D155" s="584" t="n"/>
      <c r="E155" s="1075" t="n"/>
      <c r="F155" s="360" t="inlineStr"/>
      <c r="G155" s="358" t="inlineStr"/>
      <c r="H155" s="358" t="inlineStr"/>
      <c r="I155" s="358" t="inlineStr"/>
      <c r="J155" s="358" t="inlineStr"/>
      <c r="K155" s="358" t="inlineStr"/>
      <c r="L155" s="361" t="inlineStr"/>
      <c r="M155" s="548" t="n"/>
      <c r="N155" s="546" t="n"/>
      <c r="O155" s="546" t="n"/>
      <c r="P155" s="546" t="n"/>
      <c r="Q155" s="546" t="n"/>
      <c r="R155" s="546" t="n"/>
      <c r="S155" s="547" t="n"/>
      <c r="T155" s="349" t="n"/>
      <c r="U155" s="335" t="n"/>
      <c r="V155" s="335" t="n"/>
      <c r="W155" s="335" t="n"/>
      <c r="X155" s="335" t="n"/>
      <c r="Y155" s="335" t="n"/>
      <c r="Z155" s="336" t="n"/>
    </row>
    <row r="156" ht="12.6" customHeight="1">
      <c r="A156" s="381" t="n">
        <v>124</v>
      </c>
      <c r="B156" s="356" t="inlineStr"/>
      <c r="C156" s="357" t="inlineStr"/>
      <c r="D156" s="584" t="n"/>
      <c r="E156" s="1075" t="n"/>
      <c r="F156" s="360" t="inlineStr"/>
      <c r="G156" s="358" t="inlineStr"/>
      <c r="H156" s="358" t="inlineStr"/>
      <c r="I156" s="358" t="inlineStr"/>
      <c r="J156" s="358" t="inlineStr"/>
      <c r="K156" s="358" t="inlineStr"/>
      <c r="L156" s="361" t="inlineStr"/>
      <c r="M156" s="548" t="n"/>
      <c r="N156" s="546" t="n"/>
      <c r="O156" s="546" t="n"/>
      <c r="P156" s="546" t="n"/>
      <c r="Q156" s="546" t="n"/>
      <c r="R156" s="546" t="n"/>
      <c r="S156" s="547" t="n"/>
      <c r="T156" s="349" t="n"/>
      <c r="U156" s="335" t="n"/>
      <c r="V156" s="335" t="n"/>
      <c r="W156" s="335" t="n"/>
      <c r="X156" s="335" t="n"/>
      <c r="Y156" s="335" t="n"/>
      <c r="Z156" s="336" t="n"/>
    </row>
    <row r="157" ht="12.6" customHeight="1">
      <c r="A157" s="381" t="n">
        <v>125</v>
      </c>
      <c r="B157" s="356" t="inlineStr"/>
      <c r="C157" s="357" t="inlineStr"/>
      <c r="D157" s="584" t="n"/>
      <c r="E157" s="1075" t="n"/>
      <c r="F157" s="360" t="inlineStr"/>
      <c r="G157" s="358" t="inlineStr"/>
      <c r="H157" s="358" t="inlineStr"/>
      <c r="I157" s="358" t="inlineStr"/>
      <c r="J157" s="358" t="inlineStr"/>
      <c r="K157" s="358" t="inlineStr"/>
      <c r="L157" s="361" t="inlineStr"/>
      <c r="M157" s="548" t="n"/>
      <c r="N157" s="546" t="n"/>
      <c r="O157" s="546" t="n"/>
      <c r="P157" s="546" t="n"/>
      <c r="Q157" s="546" t="n"/>
      <c r="R157" s="546" t="n"/>
      <c r="S157" s="547" t="n"/>
      <c r="T157" s="349" t="n"/>
      <c r="U157" s="335" t="n"/>
      <c r="V157" s="335" t="n"/>
      <c r="W157" s="335" t="n"/>
      <c r="X157" s="335" t="n"/>
      <c r="Y157" s="335" t="n"/>
      <c r="Z157" s="336" t="n"/>
    </row>
    <row r="158" ht="12.6" customHeight="1">
      <c r="A158" s="381" t="n">
        <v>126</v>
      </c>
      <c r="B158" s="356" t="inlineStr"/>
      <c r="C158" s="357" t="inlineStr"/>
      <c r="D158" s="584" t="n"/>
      <c r="E158" s="1075" t="n"/>
      <c r="F158" s="360" t="inlineStr"/>
      <c r="G158" s="358" t="inlineStr"/>
      <c r="H158" s="358" t="inlineStr"/>
      <c r="I158" s="358" t="inlineStr"/>
      <c r="J158" s="358" t="inlineStr"/>
      <c r="K158" s="358" t="inlineStr"/>
      <c r="L158" s="361" t="inlineStr"/>
      <c r="M158" s="548" t="n"/>
      <c r="N158" s="546" t="n"/>
      <c r="O158" s="546" t="n"/>
      <c r="P158" s="546" t="n"/>
      <c r="Q158" s="546" t="n"/>
      <c r="R158" s="546" t="n"/>
      <c r="S158" s="547" t="n"/>
      <c r="T158" s="349" t="n"/>
      <c r="U158" s="335" t="n"/>
      <c r="V158" s="335" t="n"/>
      <c r="W158" s="335" t="n"/>
      <c r="X158" s="335" t="n"/>
      <c r="Y158" s="335" t="n"/>
      <c r="Z158" s="336" t="n"/>
    </row>
    <row r="159" ht="12.6" customHeight="1">
      <c r="A159" s="381" t="n">
        <v>127</v>
      </c>
      <c r="B159" s="356" t="inlineStr"/>
      <c r="C159" s="357" t="inlineStr"/>
      <c r="D159" s="584" t="n"/>
      <c r="E159" s="1075" t="n"/>
      <c r="F159" s="360" t="inlineStr"/>
      <c r="G159" s="358" t="inlineStr"/>
      <c r="H159" s="358" t="inlineStr"/>
      <c r="I159" s="358" t="inlineStr"/>
      <c r="J159" s="358" t="inlineStr"/>
      <c r="K159" s="358" t="inlineStr"/>
      <c r="L159" s="361" t="inlineStr"/>
      <c r="M159" s="548" t="n"/>
      <c r="N159" s="546" t="n"/>
      <c r="O159" s="546" t="n"/>
      <c r="P159" s="546" t="n"/>
      <c r="Q159" s="546" t="n"/>
      <c r="R159" s="546" t="n"/>
      <c r="S159" s="547" t="n"/>
      <c r="T159" s="349" t="n"/>
      <c r="U159" s="335" t="n"/>
      <c r="V159" s="335" t="n"/>
      <c r="W159" s="335" t="n"/>
      <c r="X159" s="335" t="n"/>
      <c r="Y159" s="335" t="n"/>
      <c r="Z159" s="336" t="n"/>
    </row>
    <row r="160" ht="12.6" customHeight="1">
      <c r="A160" s="381" t="n">
        <v>128</v>
      </c>
      <c r="B160" s="356" t="inlineStr"/>
      <c r="C160" s="357" t="inlineStr"/>
      <c r="D160" s="584" t="n"/>
      <c r="E160" s="1075" t="n"/>
      <c r="F160" s="360" t="inlineStr"/>
      <c r="G160" s="358" t="inlineStr"/>
      <c r="H160" s="358" t="inlineStr"/>
      <c r="I160" s="358" t="inlineStr"/>
      <c r="J160" s="358" t="inlineStr"/>
      <c r="K160" s="358" t="inlineStr"/>
      <c r="L160" s="361" t="inlineStr"/>
      <c r="M160" s="548" t="n"/>
      <c r="N160" s="546" t="n"/>
      <c r="O160" s="546" t="n"/>
      <c r="P160" s="546" t="n"/>
      <c r="Q160" s="546" t="n"/>
      <c r="R160" s="546" t="n"/>
      <c r="S160" s="547" t="n"/>
      <c r="T160" s="349" t="n"/>
      <c r="U160" s="335" t="n"/>
      <c r="V160" s="335" t="n"/>
      <c r="W160" s="335" t="n"/>
      <c r="X160" s="335" t="n"/>
      <c r="Y160" s="335" t="n"/>
      <c r="Z160" s="336" t="n"/>
    </row>
    <row r="161" ht="12.6" customHeight="1">
      <c r="A161" s="381" t="n">
        <v>129</v>
      </c>
      <c r="B161" s="356" t="inlineStr"/>
      <c r="C161" s="357" t="inlineStr"/>
      <c r="D161" s="584" t="n"/>
      <c r="E161" s="1075" t="n"/>
      <c r="F161" s="360" t="inlineStr"/>
      <c r="G161" s="358" t="inlineStr"/>
      <c r="H161" s="358" t="inlineStr"/>
      <c r="I161" s="358" t="inlineStr"/>
      <c r="J161" s="358" t="inlineStr"/>
      <c r="K161" s="358" t="inlineStr"/>
      <c r="L161" s="361" t="inlineStr"/>
      <c r="M161" s="548" t="n"/>
      <c r="N161" s="546" t="n"/>
      <c r="O161" s="546" t="n"/>
      <c r="P161" s="546" t="n"/>
      <c r="Q161" s="546" t="n"/>
      <c r="R161" s="546" t="n"/>
      <c r="S161" s="547" t="n"/>
      <c r="T161" s="349" t="n"/>
      <c r="U161" s="335" t="n"/>
      <c r="V161" s="335" t="n"/>
      <c r="W161" s="335" t="n"/>
      <c r="X161" s="335" t="n"/>
      <c r="Y161" s="335" t="n"/>
      <c r="Z161" s="336" t="n"/>
    </row>
    <row r="162" ht="12.6" customHeight="1">
      <c r="A162" s="381" t="n">
        <v>130</v>
      </c>
      <c r="B162" s="356" t="inlineStr"/>
      <c r="C162" s="357" t="inlineStr"/>
      <c r="D162" s="584" t="n"/>
      <c r="E162" s="1075" t="n"/>
      <c r="F162" s="360" t="inlineStr"/>
      <c r="G162" s="358" t="inlineStr"/>
      <c r="H162" s="358" t="inlineStr"/>
      <c r="I162" s="358" t="inlineStr"/>
      <c r="J162" s="358" t="inlineStr"/>
      <c r="K162" s="358" t="inlineStr"/>
      <c r="L162" s="361" t="inlineStr"/>
      <c r="M162" s="548" t="n"/>
      <c r="N162" s="546" t="n"/>
      <c r="O162" s="546" t="n"/>
      <c r="P162" s="546" t="n"/>
      <c r="Q162" s="546" t="n"/>
      <c r="R162" s="546" t="n"/>
      <c r="S162" s="547" t="n"/>
      <c r="T162" s="349" t="n"/>
      <c r="U162" s="335" t="n"/>
      <c r="V162" s="335" t="n"/>
      <c r="W162" s="335" t="n"/>
      <c r="X162" s="335" t="n"/>
      <c r="Y162" s="335" t="n"/>
      <c r="Z162" s="336" t="n"/>
    </row>
    <row r="163" ht="12.6" customHeight="1">
      <c r="A163" s="381" t="n">
        <v>131</v>
      </c>
      <c r="B163" s="356" t="inlineStr"/>
      <c r="C163" s="357" t="inlineStr"/>
      <c r="D163" s="584" t="n"/>
      <c r="E163" s="1075" t="n"/>
      <c r="F163" s="360" t="inlineStr"/>
      <c r="G163" s="358" t="inlineStr"/>
      <c r="H163" s="358" t="inlineStr"/>
      <c r="I163" s="358" t="inlineStr"/>
      <c r="J163" s="358" t="inlineStr"/>
      <c r="K163" s="358" t="inlineStr"/>
      <c r="L163" s="361" t="inlineStr"/>
      <c r="M163" s="548" t="n"/>
      <c r="N163" s="546" t="n"/>
      <c r="O163" s="546" t="n"/>
      <c r="P163" s="546" t="n"/>
      <c r="Q163" s="546" t="n"/>
      <c r="R163" s="546" t="n"/>
      <c r="S163" s="547" t="n"/>
      <c r="T163" s="349" t="n"/>
      <c r="U163" s="335" t="n"/>
      <c r="V163" s="335" t="n"/>
      <c r="W163" s="335" t="n"/>
      <c r="X163" s="335" t="n"/>
      <c r="Y163" s="335" t="n"/>
      <c r="Z163" s="336" t="n"/>
    </row>
    <row r="164" ht="12.6" customHeight="1">
      <c r="A164" s="381" t="n">
        <v>132</v>
      </c>
      <c r="B164" s="356" t="inlineStr"/>
      <c r="C164" s="357" t="inlineStr"/>
      <c r="D164" s="584" t="n"/>
      <c r="E164" s="1075" t="n"/>
      <c r="F164" s="360" t="inlineStr"/>
      <c r="G164" s="358" t="inlineStr"/>
      <c r="H164" s="358" t="inlineStr"/>
      <c r="I164" s="358" t="inlineStr"/>
      <c r="J164" s="358" t="inlineStr"/>
      <c r="K164" s="358" t="inlineStr"/>
      <c r="L164" s="361" t="inlineStr"/>
      <c r="M164" s="548" t="n"/>
      <c r="N164" s="546" t="n"/>
      <c r="O164" s="546" t="n"/>
      <c r="P164" s="546" t="n"/>
      <c r="Q164" s="546" t="n"/>
      <c r="R164" s="546" t="n"/>
      <c r="S164" s="547" t="n"/>
      <c r="T164" s="349" t="n"/>
      <c r="U164" s="335" t="n"/>
      <c r="V164" s="335" t="n"/>
      <c r="W164" s="335" t="n"/>
      <c r="X164" s="335" t="n"/>
      <c r="Y164" s="335" t="n"/>
      <c r="Z164" s="336" t="n"/>
    </row>
    <row r="165" ht="12.6" customHeight="1">
      <c r="A165" s="381" t="n">
        <v>133</v>
      </c>
      <c r="B165" s="356" t="inlineStr"/>
      <c r="C165" s="357" t="inlineStr"/>
      <c r="D165" s="584" t="n"/>
      <c r="E165" s="1075" t="n"/>
      <c r="F165" s="360" t="inlineStr"/>
      <c r="G165" s="358" t="inlineStr"/>
      <c r="H165" s="358" t="inlineStr"/>
      <c r="I165" s="358" t="inlineStr"/>
      <c r="J165" s="358" t="inlineStr"/>
      <c r="K165" s="358" t="inlineStr"/>
      <c r="L165" s="361" t="inlineStr"/>
      <c r="M165" s="548" t="n"/>
      <c r="N165" s="546" t="n"/>
      <c r="O165" s="546" t="n"/>
      <c r="P165" s="546" t="n"/>
      <c r="Q165" s="546" t="n"/>
      <c r="R165" s="546" t="n"/>
      <c r="S165" s="547" t="n"/>
      <c r="T165" s="349" t="n"/>
      <c r="U165" s="335" t="n"/>
      <c r="V165" s="335" t="n"/>
      <c r="W165" s="335" t="n"/>
      <c r="X165" s="335" t="n"/>
      <c r="Y165" s="335" t="n"/>
      <c r="Z165" s="336" t="n"/>
    </row>
    <row r="166" ht="12.6" customHeight="1">
      <c r="A166" s="381" t="n">
        <v>134</v>
      </c>
      <c r="B166" s="356" t="inlineStr"/>
      <c r="C166" s="357" t="inlineStr"/>
      <c r="D166" s="584" t="n"/>
      <c r="E166" s="1075" t="n"/>
      <c r="F166" s="360" t="inlineStr"/>
      <c r="G166" s="358" t="inlineStr"/>
      <c r="H166" s="358" t="inlineStr"/>
      <c r="I166" s="358" t="inlineStr"/>
      <c r="J166" s="358" t="inlineStr"/>
      <c r="K166" s="358" t="inlineStr"/>
      <c r="L166" s="361" t="inlineStr"/>
      <c r="M166" s="548" t="n"/>
      <c r="N166" s="546" t="n"/>
      <c r="O166" s="546" t="n"/>
      <c r="P166" s="546" t="n"/>
      <c r="Q166" s="546" t="n"/>
      <c r="R166" s="546" t="n"/>
      <c r="S166" s="547" t="n"/>
      <c r="T166" s="349" t="n"/>
      <c r="U166" s="335" t="n"/>
      <c r="V166" s="335" t="n"/>
      <c r="W166" s="335" t="n"/>
      <c r="X166" s="335" t="n"/>
      <c r="Y166" s="335" t="n"/>
      <c r="Z166" s="336" t="n"/>
    </row>
    <row r="167" ht="12.6" customHeight="1">
      <c r="A167" s="381" t="n">
        <v>135</v>
      </c>
      <c r="B167" s="356" t="inlineStr"/>
      <c r="C167" s="357" t="inlineStr"/>
      <c r="D167" s="584" t="n"/>
      <c r="E167" s="1075" t="n"/>
      <c r="F167" s="360" t="inlineStr"/>
      <c r="G167" s="358" t="inlineStr"/>
      <c r="H167" s="358" t="inlineStr"/>
      <c r="I167" s="358" t="inlineStr"/>
      <c r="J167" s="358" t="inlineStr"/>
      <c r="K167" s="358" t="inlineStr"/>
      <c r="L167" s="361" t="inlineStr"/>
      <c r="M167" s="548" t="n"/>
      <c r="N167" s="546" t="n"/>
      <c r="O167" s="546" t="n"/>
      <c r="P167" s="546" t="n"/>
      <c r="Q167" s="546" t="n"/>
      <c r="R167" s="546" t="n"/>
      <c r="S167" s="547" t="n"/>
      <c r="T167" s="349" t="n"/>
      <c r="U167" s="335" t="n"/>
      <c r="V167" s="335" t="n"/>
      <c r="W167" s="335" t="n"/>
      <c r="X167" s="335" t="n"/>
      <c r="Y167" s="335" t="n"/>
      <c r="Z167" s="336" t="n"/>
    </row>
    <row r="168" ht="12.6" customHeight="1">
      <c r="A168" s="381" t="n">
        <v>136</v>
      </c>
      <c r="B168" s="356" t="inlineStr"/>
      <c r="C168" s="357" t="inlineStr"/>
      <c r="D168" s="584" t="n"/>
      <c r="E168" s="1075" t="n"/>
      <c r="F168" s="360" t="inlineStr"/>
      <c r="G168" s="358" t="inlineStr"/>
      <c r="H168" s="358" t="inlineStr"/>
      <c r="I168" s="358" t="inlineStr"/>
      <c r="J168" s="358" t="inlineStr"/>
      <c r="K168" s="358" t="inlineStr"/>
      <c r="L168" s="361" t="inlineStr"/>
      <c r="M168" s="548" t="n"/>
      <c r="N168" s="546" t="n"/>
      <c r="O168" s="546" t="n"/>
      <c r="P168" s="546" t="n"/>
      <c r="Q168" s="546" t="n"/>
      <c r="R168" s="546" t="n"/>
      <c r="S168" s="547" t="n"/>
      <c r="T168" s="349" t="n"/>
      <c r="U168" s="335" t="n"/>
      <c r="V168" s="335" t="n"/>
      <c r="W168" s="335" t="n"/>
      <c r="X168" s="335" t="n"/>
      <c r="Y168" s="335" t="n"/>
      <c r="Z168" s="336" t="n"/>
    </row>
    <row r="169" ht="12.6" customHeight="1">
      <c r="A169" s="381" t="n">
        <v>137</v>
      </c>
      <c r="B169" s="356" t="inlineStr"/>
      <c r="C169" s="357" t="inlineStr"/>
      <c r="D169" s="584" t="n"/>
      <c r="E169" s="1075" t="n"/>
      <c r="F169" s="360" t="inlineStr"/>
      <c r="G169" s="358" t="inlineStr"/>
      <c r="H169" s="358" t="inlineStr"/>
      <c r="I169" s="358" t="inlineStr"/>
      <c r="J169" s="358" t="inlineStr"/>
      <c r="K169" s="358" t="inlineStr"/>
      <c r="L169" s="361" t="inlineStr"/>
      <c r="M169" s="548" t="n"/>
      <c r="N169" s="546" t="n"/>
      <c r="O169" s="546" t="n"/>
      <c r="P169" s="546" t="n"/>
      <c r="Q169" s="546" t="n"/>
      <c r="R169" s="546" t="n"/>
      <c r="S169" s="547" t="n"/>
      <c r="T169" s="349" t="n"/>
      <c r="U169" s="335" t="n"/>
      <c r="V169" s="335" t="n"/>
      <c r="W169" s="335" t="n"/>
      <c r="X169" s="335" t="n"/>
      <c r="Y169" s="335" t="n"/>
      <c r="Z169" s="336" t="n"/>
    </row>
    <row r="170" ht="12.6" customHeight="1">
      <c r="A170" s="381" t="n">
        <v>138</v>
      </c>
      <c r="B170" s="356" t="inlineStr"/>
      <c r="C170" s="357" t="inlineStr"/>
      <c r="D170" s="584" t="n"/>
      <c r="E170" s="1075" t="n"/>
      <c r="F170" s="360" t="inlineStr"/>
      <c r="G170" s="358" t="inlineStr"/>
      <c r="H170" s="358" t="inlineStr"/>
      <c r="I170" s="358" t="inlineStr"/>
      <c r="J170" s="358" t="inlineStr"/>
      <c r="K170" s="358" t="inlineStr"/>
      <c r="L170" s="361" t="inlineStr"/>
      <c r="M170" s="548" t="n"/>
      <c r="N170" s="546" t="n"/>
      <c r="O170" s="546" t="n"/>
      <c r="P170" s="546" t="n"/>
      <c r="Q170" s="546" t="n"/>
      <c r="R170" s="546" t="n"/>
      <c r="S170" s="547" t="n"/>
      <c r="T170" s="349" t="n"/>
      <c r="U170" s="335" t="n"/>
      <c r="V170" s="335" t="n"/>
      <c r="W170" s="335" t="n"/>
      <c r="X170" s="335" t="n"/>
      <c r="Y170" s="335" t="n"/>
      <c r="Z170" s="336" t="n"/>
    </row>
    <row r="171" ht="12.6" customHeight="1">
      <c r="A171" s="381" t="n">
        <v>139</v>
      </c>
      <c r="B171" s="356" t="inlineStr"/>
      <c r="C171" s="357" t="inlineStr"/>
      <c r="D171" s="584" t="n"/>
      <c r="E171" s="1075" t="n"/>
      <c r="F171" s="360" t="inlineStr"/>
      <c r="G171" s="358" t="inlineStr"/>
      <c r="H171" s="358" t="inlineStr"/>
      <c r="I171" s="358" t="inlineStr"/>
      <c r="J171" s="358" t="inlineStr"/>
      <c r="K171" s="358" t="inlineStr"/>
      <c r="L171" s="361" t="inlineStr"/>
      <c r="M171" s="548" t="n"/>
      <c r="N171" s="546" t="n"/>
      <c r="O171" s="546" t="n"/>
      <c r="P171" s="546" t="n"/>
      <c r="Q171" s="546" t="n"/>
      <c r="R171" s="546" t="n"/>
      <c r="S171" s="547" t="n"/>
      <c r="T171" s="349" t="n"/>
      <c r="U171" s="335" t="n"/>
      <c r="V171" s="335" t="n"/>
      <c r="W171" s="335" t="n"/>
      <c r="X171" s="335" t="n"/>
      <c r="Y171" s="335" t="n"/>
      <c r="Z171" s="336" t="n"/>
    </row>
    <row r="172" ht="12.6" customHeight="1">
      <c r="A172" s="381" t="n">
        <v>140</v>
      </c>
      <c r="B172" s="356" t="inlineStr"/>
      <c r="C172" s="357" t="inlineStr"/>
      <c r="D172" s="584" t="n"/>
      <c r="E172" s="1075" t="n"/>
      <c r="F172" s="360" t="inlineStr"/>
      <c r="G172" s="358" t="inlineStr"/>
      <c r="H172" s="358" t="inlineStr"/>
      <c r="I172" s="358" t="inlineStr"/>
      <c r="J172" s="358" t="inlineStr"/>
      <c r="K172" s="358" t="inlineStr"/>
      <c r="L172" s="361" t="inlineStr"/>
      <c r="M172" s="548" t="n"/>
      <c r="N172" s="546" t="n"/>
      <c r="O172" s="546" t="n"/>
      <c r="P172" s="546" t="n"/>
      <c r="Q172" s="546" t="n"/>
      <c r="R172" s="546" t="n"/>
      <c r="S172" s="547" t="n"/>
      <c r="T172" s="349" t="n"/>
      <c r="U172" s="335" t="n"/>
      <c r="V172" s="335" t="n"/>
      <c r="W172" s="335" t="n"/>
      <c r="X172" s="335" t="n"/>
      <c r="Y172" s="335" t="n"/>
      <c r="Z172" s="336" t="n"/>
    </row>
    <row r="173" ht="12.6" customHeight="1">
      <c r="A173" s="381" t="n">
        <v>141</v>
      </c>
      <c r="B173" s="356" t="inlineStr"/>
      <c r="C173" s="357" t="inlineStr"/>
      <c r="D173" s="584" t="n"/>
      <c r="E173" s="1075" t="n"/>
      <c r="F173" s="360" t="inlineStr"/>
      <c r="G173" s="358" t="inlineStr"/>
      <c r="H173" s="358" t="inlineStr"/>
      <c r="I173" s="358" t="inlineStr"/>
      <c r="J173" s="358" t="inlineStr"/>
      <c r="K173" s="358" t="inlineStr"/>
      <c r="L173" s="361" t="inlineStr"/>
      <c r="M173" s="548" t="n"/>
      <c r="N173" s="546" t="n"/>
      <c r="O173" s="546" t="n"/>
      <c r="P173" s="546" t="n"/>
      <c r="Q173" s="546" t="n"/>
      <c r="R173" s="546" t="n"/>
      <c r="S173" s="547" t="n"/>
      <c r="T173" s="349" t="n"/>
      <c r="U173" s="335" t="n"/>
      <c r="V173" s="335" t="n"/>
      <c r="W173" s="335" t="n"/>
      <c r="X173" s="335" t="n"/>
      <c r="Y173" s="335" t="n"/>
      <c r="Z173" s="336" t="n"/>
    </row>
    <row r="174" ht="12.6" customHeight="1">
      <c r="A174" s="381" t="n">
        <v>142</v>
      </c>
      <c r="B174" s="356" t="inlineStr"/>
      <c r="C174" s="357" t="inlineStr"/>
      <c r="D174" s="584" t="n"/>
      <c r="E174" s="1075" t="n"/>
      <c r="F174" s="360" t="inlineStr"/>
      <c r="G174" s="358" t="inlineStr"/>
      <c r="H174" s="358" t="inlineStr"/>
      <c r="I174" s="358" t="inlineStr"/>
      <c r="J174" s="358" t="inlineStr"/>
      <c r="K174" s="358" t="inlineStr"/>
      <c r="L174" s="361" t="inlineStr"/>
      <c r="M174" s="548" t="n"/>
      <c r="N174" s="546" t="n"/>
      <c r="O174" s="546" t="n"/>
      <c r="P174" s="546" t="n"/>
      <c r="Q174" s="546" t="n"/>
      <c r="R174" s="546" t="n"/>
      <c r="S174" s="547" t="n"/>
      <c r="T174" s="349" t="n"/>
      <c r="U174" s="335" t="n"/>
      <c r="V174" s="335" t="n"/>
      <c r="W174" s="335" t="n"/>
      <c r="X174" s="335" t="n"/>
      <c r="Y174" s="335" t="n"/>
      <c r="Z174" s="336" t="n"/>
    </row>
    <row r="175" ht="12.6" customHeight="1">
      <c r="A175" s="381" t="n">
        <v>143</v>
      </c>
      <c r="B175" s="356" t="inlineStr"/>
      <c r="C175" s="357" t="inlineStr"/>
      <c r="D175" s="584" t="n"/>
      <c r="E175" s="1075" t="n"/>
      <c r="F175" s="360" t="inlineStr"/>
      <c r="G175" s="358" t="inlineStr"/>
      <c r="H175" s="358" t="inlineStr"/>
      <c r="I175" s="358" t="inlineStr"/>
      <c r="J175" s="358" t="inlineStr"/>
      <c r="K175" s="358" t="inlineStr"/>
      <c r="L175" s="361" t="inlineStr"/>
      <c r="M175" s="548" t="n"/>
      <c r="N175" s="546" t="n"/>
      <c r="O175" s="546" t="n"/>
      <c r="P175" s="546" t="n"/>
      <c r="Q175" s="546" t="n"/>
      <c r="R175" s="546" t="n"/>
      <c r="S175" s="547" t="n"/>
      <c r="T175" s="349" t="n"/>
      <c r="U175" s="335" t="n"/>
      <c r="V175" s="335" t="n"/>
      <c r="W175" s="335" t="n"/>
      <c r="X175" s="335" t="n"/>
      <c r="Y175" s="335" t="n"/>
      <c r="Z175" s="336" t="n"/>
    </row>
    <row r="176" ht="12.6" customHeight="1">
      <c r="A176" s="381" t="n">
        <v>144</v>
      </c>
      <c r="B176" s="356" t="inlineStr"/>
      <c r="C176" s="357" t="inlineStr"/>
      <c r="D176" s="584" t="n"/>
      <c r="E176" s="1075" t="n"/>
      <c r="F176" s="360" t="inlineStr"/>
      <c r="G176" s="358" t="inlineStr"/>
      <c r="H176" s="358" t="inlineStr"/>
      <c r="I176" s="358" t="inlineStr"/>
      <c r="J176" s="358" t="inlineStr"/>
      <c r="K176" s="358" t="inlineStr"/>
      <c r="L176" s="361" t="inlineStr"/>
      <c r="M176" s="548" t="n"/>
      <c r="N176" s="546" t="n"/>
      <c r="O176" s="546" t="n"/>
      <c r="P176" s="546" t="n"/>
      <c r="Q176" s="546" t="n"/>
      <c r="R176" s="546" t="n"/>
      <c r="S176" s="547" t="n"/>
      <c r="T176" s="349" t="n"/>
      <c r="U176" s="335" t="n"/>
      <c r="V176" s="335" t="n"/>
      <c r="W176" s="335" t="n"/>
      <c r="X176" s="335" t="n"/>
      <c r="Y176" s="335" t="n"/>
      <c r="Z176" s="336" t="n"/>
    </row>
    <row r="177" ht="12.6" customHeight="1">
      <c r="A177" s="381" t="n">
        <v>145</v>
      </c>
      <c r="B177" s="356" t="inlineStr"/>
      <c r="C177" s="357" t="inlineStr"/>
      <c r="D177" s="584" t="n"/>
      <c r="E177" s="1075" t="n"/>
      <c r="F177" s="360" t="inlineStr"/>
      <c r="G177" s="358" t="inlineStr"/>
      <c r="H177" s="358" t="inlineStr"/>
      <c r="I177" s="358" t="inlineStr"/>
      <c r="J177" s="358" t="inlineStr"/>
      <c r="K177" s="358" t="inlineStr"/>
      <c r="L177" s="361" t="inlineStr"/>
      <c r="M177" s="548" t="n"/>
      <c r="N177" s="546" t="n"/>
      <c r="O177" s="546" t="n"/>
      <c r="P177" s="546" t="n"/>
      <c r="Q177" s="546" t="n"/>
      <c r="R177" s="546" t="n"/>
      <c r="S177" s="547" t="n"/>
      <c r="T177" s="349" t="n"/>
      <c r="U177" s="335" t="n"/>
      <c r="V177" s="335" t="n"/>
      <c r="W177" s="335" t="n"/>
      <c r="X177" s="335" t="n"/>
      <c r="Y177" s="335" t="n"/>
      <c r="Z177" s="336" t="n"/>
    </row>
    <row r="178" ht="12.6" customHeight="1">
      <c r="A178" s="381" t="n">
        <v>146</v>
      </c>
      <c r="B178" s="356" t="inlineStr"/>
      <c r="C178" s="357" t="inlineStr"/>
      <c r="D178" s="584" t="n"/>
      <c r="E178" s="1075" t="n"/>
      <c r="F178" s="360" t="inlineStr"/>
      <c r="G178" s="358" t="inlineStr"/>
      <c r="H178" s="358" t="inlineStr"/>
      <c r="I178" s="358" t="inlineStr"/>
      <c r="J178" s="358" t="inlineStr"/>
      <c r="K178" s="358" t="inlineStr"/>
      <c r="L178" s="361" t="inlineStr"/>
      <c r="M178" s="548" t="n"/>
      <c r="N178" s="546" t="n"/>
      <c r="O178" s="546" t="n"/>
      <c r="P178" s="546" t="n"/>
      <c r="Q178" s="546" t="n"/>
      <c r="R178" s="546" t="n"/>
      <c r="S178" s="547" t="n"/>
      <c r="T178" s="349" t="n"/>
      <c r="U178" s="335" t="n"/>
      <c r="V178" s="335" t="n"/>
      <c r="W178" s="335" t="n"/>
      <c r="X178" s="335" t="n"/>
      <c r="Y178" s="335" t="n"/>
      <c r="Z178" s="336" t="n"/>
    </row>
    <row r="179" ht="12.6" customHeight="1">
      <c r="A179" s="381" t="n">
        <v>147</v>
      </c>
      <c r="B179" s="356" t="inlineStr"/>
      <c r="C179" s="357" t="inlineStr"/>
      <c r="D179" s="584" t="n"/>
      <c r="E179" s="1075" t="n"/>
      <c r="F179" s="360" t="inlineStr"/>
      <c r="G179" s="358" t="inlineStr"/>
      <c r="H179" s="358" t="inlineStr"/>
      <c r="I179" s="358" t="inlineStr"/>
      <c r="J179" s="358" t="inlineStr"/>
      <c r="K179" s="358" t="inlineStr"/>
      <c r="L179" s="361" t="inlineStr"/>
      <c r="M179" s="548" t="n"/>
      <c r="N179" s="546" t="n"/>
      <c r="O179" s="546" t="n"/>
      <c r="P179" s="546" t="n"/>
      <c r="Q179" s="546" t="n"/>
      <c r="R179" s="546" t="n"/>
      <c r="S179" s="547" t="n"/>
      <c r="T179" s="349" t="n"/>
      <c r="U179" s="335" t="n"/>
      <c r="V179" s="335" t="n"/>
      <c r="W179" s="335" t="n"/>
      <c r="X179" s="335" t="n"/>
      <c r="Y179" s="335" t="n"/>
      <c r="Z179" s="336" t="n"/>
    </row>
    <row r="180" ht="12.6" customHeight="1">
      <c r="A180" s="381" t="n">
        <v>148</v>
      </c>
      <c r="B180" s="356" t="inlineStr"/>
      <c r="C180" s="357" t="inlineStr"/>
      <c r="D180" s="584" t="n"/>
      <c r="E180" s="1075" t="n"/>
      <c r="F180" s="360" t="inlineStr"/>
      <c r="G180" s="358" t="inlineStr"/>
      <c r="H180" s="358" t="inlineStr"/>
      <c r="I180" s="358" t="inlineStr"/>
      <c r="J180" s="358" t="inlineStr"/>
      <c r="K180" s="358" t="inlineStr"/>
      <c r="L180" s="361" t="inlineStr"/>
      <c r="M180" s="548" t="n"/>
      <c r="N180" s="546" t="n"/>
      <c r="O180" s="546" t="n"/>
      <c r="P180" s="546" t="n"/>
      <c r="Q180" s="546" t="n"/>
      <c r="R180" s="546" t="n"/>
      <c r="S180" s="547" t="n"/>
      <c r="T180" s="349" t="n"/>
      <c r="U180" s="335" t="n"/>
      <c r="V180" s="335" t="n"/>
      <c r="W180" s="335" t="n"/>
      <c r="X180" s="335" t="n"/>
      <c r="Y180" s="335" t="n"/>
      <c r="Z180" s="336" t="n"/>
    </row>
    <row r="181" ht="12.6" customHeight="1">
      <c r="A181" s="381" t="n">
        <v>149</v>
      </c>
      <c r="B181" s="356" t="inlineStr"/>
      <c r="C181" s="357" t="inlineStr"/>
      <c r="D181" s="584" t="n"/>
      <c r="E181" s="1075" t="n"/>
      <c r="F181" s="360" t="inlineStr"/>
      <c r="G181" s="358" t="inlineStr"/>
      <c r="H181" s="358" t="inlineStr"/>
      <c r="I181" s="358" t="inlineStr"/>
      <c r="J181" s="358" t="inlineStr"/>
      <c r="K181" s="358" t="inlineStr"/>
      <c r="L181" s="361" t="inlineStr"/>
      <c r="M181" s="548" t="n"/>
      <c r="N181" s="546" t="n"/>
      <c r="O181" s="546" t="n"/>
      <c r="P181" s="546" t="n"/>
      <c r="Q181" s="546" t="n"/>
      <c r="R181" s="546" t="n"/>
      <c r="S181" s="547" t="n"/>
      <c r="T181" s="349" t="n"/>
      <c r="U181" s="335" t="n"/>
      <c r="V181" s="335" t="n"/>
      <c r="W181" s="335" t="n"/>
      <c r="X181" s="335" t="n"/>
      <c r="Y181" s="335" t="n"/>
      <c r="Z181" s="336" t="n"/>
    </row>
    <row r="182" ht="12.6" customHeight="1">
      <c r="A182" s="382" t="n">
        <v>150</v>
      </c>
      <c r="B182" s="365" t="inlineStr"/>
      <c r="C182" s="366" t="inlineStr"/>
      <c r="D182" s="585" t="n"/>
      <c r="E182" s="1077" t="n"/>
      <c r="F182" s="368" t="inlineStr"/>
      <c r="G182" s="367" t="inlineStr"/>
      <c r="H182" s="367" t="inlineStr"/>
      <c r="I182" s="367" t="inlineStr"/>
      <c r="J182" s="367" t="inlineStr"/>
      <c r="K182" s="367" t="inlineStr"/>
      <c r="L182" s="369" t="inlineStr"/>
      <c r="M182" s="549" t="n"/>
      <c r="N182" s="550" t="n"/>
      <c r="O182" s="550" t="n"/>
      <c r="P182" s="550" t="n"/>
      <c r="Q182" s="550" t="n"/>
      <c r="R182" s="550" t="n"/>
      <c r="S182" s="551" t="n"/>
      <c r="T182" s="350" t="n"/>
      <c r="U182" s="337" t="n"/>
      <c r="V182" s="337" t="n"/>
      <c r="W182" s="337" t="n"/>
      <c r="X182" s="337" t="n"/>
      <c r="Y182" s="337" t="n"/>
      <c r="Z182" s="338" t="n"/>
    </row>
  </sheetData>
  <mergeCells count="5">
    <mergeCell ref="F31:L31"/>
    <mergeCell ref="T9:Z9"/>
    <mergeCell ref="M31:S31"/>
    <mergeCell ref="F9:L9"/>
    <mergeCell ref="T31:Z31"/>
  </mergeCells>
  <dataValidations count="3">
    <dataValidation sqref="T33:Z182" showDropDown="0" showInputMessage="0" showErrorMessage="1" allowBlank="1" type="list">
      <formula1>"v,x"</formula1>
    </dataValidation>
    <dataValidation sqref="D11:D30 D33:D182" showDropDown="0" showInputMessage="0" showErrorMessage="1" allowBlank="1" type="list">
      <formula1>"geplande taak,openingstijd,sluitingstijd,vaste tijd"</formula1>
    </dataValidation>
    <dataValidation sqref="F11:L30" showDropDown="0" showInputMessage="0" showErrorMessage="1" allowBlank="1" type="list">
      <formula1>"v"</formula1>
    </dataValidation>
  </dataValidations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 codeName="Sheet18">
    <tabColor rgb="FF000000"/>
    <outlinePr summaryBelow="0" summaryRight="0"/>
    <pageSetUpPr/>
  </sheetPr>
  <dimension ref="A1:C4"/>
  <sheetViews>
    <sheetView showGridLines="0" showRowColHeaders="0" workbookViewId="0">
      <selection activeCell="C4" sqref="C4"/>
    </sheetView>
  </sheetViews>
  <sheetFormatPr baseColWidth="8" defaultColWidth="17.28515625" defaultRowHeight="15" customHeight="1"/>
  <cols>
    <col width="2.140625" customWidth="1" style="264" min="1" max="1"/>
    <col width="49.85546875" customWidth="1" style="264" min="2" max="3"/>
    <col width="17.28515625" customWidth="1" style="264" min="4" max="16384"/>
  </cols>
  <sheetData>
    <row r="1" ht="12.6" customHeight="1">
      <c r="A1" s="307" t="inlineStr">
        <is>
          <t>Deze pagina wordt enkel gebruikt door het hoofdkantoor</t>
        </is>
      </c>
      <c r="B1" s="308" t="n"/>
      <c r="C1" s="309" t="n"/>
    </row>
    <row r="2" hidden="1" ht="16.5" customHeight="1">
      <c r="A2" s="64" t="n"/>
      <c r="B2" s="93" t="inlineStr">
        <is>
          <t>Navigator Links</t>
        </is>
      </c>
      <c r="C2" s="65" t="inlineStr">
        <is>
          <t>https://docs.google.com/spreadsheets/d/16kbKwad-DDQwYzBJ7MNvfpRVT8m19byVad59dZBVpII/edit#gid=49255126</t>
        </is>
      </c>
    </row>
    <row r="3" ht="12.6" customHeight="1">
      <c r="A3" s="288" t="n"/>
      <c r="B3" s="305" t="inlineStr">
        <is>
          <t>Filiaalnummer:</t>
        </is>
      </c>
      <c r="C3" s="633" t="n">
        <v>3138</v>
      </c>
    </row>
    <row r="4" ht="12.75" customHeight="1">
      <c r="A4" s="288" t="n"/>
      <c r="B4" s="305" t="inlineStr">
        <is>
          <t>Datum maandag:</t>
        </is>
      </c>
      <c r="C4" s="306" t="n">
        <v>45810</v>
      </c>
    </row>
  </sheetData>
  <hyperlinks>
    <hyperlink xmlns:r="http://schemas.openxmlformats.org/officeDocument/2006/relationships" ref="C2" location="gid=49255126" r:id="rId1"/>
  </hyperlink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2018-12-14T21:34:21Z</dcterms:created>
  <dcterms:modified xmlns:dcterms="http://purl.org/dc/terms/" xmlns:xsi="http://www.w3.org/2001/XMLSchema-instance" xsi:type="dcterms:W3CDTF">2025-06-17T15:39:20Z</dcterms:modified>
</cp:coreProperties>
</file>

<file path=docProps/custom.xml><?xml version="1.0" encoding="utf-8"?>
<Properties xmlns="http://schemas.openxmlformats.org/officeDocument/2006/custom-properties">
  <property name="MSIP_Label_a1113265-c559-4850-9a4d-5c092dbd21ac_Enabled" fmtid="{D5CDD505-2E9C-101B-9397-08002B2CF9AE}" pid="2">
    <vt:lpwstr xmlns:vt="http://schemas.openxmlformats.org/officeDocument/2006/docPropsVTypes">true</vt:lpwstr>
  </property>
  <property name="MSIP_Label_a1113265-c559-4850-9a4d-5c092dbd21ac_SetDate" fmtid="{D5CDD505-2E9C-101B-9397-08002B2CF9AE}" pid="3">
    <vt:lpwstr xmlns:vt="http://schemas.openxmlformats.org/officeDocument/2006/docPropsVTypes">2023-12-21T09:54:02Z</vt:lpwstr>
  </property>
  <property name="MSIP_Label_a1113265-c559-4850-9a4d-5c092dbd21ac_Method" fmtid="{D5CDD505-2E9C-101B-9397-08002B2CF9AE}" pid="4">
    <vt:lpwstr xmlns:vt="http://schemas.openxmlformats.org/officeDocument/2006/docPropsVTypes">Standard</vt:lpwstr>
  </property>
  <property name="MSIP_Label_a1113265-c559-4850-9a4d-5c092dbd21ac_Name" fmtid="{D5CDD505-2E9C-101B-9397-08002B2CF9AE}" pid="5">
    <vt:lpwstr xmlns:vt="http://schemas.openxmlformats.org/officeDocument/2006/docPropsVTypes">Internal Use</vt:lpwstr>
  </property>
  <property name="MSIP_Label_a1113265-c559-4850-9a4d-5c092dbd21ac_SiteId" fmtid="{D5CDD505-2E9C-101B-9397-08002B2CF9AE}" pid="6">
    <vt:lpwstr xmlns:vt="http://schemas.openxmlformats.org/officeDocument/2006/docPropsVTypes">a6b169f1-592b-4329-8f33-8db8903003c7</vt:lpwstr>
  </property>
  <property name="MSIP_Label_a1113265-c559-4850-9a4d-5c092dbd21ac_ActionId" fmtid="{D5CDD505-2E9C-101B-9397-08002B2CF9AE}" pid="7">
    <vt:lpwstr xmlns:vt="http://schemas.openxmlformats.org/officeDocument/2006/docPropsVTypes">4127ade6-146a-4c6e-bf7b-2f3403f443da</vt:lpwstr>
  </property>
  <property name="MSIP_Label_a1113265-c559-4850-9a4d-5c092dbd21ac_ContentBits" fmtid="{D5CDD505-2E9C-101B-9397-08002B2CF9AE}" pid="8">
    <vt:lpwstr xmlns:vt="http://schemas.openxmlformats.org/officeDocument/2006/docPropsVTypes">0</vt:lpwstr>
  </property>
</Properties>
</file>